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17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18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19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0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1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2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24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25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6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7.xml" ContentType="application/vnd.openxmlformats-officedocument.drawing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28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9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30.xml" ContentType="application/vnd.openxmlformats-officedocument.drawing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D8C7D307-E76B-4884-A31D-58DE32464A33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980" r:id="rId6"/>
    <sheet name="だいち" sheetId="6982" r:id="rId7"/>
    <sheet name="れんたろう" sheetId="6984" r:id="rId8"/>
    <sheet name="たかの" sheetId="6986" r:id="rId9"/>
    <sheet name="まっつん" sheetId="6988" r:id="rId10"/>
    <sheet name="いちかわ" sheetId="6990" r:id="rId11"/>
    <sheet name="ただ" sheetId="6992" r:id="rId12"/>
    <sheet name="たか" sheetId="6994" r:id="rId13"/>
    <sheet name="のり" sheetId="6996" r:id="rId14"/>
    <sheet name="りくと" sheetId="6998" r:id="rId15"/>
    <sheet name="わさび" sheetId="7000" r:id="rId16"/>
    <sheet name="やなぎ" sheetId="7002" r:id="rId17"/>
    <sheet name="いっしー" sheetId="7004" r:id="rId18"/>
    <sheet name="いっしー2" sheetId="7005" state="hidden" r:id="rId19"/>
    <sheet name="やなぎ2" sheetId="7003" state="hidden" r:id="rId20"/>
    <sheet name="わさび2" sheetId="7001" state="hidden" r:id="rId21"/>
    <sheet name="りくと2" sheetId="6999" state="hidden" r:id="rId22"/>
    <sheet name="のり2" sheetId="6997" state="hidden" r:id="rId23"/>
    <sheet name="たか2" sheetId="6995" state="hidden" r:id="rId24"/>
    <sheet name="ただ2" sheetId="6993" state="hidden" r:id="rId25"/>
    <sheet name="いちかわ2" sheetId="6991" state="hidden" r:id="rId26"/>
    <sheet name="まっつん2" sheetId="6989" state="hidden" r:id="rId27"/>
    <sheet name="たかの2" sheetId="6987" state="hidden" r:id="rId28"/>
    <sheet name="れんたろう2" sheetId="6985" state="hidden" r:id="rId29"/>
    <sheet name="だいち2" sheetId="6983" state="hidden" r:id="rId30"/>
    <sheet name="全体2" sheetId="6981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リーチ率" sheetId="3524" state="hidden" r:id="rId42"/>
    <sheet name="副露率" sheetId="3525" state="hidden" r:id="rId43"/>
    <sheet name="リーチ成功率" sheetId="4841" state="hidden" r:id="rId44"/>
    <sheet name="副露成功率" sheetId="3527" state="hidden" r:id="rId45"/>
    <sheet name="ツモ率" sheetId="3528" state="hidden" r:id="rId46"/>
  </sheets>
  <definedNames>
    <definedName name="アガリ数" localSheetId="3">Template1!$B$20</definedName>
    <definedName name="アガリ数" localSheetId="10">いちかわ!$B$20</definedName>
    <definedName name="アガリ数" localSheetId="17">いっしー!$B$20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6">やなぎ!$B$20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17">いっしー!$C$20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6">やなぎ!$C$20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17">いっしー!$B$26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6">やなぎ!$B$26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17">いっしー!$C$26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6">やなぎ!$C$26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17">いっしー!$B$35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6">やなぎ!$B$35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17">いっしー!$C$35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6">やなぎ!$C$35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17">いっしー!$B$22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6">やなぎ!$B$22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17">いっしー!$C$22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6">やなぎ!$C$22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17">いっしー!$B$8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6">やなぎ!$B$8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17">いっしー!$C$8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6">やなぎ!$C$8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17">いっしー!$B$14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6">やなぎ!$B$14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17">いっしー!$B$15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6">やなぎ!$B$15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17">いっしー!$C$15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6">やなぎ!$C$15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17">いっしー!$B$10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6">やなぎ!$B$10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17">いっしー!$C$10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6">やなぎ!$C$10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17">いっしー!$B$24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6">やなぎ!$B$24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17">いっしー!$C$24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6">やなぎ!$C$24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17">いっしー!$B$16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6">やなぎ!$B$16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17">いっしー!$B$18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6">やなぎ!$B$18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17">いっしー!$C$18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6">やなぎ!$C$18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17">いっしー!$C$16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6">やなぎ!$C$16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17">いっしー!$B$6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6">やなぎ!$B$6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17">いっしー!$B$23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6">やなぎ!$B$23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17">いっしー!$C$23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6">やなぎ!$C$23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17">いっしー!$B$11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6">やなぎ!$B$11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17">いっしー!$C$11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6">やなぎ!$C$11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17">いっしー!$B$37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6">やなぎ!$B$37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17">いっしー!$C$37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6">やなぎ!$C$37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17">いっしー!$C$31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6">やなぎ!$C$31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17">いっしー!$C$32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6">やなぎ!$C$32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17">いっしー!$B$34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6">やなぎ!$B$34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17">いっしー!$B$33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6">やなぎ!$B$33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17">いっしー!$B$34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6">やなぎ!$B$34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17">いっしー!$B$13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6">やなぎ!$B$13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17">いっしー!$C$13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6">やなぎ!$C$13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17">いっしー!$B$3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6">やなぎ!$B$3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17">いっしー!$B$2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6">やなぎ!$B$2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17">いっしー!$C$27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6">やなぎ!$C$27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17">いっしー!$B$4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6">やなぎ!$B$4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17">いっしー!$C$29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6">やなぎ!$C$29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17">いっしー!$C$30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6">やなぎ!$C$30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17">いっしー!$C$28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6">やなぎ!$C$28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17">いっしー!$B$12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6">やなぎ!$B$12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17">いっしー!$B$9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6">やなぎ!$B$9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17">いっしー!$C$12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6">やなぎ!$C$12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17">いっしー!$C$9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6">やなぎ!$C$9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17">いっしー!$B$25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6">やなぎ!$B$25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17">いっしー!$B$29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6">やなぎ!$B$29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17">いっしー!$C$25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6">やなぎ!$C$25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17">いっしー!$B$17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6">やなぎ!$B$17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17">いっしー!$B$19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6">やなぎ!$B$19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17">いっしー!$C$19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6">やなぎ!$C$19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17">いっしー!$C$17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6">やなぎ!$C$17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17">いっしー!$B$27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6">やなぎ!$B$27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17">いっしー!$B$5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6">やなぎ!$B$5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17">いっしー!$B$7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6">やなぎ!$B$7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17">いっしー!$B$30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6">やなぎ!$B$30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17">いっしー!$B$21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6">やなぎ!$B$21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17">いっしー!$C$21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6">やなぎ!$C$21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17">いっしー!$B$1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6">やなぎ!$B$1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17">いっしー!$B$28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6">やなぎ!$B$28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17">いっしー!$B$31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6">やなぎ!$B$31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17">いっしー!$B$32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6">やなぎ!$B$32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6" i="6982" l="1"/>
  <c r="P16" i="6984"/>
  <c r="P15" i="6980"/>
  <c r="P16" i="7004"/>
  <c r="P15" i="7004"/>
  <c r="C35" i="7004"/>
  <c r="B30" i="7004"/>
  <c r="C21" i="7004"/>
  <c r="B20" i="7004"/>
  <c r="H51" i="7004" s="1"/>
  <c r="B19" i="7004"/>
  <c r="B29" i="7004" s="1"/>
  <c r="B18" i="7004"/>
  <c r="C18" i="7004" s="1"/>
  <c r="C17" i="7004"/>
  <c r="C16" i="7004"/>
  <c r="C15" i="7004"/>
  <c r="B14" i="7004"/>
  <c r="B13" i="7004"/>
  <c r="P12" i="7004"/>
  <c r="B12" i="7004"/>
  <c r="P11" i="7004"/>
  <c r="B11" i="7004"/>
  <c r="P10" i="7004"/>
  <c r="C10" i="7004"/>
  <c r="C9" i="7004"/>
  <c r="C8" i="7004"/>
  <c r="P7" i="7004"/>
  <c r="B7" i="7004"/>
  <c r="P6" i="7004"/>
  <c r="P5" i="7004"/>
  <c r="B5" i="7004"/>
  <c r="P4" i="7004"/>
  <c r="P3" i="7004"/>
  <c r="P2" i="7004"/>
  <c r="C19" i="7004" l="1"/>
  <c r="H6" i="7004"/>
  <c r="H4" i="7004"/>
  <c r="H10" i="7004"/>
  <c r="H19" i="7004"/>
  <c r="C39" i="7004"/>
  <c r="H46" i="7004"/>
  <c r="H40" i="7004"/>
  <c r="H13" i="7004"/>
  <c r="H47" i="7004"/>
  <c r="H14" i="7004"/>
  <c r="H32" i="7004"/>
  <c r="C23" i="7004"/>
  <c r="H16" i="7004"/>
  <c r="C24" i="7004"/>
  <c r="H5" i="7004"/>
  <c r="H25" i="7004"/>
  <c r="C47" i="7004"/>
  <c r="H42" i="7004"/>
  <c r="H48" i="7004"/>
  <c r="H49" i="7004"/>
  <c r="H41" i="7004"/>
  <c r="H35" i="7004"/>
  <c r="H3" i="7004"/>
  <c r="C26" i="7004"/>
  <c r="H43" i="7004"/>
  <c r="H2" i="7004"/>
  <c r="H17" i="7004"/>
  <c r="H22" i="7004"/>
  <c r="C43" i="7004"/>
  <c r="H50" i="7004"/>
  <c r="H34" i="7004"/>
  <c r="H9" i="7004"/>
  <c r="H8" i="7004"/>
  <c r="H20" i="7004"/>
  <c r="B27" i="7004"/>
  <c r="H37" i="7004"/>
  <c r="H38" i="7004"/>
  <c r="H44" i="7004"/>
  <c r="H7" i="7004"/>
  <c r="H12" i="7004"/>
  <c r="C25" i="7004"/>
  <c r="C20" i="7004"/>
  <c r="B28" i="7004"/>
  <c r="H15" i="7004"/>
  <c r="H18" i="7004"/>
  <c r="C22" i="7004"/>
  <c r="H29" i="7004"/>
  <c r="H39" i="7004"/>
  <c r="H45" i="7004"/>
  <c r="H52" i="7004"/>
  <c r="H21" i="7004"/>
  <c r="H11" i="7004"/>
  <c r="H26" i="7004"/>
  <c r="H30" i="7004"/>
  <c r="H36" i="7004"/>
  <c r="C40" i="7004"/>
  <c r="C44" i="7004"/>
  <c r="C48" i="7004"/>
  <c r="H23" i="7004"/>
  <c r="H27" i="7004"/>
  <c r="H31" i="7004"/>
  <c r="C37" i="7004"/>
  <c r="C41" i="7004"/>
  <c r="C45" i="7004"/>
  <c r="C49" i="7004"/>
  <c r="H24" i="7004"/>
  <c r="H28" i="7004"/>
  <c r="H33" i="7004"/>
  <c r="C38" i="7004"/>
  <c r="C42" i="7004"/>
  <c r="C46" i="7004"/>
  <c r="P17" i="6992" l="1"/>
  <c r="P16" i="7002"/>
  <c r="P15" i="6982" l="1"/>
  <c r="P19" i="6984"/>
  <c r="P16" i="6980"/>
  <c r="P17" i="7002"/>
  <c r="P15" i="7002"/>
  <c r="C35" i="7002"/>
  <c r="B30" i="7002"/>
  <c r="C21" i="7002"/>
  <c r="B20" i="7002"/>
  <c r="H50" i="7002" s="1"/>
  <c r="B19" i="7002"/>
  <c r="B29" i="7002" s="1"/>
  <c r="B18" i="7002"/>
  <c r="C18" i="7002" s="1"/>
  <c r="C17" i="7002"/>
  <c r="C16" i="7002"/>
  <c r="C15" i="7002"/>
  <c r="B13" i="7002"/>
  <c r="P12" i="7002"/>
  <c r="B12" i="7002"/>
  <c r="P11" i="7002"/>
  <c r="B11" i="7002"/>
  <c r="P10" i="7002"/>
  <c r="C10" i="7002"/>
  <c r="C9" i="7002"/>
  <c r="C8" i="7002"/>
  <c r="P7" i="7002"/>
  <c r="B7" i="7002"/>
  <c r="P6" i="7002"/>
  <c r="P5" i="7002"/>
  <c r="B5" i="7002"/>
  <c r="P4" i="7002"/>
  <c r="P3" i="7002"/>
  <c r="P2" i="7002"/>
  <c r="B14" i="7002" l="1"/>
  <c r="C19" i="7002"/>
  <c r="C20" i="7002"/>
  <c r="H9" i="7002"/>
  <c r="H24" i="7002"/>
  <c r="H33" i="7002"/>
  <c r="C42" i="7002"/>
  <c r="H51" i="7002"/>
  <c r="H20" i="7002"/>
  <c r="C24" i="7002"/>
  <c r="B28" i="7002"/>
  <c r="H34" i="7002"/>
  <c r="H39" i="7002"/>
  <c r="H43" i="7002"/>
  <c r="H47" i="7002"/>
  <c r="H11" i="7002"/>
  <c r="H22" i="7002"/>
  <c r="H25" i="7002"/>
  <c r="H29" i="7002"/>
  <c r="H35" i="7002"/>
  <c r="C39" i="7002"/>
  <c r="C43" i="7002"/>
  <c r="C47" i="7002"/>
  <c r="H52" i="7002"/>
  <c r="H14" i="7002"/>
  <c r="H17" i="7002"/>
  <c r="C25" i="7002"/>
  <c r="H40" i="7002"/>
  <c r="H44" i="7002"/>
  <c r="H48" i="7002"/>
  <c r="H28" i="7002"/>
  <c r="C38" i="7002"/>
  <c r="C46" i="7002"/>
  <c r="H2" i="7002"/>
  <c r="H12" i="7002"/>
  <c r="H16" i="7002"/>
  <c r="H5" i="7002"/>
  <c r="H13" i="7002"/>
  <c r="H21" i="7002"/>
  <c r="H10" i="7002"/>
  <c r="H26" i="7002"/>
  <c r="H30" i="7002"/>
  <c r="H36" i="7002"/>
  <c r="C40" i="7002"/>
  <c r="C44" i="7002"/>
  <c r="C48" i="7002"/>
  <c r="H3" i="7002"/>
  <c r="H18" i="7002"/>
  <c r="C22" i="7002"/>
  <c r="C26" i="7002"/>
  <c r="H37" i="7002"/>
  <c r="H41" i="7002"/>
  <c r="H45" i="7002"/>
  <c r="H49" i="7002"/>
  <c r="H4" i="7002"/>
  <c r="H8" i="7002"/>
  <c r="H15" i="7002"/>
  <c r="H23" i="7002"/>
  <c r="H27" i="7002"/>
  <c r="H31" i="7002"/>
  <c r="C37" i="7002"/>
  <c r="C41" i="7002"/>
  <c r="C45" i="7002"/>
  <c r="C49" i="7002"/>
  <c r="H7" i="7002"/>
  <c r="H19" i="7002"/>
  <c r="H6" i="7002"/>
  <c r="C23" i="7002"/>
  <c r="B27" i="7002"/>
  <c r="H32" i="7002"/>
  <c r="H38" i="7002"/>
  <c r="H42" i="7002"/>
  <c r="H46" i="7002"/>
  <c r="P16" i="6996"/>
  <c r="P17" i="6984"/>
  <c r="P21" i="6998" l="1"/>
  <c r="P15" i="6986"/>
  <c r="P16" i="6998" l="1"/>
  <c r="P19" i="6988"/>
  <c r="P21" i="6984" l="1"/>
  <c r="P16" i="6988"/>
  <c r="P15" i="6998" l="1"/>
  <c r="P24" i="6984"/>
  <c r="P17" i="6986" l="1"/>
  <c r="P20" i="6988"/>
  <c r="P22" i="6992"/>
  <c r="P15" i="6988"/>
  <c r="P19" i="6994" l="1"/>
  <c r="P16" i="6986"/>
  <c r="P17" i="6998" l="1"/>
  <c r="P24" i="6982"/>
  <c r="P23" i="6990" l="1"/>
  <c r="P18" i="6986"/>
  <c r="P15" i="6992" l="1"/>
  <c r="P19" i="6992"/>
  <c r="P20" i="6998"/>
  <c r="P17" i="7000"/>
  <c r="P17" i="6990"/>
  <c r="P21" i="6990"/>
  <c r="P15" i="7000"/>
  <c r="P16" i="7000"/>
  <c r="C35" i="7000"/>
  <c r="B30" i="7000"/>
  <c r="C21" i="7000"/>
  <c r="B20" i="7000"/>
  <c r="H50" i="7000" s="1"/>
  <c r="B19" i="7000"/>
  <c r="B29" i="7000" s="1"/>
  <c r="C18" i="7000"/>
  <c r="B18" i="7000"/>
  <c r="C17" i="7000"/>
  <c r="C16" i="7000"/>
  <c r="C15" i="7000"/>
  <c r="B13" i="7000"/>
  <c r="P12" i="7000"/>
  <c r="B12" i="7000"/>
  <c r="P11" i="7000"/>
  <c r="B11" i="7000"/>
  <c r="P10" i="7000"/>
  <c r="C10" i="7000"/>
  <c r="C9" i="7000"/>
  <c r="C8" i="7000"/>
  <c r="P7" i="7000"/>
  <c r="B7" i="7000"/>
  <c r="P6" i="7000"/>
  <c r="P5" i="7000"/>
  <c r="B5" i="7000"/>
  <c r="P4" i="7000"/>
  <c r="P3" i="7000"/>
  <c r="P2" i="7000"/>
  <c r="P20" i="6980"/>
  <c r="P19" i="6998"/>
  <c r="P18" i="6998"/>
  <c r="C41" i="6998"/>
  <c r="C35" i="6998"/>
  <c r="B30" i="6998"/>
  <c r="C21" i="6998"/>
  <c r="B20" i="6998"/>
  <c r="H51" i="6998" s="1"/>
  <c r="B19" i="6998"/>
  <c r="B29" i="6998" s="1"/>
  <c r="B18" i="6998"/>
  <c r="C18" i="6998" s="1"/>
  <c r="C17" i="6998"/>
  <c r="C16" i="6998"/>
  <c r="C15" i="6998"/>
  <c r="B13" i="6998"/>
  <c r="P12" i="6998"/>
  <c r="B12" i="6998"/>
  <c r="P11" i="6998"/>
  <c r="B11" i="6998"/>
  <c r="P10" i="6998"/>
  <c r="C10" i="6998"/>
  <c r="C9" i="6998"/>
  <c r="C8" i="6998"/>
  <c r="P7" i="6998"/>
  <c r="B7" i="6998"/>
  <c r="P6" i="6998"/>
  <c r="P5" i="6998"/>
  <c r="B5" i="6998"/>
  <c r="P4" i="6998"/>
  <c r="P3" i="6998"/>
  <c r="P2" i="6998"/>
  <c r="P19" i="6980"/>
  <c r="C23" i="6998" l="1"/>
  <c r="H9" i="6998"/>
  <c r="H42" i="6998"/>
  <c r="H10" i="6998"/>
  <c r="B27" i="6998"/>
  <c r="H28" i="6998"/>
  <c r="B28" i="6998"/>
  <c r="C19" i="6998"/>
  <c r="H18" i="6998"/>
  <c r="H7" i="6998"/>
  <c r="H37" i="6998"/>
  <c r="C22" i="6998"/>
  <c r="H24" i="6998"/>
  <c r="H41" i="6998"/>
  <c r="B14" i="6998"/>
  <c r="B14" i="7000"/>
  <c r="C19" i="7000"/>
  <c r="C20" i="7000"/>
  <c r="H3" i="7000"/>
  <c r="H25" i="7000"/>
  <c r="H33" i="7000"/>
  <c r="C38" i="7000"/>
  <c r="C42" i="7000"/>
  <c r="C46" i="7000"/>
  <c r="H51" i="7000"/>
  <c r="H2" i="7000"/>
  <c r="H11" i="7000"/>
  <c r="H16" i="7000"/>
  <c r="H19" i="7000"/>
  <c r="C24" i="7000"/>
  <c r="B28" i="7000"/>
  <c r="H34" i="7000"/>
  <c r="H39" i="7000"/>
  <c r="H43" i="7000"/>
  <c r="H47" i="7000"/>
  <c r="H9" i="7000"/>
  <c r="H22" i="7000"/>
  <c r="H26" i="7000"/>
  <c r="H29" i="7000"/>
  <c r="H35" i="7000"/>
  <c r="C39" i="7000"/>
  <c r="C43" i="7000"/>
  <c r="C47" i="7000"/>
  <c r="H52" i="7000"/>
  <c r="H14" i="7000"/>
  <c r="H17" i="7000"/>
  <c r="C25" i="7000"/>
  <c r="H40" i="7000"/>
  <c r="H44" i="7000"/>
  <c r="H48" i="7000"/>
  <c r="H8" i="7000"/>
  <c r="H6" i="7000"/>
  <c r="H12" i="7000"/>
  <c r="H20" i="7000"/>
  <c r="H23" i="7000"/>
  <c r="H27" i="7000"/>
  <c r="H30" i="7000"/>
  <c r="H36" i="7000"/>
  <c r="C40" i="7000"/>
  <c r="C44" i="7000"/>
  <c r="C48" i="7000"/>
  <c r="H5" i="7000"/>
  <c r="H18" i="7000"/>
  <c r="C22" i="7000"/>
  <c r="C26" i="7000"/>
  <c r="H37" i="7000"/>
  <c r="H41" i="7000"/>
  <c r="H45" i="7000"/>
  <c r="H49" i="7000"/>
  <c r="H4" i="7000"/>
  <c r="H13" i="7000"/>
  <c r="H15" i="7000"/>
  <c r="H24" i="7000"/>
  <c r="H28" i="7000"/>
  <c r="H31" i="7000"/>
  <c r="C37" i="7000"/>
  <c r="C41" i="7000"/>
  <c r="C45" i="7000"/>
  <c r="C49" i="7000"/>
  <c r="H10" i="7000"/>
  <c r="H7" i="7000"/>
  <c r="H21" i="7000"/>
  <c r="C23" i="7000"/>
  <c r="B27" i="7000"/>
  <c r="H32" i="7000"/>
  <c r="H38" i="7000"/>
  <c r="H42" i="7000"/>
  <c r="H46" i="7000"/>
  <c r="H46" i="6998"/>
  <c r="H47" i="6998"/>
  <c r="H4" i="6998"/>
  <c r="H16" i="6998"/>
  <c r="H19" i="6998"/>
  <c r="H35" i="6998"/>
  <c r="C47" i="6998"/>
  <c r="H29" i="6998"/>
  <c r="H43" i="6998"/>
  <c r="H48" i="6998"/>
  <c r="C37" i="6998"/>
  <c r="H5" i="6998"/>
  <c r="H15" i="6998"/>
  <c r="H17" i="6998"/>
  <c r="H13" i="6998"/>
  <c r="C24" i="6998"/>
  <c r="H38" i="6998"/>
  <c r="C43" i="6998"/>
  <c r="C49" i="6998"/>
  <c r="H26" i="6998"/>
  <c r="H39" i="6998"/>
  <c r="H44" i="6998"/>
  <c r="H50" i="6998"/>
  <c r="H12" i="6998"/>
  <c r="C20" i="6998"/>
  <c r="C25" i="6998"/>
  <c r="H32" i="6998"/>
  <c r="C39" i="6998"/>
  <c r="H45" i="6998"/>
  <c r="H3" i="6998"/>
  <c r="H31" i="6998"/>
  <c r="H6" i="6998"/>
  <c r="H2" i="6998"/>
  <c r="H8" i="6998"/>
  <c r="H11" i="6998"/>
  <c r="H20" i="6998"/>
  <c r="H22" i="6998"/>
  <c r="C26" i="6998"/>
  <c r="H34" i="6998"/>
  <c r="H40" i="6998"/>
  <c r="C45" i="6998"/>
  <c r="H52" i="6998"/>
  <c r="H21" i="6998"/>
  <c r="H23" i="6998"/>
  <c r="H27" i="6998"/>
  <c r="H30" i="6998"/>
  <c r="H36" i="6998"/>
  <c r="C40" i="6998"/>
  <c r="C44" i="6998"/>
  <c r="C48" i="6998"/>
  <c r="H49" i="6998"/>
  <c r="H25" i="6998"/>
  <c r="H14" i="6998"/>
  <c r="H33" i="6998"/>
  <c r="C38" i="6998"/>
  <c r="C42" i="6998"/>
  <c r="C46" i="6998"/>
  <c r="P22" i="6984" l="1"/>
  <c r="P20" i="6992"/>
  <c r="P15" i="6990"/>
  <c r="P16" i="6992"/>
  <c r="P23" i="6992"/>
  <c r="P18" i="6994"/>
  <c r="P18" i="6990"/>
  <c r="P20" i="6994"/>
  <c r="P23" i="6984"/>
  <c r="P15" i="6984"/>
  <c r="P18" i="6996" l="1"/>
  <c r="P16" i="6994"/>
  <c r="P17" i="6982"/>
  <c r="P18" i="6982"/>
  <c r="P17" i="6996"/>
  <c r="P15" i="6996"/>
  <c r="C35" i="6996"/>
  <c r="B30" i="6996"/>
  <c r="C21" i="6996"/>
  <c r="B20" i="6996"/>
  <c r="H50" i="6996" s="1"/>
  <c r="B19" i="6996"/>
  <c r="B29" i="6996" s="1"/>
  <c r="B18" i="6996"/>
  <c r="C18" i="6996" s="1"/>
  <c r="C17" i="6996"/>
  <c r="C16" i="6996"/>
  <c r="C15" i="6996"/>
  <c r="B13" i="6996"/>
  <c r="P12" i="6996"/>
  <c r="B12" i="6996"/>
  <c r="P11" i="6996"/>
  <c r="B11" i="6996"/>
  <c r="P10" i="6996"/>
  <c r="C10" i="6996"/>
  <c r="C9" i="6996"/>
  <c r="C8" i="6996"/>
  <c r="P7" i="6996"/>
  <c r="B7" i="6996"/>
  <c r="P6" i="6996"/>
  <c r="P5" i="6996"/>
  <c r="B5" i="6996"/>
  <c r="P4" i="6996"/>
  <c r="P3" i="6996"/>
  <c r="P2" i="6996"/>
  <c r="P17" i="6994"/>
  <c r="P15" i="6994"/>
  <c r="C35" i="6994"/>
  <c r="B30" i="6994"/>
  <c r="C21" i="6994"/>
  <c r="B20" i="6994"/>
  <c r="H50" i="6994" s="1"/>
  <c r="B19" i="6994"/>
  <c r="B29" i="6994" s="1"/>
  <c r="B18" i="6994"/>
  <c r="C18" i="6994" s="1"/>
  <c r="C17" i="6994"/>
  <c r="C16" i="6994"/>
  <c r="C15" i="6994"/>
  <c r="B13" i="6994"/>
  <c r="P12" i="6994"/>
  <c r="B12" i="6994"/>
  <c r="P11" i="6994"/>
  <c r="B11" i="6994"/>
  <c r="P10" i="6994"/>
  <c r="C10" i="6994"/>
  <c r="C9" i="6994"/>
  <c r="C8" i="6994"/>
  <c r="P7" i="6994"/>
  <c r="B7" i="6994"/>
  <c r="P6" i="6994"/>
  <c r="P5" i="6994"/>
  <c r="B5" i="6994"/>
  <c r="P4" i="6994"/>
  <c r="P3" i="6994"/>
  <c r="P2" i="6994"/>
  <c r="P19" i="6990"/>
  <c r="P16" i="6990"/>
  <c r="P17" i="6980"/>
  <c r="P18" i="6980"/>
  <c r="B14" i="6994" l="1"/>
  <c r="B14" i="6996"/>
  <c r="C19" i="6996"/>
  <c r="C20" i="6996"/>
  <c r="H2" i="6996"/>
  <c r="H5" i="6996"/>
  <c r="C38" i="6996"/>
  <c r="H51" i="6996"/>
  <c r="H3" i="6996"/>
  <c r="H13" i="6996"/>
  <c r="H17" i="6996"/>
  <c r="H21" i="6996"/>
  <c r="C24" i="6996"/>
  <c r="B28" i="6996"/>
  <c r="H34" i="6996"/>
  <c r="H39" i="6996"/>
  <c r="H43" i="6996"/>
  <c r="H47" i="6996"/>
  <c r="H4" i="6996"/>
  <c r="H23" i="6996"/>
  <c r="H26" i="6996"/>
  <c r="H29" i="6996"/>
  <c r="H35" i="6996"/>
  <c r="C39" i="6996"/>
  <c r="C43" i="6996"/>
  <c r="C47" i="6996"/>
  <c r="H52" i="6996"/>
  <c r="H15" i="6996"/>
  <c r="H18" i="6996"/>
  <c r="C25" i="6996"/>
  <c r="H40" i="6996"/>
  <c r="H44" i="6996"/>
  <c r="H48" i="6996"/>
  <c r="H25" i="6996"/>
  <c r="H33" i="6996"/>
  <c r="C42" i="6996"/>
  <c r="C46" i="6996"/>
  <c r="H12" i="6996"/>
  <c r="H14" i="6996"/>
  <c r="H22" i="6996"/>
  <c r="H11" i="6996"/>
  <c r="H27" i="6996"/>
  <c r="H30" i="6996"/>
  <c r="H36" i="6996"/>
  <c r="C40" i="6996"/>
  <c r="C44" i="6996"/>
  <c r="C48" i="6996"/>
  <c r="H6" i="6996"/>
  <c r="H19" i="6996"/>
  <c r="C22" i="6996"/>
  <c r="C26" i="6996"/>
  <c r="H37" i="6996"/>
  <c r="H41" i="6996"/>
  <c r="H45" i="6996"/>
  <c r="H49" i="6996"/>
  <c r="H7" i="6996"/>
  <c r="H8" i="6996"/>
  <c r="H16" i="6996"/>
  <c r="H24" i="6996"/>
  <c r="H28" i="6996"/>
  <c r="H31" i="6996"/>
  <c r="C37" i="6996"/>
  <c r="C41" i="6996"/>
  <c r="C45" i="6996"/>
  <c r="C49" i="6996"/>
  <c r="H9" i="6996"/>
  <c r="H20" i="6996"/>
  <c r="H10" i="6996"/>
  <c r="C23" i="6996"/>
  <c r="B27" i="6996"/>
  <c r="H32" i="6996"/>
  <c r="H38" i="6996"/>
  <c r="H42" i="6996"/>
  <c r="H46" i="6996"/>
  <c r="C19" i="6994"/>
  <c r="C20" i="6994"/>
  <c r="H3" i="6994"/>
  <c r="H16" i="6994"/>
  <c r="H33" i="6994"/>
  <c r="C42" i="6994"/>
  <c r="H51" i="6994"/>
  <c r="H12" i="6994"/>
  <c r="H19" i="6994"/>
  <c r="H22" i="6994"/>
  <c r="C24" i="6994"/>
  <c r="B28" i="6994"/>
  <c r="H34" i="6994"/>
  <c r="H39" i="6994"/>
  <c r="H43" i="6994"/>
  <c r="H47" i="6994"/>
  <c r="H5" i="6994"/>
  <c r="H24" i="6994"/>
  <c r="H11" i="6994"/>
  <c r="H29" i="6994"/>
  <c r="H35" i="6994"/>
  <c r="C39" i="6994"/>
  <c r="C43" i="6994"/>
  <c r="C47" i="6994"/>
  <c r="H52" i="6994"/>
  <c r="H17" i="6994"/>
  <c r="H20" i="6994"/>
  <c r="C25" i="6994"/>
  <c r="H40" i="6994"/>
  <c r="H44" i="6994"/>
  <c r="H48" i="6994"/>
  <c r="H7" i="6994"/>
  <c r="C38" i="6994"/>
  <c r="C46" i="6994"/>
  <c r="H2" i="6994"/>
  <c r="H9" i="6994"/>
  <c r="H10" i="6994"/>
  <c r="H23" i="6994"/>
  <c r="H25" i="6994"/>
  <c r="H27" i="6994"/>
  <c r="H30" i="6994"/>
  <c r="H36" i="6994"/>
  <c r="C40" i="6994"/>
  <c r="C44" i="6994"/>
  <c r="C48" i="6994"/>
  <c r="H4" i="6994"/>
  <c r="H14" i="6994"/>
  <c r="C22" i="6994"/>
  <c r="C26" i="6994"/>
  <c r="H37" i="6994"/>
  <c r="H41" i="6994"/>
  <c r="H45" i="6994"/>
  <c r="H49" i="6994"/>
  <c r="H6" i="6994"/>
  <c r="H13" i="6994"/>
  <c r="H18" i="6994"/>
  <c r="H26" i="6994"/>
  <c r="H28" i="6994"/>
  <c r="H31" i="6994"/>
  <c r="C37" i="6994"/>
  <c r="C41" i="6994"/>
  <c r="C45" i="6994"/>
  <c r="C49" i="6994"/>
  <c r="H8" i="6994"/>
  <c r="H21" i="6994"/>
  <c r="H15" i="6994"/>
  <c r="C23" i="6994"/>
  <c r="B27" i="6994"/>
  <c r="H32" i="6994"/>
  <c r="H38" i="6994"/>
  <c r="H42" i="6994"/>
  <c r="H46" i="6994"/>
  <c r="P21" i="6986" l="1"/>
  <c r="P21" i="6992"/>
  <c r="P18" i="6992"/>
  <c r="C35" i="6992"/>
  <c r="B30" i="6992"/>
  <c r="C21" i="6992"/>
  <c r="B20" i="6992"/>
  <c r="H51" i="6992" s="1"/>
  <c r="B19" i="6992"/>
  <c r="B29" i="6992" s="1"/>
  <c r="B18" i="6992"/>
  <c r="C18" i="6992" s="1"/>
  <c r="C17" i="6992"/>
  <c r="C16" i="6992"/>
  <c r="C15" i="6992"/>
  <c r="B13" i="6992"/>
  <c r="P12" i="6992"/>
  <c r="B12" i="6992"/>
  <c r="P11" i="6992"/>
  <c r="B11" i="6992"/>
  <c r="P10" i="6992"/>
  <c r="C10" i="6992"/>
  <c r="C9" i="6992"/>
  <c r="C8" i="6992"/>
  <c r="P7" i="6992"/>
  <c r="B7" i="6992"/>
  <c r="P6" i="6992"/>
  <c r="P5" i="6992"/>
  <c r="B5" i="6992"/>
  <c r="P4" i="6992"/>
  <c r="P3" i="6992"/>
  <c r="P2" i="6992"/>
  <c r="P23" i="6982"/>
  <c r="P26" i="6980"/>
  <c r="C19" i="6992" l="1"/>
  <c r="B14" i="6992"/>
  <c r="C20" i="6992"/>
  <c r="H3" i="6992"/>
  <c r="H30" i="6992"/>
  <c r="H35" i="6992"/>
  <c r="C38" i="6992"/>
  <c r="C46" i="6992"/>
  <c r="H2" i="6992"/>
  <c r="H11" i="6992"/>
  <c r="H24" i="6992"/>
  <c r="H15" i="6992"/>
  <c r="C24" i="6992"/>
  <c r="B28" i="6992"/>
  <c r="H36" i="6992"/>
  <c r="H41" i="6992"/>
  <c r="H44" i="6992"/>
  <c r="H48" i="6992"/>
  <c r="H4" i="6992"/>
  <c r="H28" i="6992"/>
  <c r="H13" i="6992"/>
  <c r="H32" i="6992"/>
  <c r="H37" i="6992"/>
  <c r="C39" i="6992"/>
  <c r="C43" i="6992"/>
  <c r="C47" i="6992"/>
  <c r="H52" i="6992"/>
  <c r="H18" i="6992"/>
  <c r="H25" i="6992"/>
  <c r="C25" i="6992"/>
  <c r="H42" i="6992"/>
  <c r="H45" i="6992"/>
  <c r="H49" i="6992"/>
  <c r="H9" i="6992"/>
  <c r="C42" i="6992"/>
  <c r="H22" i="6992"/>
  <c r="H7" i="6992"/>
  <c r="H8" i="6992"/>
  <c r="H27" i="6992"/>
  <c r="H17" i="6992"/>
  <c r="H31" i="6992"/>
  <c r="H33" i="6992"/>
  <c r="H38" i="6992"/>
  <c r="C40" i="6992"/>
  <c r="C44" i="6992"/>
  <c r="C48" i="6992"/>
  <c r="H5" i="6992"/>
  <c r="H26" i="6992"/>
  <c r="C22" i="6992"/>
  <c r="C26" i="6992"/>
  <c r="H39" i="6992"/>
  <c r="H21" i="6992"/>
  <c r="H46" i="6992"/>
  <c r="H50" i="6992"/>
  <c r="H6" i="6992"/>
  <c r="H10" i="6992"/>
  <c r="H23" i="6992"/>
  <c r="H29" i="6992"/>
  <c r="H19" i="6992"/>
  <c r="H20" i="6992"/>
  <c r="C37" i="6992"/>
  <c r="C41" i="6992"/>
  <c r="C45" i="6992"/>
  <c r="C49" i="6992"/>
  <c r="H12" i="6992"/>
  <c r="H14" i="6992"/>
  <c r="H16" i="6992"/>
  <c r="C23" i="6992"/>
  <c r="B27" i="6992"/>
  <c r="H34" i="6992"/>
  <c r="H40" i="6992"/>
  <c r="H43" i="6992"/>
  <c r="H47" i="6992"/>
  <c r="P21" i="6982" l="1"/>
  <c r="P22" i="6982"/>
  <c r="P22" i="6990"/>
  <c r="P20" i="6990"/>
  <c r="C35" i="6990"/>
  <c r="B30" i="6990"/>
  <c r="C21" i="6990"/>
  <c r="B20" i="6990"/>
  <c r="H50" i="6990" s="1"/>
  <c r="B19" i="6990"/>
  <c r="B29" i="6990" s="1"/>
  <c r="B18" i="6990"/>
  <c r="C18" i="6990" s="1"/>
  <c r="C17" i="6990"/>
  <c r="C16" i="6990"/>
  <c r="C15" i="6990"/>
  <c r="B13" i="6990"/>
  <c r="P12" i="6990"/>
  <c r="B12" i="6990"/>
  <c r="P11" i="6990"/>
  <c r="B11" i="6990"/>
  <c r="P10" i="6990"/>
  <c r="C10" i="6990"/>
  <c r="C9" i="6990"/>
  <c r="C8" i="6990"/>
  <c r="P7" i="6990"/>
  <c r="B7" i="6990"/>
  <c r="P6" i="6990"/>
  <c r="P5" i="6990"/>
  <c r="B5" i="6990"/>
  <c r="P4" i="6990"/>
  <c r="P3" i="6990"/>
  <c r="P2" i="6990"/>
  <c r="P23" i="6980"/>
  <c r="P18" i="6988"/>
  <c r="P17" i="6988"/>
  <c r="C35" i="6988"/>
  <c r="B30" i="6988"/>
  <c r="C21" i="6988"/>
  <c r="B20" i="6988"/>
  <c r="H50" i="6988" s="1"/>
  <c r="B19" i="6988"/>
  <c r="B29" i="6988" s="1"/>
  <c r="B18" i="6988"/>
  <c r="C18" i="6988" s="1"/>
  <c r="C17" i="6988"/>
  <c r="C16" i="6988"/>
  <c r="C15" i="6988"/>
  <c r="B13" i="6988"/>
  <c r="P12" i="6988"/>
  <c r="B12" i="6988"/>
  <c r="P11" i="6988"/>
  <c r="B11" i="6988"/>
  <c r="P10" i="6988"/>
  <c r="C10" i="6988"/>
  <c r="C9" i="6988"/>
  <c r="C8" i="6988"/>
  <c r="P7" i="6988"/>
  <c r="B7" i="6988"/>
  <c r="P6" i="6988"/>
  <c r="P5" i="6988"/>
  <c r="B5" i="6988"/>
  <c r="P4" i="6988"/>
  <c r="P3" i="6988"/>
  <c r="P2" i="6988"/>
  <c r="P25" i="6980"/>
  <c r="C19" i="6988" l="1"/>
  <c r="B14" i="6988"/>
  <c r="B14" i="6990"/>
  <c r="C19" i="6990"/>
  <c r="C20" i="6990"/>
  <c r="H3" i="6990"/>
  <c r="H28" i="6990"/>
  <c r="H8" i="6990"/>
  <c r="C38" i="6990"/>
  <c r="C46" i="6990"/>
  <c r="H9" i="6990"/>
  <c r="H19" i="6990"/>
  <c r="H20" i="6990"/>
  <c r="C24" i="6990"/>
  <c r="B28" i="6990"/>
  <c r="H34" i="6990"/>
  <c r="H39" i="6990"/>
  <c r="H43" i="6990"/>
  <c r="H47" i="6990"/>
  <c r="H5" i="6990"/>
  <c r="H26" i="6990"/>
  <c r="H12" i="6990"/>
  <c r="H31" i="6990"/>
  <c r="H35" i="6990"/>
  <c r="C39" i="6990"/>
  <c r="C43" i="6990"/>
  <c r="C47" i="6990"/>
  <c r="H52" i="6990"/>
  <c r="H18" i="6990"/>
  <c r="H23" i="6990"/>
  <c r="C25" i="6990"/>
  <c r="H40" i="6990"/>
  <c r="H44" i="6990"/>
  <c r="H48" i="6990"/>
  <c r="H33" i="6990"/>
  <c r="C42" i="6990"/>
  <c r="H51" i="6990"/>
  <c r="H2" i="6990"/>
  <c r="H6" i="6990"/>
  <c r="H14" i="6990"/>
  <c r="H25" i="6990"/>
  <c r="H13" i="6990"/>
  <c r="H29" i="6990"/>
  <c r="H16" i="6990"/>
  <c r="H36" i="6990"/>
  <c r="C40" i="6990"/>
  <c r="C44" i="6990"/>
  <c r="C48" i="6990"/>
  <c r="H4" i="6990"/>
  <c r="H24" i="6990"/>
  <c r="C22" i="6990"/>
  <c r="C26" i="6990"/>
  <c r="H37" i="6990"/>
  <c r="H41" i="6990"/>
  <c r="H45" i="6990"/>
  <c r="H49" i="6990"/>
  <c r="H7" i="6990"/>
  <c r="H10" i="6990"/>
  <c r="H22" i="6990"/>
  <c r="H27" i="6990"/>
  <c r="H30" i="6990"/>
  <c r="H32" i="6990"/>
  <c r="C37" i="6990"/>
  <c r="C41" i="6990"/>
  <c r="C45" i="6990"/>
  <c r="C49" i="6990"/>
  <c r="H11" i="6990"/>
  <c r="H17" i="6990"/>
  <c r="H15" i="6990"/>
  <c r="C23" i="6990"/>
  <c r="B27" i="6990"/>
  <c r="H21" i="6990"/>
  <c r="H38" i="6990"/>
  <c r="H42" i="6990"/>
  <c r="H46" i="6990"/>
  <c r="C20" i="6988"/>
  <c r="H3" i="6988"/>
  <c r="H27" i="6988"/>
  <c r="H33" i="6988"/>
  <c r="C42" i="6988"/>
  <c r="H51" i="6988"/>
  <c r="H2" i="6988"/>
  <c r="H9" i="6988"/>
  <c r="H22" i="6988"/>
  <c r="H15" i="6988"/>
  <c r="C24" i="6988"/>
  <c r="B28" i="6988"/>
  <c r="H34" i="6988"/>
  <c r="H39" i="6988"/>
  <c r="H43" i="6988"/>
  <c r="H47" i="6988"/>
  <c r="H5" i="6988"/>
  <c r="H25" i="6988"/>
  <c r="H11" i="6988"/>
  <c r="H30" i="6988"/>
  <c r="H35" i="6988"/>
  <c r="C39" i="6988"/>
  <c r="C43" i="6988"/>
  <c r="C47" i="6988"/>
  <c r="H52" i="6988"/>
  <c r="H20" i="6988"/>
  <c r="H23" i="6988"/>
  <c r="C25" i="6988"/>
  <c r="H40" i="6988"/>
  <c r="H44" i="6988"/>
  <c r="H48" i="6988"/>
  <c r="H10" i="6988"/>
  <c r="C38" i="6988"/>
  <c r="C46" i="6988"/>
  <c r="H7" i="6988"/>
  <c r="H12" i="6988"/>
  <c r="H24" i="6988"/>
  <c r="H13" i="6988"/>
  <c r="H28" i="6988"/>
  <c r="H19" i="6988"/>
  <c r="H36" i="6988"/>
  <c r="C40" i="6988"/>
  <c r="C44" i="6988"/>
  <c r="C48" i="6988"/>
  <c r="H4" i="6988"/>
  <c r="H17" i="6988"/>
  <c r="C22" i="6988"/>
  <c r="C26" i="6988"/>
  <c r="H37" i="6988"/>
  <c r="H41" i="6988"/>
  <c r="H45" i="6988"/>
  <c r="H49" i="6988"/>
  <c r="H6" i="6988"/>
  <c r="H14" i="6988"/>
  <c r="H21" i="6988"/>
  <c r="H26" i="6988"/>
  <c r="H29" i="6988"/>
  <c r="H31" i="6988"/>
  <c r="C37" i="6988"/>
  <c r="C41" i="6988"/>
  <c r="C45" i="6988"/>
  <c r="C49" i="6988"/>
  <c r="H8" i="6988"/>
  <c r="H18" i="6988"/>
  <c r="H16" i="6988"/>
  <c r="C23" i="6988"/>
  <c r="B27" i="6988"/>
  <c r="H32" i="6988"/>
  <c r="H38" i="6988"/>
  <c r="H42" i="6988"/>
  <c r="H46" i="6988"/>
  <c r="P20" i="6986" l="1"/>
  <c r="P19" i="6986"/>
  <c r="C35" i="6986"/>
  <c r="B30" i="6986"/>
  <c r="C21" i="6986"/>
  <c r="B20" i="6986"/>
  <c r="H50" i="6986" s="1"/>
  <c r="B19" i="6986"/>
  <c r="B29" i="6986" s="1"/>
  <c r="B18" i="6986"/>
  <c r="C18" i="6986" s="1"/>
  <c r="C17" i="6986"/>
  <c r="C16" i="6986"/>
  <c r="C15" i="6986"/>
  <c r="B13" i="6986"/>
  <c r="P12" i="6986"/>
  <c r="B12" i="6986"/>
  <c r="P11" i="6986"/>
  <c r="B11" i="6986"/>
  <c r="B14" i="6986" s="1"/>
  <c r="P10" i="6986"/>
  <c r="C10" i="6986"/>
  <c r="C9" i="6986"/>
  <c r="C8" i="6986"/>
  <c r="P7" i="6986"/>
  <c r="B7" i="6986"/>
  <c r="P6" i="6986"/>
  <c r="P5" i="6986"/>
  <c r="B5" i="6986"/>
  <c r="P4" i="6986"/>
  <c r="P3" i="6986"/>
  <c r="P2" i="6986"/>
  <c r="P20" i="6984"/>
  <c r="P18" i="6984"/>
  <c r="C43" i="6984"/>
  <c r="C35" i="6984"/>
  <c r="B30" i="6984"/>
  <c r="C21" i="6984"/>
  <c r="B20" i="6984"/>
  <c r="H5" i="6984" s="1"/>
  <c r="B19" i="6984"/>
  <c r="B29" i="6984" s="1"/>
  <c r="B18" i="6984"/>
  <c r="C18" i="6984" s="1"/>
  <c r="C17" i="6984"/>
  <c r="C16" i="6984"/>
  <c r="C15" i="6984"/>
  <c r="B13" i="6984"/>
  <c r="P12" i="6984"/>
  <c r="B12" i="6984"/>
  <c r="P11" i="6984"/>
  <c r="B11" i="6984"/>
  <c r="P10" i="6984"/>
  <c r="C10" i="6984"/>
  <c r="C9" i="6984"/>
  <c r="C8" i="6984"/>
  <c r="P7" i="6984"/>
  <c r="B7" i="6984"/>
  <c r="P6" i="6984"/>
  <c r="P5" i="6984"/>
  <c r="B5" i="6984"/>
  <c r="P4" i="6984"/>
  <c r="P3" i="6984"/>
  <c r="P2" i="6984"/>
  <c r="P24" i="6980"/>
  <c r="P20" i="6982"/>
  <c r="P19" i="6982"/>
  <c r="C35" i="6982"/>
  <c r="B30" i="6982"/>
  <c r="C21" i="6982"/>
  <c r="B20" i="6982"/>
  <c r="H51" i="6982" s="1"/>
  <c r="B19" i="6982"/>
  <c r="B29" i="6982" s="1"/>
  <c r="B18" i="6982"/>
  <c r="C18" i="6982" s="1"/>
  <c r="C17" i="6982"/>
  <c r="C16" i="6982"/>
  <c r="C15" i="6982"/>
  <c r="B13" i="6982"/>
  <c r="P12" i="6982"/>
  <c r="B12" i="6982"/>
  <c r="P11" i="6982"/>
  <c r="B11" i="6982"/>
  <c r="P10" i="6982"/>
  <c r="C10" i="6982"/>
  <c r="C9" i="6982"/>
  <c r="C8" i="6982"/>
  <c r="P7" i="6982"/>
  <c r="B7" i="6982"/>
  <c r="P6" i="6982"/>
  <c r="P5" i="6982"/>
  <c r="B5" i="6982"/>
  <c r="P4" i="6982"/>
  <c r="P3" i="6982"/>
  <c r="P2" i="6982"/>
  <c r="P21" i="6980"/>
  <c r="P22" i="6980"/>
  <c r="C35" i="6980"/>
  <c r="B30" i="6980"/>
  <c r="C21" i="6980"/>
  <c r="B20" i="6980"/>
  <c r="H18" i="6980" s="1"/>
  <c r="B19" i="6980"/>
  <c r="B29" i="6980" s="1"/>
  <c r="B18" i="6980"/>
  <c r="C18" i="6980" s="1"/>
  <c r="C17" i="6980"/>
  <c r="C16" i="6980"/>
  <c r="C15" i="6980"/>
  <c r="B13" i="6980"/>
  <c r="P12" i="6980"/>
  <c r="B12" i="6980"/>
  <c r="P11" i="6980"/>
  <c r="B11" i="6980"/>
  <c r="P10" i="6980"/>
  <c r="C10" i="6980"/>
  <c r="C9" i="6980"/>
  <c r="C8" i="6980"/>
  <c r="P7" i="6980"/>
  <c r="B7" i="6980"/>
  <c r="P6" i="6980"/>
  <c r="P5" i="6980"/>
  <c r="B5" i="6980"/>
  <c r="P4" i="6980"/>
  <c r="P3" i="6980"/>
  <c r="P2" i="6980"/>
  <c r="B14" i="6984" l="1"/>
  <c r="H9" i="6984"/>
  <c r="C19" i="6984"/>
  <c r="H10" i="6984"/>
  <c r="H26" i="6984"/>
  <c r="H27" i="6984"/>
  <c r="H3" i="6984"/>
  <c r="H13" i="6984"/>
  <c r="B14" i="6980"/>
  <c r="B14" i="6982"/>
  <c r="C19" i="6982"/>
  <c r="C25" i="6984"/>
  <c r="H45" i="6984"/>
  <c r="H32" i="6984"/>
  <c r="C45" i="6984"/>
  <c r="H29" i="6984"/>
  <c r="H24" i="6984"/>
  <c r="H11" i="6984"/>
  <c r="H36" i="6984"/>
  <c r="H19" i="6984"/>
  <c r="H7" i="6984"/>
  <c r="H21" i="6984"/>
  <c r="C22" i="6984"/>
  <c r="H2" i="6984"/>
  <c r="H20" i="6984"/>
  <c r="H4" i="6984"/>
  <c r="H30" i="6984"/>
  <c r="C41" i="6984"/>
  <c r="C19" i="6986"/>
  <c r="C20" i="6986"/>
  <c r="H2" i="6986"/>
  <c r="H30" i="6986"/>
  <c r="H9" i="6986"/>
  <c r="H34" i="6986"/>
  <c r="C38" i="6986"/>
  <c r="C42" i="6986"/>
  <c r="C46" i="6986"/>
  <c r="H51" i="6986"/>
  <c r="H3" i="6986"/>
  <c r="H11" i="6986"/>
  <c r="H24" i="6986"/>
  <c r="H16" i="6986"/>
  <c r="C24" i="6986"/>
  <c r="B28" i="6986"/>
  <c r="H35" i="6986"/>
  <c r="H40" i="6986"/>
  <c r="H44" i="6986"/>
  <c r="H47" i="6986"/>
  <c r="H5" i="6986"/>
  <c r="H28" i="6986"/>
  <c r="H17" i="6986"/>
  <c r="H32" i="6986"/>
  <c r="H36" i="6986"/>
  <c r="C39" i="6986"/>
  <c r="C43" i="6986"/>
  <c r="C47" i="6986"/>
  <c r="H52" i="6986"/>
  <c r="H22" i="6986"/>
  <c r="H25" i="6986"/>
  <c r="C25" i="6986"/>
  <c r="H41" i="6986"/>
  <c r="H45" i="6986"/>
  <c r="H48" i="6986"/>
  <c r="H7" i="6986"/>
  <c r="H8" i="6986"/>
  <c r="H27" i="6986"/>
  <c r="H12" i="6986"/>
  <c r="H31" i="6986"/>
  <c r="H18" i="6986"/>
  <c r="H37" i="6986"/>
  <c r="C40" i="6986"/>
  <c r="C44" i="6986"/>
  <c r="C48" i="6986"/>
  <c r="H4" i="6986"/>
  <c r="H26" i="6986"/>
  <c r="C22" i="6986"/>
  <c r="C26" i="6986"/>
  <c r="H38" i="6986"/>
  <c r="H42" i="6986"/>
  <c r="H21" i="6986"/>
  <c r="H49" i="6986"/>
  <c r="H6" i="6986"/>
  <c r="H13" i="6986"/>
  <c r="H23" i="6986"/>
  <c r="H29" i="6986"/>
  <c r="H19" i="6986"/>
  <c r="H33" i="6986"/>
  <c r="C37" i="6986"/>
  <c r="C41" i="6986"/>
  <c r="C45" i="6986"/>
  <c r="C49" i="6986"/>
  <c r="H10" i="6986"/>
  <c r="H15" i="6986"/>
  <c r="H14" i="6986"/>
  <c r="C23" i="6986"/>
  <c r="B27" i="6986"/>
  <c r="H20" i="6986"/>
  <c r="H39" i="6986"/>
  <c r="H43" i="6986"/>
  <c r="H46" i="6986"/>
  <c r="C47" i="6984"/>
  <c r="C26" i="6984"/>
  <c r="C37" i="6984"/>
  <c r="H49" i="6984"/>
  <c r="H6" i="6984"/>
  <c r="H12" i="6984"/>
  <c r="H25" i="6984"/>
  <c r="C20" i="6984"/>
  <c r="H23" i="6984"/>
  <c r="C39" i="6984"/>
  <c r="C49" i="6984"/>
  <c r="H41" i="6984"/>
  <c r="H52" i="6984"/>
  <c r="H28" i="6984"/>
  <c r="H14" i="6984"/>
  <c r="H31" i="6984"/>
  <c r="H18" i="6984"/>
  <c r="H37" i="6984"/>
  <c r="C40" i="6984"/>
  <c r="C44" i="6984"/>
  <c r="C48" i="6984"/>
  <c r="H38" i="6984"/>
  <c r="H42" i="6984"/>
  <c r="H46" i="6984"/>
  <c r="H50" i="6984"/>
  <c r="H17" i="6984"/>
  <c r="H15" i="6984"/>
  <c r="C23" i="6984"/>
  <c r="B27" i="6984"/>
  <c r="H33" i="6984"/>
  <c r="H39" i="6984"/>
  <c r="H43" i="6984"/>
  <c r="H47" i="6984"/>
  <c r="H51" i="6984"/>
  <c r="H22" i="6984"/>
  <c r="H8" i="6984"/>
  <c r="H34" i="6984"/>
  <c r="C38" i="6984"/>
  <c r="C42" i="6984"/>
  <c r="C46" i="6984"/>
  <c r="H16" i="6984"/>
  <c r="C24" i="6984"/>
  <c r="B28" i="6984"/>
  <c r="H35" i="6984"/>
  <c r="H40" i="6984"/>
  <c r="H44" i="6984"/>
  <c r="H48" i="6984"/>
  <c r="C19" i="6980"/>
  <c r="C20" i="6982"/>
  <c r="H3" i="6982"/>
  <c r="H22" i="6982"/>
  <c r="H34" i="6982"/>
  <c r="C42" i="6982"/>
  <c r="H15" i="6982"/>
  <c r="H2" i="6982"/>
  <c r="H8" i="6982"/>
  <c r="H21" i="6982"/>
  <c r="H18" i="6982"/>
  <c r="C24" i="6982"/>
  <c r="B28" i="6982"/>
  <c r="H35" i="6982"/>
  <c r="H40" i="6982"/>
  <c r="H44" i="6982"/>
  <c r="H48" i="6982"/>
  <c r="H5" i="6982"/>
  <c r="H31" i="6982"/>
  <c r="H12" i="6982"/>
  <c r="H26" i="6982"/>
  <c r="H36" i="6982"/>
  <c r="C39" i="6982"/>
  <c r="C43" i="6982"/>
  <c r="C47" i="6982"/>
  <c r="H52" i="6982"/>
  <c r="H20" i="6982"/>
  <c r="H29" i="6982"/>
  <c r="C25" i="6982"/>
  <c r="H41" i="6982"/>
  <c r="H45" i="6982"/>
  <c r="H49" i="6982"/>
  <c r="H10" i="6982"/>
  <c r="C38" i="6982"/>
  <c r="C46" i="6982"/>
  <c r="H7" i="6982"/>
  <c r="H9" i="6982"/>
  <c r="H23" i="6982"/>
  <c r="H13" i="6982"/>
  <c r="H32" i="6982"/>
  <c r="H17" i="6982"/>
  <c r="H37" i="6982"/>
  <c r="C40" i="6982"/>
  <c r="C44" i="6982"/>
  <c r="C48" i="6982"/>
  <c r="H4" i="6982"/>
  <c r="H30" i="6982"/>
  <c r="C22" i="6982"/>
  <c r="C26" i="6982"/>
  <c r="H38" i="6982"/>
  <c r="H42" i="6982"/>
  <c r="H46" i="6982"/>
  <c r="H50" i="6982"/>
  <c r="H6" i="6982"/>
  <c r="H14" i="6982"/>
  <c r="H28" i="6982"/>
  <c r="H24" i="6982"/>
  <c r="H25" i="6982"/>
  <c r="H27" i="6982"/>
  <c r="C37" i="6982"/>
  <c r="C41" i="6982"/>
  <c r="C45" i="6982"/>
  <c r="C49" i="6982"/>
  <c r="H11" i="6982"/>
  <c r="H16" i="6982"/>
  <c r="H19" i="6982"/>
  <c r="C23" i="6982"/>
  <c r="B27" i="6982"/>
  <c r="H33" i="6982"/>
  <c r="H39" i="6982"/>
  <c r="H43" i="6982"/>
  <c r="H47" i="6982"/>
  <c r="H4" i="6980"/>
  <c r="H20" i="6980"/>
  <c r="C37" i="6980"/>
  <c r="C22" i="6980"/>
  <c r="C24" i="6980"/>
  <c r="H42" i="6980"/>
  <c r="H28" i="6980"/>
  <c r="C39" i="6980"/>
  <c r="C45" i="6980"/>
  <c r="H33" i="6980"/>
  <c r="H8" i="6980"/>
  <c r="H2" i="6980"/>
  <c r="H10" i="6980"/>
  <c r="H46" i="6980"/>
  <c r="H7" i="6980"/>
  <c r="H13" i="6980"/>
  <c r="H21" i="6980"/>
  <c r="H29" i="6980"/>
  <c r="H48" i="6980"/>
  <c r="H25" i="6980"/>
  <c r="H43" i="6980"/>
  <c r="C47" i="6980"/>
  <c r="H49" i="6980"/>
  <c r="H22" i="6980"/>
  <c r="C25" i="6980"/>
  <c r="H30" i="6980"/>
  <c r="H6" i="6980"/>
  <c r="H12" i="6980"/>
  <c r="H32" i="6980"/>
  <c r="C26" i="6980"/>
  <c r="C41" i="6980"/>
  <c r="C49" i="6980"/>
  <c r="C20" i="6980"/>
  <c r="H38" i="6980"/>
  <c r="H11" i="6980"/>
  <c r="H34" i="6980"/>
  <c r="H45" i="6980"/>
  <c r="H5" i="6980"/>
  <c r="H37" i="6980"/>
  <c r="H24" i="6980"/>
  <c r="H3" i="6980"/>
  <c r="H19" i="6980"/>
  <c r="B28" i="6980"/>
  <c r="H40" i="6980"/>
  <c r="C43" i="6980"/>
  <c r="H52" i="6980"/>
  <c r="H27" i="6980"/>
  <c r="H14" i="6980"/>
  <c r="H35" i="6980"/>
  <c r="H17" i="6980"/>
  <c r="H39" i="6980"/>
  <c r="C40" i="6980"/>
  <c r="C44" i="6980"/>
  <c r="C48" i="6980"/>
  <c r="H31" i="6980"/>
  <c r="H50" i="6980"/>
  <c r="H16" i="6980"/>
  <c r="H15" i="6980"/>
  <c r="C23" i="6980"/>
  <c r="B27" i="6980"/>
  <c r="H26" i="6980"/>
  <c r="H41" i="6980"/>
  <c r="H44" i="6980"/>
  <c r="H47" i="6980"/>
  <c r="H51" i="6980"/>
  <c r="H23" i="6980"/>
  <c r="H9" i="6980"/>
  <c r="H36" i="6980"/>
  <c r="C38" i="6980"/>
  <c r="C42" i="6980"/>
  <c r="C46" i="6980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<sst xmlns="http://schemas.openxmlformats.org/spreadsheetml/2006/main" count="3511" uniqueCount="267">
  <si>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</si>
  <si>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</si>
  <si>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</si>
  <si>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</si>
  <si>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</si>
  <si>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</si>
  <si>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</si>
  <si>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</si>
  <si>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</si>
  <si>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</si>
  <si>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</si>
  <si>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</si>
  <si>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</si>
  <si>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</si>
  <si>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</si>
  <si>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</si>
  <si>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</si>
  <si>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</si>
  <si>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</si>
  <si>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</si>
  <si>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</si>
  <si>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</si>
  <si>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</si>
  <si>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</si>
  <si>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</si>
  <si>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</si>
  <si>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</si>
  <si>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</si>
  <si>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</si>
  <si>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</si>
  <si>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</si>
  <si>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</si>
  <si>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</si>
  <si>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</si>
  <si>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</si>
  <si>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</si>
  <si>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</si>
  <si>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</si>
  <si>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</si>
  <si>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</si>
  <si>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</si>
  <si>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</si>
  <si>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</si>
  <si>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</si>
  <si>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</si>
  <si>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</si>
  <si>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</si>
  <si>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</si>
  <si>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</si>
  <si>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</si>
  <si>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</si>
  <si>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</si>
  <si>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</si>
  <si>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</si>
  <si>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</si>
  <si>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</si>
  <si>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</si>
  <si>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</si>
  <si>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</si>
  <si>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</si>
  <si>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</si>
  <si>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</si>
  <si>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</si>
  <si>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</si>
  <si>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</si>
  <si>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</si>
  <si>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</si>
  <si>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</si>
  <si>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</si>
  <si>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</si>
  <si>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</si>
  <si>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</si>
  <si>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</si>
  <si>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</si>
  <si>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</si>
  <si>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</si>
  <si>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</si>
  <si>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</si>
  <si>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</si>
  <si>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</si>
  <si>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</si>
  <si>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</si>
  <si>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</si>
  <si>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</si>
  <si>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</si>
  <si>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</si>
  <si>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</si>
  <si>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</si>
  <si>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</si>
  <si>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</si>
  <si>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</si>
  <si>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</si>
  <si>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</si>
  <si>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</si>
  <si>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</si>
  <si>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</si>
  <si>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</si>
  <si>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</si>
  <si>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</si>
  <si>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</si>
  <si>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</si>
  <si>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</si>
  <si>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</si>
  <si>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</si>
  <si>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</si>
  <si>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</si>
  <si>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</si>
  <si>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</si>
  <si>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</si>
  <si>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</si>
  <si>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</si>
  <si>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</si>
  <si>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</si>
  <si>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</si>
  <si>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</si>
  <si>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</si>
  <si>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</si>
  <si>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</si>
  <si>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</si>
  <si>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</si>
  <si>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</si>
  <si>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</si>
  <si>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</si>
  <si>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</si>
  <si>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</si>
  <si>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</si>
  <si>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</si>
  <si>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</si>
  <si>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</si>
  <si>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</si>
  <si>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</si>
  <si>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</si>
  <si>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</si>
  <si>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</si>
  <si>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</si>
  <si>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</si>
  <si>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</si>
  <si>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</si>
  <si>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</si>
  <si>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</si>
  <si>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</si>
  <si>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</si>
  <si>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</si>
  <si>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</si>
  <si>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</si>
  <si>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</si>
  <si>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</si>
  <si>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</si>
  <si>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</si>
  <si>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</si>
  <si>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</si>
  <si>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</si>
  <si>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</si>
  <si>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</si>
  <si>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</si>
  <si>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</si>
  <si>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</si>
  <si>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</si>
  <si>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</si>
  <si>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</si>
  <si>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</si>
  <si>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</si>
  <si>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</si>
  <si>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</si>
  <si>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</si>
  <si>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</si>
  <si>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</si>
  <si>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</si>
  <si>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</si>
  <si>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</si>
  <si>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</si>
  <si>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</si>
  <si>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</si>
  <si>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</si>
  <si>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</si>
  <si>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</si>
  <si>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</si>
  <si>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</si>
  <si>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</si>
  <si>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</si>
  <si>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</si>
  <si>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</si>
  <si>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</si>
  <si>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</si>
  <si>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</si>
  <si>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</si>
  <si>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</si>
  <si>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</si>
  <si>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</si>
  <si>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</si>
  <si>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</si>
  <si>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</si>
  <si>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</si>
  <si>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</si>
  <si>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</si>
  <si>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</si>
  <si>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</si>
  <si>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</si>
  <si>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</si>
  <si>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</si>
  <si>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</si>
  <si>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</si>
  <si>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</si>
  <si>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</si>
  <si>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</si>
  <si>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</si>
  <si>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</si>
  <si>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</si>
  <si>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</si>
  <si>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</si>
  <si>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</si>
  <si>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</si>
  <si>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</si>
  <si>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</si>
  <si>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</si>
  <si>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</si>
  <si>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</si>
  <si>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</si>
  <si>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</si>
  <si>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</si>
  <si>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</si>
  <si>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</si>
  <si>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</si>
  <si>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</si>
  <si>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</si>
  <si>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</si>
  <si>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</si>
  <si>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</si>
  <si>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</si>
  <si>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</si>
  <si>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</si>
  <si>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</si>
  <si>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</si>
  <si>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</si>
  <si>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</si>
  <si>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</si>
  <si>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</si>
  <si>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</si>
  <si>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</si>
  <si>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</si>
  <si>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</si>
  <si>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</si>
  <si>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</si>
  <si>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</si>
  <si>
    <t>Sheet7</t>
  </si>
  <si>
    <t>Sheet6</t>
  </si>
  <si>
    <t>2020-11-15@0.xlsm</t>
  </si>
  <si>
    <t>2020-11-17@0.xlsm</t>
  </si>
  <si>
    <t>2020-11-18@0.xlsm</t>
  </si>
  <si>
    <t>2020-11-19@0.xlsm</t>
  </si>
  <si>
    <t>2020-11-20@0.xlsm</t>
  </si>
  <si>
    <t>2020-11-21@0.xlsm</t>
  </si>
  <si>
    <t>2020-11-22@0.xlsm</t>
  </si>
  <si>
    <t>2020-11-23@0.xlsm</t>
  </si>
  <si>
    <t>2020-11-24@0.xlsm</t>
  </si>
  <si>
    <t>2020-11-26@0.xlsm</t>
  </si>
  <si>
    <t>2020-11-27@0.xlsm</t>
  </si>
  <si>
    <t>2020-11-29@0.xlsm</t>
  </si>
  <si>
    <t>2020-11-30@0.xlsm</t>
  </si>
  <si>
    <t>やなぎ</t>
  </si>
  <si>
    <t>2020-12-01@0.xlsm</t>
  </si>
  <si>
    <t>2020-12-03@0.xlsm</t>
  </si>
  <si>
    <t>2020-12-08@0.xlsm</t>
  </si>
  <si>
    <t>いっしー</t>
    <phoneticPr fontId="1"/>
  </si>
  <si>
    <t>2020-12-09@0.xlsm</t>
  </si>
  <si>
    <t>2020-12-10@0.xlsm</t>
  </si>
  <si>
    <t>2020-12-11@0.xlsm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</si>
</sst>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全体!$K$2:$K$401</c:f>
              <c:numCache>
                <c:formatCode>General</c:formatCode>
                <c:ptCount val="4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</c:numCache>
            </c:numRef>
          </c:xVal>
          <c:yVal>
            <c:numRef>
              <c:f>全体!$L$2:$L$401</c:f>
              <c:numCache>
                <c:formatCode>\+0.0;\-0.0;\±0</c:formatCode>
                <c:ptCount val="400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  <c:pt idx="241">
                  <c:v>-25.999999999999964</c:v>
                </c:pt>
                <c:pt idx="242">
                  <c:v>-4.4999999999999645</c:v>
                </c:pt>
                <c:pt idx="243">
                  <c:v>3.5527136788005009E-14</c:v>
                </c:pt>
                <c:pt idx="244">
                  <c:v>-40.699999999999967</c:v>
                </c:pt>
                <c:pt idx="245">
                  <c:v>-4.1999999999999673</c:v>
                </c:pt>
                <c:pt idx="246">
                  <c:v>3.2862601528904634E-14</c:v>
                </c:pt>
                <c:pt idx="247">
                  <c:v>4.700000000000033</c:v>
                </c:pt>
                <c:pt idx="248">
                  <c:v>44.60000000000003</c:v>
                </c:pt>
                <c:pt idx="249">
                  <c:v>2.8421709430404007E-14</c:v>
                </c:pt>
                <c:pt idx="250">
                  <c:v>15.400000000000029</c:v>
                </c:pt>
                <c:pt idx="251">
                  <c:v>17.800000000000029</c:v>
                </c:pt>
                <c:pt idx="252">
                  <c:v>2.8421709430404007E-14</c:v>
                </c:pt>
                <c:pt idx="253">
                  <c:v>5.1000000000000281</c:v>
                </c:pt>
                <c:pt idx="254">
                  <c:v>22.900000000000027</c:v>
                </c:pt>
                <c:pt idx="255">
                  <c:v>2.8421709430404007E-14</c:v>
                </c:pt>
                <c:pt idx="256">
                  <c:v>-11.499999999999972</c:v>
                </c:pt>
                <c:pt idx="257">
                  <c:v>-0.49999999999997158</c:v>
                </c:pt>
                <c:pt idx="258">
                  <c:v>2.8421709430404007E-14</c:v>
                </c:pt>
                <c:pt idx="259">
                  <c:v>-5.0999999999999712</c:v>
                </c:pt>
                <c:pt idx="260">
                  <c:v>45.300000000000026</c:v>
                </c:pt>
                <c:pt idx="261">
                  <c:v>2.8421709430404007E-14</c:v>
                </c:pt>
                <c:pt idx="262">
                  <c:v>-6.8999999999999719</c:v>
                </c:pt>
                <c:pt idx="263">
                  <c:v>18.800000000000026</c:v>
                </c:pt>
                <c:pt idx="264">
                  <c:v>2.4868995751603507E-14</c:v>
                </c:pt>
                <c:pt idx="265">
                  <c:v>-19.299999999999976</c:v>
                </c:pt>
                <c:pt idx="266">
                  <c:v>-17.699999999999974</c:v>
                </c:pt>
                <c:pt idx="267">
                  <c:v>2.4868995751603507E-14</c:v>
                </c:pt>
                <c:pt idx="268">
                  <c:v>0.70000000000002482</c:v>
                </c:pt>
                <c:pt idx="269">
                  <c:v>-36.299999999999976</c:v>
                </c:pt>
                <c:pt idx="270">
                  <c:v>2.1316282072803006E-14</c:v>
                </c:pt>
                <c:pt idx="271">
                  <c:v>12.500000000000021</c:v>
                </c:pt>
                <c:pt idx="272">
                  <c:v>-24.499999999999979</c:v>
                </c:pt>
                <c:pt idx="273">
                  <c:v>2.1316282072803006E-14</c:v>
                </c:pt>
                <c:pt idx="274">
                  <c:v>8.7000000000000206</c:v>
                </c:pt>
                <c:pt idx="275">
                  <c:v>-21.999999999999979</c:v>
                </c:pt>
                <c:pt idx="276">
                  <c:v>2.1316282072803006E-14</c:v>
                </c:pt>
                <c:pt idx="277">
                  <c:v>40.500000000000021</c:v>
                </c:pt>
                <c:pt idx="278">
                  <c:v>-12.299999999999976</c:v>
                </c:pt>
                <c:pt idx="279">
                  <c:v>2.4868995751603507E-14</c:v>
                </c:pt>
                <c:pt idx="280">
                  <c:v>63.000000000000028</c:v>
                </c:pt>
                <c:pt idx="281">
                  <c:v>53.200000000000031</c:v>
                </c:pt>
                <c:pt idx="282">
                  <c:v>2.8421709430404007E-14</c:v>
                </c:pt>
                <c:pt idx="283">
                  <c:v>50.900000000000027</c:v>
                </c:pt>
                <c:pt idx="284">
                  <c:v>30.800000000000026</c:v>
                </c:pt>
                <c:pt idx="285">
                  <c:v>2.4868995751603507E-14</c:v>
                </c:pt>
                <c:pt idx="286">
                  <c:v>14.900000000000025</c:v>
                </c:pt>
                <c:pt idx="287">
                  <c:v>16.700000000000024</c:v>
                </c:pt>
                <c:pt idx="288">
                  <c:v>2.4868995751603507E-14</c:v>
                </c:pt>
                <c:pt idx="289">
                  <c:v>-5.4999999999999751</c:v>
                </c:pt>
                <c:pt idx="290">
                  <c:v>-64.899999999999977</c:v>
                </c:pt>
                <c:pt idx="291">
                  <c:v>2.8421709430404007E-14</c:v>
                </c:pt>
                <c:pt idx="292">
                  <c:v>-4.7999999999999714</c:v>
                </c:pt>
                <c:pt idx="293">
                  <c:v>24.200000000000028</c:v>
                </c:pt>
                <c:pt idx="294">
                  <c:v>2.8421709430404007E-14</c:v>
                </c:pt>
                <c:pt idx="295">
                  <c:v>-23.599999999999973</c:v>
                </c:pt>
                <c:pt idx="296">
                  <c:v>9.0000000000000284</c:v>
                </c:pt>
                <c:pt idx="297">
                  <c:v>2.8421709430404007E-14</c:v>
                </c:pt>
                <c:pt idx="298">
                  <c:v>-52.89999999999997</c:v>
                </c:pt>
                <c:pt idx="299">
                  <c:v>2.7000000000000313</c:v>
                </c:pt>
                <c:pt idx="300">
                  <c:v>3.1086244689504383E-14</c:v>
                </c:pt>
                <c:pt idx="301">
                  <c:v>51.500000000000028</c:v>
                </c:pt>
                <c:pt idx="302">
                  <c:v>-0.49999999999997158</c:v>
                </c:pt>
                <c:pt idx="303">
                  <c:v>2.8421709430404007E-14</c:v>
                </c:pt>
                <c:pt idx="304">
                  <c:v>-57.599999999999973</c:v>
                </c:pt>
                <c:pt idx="305">
                  <c:v>-61.699999999999974</c:v>
                </c:pt>
                <c:pt idx="306">
                  <c:v>2.8421709430404007E-14</c:v>
                </c:pt>
                <c:pt idx="307">
                  <c:v>-28.099999999999973</c:v>
                </c:pt>
                <c:pt idx="308">
                  <c:v>-5.2999999999999723</c:v>
                </c:pt>
                <c:pt idx="309">
                  <c:v>2.7533531010703882E-14</c:v>
                </c:pt>
                <c:pt idx="310">
                  <c:v>-54.39999999999997</c:v>
                </c:pt>
                <c:pt idx="311">
                  <c:v>-7.2999999999999687</c:v>
                </c:pt>
                <c:pt idx="312">
                  <c:v>3.1086244689504383E-14</c:v>
                </c:pt>
                <c:pt idx="313">
                  <c:v>0.30000000000003108</c:v>
                </c:pt>
                <c:pt idx="314">
                  <c:v>-12.199999999999969</c:v>
                </c:pt>
                <c:pt idx="315">
                  <c:v>3.0198066269804258E-14</c:v>
                </c:pt>
                <c:pt idx="316">
                  <c:v>57.500000000000028</c:v>
                </c:pt>
                <c:pt idx="317">
                  <c:v>50.000000000000028</c:v>
                </c:pt>
                <c:pt idx="318">
                  <c:v>2.8421709430404007E-14</c:v>
                </c:pt>
                <c:pt idx="319">
                  <c:v>39.900000000000027</c:v>
                </c:pt>
                <c:pt idx="320">
                  <c:v>11.100000000000026</c:v>
                </c:pt>
                <c:pt idx="321">
                  <c:v>2.6645352591003757E-14</c:v>
                </c:pt>
                <c:pt idx="322">
                  <c:v>39.200000000000031</c:v>
                </c:pt>
                <c:pt idx="323">
                  <c:v>33.800000000000033</c:v>
                </c:pt>
                <c:pt idx="324">
                  <c:v>3.5527136788005009E-14</c:v>
                </c:pt>
                <c:pt idx="325">
                  <c:v>19.600000000000037</c:v>
                </c:pt>
                <c:pt idx="326">
                  <c:v>2.4000000000000377</c:v>
                </c:pt>
                <c:pt idx="327">
                  <c:v>3.7747582837255322E-14</c:v>
                </c:pt>
                <c:pt idx="328">
                  <c:v>3.2000000000000379</c:v>
                </c:pt>
                <c:pt idx="329">
                  <c:v>18.700000000000038</c:v>
                </c:pt>
                <c:pt idx="330">
                  <c:v>3.907985046680551E-14</c:v>
                </c:pt>
                <c:pt idx="331">
                  <c:v>-6.1999999999999611</c:v>
                </c:pt>
                <c:pt idx="332">
                  <c:v>-46.19999999999996</c:v>
                </c:pt>
                <c:pt idx="333">
                  <c:v>4.2632564145606011E-14</c:v>
                </c:pt>
                <c:pt idx="334">
                  <c:v>46.600000000000044</c:v>
                </c:pt>
                <c:pt idx="335">
                  <c:v>50.300000000000047</c:v>
                </c:pt>
                <c:pt idx="336">
                  <c:v>4.9737991503207013E-14</c:v>
                </c:pt>
                <c:pt idx="337">
                  <c:v>-22.099999999999952</c:v>
                </c:pt>
                <c:pt idx="338">
                  <c:v>-21.49999999999995</c:v>
                </c:pt>
                <c:pt idx="339">
                  <c:v>4.9737991503207013E-14</c:v>
                </c:pt>
                <c:pt idx="340">
                  <c:v>32.200000000000053</c:v>
                </c:pt>
                <c:pt idx="341">
                  <c:v>27.100000000000051</c:v>
                </c:pt>
                <c:pt idx="342">
                  <c:v>4.9737991503207013E-14</c:v>
                </c:pt>
                <c:pt idx="343">
                  <c:v>-24.49999999999995</c:v>
                </c:pt>
                <c:pt idx="344">
                  <c:v>-27.49999999999995</c:v>
                </c:pt>
                <c:pt idx="345">
                  <c:v>4.9737991503207013E-14</c:v>
                </c:pt>
                <c:pt idx="346">
                  <c:v>27.900000000000048</c:v>
                </c:pt>
                <c:pt idx="347">
                  <c:v>32.300000000000047</c:v>
                </c:pt>
                <c:pt idx="348">
                  <c:v>4.9737991503207013E-14</c:v>
                </c:pt>
                <c:pt idx="349">
                  <c:v>37.300000000000047</c:v>
                </c:pt>
                <c:pt idx="350">
                  <c:v>45.500000000000043</c:v>
                </c:pt>
                <c:pt idx="351">
                  <c:v>4.2632564145606011E-14</c:v>
                </c:pt>
                <c:pt idx="352">
                  <c:v>2.0000000000000426</c:v>
                </c:pt>
                <c:pt idx="353">
                  <c:v>-19.499999999999957</c:v>
                </c:pt>
                <c:pt idx="354">
                  <c:v>4.2632564145606011E-14</c:v>
                </c:pt>
                <c:pt idx="355">
                  <c:v>-26.399999999999956</c:v>
                </c:pt>
                <c:pt idx="356">
                  <c:v>-34.299999999999955</c:v>
                </c:pt>
                <c:pt idx="357">
                  <c:v>4.2632564145606011E-14</c:v>
                </c:pt>
                <c:pt idx="358">
                  <c:v>6.8000000000000425</c:v>
                </c:pt>
                <c:pt idx="359">
                  <c:v>-38.899999999999963</c:v>
                </c:pt>
                <c:pt idx="360">
                  <c:v>3.5527136788005009E-14</c:v>
                </c:pt>
                <c:pt idx="361">
                  <c:v>16.000000000000036</c:v>
                </c:pt>
                <c:pt idx="362">
                  <c:v>48.000000000000036</c:v>
                </c:pt>
                <c:pt idx="363">
                  <c:v>3.5527136788005009E-14</c:v>
                </c:pt>
                <c:pt idx="364">
                  <c:v>-34.899999999999963</c:v>
                </c:pt>
                <c:pt idx="365">
                  <c:v>-8.8999999999999631</c:v>
                </c:pt>
                <c:pt idx="366">
                  <c:v>3.730349362740526E-14</c:v>
                </c:pt>
                <c:pt idx="367">
                  <c:v>-33.899999999999963</c:v>
                </c:pt>
                <c:pt idx="368">
                  <c:v>-32.299999999999962</c:v>
                </c:pt>
                <c:pt idx="369">
                  <c:v>3.5527136788005009E-14</c:v>
                </c:pt>
                <c:pt idx="370">
                  <c:v>-0.49999999999996447</c:v>
                </c:pt>
                <c:pt idx="371">
                  <c:v>-23.899999999999963</c:v>
                </c:pt>
                <c:pt idx="372">
                  <c:v>3.5527136788005009E-14</c:v>
                </c:pt>
                <c:pt idx="373">
                  <c:v>0.30000000000003552</c:v>
                </c:pt>
                <c:pt idx="374">
                  <c:v>37.400000000000034</c:v>
                </c:pt>
                <c:pt idx="375">
                  <c:v>3.5527136788005009E-14</c:v>
                </c:pt>
                <c:pt idx="376">
                  <c:v>-48.999999999999964</c:v>
                </c:pt>
                <c:pt idx="377">
                  <c:v>-59.999999999999964</c:v>
                </c:pt>
                <c:pt idx="378">
                  <c:v>3.5527136788005009E-14</c:v>
                </c:pt>
                <c:pt idx="379">
                  <c:v>-4.4999999999999645</c:v>
                </c:pt>
                <c:pt idx="380">
                  <c:v>24.200000000000035</c:v>
                </c:pt>
                <c:pt idx="381">
                  <c:v>3.5527136788005009E-14</c:v>
                </c:pt>
                <c:pt idx="382">
                  <c:v>49.400000000000034</c:v>
                </c:pt>
                <c:pt idx="383">
                  <c:v>50.500000000000036</c:v>
                </c:pt>
                <c:pt idx="384">
                  <c:v>3.5527136788005009E-14</c:v>
                </c:pt>
                <c:pt idx="385">
                  <c:v>40.600000000000037</c:v>
                </c:pt>
                <c:pt idx="386">
                  <c:v>51.80000000000004</c:v>
                </c:pt>
                <c:pt idx="387">
                  <c:v>4.2632564145606011E-14</c:v>
                </c:pt>
                <c:pt idx="388">
                  <c:v>-12.199999999999957</c:v>
                </c:pt>
                <c:pt idx="389">
                  <c:v>22.500000000000046</c:v>
                </c:pt>
                <c:pt idx="390">
                  <c:v>4.6185277824406512E-14</c:v>
                </c:pt>
                <c:pt idx="391">
                  <c:v>14.500000000000046</c:v>
                </c:pt>
                <c:pt idx="392">
                  <c:v>13.700000000000045</c:v>
                </c:pt>
                <c:pt idx="393">
                  <c:v>4.6185277824406512E-14</c:v>
                </c:pt>
                <c:pt idx="394">
                  <c:v>-8.6999999999999531</c:v>
                </c:pt>
                <c:pt idx="395">
                  <c:v>-32.599999999999952</c:v>
                </c:pt>
                <c:pt idx="396">
                  <c:v>4.9737991503207013E-14</c:v>
                </c:pt>
                <c:pt idx="397">
                  <c:v>14.50000000000005</c:v>
                </c:pt>
                <c:pt idx="398">
                  <c:v>1.8000000000000504</c:v>
                </c:pt>
                <c:pt idx="399">
                  <c:v>5.0404125317982107E-14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88-4664-AA50-A3C9C679B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-37.593984962406012</c:v>
                </c:pt>
                <c:pt idx="1">
                  <c:v>17.948717948717949</c:v>
                </c:pt>
                <c:pt idx="2">
                  <c:v>0</c:v>
                </c:pt>
                <c:pt idx="3">
                  <c:v>-2.7100271002710028</c:v>
                </c:pt>
                <c:pt idx="4">
                  <c:v>11.799410029498524</c:v>
                </c:pt>
                <c:pt idx="5">
                  <c:v>17.006802721088434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8F-4691-A788-A3BC002C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75</c:v>
                </c:pt>
                <c:pt idx="1">
                  <c:v>187</c:v>
                </c:pt>
                <c:pt idx="2">
                  <c:v>201</c:v>
                </c:pt>
                <c:pt idx="3">
                  <c:v>197</c:v>
                </c:pt>
                <c:pt idx="4">
                  <c:v>140</c:v>
                </c:pt>
                <c:pt idx="5">
                  <c:v>92</c:v>
                </c:pt>
                <c:pt idx="6">
                  <c:v>42</c:v>
                </c:pt>
                <c:pt idx="7">
                  <c:v>32</c:v>
                </c:pt>
                <c:pt idx="8">
                  <c:v>17</c:v>
                </c:pt>
                <c:pt idx="9">
                  <c:v>11</c:v>
                </c:pt>
                <c:pt idx="10">
                  <c:v>2</c:v>
                </c:pt>
                <c:pt idx="11">
                  <c:v>1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E-4B8F-BD13-142ECC753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全体!$K$2:$K$401</c:f>
              <c:numCache>
                <c:formatCode>General</c:formatCode>
                <c:ptCount val="4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</c:numCache>
            </c:numRef>
          </c:xVal>
          <c:yVal>
            <c:numRef>
              <c:f>全体!$M$2:$M$401</c:f>
              <c:numCache>
                <c:formatCode>0</c:formatCode>
                <c:ptCount val="400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  <c:pt idx="241">
                  <c:v>1597.9223373565885</c:v>
                </c:pt>
                <c:pt idx="242">
                  <c:v>1602.032803332449</c:v>
                </c:pt>
                <c:pt idx="243">
                  <c:v>1603.0586065124544</c:v>
                </c:pt>
                <c:pt idx="244">
                  <c:v>1595.9422548733796</c:v>
                </c:pt>
                <c:pt idx="245">
                  <c:v>1602.7646013441392</c:v>
                </c:pt>
                <c:pt idx="246">
                  <c:v>1603.7320137360744</c:v>
                </c:pt>
                <c:pt idx="247">
                  <c:v>1604.783621653658</c:v>
                </c:pt>
                <c:pt idx="248">
                  <c:v>1612.1649199237361</c:v>
                </c:pt>
                <c:pt idx="249">
                  <c:v>1604.2919304041936</c:v>
                </c:pt>
                <c:pt idx="250">
                  <c:v>1607.1401788217686</c:v>
                </c:pt>
                <c:pt idx="251">
                  <c:v>1607.631337748838</c:v>
                </c:pt>
                <c:pt idx="252">
                  <c:v>1604.4835497223448</c:v>
                </c:pt>
                <c:pt idx="253">
                  <c:v>1605.4766484240108</c:v>
                </c:pt>
                <c:pt idx="254">
                  <c:v>1608.7497885334667</c:v>
                </c:pt>
                <c:pt idx="255">
                  <c:v>1604.6772898022659</c:v>
                </c:pt>
                <c:pt idx="256">
                  <c:v>1602.9392260634522</c:v>
                </c:pt>
                <c:pt idx="257">
                  <c:v>1605.2615907070715</c:v>
                </c:pt>
                <c:pt idx="258">
                  <c:v>1605.680021162829</c:v>
                </c:pt>
                <c:pt idx="259">
                  <c:v>1605.0879410358521</c:v>
                </c:pt>
                <c:pt idx="260">
                  <c:v>1614.4894133896369</c:v>
                </c:pt>
                <c:pt idx="261">
                  <c:v>1606.608476909299</c:v>
                </c:pt>
                <c:pt idx="262">
                  <c:v>1605.3508260478432</c:v>
                </c:pt>
                <c:pt idx="263">
                  <c:v>1609.9687210915561</c:v>
                </c:pt>
                <c:pt idx="264">
                  <c:v>1606.5489087650067</c:v>
                </c:pt>
                <c:pt idx="265">
                  <c:v>1602.9216153124166</c:v>
                </c:pt>
                <c:pt idx="266">
                  <c:v>1603.0780856205422</c:v>
                </c:pt>
                <c:pt idx="267">
                  <c:v>1606.131617106819</c:v>
                </c:pt>
                <c:pt idx="268">
                  <c:v>1606.3168274041782</c:v>
                </c:pt>
                <c:pt idx="269">
                  <c:v>1599.7149264397531</c:v>
                </c:pt>
                <c:pt idx="270">
                  <c:v>1606.3466368811146</c:v>
                </c:pt>
                <c:pt idx="271">
                  <c:v>1607.8505570598279</c:v>
                </c:pt>
                <c:pt idx="272">
                  <c:v>1600.435453717469</c:v>
                </c:pt>
                <c:pt idx="273">
                  <c:v>1604.1348409951643</c:v>
                </c:pt>
                <c:pt idx="274">
                  <c:v>1605.7720319491932</c:v>
                </c:pt>
                <c:pt idx="275">
                  <c:v>1600.3073997574979</c:v>
                </c:pt>
                <c:pt idx="276">
                  <c:v>1604.361555358953</c:v>
                </c:pt>
                <c:pt idx="277">
                  <c:v>1611.6553860267993</c:v>
                </c:pt>
                <c:pt idx="278">
                  <c:v>1602.1114537106384</c:v>
                </c:pt>
                <c:pt idx="279">
                  <c:v>1604.3427849883747</c:v>
                </c:pt>
                <c:pt idx="280">
                  <c:v>1615.8487282784445</c:v>
                </c:pt>
                <c:pt idx="281">
                  <c:v>1614.1816359087738</c:v>
                </c:pt>
                <c:pt idx="282">
                  <c:v>1604.7125460933212</c:v>
                </c:pt>
                <c:pt idx="283">
                  <c:v>1613.5162708167613</c:v>
                </c:pt>
                <c:pt idx="284">
                  <c:v>1609.4871731918608</c:v>
                </c:pt>
                <c:pt idx="285">
                  <c:v>1603.5562501527097</c:v>
                </c:pt>
                <c:pt idx="286">
                  <c:v>1606.0429126517934</c:v>
                </c:pt>
                <c:pt idx="287">
                  <c:v>1606.1566551758826</c:v>
                </c:pt>
                <c:pt idx="288">
                  <c:v>1602.9397152448273</c:v>
                </c:pt>
                <c:pt idx="289">
                  <c:v>1601.8600769533584</c:v>
                </c:pt>
                <c:pt idx="290">
                  <c:v>1591.0849164916383</c:v>
                </c:pt>
                <c:pt idx="291">
                  <c:v>1602.7484069926884</c:v>
                </c:pt>
                <c:pt idx="292">
                  <c:v>1601.0219165507322</c:v>
                </c:pt>
                <c:pt idx="293">
                  <c:v>1605.3897850514277</c:v>
                </c:pt>
                <c:pt idx="294">
                  <c:v>1600.1554463411192</c:v>
                </c:pt>
                <c:pt idx="295">
                  <c:v>1595.0605136630725</c:v>
                </c:pt>
                <c:pt idx="296">
                  <c:v>1600.1121505810941</c:v>
                </c:pt>
                <c:pt idx="297">
                  <c:v>1597.6454776776075</c:v>
                </c:pt>
                <c:pt idx="298">
                  <c:v>1588.2996048115417</c:v>
                </c:pt>
                <c:pt idx="299">
                  <c:v>1598.5398071826726</c:v>
                </c:pt>
                <c:pt idx="300">
                  <c:v>1598.2245683395765</c:v>
                </c:pt>
                <c:pt idx="301">
                  <c:v>1607.6732209295392</c:v>
                </c:pt>
                <c:pt idx="302">
                  <c:v>1598.4351816039618</c:v>
                </c:pt>
                <c:pt idx="303">
                  <c:v>1598.702570514338</c:v>
                </c:pt>
                <c:pt idx="304">
                  <c:v>1588.0603550912519</c:v>
                </c:pt>
                <c:pt idx="305">
                  <c:v>1587.1119929607044</c:v>
                </c:pt>
                <c:pt idx="306">
                  <c:v>1598.0133210029401</c:v>
                </c:pt>
                <c:pt idx="307">
                  <c:v>1592.5772410769225</c:v>
                </c:pt>
                <c:pt idx="308">
                  <c:v>1596.3357776304611</c:v>
                </c:pt>
                <c:pt idx="309">
                  <c:v>1596.9217629646782</c:v>
                </c:pt>
                <c:pt idx="310">
                  <c:v>1587.4782323868901</c:v>
                </c:pt>
                <c:pt idx="311">
                  <c:v>1596.3613629925687</c:v>
                </c:pt>
                <c:pt idx="312">
                  <c:v>1598.0271948146133</c:v>
                </c:pt>
                <c:pt idx="313">
                  <c:v>1598.4230316457256</c:v>
                </c:pt>
                <c:pt idx="314">
                  <c:v>1596.5124934558512</c:v>
                </c:pt>
                <c:pt idx="315">
                  <c:v>1599.059418495116</c:v>
                </c:pt>
                <c:pt idx="316">
                  <c:v>1609.6550619841453</c:v>
                </c:pt>
                <c:pt idx="317">
                  <c:v>1608.4871316122403</c:v>
                </c:pt>
                <c:pt idx="318">
                  <c:v>1599.6762088225669</c:v>
                </c:pt>
                <c:pt idx="319">
                  <c:v>1607.1001515696314</c:v>
                </c:pt>
                <c:pt idx="320">
                  <c:v>1602.1135506602136</c:v>
                </c:pt>
                <c:pt idx="321">
                  <c:v>1600.3428693562523</c:v>
                </c:pt>
                <c:pt idx="322">
                  <c:v>1607.6308121401148</c:v>
                </c:pt>
                <c:pt idx="323">
                  <c:v>1606.8470272672741</c:v>
                </c:pt>
                <c:pt idx="324">
                  <c:v>1600.9559451036705</c:v>
                </c:pt>
                <c:pt idx="325">
                  <c:v>1604.7122094330484</c:v>
                </c:pt>
                <c:pt idx="326">
                  <c:v>1601.8219361764502</c:v>
                </c:pt>
                <c:pt idx="327">
                  <c:v>1601.6130045593916</c:v>
                </c:pt>
                <c:pt idx="328">
                  <c:v>1602.4133265320352</c:v>
                </c:pt>
                <c:pt idx="329">
                  <c:v>1605.4228465728429</c:v>
                </c:pt>
                <c:pt idx="330">
                  <c:v>1602.2583094934059</c:v>
                </c:pt>
                <c:pt idx="331">
                  <c:v>1601.2487596364456</c:v>
                </c:pt>
                <c:pt idx="332">
                  <c:v>1594.1612670786269</c:v>
                </c:pt>
                <c:pt idx="333">
                  <c:v>1602.6322994761551</c:v>
                </c:pt>
                <c:pt idx="334">
                  <c:v>1611.1245056792982</c:v>
                </c:pt>
                <c:pt idx="335">
                  <c:v>1611.8437586452224</c:v>
                </c:pt>
                <c:pt idx="336">
                  <c:v>1602.838696093351</c:v>
                </c:pt>
                <c:pt idx="337">
                  <c:v>1598.249663916791</c:v>
                </c:pt>
                <c:pt idx="338">
                  <c:v>1597.7741659332903</c:v>
                </c:pt>
                <c:pt idx="339">
                  <c:v>1601.0635209376906</c:v>
                </c:pt>
                <c:pt idx="340">
                  <c:v>1606.2591398120644</c:v>
                </c:pt>
                <c:pt idx="341">
                  <c:v>1604.709584973192</c:v>
                </c:pt>
                <c:pt idx="342">
                  <c:v>1599.2093274633528</c:v>
                </c:pt>
                <c:pt idx="343">
                  <c:v>1595.0140714985728</c:v>
                </c:pt>
                <c:pt idx="344">
                  <c:v>1594.7139870695814</c:v>
                </c:pt>
                <c:pt idx="345">
                  <c:v>1599.9057031471639</c:v>
                </c:pt>
                <c:pt idx="346">
                  <c:v>1605.1322689282808</c:v>
                </c:pt>
                <c:pt idx="347">
                  <c:v>1606.0974753147111</c:v>
                </c:pt>
                <c:pt idx="348">
                  <c:v>1600.4508904628228</c:v>
                </c:pt>
                <c:pt idx="349">
                  <c:v>1607.3001851200459</c:v>
                </c:pt>
                <c:pt idx="350">
                  <c:v>1608.8703840093256</c:v>
                </c:pt>
                <c:pt idx="351">
                  <c:v>1600.7651617052695</c:v>
                </c:pt>
                <c:pt idx="352">
                  <c:v>1601.504570735038</c:v>
                </c:pt>
                <c:pt idx="353">
                  <c:v>1598.0095433106278</c:v>
                </c:pt>
                <c:pt idx="354">
                  <c:v>1601.915486050764</c:v>
                </c:pt>
                <c:pt idx="355">
                  <c:v>1597.5359931344594</c:v>
                </c:pt>
                <c:pt idx="356">
                  <c:v>1596.5127771756527</c:v>
                </c:pt>
                <c:pt idx="357">
                  <c:v>1603.0917005125987</c:v>
                </c:pt>
                <c:pt idx="358">
                  <c:v>1604.0991503095231</c:v>
                </c:pt>
                <c:pt idx="359">
                  <c:v>1595.6505554076659</c:v>
                </c:pt>
                <c:pt idx="360">
                  <c:v>1602.48065207522</c:v>
                </c:pt>
                <c:pt idx="361">
                  <c:v>1605.6157681627685</c:v>
                </c:pt>
                <c:pt idx="362">
                  <c:v>1611.612073553792</c:v>
                </c:pt>
                <c:pt idx="363">
                  <c:v>1603.1724011124693</c:v>
                </c:pt>
                <c:pt idx="364">
                  <c:v>1597.1413667057946</c:v>
                </c:pt>
                <c:pt idx="365">
                  <c:v>1602.1085185055597</c:v>
                </c:pt>
                <c:pt idx="366">
                  <c:v>1603.9678673945264</c:v>
                </c:pt>
                <c:pt idx="367">
                  <c:v>1598.1120601901591</c:v>
                </c:pt>
                <c:pt idx="368">
                  <c:v>1598.6813878290181</c:v>
                </c:pt>
                <c:pt idx="369">
                  <c:v>1604.773299502044</c:v>
                </c:pt>
                <c:pt idx="370">
                  <c:v>1604.9306597050318</c:v>
                </c:pt>
                <c:pt idx="371">
                  <c:v>1600.9650757468016</c:v>
                </c:pt>
                <c:pt idx="372">
                  <c:v>1605.5372852923208</c:v>
                </c:pt>
                <c:pt idx="373">
                  <c:v>1605.8340615805669</c:v>
                </c:pt>
                <c:pt idx="374">
                  <c:v>1612.7530572110834</c:v>
                </c:pt>
                <c:pt idx="375">
                  <c:v>1606.2205388678169</c:v>
                </c:pt>
                <c:pt idx="376">
                  <c:v>1597.63321563461</c:v>
                </c:pt>
                <c:pt idx="377">
                  <c:v>1595.9374163408024</c:v>
                </c:pt>
                <c:pt idx="378">
                  <c:v>1607.0317918427577</c:v>
                </c:pt>
                <c:pt idx="379">
                  <c:v>1606.3476010917011</c:v>
                </c:pt>
                <c:pt idx="380">
                  <c:v>1611.6435154851508</c:v>
                </c:pt>
                <c:pt idx="381">
                  <c:v>1607.38565439224</c:v>
                </c:pt>
                <c:pt idx="382">
                  <c:v>1616.4013404658865</c:v>
                </c:pt>
                <c:pt idx="383">
                  <c:v>1616.6689324230913</c:v>
                </c:pt>
                <c:pt idx="384">
                  <c:v>1607.6469188285528</c:v>
                </c:pt>
                <c:pt idx="385">
                  <c:v>1615.0770373155815</c:v>
                </c:pt>
                <c:pt idx="386">
                  <c:v>1617.1705750916881</c:v>
                </c:pt>
                <c:pt idx="387">
                  <c:v>1607.911551641138</c:v>
                </c:pt>
                <c:pt idx="388">
                  <c:v>1605.8360823312912</c:v>
                </c:pt>
                <c:pt idx="389">
                  <c:v>1612.2150658373034</c:v>
                </c:pt>
                <c:pt idx="390">
                  <c:v>1608.2597754422795</c:v>
                </c:pt>
                <c:pt idx="391">
                  <c:v>1610.9822167896259</c:v>
                </c:pt>
                <c:pt idx="392">
                  <c:v>1610.9343234888881</c:v>
                </c:pt>
                <c:pt idx="393">
                  <c:v>1608.5647175479548</c:v>
                </c:pt>
                <c:pt idx="394">
                  <c:v>1607.0313292426672</c:v>
                </c:pt>
                <c:pt idx="395">
                  <c:v>1602.7711412672113</c:v>
                </c:pt>
                <c:pt idx="396">
                  <c:v>1608.7065144196081</c:v>
                </c:pt>
                <c:pt idx="397">
                  <c:v>1611.3482753330904</c:v>
                </c:pt>
                <c:pt idx="398">
                  <c:v>1609.078185681092</c:v>
                </c:pt>
                <c:pt idx="399">
                  <c:v>1608.7837165670055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0B-497F-BEF8-A2EA8523E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だいち!$K$2:$K$111</c:f>
              <c:numCache>
                <c:formatCode>General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だいち!$L$2:$L$111</c:f>
              <c:numCache>
                <c:formatCode>\+0.0;\-0.0;\±0</c:formatCode>
                <c:ptCount val="110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  <c:pt idx="66">
                  <c:v>-97.500000000000043</c:v>
                </c:pt>
                <c:pt idx="67">
                  <c:v>-93.30000000000004</c:v>
                </c:pt>
                <c:pt idx="68">
                  <c:v>-53.400000000000041</c:v>
                </c:pt>
                <c:pt idx="69">
                  <c:v>-38.000000000000043</c:v>
                </c:pt>
                <c:pt idx="70">
                  <c:v>-20.200000000000042</c:v>
                </c:pt>
                <c:pt idx="71">
                  <c:v>-31.700000000000042</c:v>
                </c:pt>
                <c:pt idx="72">
                  <c:v>18.699999999999957</c:v>
                </c:pt>
                <c:pt idx="73">
                  <c:v>11.799999999999956</c:v>
                </c:pt>
                <c:pt idx="74">
                  <c:v>-7.5000000000000444</c:v>
                </c:pt>
                <c:pt idx="75">
                  <c:v>28.799999999999955</c:v>
                </c:pt>
                <c:pt idx="76">
                  <c:v>50.799999999999955</c:v>
                </c:pt>
                <c:pt idx="77">
                  <c:v>63.099999999999952</c:v>
                </c:pt>
                <c:pt idx="78">
                  <c:v>126.09999999999995</c:v>
                </c:pt>
                <c:pt idx="79">
                  <c:v>109.39999999999995</c:v>
                </c:pt>
                <c:pt idx="80">
                  <c:v>49.99999999999995</c:v>
                </c:pt>
                <c:pt idx="81">
                  <c:v>105.59999999999995</c:v>
                </c:pt>
                <c:pt idx="82">
                  <c:v>157.09999999999997</c:v>
                </c:pt>
                <c:pt idx="83">
                  <c:v>102.69999999999996</c:v>
                </c:pt>
                <c:pt idx="84">
                  <c:v>102.99999999999996</c:v>
                </c:pt>
                <c:pt idx="85">
                  <c:v>160.49999999999994</c:v>
                </c:pt>
                <c:pt idx="86">
                  <c:v>149.39999999999995</c:v>
                </c:pt>
                <c:pt idx="87">
                  <c:v>115.59999999999995</c:v>
                </c:pt>
                <c:pt idx="88">
                  <c:v>113.19999999999995</c:v>
                </c:pt>
                <c:pt idx="89">
                  <c:v>128.69999999999993</c:v>
                </c:pt>
                <c:pt idx="90">
                  <c:v>122.49999999999993</c:v>
                </c:pt>
                <c:pt idx="91">
                  <c:v>169.09999999999994</c:v>
                </c:pt>
                <c:pt idx="92">
                  <c:v>196.59999999999994</c:v>
                </c:pt>
                <c:pt idx="93">
                  <c:v>224.49999999999994</c:v>
                </c:pt>
                <c:pt idx="94">
                  <c:v>232.69999999999993</c:v>
                </c:pt>
                <c:pt idx="95">
                  <c:v>211.19999999999993</c:v>
                </c:pt>
                <c:pt idx="96">
                  <c:v>245.49999999999994</c:v>
                </c:pt>
                <c:pt idx="97">
                  <c:v>197.49999999999994</c:v>
                </c:pt>
                <c:pt idx="98">
                  <c:v>206.39999999999995</c:v>
                </c:pt>
                <c:pt idx="99">
                  <c:v>172.49999999999994</c:v>
                </c:pt>
                <c:pt idx="100">
                  <c:v>196.39999999999995</c:v>
                </c:pt>
                <c:pt idx="101">
                  <c:v>158.99999999999994</c:v>
                </c:pt>
                <c:pt idx="102">
                  <c:v>147.99999999999994</c:v>
                </c:pt>
                <c:pt idx="103">
                  <c:v>123.79999999999994</c:v>
                </c:pt>
                <c:pt idx="104">
                  <c:v>173.19999999999993</c:v>
                </c:pt>
                <c:pt idx="105">
                  <c:v>184.39999999999992</c:v>
                </c:pt>
                <c:pt idx="106">
                  <c:v>219.09999999999991</c:v>
                </c:pt>
                <c:pt idx="107">
                  <c:v>218.2999999999999</c:v>
                </c:pt>
                <c:pt idx="108">
                  <c:v>209.59999999999991</c:v>
                </c:pt>
                <c:pt idx="109">
                  <c:v>207.7999999999999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C-48EB-8FB6-67E5B152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843.11926605504584</c:v>
                </c:pt>
                <c:pt idx="1">
                  <c:v>-533.01886792452831</c:v>
                </c:pt>
                <c:pt idx="2">
                  <c:v>-944.33962264150944</c:v>
                </c:pt>
                <c:pt idx="3">
                  <c:v>1134.6534653465346</c:v>
                </c:pt>
                <c:pt idx="4">
                  <c:v>153.2608695652174</c:v>
                </c:pt>
                <c:pt idx="5">
                  <c:v>57.5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2A-4CBC-AAF1-11435A00C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17</c:v>
                </c:pt>
                <c:pt idx="1">
                  <c:v>57</c:v>
                </c:pt>
                <c:pt idx="2">
                  <c:v>59</c:v>
                </c:pt>
                <c:pt idx="3">
                  <c:v>55</c:v>
                </c:pt>
                <c:pt idx="4">
                  <c:v>43</c:v>
                </c:pt>
                <c:pt idx="5">
                  <c:v>36</c:v>
                </c:pt>
                <c:pt idx="6">
                  <c:v>10</c:v>
                </c:pt>
                <c:pt idx="7">
                  <c:v>6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6-4595-8D55-2CC444A7F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だいち!$K$2:$K$111</c:f>
              <c:numCache>
                <c:formatCode>General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だいち!$M$2:$M$111</c:f>
              <c:numCache>
                <c:formatCode>0</c:formatCode>
                <c:ptCount val="110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  <c:pt idx="66">
                  <c:v>1745.7738654407713</c:v>
                </c:pt>
                <c:pt idx="67">
                  <c:v>1745.8832222481267</c:v>
                </c:pt>
                <c:pt idx="68">
                  <c:v>1752.417922914638</c:v>
                </c:pt>
                <c:pt idx="69">
                  <c:v>1754.3774153771501</c:v>
                </c:pt>
                <c:pt idx="70">
                  <c:v>1756.7571508848871</c:v>
                </c:pt>
                <c:pt idx="71">
                  <c:v>1754.1066079795778</c:v>
                </c:pt>
                <c:pt idx="72">
                  <c:v>1762.6139683317003</c:v>
                </c:pt>
                <c:pt idx="73">
                  <c:v>1760.4202845217101</c:v>
                </c:pt>
                <c:pt idx="74">
                  <c:v>1755.8697628145799</c:v>
                </c:pt>
                <c:pt idx="75">
                  <c:v>1761.5645442376924</c:v>
                </c:pt>
                <c:pt idx="76">
                  <c:v>1764.6511569722663</c:v>
                </c:pt>
                <c:pt idx="77">
                  <c:v>1765.9072500304328</c:v>
                </c:pt>
                <c:pt idx="78">
                  <c:v>1776.4438065302502</c:v>
                </c:pt>
                <c:pt idx="79">
                  <c:v>1772.2051436910688</c:v>
                </c:pt>
                <c:pt idx="80">
                  <c:v>1760.4079128289225</c:v>
                </c:pt>
                <c:pt idx="81">
                  <c:v>1769.6154653519488</c:v>
                </c:pt>
                <c:pt idx="82">
                  <c:v>1778.0357725598371</c:v>
                </c:pt>
                <c:pt idx="83">
                  <c:v>1767.5055579244781</c:v>
                </c:pt>
                <c:pt idx="84">
                  <c:v>1766.8845245769312</c:v>
                </c:pt>
                <c:pt idx="85">
                  <c:v>1776.4732174294695</c:v>
                </c:pt>
                <c:pt idx="86">
                  <c:v>1773.6563781248926</c:v>
                </c:pt>
                <c:pt idx="87">
                  <c:v>1766.7644398561433</c:v>
                </c:pt>
                <c:pt idx="88">
                  <c:v>1765.5658532170064</c:v>
                </c:pt>
                <c:pt idx="89">
                  <c:v>1767.5964580977043</c:v>
                </c:pt>
                <c:pt idx="90">
                  <c:v>1765.5948793491179</c:v>
                </c:pt>
                <c:pt idx="91">
                  <c:v>1773.1093100730232</c:v>
                </c:pt>
                <c:pt idx="92">
                  <c:v>1777.230654212585</c:v>
                </c:pt>
                <c:pt idx="93">
                  <c:v>1781.3932702873094</c:v>
                </c:pt>
                <c:pt idx="94">
                  <c:v>1781.9189106655856</c:v>
                </c:pt>
                <c:pt idx="95">
                  <c:v>1777.3413972015921</c:v>
                </c:pt>
                <c:pt idx="96">
                  <c:v>1782.8353488183825</c:v>
                </c:pt>
                <c:pt idx="97">
                  <c:v>1773.3683367254721</c:v>
                </c:pt>
                <c:pt idx="98">
                  <c:v>1774.2001267051191</c:v>
                </c:pt>
                <c:pt idx="99">
                  <c:v>1767.3229259448885</c:v>
                </c:pt>
                <c:pt idx="100">
                  <c:v>1770.8969883892191</c:v>
                </c:pt>
                <c:pt idx="101">
                  <c:v>1763.4156064588838</c:v>
                </c:pt>
                <c:pt idx="102">
                  <c:v>1760.7251128201306</c:v>
                </c:pt>
                <c:pt idx="103">
                  <c:v>1755.5727621432097</c:v>
                </c:pt>
                <c:pt idx="104">
                  <c:v>1763.6993255703505</c:v>
                </c:pt>
                <c:pt idx="105">
                  <c:v>1764.9011296169285</c:v>
                </c:pt>
                <c:pt idx="106">
                  <c:v>1770.325722839227</c:v>
                </c:pt>
                <c:pt idx="107">
                  <c:v>1769.3217685021916</c:v>
                </c:pt>
                <c:pt idx="108">
                  <c:v>1766.8238378911785</c:v>
                </c:pt>
                <c:pt idx="109">
                  <c:v>1765.5828948638314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D-4657-BBDD-13BE9DA74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れんたろう!$K$2:$K$74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れんたろう!$L$2:$L$74</c:f>
              <c:numCache>
                <c:formatCode>\+0.0;\-0.0;\±0</c:formatCode>
                <c:ptCount val="73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  <c:pt idx="33">
                  <c:v>-37.200000000000024</c:v>
                </c:pt>
                <c:pt idx="34">
                  <c:v>-77.900000000000034</c:v>
                </c:pt>
                <c:pt idx="35">
                  <c:v>-73.200000000000031</c:v>
                </c:pt>
                <c:pt idx="36">
                  <c:v>-91.000000000000028</c:v>
                </c:pt>
                <c:pt idx="37">
                  <c:v>-85.900000000000034</c:v>
                </c:pt>
                <c:pt idx="38">
                  <c:v>-74.900000000000034</c:v>
                </c:pt>
                <c:pt idx="39">
                  <c:v>-120.20000000000003</c:v>
                </c:pt>
                <c:pt idx="40">
                  <c:v>-119.50000000000003</c:v>
                </c:pt>
                <c:pt idx="41">
                  <c:v>-150.20000000000002</c:v>
                </c:pt>
                <c:pt idx="42">
                  <c:v>-207.8</c:v>
                </c:pt>
                <c:pt idx="43">
                  <c:v>-202.5</c:v>
                </c:pt>
                <c:pt idx="44">
                  <c:v>-155.4</c:v>
                </c:pt>
                <c:pt idx="45">
                  <c:v>-143.20000000000002</c:v>
                </c:pt>
                <c:pt idx="46">
                  <c:v>-193.20000000000002</c:v>
                </c:pt>
                <c:pt idx="47">
                  <c:v>-153.30000000000001</c:v>
                </c:pt>
                <c:pt idx="48">
                  <c:v>-158.70000000000002</c:v>
                </c:pt>
                <c:pt idx="49">
                  <c:v>-139.10000000000002</c:v>
                </c:pt>
                <c:pt idx="50">
                  <c:v>-157.80000000000001</c:v>
                </c:pt>
                <c:pt idx="51">
                  <c:v>-111.60000000000001</c:v>
                </c:pt>
                <c:pt idx="52">
                  <c:v>-107.9</c:v>
                </c:pt>
                <c:pt idx="53">
                  <c:v>-130</c:v>
                </c:pt>
                <c:pt idx="54">
                  <c:v>-97.8</c:v>
                </c:pt>
                <c:pt idx="55">
                  <c:v>-100.8</c:v>
                </c:pt>
                <c:pt idx="56">
                  <c:v>-96.399999999999991</c:v>
                </c:pt>
                <c:pt idx="57">
                  <c:v>-59.099999999999994</c:v>
                </c:pt>
                <c:pt idx="58">
                  <c:v>-39.599999999999994</c:v>
                </c:pt>
                <c:pt idx="59">
                  <c:v>-66</c:v>
                </c:pt>
                <c:pt idx="60">
                  <c:v>-111.7</c:v>
                </c:pt>
                <c:pt idx="61">
                  <c:v>-95.7</c:v>
                </c:pt>
                <c:pt idx="62">
                  <c:v>-130.6</c:v>
                </c:pt>
                <c:pt idx="63">
                  <c:v>-129</c:v>
                </c:pt>
                <c:pt idx="64">
                  <c:v>-129.5</c:v>
                </c:pt>
                <c:pt idx="65">
                  <c:v>-92.4</c:v>
                </c:pt>
                <c:pt idx="66">
                  <c:v>-141.4</c:v>
                </c:pt>
                <c:pt idx="67">
                  <c:v>-112.7</c:v>
                </c:pt>
                <c:pt idx="68">
                  <c:v>-163.19999999999999</c:v>
                </c:pt>
                <c:pt idx="69">
                  <c:v>-122.6</c:v>
                </c:pt>
                <c:pt idx="70">
                  <c:v>-134.79999999999998</c:v>
                </c:pt>
                <c:pt idx="71">
                  <c:v>-102.19999999999999</c:v>
                </c:pt>
                <c:pt idx="72">
                  <c:v>-87.699999999999989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33-4936-8A5C-99FD2C2C9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1175</c:v>
                </c:pt>
                <c:pt idx="1">
                  <c:v>-134.28571428571428</c:v>
                </c:pt>
                <c:pt idx="2">
                  <c:v>-810</c:v>
                </c:pt>
                <c:pt idx="3">
                  <c:v>-182.08955223880596</c:v>
                </c:pt>
                <c:pt idx="4">
                  <c:v>260.65573770491801</c:v>
                </c:pt>
                <c:pt idx="5">
                  <c:v>296.15384615384613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E-4732-98D3-076E5C84A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14</c:v>
                </c:pt>
                <c:pt idx="2">
                  <c:v>33</c:v>
                </c:pt>
                <c:pt idx="3">
                  <c:v>35</c:v>
                </c:pt>
                <c:pt idx="4">
                  <c:v>35</c:v>
                </c:pt>
                <c:pt idx="5">
                  <c:v>17</c:v>
                </c:pt>
                <c:pt idx="6">
                  <c:v>9</c:v>
                </c:pt>
                <c:pt idx="7">
                  <c:v>8</c:v>
                </c:pt>
                <c:pt idx="8">
                  <c:v>4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A-431C-A073-ADD88055D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れんたろう!$K$2:$K$74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れんたろう!$M$2:$M$74</c:f>
              <c:numCache>
                <c:formatCode>0</c:formatCode>
                <c:ptCount val="73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  <c:pt idx="33">
                  <c:v>1643.5002420737769</c:v>
                </c:pt>
                <c:pt idx="34">
                  <c:v>1636.1412406213342</c:v>
                </c:pt>
                <c:pt idx="35">
                  <c:v>1636.9983931776062</c:v>
                </c:pt>
                <c:pt idx="36">
                  <c:v>1633.6744028185406</c:v>
                </c:pt>
                <c:pt idx="37">
                  <c:v>1634.4923564016294</c:v>
                </c:pt>
                <c:pt idx="38">
                  <c:v>1636.6254022632197</c:v>
                </c:pt>
                <c:pt idx="39">
                  <c:v>1628.6116498496403</c:v>
                </c:pt>
                <c:pt idx="40">
                  <c:v>1628.6619799505424</c:v>
                </c:pt>
                <c:pt idx="41">
                  <c:v>1623.0600080708391</c:v>
                </c:pt>
                <c:pt idx="42">
                  <c:v>1612.271648022414</c:v>
                </c:pt>
                <c:pt idx="43">
                  <c:v>1612.7620181342795</c:v>
                </c:pt>
                <c:pt idx="44">
                  <c:v>1621.4934460254738</c:v>
                </c:pt>
                <c:pt idx="45">
                  <c:v>1623.8904853493209</c:v>
                </c:pt>
                <c:pt idx="46">
                  <c:v>1614.987142437225</c:v>
                </c:pt>
                <c:pt idx="47">
                  <c:v>1622.3192195826016</c:v>
                </c:pt>
                <c:pt idx="48">
                  <c:v>1621.4473042651059</c:v>
                </c:pt>
                <c:pt idx="49">
                  <c:v>1625.0806204395153</c:v>
                </c:pt>
                <c:pt idx="50">
                  <c:v>1621.7981367168782</c:v>
                </c:pt>
                <c:pt idx="51">
                  <c:v>1630.1033478965769</c:v>
                </c:pt>
                <c:pt idx="52">
                  <c:v>1630.7087278091974</c:v>
                </c:pt>
                <c:pt idx="53">
                  <c:v>1625.9524754423421</c:v>
                </c:pt>
                <c:pt idx="54">
                  <c:v>1630.9987605896881</c:v>
                </c:pt>
                <c:pt idx="55">
                  <c:v>1630.4827680261501</c:v>
                </c:pt>
                <c:pt idx="56">
                  <c:v>1631.2958714179931</c:v>
                </c:pt>
                <c:pt idx="57">
                  <c:v>1637.9600961894851</c:v>
                </c:pt>
                <c:pt idx="58">
                  <c:v>1641.6263356123482</c:v>
                </c:pt>
                <c:pt idx="59">
                  <c:v>1637.008577598674</c:v>
                </c:pt>
                <c:pt idx="60">
                  <c:v>1628.3625261330819</c:v>
                </c:pt>
                <c:pt idx="61">
                  <c:v>1631.3423509762833</c:v>
                </c:pt>
                <c:pt idx="62">
                  <c:v>1625.1422968704258</c:v>
                </c:pt>
                <c:pt idx="63">
                  <c:v>1625.5494430892031</c:v>
                </c:pt>
                <c:pt idx="64">
                  <c:v>1625.582146430668</c:v>
                </c:pt>
                <c:pt idx="65">
                  <c:v>1632.3826535520841</c:v>
                </c:pt>
                <c:pt idx="66">
                  <c:v>1623.6383576307717</c:v>
                </c:pt>
                <c:pt idx="67">
                  <c:v>1628.830527484987</c:v>
                </c:pt>
                <c:pt idx="68">
                  <c:v>1619.735544320077</c:v>
                </c:pt>
                <c:pt idx="69">
                  <c:v>1627.0931310541566</c:v>
                </c:pt>
                <c:pt idx="70">
                  <c:v>1624.9025722678316</c:v>
                </c:pt>
                <c:pt idx="71">
                  <c:v>1630.7051568342247</c:v>
                </c:pt>
                <c:pt idx="72">
                  <c:v>1633.2149258932193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6F-4246-9CFA-C227B21EA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たかの!$L$2:$L$47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  <c:pt idx="38">
                  <c:v>21.200000000000003</c:v>
                </c:pt>
                <c:pt idx="39">
                  <c:v>53.800000000000004</c:v>
                </c:pt>
                <c:pt idx="40">
                  <c:v>25.700000000000003</c:v>
                </c:pt>
                <c:pt idx="41">
                  <c:v>-14.299999999999997</c:v>
                </c:pt>
                <c:pt idx="42">
                  <c:v>-64.599999999999994</c:v>
                </c:pt>
                <c:pt idx="43">
                  <c:v>-110.1</c:v>
                </c:pt>
                <c:pt idx="44">
                  <c:v>-134</c:v>
                </c:pt>
                <c:pt idx="45">
                  <c:v>-146.69999999999999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7-4F4A-B21C-41906212D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-597.77777777777783</c:v>
                </c:pt>
                <c:pt idx="1">
                  <c:v>-900</c:v>
                </c:pt>
                <c:pt idx="2">
                  <c:v>663.63636363636363</c:v>
                </c:pt>
                <c:pt idx="3">
                  <c:v>-1022.7272727272727</c:v>
                </c:pt>
                <c:pt idx="4">
                  <c:v>-1293.0232558139535</c:v>
                </c:pt>
                <c:pt idx="5">
                  <c:v>-572.22222222222217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6A-4156-B5BB-9D257D8B1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15</c:v>
                </c:pt>
                <c:pt idx="1">
                  <c:v>27</c:v>
                </c:pt>
                <c:pt idx="2">
                  <c:v>24</c:v>
                </c:pt>
                <c:pt idx="3">
                  <c:v>22</c:v>
                </c:pt>
                <c:pt idx="4">
                  <c:v>6</c:v>
                </c:pt>
                <c:pt idx="5">
                  <c:v>5</c:v>
                </c:pt>
                <c:pt idx="6">
                  <c:v>5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85-43ED-B4A4-968A049C3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たかの!$M$2:$M$47</c:f>
              <c:numCache>
                <c:formatCode>0</c:formatCode>
                <c:ptCount val="46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  <c:pt idx="31">
                  <c:v>1462.7040229665713</c:v>
                </c:pt>
                <c:pt idx="32">
                  <c:v>1459.5077988287719</c:v>
                </c:pt>
                <c:pt idx="33">
                  <c:v>1463.4227520357992</c:v>
                </c:pt>
                <c:pt idx="34">
                  <c:v>1457.6782155235844</c:v>
                </c:pt>
                <c:pt idx="35">
                  <c:v>1460.1941462304428</c:v>
                </c:pt>
                <c:pt idx="36">
                  <c:v>1451.5589813530601</c:v>
                </c:pt>
                <c:pt idx="37">
                  <c:v>1464.0596274649417</c:v>
                </c:pt>
                <c:pt idx="38">
                  <c:v>1469.2492697001521</c:v>
                </c:pt>
                <c:pt idx="39">
                  <c:v>1475.0557740819513</c:v>
                </c:pt>
                <c:pt idx="40">
                  <c:v>1470.3574394374596</c:v>
                </c:pt>
                <c:pt idx="41">
                  <c:v>1464.0552948008349</c:v>
                </c:pt>
                <c:pt idx="42">
                  <c:v>1455.9369630320298</c:v>
                </c:pt>
                <c:pt idx="43">
                  <c:v>1448.7493412538377</c:v>
                </c:pt>
                <c:pt idx="44">
                  <c:v>1445.4388452063147</c:v>
                </c:pt>
                <c:pt idx="45">
                  <c:v>1444.1642121350767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F-4EAE-B84C-5A36DF4DB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まっつん!$L$2:$L$36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  <c:pt idx="18">
                  <c:v>-22.100000000000019</c:v>
                </c:pt>
                <c:pt idx="19">
                  <c:v>-9.6000000000000192</c:v>
                </c:pt>
                <c:pt idx="20">
                  <c:v>-19.40000000000002</c:v>
                </c:pt>
                <c:pt idx="21">
                  <c:v>31.499999999999979</c:v>
                </c:pt>
                <c:pt idx="22">
                  <c:v>33.299999999999976</c:v>
                </c:pt>
                <c:pt idx="23">
                  <c:v>27.799999999999976</c:v>
                </c:pt>
                <c:pt idx="24">
                  <c:v>25.099999999999977</c:v>
                </c:pt>
                <c:pt idx="25">
                  <c:v>-26.900000000000023</c:v>
                </c:pt>
                <c:pt idx="26">
                  <c:v>-31.000000000000021</c:v>
                </c:pt>
                <c:pt idx="27">
                  <c:v>-38.500000000000021</c:v>
                </c:pt>
                <c:pt idx="28">
                  <c:v>-67.300000000000026</c:v>
                </c:pt>
                <c:pt idx="29">
                  <c:v>-35.300000000000026</c:v>
                </c:pt>
                <c:pt idx="30">
                  <c:v>-9.3000000000000256</c:v>
                </c:pt>
                <c:pt idx="31">
                  <c:v>22.999999999999972</c:v>
                </c:pt>
                <c:pt idx="32">
                  <c:v>-0.400000000000027</c:v>
                </c:pt>
                <c:pt idx="33">
                  <c:v>-0.10000000000002701</c:v>
                </c:pt>
                <c:pt idx="34">
                  <c:v>59.89999999999997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1-4277-93FE-B8CD067C4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1285.2941176470588</c:v>
                </c:pt>
                <c:pt idx="1">
                  <c:v>682.35294117647061</c:v>
                </c:pt>
                <c:pt idx="2">
                  <c:v>1012.1212121212121</c:v>
                </c:pt>
                <c:pt idx="3">
                  <c:v>-2565.5172413793102</c:v>
                </c:pt>
                <c:pt idx="4">
                  <c:v>2296.1538461538462</c:v>
                </c:pt>
                <c:pt idx="5">
                  <c:v>-890.90909090909088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1-4F67-9282-2D684DA93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2</c:v>
                </c:pt>
                <c:pt idx="1">
                  <c:v>13</c:v>
                </c:pt>
                <c:pt idx="2">
                  <c:v>18</c:v>
                </c:pt>
                <c:pt idx="3">
                  <c:v>22</c:v>
                </c:pt>
                <c:pt idx="4">
                  <c:v>9</c:v>
                </c:pt>
                <c:pt idx="5">
                  <c:v>6</c:v>
                </c:pt>
                <c:pt idx="6">
                  <c:v>3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2-4552-95C7-8DBFF8FEE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まっつん!$M$2:$M$36</c:f>
              <c:numCache>
                <c:formatCode>0</c:formatCode>
                <c:ptCount val="35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  <c:pt idx="18">
                  <c:v>1530.0056314687142</c:v>
                </c:pt>
                <c:pt idx="19">
                  <c:v>1531.9675976799019</c:v>
                </c:pt>
                <c:pt idx="20">
                  <c:v>1530.8037920938225</c:v>
                </c:pt>
                <c:pt idx="21">
                  <c:v>1540.0509693412596</c:v>
                </c:pt>
                <c:pt idx="22">
                  <c:v>1540.560663525212</c:v>
                </c:pt>
                <c:pt idx="23">
                  <c:v>1539.8552995440607</c:v>
                </c:pt>
                <c:pt idx="24">
                  <c:v>1539.8921677467963</c:v>
                </c:pt>
                <c:pt idx="25">
                  <c:v>1531.0608147403154</c:v>
                </c:pt>
                <c:pt idx="26">
                  <c:v>1530.4544498518735</c:v>
                </c:pt>
                <c:pt idx="27">
                  <c:v>1529.7617231527622</c:v>
                </c:pt>
                <c:pt idx="28">
                  <c:v>1525.2391528138457</c:v>
                </c:pt>
                <c:pt idx="29">
                  <c:v>1531.7177178969628</c:v>
                </c:pt>
                <c:pt idx="30">
                  <c:v>1537.0774115895811</c:v>
                </c:pt>
                <c:pt idx="31">
                  <c:v>1543.5389471200435</c:v>
                </c:pt>
                <c:pt idx="32">
                  <c:v>1539.9417134373232</c:v>
                </c:pt>
                <c:pt idx="33">
                  <c:v>1540.6320631566994</c:v>
                </c:pt>
                <c:pt idx="34">
                  <c:v>1552.0582707777592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A-472E-8D89-FE8EE4B18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いちかわ!$L$2:$L$47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  <c:pt idx="35">
                  <c:v>45.499999999999979</c:v>
                </c:pt>
                <c:pt idx="36">
                  <c:v>40.699999999999982</c:v>
                </c:pt>
                <c:pt idx="37">
                  <c:v>17.09999999999998</c:v>
                </c:pt>
                <c:pt idx="38">
                  <c:v>78.799999999999983</c:v>
                </c:pt>
                <c:pt idx="39">
                  <c:v>101.59999999999998</c:v>
                </c:pt>
                <c:pt idx="40">
                  <c:v>140.79999999999998</c:v>
                </c:pt>
                <c:pt idx="41">
                  <c:v>123.59999999999998</c:v>
                </c:pt>
                <c:pt idx="42">
                  <c:v>126.79999999999998</c:v>
                </c:pt>
                <c:pt idx="43">
                  <c:v>148.29999999999998</c:v>
                </c:pt>
                <c:pt idx="44">
                  <c:v>143.19999999999999</c:v>
                </c:pt>
                <c:pt idx="45">
                  <c:v>157.69999999999999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D7-4CFD-B92E-DAA219C39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-564.44444444444446</c:v>
                </c:pt>
                <c:pt idx="1">
                  <c:v>786.66666666666663</c:v>
                </c:pt>
                <c:pt idx="2">
                  <c:v>1477.7777777777778</c:v>
                </c:pt>
                <c:pt idx="3">
                  <c:v>-152.38095238095238</c:v>
                </c:pt>
                <c:pt idx="4">
                  <c:v>402.63157894736844</c:v>
                </c:pt>
                <c:pt idx="5">
                  <c:v>1491.6666666666667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AF-4B6A-9D74-E46F96DE4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8</c:v>
                </c:pt>
                <c:pt idx="1">
                  <c:v>26</c:v>
                </c:pt>
                <c:pt idx="2">
                  <c:v>23</c:v>
                </c:pt>
                <c:pt idx="3">
                  <c:v>19</c:v>
                </c:pt>
                <c:pt idx="4">
                  <c:v>15</c:v>
                </c:pt>
                <c:pt idx="5">
                  <c:v>13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F7-4D77-B73A-C4E212C0E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いちかわ!$M$2:$M$47</c:f>
              <c:numCache>
                <c:formatCode>0</c:formatCode>
                <c:ptCount val="46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  <c:pt idx="29">
                  <c:v>1524.9218232794774</c:v>
                </c:pt>
                <c:pt idx="30">
                  <c:v>1532.1702923398004</c:v>
                </c:pt>
                <c:pt idx="31">
                  <c:v>1524.7772705857617</c:v>
                </c:pt>
                <c:pt idx="32">
                  <c:v>1521.8686069622472</c:v>
                </c:pt>
                <c:pt idx="33">
                  <c:v>1522.5113953204736</c:v>
                </c:pt>
                <c:pt idx="34">
                  <c:v>1515.6083269485507</c:v>
                </c:pt>
                <c:pt idx="35">
                  <c:v>1512.1666769868593</c:v>
                </c:pt>
                <c:pt idx="36">
                  <c:v>1510.9836769249382</c:v>
                </c:pt>
                <c:pt idx="37">
                  <c:v>1506.4237748633886</c:v>
                </c:pt>
                <c:pt idx="38">
                  <c:v>1517.8092322142084</c:v>
                </c:pt>
                <c:pt idx="39">
                  <c:v>1522.0163768209231</c:v>
                </c:pt>
                <c:pt idx="40">
                  <c:v>1529.7742785599976</c:v>
                </c:pt>
                <c:pt idx="41">
                  <c:v>1527.3336328886376</c:v>
                </c:pt>
                <c:pt idx="42">
                  <c:v>1528.5796310913058</c:v>
                </c:pt>
                <c:pt idx="43">
                  <c:v>1532.2841533047581</c:v>
                </c:pt>
                <c:pt idx="44">
                  <c:v>1531.1784483849297</c:v>
                </c:pt>
                <c:pt idx="45">
                  <c:v>1534.3633776946201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64-48F0-AB2F-4C1B54DE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ただ!$L$2:$L$51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370.49999999999994</c:v>
                </c:pt>
                <c:pt idx="40">
                  <c:v>317.29999999999995</c:v>
                </c:pt>
                <c:pt idx="41">
                  <c:v>286.49999999999994</c:v>
                </c:pt>
                <c:pt idx="42">
                  <c:v>233.59999999999994</c:v>
                </c:pt>
                <c:pt idx="43">
                  <c:v>234.09999999999994</c:v>
                </c:pt>
                <c:pt idx="44">
                  <c:v>241.39999999999995</c:v>
                </c:pt>
                <c:pt idx="45">
                  <c:v>228.89999999999995</c:v>
                </c:pt>
                <c:pt idx="46">
                  <c:v>230.89999999999995</c:v>
                </c:pt>
                <c:pt idx="47">
                  <c:v>222.99999999999994</c:v>
                </c:pt>
                <c:pt idx="48">
                  <c:v>261.89999999999992</c:v>
                </c:pt>
                <c:pt idx="49">
                  <c:v>248.19999999999993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D3-4B1F-8533-6FF80EFA5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-334.69387755102042</c:v>
                </c:pt>
                <c:pt idx="1">
                  <c:v>676.08695652173913</c:v>
                </c:pt>
                <c:pt idx="2">
                  <c:v>985.10638297872345</c:v>
                </c:pt>
                <c:pt idx="3">
                  <c:v>2222.7272727272725</c:v>
                </c:pt>
                <c:pt idx="4">
                  <c:v>163.41463414634146</c:v>
                </c:pt>
                <c:pt idx="5">
                  <c:v>-57.575757575757578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9-46CD-A2DA-729C1AA46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13</c:v>
                </c:pt>
                <c:pt idx="1">
                  <c:v>36</c:v>
                </c:pt>
                <c:pt idx="2">
                  <c:v>32</c:v>
                </c:pt>
                <c:pt idx="3">
                  <c:v>20</c:v>
                </c:pt>
                <c:pt idx="4">
                  <c:v>21</c:v>
                </c:pt>
                <c:pt idx="5">
                  <c:v>4</c:v>
                </c:pt>
                <c:pt idx="6">
                  <c:v>8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9-47C6-9383-891C99BAC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ただ!$M$2:$M$51</c:f>
              <c:numCache>
                <c:formatCode>0</c:formatCode>
                <c:ptCount val="50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  <c:pt idx="37">
                  <c:v>1590.413259977362</c:v>
                </c:pt>
                <c:pt idx="38">
                  <c:v>1589.912780417498</c:v>
                </c:pt>
                <c:pt idx="39">
                  <c:v>1597.2933037349931</c:v>
                </c:pt>
                <c:pt idx="40">
                  <c:v>1587.9255439125832</c:v>
                </c:pt>
                <c:pt idx="41">
                  <c:v>1582.1239906491078</c:v>
                </c:pt>
                <c:pt idx="42">
                  <c:v>1572.871246705213</c:v>
                </c:pt>
                <c:pt idx="43">
                  <c:v>1573.2920192249817</c:v>
                </c:pt>
                <c:pt idx="44">
                  <c:v>1575.0962671096318</c:v>
                </c:pt>
                <c:pt idx="45">
                  <c:v>1573.325689506974</c:v>
                </c:pt>
                <c:pt idx="46">
                  <c:v>1574.2297353699321</c:v>
                </c:pt>
                <c:pt idx="47">
                  <c:v>1573.3463569577125</c:v>
                </c:pt>
                <c:pt idx="48">
                  <c:v>1580.3102788159663</c:v>
                </c:pt>
                <c:pt idx="49">
                  <c:v>1578.1244171430706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0-4B05-A6D9-346C0A87C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8-431E-97C5-37E4685D2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0-42C2-B9B8-9E605C430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1-4631-9E9F-91F0401B7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たか!$M$2:$M$20</c:f>
              <c:numCache>
                <c:formatCode>0</c:formatCode>
                <c:ptCount val="19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E-4701-BD9D-6A65DBAED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  <c:pt idx="5">
                  <c:v>-51.099999999999994</c:v>
                </c:pt>
                <c:pt idx="6">
                  <c:v>-78.199999999999989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9E-4595-A257-F4BEA0751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-7866.666666666667</c:v>
                </c:pt>
                <c:pt idx="1">
                  <c:v>-500</c:v>
                </c:pt>
                <c:pt idx="2">
                  <c:v>7083.333333333333</c:v>
                </c:pt>
                <c:pt idx="3">
                  <c:v>-1360</c:v>
                </c:pt>
                <c:pt idx="4">
                  <c:v>-4000</c:v>
                </c:pt>
                <c:pt idx="5">
                  <c:v>-4740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9-4EAF-808A-5D598BE0C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E-4A26-BAAE-1CBA4D9C9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のり!$M$2:$M$8</c:f>
              <c:numCache>
                <c:formatCode>0</c:formatCode>
                <c:ptCount val="7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  <c:pt idx="5">
                  <c:v>1344.1652511095363</c:v>
                </c:pt>
                <c:pt idx="6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A-4CDF-9282-014AE8532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  <c:pt idx="10">
                  <c:v>-6.3000000000000025</c:v>
                </c:pt>
                <c:pt idx="11">
                  <c:v>-30.5</c:v>
                </c:pt>
                <c:pt idx="12">
                  <c:v>-39.5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8-47C7-890F-AE92D749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-4275</c:v>
                </c:pt>
                <c:pt idx="1">
                  <c:v>4827.272727272727</c:v>
                </c:pt>
                <c:pt idx="2">
                  <c:v>666.66666666666663</c:v>
                </c:pt>
                <c:pt idx="3">
                  <c:v>-3233.3333333333335</c:v>
                </c:pt>
                <c:pt idx="4">
                  <c:v>-1363.6363636363637</c:v>
                </c:pt>
                <c:pt idx="5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1-49BB-9B75-05FF81DD7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F-4703-89F3-3514CC838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りくと!$M$2:$M$14</c:f>
              <c:numCache>
                <c:formatCode>0</c:formatCode>
                <c:ptCount val="13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  <c:pt idx="9">
                  <c:v>1397.8590871718811</c:v>
                </c:pt>
                <c:pt idx="10">
                  <c:v>1401.5799326488498</c:v>
                </c:pt>
                <c:pt idx="11">
                  <c:v>1397.5684530529566</c:v>
                </c:pt>
                <c:pt idx="12">
                  <c:v>1396.3170423346389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21-4502-BECD-0F528591A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6-44F1-B143-5482A902D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D4-4ED8-9ECD-54F64E841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C-4C64-90E7-1311D35CF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7-4826-B7FB-282FC510C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5D-4B1D-96B5-0E899F90D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1-44AA-90BF-942B7EA31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C-44B3-B52F-77E096CA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A9-449A-B66E-0D506F74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B3-47CE-A9C4-F06FBEC5B17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-4.5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B3-47CE-A9C4-F06FBEC5B17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いっしー!$K$4:$L$4</c:f>
              <c:numCache>
                <c:formatCode>\+0.0;\-0.0;\±0</c:formatCode>
                <c:ptCount val="2"/>
                <c:pt idx="0" formatCode="General">
                  <c:v>2</c:v>
                </c:pt>
                <c:pt idx="1">
                  <c:v>-3.4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2A-4D29-A808-9B6CE3D2E75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いっしー!$K$5:$L$5</c:f>
              <c:numCache>
                <c:formatCode>\+0.0;\-0.0;\±0</c:formatCode>
                <c:ptCount val="2"/>
                <c:pt idx="0" formatCode="General">
                  <c:v>3</c:v>
                </c:pt>
                <c:pt idx="1">
                  <c:v>-55.199999999999996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2A-4D29-A808-9B6CE3D2E75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いっしー!$K$6:$L$6</c:f>
              <c:numCache>
                <c:formatCode>\+0.0;\-0.0;\±0</c:formatCode>
                <c:ptCount val="2"/>
                <c:pt idx="0" formatCode="General">
                  <c:v>4</c:v>
                </c:pt>
                <c:pt idx="1">
                  <c:v>-77.699999999999989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14-4890-917F-A78A44C1A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-4450</c:v>
                </c:pt>
                <c:pt idx="1">
                  <c:v>-3150</c:v>
                </c:pt>
                <c:pt idx="2">
                  <c:v>3475</c:v>
                </c:pt>
                <c:pt idx="3">
                  <c:v>-1966.6666666666667</c:v>
                </c:pt>
                <c:pt idx="4">
                  <c:v>-9400</c:v>
                </c:pt>
                <c:pt idx="5">
                  <c:v>-2366.6666666666665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0D-4529-A134-432FE3794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5-48B7-9615-6C7DF2FB9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いっしー!$M$2:$M$6</c:f>
              <c:numCache>
                <c:formatCode>0</c:formatCode>
                <c:ptCount val="5"/>
                <c:pt idx="0">
                  <c:v>1500.437982464869</c:v>
                </c:pt>
                <c:pt idx="1">
                  <c:v>1500.3933545700797</c:v>
                </c:pt>
                <c:pt idx="2">
                  <c:v>1501.3569944426592</c:v>
                </c:pt>
                <c:pt idx="3">
                  <c:v>1492.7928524760032</c:v>
                </c:pt>
                <c:pt idx="4">
                  <c:v>1489.5540953611471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91-44C2-8B3D-8695D2C92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たかの2!$B$1:$B$2</c:f>
              <c:strCache>
                <c:ptCount val="2"/>
                <c:pt idx="0">
                  <c:v>たかの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たかの2!$B$3:$B$48</c:f>
              <c:numCache>
                <c:formatCode>\+0.0;\-0.0;\±0</c:formatCode>
                <c:ptCount val="46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  <c:pt idx="38">
                  <c:v>21.200000000000003</c:v>
                </c:pt>
                <c:pt idx="39">
                  <c:v>53.800000000000004</c:v>
                </c:pt>
                <c:pt idx="40">
                  <c:v>25.700000000000003</c:v>
                </c:pt>
                <c:pt idx="41">
                  <c:v>-14.299999999999997</c:v>
                </c:pt>
                <c:pt idx="42">
                  <c:v>-64.599999999999994</c:v>
                </c:pt>
                <c:pt idx="43">
                  <c:v>-110.1</c:v>
                </c:pt>
                <c:pt idx="44">
                  <c:v>-134</c:v>
                </c:pt>
                <c:pt idx="45">
                  <c:v>-146.69999999999999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5.0404125317982107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たかの2!$C$1:$C$2</c:f>
              <c:strCache>
                <c:ptCount val="2"/>
                <c:pt idx="0">
                  <c:v>たかの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たかの2!$C$3:$C$48</c:f>
              <c:numCache>
                <c:formatCode>\+0.0;\-0.0;\±0</c:formatCode>
                <c:ptCount val="46"/>
                <c:pt idx="1">
                  <c:v>10.1</c:v>
                </c:pt>
                <c:pt idx="2">
                  <c:v>18.2</c:v>
                </c:pt>
                <c:pt idx="3">
                  <c:v>12.133333333333333</c:v>
                </c:pt>
                <c:pt idx="4">
                  <c:v>3.3249999999999993</c:v>
                </c:pt>
                <c:pt idx="5">
                  <c:v>1.6199999999999997</c:v>
                </c:pt>
                <c:pt idx="6">
                  <c:v>4.1166666666666663</c:v>
                </c:pt>
                <c:pt idx="7">
                  <c:v>5.6428571428571432</c:v>
                </c:pt>
                <c:pt idx="8">
                  <c:v>8.3125</c:v>
                </c:pt>
                <c:pt idx="9">
                  <c:v>10.077777777777778</c:v>
                </c:pt>
                <c:pt idx="10">
                  <c:v>9.17</c:v>
                </c:pt>
                <c:pt idx="11">
                  <c:v>9.1363636363636367</c:v>
                </c:pt>
                <c:pt idx="12">
                  <c:v>5.7833333333333341</c:v>
                </c:pt>
                <c:pt idx="13">
                  <c:v>2.692307692307693</c:v>
                </c:pt>
                <c:pt idx="14">
                  <c:v>3.0571428571428574</c:v>
                </c:pt>
                <c:pt idx="15">
                  <c:v>4.0600000000000005</c:v>
                </c:pt>
                <c:pt idx="16">
                  <c:v>2.4125000000000005</c:v>
                </c:pt>
                <c:pt idx="17">
                  <c:v>0.44705882352941229</c:v>
                </c:pt>
                <c:pt idx="18">
                  <c:v>0.83888888888888935</c:v>
                </c:pt>
                <c:pt idx="19">
                  <c:v>2.2315789473684213</c:v>
                </c:pt>
                <c:pt idx="20">
                  <c:v>4.0750000000000002</c:v>
                </c:pt>
                <c:pt idx="21">
                  <c:v>0.71904761904761882</c:v>
                </c:pt>
                <c:pt idx="22">
                  <c:v>0.8181818181818179</c:v>
                </c:pt>
                <c:pt idx="23">
                  <c:v>2.0086956521739125</c:v>
                </c:pt>
                <c:pt idx="24">
                  <c:v>0.69999999999999962</c:v>
                </c:pt>
                <c:pt idx="25">
                  <c:v>2.4279999999999995</c:v>
                </c:pt>
                <c:pt idx="26">
                  <c:v>0.98461538461538411</c:v>
                </c:pt>
                <c:pt idx="27">
                  <c:v>0.63703703703703662</c:v>
                </c:pt>
                <c:pt idx="28">
                  <c:v>2.1857142857142855</c:v>
                </c:pt>
                <c:pt idx="29">
                  <c:v>1.2655172413793099</c:v>
                </c:pt>
                <c:pt idx="30">
                  <c:v>0.37333333333333296</c:v>
                </c:pt>
                <c:pt idx="31">
                  <c:v>0.43870967741935446</c:v>
                </c:pt>
                <c:pt idx="32">
                  <c:v>-0.2906250000000003</c:v>
                </c:pt>
                <c:pt idx="33">
                  <c:v>0.25454545454545424</c:v>
                </c:pt>
                <c:pt idx="34">
                  <c:v>-0.84117647058823553</c:v>
                </c:pt>
                <c:pt idx="35">
                  <c:v>-0.56857142857142884</c:v>
                </c:pt>
                <c:pt idx="36">
                  <c:v>-2.0194444444444444</c:v>
                </c:pt>
                <c:pt idx="37">
                  <c:v>-0.21081081081081074</c:v>
                </c:pt>
                <c:pt idx="38">
                  <c:v>0.55789473684210533</c:v>
                </c:pt>
                <c:pt idx="39">
                  <c:v>1.3794871794871797</c:v>
                </c:pt>
                <c:pt idx="40">
                  <c:v>0.64250000000000007</c:v>
                </c:pt>
                <c:pt idx="41">
                  <c:v>-0.34878048780487797</c:v>
                </c:pt>
                <c:pt idx="42">
                  <c:v>-1.538095238095238</c:v>
                </c:pt>
                <c:pt idx="43">
                  <c:v>-2.5604651162790697</c:v>
                </c:pt>
                <c:pt idx="44">
                  <c:v>-3.0454545454545454</c:v>
                </c:pt>
                <c:pt idx="45">
                  <c:v>-3.26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2632612861649651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たかの2!$D$1:$D$2</c:f>
              <c:strCache>
                <c:ptCount val="2"/>
                <c:pt idx="0">
                  <c:v>たかの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たかの2!$D$3:$D$48</c:f>
              <c:numCache>
                <c:formatCode>0.00\ "位"</c:formatCode>
                <c:ptCount val="46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1.8571428571428572</c:v>
                </c:pt>
                <c:pt idx="8">
                  <c:v>1.75</c:v>
                </c:pt>
                <c:pt idx="9">
                  <c:v>1.6666666666666667</c:v>
                </c:pt>
                <c:pt idx="10">
                  <c:v>1.7</c:v>
                </c:pt>
                <c:pt idx="11">
                  <c:v>1.7272727272727273</c:v>
                </c:pt>
                <c:pt idx="12">
                  <c:v>1.8333333333333333</c:v>
                </c:pt>
                <c:pt idx="13">
                  <c:v>1.9230769230769231</c:v>
                </c:pt>
                <c:pt idx="14">
                  <c:v>1.8571428571428572</c:v>
                </c:pt>
                <c:pt idx="15">
                  <c:v>1.8</c:v>
                </c:pt>
                <c:pt idx="16">
                  <c:v>1.875</c:v>
                </c:pt>
                <c:pt idx="17">
                  <c:v>1.9411764705882353</c:v>
                </c:pt>
                <c:pt idx="18">
                  <c:v>1.9444444444444444</c:v>
                </c:pt>
                <c:pt idx="19">
                  <c:v>1.8947368421052631</c:v>
                </c:pt>
                <c:pt idx="20">
                  <c:v>1.85</c:v>
                </c:pt>
                <c:pt idx="21">
                  <c:v>1.9047619047619047</c:v>
                </c:pt>
                <c:pt idx="22">
                  <c:v>1.9090909090909092</c:v>
                </c:pt>
                <c:pt idx="23">
                  <c:v>1.8695652173913044</c:v>
                </c:pt>
                <c:pt idx="24">
                  <c:v>1.9166666666666667</c:v>
                </c:pt>
                <c:pt idx="25">
                  <c:v>1.88</c:v>
                </c:pt>
                <c:pt idx="26">
                  <c:v>1.9230769230769231</c:v>
                </c:pt>
                <c:pt idx="27">
                  <c:v>1.9259259259259258</c:v>
                </c:pt>
                <c:pt idx="28">
                  <c:v>1.8928571428571428</c:v>
                </c:pt>
                <c:pt idx="29">
                  <c:v>1.9310344827586208</c:v>
                </c:pt>
                <c:pt idx="30">
                  <c:v>1.9666666666666666</c:v>
                </c:pt>
                <c:pt idx="31">
                  <c:v>1.967741935483871</c:v>
                </c:pt>
                <c:pt idx="32">
                  <c:v>2</c:v>
                </c:pt>
                <c:pt idx="33">
                  <c:v>1.9696969696969697</c:v>
                </c:pt>
                <c:pt idx="34">
                  <c:v>2</c:v>
                </c:pt>
                <c:pt idx="35">
                  <c:v>2</c:v>
                </c:pt>
                <c:pt idx="36">
                  <c:v>2.0277777777777777</c:v>
                </c:pt>
                <c:pt idx="37">
                  <c:v>2</c:v>
                </c:pt>
                <c:pt idx="38">
                  <c:v>1.9736842105263157</c:v>
                </c:pt>
                <c:pt idx="39">
                  <c:v>1.9487179487179487</c:v>
                </c:pt>
                <c:pt idx="40">
                  <c:v>1.9750000000000001</c:v>
                </c:pt>
                <c:pt idx="41">
                  <c:v>2</c:v>
                </c:pt>
                <c:pt idx="42">
                  <c:v>2.0238095238095237</c:v>
                </c:pt>
                <c:pt idx="43">
                  <c:v>2.0465116279069768</c:v>
                </c:pt>
                <c:pt idx="44">
                  <c:v>2.0681818181818183</c:v>
                </c:pt>
                <c:pt idx="45">
                  <c:v>2.088888888888889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74937343358397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たかの2!$E$1:$E$2</c:f>
              <c:strCache>
                <c:ptCount val="2"/>
                <c:pt idx="0">
                  <c:v>たかの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たかの2!$E$3:$E$48</c:f>
              <c:numCache>
                <c:formatCode>0.0%</c:formatCode>
                <c:ptCount val="4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0.39130434782608697</c:v>
                </c:pt>
                <c:pt idx="24">
                  <c:v>0.375</c:v>
                </c:pt>
                <c:pt idx="25">
                  <c:v>0.4</c:v>
                </c:pt>
                <c:pt idx="26">
                  <c:v>0.38461538461538464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0.34375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0.38461538461538464</c:v>
                </c:pt>
                <c:pt idx="40">
                  <c:v>0.375</c:v>
                </c:pt>
                <c:pt idx="41">
                  <c:v>0.36585365853658536</c:v>
                </c:pt>
                <c:pt idx="42">
                  <c:v>0.35714285714285715</c:v>
                </c:pt>
                <c:pt idx="43">
                  <c:v>0.34883720930232559</c:v>
                </c:pt>
                <c:pt idx="44">
                  <c:v>0.34090909090909088</c:v>
                </c:pt>
                <c:pt idx="45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5839598997493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たかの2!$F$1:$F$2</c:f>
              <c:strCache>
                <c:ptCount val="2"/>
                <c:pt idx="0">
                  <c:v>たかの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たかの2!$F$3:$F$48</c:f>
              <c:numCache>
                <c:formatCode>0.0%</c:formatCode>
                <c:ptCount val="4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0.2857142857142857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0.29166666666666669</c:v>
                </c:pt>
                <c:pt idx="25">
                  <c:v>0.28000000000000003</c:v>
                </c:pt>
                <c:pt idx="26">
                  <c:v>0.30769230769230771</c:v>
                </c:pt>
                <c:pt idx="27">
                  <c:v>0.29629629629629628</c:v>
                </c:pt>
                <c:pt idx="28">
                  <c:v>0.2857142857142857</c:v>
                </c:pt>
                <c:pt idx="29">
                  <c:v>0.31034482758620691</c:v>
                </c:pt>
                <c:pt idx="30">
                  <c:v>0.33333333333333331</c:v>
                </c:pt>
                <c:pt idx="31">
                  <c:v>0.32258064516129031</c:v>
                </c:pt>
                <c:pt idx="32">
                  <c:v>0.34375</c:v>
                </c:pt>
                <c:pt idx="33">
                  <c:v>0.33333333333333331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0.35</c:v>
                </c:pt>
                <c:pt idx="41">
                  <c:v>0.36585365853658536</c:v>
                </c:pt>
                <c:pt idx="42">
                  <c:v>0.38095238095238093</c:v>
                </c:pt>
                <c:pt idx="43">
                  <c:v>0.39534883720930231</c:v>
                </c:pt>
                <c:pt idx="44">
                  <c:v>0.40909090909090912</c:v>
                </c:pt>
                <c:pt idx="45">
                  <c:v>0.42222222222222222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たかの2!$G$1:$G$2</c:f>
              <c:strCache>
                <c:ptCount val="2"/>
                <c:pt idx="0">
                  <c:v>たかの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たかの2!$G$3:$G$48</c:f>
              <c:numCache>
                <c:formatCode>0.0%</c:formatCode>
                <c:ptCount val="46"/>
                <c:pt idx="1">
                  <c:v>0.44444444444444442</c:v>
                </c:pt>
                <c:pt idx="2">
                  <c:v>0.41176470588235292</c:v>
                </c:pt>
                <c:pt idx="3">
                  <c:v>0.4</c:v>
                </c:pt>
                <c:pt idx="4">
                  <c:v>0.33333333333333331</c:v>
                </c:pt>
                <c:pt idx="5">
                  <c:v>0.32608695652173914</c:v>
                </c:pt>
                <c:pt idx="6">
                  <c:v>0.33962264150943394</c:v>
                </c:pt>
                <c:pt idx="7">
                  <c:v>0.34375</c:v>
                </c:pt>
                <c:pt idx="8">
                  <c:v>0.35714285714285715</c:v>
                </c:pt>
                <c:pt idx="9">
                  <c:v>0.35897435897435898</c:v>
                </c:pt>
                <c:pt idx="10">
                  <c:v>0.3411764705882353</c:v>
                </c:pt>
                <c:pt idx="11">
                  <c:v>0.34693877551020408</c:v>
                </c:pt>
                <c:pt idx="12">
                  <c:v>0.32407407407407407</c:v>
                </c:pt>
                <c:pt idx="13">
                  <c:v>0.29661016949152541</c:v>
                </c:pt>
                <c:pt idx="14">
                  <c:v>0.30952380952380953</c:v>
                </c:pt>
                <c:pt idx="15">
                  <c:v>0.30882352941176472</c:v>
                </c:pt>
                <c:pt idx="16">
                  <c:v>0.31468531468531469</c:v>
                </c:pt>
                <c:pt idx="17">
                  <c:v>0.3</c:v>
                </c:pt>
                <c:pt idx="18">
                  <c:v>0.30188679245283018</c:v>
                </c:pt>
                <c:pt idx="19">
                  <c:v>0.30357142857142855</c:v>
                </c:pt>
                <c:pt idx="20">
                  <c:v>0.31073446327683618</c:v>
                </c:pt>
                <c:pt idx="21">
                  <c:v>0.29319371727748689</c:v>
                </c:pt>
                <c:pt idx="22">
                  <c:v>0.28999999999999998</c:v>
                </c:pt>
                <c:pt idx="23">
                  <c:v>0.29439252336448596</c:v>
                </c:pt>
                <c:pt idx="24">
                  <c:v>0.2927927927927928</c:v>
                </c:pt>
                <c:pt idx="25">
                  <c:v>0.30303030303030304</c:v>
                </c:pt>
                <c:pt idx="26">
                  <c:v>0.30543933054393307</c:v>
                </c:pt>
                <c:pt idx="27">
                  <c:v>0.30645161290322581</c:v>
                </c:pt>
                <c:pt idx="28">
                  <c:v>0.30588235294117649</c:v>
                </c:pt>
                <c:pt idx="29">
                  <c:v>0.29770992366412213</c:v>
                </c:pt>
                <c:pt idx="30">
                  <c:v>0.29477611940298509</c:v>
                </c:pt>
                <c:pt idx="31">
                  <c:v>0.30072463768115942</c:v>
                </c:pt>
                <c:pt idx="32">
                  <c:v>0.29577464788732394</c:v>
                </c:pt>
                <c:pt idx="33">
                  <c:v>0.29209621993127149</c:v>
                </c:pt>
                <c:pt idx="34">
                  <c:v>0.29194630872483224</c:v>
                </c:pt>
                <c:pt idx="35">
                  <c:v>0.29738562091503268</c:v>
                </c:pt>
                <c:pt idx="36">
                  <c:v>0.28888888888888886</c:v>
                </c:pt>
                <c:pt idx="37">
                  <c:v>0.29467084639498431</c:v>
                </c:pt>
                <c:pt idx="38">
                  <c:v>0.29969418960244648</c:v>
                </c:pt>
                <c:pt idx="39">
                  <c:v>0.30294117647058821</c:v>
                </c:pt>
                <c:pt idx="40">
                  <c:v>0.30571428571428572</c:v>
                </c:pt>
                <c:pt idx="41">
                  <c:v>0.29945054945054944</c:v>
                </c:pt>
                <c:pt idx="42">
                  <c:v>0.29301075268817206</c:v>
                </c:pt>
                <c:pt idx="43">
                  <c:v>0.28720626631853785</c:v>
                </c:pt>
                <c:pt idx="44">
                  <c:v>0.28826530612244899</c:v>
                </c:pt>
                <c:pt idx="45">
                  <c:v>0.28999999999999998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345008756567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たかの2!$H$1:$H$2</c:f>
              <c:strCache>
                <c:ptCount val="2"/>
                <c:pt idx="0">
                  <c:v>たかの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たかの2!$H$3:$H$48</c:f>
              <c:numCache>
                <c:formatCode>0.0%</c:formatCode>
                <c:ptCount val="46"/>
                <c:pt idx="1">
                  <c:v>0.1111111111111111</c:v>
                </c:pt>
                <c:pt idx="2">
                  <c:v>5.8823529411764705E-2</c:v>
                </c:pt>
                <c:pt idx="3">
                  <c:v>0.12</c:v>
                </c:pt>
                <c:pt idx="4">
                  <c:v>0.1111111111111111</c:v>
                </c:pt>
                <c:pt idx="5">
                  <c:v>0.13043478260869565</c:v>
                </c:pt>
                <c:pt idx="6">
                  <c:v>0.13207547169811321</c:v>
                </c:pt>
                <c:pt idx="7">
                  <c:v>0.140625</c:v>
                </c:pt>
                <c:pt idx="8">
                  <c:v>0.14285714285714285</c:v>
                </c:pt>
                <c:pt idx="9">
                  <c:v>0.14102564102564102</c:v>
                </c:pt>
                <c:pt idx="10">
                  <c:v>0.14117647058823529</c:v>
                </c:pt>
                <c:pt idx="11">
                  <c:v>0.14285714285714285</c:v>
                </c:pt>
                <c:pt idx="12">
                  <c:v>0.15740740740740741</c:v>
                </c:pt>
                <c:pt idx="13">
                  <c:v>0.16101694915254236</c:v>
                </c:pt>
                <c:pt idx="14">
                  <c:v>0.15079365079365079</c:v>
                </c:pt>
                <c:pt idx="15">
                  <c:v>0.14705882352941177</c:v>
                </c:pt>
                <c:pt idx="16">
                  <c:v>0.15384615384615385</c:v>
                </c:pt>
                <c:pt idx="17">
                  <c:v>0.16666666666666666</c:v>
                </c:pt>
                <c:pt idx="18">
                  <c:v>0.16352201257861634</c:v>
                </c:pt>
                <c:pt idx="19">
                  <c:v>0.16071428571428573</c:v>
                </c:pt>
                <c:pt idx="20">
                  <c:v>0.15819209039548024</c:v>
                </c:pt>
                <c:pt idx="21">
                  <c:v>0.16230366492146597</c:v>
                </c:pt>
                <c:pt idx="22">
                  <c:v>0.155</c:v>
                </c:pt>
                <c:pt idx="23">
                  <c:v>0.16355140186915887</c:v>
                </c:pt>
                <c:pt idx="24">
                  <c:v>0.16216216216216217</c:v>
                </c:pt>
                <c:pt idx="25">
                  <c:v>0.16450216450216451</c:v>
                </c:pt>
                <c:pt idx="26">
                  <c:v>0.16736401673640167</c:v>
                </c:pt>
                <c:pt idx="27">
                  <c:v>0.17741935483870969</c:v>
                </c:pt>
                <c:pt idx="28">
                  <c:v>0.17254901960784313</c:v>
                </c:pt>
                <c:pt idx="29">
                  <c:v>0.16793893129770993</c:v>
                </c:pt>
                <c:pt idx="30">
                  <c:v>0.17164179104477612</c:v>
                </c:pt>
                <c:pt idx="31">
                  <c:v>0.17753623188405798</c:v>
                </c:pt>
                <c:pt idx="32">
                  <c:v>0.176056338028169</c:v>
                </c:pt>
                <c:pt idx="33">
                  <c:v>0.17525773195876287</c:v>
                </c:pt>
                <c:pt idx="34">
                  <c:v>0.18120805369127516</c:v>
                </c:pt>
                <c:pt idx="35">
                  <c:v>0.17647058823529413</c:v>
                </c:pt>
                <c:pt idx="36">
                  <c:v>0.18412698412698414</c:v>
                </c:pt>
                <c:pt idx="37">
                  <c:v>0.18181818181818182</c:v>
                </c:pt>
                <c:pt idx="38">
                  <c:v>0.18042813455657492</c:v>
                </c:pt>
                <c:pt idx="39">
                  <c:v>0.17352941176470588</c:v>
                </c:pt>
                <c:pt idx="40">
                  <c:v>0.17428571428571429</c:v>
                </c:pt>
                <c:pt idx="41">
                  <c:v>0.17307692307692307</c:v>
                </c:pt>
                <c:pt idx="42">
                  <c:v>0.17204301075268819</c:v>
                </c:pt>
                <c:pt idx="43">
                  <c:v>0.16971279373368145</c:v>
                </c:pt>
                <c:pt idx="44">
                  <c:v>0.1683673469387755</c:v>
                </c:pt>
                <c:pt idx="45">
                  <c:v>0.16500000000000001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0537069468768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たかの2!$I$1:$I$2</c:f>
              <c:strCache>
                <c:ptCount val="2"/>
                <c:pt idx="0">
                  <c:v>たかの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たかの2!$I$3:$I$48</c:f>
              <c:numCache>
                <c:formatCode>0</c:formatCode>
                <c:ptCount val="46"/>
                <c:pt idx="1">
                  <c:v>8400</c:v>
                </c:pt>
                <c:pt idx="2">
                  <c:v>9028.5714285714294</c:v>
                </c:pt>
                <c:pt idx="3">
                  <c:v>7780</c:v>
                </c:pt>
                <c:pt idx="4">
                  <c:v>7983.333333333333</c:v>
                </c:pt>
                <c:pt idx="5">
                  <c:v>8240</c:v>
                </c:pt>
                <c:pt idx="6">
                  <c:v>8355.5555555555547</c:v>
                </c:pt>
                <c:pt idx="7">
                  <c:v>7850</c:v>
                </c:pt>
                <c:pt idx="8">
                  <c:v>7796</c:v>
                </c:pt>
                <c:pt idx="9">
                  <c:v>8017.8571428571431</c:v>
                </c:pt>
                <c:pt idx="10">
                  <c:v>7810.3448275862065</c:v>
                </c:pt>
                <c:pt idx="11">
                  <c:v>7655.8823529411766</c:v>
                </c:pt>
                <c:pt idx="12">
                  <c:v>7780</c:v>
                </c:pt>
                <c:pt idx="13">
                  <c:v>7780</c:v>
                </c:pt>
                <c:pt idx="14">
                  <c:v>7266.666666666667</c:v>
                </c:pt>
                <c:pt idx="15">
                  <c:v>7071.4285714285716</c:v>
                </c:pt>
                <c:pt idx="16">
                  <c:v>6704.4444444444443</c:v>
                </c:pt>
                <c:pt idx="17">
                  <c:v>6704.4444444444443</c:v>
                </c:pt>
                <c:pt idx="18">
                  <c:v>6945.833333333333</c:v>
                </c:pt>
                <c:pt idx="19">
                  <c:v>7080.3921568627447</c:v>
                </c:pt>
                <c:pt idx="20">
                  <c:v>7054.545454545455</c:v>
                </c:pt>
                <c:pt idx="21">
                  <c:v>6966.0714285714284</c:v>
                </c:pt>
                <c:pt idx="22">
                  <c:v>6862.0689655172409</c:v>
                </c:pt>
                <c:pt idx="23">
                  <c:v>6930.1587301587306</c:v>
                </c:pt>
                <c:pt idx="24">
                  <c:v>6852.3076923076924</c:v>
                </c:pt>
                <c:pt idx="25">
                  <c:v>6882.8571428571431</c:v>
                </c:pt>
                <c:pt idx="26">
                  <c:v>6920.5479452054797</c:v>
                </c:pt>
                <c:pt idx="27">
                  <c:v>7063.1578947368425</c:v>
                </c:pt>
                <c:pt idx="28">
                  <c:v>7446.1538461538457</c:v>
                </c:pt>
                <c:pt idx="29">
                  <c:v>7446.1538461538457</c:v>
                </c:pt>
                <c:pt idx="30">
                  <c:v>7453.164556962025</c:v>
                </c:pt>
                <c:pt idx="31">
                  <c:v>7419.2771084337346</c:v>
                </c:pt>
                <c:pt idx="32">
                  <c:v>7473.8095238095239</c:v>
                </c:pt>
                <c:pt idx="33">
                  <c:v>7522.3529411764703</c:v>
                </c:pt>
                <c:pt idx="34">
                  <c:v>7455.1724137931033</c:v>
                </c:pt>
                <c:pt idx="35">
                  <c:v>7334.065934065934</c:v>
                </c:pt>
                <c:pt idx="36">
                  <c:v>7334.065934065934</c:v>
                </c:pt>
                <c:pt idx="37">
                  <c:v>7705.3191489361698</c:v>
                </c:pt>
                <c:pt idx="38">
                  <c:v>7673.4693877551017</c:v>
                </c:pt>
                <c:pt idx="39">
                  <c:v>7652.4271844660198</c:v>
                </c:pt>
                <c:pt idx="40">
                  <c:v>7552.336448598131</c:v>
                </c:pt>
                <c:pt idx="41">
                  <c:v>7549.54128440367</c:v>
                </c:pt>
                <c:pt idx="42">
                  <c:v>7549.54128440367</c:v>
                </c:pt>
                <c:pt idx="43">
                  <c:v>7535.454545454545</c:v>
                </c:pt>
                <c:pt idx="44">
                  <c:v>7492.0353982300885</c:v>
                </c:pt>
                <c:pt idx="45">
                  <c:v>7512.0689655172409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100.59701492537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たかの2!$J$1:$J$2</c:f>
              <c:strCache>
                <c:ptCount val="2"/>
                <c:pt idx="0">
                  <c:v>たかの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たかの2!$J$3:$J$48</c:f>
              <c:numCache>
                <c:formatCode>0</c:formatCode>
                <c:ptCount val="46"/>
                <c:pt idx="1">
                  <c:v>-8000</c:v>
                </c:pt>
                <c:pt idx="2">
                  <c:v>-8000</c:v>
                </c:pt>
                <c:pt idx="3">
                  <c:v>-6200</c:v>
                </c:pt>
                <c:pt idx="4">
                  <c:v>-6575</c:v>
                </c:pt>
                <c:pt idx="5">
                  <c:v>-7550</c:v>
                </c:pt>
                <c:pt idx="6">
                  <c:v>-7571.4285714285716</c:v>
                </c:pt>
                <c:pt idx="7">
                  <c:v>-7100</c:v>
                </c:pt>
                <c:pt idx="8">
                  <c:v>-6780</c:v>
                </c:pt>
                <c:pt idx="9">
                  <c:v>-6890.909090909091</c:v>
                </c:pt>
                <c:pt idx="10">
                  <c:v>-6483.333333333333</c:v>
                </c:pt>
                <c:pt idx="11">
                  <c:v>-7414.2857142857147</c:v>
                </c:pt>
                <c:pt idx="12">
                  <c:v>-7317.6470588235297</c:v>
                </c:pt>
                <c:pt idx="13">
                  <c:v>-7157.894736842105</c:v>
                </c:pt>
                <c:pt idx="14">
                  <c:v>-7157.894736842105</c:v>
                </c:pt>
                <c:pt idx="15">
                  <c:v>-6900</c:v>
                </c:pt>
                <c:pt idx="16">
                  <c:v>-6727.272727272727</c:v>
                </c:pt>
                <c:pt idx="17">
                  <c:v>-6628</c:v>
                </c:pt>
                <c:pt idx="18">
                  <c:v>-6669.2307692307695</c:v>
                </c:pt>
                <c:pt idx="19">
                  <c:v>-6637.0370370370374</c:v>
                </c:pt>
                <c:pt idx="20">
                  <c:v>-6607.1428571428569</c:v>
                </c:pt>
                <c:pt idx="21">
                  <c:v>-7290.322580645161</c:v>
                </c:pt>
                <c:pt idx="22">
                  <c:v>-7290.322580645161</c:v>
                </c:pt>
                <c:pt idx="23">
                  <c:v>-7002.8571428571431</c:v>
                </c:pt>
                <c:pt idx="24">
                  <c:v>-7022.2222222222226</c:v>
                </c:pt>
                <c:pt idx="25">
                  <c:v>-6915.7894736842109</c:v>
                </c:pt>
                <c:pt idx="26">
                  <c:v>-7370</c:v>
                </c:pt>
                <c:pt idx="27">
                  <c:v>-7518.181818181818</c:v>
                </c:pt>
                <c:pt idx="28">
                  <c:v>-7518.181818181818</c:v>
                </c:pt>
                <c:pt idx="29">
                  <c:v>-7518.181818181818</c:v>
                </c:pt>
                <c:pt idx="30">
                  <c:v>-7539.130434782609</c:v>
                </c:pt>
                <c:pt idx="31">
                  <c:v>-7620.408163265306</c:v>
                </c:pt>
                <c:pt idx="32">
                  <c:v>-7708</c:v>
                </c:pt>
                <c:pt idx="33">
                  <c:v>-7582.3529411764703</c:v>
                </c:pt>
                <c:pt idx="34">
                  <c:v>-7775.9259259259261</c:v>
                </c:pt>
                <c:pt idx="35">
                  <c:v>-7775.9259259259261</c:v>
                </c:pt>
                <c:pt idx="36">
                  <c:v>-7800</c:v>
                </c:pt>
                <c:pt idx="37">
                  <c:v>-7800</c:v>
                </c:pt>
                <c:pt idx="38">
                  <c:v>-7798.3050847457625</c:v>
                </c:pt>
                <c:pt idx="39">
                  <c:v>-7798.3050847457625</c:v>
                </c:pt>
                <c:pt idx="40">
                  <c:v>-8100</c:v>
                </c:pt>
                <c:pt idx="41">
                  <c:v>-8092.063492063492</c:v>
                </c:pt>
                <c:pt idx="42">
                  <c:v>-8153.125</c:v>
                </c:pt>
                <c:pt idx="43">
                  <c:v>-8520</c:v>
                </c:pt>
                <c:pt idx="44">
                  <c:v>-8572.7272727272721</c:v>
                </c:pt>
                <c:pt idx="45">
                  <c:v>-8572.7272727272721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10.9090909090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たかの2!$K$1:$K$2</c:f>
              <c:strCache>
                <c:ptCount val="2"/>
                <c:pt idx="0">
                  <c:v>たかの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たかの2!$K$3:$K$48</c:f>
              <c:numCache>
                <c:formatCode>0.0%</c:formatCode>
                <c:ptCount val="4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3.8461538461538464E-2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3.2258064516129031E-2</c:v>
                </c:pt>
                <c:pt idx="32">
                  <c:v>3.125E-2</c:v>
                </c:pt>
                <c:pt idx="33">
                  <c:v>3.0303030303030304E-2</c:v>
                </c:pt>
                <c:pt idx="34">
                  <c:v>2.9411764705882353E-2</c:v>
                </c:pt>
                <c:pt idx="35">
                  <c:v>2.8571428571428571E-2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7.1428571428571425E-2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8.8888888888888892E-2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77192982456140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たかの2!$L$1:$L$2</c:f>
              <c:strCache>
                <c:ptCount val="2"/>
                <c:pt idx="0">
                  <c:v>たかの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たかの2!$L$3:$L$48</c:f>
              <c:numCache>
                <c:formatCode>0.0%</c:formatCode>
                <c:ptCount val="46"/>
                <c:pt idx="1">
                  <c:v>0.22222222222222221</c:v>
                </c:pt>
                <c:pt idx="2">
                  <c:v>0.29411764705882354</c:v>
                </c:pt>
                <c:pt idx="3">
                  <c:v>0.24</c:v>
                </c:pt>
                <c:pt idx="4">
                  <c:v>0.27777777777777779</c:v>
                </c:pt>
                <c:pt idx="5">
                  <c:v>0.2608695652173913</c:v>
                </c:pt>
                <c:pt idx="6">
                  <c:v>0.28301886792452829</c:v>
                </c:pt>
                <c:pt idx="7">
                  <c:v>0.28125</c:v>
                </c:pt>
                <c:pt idx="8">
                  <c:v>0.3</c:v>
                </c:pt>
                <c:pt idx="9">
                  <c:v>0.29487179487179488</c:v>
                </c:pt>
                <c:pt idx="10">
                  <c:v>0.27058823529411763</c:v>
                </c:pt>
                <c:pt idx="11">
                  <c:v>0.27551020408163263</c:v>
                </c:pt>
                <c:pt idx="12">
                  <c:v>0.25925925925925924</c:v>
                </c:pt>
                <c:pt idx="13">
                  <c:v>0.23728813559322035</c:v>
                </c:pt>
                <c:pt idx="14">
                  <c:v>0.24603174603174602</c:v>
                </c:pt>
                <c:pt idx="15">
                  <c:v>0.25</c:v>
                </c:pt>
                <c:pt idx="16">
                  <c:v>0.25874125874125875</c:v>
                </c:pt>
                <c:pt idx="17">
                  <c:v>0.25333333333333335</c:v>
                </c:pt>
                <c:pt idx="18">
                  <c:v>0.25157232704402516</c:v>
                </c:pt>
                <c:pt idx="19">
                  <c:v>0.25595238095238093</c:v>
                </c:pt>
                <c:pt idx="20">
                  <c:v>0.25988700564971751</c:v>
                </c:pt>
                <c:pt idx="21">
                  <c:v>0.2513089005235602</c:v>
                </c:pt>
                <c:pt idx="22">
                  <c:v>0.25</c:v>
                </c:pt>
                <c:pt idx="23">
                  <c:v>0.24766355140186916</c:v>
                </c:pt>
                <c:pt idx="24">
                  <c:v>0.25675675675675674</c:v>
                </c:pt>
                <c:pt idx="25">
                  <c:v>0.25541125541125542</c:v>
                </c:pt>
                <c:pt idx="26">
                  <c:v>0.26359832635983266</c:v>
                </c:pt>
                <c:pt idx="27">
                  <c:v>0.27016129032258063</c:v>
                </c:pt>
                <c:pt idx="28">
                  <c:v>0.27450980392156865</c:v>
                </c:pt>
                <c:pt idx="29">
                  <c:v>0.26717557251908397</c:v>
                </c:pt>
                <c:pt idx="30">
                  <c:v>0.27238805970149255</c:v>
                </c:pt>
                <c:pt idx="31">
                  <c:v>0.27898550724637683</c:v>
                </c:pt>
                <c:pt idx="32">
                  <c:v>0.27464788732394368</c:v>
                </c:pt>
                <c:pt idx="33">
                  <c:v>0.27491408934707906</c:v>
                </c:pt>
                <c:pt idx="34">
                  <c:v>0.27181208053691275</c:v>
                </c:pt>
                <c:pt idx="35">
                  <c:v>0.27450980392156865</c:v>
                </c:pt>
                <c:pt idx="36">
                  <c:v>0.26984126984126983</c:v>
                </c:pt>
                <c:pt idx="37">
                  <c:v>0.2664576802507837</c:v>
                </c:pt>
                <c:pt idx="38">
                  <c:v>0.26605504587155965</c:v>
                </c:pt>
                <c:pt idx="39">
                  <c:v>0.26470588235294118</c:v>
                </c:pt>
                <c:pt idx="40">
                  <c:v>0.26</c:v>
                </c:pt>
                <c:pt idx="41">
                  <c:v>0.26098901098901101</c:v>
                </c:pt>
                <c:pt idx="42">
                  <c:v>0.260752688172043</c:v>
                </c:pt>
                <c:pt idx="43">
                  <c:v>0.26109660574412535</c:v>
                </c:pt>
                <c:pt idx="44">
                  <c:v>0.25765306122448978</c:v>
                </c:pt>
                <c:pt idx="45">
                  <c:v>0.26250000000000001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4600116754232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たかの2!$M$1:$M$2</c:f>
              <c:strCache>
                <c:ptCount val="2"/>
                <c:pt idx="0">
                  <c:v>たかの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たかの2!$M$3:$M$48</c:f>
              <c:numCache>
                <c:formatCode>0.0%</c:formatCode>
                <c:ptCount val="46"/>
                <c:pt idx="1">
                  <c:v>0.55555555555555558</c:v>
                </c:pt>
                <c:pt idx="2">
                  <c:v>0.47058823529411764</c:v>
                </c:pt>
                <c:pt idx="3">
                  <c:v>0.52</c:v>
                </c:pt>
                <c:pt idx="4">
                  <c:v>0.44444444444444442</c:v>
                </c:pt>
                <c:pt idx="5">
                  <c:v>0.43478260869565216</c:v>
                </c:pt>
                <c:pt idx="6">
                  <c:v>0.43396226415094341</c:v>
                </c:pt>
                <c:pt idx="7">
                  <c:v>0.40625</c:v>
                </c:pt>
                <c:pt idx="8">
                  <c:v>0.38571428571428573</c:v>
                </c:pt>
                <c:pt idx="9">
                  <c:v>0.37179487179487181</c:v>
                </c:pt>
                <c:pt idx="10">
                  <c:v>0.37647058823529411</c:v>
                </c:pt>
                <c:pt idx="11">
                  <c:v>0.37755102040816324</c:v>
                </c:pt>
                <c:pt idx="12">
                  <c:v>0.35185185185185186</c:v>
                </c:pt>
                <c:pt idx="13">
                  <c:v>0.34745762711864409</c:v>
                </c:pt>
                <c:pt idx="14">
                  <c:v>0.34126984126984128</c:v>
                </c:pt>
                <c:pt idx="15">
                  <c:v>0.33088235294117646</c:v>
                </c:pt>
                <c:pt idx="16">
                  <c:v>0.33566433566433568</c:v>
                </c:pt>
                <c:pt idx="17">
                  <c:v>0.32</c:v>
                </c:pt>
                <c:pt idx="18">
                  <c:v>0.32075471698113206</c:v>
                </c:pt>
                <c:pt idx="19">
                  <c:v>0.30952380952380953</c:v>
                </c:pt>
                <c:pt idx="20">
                  <c:v>0.29378531073446329</c:v>
                </c:pt>
                <c:pt idx="21">
                  <c:v>0.30366492146596857</c:v>
                </c:pt>
                <c:pt idx="22">
                  <c:v>0.315</c:v>
                </c:pt>
                <c:pt idx="23">
                  <c:v>0.30373831775700932</c:v>
                </c:pt>
                <c:pt idx="24">
                  <c:v>0.29729729729729731</c:v>
                </c:pt>
                <c:pt idx="25">
                  <c:v>0.30735930735930733</c:v>
                </c:pt>
                <c:pt idx="26">
                  <c:v>0.29707112970711297</c:v>
                </c:pt>
                <c:pt idx="27">
                  <c:v>0.29435483870967744</c:v>
                </c:pt>
                <c:pt idx="28">
                  <c:v>0.29803921568627451</c:v>
                </c:pt>
                <c:pt idx="29">
                  <c:v>0.29770992366412213</c:v>
                </c:pt>
                <c:pt idx="30">
                  <c:v>0.29477611940298509</c:v>
                </c:pt>
                <c:pt idx="31">
                  <c:v>0.29347826086956524</c:v>
                </c:pt>
                <c:pt idx="32">
                  <c:v>0.29577464788732394</c:v>
                </c:pt>
                <c:pt idx="33">
                  <c:v>0.29553264604810997</c:v>
                </c:pt>
                <c:pt idx="34">
                  <c:v>0.29194630872483224</c:v>
                </c:pt>
                <c:pt idx="35">
                  <c:v>0.29738562091503268</c:v>
                </c:pt>
                <c:pt idx="36">
                  <c:v>0.29841269841269841</c:v>
                </c:pt>
                <c:pt idx="37">
                  <c:v>0.30094043887147337</c:v>
                </c:pt>
                <c:pt idx="38">
                  <c:v>0.29969418960244648</c:v>
                </c:pt>
                <c:pt idx="39">
                  <c:v>0.30294117647058821</c:v>
                </c:pt>
                <c:pt idx="40">
                  <c:v>0.30857142857142855</c:v>
                </c:pt>
                <c:pt idx="41">
                  <c:v>0.30769230769230771</c:v>
                </c:pt>
                <c:pt idx="42">
                  <c:v>0.30376344086021506</c:v>
                </c:pt>
                <c:pt idx="43">
                  <c:v>0.30026109660574413</c:v>
                </c:pt>
                <c:pt idx="44">
                  <c:v>0.29846938775510207</c:v>
                </c:pt>
                <c:pt idx="45">
                  <c:v>0.29749999999999999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7086981903093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たかの2!$N$1:$N$2</c:f>
              <c:strCache>
                <c:ptCount val="2"/>
                <c:pt idx="0">
                  <c:v>たかの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たかの2!$N$3:$N$48</c:f>
              <c:numCache>
                <c:formatCode>0.0%</c:formatCode>
                <c:ptCount val="46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0.4</c:v>
                </c:pt>
                <c:pt idx="5">
                  <c:v>0.41666666666666669</c:v>
                </c:pt>
                <c:pt idx="6">
                  <c:v>0.46666666666666667</c:v>
                </c:pt>
                <c:pt idx="7">
                  <c:v>0.44444444444444442</c:v>
                </c:pt>
                <c:pt idx="8">
                  <c:v>0.42857142857142855</c:v>
                </c:pt>
                <c:pt idx="9">
                  <c:v>0.43478260869565216</c:v>
                </c:pt>
                <c:pt idx="10">
                  <c:v>0.43478260869565216</c:v>
                </c:pt>
                <c:pt idx="11">
                  <c:v>0.44444444444444442</c:v>
                </c:pt>
                <c:pt idx="12">
                  <c:v>0.42857142857142855</c:v>
                </c:pt>
                <c:pt idx="13">
                  <c:v>0.42857142857142855</c:v>
                </c:pt>
                <c:pt idx="14">
                  <c:v>0.45161290322580644</c:v>
                </c:pt>
                <c:pt idx="15">
                  <c:v>0.44117647058823528</c:v>
                </c:pt>
                <c:pt idx="16">
                  <c:v>0.45945945945945948</c:v>
                </c:pt>
                <c:pt idx="17">
                  <c:v>0.44736842105263158</c:v>
                </c:pt>
                <c:pt idx="18">
                  <c:v>0.45</c:v>
                </c:pt>
                <c:pt idx="19">
                  <c:v>0.44186046511627908</c:v>
                </c:pt>
                <c:pt idx="20">
                  <c:v>0.43478260869565216</c:v>
                </c:pt>
                <c:pt idx="21">
                  <c:v>0.41666666666666669</c:v>
                </c:pt>
                <c:pt idx="22">
                  <c:v>0.4</c:v>
                </c:pt>
                <c:pt idx="23">
                  <c:v>0.43396226415094341</c:v>
                </c:pt>
                <c:pt idx="24">
                  <c:v>0.42105263157894735</c:v>
                </c:pt>
                <c:pt idx="25">
                  <c:v>0.44067796610169491</c:v>
                </c:pt>
                <c:pt idx="26">
                  <c:v>0.46031746031746029</c:v>
                </c:pt>
                <c:pt idx="27">
                  <c:v>0.46268656716417911</c:v>
                </c:pt>
                <c:pt idx="28">
                  <c:v>0.47142857142857142</c:v>
                </c:pt>
                <c:pt idx="29">
                  <c:v>0.47142857142857142</c:v>
                </c:pt>
                <c:pt idx="30">
                  <c:v>0.46575342465753422</c:v>
                </c:pt>
                <c:pt idx="31">
                  <c:v>0.48051948051948051</c:v>
                </c:pt>
                <c:pt idx="32">
                  <c:v>0.47435897435897434</c:v>
                </c:pt>
                <c:pt idx="33">
                  <c:v>0.46250000000000002</c:v>
                </c:pt>
                <c:pt idx="34">
                  <c:v>0.46913580246913578</c:v>
                </c:pt>
                <c:pt idx="35">
                  <c:v>0.47619047619047616</c:v>
                </c:pt>
                <c:pt idx="36">
                  <c:v>0.47058823529411764</c:v>
                </c:pt>
                <c:pt idx="37">
                  <c:v>0.47058823529411764</c:v>
                </c:pt>
                <c:pt idx="38">
                  <c:v>0.47126436781609193</c:v>
                </c:pt>
                <c:pt idx="39">
                  <c:v>0.46666666666666667</c:v>
                </c:pt>
                <c:pt idx="40">
                  <c:v>0.46153846153846156</c:v>
                </c:pt>
                <c:pt idx="41">
                  <c:v>0.45263157894736844</c:v>
                </c:pt>
                <c:pt idx="42">
                  <c:v>0.44329896907216493</c:v>
                </c:pt>
                <c:pt idx="43">
                  <c:v>0.43</c:v>
                </c:pt>
                <c:pt idx="44">
                  <c:v>0.43564356435643564</c:v>
                </c:pt>
                <c:pt idx="45">
                  <c:v>0.43809523809523809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20286396181384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たかの2!$O$1:$O$2</c:f>
              <c:strCache>
                <c:ptCount val="2"/>
                <c:pt idx="0">
                  <c:v>たかの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たかの2!$O$3:$O$48</c:f>
              <c:numCache>
                <c:formatCode>0.0%</c:formatCode>
                <c:ptCount val="46"/>
                <c:pt idx="1">
                  <c:v>0.6</c:v>
                </c:pt>
                <c:pt idx="2">
                  <c:v>0.625</c:v>
                </c:pt>
                <c:pt idx="3">
                  <c:v>0.53846153846153844</c:v>
                </c:pt>
                <c:pt idx="4">
                  <c:v>0.4375</c:v>
                </c:pt>
                <c:pt idx="5">
                  <c:v>0.4</c:v>
                </c:pt>
                <c:pt idx="6">
                  <c:v>0.39130434782608697</c:v>
                </c:pt>
                <c:pt idx="7">
                  <c:v>0.42307692307692307</c:v>
                </c:pt>
                <c:pt idx="8">
                  <c:v>0.44444444444444442</c:v>
                </c:pt>
                <c:pt idx="9">
                  <c:v>0.44827586206896552</c:v>
                </c:pt>
                <c:pt idx="10">
                  <c:v>0.4375</c:v>
                </c:pt>
                <c:pt idx="11">
                  <c:v>0.45945945945945948</c:v>
                </c:pt>
                <c:pt idx="12">
                  <c:v>0.47368421052631576</c:v>
                </c:pt>
                <c:pt idx="13">
                  <c:v>0.43902439024390244</c:v>
                </c:pt>
                <c:pt idx="14">
                  <c:v>0.44186046511627908</c:v>
                </c:pt>
                <c:pt idx="15">
                  <c:v>0.46666666666666667</c:v>
                </c:pt>
                <c:pt idx="16">
                  <c:v>0.45833333333333331</c:v>
                </c:pt>
                <c:pt idx="17">
                  <c:v>0.45833333333333331</c:v>
                </c:pt>
                <c:pt idx="18">
                  <c:v>0.47058823529411764</c:v>
                </c:pt>
                <c:pt idx="19">
                  <c:v>0.48076923076923078</c:v>
                </c:pt>
                <c:pt idx="20">
                  <c:v>0.48076923076923078</c:v>
                </c:pt>
                <c:pt idx="21">
                  <c:v>0.43103448275862066</c:v>
                </c:pt>
                <c:pt idx="22">
                  <c:v>0.42857142857142855</c:v>
                </c:pt>
                <c:pt idx="23">
                  <c:v>0.41538461538461541</c:v>
                </c:pt>
                <c:pt idx="24">
                  <c:v>0.40909090909090912</c:v>
                </c:pt>
                <c:pt idx="25">
                  <c:v>0.42253521126760563</c:v>
                </c:pt>
                <c:pt idx="26">
                  <c:v>0.42253521126760563</c:v>
                </c:pt>
                <c:pt idx="27">
                  <c:v>0.42465753424657532</c:v>
                </c:pt>
                <c:pt idx="28">
                  <c:v>0.40789473684210525</c:v>
                </c:pt>
                <c:pt idx="29">
                  <c:v>0.39743589743589741</c:v>
                </c:pt>
                <c:pt idx="30">
                  <c:v>0.39240506329113922</c:v>
                </c:pt>
                <c:pt idx="31">
                  <c:v>0.39506172839506171</c:v>
                </c:pt>
                <c:pt idx="32">
                  <c:v>0.38095238095238093</c:v>
                </c:pt>
                <c:pt idx="33">
                  <c:v>0.38372093023255816</c:v>
                </c:pt>
                <c:pt idx="34">
                  <c:v>0.39080459770114945</c:v>
                </c:pt>
                <c:pt idx="35">
                  <c:v>0.39560439560439559</c:v>
                </c:pt>
                <c:pt idx="36">
                  <c:v>0.38297872340425532</c:v>
                </c:pt>
                <c:pt idx="37">
                  <c:v>0.39583333333333331</c:v>
                </c:pt>
                <c:pt idx="38">
                  <c:v>0.40816326530612246</c:v>
                </c:pt>
                <c:pt idx="39">
                  <c:v>0.40776699029126212</c:v>
                </c:pt>
                <c:pt idx="40">
                  <c:v>0.41666666666666669</c:v>
                </c:pt>
                <c:pt idx="41">
                  <c:v>0.4107142857142857</c:v>
                </c:pt>
                <c:pt idx="42">
                  <c:v>0.40707964601769914</c:v>
                </c:pt>
                <c:pt idx="43">
                  <c:v>0.40869565217391307</c:v>
                </c:pt>
                <c:pt idx="44">
                  <c:v>0.40170940170940173</c:v>
                </c:pt>
                <c:pt idx="45">
                  <c:v>0.40336134453781514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6169665809768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たかの2!$P$1:$P$2</c:f>
              <c:strCache>
                <c:ptCount val="2"/>
                <c:pt idx="0">
                  <c:v>たかの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たかの2!$P$3:$P$48</c:f>
              <c:numCache>
                <c:formatCode>0.0%</c:formatCode>
                <c:ptCount val="46"/>
                <c:pt idx="1">
                  <c:v>0.75</c:v>
                </c:pt>
                <c:pt idx="2">
                  <c:v>0.5714285714285714</c:v>
                </c:pt>
                <c:pt idx="3">
                  <c:v>0.5</c:v>
                </c:pt>
                <c:pt idx="4">
                  <c:v>0.5</c:v>
                </c:pt>
                <c:pt idx="5">
                  <c:v>0.53333333333333333</c:v>
                </c:pt>
                <c:pt idx="6">
                  <c:v>0.55555555555555558</c:v>
                </c:pt>
                <c:pt idx="7">
                  <c:v>0.59090909090909094</c:v>
                </c:pt>
                <c:pt idx="8">
                  <c:v>0.56000000000000005</c:v>
                </c:pt>
                <c:pt idx="9">
                  <c:v>0.5357142857142857</c:v>
                </c:pt>
                <c:pt idx="10">
                  <c:v>0.51724137931034486</c:v>
                </c:pt>
                <c:pt idx="11">
                  <c:v>0.5</c:v>
                </c:pt>
                <c:pt idx="12">
                  <c:v>0.51428571428571423</c:v>
                </c:pt>
                <c:pt idx="13">
                  <c:v>0.51428571428571423</c:v>
                </c:pt>
                <c:pt idx="14">
                  <c:v>0.53846153846153844</c:v>
                </c:pt>
                <c:pt idx="15">
                  <c:v>0.5</c:v>
                </c:pt>
                <c:pt idx="16">
                  <c:v>0.48888888888888887</c:v>
                </c:pt>
                <c:pt idx="17">
                  <c:v>0.48888888888888887</c:v>
                </c:pt>
                <c:pt idx="18">
                  <c:v>0.5</c:v>
                </c:pt>
                <c:pt idx="19">
                  <c:v>0.50980392156862742</c:v>
                </c:pt>
                <c:pt idx="20">
                  <c:v>0.49090909090909091</c:v>
                </c:pt>
                <c:pt idx="21">
                  <c:v>0.5</c:v>
                </c:pt>
                <c:pt idx="22">
                  <c:v>0.5</c:v>
                </c:pt>
                <c:pt idx="23">
                  <c:v>0.50793650793650791</c:v>
                </c:pt>
                <c:pt idx="24">
                  <c:v>0.52307692307692311</c:v>
                </c:pt>
                <c:pt idx="25">
                  <c:v>0.51428571428571423</c:v>
                </c:pt>
                <c:pt idx="26">
                  <c:v>0.49315068493150682</c:v>
                </c:pt>
                <c:pt idx="27">
                  <c:v>0.47368421052631576</c:v>
                </c:pt>
                <c:pt idx="28">
                  <c:v>0.48717948717948717</c:v>
                </c:pt>
                <c:pt idx="29">
                  <c:v>0.48717948717948717</c:v>
                </c:pt>
                <c:pt idx="30">
                  <c:v>0.49367088607594939</c:v>
                </c:pt>
                <c:pt idx="31">
                  <c:v>0.48192771084337349</c:v>
                </c:pt>
                <c:pt idx="32">
                  <c:v>0.48809523809523808</c:v>
                </c:pt>
                <c:pt idx="33">
                  <c:v>0.49411764705882355</c:v>
                </c:pt>
                <c:pt idx="34">
                  <c:v>0.4942528735632184</c:v>
                </c:pt>
                <c:pt idx="35">
                  <c:v>0.48351648351648352</c:v>
                </c:pt>
                <c:pt idx="36">
                  <c:v>0.48351648351648352</c:v>
                </c:pt>
                <c:pt idx="37">
                  <c:v>0.47872340425531917</c:v>
                </c:pt>
                <c:pt idx="38">
                  <c:v>0.48979591836734693</c:v>
                </c:pt>
                <c:pt idx="39">
                  <c:v>0.46601941747572817</c:v>
                </c:pt>
                <c:pt idx="40">
                  <c:v>0.46728971962616822</c:v>
                </c:pt>
                <c:pt idx="41">
                  <c:v>0.46788990825688076</c:v>
                </c:pt>
                <c:pt idx="42">
                  <c:v>0.46788990825688076</c:v>
                </c:pt>
                <c:pt idx="43">
                  <c:v>0.47272727272727272</c:v>
                </c:pt>
                <c:pt idx="44">
                  <c:v>0.46017699115044247</c:v>
                </c:pt>
                <c:pt idx="45">
                  <c:v>0.46551724137931033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5771144278606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I49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6" x14ac:dyDescent="0.4">
      <c r="A1" s="1">
        <v>32874</v>
      </c>
      <c r="B1" s="1">
        <v>2958465</v>
      </c>
    </row>
    <row r="2" spans="1:6" x14ac:dyDescent="0.4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">
      <c r="A7" s="2" t="s">
        <v>218</v>
      </c>
      <c r="B7" s="3">
        <v>44118.006006944444</v>
      </c>
      <c r="C7" s="2" t="s">
        <v>127</v>
      </c>
    </row>
    <row r="8" spans="1:6" x14ac:dyDescent="0.4">
      <c r="A8" s="2" t="s">
        <v>219</v>
      </c>
      <c r="B8" s="3">
        <v>44118.006006944444</v>
      </c>
      <c r="C8" s="2" t="s">
        <v>127</v>
      </c>
    </row>
    <row r="9" spans="1:6" x14ac:dyDescent="0.4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">
      <c r="A10" s="2" t="s">
        <v>222</v>
      </c>
      <c r="B10" s="3">
        <v>44118.006006944444</v>
      </c>
      <c r="C10" s="2" t="s">
        <v>127</v>
      </c>
    </row>
    <row r="11" spans="1:6" x14ac:dyDescent="0.4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">
      <c r="A13" s="2" t="s">
        <v>225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">
      <c r="A14" s="2" t="s">
        <v>226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">
      <c r="A15" s="2" t="s">
        <v>227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">
      <c r="A16" s="2" t="s">
        <v>228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9" x14ac:dyDescent="0.4">
      <c r="A17" s="2" t="s">
        <v>229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9" x14ac:dyDescent="0.4">
      <c r="A18" s="2" t="s">
        <v>230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9" x14ac:dyDescent="0.4">
      <c r="A19" s="2" t="s">
        <v>231</v>
      </c>
      <c r="B19" s="3">
        <v>44126.860625000001</v>
      </c>
      <c r="C19" s="2" t="s">
        <v>127</v>
      </c>
      <c r="D19" s="2" t="s">
        <v>188</v>
      </c>
    </row>
    <row r="20" spans="1:9" x14ac:dyDescent="0.4">
      <c r="A20" s="2" t="s">
        <v>232</v>
      </c>
      <c r="B20" s="3">
        <v>44127.875057870369</v>
      </c>
      <c r="C20" s="2" t="s">
        <v>127</v>
      </c>
      <c r="D20" s="2" t="s">
        <v>188</v>
      </c>
    </row>
    <row r="21" spans="1:9" x14ac:dyDescent="0.4">
      <c r="A21" s="2" t="s">
        <v>233</v>
      </c>
      <c r="B21" s="3">
        <v>44129.719571759262</v>
      </c>
      <c r="C21" s="2" t="s">
        <v>127</v>
      </c>
      <c r="D21" s="2" t="s">
        <v>188</v>
      </c>
    </row>
    <row r="22" spans="1:9" x14ac:dyDescent="0.4">
      <c r="A22" s="2" t="s">
        <v>234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9" x14ac:dyDescent="0.4">
      <c r="A23" s="2" t="s">
        <v>235</v>
      </c>
      <c r="B23" s="3">
        <v>44131.760706018518</v>
      </c>
      <c r="C23" s="2" t="s">
        <v>127</v>
      </c>
      <c r="D23" s="2" t="s">
        <v>188</v>
      </c>
    </row>
    <row r="24" spans="1:9" x14ac:dyDescent="0.4">
      <c r="A24" s="2" t="s">
        <v>236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9" x14ac:dyDescent="0.4">
      <c r="A25" s="2" t="s">
        <v>237</v>
      </c>
      <c r="B25" s="3">
        <v>44133.763518518521</v>
      </c>
      <c r="C25" s="2" t="s">
        <v>127</v>
      </c>
      <c r="D25" s="2" t="s">
        <v>188</v>
      </c>
    </row>
    <row r="26" spans="1:9" x14ac:dyDescent="0.4">
      <c r="A26" s="2" t="s">
        <v>238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239</v>
      </c>
    </row>
    <row r="27" spans="1:9" x14ac:dyDescent="0.4">
      <c r="A27" s="2" t="s">
        <v>240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9" x14ac:dyDescent="0.4">
      <c r="A28" s="2" t="s">
        <v>241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9" x14ac:dyDescent="0.4">
      <c r="A29" s="2" t="s">
        <v>242</v>
      </c>
      <c r="B29" s="3">
        <v>44147.875798611109</v>
      </c>
      <c r="C29" s="2" t="s">
        <v>127</v>
      </c>
      <c r="D29" s="2" t="s">
        <v>188</v>
      </c>
    </row>
    <row r="30" spans="1:9" x14ac:dyDescent="0.4">
      <c r="A30" s="2" t="s">
        <v>243</v>
      </c>
      <c r="B30" s="3">
        <v>44150.099849537037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239</v>
      </c>
      <c r="H30" s="2" t="s">
        <v>245</v>
      </c>
      <c r="I30" s="2" t="s">
        <v>244</v>
      </c>
    </row>
    <row r="31" spans="1:9" x14ac:dyDescent="0.4">
      <c r="A31" s="2" t="s">
        <v>246</v>
      </c>
      <c r="B31" s="3">
        <v>44150.72215277778</v>
      </c>
      <c r="C31" s="2" t="s">
        <v>127</v>
      </c>
      <c r="D31" s="2" t="s">
        <v>188</v>
      </c>
    </row>
    <row r="32" spans="1:9" x14ac:dyDescent="0.4">
      <c r="A32" s="2" t="s">
        <v>247</v>
      </c>
      <c r="B32" s="3">
        <v>44152.771898148145</v>
      </c>
      <c r="C32" s="2" t="s">
        <v>127</v>
      </c>
      <c r="D32" s="2" t="s">
        <v>188</v>
      </c>
    </row>
    <row r="33" spans="1:7" x14ac:dyDescent="0.4">
      <c r="A33" s="2" t="s">
        <v>248</v>
      </c>
      <c r="B33" s="3">
        <v>44153.792916666665</v>
      </c>
      <c r="C33" s="2" t="s">
        <v>127</v>
      </c>
      <c r="D33" s="2" t="s">
        <v>188</v>
      </c>
      <c r="E33" s="2" t="s">
        <v>191</v>
      </c>
      <c r="F33" s="2" t="s">
        <v>194</v>
      </c>
      <c r="G33" s="2" t="s">
        <v>239</v>
      </c>
    </row>
    <row r="34" spans="1:7" x14ac:dyDescent="0.4">
      <c r="A34" s="2" t="s">
        <v>249</v>
      </c>
      <c r="B34" s="3">
        <v>44155.643067129633</v>
      </c>
      <c r="C34" s="2" t="s">
        <v>127</v>
      </c>
      <c r="D34" s="2" t="s">
        <v>188</v>
      </c>
      <c r="E34" s="2" t="s">
        <v>191</v>
      </c>
    </row>
    <row r="35" spans="1:7" x14ac:dyDescent="0.4">
      <c r="A35" s="2" t="s">
        <v>250</v>
      </c>
      <c r="B35" s="3">
        <v>44155.656064814815</v>
      </c>
      <c r="C35" s="2" t="s">
        <v>127</v>
      </c>
      <c r="D35" s="2" t="s">
        <v>188</v>
      </c>
    </row>
    <row r="36" spans="1:7" x14ac:dyDescent="0.4">
      <c r="A36" s="2" t="s">
        <v>251</v>
      </c>
      <c r="B36" s="3">
        <v>44156.833032407405</v>
      </c>
      <c r="C36" s="2" t="s">
        <v>127</v>
      </c>
      <c r="D36" s="2" t="s">
        <v>188</v>
      </c>
    </row>
    <row r="37" spans="1:7" x14ac:dyDescent="0.4">
      <c r="A37" s="2" t="s">
        <v>252</v>
      </c>
      <c r="B37" s="3">
        <v>44157.735578703701</v>
      </c>
      <c r="C37" s="2" t="s">
        <v>127</v>
      </c>
      <c r="D37" s="2" t="s">
        <v>188</v>
      </c>
    </row>
    <row r="38" spans="1:7" x14ac:dyDescent="0.4">
      <c r="A38" s="2" t="s">
        <v>253</v>
      </c>
      <c r="B38" s="3">
        <v>44158.781689814816</v>
      </c>
      <c r="C38" s="2" t="s">
        <v>127</v>
      </c>
      <c r="D38" s="2" t="s">
        <v>188</v>
      </c>
    </row>
    <row r="39" spans="1:7" x14ac:dyDescent="0.4">
      <c r="A39" s="2" t="s">
        <v>254</v>
      </c>
      <c r="B39" s="3">
        <v>44159.713333333333</v>
      </c>
      <c r="C39" s="2" t="s">
        <v>127</v>
      </c>
      <c r="D39" s="2" t="s">
        <v>188</v>
      </c>
    </row>
    <row r="40" spans="1:7" x14ac:dyDescent="0.4">
      <c r="A40" s="2" t="s">
        <v>255</v>
      </c>
      <c r="B40" s="3">
        <v>44161.672418981485</v>
      </c>
      <c r="C40" s="2" t="s">
        <v>127</v>
      </c>
      <c r="D40" s="2" t="s">
        <v>188</v>
      </c>
    </row>
    <row r="41" spans="1:7" x14ac:dyDescent="0.4">
      <c r="A41" s="2" t="s">
        <v>256</v>
      </c>
      <c r="B41" s="3">
        <v>44162.759282407409</v>
      </c>
      <c r="C41" s="2" t="s">
        <v>127</v>
      </c>
      <c r="D41" s="2" t="s">
        <v>188</v>
      </c>
      <c r="E41" s="2" t="s">
        <v>191</v>
      </c>
    </row>
    <row r="42" spans="1:7" x14ac:dyDescent="0.4">
      <c r="A42" s="2" t="s">
        <v>257</v>
      </c>
      <c r="B42" s="3">
        <v>44165.013425925928</v>
      </c>
      <c r="C42" s="2" t="s">
        <v>127</v>
      </c>
      <c r="D42" s="2" t="s">
        <v>188</v>
      </c>
    </row>
    <row r="43" spans="1:7" x14ac:dyDescent="0.4">
      <c r="A43" s="2" t="s">
        <v>258</v>
      </c>
      <c r="B43" s="3">
        <v>44165.980567129627</v>
      </c>
      <c r="C43" s="2" t="s">
        <v>127</v>
      </c>
      <c r="D43" s="2" t="s">
        <v>188</v>
      </c>
      <c r="E43" s="2" t="s">
        <v>191</v>
      </c>
      <c r="F43" s="2" t="s">
        <v>194</v>
      </c>
    </row>
    <row r="44" spans="1:7" x14ac:dyDescent="0.4">
      <c r="A44" s="2" t="s">
        <v>260</v>
      </c>
      <c r="B44" s="3">
        <v>44166.763032407405</v>
      </c>
      <c r="C44" s="2" t="s">
        <v>127</v>
      </c>
      <c r="D44" s="2" t="s">
        <v>188</v>
      </c>
      <c r="E44" s="2" t="s">
        <v>191</v>
      </c>
      <c r="F44" s="2" t="s">
        <v>194</v>
      </c>
    </row>
    <row r="45" spans="1:7" x14ac:dyDescent="0.4">
      <c r="A45" s="2" t="s">
        <v>261</v>
      </c>
      <c r="B45" s="3">
        <v>44168.706261574072</v>
      </c>
      <c r="C45" s="2" t="s">
        <v>127</v>
      </c>
      <c r="D45" s="2" t="s">
        <v>188</v>
      </c>
      <c r="E45" s="2" t="s">
        <v>191</v>
      </c>
    </row>
    <row r="46" spans="1:7" x14ac:dyDescent="0.4">
      <c r="A46" s="2" t="s">
        <v>262</v>
      </c>
      <c r="B46" s="3">
        <v>44173.827592592592</v>
      </c>
      <c r="C46" s="2" t="s">
        <v>127</v>
      </c>
      <c r="D46" s="2" t="s">
        <v>188</v>
      </c>
      <c r="E46" s="2" t="s">
        <v>191</v>
      </c>
      <c r="F46" s="2" t="s">
        <v>194</v>
      </c>
    </row>
    <row r="47" spans="1:7" x14ac:dyDescent="0.4">
      <c r="A47" s="2" t="s">
        <v>264</v>
      </c>
      <c r="B47" s="3">
        <v>44174.98369212963</v>
      </c>
      <c r="C47" s="2" t="s">
        <v>127</v>
      </c>
      <c r="D47" s="2" t="s">
        <v>188</v>
      </c>
      <c r="E47" s="2" t="s">
        <v>191</v>
      </c>
    </row>
    <row r="48" spans="1:7" x14ac:dyDescent="0.4">
      <c r="A48" s="2" t="s">
        <v>265</v>
      </c>
      <c r="B48" s="3">
        <v>44175.828553240739</v>
      </c>
      <c r="C48" s="2" t="s">
        <v>127</v>
      </c>
    </row>
    <row r="49" spans="1:4" x14ac:dyDescent="0.4">
      <c r="A49" s="2" t="s">
        <v>266</v>
      </c>
      <c r="B49" s="3">
        <v>44176.732916666668</v>
      </c>
      <c r="C49" s="2" t="s">
        <v>127</v>
      </c>
      <c r="D49" s="2" t="s">
        <v>188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263</v>
      </c>
    </row>
    <row r="2" spans="1:3" x14ac:dyDescent="0.4">
      <c r="A2" t="s">
        <v>126</v>
      </c>
      <c r="B2" s="120">
        <v>109</v>
      </c>
      <c r="C2" s="120">
        <v>1842.3339395535957</v>
      </c>
    </row>
    <row r="3" spans="1:3" x14ac:dyDescent="0.4">
      <c r="A3" t="s">
        <v>163</v>
      </c>
      <c r="B3" s="120">
        <v>72</v>
      </c>
      <c r="C3" s="120">
        <v>1653.1699313523677</v>
      </c>
    </row>
    <row r="4" spans="1:3" x14ac:dyDescent="0.4">
      <c r="A4" t="s">
        <v>139</v>
      </c>
      <c r="B4" s="120">
        <v>399</v>
      </c>
      <c r="C4" s="120">
        <v>1594.5463045050694</v>
      </c>
    </row>
    <row r="5" spans="1:3" x14ac:dyDescent="0.4">
      <c r="A5" t="s">
        <v>190</v>
      </c>
      <c r="B5" s="120">
        <v>34</v>
      </c>
      <c r="C5" s="120">
        <v>1524.3778689305989</v>
      </c>
    </row>
    <row r="6" spans="1:3" x14ac:dyDescent="0.4">
      <c r="A6" t="s">
        <v>192</v>
      </c>
      <c r="B6" s="120">
        <v>49</v>
      </c>
      <c r="C6" s="120">
        <v>1517.1288342047803</v>
      </c>
    </row>
    <row r="7" spans="1:3" x14ac:dyDescent="0.4">
      <c r="A7" t="s">
        <v>211</v>
      </c>
      <c r="B7" s="120">
        <v>45</v>
      </c>
      <c r="C7" s="120">
        <v>1488.8318648771276</v>
      </c>
    </row>
    <row r="8" spans="1:3" x14ac:dyDescent="0.4">
      <c r="A8" t="s">
        <v>210</v>
      </c>
      <c r="C8" s="120">
        <v>1483.0119085897741</v>
      </c>
    </row>
    <row r="9" spans="1:3" x14ac:dyDescent="0.4">
      <c r="A9" t="s">
        <v>198</v>
      </c>
      <c r="C9" s="120">
        <v>1463.4239467393418</v>
      </c>
    </row>
    <row r="10" spans="1:3" x14ac:dyDescent="0.4">
      <c r="A10" t="s">
        <v>189</v>
      </c>
      <c r="B10" s="120">
        <v>45</v>
      </c>
      <c r="C10" s="120">
        <v>1433.30445236539</v>
      </c>
    </row>
    <row r="11" spans="1:3" x14ac:dyDescent="0.4">
      <c r="A11" t="s">
        <v>195</v>
      </c>
      <c r="B11" s="120">
        <v>12</v>
      </c>
      <c r="C11" s="120">
        <v>1392.8042574192286</v>
      </c>
    </row>
    <row r="12" spans="1:3" x14ac:dyDescent="0.4">
      <c r="A12" t="s">
        <v>199</v>
      </c>
      <c r="C12" s="120">
        <v>1382.1789004547948</v>
      </c>
    </row>
    <row r="13" spans="1:3" x14ac:dyDescent="0.4">
      <c r="A13" t="s">
        <v>193</v>
      </c>
      <c r="B13" s="120">
        <v>6</v>
      </c>
      <c r="C13" s="120">
        <v>1348.2487416206377</v>
      </c>
    </row>
    <row r="14" spans="1:3" x14ac:dyDescent="0.4">
      <c r="A14" t="s">
        <v>201</v>
      </c>
      <c r="B14" s="120">
        <v>4</v>
      </c>
      <c r="C14" s="120">
        <v>1500.437982464869</v>
      </c>
    </row>
    <row r="15" spans="1:3" x14ac:dyDescent="0.4">
      <c r="A15" t="s">
        <v>202</v>
      </c>
      <c r="C15" s="120">
        <v>1491.5152195648213</v>
      </c>
    </row>
    <row r="16" spans="1:3" x14ac:dyDescent="0.4">
      <c r="A16" t="s">
        <v>209</v>
      </c>
      <c r="C16" s="120">
        <v>1484.4200922656562</v>
      </c>
    </row>
    <row r="17" spans="1:8" x14ac:dyDescent="0.4">
      <c r="A17" t="s">
        <v>204</v>
      </c>
      <c r="C17" s="120">
        <v>1519.3079580555725</v>
      </c>
      <c r="G17" s="120"/>
      <c r="H17" s="120"/>
    </row>
    <row r="18" spans="1:8" x14ac:dyDescent="0.4">
      <c r="A18" t="s">
        <v>200</v>
      </c>
      <c r="C18" s="120">
        <v>1519.2052586122145</v>
      </c>
      <c r="G18" s="120"/>
      <c r="H18" s="120"/>
    </row>
    <row r="19" spans="1:8" x14ac:dyDescent="0.4">
      <c r="A19" t="s">
        <v>203</v>
      </c>
      <c r="C19" s="120">
        <v>1503.1020000000001</v>
      </c>
      <c r="G19" s="120"/>
      <c r="H19" s="120"/>
    </row>
    <row r="20" spans="1:8" x14ac:dyDescent="0.4">
      <c r="A20" t="s">
        <v>205</v>
      </c>
      <c r="C20" s="120">
        <v>1489.2889468180317</v>
      </c>
      <c r="G20" s="120"/>
      <c r="H20" s="120"/>
    </row>
    <row r="21" spans="1:8" x14ac:dyDescent="0.4">
      <c r="A21" t="s">
        <v>207</v>
      </c>
      <c r="C21" s="120">
        <v>1484.6521503082251</v>
      </c>
      <c r="G21" s="120"/>
      <c r="H21" s="120"/>
    </row>
    <row r="22" spans="1:8" x14ac:dyDescent="0.4">
      <c r="A22" t="s">
        <v>206</v>
      </c>
      <c r="C22" s="120">
        <v>1476.2954110473599</v>
      </c>
      <c r="G22" s="120"/>
      <c r="H22" s="120"/>
    </row>
    <row r="23" spans="1:8" x14ac:dyDescent="0.4">
      <c r="A23" t="s">
        <v>221</v>
      </c>
      <c r="B23" s="120">
        <v>2</v>
      </c>
      <c r="C23" s="120">
        <v>1500</v>
      </c>
    </row>
    <row r="24" spans="1:8" x14ac:dyDescent="0.4">
      <c r="A24" t="s">
        <v>216</v>
      </c>
      <c r="B24" s="120">
        <v>18</v>
      </c>
      <c r="C24" s="120">
        <v>1500</v>
      </c>
    </row>
    <row r="25" spans="1:8" x14ac:dyDescent="0.4">
      <c r="A25" t="s">
        <v>259</v>
      </c>
      <c r="B25" s="120">
        <v>3</v>
      </c>
      <c r="C25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/>
      <c r="C1" s="140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0</v>
      </c>
      <c r="C2" s="142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43">
        <v>0</v>
      </c>
      <c r="C3" s="144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45">
        <v>0</v>
      </c>
      <c r="C4" s="146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33">
        <f>IF(B$2=0,0,B$4/B$2)</f>
        <v>0</v>
      </c>
      <c r="C5" s="134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37">
        <v>1500</v>
      </c>
      <c r="C6" s="138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47">
        <f>IF(B$2=0,0,(B$8*1+B$9*2+B$10*3)/B$2)</f>
        <v>0</v>
      </c>
      <c r="C7" s="148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</v>
      </c>
      <c r="C14" s="134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35">
        <v>0</v>
      </c>
      <c r="C33" s="136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37">
        <v>-1000000</v>
      </c>
      <c r="C34" s="138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55" t="s">
        <v>9</v>
      </c>
      <c r="C1" s="156"/>
      <c r="D1" s="149" t="s">
        <v>6</v>
      </c>
      <c r="E1" s="150"/>
      <c r="F1" s="149" t="s">
        <v>7</v>
      </c>
      <c r="G1" s="150"/>
      <c r="H1" s="155" t="s">
        <v>196</v>
      </c>
      <c r="I1" s="156"/>
      <c r="J1" s="149" t="s">
        <v>15</v>
      </c>
      <c r="K1" s="150"/>
      <c r="L1" s="149" t="s">
        <v>14</v>
      </c>
      <c r="M1" s="150"/>
      <c r="N1" s="149" t="s">
        <v>149</v>
      </c>
      <c r="O1" s="150"/>
      <c r="P1" s="149" t="s">
        <v>143</v>
      </c>
      <c r="Q1" s="150"/>
      <c r="R1" s="149" t="s">
        <v>144</v>
      </c>
      <c r="S1" s="150"/>
      <c r="T1" s="149" t="s">
        <v>5</v>
      </c>
      <c r="U1" s="150"/>
      <c r="V1" s="149" t="s">
        <v>16</v>
      </c>
      <c r="W1" s="150"/>
      <c r="X1" s="149" t="s">
        <v>17</v>
      </c>
      <c r="Y1" s="150"/>
      <c r="Z1" s="149" t="s">
        <v>122</v>
      </c>
      <c r="AA1" s="150"/>
      <c r="AB1" s="149" t="s">
        <v>119</v>
      </c>
      <c r="AC1" s="150"/>
      <c r="AD1" s="149" t="s">
        <v>125</v>
      </c>
      <c r="AE1" s="150"/>
      <c r="AF1" s="149" t="s">
        <v>145</v>
      </c>
      <c r="AG1" s="150"/>
      <c r="AH1" s="149" t="s">
        <v>138</v>
      </c>
      <c r="AI1" s="150"/>
      <c r="AJ1" s="149" t="s">
        <v>180</v>
      </c>
      <c r="AK1" s="150"/>
    </row>
    <row r="2" spans="1:37" x14ac:dyDescent="0.4">
      <c r="A2" s="36" t="s">
        <v>208</v>
      </c>
      <c r="B2" s="151">
        <v>0.92345071963970149</v>
      </c>
      <c r="C2" s="152"/>
      <c r="D2" s="151">
        <v>0.57881063033654945</v>
      </c>
      <c r="E2" s="152"/>
      <c r="F2" s="151">
        <v>0.50348687311963713</v>
      </c>
      <c r="G2" s="152"/>
      <c r="H2" s="153"/>
      <c r="I2" s="154"/>
      <c r="J2" s="151">
        <v>0.1692422741265065</v>
      </c>
      <c r="K2" s="152"/>
      <c r="L2" s="151">
        <v>-0.24405253074607905</v>
      </c>
      <c r="M2" s="152"/>
      <c r="N2" s="151">
        <v>0.47884363115745548</v>
      </c>
      <c r="O2" s="152"/>
      <c r="P2" s="151">
        <v>0.40757602764188816</v>
      </c>
      <c r="Q2" s="152"/>
      <c r="R2" s="151">
        <v>1.0864758732031186E-2</v>
      </c>
      <c r="S2" s="152"/>
      <c r="T2" s="151">
        <v>0.26756176967593737</v>
      </c>
      <c r="U2" s="152"/>
      <c r="V2" s="151">
        <v>0.25763448878101586</v>
      </c>
      <c r="W2" s="152"/>
      <c r="X2" s="151">
        <v>0.36453668844504872</v>
      </c>
      <c r="Y2" s="152"/>
      <c r="Z2" s="151">
        <v>0.24087966891979129</v>
      </c>
      <c r="AA2" s="152"/>
      <c r="AB2" s="151">
        <v>0.19592106288123437</v>
      </c>
      <c r="AC2" s="152"/>
      <c r="AD2" s="151">
        <v>-6.9536545604321473E-2</v>
      </c>
      <c r="AE2" s="152"/>
      <c r="AF2" s="151">
        <v>0.39585206062074102</v>
      </c>
      <c r="AG2" s="152"/>
      <c r="AH2" s="151">
        <v>-0.19685950750351922</v>
      </c>
      <c r="AI2" s="152"/>
      <c r="AJ2" s="151">
        <v>0.82487551226026856</v>
      </c>
      <c r="AK2" s="152"/>
    </row>
    <row r="3" spans="1:37" x14ac:dyDescent="0.4">
      <c r="A3" s="38">
        <v>1</v>
      </c>
      <c r="B3" s="41" t="s">
        <v>139</v>
      </c>
      <c r="C3" s="113">
        <v>133</v>
      </c>
      <c r="D3" s="39" t="s">
        <v>192</v>
      </c>
      <c r="E3" s="40">
        <v>248.19999999999993</v>
      </c>
      <c r="F3" s="41" t="s">
        <v>192</v>
      </c>
      <c r="G3" s="60">
        <v>5.0653061224489786</v>
      </c>
      <c r="H3" s="41" t="s">
        <v>126</v>
      </c>
      <c r="I3" s="45">
        <v>1765.5828948638314</v>
      </c>
      <c r="J3" s="41" t="s">
        <v>192</v>
      </c>
      <c r="K3" s="42">
        <v>1.8367346938775511</v>
      </c>
      <c r="L3" s="41" t="s">
        <v>195</v>
      </c>
      <c r="M3" s="43">
        <v>0.5</v>
      </c>
      <c r="N3" s="41" t="s">
        <v>190</v>
      </c>
      <c r="O3" s="43">
        <v>0.20588235294117646</v>
      </c>
      <c r="P3" s="41" t="s">
        <v>192</v>
      </c>
      <c r="Q3" s="44">
        <v>0.33412322274881517</v>
      </c>
      <c r="R3" s="41" t="s">
        <v>190</v>
      </c>
      <c r="S3" s="44">
        <v>9.1216216216216214E-2</v>
      </c>
      <c r="T3" s="41" t="s">
        <v>221</v>
      </c>
      <c r="U3" s="45">
        <v>10925</v>
      </c>
      <c r="V3" s="41" t="s">
        <v>190</v>
      </c>
      <c r="W3" s="45">
        <v>-6151.8518518518522</v>
      </c>
      <c r="X3" s="41" t="s">
        <v>193</v>
      </c>
      <c r="Y3" s="43">
        <v>0</v>
      </c>
      <c r="Z3" s="41" t="s">
        <v>163</v>
      </c>
      <c r="AA3" s="44">
        <v>0.28639240506329117</v>
      </c>
      <c r="AB3" s="41" t="s">
        <v>189</v>
      </c>
      <c r="AC3" s="44">
        <v>0.29749999999999999</v>
      </c>
      <c r="AD3" s="41" t="s">
        <v>195</v>
      </c>
      <c r="AE3" s="44">
        <v>0.69565217391304346</v>
      </c>
      <c r="AF3" s="41" t="s">
        <v>211</v>
      </c>
      <c r="AG3" s="44">
        <v>0.48192771084337349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">
      <c r="A4" s="46">
        <v>2</v>
      </c>
      <c r="B4" s="49" t="s">
        <v>126</v>
      </c>
      <c r="C4" s="114">
        <v>109</v>
      </c>
      <c r="D4" s="47" t="s">
        <v>126</v>
      </c>
      <c r="E4" s="48">
        <v>207.7999999999999</v>
      </c>
      <c r="F4" s="49" t="s">
        <v>211</v>
      </c>
      <c r="G4" s="61">
        <v>3.5044444444444443</v>
      </c>
      <c r="H4" s="49" t="s">
        <v>163</v>
      </c>
      <c r="I4" s="53">
        <v>1633.2149258932193</v>
      </c>
      <c r="J4" s="49" t="s">
        <v>211</v>
      </c>
      <c r="K4" s="50">
        <v>1.9111111111111112</v>
      </c>
      <c r="L4" s="49" t="s">
        <v>192</v>
      </c>
      <c r="M4" s="51">
        <v>0.40816326530612246</v>
      </c>
      <c r="N4" s="49" t="s">
        <v>192</v>
      </c>
      <c r="O4" s="51">
        <v>0.24489795918367346</v>
      </c>
      <c r="P4" s="49" t="s">
        <v>126</v>
      </c>
      <c r="Q4" s="52">
        <v>0.32056892778993434</v>
      </c>
      <c r="R4" s="49" t="s">
        <v>192</v>
      </c>
      <c r="S4" s="52">
        <v>0.11611374407582939</v>
      </c>
      <c r="T4" s="49" t="s">
        <v>163</v>
      </c>
      <c r="U4" s="53">
        <v>9362.7218934911234</v>
      </c>
      <c r="V4" s="49" t="s">
        <v>211</v>
      </c>
      <c r="W4" s="53">
        <v>-6656.6037735849059</v>
      </c>
      <c r="X4" s="49" t="s">
        <v>221</v>
      </c>
      <c r="Y4" s="51">
        <v>0</v>
      </c>
      <c r="Z4" s="49" t="s">
        <v>190</v>
      </c>
      <c r="AA4" s="52">
        <v>0.26351351351351349</v>
      </c>
      <c r="AB4" s="49" t="s">
        <v>221</v>
      </c>
      <c r="AC4" s="52">
        <v>0.27777777777777779</v>
      </c>
      <c r="AD4" s="49" t="s">
        <v>201</v>
      </c>
      <c r="AE4" s="52">
        <v>0.66666666666666663</v>
      </c>
      <c r="AF4" s="49" t="s">
        <v>126</v>
      </c>
      <c r="AG4" s="52">
        <v>0.45077720207253885</v>
      </c>
      <c r="AH4" s="49" t="s">
        <v>201</v>
      </c>
      <c r="AI4" s="52">
        <v>0.55555555555555558</v>
      </c>
      <c r="AJ4" s="49" t="s">
        <v>139</v>
      </c>
      <c r="AK4" s="56">
        <v>103000</v>
      </c>
    </row>
    <row r="5" spans="1:37" x14ac:dyDescent="0.4">
      <c r="A5" s="46">
        <v>3</v>
      </c>
      <c r="B5" s="49" t="s">
        <v>163</v>
      </c>
      <c r="C5" s="114">
        <v>72</v>
      </c>
      <c r="D5" s="47" t="s">
        <v>211</v>
      </c>
      <c r="E5" s="48">
        <v>157.69999999999999</v>
      </c>
      <c r="F5" s="49" t="s">
        <v>126</v>
      </c>
      <c r="G5" s="61">
        <v>1.9064220183486229</v>
      </c>
      <c r="H5" s="49" t="s">
        <v>139</v>
      </c>
      <c r="I5" s="53">
        <v>1608.7837165670055</v>
      </c>
      <c r="J5" s="49" t="s">
        <v>190</v>
      </c>
      <c r="K5" s="50">
        <v>1.911764705882353</v>
      </c>
      <c r="L5" s="49" t="s">
        <v>211</v>
      </c>
      <c r="M5" s="51">
        <v>0.4</v>
      </c>
      <c r="N5" s="49" t="s">
        <v>211</v>
      </c>
      <c r="O5" s="51">
        <v>0.31111111111111112</v>
      </c>
      <c r="P5" s="49" t="s">
        <v>211</v>
      </c>
      <c r="Q5" s="52">
        <v>0.30569948186528495</v>
      </c>
      <c r="R5" s="49" t="s">
        <v>211</v>
      </c>
      <c r="S5" s="52">
        <v>0.13730569948186527</v>
      </c>
      <c r="T5" s="49" t="s">
        <v>195</v>
      </c>
      <c r="U5" s="53">
        <v>8606.8965517241377</v>
      </c>
      <c r="V5" s="49" t="s">
        <v>126</v>
      </c>
      <c r="W5" s="53">
        <v>-7257.5</v>
      </c>
      <c r="X5" s="49" t="s">
        <v>259</v>
      </c>
      <c r="Y5" s="51">
        <v>0</v>
      </c>
      <c r="Z5" s="49" t="s">
        <v>189</v>
      </c>
      <c r="AA5" s="52">
        <v>0.26250000000000001</v>
      </c>
      <c r="AB5" s="49" t="s">
        <v>192</v>
      </c>
      <c r="AC5" s="52">
        <v>0.27488151658767773</v>
      </c>
      <c r="AD5" s="49" t="s">
        <v>259</v>
      </c>
      <c r="AE5" s="52">
        <v>0.66666666666666663</v>
      </c>
      <c r="AF5" s="49" t="s">
        <v>193</v>
      </c>
      <c r="AG5" s="52">
        <v>0.41666666666666669</v>
      </c>
      <c r="AH5" s="49" t="s">
        <v>195</v>
      </c>
      <c r="AI5" s="52">
        <v>0.55172413793103448</v>
      </c>
      <c r="AJ5" s="49" t="s">
        <v>192</v>
      </c>
      <c r="AK5" s="56">
        <v>98800</v>
      </c>
    </row>
    <row r="6" spans="1:37" x14ac:dyDescent="0.4">
      <c r="A6" s="46">
        <v>4</v>
      </c>
      <c r="B6" s="49" t="s">
        <v>192</v>
      </c>
      <c r="C6" s="114">
        <v>49</v>
      </c>
      <c r="D6" s="47" t="s">
        <v>190</v>
      </c>
      <c r="E6" s="48">
        <v>59.89999999999997</v>
      </c>
      <c r="F6" s="49" t="s">
        <v>190</v>
      </c>
      <c r="G6" s="61">
        <v>1.761764705882352</v>
      </c>
      <c r="H6" s="49" t="s">
        <v>192</v>
      </c>
      <c r="I6" s="53">
        <v>1578.1244171430706</v>
      </c>
      <c r="J6" s="49" t="s">
        <v>195</v>
      </c>
      <c r="K6" s="50">
        <v>1.9166666666666667</v>
      </c>
      <c r="L6" s="49" t="s">
        <v>139</v>
      </c>
      <c r="M6" s="51">
        <v>0.33583959899749372</v>
      </c>
      <c r="N6" s="49" t="s">
        <v>126</v>
      </c>
      <c r="O6" s="51">
        <v>0.33027522935779818</v>
      </c>
      <c r="P6" s="49" t="s">
        <v>139</v>
      </c>
      <c r="Q6" s="52">
        <v>0.29334500875656744</v>
      </c>
      <c r="R6" s="49" t="s">
        <v>139</v>
      </c>
      <c r="S6" s="52">
        <v>0.16053706946876825</v>
      </c>
      <c r="T6" s="49" t="s">
        <v>126</v>
      </c>
      <c r="U6" s="53">
        <v>8197.9522184300349</v>
      </c>
      <c r="V6" s="49" t="s">
        <v>201</v>
      </c>
      <c r="W6" s="53">
        <v>-7370</v>
      </c>
      <c r="X6" s="49" t="s">
        <v>211</v>
      </c>
      <c r="Y6" s="51">
        <v>4.4444444444444446E-2</v>
      </c>
      <c r="Z6" s="49" t="s">
        <v>126</v>
      </c>
      <c r="AA6" s="52">
        <v>0.24617067833698031</v>
      </c>
      <c r="AB6" s="49" t="s">
        <v>139</v>
      </c>
      <c r="AC6" s="52">
        <v>0.22708698190309398</v>
      </c>
      <c r="AD6" s="49" t="s">
        <v>211</v>
      </c>
      <c r="AE6" s="52">
        <v>0.59523809523809523</v>
      </c>
      <c r="AF6" s="49" t="s">
        <v>192</v>
      </c>
      <c r="AG6" s="52">
        <v>0.41379310344827586</v>
      </c>
      <c r="AH6" s="49" t="s">
        <v>259</v>
      </c>
      <c r="AI6" s="52">
        <v>0.5</v>
      </c>
      <c r="AJ6" s="49" t="s">
        <v>163</v>
      </c>
      <c r="AK6" s="56">
        <v>94700</v>
      </c>
    </row>
    <row r="7" spans="1:37" x14ac:dyDescent="0.4">
      <c r="A7" s="46">
        <v>5</v>
      </c>
      <c r="B7" s="49" t="s">
        <v>211</v>
      </c>
      <c r="C7" s="114">
        <v>45</v>
      </c>
      <c r="D7" s="47" t="s">
        <v>139</v>
      </c>
      <c r="E7" s="48">
        <v>5.0404125317982107E-14</v>
      </c>
      <c r="F7" s="49" t="s">
        <v>139</v>
      </c>
      <c r="G7" s="61">
        <v>1.2632612861649651E-16</v>
      </c>
      <c r="H7" s="49" t="s">
        <v>190</v>
      </c>
      <c r="I7" s="53">
        <v>1552.0582707777592</v>
      </c>
      <c r="J7" s="49" t="s">
        <v>139</v>
      </c>
      <c r="K7" s="50">
        <v>1.9974937343358397</v>
      </c>
      <c r="L7" s="49" t="s">
        <v>163</v>
      </c>
      <c r="M7" s="51">
        <v>0.33333333333333331</v>
      </c>
      <c r="N7" s="49" t="s">
        <v>163</v>
      </c>
      <c r="O7" s="51">
        <v>0.33333333333333331</v>
      </c>
      <c r="P7" s="49" t="s">
        <v>189</v>
      </c>
      <c r="Q7" s="52">
        <v>0.28999999999999998</v>
      </c>
      <c r="R7" s="49" t="s">
        <v>189</v>
      </c>
      <c r="S7" s="52">
        <v>0.16500000000000001</v>
      </c>
      <c r="T7" s="49" t="s">
        <v>139</v>
      </c>
      <c r="U7" s="53">
        <v>8100.5970149253735</v>
      </c>
      <c r="V7" s="49" t="s">
        <v>139</v>
      </c>
      <c r="W7" s="53">
        <v>-7610.909090909091</v>
      </c>
      <c r="X7" s="49" t="s">
        <v>190</v>
      </c>
      <c r="Y7" s="51">
        <v>5.8823529411764705E-2</v>
      </c>
      <c r="Z7" s="49" t="s">
        <v>139</v>
      </c>
      <c r="AA7" s="52">
        <v>0.24460011675423235</v>
      </c>
      <c r="AB7" s="49" t="s">
        <v>163</v>
      </c>
      <c r="AC7" s="52">
        <v>0.22468354430379747</v>
      </c>
      <c r="AD7" s="49" t="s">
        <v>126</v>
      </c>
      <c r="AE7" s="52">
        <v>0.57777777777777772</v>
      </c>
      <c r="AF7" s="49" t="s">
        <v>139</v>
      </c>
      <c r="AG7" s="52">
        <v>0.40616966580976865</v>
      </c>
      <c r="AH7" s="49" t="s">
        <v>126</v>
      </c>
      <c r="AI7" s="52">
        <v>0.47781569965870307</v>
      </c>
      <c r="AJ7" s="49" t="s">
        <v>189</v>
      </c>
      <c r="AK7" s="56">
        <v>89900</v>
      </c>
    </row>
    <row r="8" spans="1:37" x14ac:dyDescent="0.4">
      <c r="A8" s="46">
        <v>6</v>
      </c>
      <c r="B8" s="49" t="s">
        <v>189</v>
      </c>
      <c r="C8" s="114">
        <v>45</v>
      </c>
      <c r="D8" s="47" t="s">
        <v>221</v>
      </c>
      <c r="E8" s="48">
        <v>-13.5</v>
      </c>
      <c r="F8" s="49" t="s">
        <v>163</v>
      </c>
      <c r="G8" s="61">
        <v>-1.2180555555555554</v>
      </c>
      <c r="H8" s="49" t="s">
        <v>211</v>
      </c>
      <c r="I8" s="53">
        <v>1534.3633776946201</v>
      </c>
      <c r="J8" s="49" t="s">
        <v>126</v>
      </c>
      <c r="K8" s="50">
        <v>2</v>
      </c>
      <c r="L8" s="49" t="s">
        <v>189</v>
      </c>
      <c r="M8" s="51">
        <v>0.33333333333333331</v>
      </c>
      <c r="N8" s="49" t="s">
        <v>139</v>
      </c>
      <c r="O8" s="51">
        <v>0.33333333333333331</v>
      </c>
      <c r="P8" s="49" t="s">
        <v>195</v>
      </c>
      <c r="Q8" s="52">
        <v>0.28155339805825241</v>
      </c>
      <c r="R8" s="49" t="s">
        <v>195</v>
      </c>
      <c r="S8" s="52">
        <v>0.1650485436893204</v>
      </c>
      <c r="T8" s="49" t="s">
        <v>190</v>
      </c>
      <c r="U8" s="53">
        <v>7982.0512820512822</v>
      </c>
      <c r="V8" s="49" t="s">
        <v>195</v>
      </c>
      <c r="W8" s="53">
        <v>-7629.411764705882</v>
      </c>
      <c r="X8" s="49" t="s">
        <v>126</v>
      </c>
      <c r="Y8" s="51">
        <v>7.3394495412844041E-2</v>
      </c>
      <c r="Z8" s="49" t="s">
        <v>259</v>
      </c>
      <c r="AA8" s="52">
        <v>0.24</v>
      </c>
      <c r="AB8" s="49" t="s">
        <v>193</v>
      </c>
      <c r="AC8" s="52">
        <v>0.22222222222222221</v>
      </c>
      <c r="AD8" s="49" t="s">
        <v>192</v>
      </c>
      <c r="AE8" s="52">
        <v>0.52941176470588236</v>
      </c>
      <c r="AF8" s="49" t="s">
        <v>189</v>
      </c>
      <c r="AG8" s="52">
        <v>0.40336134453781514</v>
      </c>
      <c r="AH8" s="49" t="s">
        <v>189</v>
      </c>
      <c r="AI8" s="52">
        <v>0.46551724137931033</v>
      </c>
      <c r="AJ8" s="49" t="s">
        <v>211</v>
      </c>
      <c r="AK8" s="56">
        <v>86700</v>
      </c>
    </row>
    <row r="9" spans="1:37" x14ac:dyDescent="0.4">
      <c r="A9" s="46">
        <v>7</v>
      </c>
      <c r="B9" s="49" t="s">
        <v>190</v>
      </c>
      <c r="C9" s="114">
        <v>34</v>
      </c>
      <c r="D9" s="47" t="s">
        <v>195</v>
      </c>
      <c r="E9" s="48">
        <v>-39.5</v>
      </c>
      <c r="F9" s="49" t="s">
        <v>189</v>
      </c>
      <c r="G9" s="61">
        <v>-3.26</v>
      </c>
      <c r="H9" s="49" t="s">
        <v>221</v>
      </c>
      <c r="I9" s="53">
        <v>1497.379788</v>
      </c>
      <c r="J9" s="49" t="s">
        <v>163</v>
      </c>
      <c r="K9" s="50">
        <v>2</v>
      </c>
      <c r="L9" s="49" t="s">
        <v>126</v>
      </c>
      <c r="M9" s="51">
        <v>0.33027522935779818</v>
      </c>
      <c r="N9" s="49" t="s">
        <v>195</v>
      </c>
      <c r="O9" s="51">
        <v>0.41666666666666669</v>
      </c>
      <c r="P9" s="49" t="s">
        <v>163</v>
      </c>
      <c r="Q9" s="52">
        <v>0.26740506329113922</v>
      </c>
      <c r="R9" s="49" t="s">
        <v>221</v>
      </c>
      <c r="S9" s="52">
        <v>0.16666666666666666</v>
      </c>
      <c r="T9" s="49" t="s">
        <v>193</v>
      </c>
      <c r="U9" s="53">
        <v>7866.666666666667</v>
      </c>
      <c r="V9" s="49" t="s">
        <v>192</v>
      </c>
      <c r="W9" s="53">
        <v>-7693.8775510204077</v>
      </c>
      <c r="X9" s="49" t="s">
        <v>192</v>
      </c>
      <c r="Y9" s="51">
        <v>8.1632653061224483E-2</v>
      </c>
      <c r="Z9" s="49" t="s">
        <v>216</v>
      </c>
      <c r="AA9" s="52">
        <v>0.22857142857142856</v>
      </c>
      <c r="AB9" s="49" t="s">
        <v>201</v>
      </c>
      <c r="AC9" s="52">
        <v>0.22222222222222221</v>
      </c>
      <c r="AD9" s="49" t="s">
        <v>139</v>
      </c>
      <c r="AE9" s="52">
        <v>0.52028639618138428</v>
      </c>
      <c r="AF9" s="49" t="s">
        <v>221</v>
      </c>
      <c r="AG9" s="52">
        <v>0.4</v>
      </c>
      <c r="AH9" s="49" t="s">
        <v>163</v>
      </c>
      <c r="AI9" s="52">
        <v>0.46153846153846156</v>
      </c>
      <c r="AJ9" s="49" t="s">
        <v>190</v>
      </c>
      <c r="AK9" s="56">
        <v>85000</v>
      </c>
    </row>
    <row r="10" spans="1:37" x14ac:dyDescent="0.4">
      <c r="A10" s="46">
        <v>8</v>
      </c>
      <c r="B10" s="49" t="s">
        <v>216</v>
      </c>
      <c r="C10" s="114">
        <v>18</v>
      </c>
      <c r="D10" s="47" t="s">
        <v>259</v>
      </c>
      <c r="E10" s="48">
        <v>-50</v>
      </c>
      <c r="F10" s="49" t="s">
        <v>195</v>
      </c>
      <c r="G10" s="61">
        <v>-3.2916666666666665</v>
      </c>
      <c r="H10" s="49" t="s">
        <v>259</v>
      </c>
      <c r="I10" s="53">
        <v>1493.0891304000002</v>
      </c>
      <c r="J10" s="49" t="s">
        <v>189</v>
      </c>
      <c r="K10" s="50">
        <v>2.088888888888889</v>
      </c>
      <c r="L10" s="49" t="s">
        <v>190</v>
      </c>
      <c r="M10" s="51">
        <v>0.29411764705882354</v>
      </c>
      <c r="N10" s="49" t="s">
        <v>189</v>
      </c>
      <c r="O10" s="51">
        <v>0.42222222222222222</v>
      </c>
      <c r="P10" s="49" t="s">
        <v>190</v>
      </c>
      <c r="Q10" s="52">
        <v>0.26351351351351349</v>
      </c>
      <c r="R10" s="49" t="s">
        <v>126</v>
      </c>
      <c r="S10" s="52">
        <v>0.17505470459518599</v>
      </c>
      <c r="T10" s="49" t="s">
        <v>211</v>
      </c>
      <c r="U10" s="53">
        <v>7850</v>
      </c>
      <c r="V10" s="49" t="s">
        <v>216</v>
      </c>
      <c r="W10" s="53">
        <v>-7886.2068965517237</v>
      </c>
      <c r="X10" s="49" t="s">
        <v>139</v>
      </c>
      <c r="Y10" s="51">
        <v>8.771929824561403E-2</v>
      </c>
      <c r="Z10" s="49" t="s">
        <v>195</v>
      </c>
      <c r="AA10" s="52">
        <v>0.22330097087378642</v>
      </c>
      <c r="AB10" s="49" t="s">
        <v>211</v>
      </c>
      <c r="AC10" s="52">
        <v>0.21502590673575128</v>
      </c>
      <c r="AD10" s="49" t="s">
        <v>190</v>
      </c>
      <c r="AE10" s="52">
        <v>0.51282051282051277</v>
      </c>
      <c r="AF10" s="49" t="s">
        <v>190</v>
      </c>
      <c r="AG10" s="52">
        <v>0.37931034482758619</v>
      </c>
      <c r="AH10" s="49" t="s">
        <v>139</v>
      </c>
      <c r="AI10" s="52">
        <v>0.44577114427860698</v>
      </c>
      <c r="AJ10" s="49" t="s">
        <v>216</v>
      </c>
      <c r="AK10" s="56">
        <v>74600</v>
      </c>
    </row>
    <row r="11" spans="1:37" x14ac:dyDescent="0.4">
      <c r="A11" s="46">
        <v>9</v>
      </c>
      <c r="B11" s="49" t="s">
        <v>195</v>
      </c>
      <c r="C11" s="114">
        <v>12</v>
      </c>
      <c r="D11" s="47" t="s">
        <v>201</v>
      </c>
      <c r="E11" s="48">
        <v>-77.699999999999989</v>
      </c>
      <c r="F11" s="49" t="s">
        <v>221</v>
      </c>
      <c r="G11" s="61">
        <v>-6.75</v>
      </c>
      <c r="H11" s="49" t="s">
        <v>201</v>
      </c>
      <c r="I11" s="53">
        <v>1489.5540953611471</v>
      </c>
      <c r="J11" s="49" t="s">
        <v>216</v>
      </c>
      <c r="K11" s="50">
        <v>2.2222222222222223</v>
      </c>
      <c r="L11" s="49" t="s">
        <v>216</v>
      </c>
      <c r="M11" s="51">
        <v>0.22222222222222221</v>
      </c>
      <c r="N11" s="49" t="s">
        <v>216</v>
      </c>
      <c r="O11" s="51">
        <v>0.44444444444444442</v>
      </c>
      <c r="P11" s="49" t="s">
        <v>201</v>
      </c>
      <c r="Q11" s="52">
        <v>0.25</v>
      </c>
      <c r="R11" s="49" t="s">
        <v>163</v>
      </c>
      <c r="S11" s="52">
        <v>0.18829113924050633</v>
      </c>
      <c r="T11" s="49" t="s">
        <v>189</v>
      </c>
      <c r="U11" s="53">
        <v>7512.0689655172409</v>
      </c>
      <c r="V11" s="49" t="s">
        <v>163</v>
      </c>
      <c r="W11" s="53">
        <v>-7953.7815126050418</v>
      </c>
      <c r="X11" s="49" t="s">
        <v>189</v>
      </c>
      <c r="Y11" s="51">
        <v>8.8888888888888892E-2</v>
      </c>
      <c r="Z11" s="49" t="s">
        <v>221</v>
      </c>
      <c r="AA11" s="52">
        <v>0.22222222222222221</v>
      </c>
      <c r="AB11" s="49" t="s">
        <v>126</v>
      </c>
      <c r="AC11" s="52">
        <v>0.21115973741794311</v>
      </c>
      <c r="AD11" s="49" t="s">
        <v>163</v>
      </c>
      <c r="AE11" s="52">
        <v>0.46408839779005523</v>
      </c>
      <c r="AF11" s="49" t="s">
        <v>195</v>
      </c>
      <c r="AG11" s="52">
        <v>0.35714285714285715</v>
      </c>
      <c r="AH11" s="49" t="s">
        <v>216</v>
      </c>
      <c r="AI11" s="52">
        <v>0.43333333333333335</v>
      </c>
      <c r="AJ11" s="49" t="s">
        <v>195</v>
      </c>
      <c r="AK11" s="56">
        <v>65700</v>
      </c>
    </row>
    <row r="12" spans="1:37" x14ac:dyDescent="0.4">
      <c r="A12" s="46">
        <v>10</v>
      </c>
      <c r="B12" s="49" t="s">
        <v>193</v>
      </c>
      <c r="C12" s="114">
        <v>6</v>
      </c>
      <c r="D12" s="47" t="s">
        <v>193</v>
      </c>
      <c r="E12" s="48">
        <v>-78.199999999999989</v>
      </c>
      <c r="F12" s="49" t="s">
        <v>216</v>
      </c>
      <c r="G12" s="61">
        <v>-10.016666666666667</v>
      </c>
      <c r="H12" s="49" t="s">
        <v>216</v>
      </c>
      <c r="I12" s="53">
        <v>1475.2783888604056</v>
      </c>
      <c r="J12" s="49" t="s">
        <v>193</v>
      </c>
      <c r="K12" s="50">
        <v>2.3333333333333335</v>
      </c>
      <c r="L12" s="49" t="s">
        <v>193</v>
      </c>
      <c r="M12" s="51">
        <v>0.16666666666666666</v>
      </c>
      <c r="N12" s="49" t="s">
        <v>193</v>
      </c>
      <c r="O12" s="51">
        <v>0.5</v>
      </c>
      <c r="P12" s="49" t="s">
        <v>259</v>
      </c>
      <c r="Q12" s="52">
        <v>0.24</v>
      </c>
      <c r="R12" s="49" t="s">
        <v>259</v>
      </c>
      <c r="S12" s="52">
        <v>0.2</v>
      </c>
      <c r="T12" s="49" t="s">
        <v>192</v>
      </c>
      <c r="U12" s="53">
        <v>7300</v>
      </c>
      <c r="V12" s="49" t="s">
        <v>189</v>
      </c>
      <c r="W12" s="53">
        <v>-8572.7272727272721</v>
      </c>
      <c r="X12" s="49" t="s">
        <v>216</v>
      </c>
      <c r="Y12" s="51">
        <v>0.1111111111111111</v>
      </c>
      <c r="Z12" s="49" t="s">
        <v>211</v>
      </c>
      <c r="AA12" s="52">
        <v>0.21761658031088082</v>
      </c>
      <c r="AB12" s="49" t="s">
        <v>190</v>
      </c>
      <c r="AC12" s="52">
        <v>0.19594594594594594</v>
      </c>
      <c r="AD12" s="49" t="s">
        <v>189</v>
      </c>
      <c r="AE12" s="52">
        <v>0.43809523809523809</v>
      </c>
      <c r="AF12" s="49" t="s">
        <v>163</v>
      </c>
      <c r="AG12" s="52">
        <v>0.34507042253521125</v>
      </c>
      <c r="AH12" s="49" t="s">
        <v>211</v>
      </c>
      <c r="AI12" s="52">
        <v>0.43220338983050849</v>
      </c>
      <c r="AJ12" s="49" t="s">
        <v>193</v>
      </c>
      <c r="AK12" s="56">
        <v>45000</v>
      </c>
    </row>
    <row r="13" spans="1:37" x14ac:dyDescent="0.4">
      <c r="A13" s="46">
        <v>11</v>
      </c>
      <c r="B13" s="49" t="s">
        <v>201</v>
      </c>
      <c r="C13" s="114">
        <v>4</v>
      </c>
      <c r="D13" s="47" t="s">
        <v>163</v>
      </c>
      <c r="E13" s="48">
        <v>-87.699999999999989</v>
      </c>
      <c r="F13" s="49" t="s">
        <v>193</v>
      </c>
      <c r="G13" s="61">
        <v>-13.033333333333331</v>
      </c>
      <c r="H13" s="49" t="s">
        <v>189</v>
      </c>
      <c r="I13" s="53">
        <v>1444.1642121350767</v>
      </c>
      <c r="J13" s="49" t="s">
        <v>201</v>
      </c>
      <c r="K13" s="50">
        <v>2.5</v>
      </c>
      <c r="L13" s="49" t="s">
        <v>201</v>
      </c>
      <c r="M13" s="51">
        <v>0</v>
      </c>
      <c r="N13" s="49" t="s">
        <v>201</v>
      </c>
      <c r="O13" s="51">
        <v>0.5</v>
      </c>
      <c r="P13" s="49" t="s">
        <v>193</v>
      </c>
      <c r="Q13" s="52">
        <v>0.22222222222222221</v>
      </c>
      <c r="R13" s="49" t="s">
        <v>216</v>
      </c>
      <c r="S13" s="52">
        <v>0.20714285714285716</v>
      </c>
      <c r="T13" s="49" t="s">
        <v>259</v>
      </c>
      <c r="U13" s="53">
        <v>7216.666666666667</v>
      </c>
      <c r="V13" s="49" t="s">
        <v>193</v>
      </c>
      <c r="W13" s="53">
        <v>-8875</v>
      </c>
      <c r="X13" s="49" t="s">
        <v>163</v>
      </c>
      <c r="Y13" s="51">
        <v>0.1388888888888889</v>
      </c>
      <c r="Z13" s="49" t="s">
        <v>192</v>
      </c>
      <c r="AA13" s="52">
        <v>0.2014218009478673</v>
      </c>
      <c r="AB13" s="49" t="s">
        <v>216</v>
      </c>
      <c r="AC13" s="52">
        <v>0.17142857142857143</v>
      </c>
      <c r="AD13" s="49" t="s">
        <v>216</v>
      </c>
      <c r="AE13" s="52">
        <v>0.4375</v>
      </c>
      <c r="AF13" s="49" t="s">
        <v>216</v>
      </c>
      <c r="AG13" s="52">
        <v>0.29166666666666669</v>
      </c>
      <c r="AH13" s="49" t="s">
        <v>192</v>
      </c>
      <c r="AI13" s="52">
        <v>0.3971631205673759</v>
      </c>
      <c r="AJ13" s="49" t="s">
        <v>259</v>
      </c>
      <c r="AK13" s="56">
        <v>41800</v>
      </c>
    </row>
    <row r="14" spans="1:37" x14ac:dyDescent="0.4">
      <c r="A14" s="46">
        <v>12</v>
      </c>
      <c r="B14" s="49" t="s">
        <v>259</v>
      </c>
      <c r="C14" s="114">
        <v>3</v>
      </c>
      <c r="D14" s="47" t="s">
        <v>189</v>
      </c>
      <c r="E14" s="48">
        <v>-146.69999999999999</v>
      </c>
      <c r="F14" s="49" t="s">
        <v>259</v>
      </c>
      <c r="G14" s="61">
        <v>-16.666666666666668</v>
      </c>
      <c r="H14" s="49" t="s">
        <v>195</v>
      </c>
      <c r="I14" s="53">
        <v>1396.3170423346389</v>
      </c>
      <c r="J14" s="49" t="s">
        <v>221</v>
      </c>
      <c r="K14" s="50">
        <v>2.5</v>
      </c>
      <c r="L14" s="49" t="s">
        <v>221</v>
      </c>
      <c r="M14" s="51">
        <v>0</v>
      </c>
      <c r="N14" s="49" t="s">
        <v>221</v>
      </c>
      <c r="O14" s="51">
        <v>0.5</v>
      </c>
      <c r="P14" s="49" t="s">
        <v>221</v>
      </c>
      <c r="Q14" s="52">
        <v>0.22222222222222221</v>
      </c>
      <c r="R14" s="49" t="s">
        <v>193</v>
      </c>
      <c r="S14" s="52">
        <v>0.22222222222222221</v>
      </c>
      <c r="T14" s="49" t="s">
        <v>216</v>
      </c>
      <c r="U14" s="53">
        <v>7183.333333333333</v>
      </c>
      <c r="V14" s="49" t="s">
        <v>259</v>
      </c>
      <c r="W14" s="53">
        <v>-9420</v>
      </c>
      <c r="X14" s="49" t="s">
        <v>195</v>
      </c>
      <c r="Y14" s="51">
        <v>0.16666666666666666</v>
      </c>
      <c r="Z14" s="49" t="s">
        <v>193</v>
      </c>
      <c r="AA14" s="52">
        <v>0.16666666666666666</v>
      </c>
      <c r="AB14" s="49" t="s">
        <v>259</v>
      </c>
      <c r="AC14" s="52">
        <v>0.16</v>
      </c>
      <c r="AD14" s="49" t="s">
        <v>221</v>
      </c>
      <c r="AE14" s="52">
        <v>0.25</v>
      </c>
      <c r="AF14" s="49" t="s">
        <v>201</v>
      </c>
      <c r="AG14" s="52">
        <v>0.25</v>
      </c>
      <c r="AH14" s="49" t="s">
        <v>190</v>
      </c>
      <c r="AI14" s="52">
        <v>0.32051282051282054</v>
      </c>
      <c r="AJ14" s="49" t="s">
        <v>221</v>
      </c>
      <c r="AK14" s="56">
        <v>39000</v>
      </c>
    </row>
    <row r="15" spans="1:37" x14ac:dyDescent="0.4">
      <c r="A15" s="46">
        <v>13</v>
      </c>
      <c r="B15" s="49" t="s">
        <v>221</v>
      </c>
      <c r="C15" s="114">
        <v>2</v>
      </c>
      <c r="D15" s="47" t="s">
        <v>216</v>
      </c>
      <c r="E15" s="48">
        <v>-180.3</v>
      </c>
      <c r="F15" s="49" t="s">
        <v>201</v>
      </c>
      <c r="G15" s="61">
        <v>-19.424999999999997</v>
      </c>
      <c r="H15" s="49" t="s">
        <v>193</v>
      </c>
      <c r="I15" s="53">
        <v>1340.228259602879</v>
      </c>
      <c r="J15" s="49" t="s">
        <v>259</v>
      </c>
      <c r="K15" s="50">
        <v>2.6666666666666665</v>
      </c>
      <c r="L15" s="49" t="s">
        <v>259</v>
      </c>
      <c r="M15" s="51">
        <v>0</v>
      </c>
      <c r="N15" s="49" t="s">
        <v>259</v>
      </c>
      <c r="O15" s="51">
        <v>0.66666666666666663</v>
      </c>
      <c r="P15" s="49" t="s">
        <v>216</v>
      </c>
      <c r="Q15" s="52">
        <v>0.21428571428571427</v>
      </c>
      <c r="R15" s="49" t="s">
        <v>201</v>
      </c>
      <c r="S15" s="52">
        <v>0.27777777777777779</v>
      </c>
      <c r="T15" s="49" t="s">
        <v>201</v>
      </c>
      <c r="U15" s="53">
        <v>6744.4444444444443</v>
      </c>
      <c r="V15" s="49" t="s">
        <v>221</v>
      </c>
      <c r="W15" s="53">
        <v>-10300</v>
      </c>
      <c r="X15" s="49" t="s">
        <v>201</v>
      </c>
      <c r="Y15" s="51">
        <v>0.25</v>
      </c>
      <c r="Z15" s="49" t="s">
        <v>201</v>
      </c>
      <c r="AA15" s="52">
        <v>0.16666666666666666</v>
      </c>
      <c r="AB15" s="49" t="s">
        <v>195</v>
      </c>
      <c r="AC15" s="52">
        <v>0.13592233009708737</v>
      </c>
      <c r="AD15" s="49" t="s">
        <v>193</v>
      </c>
      <c r="AE15" s="52">
        <v>0.22222222222222221</v>
      </c>
      <c r="AF15" s="49" t="s">
        <v>259</v>
      </c>
      <c r="AG15" s="52">
        <v>0.25</v>
      </c>
      <c r="AH15" s="49" t="s">
        <v>193</v>
      </c>
      <c r="AI15" s="52">
        <v>0.25</v>
      </c>
      <c r="AJ15" s="49" t="s">
        <v>201</v>
      </c>
      <c r="AK15" s="56">
        <v>36100</v>
      </c>
    </row>
  </sheetData>
  <sortState xmlns:xlrd2="http://schemas.microsoft.com/office/spreadsheetml/2017/richdata2" ref="AJ3:AK69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86C4B-ADFE-4F3F-B999-6330D2E4B406}">
  <sheetPr codeName="Sheet4"/>
  <dimension ref="A1:R40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139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399</v>
      </c>
      <c r="C2" s="142"/>
      <c r="E2" s="26" t="s">
        <v>66</v>
      </c>
      <c r="F2" s="23" t="s">
        <v>22</v>
      </c>
      <c r="G2" s="11">
        <v>780</v>
      </c>
      <c r="H2" s="87">
        <f>IF(B$20=0,0,G2/B$20)</f>
        <v>0.77611940298507465</v>
      </c>
      <c r="I2" s="57">
        <v>7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-37.593984962406012</v>
      </c>
      <c r="Q2" s="76">
        <v>399</v>
      </c>
      <c r="R2" s="63">
        <v>-15000</v>
      </c>
    </row>
    <row r="3" spans="1:18" x14ac:dyDescent="0.4">
      <c r="A3" s="19" t="s">
        <v>8</v>
      </c>
      <c r="B3" s="143">
        <v>3426</v>
      </c>
      <c r="C3" s="144"/>
      <c r="E3" s="27" t="s">
        <v>72</v>
      </c>
      <c r="F3" s="24" t="s">
        <v>27</v>
      </c>
      <c r="G3" s="12">
        <v>601</v>
      </c>
      <c r="H3" s="88">
        <f>IF(B$20=0,0,G3/B$20)</f>
        <v>0.59800995024875625</v>
      </c>
      <c r="I3" s="58">
        <v>6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17.948717948717949</v>
      </c>
      <c r="Q3" s="77">
        <v>390</v>
      </c>
      <c r="R3" s="64">
        <v>7000</v>
      </c>
    </row>
    <row r="4" spans="1:18" x14ac:dyDescent="0.4">
      <c r="A4" s="19" t="s">
        <v>6</v>
      </c>
      <c r="B4" s="145">
        <v>5.0404125317982107E-14</v>
      </c>
      <c r="C4" s="146"/>
      <c r="E4" s="27" t="s">
        <v>64</v>
      </c>
      <c r="F4" s="24" t="s">
        <v>20</v>
      </c>
      <c r="G4" s="12">
        <v>421</v>
      </c>
      <c r="H4" s="88">
        <f>IF(B$20=0,0,G4/B$20)</f>
        <v>0.41890547263681593</v>
      </c>
      <c r="I4" s="58">
        <v>8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0</v>
      </c>
      <c r="Q4" s="77">
        <v>390</v>
      </c>
      <c r="R4" s="64">
        <v>0</v>
      </c>
    </row>
    <row r="5" spans="1:18" x14ac:dyDescent="0.4">
      <c r="A5" s="19" t="s">
        <v>7</v>
      </c>
      <c r="B5" s="133">
        <f>IF(B$2=0,0,B$4/B$2)</f>
        <v>1.2632612861649651E-16</v>
      </c>
      <c r="C5" s="134"/>
      <c r="E5" s="27" t="s">
        <v>159</v>
      </c>
      <c r="F5" s="24" t="s">
        <v>160</v>
      </c>
      <c r="G5" s="12">
        <v>402</v>
      </c>
      <c r="H5" s="88">
        <f>IF(B$20=0,0,G5/B$20)</f>
        <v>0.4</v>
      </c>
      <c r="I5" s="58">
        <v>7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-2.7100271002710028</v>
      </c>
      <c r="Q5" s="77">
        <v>369</v>
      </c>
      <c r="R5" s="64">
        <v>-1000</v>
      </c>
    </row>
    <row r="6" spans="1:18" x14ac:dyDescent="0.4">
      <c r="A6" s="19" t="s">
        <v>196</v>
      </c>
      <c r="B6" s="137">
        <v>1608.7837165670055</v>
      </c>
      <c r="C6" s="138"/>
      <c r="E6" s="27" t="s">
        <v>68</v>
      </c>
      <c r="F6" s="24" t="s">
        <v>12</v>
      </c>
      <c r="G6" s="12">
        <v>304</v>
      </c>
      <c r="H6" s="88">
        <f>IF(B$20=0,0,G6/B$20)</f>
        <v>0.3024875621890547</v>
      </c>
      <c r="I6" s="58">
        <v>7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11.799410029498524</v>
      </c>
      <c r="Q6" s="77">
        <v>339</v>
      </c>
      <c r="R6" s="64">
        <v>4000</v>
      </c>
    </row>
    <row r="7" spans="1:18" x14ac:dyDescent="0.4">
      <c r="A7" s="19" t="s">
        <v>1</v>
      </c>
      <c r="B7" s="147">
        <f>IF(B$2=0,0,(B$8*1+B$9*2+B$10*3)/B$2)</f>
        <v>1.9974937343358397</v>
      </c>
      <c r="C7" s="148"/>
      <c r="E7" s="27" t="s">
        <v>67</v>
      </c>
      <c r="F7" s="24" t="s">
        <v>23</v>
      </c>
      <c r="G7" s="12">
        <v>219</v>
      </c>
      <c r="H7" s="88">
        <f>IF(B$20=0,0,G7/B$20)</f>
        <v>0.21791044776119403</v>
      </c>
      <c r="I7" s="58">
        <v>9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17.006802721088434</v>
      </c>
      <c r="Q7" s="78">
        <v>294</v>
      </c>
      <c r="R7" s="65">
        <v>5000</v>
      </c>
    </row>
    <row r="8" spans="1:18" x14ac:dyDescent="0.4">
      <c r="A8" s="19" t="s">
        <v>2</v>
      </c>
      <c r="B8" s="12">
        <v>134</v>
      </c>
      <c r="C8" s="6">
        <f t="shared" ref="C8:C15" si="1">IF(B$2=0,0,B8/B$2)</f>
        <v>0.33583959899749372</v>
      </c>
      <c r="E8" s="27" t="s">
        <v>69</v>
      </c>
      <c r="F8" s="24" t="s">
        <v>24</v>
      </c>
      <c r="G8" s="12">
        <v>134</v>
      </c>
      <c r="H8" s="88">
        <f>IF(B$20=0,0,G8/B$20)</f>
        <v>0.13333333333333333</v>
      </c>
      <c r="I8" s="58">
        <v>5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">
      <c r="A9" s="19" t="s">
        <v>3</v>
      </c>
      <c r="B9" s="12">
        <v>132</v>
      </c>
      <c r="C9" s="6">
        <f t="shared" si="1"/>
        <v>0.33082706766917291</v>
      </c>
      <c r="E9" s="27" t="s">
        <v>89</v>
      </c>
      <c r="F9" s="24" t="s">
        <v>44</v>
      </c>
      <c r="G9" s="12">
        <v>134</v>
      </c>
      <c r="H9" s="88">
        <f>IF(B$20=0,0,G9/B$20)</f>
        <v>0.13333333333333333</v>
      </c>
      <c r="I9" s="58">
        <v>6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133</v>
      </c>
      <c r="C10" s="7">
        <f t="shared" si="1"/>
        <v>0.33333333333333331</v>
      </c>
      <c r="E10" s="27" t="s">
        <v>70</v>
      </c>
      <c r="F10" s="24" t="s">
        <v>25</v>
      </c>
      <c r="G10" s="12">
        <v>100</v>
      </c>
      <c r="H10" s="88">
        <f>IF(B$20=0,0,G10/B$20)</f>
        <v>9.950248756218906E-2</v>
      </c>
      <c r="I10" s="58">
        <v>4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2.9278195488721805</v>
      </c>
      <c r="Q10" s="76">
        <v>133</v>
      </c>
      <c r="R10" s="67">
        <v>389.40000000000003</v>
      </c>
    </row>
    <row r="11" spans="1:18" x14ac:dyDescent="0.4">
      <c r="A11" s="20" t="s">
        <v>184</v>
      </c>
      <c r="B11" s="109">
        <f>IF(B8=0,0,C11/B8)</f>
        <v>34.211194029850731</v>
      </c>
      <c r="C11" s="110">
        <v>4584.2999999999984</v>
      </c>
      <c r="E11" s="27" t="s">
        <v>65</v>
      </c>
      <c r="F11" s="24" t="s">
        <v>21</v>
      </c>
      <c r="G11" s="12">
        <v>91</v>
      </c>
      <c r="H11" s="88">
        <f>IF(B$20=0,0,G11/B$20)</f>
        <v>9.0547263681592036E-2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-3.0338345864661642</v>
      </c>
      <c r="Q11" s="77">
        <v>133</v>
      </c>
      <c r="R11" s="68">
        <v>-403.49999999999983</v>
      </c>
    </row>
    <row r="12" spans="1:18" x14ac:dyDescent="0.4">
      <c r="A12" s="20" t="s">
        <v>185</v>
      </c>
      <c r="B12" s="109">
        <f>IF(B9=0,0,C12/B9)</f>
        <v>-0.82348484848484849</v>
      </c>
      <c r="C12" s="110">
        <v>-108.7</v>
      </c>
      <c r="E12" s="27" t="s">
        <v>71</v>
      </c>
      <c r="F12" s="24" t="s">
        <v>26</v>
      </c>
      <c r="G12" s="12">
        <v>63</v>
      </c>
      <c r="H12" s="88">
        <f>IF(B$20=0,0,G12/B$20)</f>
        <v>6.2686567164179099E-2</v>
      </c>
      <c r="I12" s="58">
        <v>7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0.10601503759398519</v>
      </c>
      <c r="Q12" s="78">
        <v>133</v>
      </c>
      <c r="R12" s="69">
        <v>14.10000000000003</v>
      </c>
    </row>
    <row r="13" spans="1:18" x14ac:dyDescent="0.4">
      <c r="A13" s="20" t="s">
        <v>186</v>
      </c>
      <c r="B13" s="109">
        <f>IF(B10=0,0,C13/B10)</f>
        <v>-33.651127819548861</v>
      </c>
      <c r="C13" s="110">
        <v>-4475.5999999999985</v>
      </c>
      <c r="E13" s="27" t="s">
        <v>86</v>
      </c>
      <c r="F13" s="24" t="s">
        <v>41</v>
      </c>
      <c r="G13" s="12">
        <v>52</v>
      </c>
      <c r="H13" s="88">
        <f>IF(B$20=0,0,G13/B$20)</f>
        <v>5.1741293532338306E-2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-8.7806212727658803E-2</v>
      </c>
      <c r="C14" s="134"/>
      <c r="E14" s="27" t="s">
        <v>83</v>
      </c>
      <c r="F14" s="24" t="s">
        <v>38</v>
      </c>
      <c r="G14" s="12">
        <v>44</v>
      </c>
      <c r="H14" s="88">
        <f>IF(B$20=0,0,G14/B$20)</f>
        <v>4.3781094527363187E-2</v>
      </c>
      <c r="I14" s="58">
        <v>8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35</v>
      </c>
      <c r="C15" s="9">
        <f t="shared" si="1"/>
        <v>8.771929824561403E-2</v>
      </c>
      <c r="E15" s="27" t="s">
        <v>81</v>
      </c>
      <c r="F15" s="24" t="s">
        <v>36</v>
      </c>
      <c r="G15" s="12">
        <v>31</v>
      </c>
      <c r="H15" s="88">
        <f>IF(B$20=0,0,G15/B$20)</f>
        <v>3.0845771144278607E-2</v>
      </c>
      <c r="I15" s="58">
        <v>8</v>
      </c>
      <c r="K15" s="74">
        <v>13</v>
      </c>
      <c r="L15" s="119">
        <v>48.999999999999993</v>
      </c>
      <c r="M15" s="117">
        <v>1603.6953056015411</v>
      </c>
      <c r="O15" s="73" t="s">
        <v>201</v>
      </c>
      <c r="P15" s="82">
        <f>IF(Q15=0,0,R15/Q15)</f>
        <v>29.137500000000003</v>
      </c>
      <c r="Q15" s="76">
        <v>8</v>
      </c>
      <c r="R15" s="67">
        <v>233.10000000000002</v>
      </c>
    </row>
    <row r="16" spans="1:18" x14ac:dyDescent="0.4">
      <c r="A16" s="22" t="s">
        <v>121</v>
      </c>
      <c r="B16" s="15">
        <v>838</v>
      </c>
      <c r="C16" s="10">
        <f>IF(B$3=0,0,B16/B$3)</f>
        <v>0.24460011675423235</v>
      </c>
      <c r="E16" s="27" t="s">
        <v>78</v>
      </c>
      <c r="F16" s="24" t="s">
        <v>33</v>
      </c>
      <c r="G16" s="12">
        <v>28</v>
      </c>
      <c r="H16" s="88">
        <f>IF(B$20=0,0,G16/B$20)</f>
        <v>2.7860696517412936E-2</v>
      </c>
      <c r="I16" s="58">
        <v>7</v>
      </c>
      <c r="K16" s="74">
        <v>14</v>
      </c>
      <c r="L16" s="119">
        <v>3.4999999999999929</v>
      </c>
      <c r="M16" s="117">
        <v>1595.6091337679318</v>
      </c>
      <c r="O16" s="74" t="s">
        <v>259</v>
      </c>
      <c r="P16" s="83">
        <f>IF(Q16=0,0,R16/Q16)</f>
        <v>24.999999999999996</v>
      </c>
      <c r="Q16" s="77">
        <v>6</v>
      </c>
      <c r="R16" s="68">
        <v>149.99999999999997</v>
      </c>
    </row>
    <row r="17" spans="1:18" x14ac:dyDescent="0.4">
      <c r="A17" s="19" t="s">
        <v>118</v>
      </c>
      <c r="B17" s="12">
        <v>778</v>
      </c>
      <c r="C17" s="6">
        <f>IF(B$3=0,0,B17/B$3)</f>
        <v>0.22708698190309398</v>
      </c>
      <c r="E17" s="27" t="s">
        <v>91</v>
      </c>
      <c r="F17" s="24" t="s">
        <v>46</v>
      </c>
      <c r="G17" s="12">
        <v>20</v>
      </c>
      <c r="H17" s="88">
        <f>IF(B$20=0,0,G17/B$20)</f>
        <v>1.9900497512437811E-2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193</v>
      </c>
      <c r="P17" s="83">
        <f>IF(Q17=0,0,R17/Q17)</f>
        <v>19.550000000000004</v>
      </c>
      <c r="Q17" s="77">
        <v>12</v>
      </c>
      <c r="R17" s="68">
        <v>234.60000000000005</v>
      </c>
    </row>
    <row r="18" spans="1:18" x14ac:dyDescent="0.4">
      <c r="A18" s="18" t="s">
        <v>123</v>
      </c>
      <c r="B18" s="11">
        <f>B24</f>
        <v>436</v>
      </c>
      <c r="C18" s="5">
        <f>IF(B$16=0,0,B18/B$16)</f>
        <v>0.52028639618138428</v>
      </c>
      <c r="E18" s="27" t="s">
        <v>155</v>
      </c>
      <c r="F18" s="24" t="s">
        <v>156</v>
      </c>
      <c r="G18" s="12">
        <v>18</v>
      </c>
      <c r="H18" s="88">
        <f>IF(B$20=0,0,G18/B$20)</f>
        <v>1.7910447761194031E-2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216</v>
      </c>
      <c r="P18" s="83">
        <f>IF(Q18=0,0,R18/Q18)</f>
        <v>15.025000000000002</v>
      </c>
      <c r="Q18" s="77">
        <v>36</v>
      </c>
      <c r="R18" s="68">
        <v>540.90000000000009</v>
      </c>
    </row>
    <row r="19" spans="1:18" x14ac:dyDescent="0.4">
      <c r="A19" s="18" t="s">
        <v>124</v>
      </c>
      <c r="B19" s="11">
        <f>B25</f>
        <v>316</v>
      </c>
      <c r="C19" s="5">
        <f>IF(B$17=0,0,B19/B$17)</f>
        <v>0.40616966580976865</v>
      </c>
      <c r="E19" s="27" t="s">
        <v>79</v>
      </c>
      <c r="F19" s="24" t="s">
        <v>34</v>
      </c>
      <c r="G19" s="12">
        <v>15</v>
      </c>
      <c r="H19" s="88">
        <f>IF(B$20=0,0,G19/B$20)</f>
        <v>1.4925373134328358E-2</v>
      </c>
      <c r="I19" s="58">
        <v>5</v>
      </c>
      <c r="K19" s="74">
        <v>17</v>
      </c>
      <c r="L19" s="119">
        <v>-7.1054273576010019E-15</v>
      </c>
      <c r="M19" s="117">
        <v>1595.1902899509832</v>
      </c>
      <c r="O19" s="74" t="s">
        <v>221</v>
      </c>
      <c r="P19" s="83">
        <f>IF(Q19=0,0,R19/Q19)</f>
        <v>10.125</v>
      </c>
      <c r="Q19" s="77">
        <v>4</v>
      </c>
      <c r="R19" s="68">
        <v>40.5</v>
      </c>
    </row>
    <row r="20" spans="1:18" x14ac:dyDescent="0.4">
      <c r="A20" s="18" t="s">
        <v>10</v>
      </c>
      <c r="B20" s="11">
        <f>B23+B22</f>
        <v>1005</v>
      </c>
      <c r="C20" s="5">
        <f>IF(B$3=0,0,B20/B$3)</f>
        <v>0.29334500875656744</v>
      </c>
      <c r="E20" s="27" t="s">
        <v>73</v>
      </c>
      <c r="F20" s="24" t="s">
        <v>28</v>
      </c>
      <c r="G20" s="12">
        <v>9</v>
      </c>
      <c r="H20" s="88">
        <f>IF(B$20=0,0,G20/B$20)</f>
        <v>8.9552238805970154E-3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195</v>
      </c>
      <c r="P20" s="83">
        <f>IF(Q20=0,0,R20/Q20)</f>
        <v>4.9375000000000036</v>
      </c>
      <c r="Q20" s="77">
        <v>24</v>
      </c>
      <c r="R20" s="68">
        <v>118.50000000000009</v>
      </c>
    </row>
    <row r="21" spans="1:18" x14ac:dyDescent="0.4">
      <c r="A21" s="19" t="s">
        <v>13</v>
      </c>
      <c r="B21" s="12">
        <v>550</v>
      </c>
      <c r="C21" s="6">
        <f>IF(B$3=0,0,B21/B$3)</f>
        <v>0.16053706946876825</v>
      </c>
      <c r="E21" s="27" t="s">
        <v>75</v>
      </c>
      <c r="F21" s="24" t="s">
        <v>30</v>
      </c>
      <c r="G21" s="12">
        <v>4</v>
      </c>
      <c r="H21" s="88">
        <f>IF(B$20=0,0,G21/B$20)</f>
        <v>3.9800995024875619E-3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189</v>
      </c>
      <c r="P21" s="83">
        <f>IF(Q21=0,0,R21/Q21)</f>
        <v>4.8900000000000006</v>
      </c>
      <c r="Q21" s="77">
        <v>90</v>
      </c>
      <c r="R21" s="68">
        <v>440.1</v>
      </c>
    </row>
    <row r="22" spans="1:18" x14ac:dyDescent="0.4">
      <c r="A22" s="19" t="s">
        <v>12</v>
      </c>
      <c r="B22" s="12">
        <v>448</v>
      </c>
      <c r="C22" s="6">
        <f>IF(B$20=0,0,B22/B$20)</f>
        <v>0.44577114427860698</v>
      </c>
      <c r="E22" s="27" t="s">
        <v>77</v>
      </c>
      <c r="F22" s="24" t="s">
        <v>32</v>
      </c>
      <c r="G22" s="12">
        <v>4</v>
      </c>
      <c r="H22" s="88">
        <f>IF(B$20=0,0,G22/B$20)</f>
        <v>3.9800995024875619E-3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163</v>
      </c>
      <c r="P22" s="83">
        <f>IF(Q22=0,0,R22/Q22)</f>
        <v>1.8270833333333334</v>
      </c>
      <c r="Q22" s="77">
        <v>144</v>
      </c>
      <c r="R22" s="68">
        <v>263.10000000000002</v>
      </c>
    </row>
    <row r="23" spans="1:18" x14ac:dyDescent="0.4">
      <c r="A23" s="19" t="s">
        <v>11</v>
      </c>
      <c r="B23" s="12">
        <v>557</v>
      </c>
      <c r="C23" s="6">
        <f>IF(B$20=0,0,B23/B$20)</f>
        <v>0.55422885572139302</v>
      </c>
      <c r="E23" s="27" t="s">
        <v>85</v>
      </c>
      <c r="F23" s="24" t="s">
        <v>40</v>
      </c>
      <c r="G23" s="12">
        <v>4</v>
      </c>
      <c r="H23" s="88">
        <f>IF(B$20=0,0,G23/B$20)</f>
        <v>3.9800995024875619E-3</v>
      </c>
      <c r="I23" s="58">
        <v>4</v>
      </c>
      <c r="K23" s="74">
        <v>21</v>
      </c>
      <c r="L23" s="119">
        <v>-7.1054273576010019E-15</v>
      </c>
      <c r="M23" s="117">
        <v>1595.4468589894411</v>
      </c>
      <c r="O23" s="74" t="s">
        <v>190</v>
      </c>
      <c r="P23" s="83">
        <f>IF(Q23=0,0,R23/Q23)</f>
        <v>-2.6426470588235293</v>
      </c>
      <c r="Q23" s="77">
        <v>68</v>
      </c>
      <c r="R23" s="68">
        <v>-179.7</v>
      </c>
    </row>
    <row r="24" spans="1:18" x14ac:dyDescent="0.4">
      <c r="A24" s="19" t="s">
        <v>183</v>
      </c>
      <c r="B24" s="12">
        <v>436</v>
      </c>
      <c r="C24" s="6">
        <f>IF(B$20=0,0,B24/B$20)</f>
        <v>0.43383084577114428</v>
      </c>
      <c r="E24" s="27" t="s">
        <v>88</v>
      </c>
      <c r="F24" s="24" t="s">
        <v>43</v>
      </c>
      <c r="G24" s="12">
        <v>4</v>
      </c>
      <c r="H24" s="88">
        <f>IF(B$20=0,0,G24/B$20)</f>
        <v>3.9800995024875619E-3</v>
      </c>
      <c r="I24" s="58">
        <v>4</v>
      </c>
      <c r="K24" s="74">
        <v>22</v>
      </c>
      <c r="L24" s="119">
        <v>-4.4000000000000075</v>
      </c>
      <c r="M24" s="117">
        <v>1594.0581778355045</v>
      </c>
      <c r="O24" s="74" t="s">
        <v>126</v>
      </c>
      <c r="P24" s="83">
        <f>IF(Q24=0,0,R24/Q24)</f>
        <v>-2.8596330275229356</v>
      </c>
      <c r="Q24" s="77">
        <v>218</v>
      </c>
      <c r="R24" s="68">
        <v>-623.4</v>
      </c>
    </row>
    <row r="25" spans="1:18" x14ac:dyDescent="0.4">
      <c r="A25" s="19" t="s">
        <v>181</v>
      </c>
      <c r="B25" s="12">
        <v>316</v>
      </c>
      <c r="C25" s="6">
        <f>IF(B$20=0,0,B25/B$20)</f>
        <v>0.3144278606965174</v>
      </c>
      <c r="E25" s="27" t="s">
        <v>92</v>
      </c>
      <c r="F25" s="24" t="s">
        <v>47</v>
      </c>
      <c r="G25" s="12">
        <v>3</v>
      </c>
      <c r="H25" s="88">
        <f>IF(B$20=0,0,G25/B$20)</f>
        <v>2.9850746268656717E-3</v>
      </c>
      <c r="I25" s="58">
        <v>4</v>
      </c>
      <c r="K25" s="74">
        <v>23</v>
      </c>
      <c r="L25" s="119">
        <v>37.999999999999993</v>
      </c>
      <c r="M25" s="117">
        <v>1601.1018287684915</v>
      </c>
      <c r="O25" s="74" t="s">
        <v>211</v>
      </c>
      <c r="P25" s="83">
        <f>IF(Q25=0,0,R25/Q25)</f>
        <v>-5.2566666666666668</v>
      </c>
      <c r="Q25" s="77">
        <v>90</v>
      </c>
      <c r="R25" s="68">
        <v>-473.1</v>
      </c>
    </row>
    <row r="26" spans="1:18" x14ac:dyDescent="0.4">
      <c r="A26" s="19" t="s">
        <v>182</v>
      </c>
      <c r="B26" s="12">
        <v>253</v>
      </c>
      <c r="C26" s="6">
        <f>IF(B$20=0,0,B26/B$20)</f>
        <v>0.25174129353233832</v>
      </c>
      <c r="E26" s="27" t="s">
        <v>93</v>
      </c>
      <c r="F26" s="24" t="s">
        <v>48</v>
      </c>
      <c r="G26" s="12">
        <v>2</v>
      </c>
      <c r="H26" s="88">
        <f>IF(B$20=0,0,G26/B$20)</f>
        <v>1.990049751243781E-3</v>
      </c>
      <c r="I26" s="58">
        <v>3</v>
      </c>
      <c r="K26" s="74">
        <v>24</v>
      </c>
      <c r="L26" s="119">
        <v>-7.1054273576010019E-15</v>
      </c>
      <c r="M26" s="117">
        <v>1593.6312177958805</v>
      </c>
      <c r="O26" s="74" t="s">
        <v>192</v>
      </c>
      <c r="P26" s="83">
        <f>IF(Q26=0,0,R26/Q26)</f>
        <v>-7.5979591836734732</v>
      </c>
      <c r="Q26" s="77">
        <v>98</v>
      </c>
      <c r="R26" s="68">
        <v>-744.60000000000036</v>
      </c>
    </row>
    <row r="27" spans="1:18" x14ac:dyDescent="0.4">
      <c r="A27" s="19" t="s">
        <v>5</v>
      </c>
      <c r="B27" s="16">
        <f>IF(B$20=0,0,C27/B$20)</f>
        <v>8100.5970149253735</v>
      </c>
      <c r="C27" s="8">
        <v>8141100</v>
      </c>
      <c r="E27" s="27" t="s">
        <v>80</v>
      </c>
      <c r="F27" s="24" t="s">
        <v>35</v>
      </c>
      <c r="G27" s="12">
        <v>1</v>
      </c>
      <c r="H27" s="88">
        <f>IF(B$20=0,0,G27/B$20)</f>
        <v>9.9502487562189048E-4</v>
      </c>
      <c r="I27" s="58">
        <v>2</v>
      </c>
      <c r="K27" s="74">
        <v>25</v>
      </c>
      <c r="L27" s="119">
        <v>-28.000000000000007</v>
      </c>
      <c r="M27" s="117">
        <v>1587.7054304891053</v>
      </c>
    </row>
    <row r="28" spans="1:18" x14ac:dyDescent="0.4">
      <c r="A28" s="20" t="s">
        <v>165</v>
      </c>
      <c r="B28" s="95">
        <f>IF($B$20-B$19=0,0,C28/($B$20-B$19))</f>
        <v>8669.5210449927436</v>
      </c>
      <c r="C28" s="96">
        <v>5973300</v>
      </c>
      <c r="E28" s="27" t="s">
        <v>84</v>
      </c>
      <c r="F28" s="24" t="s">
        <v>39</v>
      </c>
      <c r="G28" s="12">
        <v>1</v>
      </c>
      <c r="H28" s="88">
        <f>IF(B$20=0,0,G28/B$20)</f>
        <v>9.9502487562189048E-4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">
      <c r="A29" s="20" t="s">
        <v>166</v>
      </c>
      <c r="B29" s="95">
        <f>IF(B$19=0,0,C29/B$19)</f>
        <v>6860.1265822784808</v>
      </c>
      <c r="C29" s="96">
        <v>2167800</v>
      </c>
      <c r="E29" s="27" t="s">
        <v>90</v>
      </c>
      <c r="F29" s="24" t="s">
        <v>45</v>
      </c>
      <c r="G29" s="12">
        <v>1</v>
      </c>
      <c r="H29" s="88">
        <f>IF(B$20=0,0,G29/B$20)</f>
        <v>9.9502487562189048E-4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">
      <c r="A30" s="20" t="s">
        <v>164</v>
      </c>
      <c r="B30" s="95">
        <f>IF(B$21=0,0,C30/B$21)</f>
        <v>-7610.909090909091</v>
      </c>
      <c r="C30" s="96">
        <v>-4186000</v>
      </c>
      <c r="E30" s="27" t="s">
        <v>102</v>
      </c>
      <c r="F30" s="24" t="s">
        <v>57</v>
      </c>
      <c r="G30" s="12">
        <v>1</v>
      </c>
      <c r="H30" s="88">
        <f>IF(B$20=0,0,G30/B$20)</f>
        <v>9.9502487562189048E-4</v>
      </c>
      <c r="I30" s="58">
        <v>2</v>
      </c>
      <c r="K30" s="74">
        <v>28</v>
      </c>
      <c r="L30" s="119">
        <v>36.899999999999991</v>
      </c>
      <c r="M30" s="117">
        <v>1597.5382959184212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106</v>
      </c>
      <c r="F31" s="24" t="s">
        <v>113</v>
      </c>
      <c r="G31" s="12">
        <v>1</v>
      </c>
      <c r="H31" s="88">
        <f>IF(B$20=0,0,G31/B$20)</f>
        <v>9.9502487562189048E-4</v>
      </c>
      <c r="I31" s="58">
        <v>2</v>
      </c>
      <c r="K31" s="74">
        <v>29</v>
      </c>
      <c r="L31" s="119">
        <v>-3.1000000000000085</v>
      </c>
      <c r="M31" s="117">
        <v>1590.1670661429107</v>
      </c>
    </row>
    <row r="32" spans="1:18" x14ac:dyDescent="0.4">
      <c r="A32" s="19" t="s">
        <v>158</v>
      </c>
      <c r="B32" s="12">
        <v>48</v>
      </c>
      <c r="C32" s="90">
        <v>7</v>
      </c>
      <c r="E32" s="27" t="s">
        <v>74</v>
      </c>
      <c r="F32" s="24" t="s">
        <v>29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">
      <c r="A33" s="54" t="s">
        <v>136</v>
      </c>
      <c r="B33" s="135">
        <v>7</v>
      </c>
      <c r="C33" s="136"/>
      <c r="E33" s="27" t="s">
        <v>76</v>
      </c>
      <c r="F33" s="24" t="s">
        <v>31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">
      <c r="A34" s="22" t="s">
        <v>180</v>
      </c>
      <c r="B34" s="137">
        <v>103000</v>
      </c>
      <c r="C34" s="138"/>
      <c r="E34" s="27" t="s">
        <v>82</v>
      </c>
      <c r="F34" s="24" t="s">
        <v>37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">
      <c r="A35" s="21" t="s">
        <v>137</v>
      </c>
      <c r="B35" s="29">
        <v>7</v>
      </c>
      <c r="C35" s="9">
        <f>IF(B$3=0,0,B35/B$3)</f>
        <v>2.0431990659661413E-3</v>
      </c>
      <c r="E35" s="27" t="s">
        <v>87</v>
      </c>
      <c r="F35" s="24" t="s">
        <v>42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">
      <c r="A37" s="54" t="s">
        <v>171</v>
      </c>
      <c r="B37" s="123">
        <v>75</v>
      </c>
      <c r="C37" s="98">
        <f t="shared" ref="C37:C49" si="2">IF(B$20=0,0,B37/B$20)</f>
        <v>7.4626865671641784E-2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">
      <c r="A38" s="19" t="s">
        <v>167</v>
      </c>
      <c r="B38" s="12">
        <v>187</v>
      </c>
      <c r="C38" s="6">
        <f t="shared" si="2"/>
        <v>0.18606965174129353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">
      <c r="A39" s="19" t="s">
        <v>168</v>
      </c>
      <c r="B39" s="124">
        <v>201</v>
      </c>
      <c r="C39" s="6">
        <f t="shared" si="2"/>
        <v>0.2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">
      <c r="A40" s="19" t="s">
        <v>169</v>
      </c>
      <c r="B40" s="124">
        <v>197</v>
      </c>
      <c r="C40" s="6">
        <f t="shared" si="2"/>
        <v>0.19601990049751244</v>
      </c>
      <c r="E40" s="27" t="s">
        <v>98</v>
      </c>
      <c r="F40" s="24" t="s">
        <v>53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">
      <c r="A41" s="19" t="s">
        <v>170</v>
      </c>
      <c r="B41" s="124">
        <v>140</v>
      </c>
      <c r="C41" s="6">
        <f t="shared" si="2"/>
        <v>0.13930348258706468</v>
      </c>
      <c r="E41" s="27" t="s">
        <v>99</v>
      </c>
      <c r="F41" s="24" t="s">
        <v>54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">
      <c r="A42" s="19" t="s">
        <v>172</v>
      </c>
      <c r="B42" s="124">
        <v>92</v>
      </c>
      <c r="C42" s="6">
        <f t="shared" si="2"/>
        <v>9.1542288557213927E-2</v>
      </c>
      <c r="E42" s="27" t="s">
        <v>100</v>
      </c>
      <c r="F42" s="24" t="s">
        <v>55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">
      <c r="A43" s="19" t="s">
        <v>173</v>
      </c>
      <c r="B43" s="124">
        <v>42</v>
      </c>
      <c r="C43" s="6">
        <f t="shared" si="2"/>
        <v>4.1791044776119404E-2</v>
      </c>
      <c r="E43" s="27" t="s">
        <v>101</v>
      </c>
      <c r="F43" s="24" t="s">
        <v>56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">
      <c r="A44" s="19" t="s">
        <v>174</v>
      </c>
      <c r="B44" s="124">
        <v>32</v>
      </c>
      <c r="C44" s="6">
        <f t="shared" si="2"/>
        <v>3.1840796019900496E-2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">
      <c r="A45" s="19" t="s">
        <v>175</v>
      </c>
      <c r="B45" s="124">
        <v>17</v>
      </c>
      <c r="C45" s="6">
        <f t="shared" si="2"/>
        <v>1.6915422885572139E-2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">
      <c r="A46" s="19" t="s">
        <v>176</v>
      </c>
      <c r="B46" s="124">
        <v>11</v>
      </c>
      <c r="C46" s="6">
        <f t="shared" si="2"/>
        <v>1.0945273631840797E-2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">
      <c r="A47" s="19" t="s">
        <v>177</v>
      </c>
      <c r="B47" s="124">
        <v>2</v>
      </c>
      <c r="C47" s="6">
        <f t="shared" si="2"/>
        <v>1.990049751243781E-3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">
      <c r="A48" s="19" t="s">
        <v>178</v>
      </c>
      <c r="B48" s="124">
        <v>1</v>
      </c>
      <c r="C48" s="6">
        <f t="shared" si="2"/>
        <v>9.9502487562189048E-4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">
      <c r="A49" s="21" t="s">
        <v>179</v>
      </c>
      <c r="B49" s="97">
        <v>8</v>
      </c>
      <c r="C49" s="9">
        <f t="shared" si="2"/>
        <v>7.9601990049751239E-3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">
      <c r="K53" s="74">
        <v>51</v>
      </c>
      <c r="L53" s="119">
        <v>1.0658141036401503E-14</v>
      </c>
      <c r="M53" s="117">
        <v>1590.4180304736462</v>
      </c>
    </row>
    <row r="54" spans="1:13" x14ac:dyDescent="0.4">
      <c r="K54" s="74">
        <v>52</v>
      </c>
      <c r="L54" s="119">
        <v>-24.199999999999989</v>
      </c>
      <c r="M54" s="117">
        <v>1585.5015222908044</v>
      </c>
    </row>
    <row r="55" spans="1:13" x14ac:dyDescent="0.4">
      <c r="K55" s="74">
        <v>53</v>
      </c>
      <c r="L55" s="119">
        <v>-20.199999999999989</v>
      </c>
      <c r="M55" s="117">
        <v>1585.6905131570595</v>
      </c>
    </row>
    <row r="56" spans="1:13" x14ac:dyDescent="0.4">
      <c r="K56" s="74">
        <v>54</v>
      </c>
      <c r="L56" s="119">
        <v>1.0658141036401503E-14</v>
      </c>
      <c r="M56" s="117">
        <v>1588.7943700781173</v>
      </c>
    </row>
    <row r="57" spans="1:13" x14ac:dyDescent="0.4">
      <c r="K57" s="74">
        <v>55</v>
      </c>
      <c r="L57" s="119">
        <v>-17.499999999999989</v>
      </c>
      <c r="M57" s="117">
        <v>1584.9436038576484</v>
      </c>
    </row>
    <row r="58" spans="1:13" x14ac:dyDescent="0.4">
      <c r="K58" s="74">
        <v>56</v>
      </c>
      <c r="L58" s="119">
        <v>0.50000000000001066</v>
      </c>
      <c r="M58" s="117">
        <v>1587.5059422345025</v>
      </c>
    </row>
    <row r="59" spans="1:13" x14ac:dyDescent="0.4">
      <c r="K59" s="74">
        <v>57</v>
      </c>
      <c r="L59" s="119">
        <v>1.0658141036401503E-14</v>
      </c>
      <c r="M59" s="117">
        <v>1586.7229065810955</v>
      </c>
    </row>
    <row r="60" spans="1:13" x14ac:dyDescent="0.4">
      <c r="K60" s="74">
        <v>58</v>
      </c>
      <c r="L60" s="119">
        <v>16.600000000000012</v>
      </c>
      <c r="M60" s="117">
        <v>1589.7965691416089</v>
      </c>
    </row>
    <row r="61" spans="1:13" x14ac:dyDescent="0.4">
      <c r="K61" s="74">
        <v>59</v>
      </c>
      <c r="L61" s="119">
        <v>13.600000000000012</v>
      </c>
      <c r="M61" s="117">
        <v>1589.3237897267593</v>
      </c>
    </row>
    <row r="62" spans="1:13" x14ac:dyDescent="0.4">
      <c r="K62" s="74">
        <v>60</v>
      </c>
      <c r="L62" s="119">
        <v>1.2434497875801753E-14</v>
      </c>
      <c r="M62" s="117">
        <v>1586.9458469883987</v>
      </c>
    </row>
    <row r="63" spans="1:13" x14ac:dyDescent="0.4">
      <c r="K63" s="74">
        <v>61</v>
      </c>
      <c r="L63" s="119">
        <v>-13.999999999999988</v>
      </c>
      <c r="M63" s="117">
        <v>1584.6241719064683</v>
      </c>
    </row>
    <row r="64" spans="1:13" x14ac:dyDescent="0.4">
      <c r="K64" s="74">
        <v>62</v>
      </c>
      <c r="L64" s="119">
        <v>-39.699999999999989</v>
      </c>
      <c r="M64" s="117">
        <v>1580.2104268750295</v>
      </c>
    </row>
    <row r="65" spans="11:13" x14ac:dyDescent="0.4">
      <c r="K65" s="74">
        <v>63</v>
      </c>
      <c r="L65" s="119">
        <v>1.4210854715202004E-14</v>
      </c>
      <c r="M65" s="117">
        <v>1587.5951643137794</v>
      </c>
    </row>
    <row r="66" spans="11:13" x14ac:dyDescent="0.4">
      <c r="K66" s="74">
        <v>64</v>
      </c>
      <c r="L66" s="119">
        <v>-19.799999999999986</v>
      </c>
      <c r="M66" s="117">
        <v>1584.2255933278966</v>
      </c>
    </row>
    <row r="67" spans="11:13" x14ac:dyDescent="0.4">
      <c r="K67" s="74">
        <v>65</v>
      </c>
      <c r="L67" s="119">
        <v>-50.899999999999991</v>
      </c>
      <c r="M67" s="117">
        <v>1578.8422397679292</v>
      </c>
    </row>
    <row r="68" spans="11:13" x14ac:dyDescent="0.4">
      <c r="K68" s="74">
        <v>66</v>
      </c>
      <c r="L68" s="119">
        <v>7.1054273576010019E-15</v>
      </c>
      <c r="M68" s="117">
        <v>1588.2511863293216</v>
      </c>
    </row>
    <row r="69" spans="11:13" x14ac:dyDescent="0.4">
      <c r="K69" s="74">
        <v>67</v>
      </c>
      <c r="L69" s="119">
        <v>-26.699999999999992</v>
      </c>
      <c r="M69" s="117">
        <v>1583.6356792113456</v>
      </c>
    </row>
    <row r="70" spans="11:13" x14ac:dyDescent="0.4">
      <c r="K70" s="74">
        <v>68</v>
      </c>
      <c r="L70" s="119">
        <v>7.0000000000000107</v>
      </c>
      <c r="M70" s="117">
        <v>1589.9198651360775</v>
      </c>
    </row>
    <row r="71" spans="11:13" x14ac:dyDescent="0.4">
      <c r="K71" s="74">
        <v>69</v>
      </c>
      <c r="L71" s="119">
        <v>1.0658141036401503E-14</v>
      </c>
      <c r="M71" s="117">
        <v>1588.8403459452611</v>
      </c>
    </row>
    <row r="72" spans="11:13" x14ac:dyDescent="0.4">
      <c r="K72" s="74">
        <v>70</v>
      </c>
      <c r="L72" s="119">
        <v>-24.399999999999988</v>
      </c>
      <c r="M72" s="117">
        <v>1584.4493038695896</v>
      </c>
    </row>
    <row r="73" spans="11:13" x14ac:dyDescent="0.4">
      <c r="K73" s="74">
        <v>71</v>
      </c>
      <c r="L73" s="119">
        <v>-24.299999999999986</v>
      </c>
      <c r="M73" s="117">
        <v>1584.4946080463722</v>
      </c>
    </row>
    <row r="74" spans="11:13" x14ac:dyDescent="0.4">
      <c r="K74" s="74">
        <v>72</v>
      </c>
      <c r="L74" s="119">
        <v>1.4210854715202004E-14</v>
      </c>
      <c r="M74" s="117">
        <v>1588.895640398094</v>
      </c>
    </row>
    <row r="75" spans="11:13" x14ac:dyDescent="0.4">
      <c r="K75" s="74">
        <v>73</v>
      </c>
      <c r="L75" s="119">
        <v>8.2000000000000135</v>
      </c>
      <c r="M75" s="117">
        <v>1590.3722665557054</v>
      </c>
    </row>
    <row r="76" spans="11:13" x14ac:dyDescent="0.4">
      <c r="K76" s="74">
        <v>74</v>
      </c>
      <c r="L76" s="119">
        <v>32.800000000000011</v>
      </c>
      <c r="M76" s="117">
        <v>1594.7920329563713</v>
      </c>
    </row>
    <row r="77" spans="11:13" x14ac:dyDescent="0.4">
      <c r="K77" s="74">
        <v>75</v>
      </c>
      <c r="L77" s="119">
        <v>1.4210854715202004E-14</v>
      </c>
      <c r="M77" s="117">
        <v>1588.853280758633</v>
      </c>
    </row>
    <row r="78" spans="11:13" x14ac:dyDescent="0.4">
      <c r="K78" s="74">
        <v>76</v>
      </c>
      <c r="L78" s="119">
        <v>-14.299999999999986</v>
      </c>
      <c r="M78" s="117">
        <v>1586.3761610740812</v>
      </c>
    </row>
    <row r="79" spans="11:13" x14ac:dyDescent="0.4">
      <c r="K79" s="74">
        <v>77</v>
      </c>
      <c r="L79" s="119">
        <v>-14.799999999999986</v>
      </c>
      <c r="M79" s="117">
        <v>1586.3979041076368</v>
      </c>
    </row>
    <row r="80" spans="11:13" x14ac:dyDescent="0.4">
      <c r="K80" s="74">
        <v>78</v>
      </c>
      <c r="L80" s="119">
        <v>1.4210854715202004E-14</v>
      </c>
      <c r="M80" s="117">
        <v>1589.173516682991</v>
      </c>
    </row>
    <row r="81" spans="11:13" x14ac:dyDescent="0.4">
      <c r="K81" s="74">
        <v>79</v>
      </c>
      <c r="L81" s="119">
        <v>-6.8999999999999861</v>
      </c>
      <c r="M81" s="117">
        <v>1588.026475582893</v>
      </c>
    </row>
    <row r="82" spans="11:13" x14ac:dyDescent="0.4">
      <c r="K82" s="74">
        <v>80</v>
      </c>
      <c r="L82" s="119">
        <v>20.100000000000016</v>
      </c>
      <c r="M82" s="117">
        <v>1592.9883167293956</v>
      </c>
    </row>
    <row r="83" spans="11:13" x14ac:dyDescent="0.4">
      <c r="K83" s="74">
        <v>81</v>
      </c>
      <c r="L83" s="119">
        <v>1.4210854715202004E-14</v>
      </c>
      <c r="M83" s="117">
        <v>1589.4423868290191</v>
      </c>
    </row>
    <row r="84" spans="11:13" x14ac:dyDescent="0.4">
      <c r="K84" s="74">
        <v>82</v>
      </c>
      <c r="L84" s="119">
        <v>-0.69999999999998574</v>
      </c>
      <c r="M84" s="117">
        <v>1589.409732508045</v>
      </c>
    </row>
    <row r="85" spans="11:13" x14ac:dyDescent="0.4">
      <c r="K85" s="74">
        <v>83</v>
      </c>
      <c r="L85" s="119">
        <v>-24.199999999999985</v>
      </c>
      <c r="M85" s="117">
        <v>1585.2732741129967</v>
      </c>
    </row>
    <row r="86" spans="11:13" x14ac:dyDescent="0.4">
      <c r="K86" s="74">
        <v>84</v>
      </c>
      <c r="L86" s="119">
        <v>1.4210854715202004E-14</v>
      </c>
      <c r="M86" s="117">
        <v>1589.7476344683187</v>
      </c>
    </row>
    <row r="87" spans="11:13" x14ac:dyDescent="0.4">
      <c r="K87" s="74">
        <v>85</v>
      </c>
      <c r="L87" s="119">
        <v>33.500000000000014</v>
      </c>
      <c r="M87" s="117">
        <v>1595.1791486615089</v>
      </c>
    </row>
    <row r="88" spans="11:13" x14ac:dyDescent="0.4">
      <c r="K88" s="74">
        <v>86</v>
      </c>
      <c r="L88" s="119">
        <v>34.500000000000014</v>
      </c>
      <c r="M88" s="117">
        <v>1594.7280737695398</v>
      </c>
    </row>
    <row r="89" spans="11:13" x14ac:dyDescent="0.4">
      <c r="K89" s="74">
        <v>87</v>
      </c>
      <c r="L89" s="119">
        <v>1.4210854715202004E-14</v>
      </c>
      <c r="M89" s="117">
        <v>1587.8897053269227</v>
      </c>
    </row>
    <row r="90" spans="11:13" x14ac:dyDescent="0.4">
      <c r="K90" s="74">
        <v>88</v>
      </c>
      <c r="L90" s="119">
        <v>-24.699999999999985</v>
      </c>
      <c r="M90" s="117">
        <v>1583.8223670949612</v>
      </c>
    </row>
    <row r="91" spans="11:13" x14ac:dyDescent="0.4">
      <c r="K91" s="74">
        <v>89</v>
      </c>
      <c r="L91" s="119">
        <v>-4.0999999999999837</v>
      </c>
      <c r="M91" s="117">
        <v>1587.9334328923915</v>
      </c>
    </row>
    <row r="92" spans="11:13" x14ac:dyDescent="0.4">
      <c r="K92" s="74">
        <v>90</v>
      </c>
      <c r="L92" s="119">
        <v>1.5987211554602254E-14</v>
      </c>
      <c r="M92" s="117">
        <v>1589.049832295037</v>
      </c>
    </row>
    <row r="93" spans="11:13" x14ac:dyDescent="0.4">
      <c r="K93" s="74">
        <v>91</v>
      </c>
      <c r="L93" s="119">
        <v>-37.899999999999984</v>
      </c>
      <c r="M93" s="117">
        <v>1582.5995333012668</v>
      </c>
    </row>
    <row r="94" spans="11:13" x14ac:dyDescent="0.4">
      <c r="K94" s="74">
        <v>92</v>
      </c>
      <c r="L94" s="119">
        <v>-13.099999999999984</v>
      </c>
      <c r="M94" s="117">
        <v>1587.4739361014592</v>
      </c>
    </row>
    <row r="95" spans="11:13" x14ac:dyDescent="0.4">
      <c r="K95" s="74">
        <v>93</v>
      </c>
      <c r="L95" s="119">
        <v>1.5987211554602254E-14</v>
      </c>
      <c r="M95" s="117">
        <v>1590.2130924848504</v>
      </c>
    </row>
    <row r="96" spans="11:13" x14ac:dyDescent="0.4">
      <c r="K96" s="74">
        <v>94</v>
      </c>
      <c r="L96" s="119">
        <v>-41.399999999999984</v>
      </c>
      <c r="M96" s="117">
        <v>1583.1258139299414</v>
      </c>
    </row>
    <row r="97" spans="11:13" x14ac:dyDescent="0.4">
      <c r="K97" s="74">
        <v>95</v>
      </c>
      <c r="L97" s="119">
        <v>-49.59999999999998</v>
      </c>
      <c r="M97" s="117">
        <v>1582.0570590463617</v>
      </c>
    </row>
    <row r="98" spans="11:13" x14ac:dyDescent="0.4">
      <c r="K98" s="74">
        <v>96</v>
      </c>
      <c r="L98" s="119">
        <v>2.1316282072803006E-14</v>
      </c>
      <c r="M98" s="117">
        <v>1591.3987166920836</v>
      </c>
    </row>
    <row r="99" spans="11:13" x14ac:dyDescent="0.4">
      <c r="K99" s="74">
        <v>97</v>
      </c>
      <c r="L99" s="119">
        <v>3.6000000000000214</v>
      </c>
      <c r="M99" s="117">
        <v>1592.236324391931</v>
      </c>
    </row>
    <row r="100" spans="11:13" x14ac:dyDescent="0.4">
      <c r="K100" s="74">
        <v>98</v>
      </c>
      <c r="L100" s="119">
        <v>-46.499999999999979</v>
      </c>
      <c r="M100" s="117">
        <v>1583.4029064455794</v>
      </c>
    </row>
    <row r="101" spans="11:13" x14ac:dyDescent="0.4">
      <c r="K101" s="74">
        <v>99</v>
      </c>
      <c r="L101" s="119">
        <v>2.1316282072803006E-14</v>
      </c>
      <c r="M101" s="117">
        <v>1592.010489006906</v>
      </c>
    </row>
    <row r="102" spans="11:13" x14ac:dyDescent="0.4">
      <c r="K102" s="74">
        <v>100</v>
      </c>
      <c r="L102" s="119">
        <v>28.300000000000022</v>
      </c>
      <c r="M102" s="117">
        <v>1596.5344260728646</v>
      </c>
    </row>
    <row r="103" spans="11:13" x14ac:dyDescent="0.4">
      <c r="K103" s="74">
        <v>101</v>
      </c>
      <c r="L103" s="119">
        <v>-8.7999999999999794</v>
      </c>
      <c r="M103" s="117">
        <v>1589.2592195164273</v>
      </c>
    </row>
    <row r="104" spans="11:13" x14ac:dyDescent="0.4">
      <c r="K104" s="74">
        <v>102</v>
      </c>
      <c r="L104" s="119">
        <v>2.1316282072803006E-14</v>
      </c>
      <c r="M104" s="117">
        <v>1590.2896641993286</v>
      </c>
    </row>
    <row r="105" spans="11:13" x14ac:dyDescent="0.4">
      <c r="K105" s="74">
        <v>103</v>
      </c>
      <c r="L105" s="119">
        <v>-31.09999999999998</v>
      </c>
      <c r="M105" s="117">
        <v>1584.1319262141326</v>
      </c>
    </row>
    <row r="106" spans="11:13" x14ac:dyDescent="0.4">
      <c r="K106" s="74">
        <v>104</v>
      </c>
      <c r="L106" s="119">
        <v>11.600000000000023</v>
      </c>
      <c r="M106" s="117">
        <v>1591.2951346568477</v>
      </c>
    </row>
    <row r="107" spans="11:13" x14ac:dyDescent="0.4">
      <c r="K107" s="74">
        <v>105</v>
      </c>
      <c r="L107" s="119">
        <v>2.3092638912203256E-14</v>
      </c>
      <c r="M107" s="117">
        <v>1588.6413638489066</v>
      </c>
    </row>
    <row r="108" spans="11:13" x14ac:dyDescent="0.4">
      <c r="K108" s="74">
        <v>106</v>
      </c>
      <c r="L108" s="119">
        <v>58.500000000000021</v>
      </c>
      <c r="M108" s="117">
        <v>1599.2455156658132</v>
      </c>
    </row>
    <row r="109" spans="11:13" x14ac:dyDescent="0.4">
      <c r="K109" s="74">
        <v>107</v>
      </c>
      <c r="L109" s="119">
        <v>24.100000000000023</v>
      </c>
      <c r="M109" s="117">
        <v>1593.0640425718184</v>
      </c>
    </row>
    <row r="110" spans="11:13" x14ac:dyDescent="0.4">
      <c r="K110" s="74">
        <v>108</v>
      </c>
      <c r="L110" s="119">
        <v>2.1316282072803006E-14</v>
      </c>
      <c r="M110" s="117">
        <v>1588.7736583163876</v>
      </c>
    </row>
    <row r="111" spans="11:13" x14ac:dyDescent="0.4">
      <c r="K111" s="74">
        <v>109</v>
      </c>
      <c r="L111" s="119">
        <v>-15.599999999999978</v>
      </c>
      <c r="M111" s="117">
        <v>1586.0390163664892</v>
      </c>
    </row>
    <row r="112" spans="11:13" x14ac:dyDescent="0.4">
      <c r="K112" s="74">
        <v>110</v>
      </c>
      <c r="L112" s="119">
        <v>-7.7999999999999785</v>
      </c>
      <c r="M112" s="117">
        <v>1587.5327822682902</v>
      </c>
    </row>
    <row r="113" spans="11:13" x14ac:dyDescent="0.4">
      <c r="K113" s="74">
        <v>111</v>
      </c>
      <c r="L113" s="119">
        <v>2.1316282072803006E-14</v>
      </c>
      <c r="M113" s="117">
        <v>1589.0175855746804</v>
      </c>
    </row>
    <row r="114" spans="11:13" x14ac:dyDescent="0.4">
      <c r="K114" s="74">
        <v>112</v>
      </c>
      <c r="L114" s="119">
        <v>18.100000000000023</v>
      </c>
      <c r="M114" s="117">
        <v>1592.3474800612323</v>
      </c>
    </row>
    <row r="115" spans="11:13" x14ac:dyDescent="0.4">
      <c r="K115" s="74">
        <v>113</v>
      </c>
      <c r="L115" s="119">
        <v>1.4000000000000234</v>
      </c>
      <c r="M115" s="117">
        <v>1589.3933951808649</v>
      </c>
    </row>
    <row r="116" spans="11:13" x14ac:dyDescent="0.4">
      <c r="K116" s="74">
        <v>114</v>
      </c>
      <c r="L116" s="119">
        <v>2.3536728122053319E-14</v>
      </c>
      <c r="M116" s="117">
        <v>1589.2110348097797</v>
      </c>
    </row>
    <row r="117" spans="11:13" x14ac:dyDescent="0.4">
      <c r="K117" s="74">
        <v>115</v>
      </c>
      <c r="L117" s="119">
        <v>-4.5999999999999766</v>
      </c>
      <c r="M117" s="117">
        <v>1588.7057686009209</v>
      </c>
    </row>
    <row r="118" spans="11:13" x14ac:dyDescent="0.4">
      <c r="K118" s="74">
        <v>116</v>
      </c>
      <c r="L118" s="119">
        <v>-26.899999999999977</v>
      </c>
      <c r="M118" s="117">
        <v>1585.0175339893153</v>
      </c>
    </row>
    <row r="119" spans="11:13" x14ac:dyDescent="0.4">
      <c r="K119" s="74">
        <v>117</v>
      </c>
      <c r="L119" s="119">
        <v>2.1316282072803006E-14</v>
      </c>
      <c r="M119" s="117">
        <v>1590.2074287853795</v>
      </c>
    </row>
    <row r="120" spans="11:13" x14ac:dyDescent="0.4">
      <c r="K120" s="74">
        <v>118</v>
      </c>
      <c r="L120" s="119">
        <v>31.90000000000002</v>
      </c>
      <c r="M120" s="117">
        <v>1596.3801842126672</v>
      </c>
    </row>
    <row r="121" spans="11:13" x14ac:dyDescent="0.4">
      <c r="K121" s="74">
        <v>119</v>
      </c>
      <c r="L121" s="119">
        <v>33.500000000000021</v>
      </c>
      <c r="M121" s="117">
        <v>1597.0619031073913</v>
      </c>
    </row>
    <row r="122" spans="11:13" x14ac:dyDescent="0.4">
      <c r="K122" s="74">
        <v>120</v>
      </c>
      <c r="L122" s="119">
        <v>2.1316282072803006E-14</v>
      </c>
      <c r="M122" s="117">
        <v>1591.4215316887471</v>
      </c>
    </row>
    <row r="123" spans="11:13" x14ac:dyDescent="0.4">
      <c r="K123" s="74">
        <v>121</v>
      </c>
      <c r="L123" s="119">
        <v>-45.699999999999982</v>
      </c>
      <c r="M123" s="117">
        <v>1583.6190024986147</v>
      </c>
    </row>
    <row r="124" spans="11:13" x14ac:dyDescent="0.4">
      <c r="K124" s="74">
        <v>122</v>
      </c>
      <c r="L124" s="119">
        <v>-43.59999999999998</v>
      </c>
      <c r="M124" s="117">
        <v>1584.467288483623</v>
      </c>
    </row>
    <row r="125" spans="11:13" x14ac:dyDescent="0.4">
      <c r="K125" s="74">
        <v>123</v>
      </c>
      <c r="L125" s="119">
        <v>2.1316282072803006E-14</v>
      </c>
      <c r="M125" s="117">
        <v>1592.7804847527211</v>
      </c>
    </row>
    <row r="126" spans="11:13" x14ac:dyDescent="0.4">
      <c r="K126" s="74">
        <v>124</v>
      </c>
      <c r="L126" s="119">
        <v>42.000000000000021</v>
      </c>
      <c r="M126" s="117">
        <v>1600.5338018442048</v>
      </c>
    </row>
    <row r="127" spans="11:13" x14ac:dyDescent="0.4">
      <c r="K127" s="74">
        <v>125</v>
      </c>
      <c r="L127" s="119">
        <v>-7.6999999999999815</v>
      </c>
      <c r="M127" s="117">
        <v>1591.7345990331396</v>
      </c>
    </row>
    <row r="128" spans="11:13" x14ac:dyDescent="0.4">
      <c r="K128" s="74">
        <v>126</v>
      </c>
      <c r="L128" s="119">
        <v>1.865174681370263E-14</v>
      </c>
      <c r="M128" s="117">
        <v>1593.3201914389408</v>
      </c>
    </row>
    <row r="129" spans="11:13" x14ac:dyDescent="0.4">
      <c r="K129" s="74">
        <v>127</v>
      </c>
      <c r="L129" s="119">
        <v>-0.99999999999998135</v>
      </c>
      <c r="M129" s="117">
        <v>1593.3302702903072</v>
      </c>
    </row>
    <row r="130" spans="11:13" x14ac:dyDescent="0.4">
      <c r="K130" s="74">
        <v>128</v>
      </c>
      <c r="L130" s="119">
        <v>-54.999999999999979</v>
      </c>
      <c r="M130" s="117">
        <v>1583.8002886685654</v>
      </c>
    </row>
    <row r="131" spans="11:13" x14ac:dyDescent="0.4">
      <c r="K131" s="74">
        <v>129</v>
      </c>
      <c r="L131" s="119">
        <v>2.1316282072803006E-14</v>
      </c>
      <c r="M131" s="117">
        <v>1593.947486936554</v>
      </c>
    </row>
    <row r="132" spans="11:13" x14ac:dyDescent="0.4">
      <c r="K132" s="74">
        <v>130</v>
      </c>
      <c r="L132" s="119">
        <v>39.600000000000023</v>
      </c>
      <c r="M132" s="117">
        <v>1601.2618020149348</v>
      </c>
    </row>
    <row r="133" spans="11:13" x14ac:dyDescent="0.4">
      <c r="K133" s="74">
        <v>131</v>
      </c>
      <c r="L133" s="119">
        <v>6.8000000000000256</v>
      </c>
      <c r="M133" s="117">
        <v>1595.5002312028453</v>
      </c>
    </row>
    <row r="134" spans="11:13" x14ac:dyDescent="0.4">
      <c r="K134" s="74">
        <v>132</v>
      </c>
      <c r="L134" s="119">
        <v>2.5757174171303632E-14</v>
      </c>
      <c r="M134" s="117">
        <v>1594.4532298156282</v>
      </c>
    </row>
    <row r="135" spans="11:13" x14ac:dyDescent="0.4">
      <c r="K135" s="74">
        <v>133</v>
      </c>
      <c r="L135" s="119">
        <v>-25.399999999999974</v>
      </c>
      <c r="M135" s="117">
        <v>1590.0645104367345</v>
      </c>
    </row>
    <row r="136" spans="11:13" x14ac:dyDescent="0.4">
      <c r="K136" s="74">
        <v>134</v>
      </c>
      <c r="L136" s="119">
        <v>-30.799999999999976</v>
      </c>
      <c r="M136" s="117">
        <v>1589.302123374114</v>
      </c>
    </row>
    <row r="137" spans="11:13" x14ac:dyDescent="0.4">
      <c r="K137" s="74">
        <v>135</v>
      </c>
      <c r="L137" s="119">
        <v>2.4868995751603507E-14</v>
      </c>
      <c r="M137" s="117">
        <v>1595.0603106338692</v>
      </c>
    </row>
    <row r="138" spans="11:13" x14ac:dyDescent="0.4">
      <c r="K138" s="74">
        <v>136</v>
      </c>
      <c r="L138" s="119">
        <v>28.300000000000026</v>
      </c>
      <c r="M138" s="117">
        <v>1600.2019487700661</v>
      </c>
    </row>
    <row r="139" spans="11:13" x14ac:dyDescent="0.4">
      <c r="K139" s="74">
        <v>137</v>
      </c>
      <c r="L139" s="119">
        <v>31.000000000000025</v>
      </c>
      <c r="M139" s="117">
        <v>1600.7047370774458</v>
      </c>
    </row>
    <row r="140" spans="11:13" x14ac:dyDescent="0.4">
      <c r="K140" s="74">
        <v>138</v>
      </c>
      <c r="L140" s="119">
        <v>2.4868995751603507E-14</v>
      </c>
      <c r="M140" s="117">
        <v>1595.138508654981</v>
      </c>
    </row>
    <row r="141" spans="11:13" x14ac:dyDescent="0.4">
      <c r="K141" s="74">
        <v>139</v>
      </c>
      <c r="L141" s="119">
        <v>7.5000000000000249</v>
      </c>
      <c r="M141" s="117">
        <v>1596.5356776030512</v>
      </c>
    </row>
    <row r="142" spans="11:13" x14ac:dyDescent="0.4">
      <c r="K142" s="74">
        <v>140</v>
      </c>
      <c r="L142" s="119">
        <v>-29.399999999999974</v>
      </c>
      <c r="M142" s="117">
        <v>1589.932463537433</v>
      </c>
    </row>
    <row r="143" spans="11:13" x14ac:dyDescent="0.4">
      <c r="K143" s="74">
        <v>141</v>
      </c>
      <c r="L143" s="119">
        <v>2.4868995751603507E-14</v>
      </c>
      <c r="M143" s="117">
        <v>1595.3028687562085</v>
      </c>
    </row>
    <row r="144" spans="11:13" x14ac:dyDescent="0.4">
      <c r="K144" s="74">
        <v>142</v>
      </c>
      <c r="L144" s="119">
        <v>8.9000000000000252</v>
      </c>
      <c r="M144" s="117">
        <v>1597.3050515436712</v>
      </c>
    </row>
    <row r="145" spans="11:13" x14ac:dyDescent="0.4">
      <c r="K145" s="74">
        <v>143</v>
      </c>
      <c r="L145" s="119">
        <v>45.700000000000024</v>
      </c>
      <c r="M145" s="117">
        <v>1604.3172212344091</v>
      </c>
    </row>
    <row r="146" spans="11:13" x14ac:dyDescent="0.4">
      <c r="K146" s="74">
        <v>144</v>
      </c>
      <c r="L146" s="119">
        <v>2.1316282072803006E-14</v>
      </c>
      <c r="M146" s="117">
        <v>1596.4373179070026</v>
      </c>
    </row>
    <row r="147" spans="11:13" x14ac:dyDescent="0.4">
      <c r="K147" s="74">
        <v>145</v>
      </c>
      <c r="L147" s="119">
        <v>22.100000000000023</v>
      </c>
      <c r="M147" s="117">
        <v>1600.8086939995605</v>
      </c>
    </row>
    <row r="148" spans="11:13" x14ac:dyDescent="0.4">
      <c r="K148" s="74">
        <v>146</v>
      </c>
      <c r="L148" s="119">
        <v>-5.4999999999999787</v>
      </c>
      <c r="M148" s="117">
        <v>1596.2078418355632</v>
      </c>
    </row>
    <row r="149" spans="11:13" x14ac:dyDescent="0.4">
      <c r="K149" s="74">
        <v>147</v>
      </c>
      <c r="L149" s="119">
        <v>2.1316282072803006E-14</v>
      </c>
      <c r="M149" s="117">
        <v>1597.5925947845499</v>
      </c>
    </row>
    <row r="150" spans="11:13" x14ac:dyDescent="0.4">
      <c r="K150" s="74">
        <v>148</v>
      </c>
      <c r="L150" s="119">
        <v>73.800000000000011</v>
      </c>
      <c r="M150" s="117">
        <v>1610.7890392158426</v>
      </c>
    </row>
    <row r="151" spans="11:13" x14ac:dyDescent="0.4">
      <c r="K151" s="74">
        <v>149</v>
      </c>
      <c r="L151" s="119">
        <v>21.70000000000001</v>
      </c>
      <c r="M151" s="117">
        <v>1601.2443049805477</v>
      </c>
    </row>
    <row r="152" spans="11:13" x14ac:dyDescent="0.4">
      <c r="K152" s="74">
        <v>150</v>
      </c>
      <c r="L152" s="119">
        <v>1.0658141036401503E-14</v>
      </c>
      <c r="M152" s="117">
        <v>1597.2288391506643</v>
      </c>
    </row>
    <row r="153" spans="11:13" x14ac:dyDescent="0.4">
      <c r="K153" s="74">
        <v>151</v>
      </c>
      <c r="L153" s="119">
        <v>31.20000000000001</v>
      </c>
      <c r="M153" s="117">
        <v>1602.7594661157602</v>
      </c>
    </row>
    <row r="154" spans="11:13" x14ac:dyDescent="0.4">
      <c r="K154" s="74">
        <v>152</v>
      </c>
      <c r="L154" s="119">
        <v>51.500000000000014</v>
      </c>
      <c r="M154" s="117">
        <v>1606.2949093190657</v>
      </c>
    </row>
    <row r="155" spans="11:13" x14ac:dyDescent="0.4">
      <c r="K155" s="74">
        <v>153</v>
      </c>
      <c r="L155" s="119">
        <v>1.4210854715202004E-14</v>
      </c>
      <c r="M155" s="117">
        <v>1596.8851398631514</v>
      </c>
    </row>
    <row r="156" spans="11:13" x14ac:dyDescent="0.4">
      <c r="K156" s="74">
        <v>154</v>
      </c>
      <c r="L156" s="119">
        <v>-39.299999999999983</v>
      </c>
      <c r="M156" s="117">
        <v>1590.2318290239725</v>
      </c>
    </row>
    <row r="157" spans="11:13" x14ac:dyDescent="0.4">
      <c r="K157" s="74">
        <v>155</v>
      </c>
      <c r="L157" s="119">
        <v>21.000000000000014</v>
      </c>
      <c r="M157" s="117">
        <v>1601.5464380498288</v>
      </c>
    </row>
    <row r="158" spans="11:13" x14ac:dyDescent="0.4">
      <c r="K158" s="74">
        <v>156</v>
      </c>
      <c r="L158" s="119">
        <v>1.4210854715202004E-14</v>
      </c>
      <c r="M158" s="117">
        <v>1598.1591594215299</v>
      </c>
    </row>
    <row r="159" spans="11:13" x14ac:dyDescent="0.4">
      <c r="K159" s="74">
        <v>157</v>
      </c>
      <c r="L159" s="119">
        <v>4.1000000000000139</v>
      </c>
      <c r="M159" s="117">
        <v>1599.1062044650007</v>
      </c>
    </row>
    <row r="160" spans="11:13" x14ac:dyDescent="0.4">
      <c r="K160" s="74">
        <v>158</v>
      </c>
      <c r="L160" s="119">
        <v>-36.199999999999982</v>
      </c>
      <c r="M160" s="117">
        <v>1592.0555672382106</v>
      </c>
    </row>
    <row r="161" spans="11:13" x14ac:dyDescent="0.4">
      <c r="K161" s="74">
        <v>159</v>
      </c>
      <c r="L161" s="119">
        <v>2.1316282072803006E-14</v>
      </c>
      <c r="M161" s="117">
        <v>1598.8172338347813</v>
      </c>
    </row>
    <row r="162" spans="11:13" x14ac:dyDescent="0.4">
      <c r="K162" s="74">
        <v>160</v>
      </c>
      <c r="L162" s="119">
        <v>69.700000000000017</v>
      </c>
      <c r="M162" s="117">
        <v>1611.2203304317727</v>
      </c>
    </row>
    <row r="163" spans="11:13" x14ac:dyDescent="0.4">
      <c r="K163" s="74">
        <v>161</v>
      </c>
      <c r="L163" s="119">
        <v>46.300000000000018</v>
      </c>
      <c r="M163" s="117">
        <v>1606.7910084491821</v>
      </c>
    </row>
    <row r="164" spans="11:13" x14ac:dyDescent="0.4">
      <c r="K164" s="74">
        <v>162</v>
      </c>
      <c r="L164" s="119">
        <v>2.1316282072803006E-14</v>
      </c>
      <c r="M164" s="117">
        <v>1598.266262398487</v>
      </c>
    </row>
    <row r="165" spans="11:13" x14ac:dyDescent="0.4">
      <c r="K165" s="74">
        <v>163</v>
      </c>
      <c r="L165" s="119">
        <v>20.500000000000021</v>
      </c>
      <c r="M165" s="117">
        <v>1601.8166648240961</v>
      </c>
    </row>
    <row r="166" spans="11:13" x14ac:dyDescent="0.4">
      <c r="K166" s="74">
        <v>164</v>
      </c>
      <c r="L166" s="119">
        <v>24.90000000000002</v>
      </c>
      <c r="M166" s="117">
        <v>1602.4477648351515</v>
      </c>
    </row>
    <row r="167" spans="11:13" x14ac:dyDescent="0.4">
      <c r="K167" s="74">
        <v>165</v>
      </c>
      <c r="L167" s="119">
        <v>2.1316282072803006E-14</v>
      </c>
      <c r="M167" s="117">
        <v>1597.8010782461406</v>
      </c>
    </row>
    <row r="168" spans="11:13" x14ac:dyDescent="0.4">
      <c r="K168" s="74">
        <v>166</v>
      </c>
      <c r="L168" s="119">
        <v>47.000000000000021</v>
      </c>
      <c r="M168" s="117">
        <v>1606.2922717766637</v>
      </c>
    </row>
    <row r="169" spans="11:13" x14ac:dyDescent="0.4">
      <c r="K169" s="74">
        <v>167</v>
      </c>
      <c r="L169" s="119">
        <v>-1.9999999999999787</v>
      </c>
      <c r="M169" s="117">
        <v>1597.4525181460037</v>
      </c>
    </row>
    <row r="170" spans="11:13" x14ac:dyDescent="0.4">
      <c r="K170" s="74">
        <v>168</v>
      </c>
      <c r="L170" s="119">
        <v>2.1316282072803006E-14</v>
      </c>
      <c r="M170" s="117">
        <v>1597.8458030371278</v>
      </c>
    </row>
    <row r="171" spans="11:13" x14ac:dyDescent="0.4">
      <c r="K171" s="74">
        <v>169</v>
      </c>
      <c r="L171" s="119">
        <v>-3.5999999999999788</v>
      </c>
      <c r="M171" s="117">
        <v>1597.234728218905</v>
      </c>
    </row>
    <row r="172" spans="11:13" x14ac:dyDescent="0.4">
      <c r="K172" s="74">
        <v>170</v>
      </c>
      <c r="L172" s="119">
        <v>-33.999999999999979</v>
      </c>
      <c r="M172" s="117">
        <v>1591.8033198495916</v>
      </c>
    </row>
    <row r="173" spans="11:13" x14ac:dyDescent="0.4">
      <c r="K173" s="74">
        <v>171</v>
      </c>
      <c r="L173" s="119">
        <v>2.1316282072803006E-14</v>
      </c>
      <c r="M173" s="117">
        <v>1597.9964999304941</v>
      </c>
    </row>
    <row r="174" spans="11:13" x14ac:dyDescent="0.4">
      <c r="K174" s="74">
        <v>172</v>
      </c>
      <c r="L174" s="119">
        <v>2.1316282072803006E-14</v>
      </c>
      <c r="M174" s="117">
        <v>1598.2005209309111</v>
      </c>
    </row>
    <row r="175" spans="11:13" x14ac:dyDescent="0.4">
      <c r="K175" s="74">
        <v>173</v>
      </c>
      <c r="L175" s="119">
        <v>27.300000000000022</v>
      </c>
      <c r="M175" s="117">
        <v>1603.3173178053257</v>
      </c>
    </row>
    <row r="176" spans="11:13" x14ac:dyDescent="0.4">
      <c r="K176" s="74">
        <v>174</v>
      </c>
      <c r="L176" s="119">
        <v>2.1316282072803006E-14</v>
      </c>
      <c r="M176" s="117">
        <v>1598.5754138984937</v>
      </c>
    </row>
    <row r="177" spans="11:13" x14ac:dyDescent="0.4">
      <c r="K177" s="74">
        <v>175</v>
      </c>
      <c r="L177" s="119">
        <v>-52.399999999999977</v>
      </c>
      <c r="M177" s="117">
        <v>1589.3439614151027</v>
      </c>
    </row>
    <row r="178" spans="11:13" x14ac:dyDescent="0.4">
      <c r="K178" s="74">
        <v>176</v>
      </c>
      <c r="L178" s="119">
        <v>-13.299999999999976</v>
      </c>
      <c r="M178" s="117">
        <v>1596.6378976466121</v>
      </c>
    </row>
    <row r="179" spans="11:13" x14ac:dyDescent="0.4">
      <c r="K179" s="74">
        <v>177</v>
      </c>
      <c r="L179" s="119">
        <v>2.4868995751603507E-14</v>
      </c>
      <c r="M179" s="117">
        <v>1599.2440702607325</v>
      </c>
    </row>
    <row r="180" spans="11:13" x14ac:dyDescent="0.4">
      <c r="K180" s="74">
        <v>178</v>
      </c>
      <c r="L180" s="119">
        <v>50.800000000000026</v>
      </c>
      <c r="M180" s="117">
        <v>1608.4646058391681</v>
      </c>
    </row>
    <row r="181" spans="11:13" x14ac:dyDescent="0.4">
      <c r="K181" s="74">
        <v>179</v>
      </c>
      <c r="L181" s="119">
        <v>66.40000000000002</v>
      </c>
      <c r="M181" s="117">
        <v>1611.2938182041332</v>
      </c>
    </row>
    <row r="182" spans="11:13" x14ac:dyDescent="0.4">
      <c r="K182" s="74">
        <v>180</v>
      </c>
      <c r="L182" s="119">
        <v>1.4210854715202004E-14</v>
      </c>
      <c r="M182" s="117">
        <v>1599.3460552949084</v>
      </c>
    </row>
    <row r="183" spans="11:13" x14ac:dyDescent="0.4">
      <c r="K183" s="74">
        <v>181</v>
      </c>
      <c r="L183" s="119">
        <v>44.600000000000016</v>
      </c>
      <c r="M183" s="117">
        <v>1607.4499789631391</v>
      </c>
    </row>
    <row r="184" spans="11:13" x14ac:dyDescent="0.4">
      <c r="K184" s="74">
        <v>182</v>
      </c>
      <c r="L184" s="119">
        <v>-2.8999999999999844</v>
      </c>
      <c r="M184" s="117">
        <v>1598.9272790893601</v>
      </c>
    </row>
    <row r="185" spans="11:13" x14ac:dyDescent="0.4">
      <c r="K185" s="74">
        <v>183</v>
      </c>
      <c r="L185" s="119">
        <v>1.5543122344752192E-14</v>
      </c>
      <c r="M185" s="117">
        <v>1599.5277154148239</v>
      </c>
    </row>
    <row r="186" spans="11:13" x14ac:dyDescent="0.4">
      <c r="K186" s="74">
        <v>184</v>
      </c>
      <c r="L186" s="119">
        <v>-24.899999999999984</v>
      </c>
      <c r="M186" s="117">
        <v>1595.120549122335</v>
      </c>
    </row>
    <row r="187" spans="11:13" x14ac:dyDescent="0.4">
      <c r="K187" s="74">
        <v>185</v>
      </c>
      <c r="L187" s="119">
        <v>-28.199999999999985</v>
      </c>
      <c r="M187" s="117">
        <v>1594.6278258276009</v>
      </c>
    </row>
    <row r="188" spans="11:13" x14ac:dyDescent="0.4">
      <c r="K188" s="74">
        <v>186</v>
      </c>
      <c r="L188" s="119">
        <v>1.4210854715202004E-14</v>
      </c>
      <c r="M188" s="117">
        <v>1599.8080588726352</v>
      </c>
    </row>
    <row r="189" spans="11:13" x14ac:dyDescent="0.4">
      <c r="K189" s="74">
        <v>187</v>
      </c>
      <c r="L189" s="119">
        <v>-12.799999999999986</v>
      </c>
      <c r="M189" s="117">
        <v>1597.6672105193993</v>
      </c>
    </row>
    <row r="190" spans="11:13" x14ac:dyDescent="0.4">
      <c r="K190" s="74">
        <v>188</v>
      </c>
      <c r="L190" s="119">
        <v>29.400000000000016</v>
      </c>
      <c r="M190" s="117">
        <v>1605.439207256283</v>
      </c>
    </row>
    <row r="191" spans="11:13" x14ac:dyDescent="0.4">
      <c r="K191" s="74">
        <v>189</v>
      </c>
      <c r="L191" s="119">
        <v>1.7763568394002505E-14</v>
      </c>
      <c r="M191" s="117">
        <v>1600.2765720127452</v>
      </c>
    </row>
    <row r="192" spans="11:13" x14ac:dyDescent="0.4">
      <c r="K192" s="74">
        <v>190</v>
      </c>
      <c r="L192" s="119">
        <v>43.90000000000002</v>
      </c>
      <c r="M192" s="117">
        <v>1608.3389125806686</v>
      </c>
    </row>
    <row r="193" spans="11:13" x14ac:dyDescent="0.4">
      <c r="K193" s="74">
        <v>191</v>
      </c>
      <c r="L193" s="119">
        <v>-1.8999999999999773</v>
      </c>
      <c r="M193" s="117">
        <v>1600.2068791051847</v>
      </c>
    </row>
    <row r="194" spans="11:13" x14ac:dyDescent="0.4">
      <c r="K194" s="74">
        <v>192</v>
      </c>
      <c r="L194" s="119">
        <v>2.2648549702353193E-14</v>
      </c>
      <c r="M194" s="117">
        <v>1600.7096378305537</v>
      </c>
    </row>
    <row r="195" spans="11:13" x14ac:dyDescent="0.4">
      <c r="K195" s="74">
        <v>193</v>
      </c>
      <c r="L195" s="119">
        <v>4.1000000000000227</v>
      </c>
      <c r="M195" s="117">
        <v>1601.6053800035704</v>
      </c>
    </row>
    <row r="196" spans="11:13" x14ac:dyDescent="0.4">
      <c r="K196" s="74">
        <v>194</v>
      </c>
      <c r="L196" s="119">
        <v>-30.999999999999979</v>
      </c>
      <c r="M196" s="117">
        <v>1595.4397477235491</v>
      </c>
    </row>
    <row r="197" spans="11:13" x14ac:dyDescent="0.4">
      <c r="K197" s="74">
        <v>195</v>
      </c>
      <c r="L197" s="119">
        <v>2.1316282072803006E-14</v>
      </c>
      <c r="M197" s="117">
        <v>1601.2091092372077</v>
      </c>
    </row>
    <row r="198" spans="11:13" x14ac:dyDescent="0.4">
      <c r="K198" s="74">
        <v>196</v>
      </c>
      <c r="L198" s="119">
        <v>-18.399999999999977</v>
      </c>
      <c r="M198" s="117">
        <v>1597.5598545817845</v>
      </c>
    </row>
    <row r="199" spans="11:13" x14ac:dyDescent="0.4">
      <c r="K199" s="74">
        <v>197</v>
      </c>
      <c r="L199" s="119">
        <v>-20.199999999999978</v>
      </c>
      <c r="M199" s="117">
        <v>1596.9204954542938</v>
      </c>
    </row>
    <row r="200" spans="11:13" x14ac:dyDescent="0.4">
      <c r="K200" s="74">
        <v>198</v>
      </c>
      <c r="L200" s="119">
        <v>2.1316282072803006E-14</v>
      </c>
      <c r="M200" s="117">
        <v>1600.2449724815681</v>
      </c>
    </row>
    <row r="201" spans="11:13" x14ac:dyDescent="0.4">
      <c r="K201" s="74">
        <v>199</v>
      </c>
      <c r="L201" s="119">
        <v>-2.3999999999999786</v>
      </c>
      <c r="M201" s="117">
        <v>1599.4815026466786</v>
      </c>
    </row>
    <row r="202" spans="11:13" x14ac:dyDescent="0.4">
      <c r="K202" s="74">
        <v>200</v>
      </c>
      <c r="L202" s="119">
        <v>-32.699999999999982</v>
      </c>
      <c r="M202" s="117">
        <v>1593.7006136307984</v>
      </c>
    </row>
    <row r="203" spans="11:13" x14ac:dyDescent="0.4">
      <c r="K203" s="74">
        <v>201</v>
      </c>
      <c r="L203" s="119">
        <v>2.1316282072803006E-14</v>
      </c>
      <c r="M203" s="117">
        <v>1599.2944099490137</v>
      </c>
    </row>
    <row r="204" spans="11:13" x14ac:dyDescent="0.4">
      <c r="K204" s="74">
        <v>202</v>
      </c>
      <c r="L204" s="119">
        <v>-21.699999999999978</v>
      </c>
      <c r="M204" s="117">
        <v>1595.4466434893195</v>
      </c>
    </row>
    <row r="205" spans="11:13" x14ac:dyDescent="0.4">
      <c r="K205" s="74">
        <v>203</v>
      </c>
      <c r="L205" s="119">
        <v>8.4000000000000234</v>
      </c>
      <c r="M205" s="117">
        <v>1600.9459636283837</v>
      </c>
    </row>
    <row r="206" spans="11:13" x14ac:dyDescent="0.4">
      <c r="K206" s="74">
        <v>204</v>
      </c>
      <c r="L206" s="119">
        <v>2.3092638912203256E-14</v>
      </c>
      <c r="M206" s="117">
        <v>1599.4822878466134</v>
      </c>
    </row>
    <row r="207" spans="11:13" x14ac:dyDescent="0.4">
      <c r="K207" s="74">
        <v>205</v>
      </c>
      <c r="L207" s="119">
        <v>44.000000000000021</v>
      </c>
      <c r="M207" s="117">
        <v>1607.4593941195337</v>
      </c>
    </row>
    <row r="208" spans="11:13" x14ac:dyDescent="0.4">
      <c r="K208" s="74">
        <v>206</v>
      </c>
      <c r="L208" s="119">
        <v>3.3000000000000185</v>
      </c>
      <c r="M208" s="117">
        <v>1600.1426377548166</v>
      </c>
    </row>
    <row r="209" spans="11:13" x14ac:dyDescent="0.4">
      <c r="K209" s="74">
        <v>207</v>
      </c>
      <c r="L209" s="119">
        <v>1.865174681370263E-14</v>
      </c>
      <c r="M209" s="117">
        <v>1599.6017819282877</v>
      </c>
    </row>
    <row r="210" spans="11:13" x14ac:dyDescent="0.4">
      <c r="K210" s="74">
        <v>208</v>
      </c>
      <c r="L210" s="119">
        <v>-6.1999999999999815</v>
      </c>
      <c r="M210" s="117">
        <v>1598.458171236718</v>
      </c>
    </row>
    <row r="211" spans="11:13" x14ac:dyDescent="0.4">
      <c r="K211" s="74">
        <v>209</v>
      </c>
      <c r="L211" s="119">
        <v>-31.899999999999981</v>
      </c>
      <c r="M211" s="117">
        <v>1593.8114222092977</v>
      </c>
    </row>
    <row r="212" spans="11:13" x14ac:dyDescent="0.4">
      <c r="K212" s="74">
        <v>210</v>
      </c>
      <c r="L212" s="119">
        <v>1.7763568394002505E-14</v>
      </c>
      <c r="M212" s="117">
        <v>1599.560553676042</v>
      </c>
    </row>
    <row r="213" spans="11:13" x14ac:dyDescent="0.4">
      <c r="K213" s="74">
        <v>211</v>
      </c>
      <c r="L213" s="119">
        <v>-0.89999999999998226</v>
      </c>
      <c r="M213" s="117">
        <v>1599.3711903539856</v>
      </c>
    </row>
    <row r="214" spans="11:13" x14ac:dyDescent="0.4">
      <c r="K214" s="74">
        <v>212</v>
      </c>
      <c r="L214" s="119">
        <v>39.800000000000018</v>
      </c>
      <c r="M214" s="117">
        <v>1606.6709632118618</v>
      </c>
    </row>
    <row r="215" spans="11:13" x14ac:dyDescent="0.4">
      <c r="K215" s="74">
        <v>213</v>
      </c>
      <c r="L215" s="119">
        <v>2.1316282072803006E-14</v>
      </c>
      <c r="M215" s="117">
        <v>1599.4369374325906</v>
      </c>
    </row>
    <row r="216" spans="11:13" x14ac:dyDescent="0.4">
      <c r="K216" s="74">
        <v>214</v>
      </c>
      <c r="L216" s="119">
        <v>-53.899999999999977</v>
      </c>
      <c r="M216" s="117">
        <v>1589.4923158079951</v>
      </c>
    </row>
    <row r="217" spans="11:13" x14ac:dyDescent="0.4">
      <c r="K217" s="74">
        <v>215</v>
      </c>
      <c r="L217" s="119">
        <v>-1.6999999999999744</v>
      </c>
      <c r="M217" s="117">
        <v>1598.705361913147</v>
      </c>
    </row>
    <row r="218" spans="11:13" x14ac:dyDescent="0.4">
      <c r="K218" s="74">
        <v>216</v>
      </c>
      <c r="L218" s="119">
        <v>2.55351295663786E-14</v>
      </c>
      <c r="M218" s="117">
        <v>1598.7731297416681</v>
      </c>
    </row>
    <row r="219" spans="11:13" x14ac:dyDescent="0.4">
      <c r="K219" s="74">
        <v>217</v>
      </c>
      <c r="L219" s="119">
        <v>-18.399999999999974</v>
      </c>
      <c r="M219" s="117">
        <v>1595.450490963218</v>
      </c>
    </row>
    <row r="220" spans="11:13" x14ac:dyDescent="0.4">
      <c r="K220" s="74">
        <v>218</v>
      </c>
      <c r="L220" s="119">
        <v>-16.799999999999972</v>
      </c>
      <c r="M220" s="117">
        <v>1595.7477880174388</v>
      </c>
    </row>
    <row r="221" spans="11:13" x14ac:dyDescent="0.4">
      <c r="K221" s="74">
        <v>219</v>
      </c>
      <c r="L221" s="119">
        <v>2.8421709430404007E-14</v>
      </c>
      <c r="M221" s="117">
        <v>1598.7793012893342</v>
      </c>
    </row>
    <row r="222" spans="11:13" x14ac:dyDescent="0.4">
      <c r="K222" s="74">
        <v>220</v>
      </c>
      <c r="L222" s="119">
        <v>36.200000000000031</v>
      </c>
      <c r="M222" s="117">
        <v>1605.5306254815982</v>
      </c>
    </row>
    <row r="223" spans="11:13" x14ac:dyDescent="0.4">
      <c r="K223" s="74">
        <v>221</v>
      </c>
      <c r="L223" s="119">
        <v>34.800000000000033</v>
      </c>
      <c r="M223" s="117">
        <v>1605.4734417287086</v>
      </c>
    </row>
    <row r="224" spans="11:13" x14ac:dyDescent="0.4">
      <c r="K224" s="74">
        <v>222</v>
      </c>
      <c r="L224" s="119">
        <v>3.5527136788005009E-14</v>
      </c>
      <c r="M224" s="117">
        <v>1599.4046010783363</v>
      </c>
    </row>
    <row r="225" spans="11:13" x14ac:dyDescent="0.4">
      <c r="K225" s="74">
        <v>223</v>
      </c>
      <c r="L225" s="119">
        <v>-24.499999999999964</v>
      </c>
      <c r="M225" s="117">
        <v>1595.0341734718663</v>
      </c>
    </row>
    <row r="226" spans="11:13" x14ac:dyDescent="0.4">
      <c r="K226" s="74">
        <v>224</v>
      </c>
      <c r="L226" s="119">
        <v>-0.59999999999996589</v>
      </c>
      <c r="M226" s="117">
        <v>1599.4019684310351</v>
      </c>
    </row>
    <row r="227" spans="11:13" x14ac:dyDescent="0.4">
      <c r="K227" s="74">
        <v>225</v>
      </c>
      <c r="L227" s="119">
        <v>3.4083846855992306E-14</v>
      </c>
      <c r="M227" s="117">
        <v>1599.5495566204488</v>
      </c>
    </row>
    <row r="228" spans="11:13" x14ac:dyDescent="0.4">
      <c r="K228" s="74">
        <v>226</v>
      </c>
      <c r="L228" s="119">
        <v>35.500000000000036</v>
      </c>
      <c r="M228" s="117">
        <v>1605.9782592807262</v>
      </c>
    </row>
    <row r="229" spans="11:13" x14ac:dyDescent="0.4">
      <c r="K229" s="74">
        <v>227</v>
      </c>
      <c r="L229" s="119">
        <v>10.000000000000036</v>
      </c>
      <c r="M229" s="117">
        <v>1601.3883897250419</v>
      </c>
    </row>
    <row r="230" spans="11:13" x14ac:dyDescent="0.4">
      <c r="K230" s="74">
        <v>228</v>
      </c>
      <c r="L230" s="119">
        <v>3.5527136788005009E-14</v>
      </c>
      <c r="M230" s="117">
        <v>1599.6160593866916</v>
      </c>
    </row>
    <row r="231" spans="11:13" x14ac:dyDescent="0.4">
      <c r="K231" s="74">
        <v>229</v>
      </c>
      <c r="L231" s="119">
        <v>14.300000000000036</v>
      </c>
      <c r="M231" s="117">
        <v>1602.4323630303716</v>
      </c>
    </row>
    <row r="232" spans="11:13" x14ac:dyDescent="0.4">
      <c r="K232" s="74">
        <v>230</v>
      </c>
      <c r="L232" s="119">
        <v>-3.3999999999999631</v>
      </c>
      <c r="M232" s="117">
        <v>1599.4717688521894</v>
      </c>
    </row>
    <row r="233" spans="11:13" x14ac:dyDescent="0.4">
      <c r="K233" s="74">
        <v>231</v>
      </c>
      <c r="L233" s="119">
        <v>3.6859404417555197E-14</v>
      </c>
      <c r="M233" s="117">
        <v>1600.3269382390763</v>
      </c>
    </row>
    <row r="234" spans="11:13" x14ac:dyDescent="0.4">
      <c r="K234" s="74">
        <v>232</v>
      </c>
      <c r="L234" s="119">
        <v>-22.699999999999964</v>
      </c>
      <c r="M234" s="117">
        <v>1596.4789766096419</v>
      </c>
    </row>
    <row r="235" spans="11:13" x14ac:dyDescent="0.4">
      <c r="K235" s="74">
        <v>233</v>
      </c>
      <c r="L235" s="119">
        <v>12.300000000000036</v>
      </c>
      <c r="M235" s="117">
        <v>1603.040102749984</v>
      </c>
    </row>
    <row r="236" spans="11:13" x14ac:dyDescent="0.4">
      <c r="K236" s="74">
        <v>234</v>
      </c>
      <c r="L236" s="119">
        <v>3.5527136788005009E-14</v>
      </c>
      <c r="M236" s="117">
        <v>1601.0478621334842</v>
      </c>
    </row>
    <row r="237" spans="11:13" x14ac:dyDescent="0.4">
      <c r="K237" s="74">
        <v>235</v>
      </c>
      <c r="L237" s="119">
        <v>-5.5999999999999641</v>
      </c>
      <c r="M237" s="117">
        <v>1600.2675749606833</v>
      </c>
    </row>
    <row r="238" spans="11:13" x14ac:dyDescent="0.4">
      <c r="K238" s="74">
        <v>236</v>
      </c>
      <c r="L238" s="119">
        <v>-22.199999999999967</v>
      </c>
      <c r="M238" s="117">
        <v>1597.5119695109192</v>
      </c>
    </row>
    <row r="239" spans="11:13" x14ac:dyDescent="0.4">
      <c r="K239" s="74">
        <v>237</v>
      </c>
      <c r="L239" s="119">
        <v>3.1974423109204508E-14</v>
      </c>
      <c r="M239" s="117">
        <v>1601.7568976938537</v>
      </c>
    </row>
    <row r="240" spans="11:13" x14ac:dyDescent="0.4">
      <c r="K240" s="74">
        <v>238</v>
      </c>
      <c r="L240" s="119">
        <v>50.900000000000034</v>
      </c>
      <c r="M240" s="117">
        <v>1611.1483563076906</v>
      </c>
    </row>
    <row r="241" spans="11:13" x14ac:dyDescent="0.4">
      <c r="K241" s="74">
        <v>239</v>
      </c>
      <c r="L241" s="119">
        <v>-1.9999999999999645</v>
      </c>
      <c r="M241" s="117">
        <v>1601.7994661698444</v>
      </c>
    </row>
    <row r="242" spans="11:13" x14ac:dyDescent="0.4">
      <c r="K242" s="74">
        <v>240</v>
      </c>
      <c r="L242" s="119">
        <v>3.5527136788005009E-14</v>
      </c>
      <c r="M242" s="117">
        <v>1602.3886693728255</v>
      </c>
    </row>
    <row r="243" spans="11:13" x14ac:dyDescent="0.4">
      <c r="K243" s="74">
        <v>241</v>
      </c>
      <c r="L243" s="119">
        <v>-25.999999999999964</v>
      </c>
      <c r="M243" s="117">
        <v>1597.9223373565885</v>
      </c>
    </row>
    <row r="244" spans="11:13" x14ac:dyDescent="0.4">
      <c r="K244" s="74">
        <v>242</v>
      </c>
      <c r="L244" s="119">
        <v>-4.4999999999999645</v>
      </c>
      <c r="M244" s="117">
        <v>1602.032803332449</v>
      </c>
    </row>
    <row r="245" spans="11:13" x14ac:dyDescent="0.4">
      <c r="K245" s="74">
        <v>243</v>
      </c>
      <c r="L245" s="119">
        <v>3.5527136788005009E-14</v>
      </c>
      <c r="M245" s="117">
        <v>1603.0586065124544</v>
      </c>
    </row>
    <row r="246" spans="11:13" x14ac:dyDescent="0.4">
      <c r="K246" s="74">
        <v>244</v>
      </c>
      <c r="L246" s="119">
        <v>-40.699999999999967</v>
      </c>
      <c r="M246" s="117">
        <v>1595.9422548733796</v>
      </c>
    </row>
    <row r="247" spans="11:13" x14ac:dyDescent="0.4">
      <c r="K247" s="74">
        <v>245</v>
      </c>
      <c r="L247" s="119">
        <v>-4.1999999999999673</v>
      </c>
      <c r="M247" s="117">
        <v>1602.7646013441392</v>
      </c>
    </row>
    <row r="248" spans="11:13" x14ac:dyDescent="0.4">
      <c r="K248" s="74">
        <v>246</v>
      </c>
      <c r="L248" s="119">
        <v>3.2862601528904634E-14</v>
      </c>
      <c r="M248" s="117">
        <v>1603.7320137360744</v>
      </c>
    </row>
    <row r="249" spans="11:13" x14ac:dyDescent="0.4">
      <c r="K249" s="74">
        <v>247</v>
      </c>
      <c r="L249" s="119">
        <v>4.700000000000033</v>
      </c>
      <c r="M249" s="117">
        <v>1604.783621653658</v>
      </c>
    </row>
    <row r="250" spans="11:13" x14ac:dyDescent="0.4">
      <c r="K250" s="74">
        <v>248</v>
      </c>
      <c r="L250" s="119">
        <v>44.60000000000003</v>
      </c>
      <c r="M250" s="117">
        <v>1612.1649199237361</v>
      </c>
    </row>
    <row r="251" spans="11:13" x14ac:dyDescent="0.4">
      <c r="K251" s="74">
        <v>249</v>
      </c>
      <c r="L251" s="119">
        <v>2.8421709430404007E-14</v>
      </c>
      <c r="M251" s="117">
        <v>1604.2919304041936</v>
      </c>
    </row>
    <row r="252" spans="11:13" x14ac:dyDescent="0.4">
      <c r="K252" s="74">
        <v>250</v>
      </c>
      <c r="L252" s="119">
        <v>15.400000000000029</v>
      </c>
      <c r="M252" s="117">
        <v>1607.1401788217686</v>
      </c>
    </row>
    <row r="253" spans="11:13" x14ac:dyDescent="0.4">
      <c r="K253" s="74">
        <v>251</v>
      </c>
      <c r="L253" s="119">
        <v>17.800000000000029</v>
      </c>
      <c r="M253" s="117">
        <v>1607.631337748838</v>
      </c>
    </row>
    <row r="254" spans="11:13" x14ac:dyDescent="0.4">
      <c r="K254" s="74">
        <v>252</v>
      </c>
      <c r="L254" s="119">
        <v>2.8421709430404007E-14</v>
      </c>
      <c r="M254" s="117">
        <v>1604.4835497223448</v>
      </c>
    </row>
    <row r="255" spans="11:13" x14ac:dyDescent="0.4">
      <c r="K255" s="74">
        <v>253</v>
      </c>
      <c r="L255" s="119">
        <v>5.1000000000000281</v>
      </c>
      <c r="M255" s="117">
        <v>1605.4766484240108</v>
      </c>
    </row>
    <row r="256" spans="11:13" x14ac:dyDescent="0.4">
      <c r="K256" s="74">
        <v>254</v>
      </c>
      <c r="L256" s="119">
        <v>22.900000000000027</v>
      </c>
      <c r="M256" s="117">
        <v>1608.7497885334667</v>
      </c>
    </row>
    <row r="257" spans="11:13" x14ac:dyDescent="0.4">
      <c r="K257" s="74">
        <v>255</v>
      </c>
      <c r="L257" s="119">
        <v>2.8421709430404007E-14</v>
      </c>
      <c r="M257" s="117">
        <v>1604.6772898022659</v>
      </c>
    </row>
    <row r="258" spans="11:13" x14ac:dyDescent="0.4">
      <c r="K258" s="74">
        <v>256</v>
      </c>
      <c r="L258" s="119">
        <v>-11.499999999999972</v>
      </c>
      <c r="M258" s="117">
        <v>1602.9392260634522</v>
      </c>
    </row>
    <row r="259" spans="11:13" x14ac:dyDescent="0.4">
      <c r="K259" s="74">
        <v>257</v>
      </c>
      <c r="L259" s="119">
        <v>-0.49999999999997158</v>
      </c>
      <c r="M259" s="117">
        <v>1605.2615907070715</v>
      </c>
    </row>
    <row r="260" spans="11:13" x14ac:dyDescent="0.4">
      <c r="K260" s="74">
        <v>258</v>
      </c>
      <c r="L260" s="119">
        <v>2.8421709430404007E-14</v>
      </c>
      <c r="M260" s="117">
        <v>1605.680021162829</v>
      </c>
    </row>
    <row r="261" spans="11:13" x14ac:dyDescent="0.4">
      <c r="K261" s="74">
        <v>259</v>
      </c>
      <c r="L261" s="119">
        <v>-5.0999999999999712</v>
      </c>
      <c r="M261" s="117">
        <v>1605.0879410358521</v>
      </c>
    </row>
    <row r="262" spans="11:13" x14ac:dyDescent="0.4">
      <c r="K262" s="74">
        <v>260</v>
      </c>
      <c r="L262" s="119">
        <v>45.300000000000026</v>
      </c>
      <c r="M262" s="117">
        <v>1614.4894133896369</v>
      </c>
    </row>
    <row r="263" spans="11:13" x14ac:dyDescent="0.4">
      <c r="K263" s="74">
        <v>261</v>
      </c>
      <c r="L263" s="119">
        <v>2.8421709430404007E-14</v>
      </c>
      <c r="M263" s="117">
        <v>1606.608476909299</v>
      </c>
    </row>
    <row r="264" spans="11:13" x14ac:dyDescent="0.4">
      <c r="K264" s="74">
        <v>262</v>
      </c>
      <c r="L264" s="119">
        <v>-6.8999999999999719</v>
      </c>
      <c r="M264" s="117">
        <v>1605.3508260478432</v>
      </c>
    </row>
    <row r="265" spans="11:13" x14ac:dyDescent="0.4">
      <c r="K265" s="74">
        <v>263</v>
      </c>
      <c r="L265" s="119">
        <v>18.800000000000026</v>
      </c>
      <c r="M265" s="117">
        <v>1609.9687210915561</v>
      </c>
    </row>
    <row r="266" spans="11:13" x14ac:dyDescent="0.4">
      <c r="K266" s="74">
        <v>264</v>
      </c>
      <c r="L266" s="119">
        <v>2.4868995751603507E-14</v>
      </c>
      <c r="M266" s="117">
        <v>1606.5489087650067</v>
      </c>
    </row>
    <row r="267" spans="11:13" x14ac:dyDescent="0.4">
      <c r="K267" s="74">
        <v>265</v>
      </c>
      <c r="L267" s="119">
        <v>-19.299999999999976</v>
      </c>
      <c r="M267" s="117">
        <v>1602.9216153124166</v>
      </c>
    </row>
    <row r="268" spans="11:13" x14ac:dyDescent="0.4">
      <c r="K268" s="74">
        <v>266</v>
      </c>
      <c r="L268" s="119">
        <v>-17.699999999999974</v>
      </c>
      <c r="M268" s="117">
        <v>1603.0780856205422</v>
      </c>
    </row>
    <row r="269" spans="11:13" x14ac:dyDescent="0.4">
      <c r="K269" s="74">
        <v>267</v>
      </c>
      <c r="L269" s="119">
        <v>2.4868995751603507E-14</v>
      </c>
      <c r="M269" s="117">
        <v>1606.131617106819</v>
      </c>
    </row>
    <row r="270" spans="11:13" x14ac:dyDescent="0.4">
      <c r="K270" s="74">
        <v>268</v>
      </c>
      <c r="L270" s="119">
        <v>0.70000000000002482</v>
      </c>
      <c r="M270" s="117">
        <v>1606.3168274041782</v>
      </c>
    </row>
    <row r="271" spans="11:13" x14ac:dyDescent="0.4">
      <c r="K271" s="74">
        <v>269</v>
      </c>
      <c r="L271" s="119">
        <v>-36.299999999999976</v>
      </c>
      <c r="M271" s="117">
        <v>1599.7149264397531</v>
      </c>
    </row>
    <row r="272" spans="11:13" x14ac:dyDescent="0.4">
      <c r="K272" s="74">
        <v>270</v>
      </c>
      <c r="L272" s="119">
        <v>2.1316282072803006E-14</v>
      </c>
      <c r="M272" s="117">
        <v>1606.3466368811146</v>
      </c>
    </row>
    <row r="273" spans="11:13" x14ac:dyDescent="0.4">
      <c r="K273" s="74">
        <v>271</v>
      </c>
      <c r="L273" s="119">
        <v>12.500000000000021</v>
      </c>
      <c r="M273" s="117">
        <v>1607.8505570598279</v>
      </c>
    </row>
    <row r="274" spans="11:13" x14ac:dyDescent="0.4">
      <c r="K274" s="74">
        <v>272</v>
      </c>
      <c r="L274" s="119">
        <v>-24.499999999999979</v>
      </c>
      <c r="M274" s="117">
        <v>1600.435453717469</v>
      </c>
    </row>
    <row r="275" spans="11:13" x14ac:dyDescent="0.4">
      <c r="K275" s="74">
        <v>273</v>
      </c>
      <c r="L275" s="119">
        <v>2.1316282072803006E-14</v>
      </c>
      <c r="M275" s="117">
        <v>1604.1348409951643</v>
      </c>
    </row>
    <row r="276" spans="11:13" x14ac:dyDescent="0.4">
      <c r="K276" s="74">
        <v>274</v>
      </c>
      <c r="L276" s="119">
        <v>8.7000000000000206</v>
      </c>
      <c r="M276" s="117">
        <v>1605.7720319491932</v>
      </c>
    </row>
    <row r="277" spans="11:13" x14ac:dyDescent="0.4">
      <c r="K277" s="74">
        <v>275</v>
      </c>
      <c r="L277" s="119">
        <v>-21.999999999999979</v>
      </c>
      <c r="M277" s="117">
        <v>1600.3073997574979</v>
      </c>
    </row>
    <row r="278" spans="11:13" x14ac:dyDescent="0.4">
      <c r="K278" s="74">
        <v>276</v>
      </c>
      <c r="L278" s="119">
        <v>2.1316282072803006E-14</v>
      </c>
      <c r="M278" s="117">
        <v>1604.361555358953</v>
      </c>
    </row>
    <row r="279" spans="11:13" x14ac:dyDescent="0.4">
      <c r="K279" s="74">
        <v>277</v>
      </c>
      <c r="L279" s="119">
        <v>40.500000000000021</v>
      </c>
      <c r="M279" s="117">
        <v>1611.6553860267993</v>
      </c>
    </row>
    <row r="280" spans="11:13" x14ac:dyDescent="0.4">
      <c r="K280" s="74">
        <v>278</v>
      </c>
      <c r="L280" s="119">
        <v>-12.299999999999976</v>
      </c>
      <c r="M280" s="117">
        <v>1602.1114537106384</v>
      </c>
    </row>
    <row r="281" spans="11:13" x14ac:dyDescent="0.4">
      <c r="K281" s="74">
        <v>279</v>
      </c>
      <c r="L281" s="119">
        <v>2.4868995751603507E-14</v>
      </c>
      <c r="M281" s="117">
        <v>1604.3427849883747</v>
      </c>
    </row>
    <row r="282" spans="11:13" x14ac:dyDescent="0.4">
      <c r="K282" s="74">
        <v>280</v>
      </c>
      <c r="L282" s="119">
        <v>63.000000000000028</v>
      </c>
      <c r="M282" s="117">
        <v>1615.8487282784445</v>
      </c>
    </row>
    <row r="283" spans="11:13" x14ac:dyDescent="0.4">
      <c r="K283" s="74">
        <v>281</v>
      </c>
      <c r="L283" s="119">
        <v>53.200000000000031</v>
      </c>
      <c r="M283" s="117">
        <v>1614.1816359087738</v>
      </c>
    </row>
    <row r="284" spans="11:13" x14ac:dyDescent="0.4">
      <c r="K284" s="74">
        <v>282</v>
      </c>
      <c r="L284" s="119">
        <v>2.8421709430404007E-14</v>
      </c>
      <c r="M284" s="117">
        <v>1604.7125460933212</v>
      </c>
    </row>
    <row r="285" spans="11:13" x14ac:dyDescent="0.4">
      <c r="K285" s="74">
        <v>283</v>
      </c>
      <c r="L285" s="119">
        <v>50.900000000000027</v>
      </c>
      <c r="M285" s="117">
        <v>1613.5162708167613</v>
      </c>
    </row>
    <row r="286" spans="11:13" x14ac:dyDescent="0.4">
      <c r="K286" s="74">
        <v>284</v>
      </c>
      <c r="L286" s="119">
        <v>30.800000000000026</v>
      </c>
      <c r="M286" s="117">
        <v>1609.4871731918608</v>
      </c>
    </row>
    <row r="287" spans="11:13" x14ac:dyDescent="0.4">
      <c r="K287" s="74">
        <v>285</v>
      </c>
      <c r="L287" s="119">
        <v>2.4868995751603507E-14</v>
      </c>
      <c r="M287" s="117">
        <v>1603.5562501527097</v>
      </c>
    </row>
    <row r="288" spans="11:13" x14ac:dyDescent="0.4">
      <c r="K288" s="74">
        <v>286</v>
      </c>
      <c r="L288" s="119">
        <v>14.900000000000025</v>
      </c>
      <c r="M288" s="117">
        <v>1606.0429126517934</v>
      </c>
    </row>
    <row r="289" spans="11:13" x14ac:dyDescent="0.4">
      <c r="K289" s="74">
        <v>287</v>
      </c>
      <c r="L289" s="119">
        <v>16.700000000000024</v>
      </c>
      <c r="M289" s="117">
        <v>1606.1566551758826</v>
      </c>
    </row>
    <row r="290" spans="11:13" x14ac:dyDescent="0.4">
      <c r="K290" s="74">
        <v>288</v>
      </c>
      <c r="L290" s="119">
        <v>2.4868995751603507E-14</v>
      </c>
      <c r="M290" s="117">
        <v>1602.9397152448273</v>
      </c>
    </row>
    <row r="291" spans="11:13" x14ac:dyDescent="0.4">
      <c r="K291" s="74">
        <v>289</v>
      </c>
      <c r="L291" s="119">
        <v>-5.4999999999999751</v>
      </c>
      <c r="M291" s="117">
        <v>1601.8600769533584</v>
      </c>
    </row>
    <row r="292" spans="11:13" x14ac:dyDescent="0.4">
      <c r="K292" s="74">
        <v>290</v>
      </c>
      <c r="L292" s="119">
        <v>-64.899999999999977</v>
      </c>
      <c r="M292" s="117">
        <v>1591.0849164916383</v>
      </c>
    </row>
    <row r="293" spans="11:13" x14ac:dyDescent="0.4">
      <c r="K293" s="74">
        <v>291</v>
      </c>
      <c r="L293" s="119">
        <v>2.8421709430404007E-14</v>
      </c>
      <c r="M293" s="117">
        <v>1602.7484069926884</v>
      </c>
    </row>
    <row r="294" spans="11:13" x14ac:dyDescent="0.4">
      <c r="K294" s="74">
        <v>292</v>
      </c>
      <c r="L294" s="119">
        <v>-4.7999999999999714</v>
      </c>
      <c r="M294" s="117">
        <v>1601.0219165507322</v>
      </c>
    </row>
    <row r="295" spans="11:13" x14ac:dyDescent="0.4">
      <c r="K295" s="74">
        <v>293</v>
      </c>
      <c r="L295" s="119">
        <v>24.200000000000028</v>
      </c>
      <c r="M295" s="117">
        <v>1605.3897850514277</v>
      </c>
    </row>
    <row r="296" spans="11:13" x14ac:dyDescent="0.4">
      <c r="K296" s="74">
        <v>294</v>
      </c>
      <c r="L296" s="119">
        <v>2.8421709430404007E-14</v>
      </c>
      <c r="M296" s="117">
        <v>1600.1554463411192</v>
      </c>
    </row>
    <row r="297" spans="11:13" x14ac:dyDescent="0.4">
      <c r="K297" s="74">
        <v>295</v>
      </c>
      <c r="L297" s="119">
        <v>-23.599999999999973</v>
      </c>
      <c r="M297" s="117">
        <v>1595.0605136630725</v>
      </c>
    </row>
    <row r="298" spans="11:13" x14ac:dyDescent="0.4">
      <c r="K298" s="74">
        <v>296</v>
      </c>
      <c r="L298" s="119">
        <v>9.0000000000000284</v>
      </c>
      <c r="M298" s="117">
        <v>1600.1121505810941</v>
      </c>
    </row>
    <row r="299" spans="11:13" x14ac:dyDescent="0.4">
      <c r="K299" s="74">
        <v>297</v>
      </c>
      <c r="L299" s="119">
        <v>2.8421709430404007E-14</v>
      </c>
      <c r="M299" s="117">
        <v>1597.6454776776075</v>
      </c>
    </row>
    <row r="300" spans="11:13" x14ac:dyDescent="0.4">
      <c r="K300" s="74">
        <v>298</v>
      </c>
      <c r="L300" s="119">
        <v>-52.89999999999997</v>
      </c>
      <c r="M300" s="117">
        <v>1588.2996048115417</v>
      </c>
    </row>
    <row r="301" spans="11:13" x14ac:dyDescent="0.4">
      <c r="K301" s="74">
        <v>299</v>
      </c>
      <c r="L301" s="119">
        <v>2.7000000000000313</v>
      </c>
      <c r="M301" s="117">
        <v>1598.5398071826726</v>
      </c>
    </row>
    <row r="302" spans="11:13" x14ac:dyDescent="0.4">
      <c r="K302" s="74">
        <v>300</v>
      </c>
      <c r="L302" s="119">
        <v>3.1086244689504383E-14</v>
      </c>
      <c r="M302" s="117">
        <v>1598.2245683395765</v>
      </c>
    </row>
    <row r="303" spans="11:13" x14ac:dyDescent="0.4">
      <c r="K303" s="74">
        <v>301</v>
      </c>
      <c r="L303" s="119">
        <v>51.500000000000028</v>
      </c>
      <c r="M303" s="117">
        <v>1607.6732209295392</v>
      </c>
    </row>
    <row r="304" spans="11:13" x14ac:dyDescent="0.4">
      <c r="K304" s="74">
        <v>302</v>
      </c>
      <c r="L304" s="119">
        <v>-0.49999999999997158</v>
      </c>
      <c r="M304" s="117">
        <v>1598.4351816039618</v>
      </c>
    </row>
    <row r="305" spans="11:13" x14ac:dyDescent="0.4">
      <c r="K305" s="74">
        <v>303</v>
      </c>
      <c r="L305" s="119">
        <v>2.8421709430404007E-14</v>
      </c>
      <c r="M305" s="117">
        <v>1598.702570514338</v>
      </c>
    </row>
    <row r="306" spans="11:13" x14ac:dyDescent="0.4">
      <c r="K306" s="74">
        <v>304</v>
      </c>
      <c r="L306" s="119">
        <v>-57.599999999999973</v>
      </c>
      <c r="M306" s="117">
        <v>1588.0603550912519</v>
      </c>
    </row>
    <row r="307" spans="11:13" x14ac:dyDescent="0.4">
      <c r="K307" s="74">
        <v>305</v>
      </c>
      <c r="L307" s="119">
        <v>-61.699999999999974</v>
      </c>
      <c r="M307" s="117">
        <v>1587.1119929607044</v>
      </c>
    </row>
    <row r="308" spans="11:13" x14ac:dyDescent="0.4">
      <c r="K308" s="74">
        <v>306</v>
      </c>
      <c r="L308" s="119">
        <v>2.8421709430404007E-14</v>
      </c>
      <c r="M308" s="117">
        <v>1598.0133210029401</v>
      </c>
    </row>
    <row r="309" spans="11:13" x14ac:dyDescent="0.4">
      <c r="K309" s="74">
        <v>307</v>
      </c>
      <c r="L309" s="119">
        <v>-28.099999999999973</v>
      </c>
      <c r="M309" s="117">
        <v>1592.5772410769225</v>
      </c>
    </row>
    <row r="310" spans="11:13" x14ac:dyDescent="0.4">
      <c r="K310" s="74">
        <v>308</v>
      </c>
      <c r="L310" s="119">
        <v>-5.2999999999999723</v>
      </c>
      <c r="M310" s="117">
        <v>1596.3357776304611</v>
      </c>
    </row>
    <row r="311" spans="11:13" x14ac:dyDescent="0.4">
      <c r="K311" s="74">
        <v>309</v>
      </c>
      <c r="L311" s="119">
        <v>2.7533531010703882E-14</v>
      </c>
      <c r="M311" s="117">
        <v>1596.9217629646782</v>
      </c>
    </row>
    <row r="312" spans="11:13" x14ac:dyDescent="0.4">
      <c r="K312" s="74">
        <v>310</v>
      </c>
      <c r="L312" s="119">
        <v>-54.39999999999997</v>
      </c>
      <c r="M312" s="117">
        <v>1587.4782323868901</v>
      </c>
    </row>
    <row r="313" spans="11:13" x14ac:dyDescent="0.4">
      <c r="K313" s="74">
        <v>311</v>
      </c>
      <c r="L313" s="119">
        <v>-7.2999999999999687</v>
      </c>
      <c r="M313" s="117">
        <v>1596.3613629925687</v>
      </c>
    </row>
    <row r="314" spans="11:13" x14ac:dyDescent="0.4">
      <c r="K314" s="74">
        <v>312</v>
      </c>
      <c r="L314" s="119">
        <v>3.1086244689504383E-14</v>
      </c>
      <c r="M314" s="117">
        <v>1598.0271948146133</v>
      </c>
    </row>
    <row r="315" spans="11:13" x14ac:dyDescent="0.4">
      <c r="K315" s="74">
        <v>313</v>
      </c>
      <c r="L315" s="119">
        <v>0.30000000000003108</v>
      </c>
      <c r="M315" s="117">
        <v>1598.4230316457256</v>
      </c>
    </row>
    <row r="316" spans="11:13" x14ac:dyDescent="0.4">
      <c r="K316" s="74">
        <v>314</v>
      </c>
      <c r="L316" s="119">
        <v>-12.199999999999969</v>
      </c>
      <c r="M316" s="117">
        <v>1596.5124934558512</v>
      </c>
    </row>
    <row r="317" spans="11:13" x14ac:dyDescent="0.4">
      <c r="K317" s="74">
        <v>315</v>
      </c>
      <c r="L317" s="119">
        <v>3.0198066269804258E-14</v>
      </c>
      <c r="M317" s="117">
        <v>1599.059418495116</v>
      </c>
    </row>
    <row r="318" spans="11:13" x14ac:dyDescent="0.4">
      <c r="K318" s="74">
        <v>316</v>
      </c>
      <c r="L318" s="119">
        <v>57.500000000000028</v>
      </c>
      <c r="M318" s="117">
        <v>1609.6550619841453</v>
      </c>
    </row>
    <row r="319" spans="11:13" x14ac:dyDescent="0.4">
      <c r="K319" s="74">
        <v>317</v>
      </c>
      <c r="L319" s="119">
        <v>50.000000000000028</v>
      </c>
      <c r="M319" s="117">
        <v>1608.4871316122403</v>
      </c>
    </row>
    <row r="320" spans="11:13" x14ac:dyDescent="0.4">
      <c r="K320" s="74">
        <v>318</v>
      </c>
      <c r="L320" s="119">
        <v>2.8421709430404007E-14</v>
      </c>
      <c r="M320" s="117">
        <v>1599.6762088225669</v>
      </c>
    </row>
    <row r="321" spans="11:13" x14ac:dyDescent="0.4">
      <c r="K321" s="74">
        <v>319</v>
      </c>
      <c r="L321" s="119">
        <v>39.900000000000027</v>
      </c>
      <c r="M321" s="117">
        <v>1607.1001515696314</v>
      </c>
    </row>
    <row r="322" spans="11:13" x14ac:dyDescent="0.4">
      <c r="K322" s="74">
        <v>320</v>
      </c>
      <c r="L322" s="119">
        <v>11.100000000000026</v>
      </c>
      <c r="M322" s="117">
        <v>1602.1135506602136</v>
      </c>
    </row>
    <row r="323" spans="11:13" x14ac:dyDescent="0.4">
      <c r="K323" s="74">
        <v>321</v>
      </c>
      <c r="L323" s="119">
        <v>2.6645352591003757E-14</v>
      </c>
      <c r="M323" s="117">
        <v>1600.3428693562523</v>
      </c>
    </row>
    <row r="324" spans="11:13" x14ac:dyDescent="0.4">
      <c r="K324" s="74">
        <v>322</v>
      </c>
      <c r="L324" s="119">
        <v>39.200000000000031</v>
      </c>
      <c r="M324" s="117">
        <v>1607.6308121401148</v>
      </c>
    </row>
    <row r="325" spans="11:13" x14ac:dyDescent="0.4">
      <c r="K325" s="74">
        <v>323</v>
      </c>
      <c r="L325" s="119">
        <v>33.800000000000033</v>
      </c>
      <c r="M325" s="117">
        <v>1606.8470272672741</v>
      </c>
    </row>
    <row r="326" spans="11:13" x14ac:dyDescent="0.4">
      <c r="K326" s="74">
        <v>324</v>
      </c>
      <c r="L326" s="119">
        <v>3.5527136788005009E-14</v>
      </c>
      <c r="M326" s="117">
        <v>1600.9559451036705</v>
      </c>
    </row>
    <row r="327" spans="11:13" x14ac:dyDescent="0.4">
      <c r="K327" s="74">
        <v>325</v>
      </c>
      <c r="L327" s="119">
        <v>19.600000000000037</v>
      </c>
      <c r="M327" s="117">
        <v>1604.7122094330484</v>
      </c>
    </row>
    <row r="328" spans="11:13" x14ac:dyDescent="0.4">
      <c r="K328" s="74">
        <v>326</v>
      </c>
      <c r="L328" s="119">
        <v>2.4000000000000377</v>
      </c>
      <c r="M328" s="117">
        <v>1601.8219361764502</v>
      </c>
    </row>
    <row r="329" spans="11:13" x14ac:dyDescent="0.4">
      <c r="K329" s="74">
        <v>327</v>
      </c>
      <c r="L329" s="119">
        <v>3.7747582837255322E-14</v>
      </c>
      <c r="M329" s="117">
        <v>1601.6130045593916</v>
      </c>
    </row>
    <row r="330" spans="11:13" x14ac:dyDescent="0.4">
      <c r="K330" s="74">
        <v>328</v>
      </c>
      <c r="L330" s="119">
        <v>3.2000000000000379</v>
      </c>
      <c r="M330" s="117">
        <v>1602.4133265320352</v>
      </c>
    </row>
    <row r="331" spans="11:13" x14ac:dyDescent="0.4">
      <c r="K331" s="74">
        <v>329</v>
      </c>
      <c r="L331" s="119">
        <v>18.700000000000038</v>
      </c>
      <c r="M331" s="117">
        <v>1605.4228465728429</v>
      </c>
    </row>
    <row r="332" spans="11:13" x14ac:dyDescent="0.4">
      <c r="K332" s="74">
        <v>330</v>
      </c>
      <c r="L332" s="119">
        <v>3.907985046680551E-14</v>
      </c>
      <c r="M332" s="117">
        <v>1602.2583094934059</v>
      </c>
    </row>
    <row r="333" spans="11:13" x14ac:dyDescent="0.4">
      <c r="K333" s="74">
        <v>331</v>
      </c>
      <c r="L333" s="119">
        <v>-6.1999999999999611</v>
      </c>
      <c r="M333" s="117">
        <v>1601.2487596364456</v>
      </c>
    </row>
    <row r="334" spans="11:13" x14ac:dyDescent="0.4">
      <c r="K334" s="74">
        <v>332</v>
      </c>
      <c r="L334" s="119">
        <v>-46.19999999999996</v>
      </c>
      <c r="M334" s="117">
        <v>1594.1612670786269</v>
      </c>
    </row>
    <row r="335" spans="11:13" x14ac:dyDescent="0.4">
      <c r="K335" s="74">
        <v>333</v>
      </c>
      <c r="L335" s="119">
        <v>4.2632564145606011E-14</v>
      </c>
      <c r="M335" s="117">
        <v>1602.6322994761551</v>
      </c>
    </row>
    <row r="336" spans="11:13" x14ac:dyDescent="0.4">
      <c r="K336" s="74">
        <v>334</v>
      </c>
      <c r="L336" s="119">
        <v>46.600000000000044</v>
      </c>
      <c r="M336" s="117">
        <v>1611.1245056792982</v>
      </c>
    </row>
    <row r="337" spans="11:13" x14ac:dyDescent="0.4">
      <c r="K337" s="74">
        <v>335</v>
      </c>
      <c r="L337" s="119">
        <v>50.300000000000047</v>
      </c>
      <c r="M337" s="117">
        <v>1611.8437586452224</v>
      </c>
    </row>
    <row r="338" spans="11:13" x14ac:dyDescent="0.4">
      <c r="K338" s="74">
        <v>336</v>
      </c>
      <c r="L338" s="119">
        <v>4.9737991503207013E-14</v>
      </c>
      <c r="M338" s="117">
        <v>1602.838696093351</v>
      </c>
    </row>
    <row r="339" spans="11:13" x14ac:dyDescent="0.4">
      <c r="K339" s="74">
        <v>337</v>
      </c>
      <c r="L339" s="119">
        <v>-22.099999999999952</v>
      </c>
      <c r="M339" s="117">
        <v>1598.249663916791</v>
      </c>
    </row>
    <row r="340" spans="11:13" x14ac:dyDescent="0.4">
      <c r="K340" s="74">
        <v>338</v>
      </c>
      <c r="L340" s="119">
        <v>-21.49999999999995</v>
      </c>
      <c r="M340" s="117">
        <v>1597.7741659332903</v>
      </c>
    </row>
    <row r="341" spans="11:13" x14ac:dyDescent="0.4">
      <c r="K341" s="74">
        <v>339</v>
      </c>
      <c r="L341" s="119">
        <v>4.9737991503207013E-14</v>
      </c>
      <c r="M341" s="117">
        <v>1601.0635209376906</v>
      </c>
    </row>
    <row r="342" spans="11:13" x14ac:dyDescent="0.4">
      <c r="K342" s="74">
        <v>340</v>
      </c>
      <c r="L342" s="119">
        <v>32.200000000000053</v>
      </c>
      <c r="M342" s="117">
        <v>1606.2591398120644</v>
      </c>
    </row>
    <row r="343" spans="11:13" x14ac:dyDescent="0.4">
      <c r="K343" s="74">
        <v>341</v>
      </c>
      <c r="L343" s="119">
        <v>27.100000000000051</v>
      </c>
      <c r="M343" s="117">
        <v>1604.709584973192</v>
      </c>
    </row>
    <row r="344" spans="11:13" x14ac:dyDescent="0.4">
      <c r="K344" s="74">
        <v>342</v>
      </c>
      <c r="L344" s="119">
        <v>4.9737991503207013E-14</v>
      </c>
      <c r="M344" s="117">
        <v>1599.2093274633528</v>
      </c>
    </row>
    <row r="345" spans="11:13" x14ac:dyDescent="0.4">
      <c r="K345" s="74">
        <v>343</v>
      </c>
      <c r="L345" s="119">
        <v>-24.49999999999995</v>
      </c>
      <c r="M345" s="117">
        <v>1595.0140714985728</v>
      </c>
    </row>
    <row r="346" spans="11:13" x14ac:dyDescent="0.4">
      <c r="K346" s="74">
        <v>344</v>
      </c>
      <c r="L346" s="119">
        <v>-27.49999999999995</v>
      </c>
      <c r="M346" s="117">
        <v>1594.7139870695814</v>
      </c>
    </row>
    <row r="347" spans="11:13" x14ac:dyDescent="0.4">
      <c r="K347" s="74">
        <v>345</v>
      </c>
      <c r="L347" s="119">
        <v>4.9737991503207013E-14</v>
      </c>
      <c r="M347" s="117">
        <v>1599.9057031471639</v>
      </c>
    </row>
    <row r="348" spans="11:13" x14ac:dyDescent="0.4">
      <c r="K348" s="74">
        <v>346</v>
      </c>
      <c r="L348" s="119">
        <v>27.900000000000048</v>
      </c>
      <c r="M348" s="117">
        <v>1605.1322689282808</v>
      </c>
    </row>
    <row r="349" spans="11:13" x14ac:dyDescent="0.4">
      <c r="K349" s="74">
        <v>347</v>
      </c>
      <c r="L349" s="119">
        <v>32.300000000000047</v>
      </c>
      <c r="M349" s="117">
        <v>1606.0974753147111</v>
      </c>
    </row>
    <row r="350" spans="11:13" x14ac:dyDescent="0.4">
      <c r="K350" s="74">
        <v>348</v>
      </c>
      <c r="L350" s="119">
        <v>4.9737991503207013E-14</v>
      </c>
      <c r="M350" s="117">
        <v>1600.4508904628228</v>
      </c>
    </row>
    <row r="351" spans="11:13" x14ac:dyDescent="0.4">
      <c r="K351" s="74">
        <v>349</v>
      </c>
      <c r="L351" s="119">
        <v>37.300000000000047</v>
      </c>
      <c r="M351" s="117">
        <v>1607.3001851200459</v>
      </c>
    </row>
    <row r="352" spans="11:13" x14ac:dyDescent="0.4">
      <c r="K352" s="74">
        <v>350</v>
      </c>
      <c r="L352" s="119">
        <v>45.500000000000043</v>
      </c>
      <c r="M352" s="117">
        <v>1608.8703840093256</v>
      </c>
    </row>
    <row r="353" spans="11:13" x14ac:dyDescent="0.4">
      <c r="K353" s="74">
        <v>351</v>
      </c>
      <c r="L353" s="119">
        <v>4.2632564145606011E-14</v>
      </c>
      <c r="M353" s="117">
        <v>1600.7651617052695</v>
      </c>
    </row>
    <row r="354" spans="11:13" x14ac:dyDescent="0.4">
      <c r="K354" s="74">
        <v>352</v>
      </c>
      <c r="L354" s="119">
        <v>2.0000000000000426</v>
      </c>
      <c r="M354" s="117">
        <v>1601.504570735038</v>
      </c>
    </row>
    <row r="355" spans="11:13" x14ac:dyDescent="0.4">
      <c r="K355" s="74">
        <v>353</v>
      </c>
      <c r="L355" s="119">
        <v>-19.499999999999957</v>
      </c>
      <c r="M355" s="117">
        <v>1598.0095433106278</v>
      </c>
    </row>
    <row r="356" spans="11:13" x14ac:dyDescent="0.4">
      <c r="K356" s="74">
        <v>354</v>
      </c>
      <c r="L356" s="119">
        <v>4.2632564145606011E-14</v>
      </c>
      <c r="M356" s="117">
        <v>1601.915486050764</v>
      </c>
    </row>
    <row r="357" spans="11:13" x14ac:dyDescent="0.4">
      <c r="K357" s="74">
        <v>355</v>
      </c>
      <c r="L357" s="119">
        <v>-26.399999999999956</v>
      </c>
      <c r="M357" s="117">
        <v>1597.5359931344594</v>
      </c>
    </row>
    <row r="358" spans="11:13" x14ac:dyDescent="0.4">
      <c r="K358" s="74">
        <v>356</v>
      </c>
      <c r="L358" s="119">
        <v>-34.299999999999955</v>
      </c>
      <c r="M358" s="117">
        <v>1596.5127771756527</v>
      </c>
    </row>
    <row r="359" spans="11:13" x14ac:dyDescent="0.4">
      <c r="K359" s="74">
        <v>357</v>
      </c>
      <c r="L359" s="119">
        <v>4.2632564145606011E-14</v>
      </c>
      <c r="M359" s="117">
        <v>1603.0917005125987</v>
      </c>
    </row>
    <row r="360" spans="11:13" x14ac:dyDescent="0.4">
      <c r="K360" s="74">
        <v>358</v>
      </c>
      <c r="L360" s="119">
        <v>6.8000000000000425</v>
      </c>
      <c r="M360" s="117">
        <v>1604.0991503095231</v>
      </c>
    </row>
    <row r="361" spans="11:13" x14ac:dyDescent="0.4">
      <c r="K361" s="74">
        <v>359</v>
      </c>
      <c r="L361" s="119">
        <v>-38.899999999999963</v>
      </c>
      <c r="M361" s="117">
        <v>1595.6505554076659</v>
      </c>
    </row>
    <row r="362" spans="11:13" x14ac:dyDescent="0.4">
      <c r="K362" s="74">
        <v>360</v>
      </c>
      <c r="L362" s="119">
        <v>3.5527136788005009E-14</v>
      </c>
      <c r="M362" s="117">
        <v>1602.48065207522</v>
      </c>
    </row>
    <row r="363" spans="11:13" x14ac:dyDescent="0.4">
      <c r="K363" s="74">
        <v>361</v>
      </c>
      <c r="L363" s="119">
        <v>16.000000000000036</v>
      </c>
      <c r="M363" s="117">
        <v>1605.6157681627685</v>
      </c>
    </row>
    <row r="364" spans="11:13" x14ac:dyDescent="0.4">
      <c r="K364" s="74">
        <v>362</v>
      </c>
      <c r="L364" s="119">
        <v>48.000000000000036</v>
      </c>
      <c r="M364" s="117">
        <v>1611.612073553792</v>
      </c>
    </row>
    <row r="365" spans="11:13" x14ac:dyDescent="0.4">
      <c r="K365" s="74">
        <v>363</v>
      </c>
      <c r="L365" s="119">
        <v>3.5527136788005009E-14</v>
      </c>
      <c r="M365" s="117">
        <v>1603.1724011124693</v>
      </c>
    </row>
    <row r="366" spans="11:13" x14ac:dyDescent="0.4">
      <c r="K366" s="74">
        <v>364</v>
      </c>
      <c r="L366" s="119">
        <v>-34.899999999999963</v>
      </c>
      <c r="M366" s="117">
        <v>1597.1413667057946</v>
      </c>
    </row>
    <row r="367" spans="11:13" x14ac:dyDescent="0.4">
      <c r="K367" s="74">
        <v>365</v>
      </c>
      <c r="L367" s="119">
        <v>-8.8999999999999631</v>
      </c>
      <c r="M367" s="117">
        <v>1602.1085185055597</v>
      </c>
    </row>
    <row r="368" spans="11:13" x14ac:dyDescent="0.4">
      <c r="K368" s="74">
        <v>366</v>
      </c>
      <c r="L368" s="119">
        <v>3.730349362740526E-14</v>
      </c>
      <c r="M368" s="117">
        <v>1603.9678673945264</v>
      </c>
    </row>
    <row r="369" spans="11:13" x14ac:dyDescent="0.4">
      <c r="K369" s="74">
        <v>367</v>
      </c>
      <c r="L369" s="119">
        <v>-33.899999999999963</v>
      </c>
      <c r="M369" s="117">
        <v>1598.1120601901591</v>
      </c>
    </row>
    <row r="370" spans="11:13" x14ac:dyDescent="0.4">
      <c r="K370" s="74">
        <v>368</v>
      </c>
      <c r="L370" s="119">
        <v>-32.299999999999962</v>
      </c>
      <c r="M370" s="117">
        <v>1598.6813878290181</v>
      </c>
    </row>
    <row r="371" spans="11:13" x14ac:dyDescent="0.4">
      <c r="K371" s="74">
        <v>369</v>
      </c>
      <c r="L371" s="119">
        <v>3.5527136788005009E-14</v>
      </c>
      <c r="M371" s="117">
        <v>1604.773299502044</v>
      </c>
    </row>
    <row r="372" spans="11:13" x14ac:dyDescent="0.4">
      <c r="K372" s="74">
        <v>370</v>
      </c>
      <c r="L372" s="119">
        <v>-0.49999999999996447</v>
      </c>
      <c r="M372" s="117">
        <v>1604.9306597050318</v>
      </c>
    </row>
    <row r="373" spans="11:13" x14ac:dyDescent="0.4">
      <c r="K373" s="74">
        <v>371</v>
      </c>
      <c r="L373" s="119">
        <v>-23.899999999999963</v>
      </c>
      <c r="M373" s="117">
        <v>1600.9650757468016</v>
      </c>
    </row>
    <row r="374" spans="11:13" x14ac:dyDescent="0.4">
      <c r="K374" s="74">
        <v>372</v>
      </c>
      <c r="L374" s="119">
        <v>3.5527136788005009E-14</v>
      </c>
      <c r="M374" s="117">
        <v>1605.5372852923208</v>
      </c>
    </row>
    <row r="375" spans="11:13" x14ac:dyDescent="0.4">
      <c r="K375" s="74">
        <v>373</v>
      </c>
      <c r="L375" s="119">
        <v>0.30000000000003552</v>
      </c>
      <c r="M375" s="117">
        <v>1605.8340615805669</v>
      </c>
    </row>
    <row r="376" spans="11:13" x14ac:dyDescent="0.4">
      <c r="K376" s="74">
        <v>374</v>
      </c>
      <c r="L376" s="119">
        <v>37.400000000000034</v>
      </c>
      <c r="M376" s="117">
        <v>1612.7530572110834</v>
      </c>
    </row>
    <row r="377" spans="11:13" x14ac:dyDescent="0.4">
      <c r="K377" s="74">
        <v>375</v>
      </c>
      <c r="L377" s="119">
        <v>3.5527136788005009E-14</v>
      </c>
      <c r="M377" s="117">
        <v>1606.2205388678169</v>
      </c>
    </row>
    <row r="378" spans="11:13" x14ac:dyDescent="0.4">
      <c r="K378" s="74">
        <v>376</v>
      </c>
      <c r="L378" s="119">
        <v>-48.999999999999964</v>
      </c>
      <c r="M378" s="117">
        <v>1597.63321563461</v>
      </c>
    </row>
    <row r="379" spans="11:13" x14ac:dyDescent="0.4">
      <c r="K379" s="74">
        <v>377</v>
      </c>
      <c r="L379" s="119">
        <v>-59.999999999999964</v>
      </c>
      <c r="M379" s="117">
        <v>1595.9374163408024</v>
      </c>
    </row>
    <row r="380" spans="11:13" x14ac:dyDescent="0.4">
      <c r="K380" s="74">
        <v>378</v>
      </c>
      <c r="L380" s="119">
        <v>3.5527136788005009E-14</v>
      </c>
      <c r="M380" s="117">
        <v>1607.0317918427577</v>
      </c>
    </row>
    <row r="381" spans="11:13" x14ac:dyDescent="0.4">
      <c r="K381" s="74">
        <v>379</v>
      </c>
      <c r="L381" s="119">
        <v>-4.4999999999999645</v>
      </c>
      <c r="M381" s="117">
        <v>1606.3476010917011</v>
      </c>
    </row>
    <row r="382" spans="11:13" x14ac:dyDescent="0.4">
      <c r="K382" s="74">
        <v>380</v>
      </c>
      <c r="L382" s="119">
        <v>24.200000000000035</v>
      </c>
      <c r="M382" s="117">
        <v>1611.6435154851508</v>
      </c>
    </row>
    <row r="383" spans="11:13" x14ac:dyDescent="0.4">
      <c r="K383" s="74">
        <v>381</v>
      </c>
      <c r="L383" s="119">
        <v>3.5527136788005009E-14</v>
      </c>
      <c r="M383" s="117">
        <v>1607.38565439224</v>
      </c>
    </row>
    <row r="384" spans="11:13" x14ac:dyDescent="0.4">
      <c r="K384" s="74">
        <v>382</v>
      </c>
      <c r="L384" s="119">
        <v>49.400000000000034</v>
      </c>
      <c r="M384" s="117">
        <v>1616.4013404658865</v>
      </c>
    </row>
    <row r="385" spans="11:13" x14ac:dyDescent="0.4">
      <c r="K385" s="74">
        <v>383</v>
      </c>
      <c r="L385" s="119">
        <v>50.500000000000036</v>
      </c>
      <c r="M385" s="117">
        <v>1616.6689324230913</v>
      </c>
    </row>
    <row r="386" spans="11:13" x14ac:dyDescent="0.4">
      <c r="K386" s="74">
        <v>384</v>
      </c>
      <c r="L386" s="119">
        <v>3.5527136788005009E-14</v>
      </c>
      <c r="M386" s="117">
        <v>1607.6469188285528</v>
      </c>
    </row>
    <row r="387" spans="11:13" x14ac:dyDescent="0.4">
      <c r="K387" s="74">
        <v>385</v>
      </c>
      <c r="L387" s="119">
        <v>40.600000000000037</v>
      </c>
      <c r="M387" s="117">
        <v>1615.0770373155815</v>
      </c>
    </row>
    <row r="388" spans="11:13" x14ac:dyDescent="0.4">
      <c r="K388" s="74">
        <v>386</v>
      </c>
      <c r="L388" s="119">
        <v>51.80000000000004</v>
      </c>
      <c r="M388" s="117">
        <v>1617.1705750916881</v>
      </c>
    </row>
    <row r="389" spans="11:13" x14ac:dyDescent="0.4">
      <c r="K389" s="74">
        <v>387</v>
      </c>
      <c r="L389" s="119">
        <v>4.2632564145606011E-14</v>
      </c>
      <c r="M389" s="117">
        <v>1607.911551641138</v>
      </c>
    </row>
    <row r="390" spans="11:13" x14ac:dyDescent="0.4">
      <c r="K390" s="74">
        <v>388</v>
      </c>
      <c r="L390" s="119">
        <v>-12.199999999999957</v>
      </c>
      <c r="M390" s="117">
        <v>1605.8360823312912</v>
      </c>
    </row>
    <row r="391" spans="11:13" x14ac:dyDescent="0.4">
      <c r="K391" s="74">
        <v>389</v>
      </c>
      <c r="L391" s="119">
        <v>22.500000000000046</v>
      </c>
      <c r="M391" s="117">
        <v>1612.2150658373034</v>
      </c>
    </row>
    <row r="392" spans="11:13" x14ac:dyDescent="0.4">
      <c r="K392" s="74">
        <v>390</v>
      </c>
      <c r="L392" s="119">
        <v>4.6185277824406512E-14</v>
      </c>
      <c r="M392" s="117">
        <v>1608.2597754422795</v>
      </c>
    </row>
    <row r="393" spans="11:13" x14ac:dyDescent="0.4">
      <c r="K393" s="74">
        <v>391</v>
      </c>
      <c r="L393" s="119">
        <v>14.500000000000046</v>
      </c>
      <c r="M393" s="117">
        <v>1610.9822167896259</v>
      </c>
    </row>
    <row r="394" spans="11:13" x14ac:dyDescent="0.4">
      <c r="K394" s="74">
        <v>392</v>
      </c>
      <c r="L394" s="119">
        <v>13.700000000000045</v>
      </c>
      <c r="M394" s="117">
        <v>1610.9343234888881</v>
      </c>
    </row>
    <row r="395" spans="11:13" x14ac:dyDescent="0.4">
      <c r="K395" s="74">
        <v>393</v>
      </c>
      <c r="L395" s="119">
        <v>4.6185277824406512E-14</v>
      </c>
      <c r="M395" s="117">
        <v>1608.5647175479548</v>
      </c>
    </row>
    <row r="396" spans="11:13" x14ac:dyDescent="0.4">
      <c r="K396" s="74">
        <v>394</v>
      </c>
      <c r="L396" s="119">
        <v>-8.6999999999999531</v>
      </c>
      <c r="M396" s="117">
        <v>1607.0313292426672</v>
      </c>
    </row>
    <row r="397" spans="11:13" x14ac:dyDescent="0.4">
      <c r="K397" s="74">
        <v>395</v>
      </c>
      <c r="L397" s="119">
        <v>-32.599999999999952</v>
      </c>
      <c r="M397" s="117">
        <v>1602.7711412672113</v>
      </c>
    </row>
    <row r="398" spans="11:13" x14ac:dyDescent="0.4">
      <c r="K398" s="74">
        <v>396</v>
      </c>
      <c r="L398" s="119">
        <v>4.9737991503207013E-14</v>
      </c>
      <c r="M398" s="117">
        <v>1608.7065144196081</v>
      </c>
    </row>
    <row r="399" spans="11:13" x14ac:dyDescent="0.4">
      <c r="K399" s="74">
        <v>397</v>
      </c>
      <c r="L399" s="119">
        <v>14.50000000000005</v>
      </c>
      <c r="M399" s="117">
        <v>1611.3482753330904</v>
      </c>
    </row>
    <row r="400" spans="11:13" x14ac:dyDescent="0.4">
      <c r="K400" s="74">
        <v>398</v>
      </c>
      <c r="L400" s="119">
        <v>1.8000000000000504</v>
      </c>
      <c r="M400" s="117">
        <v>1609.078185681092</v>
      </c>
    </row>
    <row r="401" spans="11:13" x14ac:dyDescent="0.4">
      <c r="K401" s="74">
        <v>399</v>
      </c>
      <c r="L401" s="119">
        <v>5.0404125317982107E-14</v>
      </c>
      <c r="M401" s="117">
        <v>1608.7837165670055</v>
      </c>
    </row>
  </sheetData>
  <sortState xmlns:xlrd2="http://schemas.microsoft.com/office/spreadsheetml/2017/richdata2" ref="O15:R2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11147-565C-4D89-A18C-D754F64F62B6}">
  <sheetPr codeName="Sheet7"/>
  <dimension ref="A1:R11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126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109</v>
      </c>
      <c r="C2" s="142"/>
      <c r="E2" s="26" t="s">
        <v>66</v>
      </c>
      <c r="F2" s="23" t="s">
        <v>22</v>
      </c>
      <c r="G2" s="11">
        <v>220</v>
      </c>
      <c r="H2" s="87">
        <f>IF(B$20=0,0,G2/B$20)</f>
        <v>0.75085324232081907</v>
      </c>
      <c r="I2" s="57">
        <v>8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843.11926605504584</v>
      </c>
      <c r="Q2" s="76">
        <v>109</v>
      </c>
      <c r="R2" s="63">
        <v>91900</v>
      </c>
    </row>
    <row r="3" spans="1:18" x14ac:dyDescent="0.4">
      <c r="A3" s="19" t="s">
        <v>8</v>
      </c>
      <c r="B3" s="143">
        <v>914</v>
      </c>
      <c r="C3" s="144"/>
      <c r="E3" s="27" t="s">
        <v>72</v>
      </c>
      <c r="F3" s="24" t="s">
        <v>27</v>
      </c>
      <c r="G3" s="12">
        <v>157</v>
      </c>
      <c r="H3" s="88">
        <f>IF(B$20=0,0,G3/B$20)</f>
        <v>0.53583617747440271</v>
      </c>
      <c r="I3" s="58">
        <v>10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-533.01886792452831</v>
      </c>
      <c r="Q3" s="77">
        <v>106</v>
      </c>
      <c r="R3" s="64">
        <v>-56500</v>
      </c>
    </row>
    <row r="4" spans="1:18" x14ac:dyDescent="0.4">
      <c r="A4" s="19" t="s">
        <v>6</v>
      </c>
      <c r="B4" s="145">
        <v>207.7999999999999</v>
      </c>
      <c r="C4" s="146"/>
      <c r="E4" s="27" t="s">
        <v>64</v>
      </c>
      <c r="F4" s="24" t="s">
        <v>20</v>
      </c>
      <c r="G4" s="12">
        <v>121</v>
      </c>
      <c r="H4" s="88">
        <f>IF(B$20=0,0,G4/B$20)</f>
        <v>0.41296928327645049</v>
      </c>
      <c r="I4" s="58">
        <v>9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-944.33962264150944</v>
      </c>
      <c r="Q4" s="77">
        <v>106</v>
      </c>
      <c r="R4" s="64">
        <v>-100100</v>
      </c>
    </row>
    <row r="5" spans="1:18" x14ac:dyDescent="0.4">
      <c r="A5" s="19" t="s">
        <v>7</v>
      </c>
      <c r="B5" s="133">
        <f>IF(B$2=0,0,B$4/B$2)</f>
        <v>1.9064220183486229</v>
      </c>
      <c r="C5" s="134"/>
      <c r="E5" s="27" t="s">
        <v>159</v>
      </c>
      <c r="F5" s="24" t="s">
        <v>160</v>
      </c>
      <c r="G5" s="12">
        <v>110</v>
      </c>
      <c r="H5" s="88">
        <f>IF(B$20=0,0,G5/B$20)</f>
        <v>0.37542662116040953</v>
      </c>
      <c r="I5" s="58">
        <v>9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1134.6534653465346</v>
      </c>
      <c r="Q5" s="77">
        <v>101</v>
      </c>
      <c r="R5" s="64">
        <v>114600</v>
      </c>
    </row>
    <row r="6" spans="1:18" x14ac:dyDescent="0.4">
      <c r="A6" s="19" t="s">
        <v>196</v>
      </c>
      <c r="B6" s="137">
        <v>1765.5828948638314</v>
      </c>
      <c r="C6" s="138"/>
      <c r="E6" s="27" t="s">
        <v>68</v>
      </c>
      <c r="F6" s="24" t="s">
        <v>12</v>
      </c>
      <c r="G6" s="12">
        <v>94</v>
      </c>
      <c r="H6" s="88">
        <f>IF(B$20=0,0,G6/B$20)</f>
        <v>0.32081911262798635</v>
      </c>
      <c r="I6" s="58">
        <v>6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153.2608695652174</v>
      </c>
      <c r="Q6" s="77">
        <v>92</v>
      </c>
      <c r="R6" s="64">
        <v>14100</v>
      </c>
    </row>
    <row r="7" spans="1:18" x14ac:dyDescent="0.4">
      <c r="A7" s="19" t="s">
        <v>1</v>
      </c>
      <c r="B7" s="147">
        <f>IF(B$2=0,0,(B$8*1+B$9*2+B$10*3)/B$2)</f>
        <v>2</v>
      </c>
      <c r="C7" s="148"/>
      <c r="E7" s="27" t="s">
        <v>67</v>
      </c>
      <c r="F7" s="24" t="s">
        <v>23</v>
      </c>
      <c r="G7" s="12">
        <v>61</v>
      </c>
      <c r="H7" s="88">
        <f>IF(B$20=0,0,G7/B$20)</f>
        <v>0.20819112627986347</v>
      </c>
      <c r="I7" s="58">
        <v>10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57.5</v>
      </c>
      <c r="Q7" s="78">
        <v>80</v>
      </c>
      <c r="R7" s="65">
        <v>4600</v>
      </c>
    </row>
    <row r="8" spans="1:18" x14ac:dyDescent="0.4">
      <c r="A8" s="19" t="s">
        <v>2</v>
      </c>
      <c r="B8" s="12">
        <v>36</v>
      </c>
      <c r="C8" s="6">
        <f t="shared" ref="C8:C15" si="1">IF(B$2=0,0,B8/B$2)</f>
        <v>0.33027522935779818</v>
      </c>
      <c r="E8" s="27" t="s">
        <v>69</v>
      </c>
      <c r="F8" s="24" t="s">
        <v>24</v>
      </c>
      <c r="G8" s="12">
        <v>49</v>
      </c>
      <c r="H8" s="88">
        <f>IF(B$20=0,0,G8/B$20)</f>
        <v>0.16723549488054607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">
      <c r="A9" s="19" t="s">
        <v>3</v>
      </c>
      <c r="B9" s="12">
        <v>37</v>
      </c>
      <c r="C9" s="6">
        <f t="shared" si="1"/>
        <v>0.33944954128440369</v>
      </c>
      <c r="E9" s="27" t="s">
        <v>70</v>
      </c>
      <c r="F9" s="24" t="s">
        <v>25</v>
      </c>
      <c r="G9" s="12">
        <v>39</v>
      </c>
      <c r="H9" s="88">
        <f>IF(B$20=0,0,G9/B$20)</f>
        <v>0.13310580204778158</v>
      </c>
      <c r="I9" s="58">
        <v>2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36</v>
      </c>
      <c r="C10" s="7">
        <f t="shared" si="1"/>
        <v>0.33027522935779818</v>
      </c>
      <c r="E10" s="27" t="s">
        <v>89</v>
      </c>
      <c r="F10" s="24" t="s">
        <v>44</v>
      </c>
      <c r="G10" s="12">
        <v>38</v>
      </c>
      <c r="H10" s="88">
        <f>IF(B$20=0,0,G10/B$20)</f>
        <v>0.12969283276450511</v>
      </c>
      <c r="I10" s="58">
        <v>7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8.15</v>
      </c>
      <c r="Q10" s="76">
        <v>38</v>
      </c>
      <c r="R10" s="67">
        <v>309.7</v>
      </c>
    </row>
    <row r="11" spans="1:18" x14ac:dyDescent="0.4">
      <c r="A11" s="20" t="s">
        <v>184</v>
      </c>
      <c r="B11" s="109">
        <f>IF(B8=0,0,C11/B8)</f>
        <v>37.866666666666674</v>
      </c>
      <c r="C11" s="110">
        <v>1363.2000000000003</v>
      </c>
      <c r="E11" s="27" t="s">
        <v>65</v>
      </c>
      <c r="F11" s="24" t="s">
        <v>21</v>
      </c>
      <c r="G11" s="12">
        <v>26</v>
      </c>
      <c r="H11" s="88">
        <f>IF(B$20=0,0,G11/B$20)</f>
        <v>8.8737201365187715E-2</v>
      </c>
      <c r="I11" s="58">
        <v>7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-4.5351351351351354</v>
      </c>
      <c r="Q11" s="77">
        <v>37</v>
      </c>
      <c r="R11" s="68">
        <v>-167.8</v>
      </c>
    </row>
    <row r="12" spans="1:18" x14ac:dyDescent="0.4">
      <c r="A12" s="20" t="s">
        <v>185</v>
      </c>
      <c r="B12" s="109">
        <f>IF(B9=0,0,C12/B9)</f>
        <v>-1.5783783783783782</v>
      </c>
      <c r="C12" s="110">
        <v>-58.399999999999991</v>
      </c>
      <c r="E12" s="27" t="s">
        <v>86</v>
      </c>
      <c r="F12" s="24" t="s">
        <v>41</v>
      </c>
      <c r="G12" s="12">
        <v>18</v>
      </c>
      <c r="H12" s="88">
        <f>IF(B$20=0,0,G12/B$20)</f>
        <v>6.1433447098976107E-2</v>
      </c>
      <c r="I12" s="58">
        <v>3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1.9382352941176482</v>
      </c>
      <c r="Q12" s="78">
        <v>34</v>
      </c>
      <c r="R12" s="69">
        <v>65.900000000000034</v>
      </c>
    </row>
    <row r="13" spans="1:18" x14ac:dyDescent="0.4">
      <c r="A13" s="20" t="s">
        <v>186</v>
      </c>
      <c r="B13" s="109">
        <f>IF(B10=0,0,C13/B10)</f>
        <v>-30.472222222222229</v>
      </c>
      <c r="C13" s="110">
        <v>-1097.0000000000002</v>
      </c>
      <c r="E13" s="27" t="s">
        <v>83</v>
      </c>
      <c r="F13" s="24" t="s">
        <v>38</v>
      </c>
      <c r="G13" s="12">
        <v>14</v>
      </c>
      <c r="H13" s="88">
        <f>IF(B$20=0,0,G13/B$20)</f>
        <v>4.778156996587031E-2</v>
      </c>
      <c r="I13" s="58">
        <v>7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1.9386886886886903</v>
      </c>
      <c r="C14" s="134"/>
      <c r="E14" s="27" t="s">
        <v>71</v>
      </c>
      <c r="F14" s="24" t="s">
        <v>26</v>
      </c>
      <c r="G14" s="12">
        <v>13</v>
      </c>
      <c r="H14" s="88">
        <f>IF(B$20=0,0,G14/B$20)</f>
        <v>4.4368600682593858E-2</v>
      </c>
      <c r="I14" s="58">
        <v>9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8</v>
      </c>
      <c r="C15" s="9">
        <f t="shared" si="1"/>
        <v>7.3394495412844041E-2</v>
      </c>
      <c r="E15" s="27" t="s">
        <v>155</v>
      </c>
      <c r="F15" s="24" t="s">
        <v>156</v>
      </c>
      <c r="G15" s="12">
        <v>12</v>
      </c>
      <c r="H15" s="88">
        <f>IF(B$20=0,0,G15/B$20)</f>
        <v>4.0955631399317405E-2</v>
      </c>
      <c r="I15" s="58">
        <v>1</v>
      </c>
      <c r="K15" s="74">
        <v>13</v>
      </c>
      <c r="L15" s="119">
        <v>236</v>
      </c>
      <c r="M15" s="117">
        <v>1865.6935040107483</v>
      </c>
      <c r="O15" s="73" t="s">
        <v>259</v>
      </c>
      <c r="P15" s="82">
        <f>IF(Q15=0,0,R15/Q15)</f>
        <v>56.1</v>
      </c>
      <c r="Q15" s="76">
        <v>2</v>
      </c>
      <c r="R15" s="67">
        <v>112.2</v>
      </c>
    </row>
    <row r="16" spans="1:18" x14ac:dyDescent="0.4">
      <c r="A16" s="22" t="s">
        <v>121</v>
      </c>
      <c r="B16" s="15">
        <v>225</v>
      </c>
      <c r="C16" s="10">
        <f>IF(B$3=0,0,B16/B$3)</f>
        <v>0.24617067833698031</v>
      </c>
      <c r="E16" s="27" t="s">
        <v>78</v>
      </c>
      <c r="F16" s="24" t="s">
        <v>33</v>
      </c>
      <c r="G16" s="12">
        <v>8</v>
      </c>
      <c r="H16" s="88">
        <f>IF(B$20=0,0,G16/B$20)</f>
        <v>2.7303754266211604E-2</v>
      </c>
      <c r="I16" s="58">
        <v>8</v>
      </c>
      <c r="K16" s="74">
        <v>14</v>
      </c>
      <c r="L16" s="119">
        <v>222</v>
      </c>
      <c r="M16" s="117">
        <v>1861.6993429866839</v>
      </c>
      <c r="O16" s="74" t="s">
        <v>201</v>
      </c>
      <c r="P16" s="83">
        <f>IF(Q16=0,0,R16/Q16)</f>
        <v>37.200000000000003</v>
      </c>
      <c r="Q16" s="77">
        <v>4</v>
      </c>
      <c r="R16" s="68">
        <v>148.80000000000001</v>
      </c>
    </row>
    <row r="17" spans="1:18" x14ac:dyDescent="0.4">
      <c r="A17" s="19" t="s">
        <v>118</v>
      </c>
      <c r="B17" s="12">
        <v>193</v>
      </c>
      <c r="C17" s="6">
        <f>IF(B$3=0,0,B17/B$3)</f>
        <v>0.21115973741794311</v>
      </c>
      <c r="E17" s="27" t="s">
        <v>91</v>
      </c>
      <c r="F17" s="24" t="s">
        <v>46</v>
      </c>
      <c r="G17" s="12">
        <v>8</v>
      </c>
      <c r="H17" s="88">
        <f>IF(B$20=0,0,G17/B$20)</f>
        <v>2.7303754266211604E-2</v>
      </c>
      <c r="I17" s="58">
        <v>2</v>
      </c>
      <c r="K17" s="74">
        <v>15</v>
      </c>
      <c r="L17" s="119">
        <v>190.9</v>
      </c>
      <c r="M17" s="117">
        <v>1854.6511469287639</v>
      </c>
      <c r="O17" s="74" t="s">
        <v>193</v>
      </c>
      <c r="P17" s="83">
        <f>IF(Q17=0,0,R17/Q17)</f>
        <v>28.9</v>
      </c>
      <c r="Q17" s="77">
        <v>2</v>
      </c>
      <c r="R17" s="68">
        <v>57.8</v>
      </c>
    </row>
    <row r="18" spans="1:18" x14ac:dyDescent="0.4">
      <c r="A18" s="18" t="s">
        <v>123</v>
      </c>
      <c r="B18" s="11">
        <f>B24</f>
        <v>130</v>
      </c>
      <c r="C18" s="5">
        <f>IF(B$16=0,0,B18/B$16)</f>
        <v>0.57777777777777772</v>
      </c>
      <c r="E18" s="27" t="s">
        <v>79</v>
      </c>
      <c r="F18" s="24" t="s">
        <v>34</v>
      </c>
      <c r="G18" s="12">
        <v>5</v>
      </c>
      <c r="H18" s="88">
        <f>IF(B$20=0,0,G18/B$20)</f>
        <v>1.7064846416382253E-2</v>
      </c>
      <c r="I18" s="58">
        <v>4</v>
      </c>
      <c r="K18" s="74">
        <v>16</v>
      </c>
      <c r="L18" s="119">
        <v>164.20000000000002</v>
      </c>
      <c r="M18" s="117">
        <v>1848.4372400471914</v>
      </c>
      <c r="O18" s="74" t="s">
        <v>216</v>
      </c>
      <c r="P18" s="83">
        <f>IF(Q18=0,0,R18/Q18)</f>
        <v>11.879999999999999</v>
      </c>
      <c r="Q18" s="77">
        <v>10</v>
      </c>
      <c r="R18" s="68">
        <v>118.79999999999998</v>
      </c>
    </row>
    <row r="19" spans="1:18" x14ac:dyDescent="0.4">
      <c r="A19" s="18" t="s">
        <v>124</v>
      </c>
      <c r="B19" s="11">
        <f>B25</f>
        <v>87</v>
      </c>
      <c r="C19" s="5">
        <f>IF(B$17=0,0,B19/B$17)</f>
        <v>0.45077720207253885</v>
      </c>
      <c r="E19" s="27" t="s">
        <v>81</v>
      </c>
      <c r="F19" s="24" t="s">
        <v>36</v>
      </c>
      <c r="G19" s="12">
        <v>5</v>
      </c>
      <c r="H19" s="88">
        <f>IF(B$20=0,0,G19/B$20)</f>
        <v>1.7064846416382253E-2</v>
      </c>
      <c r="I19" s="58">
        <v>12</v>
      </c>
      <c r="K19" s="74">
        <v>17</v>
      </c>
      <c r="L19" s="119">
        <v>164.3</v>
      </c>
      <c r="M19" s="117">
        <v>1846.8986166069083</v>
      </c>
      <c r="O19" s="74" t="s">
        <v>163</v>
      </c>
      <c r="P19" s="83">
        <f>IF(Q19=0,0,R19/Q19)</f>
        <v>4.3916666666666675</v>
      </c>
      <c r="Q19" s="77">
        <v>60</v>
      </c>
      <c r="R19" s="68">
        <v>263.50000000000006</v>
      </c>
    </row>
    <row r="20" spans="1:18" x14ac:dyDescent="0.4">
      <c r="A20" s="18" t="s">
        <v>10</v>
      </c>
      <c r="B20" s="11">
        <f>B23+B22</f>
        <v>293</v>
      </c>
      <c r="C20" s="5">
        <f>IF(B$3=0,0,B20/B$3)</f>
        <v>0.32056892778993434</v>
      </c>
      <c r="E20" s="27" t="s">
        <v>73</v>
      </c>
      <c r="F20" s="24" t="s">
        <v>28</v>
      </c>
      <c r="G20" s="12">
        <v>3</v>
      </c>
      <c r="H20" s="88">
        <f>IF(B$20=0,0,G20/B$20)</f>
        <v>1.0238907849829351E-2</v>
      </c>
      <c r="I20" s="58">
        <v>3</v>
      </c>
      <c r="K20" s="74">
        <v>18</v>
      </c>
      <c r="L20" s="119">
        <v>188.9</v>
      </c>
      <c r="M20" s="117">
        <v>1849.7792249072668</v>
      </c>
      <c r="O20" s="74" t="s">
        <v>189</v>
      </c>
      <c r="P20" s="83">
        <f>IF(Q20=0,0,R20/Q20)</f>
        <v>2.3897435897435892</v>
      </c>
      <c r="Q20" s="77">
        <v>39</v>
      </c>
      <c r="R20" s="68">
        <v>93.199999999999989</v>
      </c>
    </row>
    <row r="21" spans="1:18" x14ac:dyDescent="0.4">
      <c r="A21" s="19" t="s">
        <v>13</v>
      </c>
      <c r="B21" s="12">
        <v>160</v>
      </c>
      <c r="C21" s="6">
        <f>IF(B$3=0,0,B21/B$3)</f>
        <v>0.17505470459518599</v>
      </c>
      <c r="E21" s="27" t="s">
        <v>75</v>
      </c>
      <c r="F21" s="24" t="s">
        <v>30</v>
      </c>
      <c r="G21" s="12">
        <v>2</v>
      </c>
      <c r="H21" s="88">
        <f>IF(B$20=0,0,G21/B$20)</f>
        <v>6.8259385665529011E-3</v>
      </c>
      <c r="I21" s="58">
        <v>3</v>
      </c>
      <c r="K21" s="74">
        <v>19</v>
      </c>
      <c r="L21" s="119">
        <v>174.6</v>
      </c>
      <c r="M21" s="117">
        <v>1845.7365495578231</v>
      </c>
      <c r="O21" s="74" t="s">
        <v>211</v>
      </c>
      <c r="P21" s="83">
        <f>IF(Q21=0,0,R21/Q21)</f>
        <v>1.04</v>
      </c>
      <c r="Q21" s="77">
        <v>25</v>
      </c>
      <c r="R21" s="68">
        <v>26</v>
      </c>
    </row>
    <row r="22" spans="1:18" x14ac:dyDescent="0.4">
      <c r="A22" s="19" t="s">
        <v>12</v>
      </c>
      <c r="B22" s="12">
        <v>140</v>
      </c>
      <c r="C22" s="6">
        <f>IF(B$20=0,0,B22/B$20)</f>
        <v>0.47781569965870307</v>
      </c>
      <c r="E22" s="27" t="s">
        <v>85</v>
      </c>
      <c r="F22" s="24" t="s">
        <v>40</v>
      </c>
      <c r="G22" s="12">
        <v>2</v>
      </c>
      <c r="H22" s="88">
        <f>IF(B$20=0,0,G22/B$20)</f>
        <v>6.8259385665529011E-3</v>
      </c>
      <c r="I22" s="58">
        <v>2</v>
      </c>
      <c r="K22" s="74">
        <v>20</v>
      </c>
      <c r="L22" s="119">
        <v>154.5</v>
      </c>
      <c r="M22" s="117">
        <v>1840.6741302604762</v>
      </c>
      <c r="O22" s="74" t="s">
        <v>190</v>
      </c>
      <c r="P22" s="83">
        <f>IF(Q22=0,0,R22/Q22)</f>
        <v>-0.33928571428571352</v>
      </c>
      <c r="Q22" s="77">
        <v>28</v>
      </c>
      <c r="R22" s="68">
        <v>-9.4999999999999787</v>
      </c>
    </row>
    <row r="23" spans="1:18" x14ac:dyDescent="0.4">
      <c r="A23" s="19" t="s">
        <v>11</v>
      </c>
      <c r="B23" s="12">
        <v>153</v>
      </c>
      <c r="C23" s="6">
        <f>IF(B$20=0,0,B23/B$20)</f>
        <v>0.52218430034129693</v>
      </c>
      <c r="E23" s="27" t="s">
        <v>80</v>
      </c>
      <c r="F23" s="24" t="s">
        <v>35</v>
      </c>
      <c r="G23" s="12">
        <v>1</v>
      </c>
      <c r="H23" s="88">
        <f>IF(B$20=0,0,G23/B$20)</f>
        <v>3.4129692832764505E-3</v>
      </c>
      <c r="I23" s="58">
        <v>1</v>
      </c>
      <c r="K23" s="74">
        <v>21</v>
      </c>
      <c r="L23" s="119">
        <v>131</v>
      </c>
      <c r="M23" s="117">
        <v>1835.0300854789134</v>
      </c>
      <c r="O23" s="74" t="s">
        <v>192</v>
      </c>
      <c r="P23" s="83">
        <f>IF(Q23=0,0,R23/Q23)</f>
        <v>-3.7341463414634157</v>
      </c>
      <c r="Q23" s="77">
        <v>41</v>
      </c>
      <c r="R23" s="68">
        <v>-153.10000000000005</v>
      </c>
    </row>
    <row r="24" spans="1:18" x14ac:dyDescent="0.4">
      <c r="A24" s="19" t="s">
        <v>183</v>
      </c>
      <c r="B24" s="12">
        <v>130</v>
      </c>
      <c r="C24" s="6">
        <f>IF(B$20=0,0,B24/B$20)</f>
        <v>0.44368600682593856</v>
      </c>
      <c r="E24" s="27" t="s">
        <v>84</v>
      </c>
      <c r="F24" s="24" t="s">
        <v>39</v>
      </c>
      <c r="G24" s="12">
        <v>1</v>
      </c>
      <c r="H24" s="88">
        <f>IF(B$20=0,0,G24/B$20)</f>
        <v>3.4129692832764505E-3</v>
      </c>
      <c r="I24" s="58">
        <v>1</v>
      </c>
      <c r="K24" s="74">
        <v>22</v>
      </c>
      <c r="L24" s="119">
        <v>106.3</v>
      </c>
      <c r="M24" s="117">
        <v>1829.4799049660398</v>
      </c>
      <c r="O24" s="74" t="s">
        <v>195</v>
      </c>
      <c r="P24" s="83">
        <f>IF(Q24=0,0,R24/Q24)</f>
        <v>-4.8999999999999986</v>
      </c>
      <c r="Q24" s="77">
        <v>7</v>
      </c>
      <c r="R24" s="68">
        <v>-34.29999999999999</v>
      </c>
    </row>
    <row r="25" spans="1:18" x14ac:dyDescent="0.4">
      <c r="A25" s="19" t="s">
        <v>181</v>
      </c>
      <c r="B25" s="12">
        <v>87</v>
      </c>
      <c r="C25" s="6">
        <f>IF(B$20=0,0,B25/B$20)</f>
        <v>0.29692832764505117</v>
      </c>
      <c r="E25" s="27" t="s">
        <v>88</v>
      </c>
      <c r="F25" s="24" t="s">
        <v>43</v>
      </c>
      <c r="G25" s="12">
        <v>1</v>
      </c>
      <c r="H25" s="88">
        <f>IF(B$20=0,0,G25/B$20)</f>
        <v>3.4129692832764505E-3</v>
      </c>
      <c r="I25" s="58">
        <v>5</v>
      </c>
      <c r="K25" s="74">
        <v>23</v>
      </c>
      <c r="L25" s="119">
        <v>119.39999999999999</v>
      </c>
      <c r="M25" s="117">
        <v>1830.7670255362436</v>
      </c>
    </row>
    <row r="26" spans="1:18" x14ac:dyDescent="0.4">
      <c r="A26" s="19" t="s">
        <v>182</v>
      </c>
      <c r="B26" s="12">
        <v>76</v>
      </c>
      <c r="C26" s="6">
        <f>IF(B$20=0,0,B26/B$20)</f>
        <v>0.25938566552901021</v>
      </c>
      <c r="E26" s="27" t="s">
        <v>90</v>
      </c>
      <c r="F26" s="24" t="s">
        <v>45</v>
      </c>
      <c r="G26" s="12">
        <v>1</v>
      </c>
      <c r="H26" s="88">
        <f>IF(B$20=0,0,G26/B$20)</f>
        <v>3.4129692832764505E-3</v>
      </c>
      <c r="I26" s="58">
        <v>1</v>
      </c>
      <c r="K26" s="74">
        <v>24</v>
      </c>
      <c r="L26" s="119">
        <v>111.19999999999999</v>
      </c>
      <c r="M26" s="117">
        <v>1828.2124233830261</v>
      </c>
    </row>
    <row r="27" spans="1:18" x14ac:dyDescent="0.4">
      <c r="A27" s="19" t="s">
        <v>5</v>
      </c>
      <c r="B27" s="16">
        <f>IF(B$20=0,0,C27/B$20)</f>
        <v>8197.9522184300349</v>
      </c>
      <c r="C27" s="8">
        <v>2402000</v>
      </c>
      <c r="E27" s="27" t="s">
        <v>92</v>
      </c>
      <c r="F27" s="24" t="s">
        <v>47</v>
      </c>
      <c r="G27" s="12">
        <v>1</v>
      </c>
      <c r="H27" s="88">
        <f>IF(B$20=0,0,G27/B$20)</f>
        <v>3.4129692832764505E-3</v>
      </c>
      <c r="I27" s="58">
        <v>3</v>
      </c>
      <c r="K27" s="74">
        <v>25</v>
      </c>
      <c r="L27" s="119">
        <v>157.69999999999999</v>
      </c>
      <c r="M27" s="117">
        <v>1835.351148842728</v>
      </c>
    </row>
    <row r="28" spans="1:18" x14ac:dyDescent="0.4">
      <c r="A28" s="20" t="s">
        <v>165</v>
      </c>
      <c r="B28" s="95">
        <f>IF($B$20-B$19=0,0,C28/($B$20-B$19))</f>
        <v>8500</v>
      </c>
      <c r="C28" s="96">
        <v>1751000</v>
      </c>
      <c r="E28" s="27" t="s">
        <v>74</v>
      </c>
      <c r="F28" s="24" t="s">
        <v>29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">
      <c r="A29" s="20" t="s">
        <v>166</v>
      </c>
      <c r="B29" s="95">
        <f>IF(B$19=0,0,C29/B$19)</f>
        <v>7482.7586206896549</v>
      </c>
      <c r="C29" s="96">
        <v>651000</v>
      </c>
      <c r="E29" s="27" t="s">
        <v>76</v>
      </c>
      <c r="F29" s="24" t="s">
        <v>31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">
      <c r="A30" s="20" t="s">
        <v>164</v>
      </c>
      <c r="B30" s="95">
        <f>IF(B$21=0,0,C30/B$21)</f>
        <v>-7257.5</v>
      </c>
      <c r="C30" s="96">
        <v>-1161200</v>
      </c>
      <c r="E30" s="27" t="s">
        <v>77</v>
      </c>
      <c r="F30" s="24" t="s">
        <v>32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183.9</v>
      </c>
      <c r="M30" s="117">
        <v>1835.7649545477857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82</v>
      </c>
      <c r="F31" s="24" t="s">
        <v>37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179.3</v>
      </c>
      <c r="M31" s="117">
        <v>1833.780364820499</v>
      </c>
    </row>
    <row r="32" spans="1:18" x14ac:dyDescent="0.4">
      <c r="A32" s="19" t="s">
        <v>158</v>
      </c>
      <c r="B32" s="12">
        <v>20</v>
      </c>
      <c r="C32" s="90">
        <v>7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">
      <c r="A33" s="54" t="s">
        <v>136</v>
      </c>
      <c r="B33" s="135">
        <v>6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213.3</v>
      </c>
      <c r="M33" s="117">
        <v>1837.8107325357864</v>
      </c>
    </row>
    <row r="34" spans="1:13" x14ac:dyDescent="0.4">
      <c r="A34" s="22" t="s">
        <v>180</v>
      </c>
      <c r="B34" s="137">
        <v>103000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">
      <c r="A35" s="21" t="s">
        <v>137</v>
      </c>
      <c r="B35" s="29">
        <v>1</v>
      </c>
      <c r="C35" s="9">
        <f>IF(B$3=0,0,B35/B$3)</f>
        <v>1.0940919037199124E-3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">
      <c r="A37" s="54" t="s">
        <v>171</v>
      </c>
      <c r="B37" s="123">
        <v>17</v>
      </c>
      <c r="C37" s="98">
        <f t="shared" ref="C37:C49" si="2">IF(B$20=0,0,B37/B$20)</f>
        <v>5.8020477815699661E-2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">
      <c r="A38" s="19" t="s">
        <v>167</v>
      </c>
      <c r="B38" s="12">
        <v>57</v>
      </c>
      <c r="C38" s="6">
        <f t="shared" si="2"/>
        <v>0.19453924914675769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">
      <c r="A39" s="19" t="s">
        <v>168</v>
      </c>
      <c r="B39" s="124">
        <v>59</v>
      </c>
      <c r="C39" s="6">
        <f t="shared" si="2"/>
        <v>0.20136518771331058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">
      <c r="A40" s="19" t="s">
        <v>169</v>
      </c>
      <c r="B40" s="124">
        <v>55</v>
      </c>
      <c r="C40" s="6">
        <f t="shared" si="2"/>
        <v>0.18771331058020477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">
      <c r="A41" s="19" t="s">
        <v>170</v>
      </c>
      <c r="B41" s="124">
        <v>43</v>
      </c>
      <c r="C41" s="6">
        <f t="shared" si="2"/>
        <v>0.14675767918088736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">
      <c r="A42" s="19" t="s">
        <v>172</v>
      </c>
      <c r="B42" s="124">
        <v>36</v>
      </c>
      <c r="C42" s="6">
        <f t="shared" si="2"/>
        <v>0.12286689419795221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">
      <c r="A43" s="19" t="s">
        <v>173</v>
      </c>
      <c r="B43" s="124">
        <v>10</v>
      </c>
      <c r="C43" s="6">
        <f t="shared" si="2"/>
        <v>3.4129692832764506E-2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">
      <c r="A44" s="19" t="s">
        <v>174</v>
      </c>
      <c r="B44" s="124">
        <v>6</v>
      </c>
      <c r="C44" s="6">
        <f t="shared" si="2"/>
        <v>2.0477815699658702E-2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">
      <c r="A45" s="19" t="s">
        <v>175</v>
      </c>
      <c r="B45" s="124">
        <v>5</v>
      </c>
      <c r="C45" s="6">
        <f t="shared" si="2"/>
        <v>1.7064846416382253E-2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">
      <c r="A46" s="19" t="s">
        <v>176</v>
      </c>
      <c r="B46" s="124">
        <v>2</v>
      </c>
      <c r="C46" s="6">
        <f t="shared" si="2"/>
        <v>6.8259385665529011E-3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117.99999999999997</v>
      </c>
      <c r="M46" s="117">
        <v>1805.5187097904541</v>
      </c>
    </row>
    <row r="47" spans="1:13" x14ac:dyDescent="0.4">
      <c r="A47" s="19" t="s">
        <v>177</v>
      </c>
      <c r="B47" s="124">
        <v>1</v>
      </c>
      <c r="C47" s="6">
        <f t="shared" si="2"/>
        <v>3.4129692832764505E-3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">
      <c r="A48" s="19" t="s">
        <v>178</v>
      </c>
      <c r="B48" s="124">
        <v>1</v>
      </c>
      <c r="C48" s="6">
        <f t="shared" si="2"/>
        <v>3.4129692832764505E-3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">
      <c r="A49" s="21" t="s">
        <v>179</v>
      </c>
      <c r="B49" s="97">
        <v>1</v>
      </c>
      <c r="C49" s="9">
        <f t="shared" si="2"/>
        <v>3.4129692832764505E-3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">
      <c r="K53" s="74">
        <v>51</v>
      </c>
      <c r="L53" s="119">
        <v>68.399999999999963</v>
      </c>
      <c r="M53" s="117">
        <v>1788.8356828322449</v>
      </c>
    </row>
    <row r="54" spans="1:13" x14ac:dyDescent="0.4">
      <c r="K54" s="74">
        <v>52</v>
      </c>
      <c r="L54" s="119">
        <v>22.599999999999966</v>
      </c>
      <c r="M54" s="117">
        <v>1779.6206687352515</v>
      </c>
    </row>
    <row r="55" spans="1:13" x14ac:dyDescent="0.4">
      <c r="K55" s="74">
        <v>53</v>
      </c>
      <c r="L55" s="119">
        <v>53.599999999999966</v>
      </c>
      <c r="M55" s="117">
        <v>1784.28494472284</v>
      </c>
    </row>
    <row r="56" spans="1:13" x14ac:dyDescent="0.4">
      <c r="K56" s="74">
        <v>54</v>
      </c>
      <c r="L56" s="119">
        <v>31.899999999999967</v>
      </c>
      <c r="M56" s="117">
        <v>1779.327235054503</v>
      </c>
    </row>
    <row r="57" spans="1:13" x14ac:dyDescent="0.4">
      <c r="K57" s="74">
        <v>55</v>
      </c>
      <c r="L57" s="119">
        <v>-8.8000000000000362</v>
      </c>
      <c r="M57" s="117">
        <v>1770.9792716441759</v>
      </c>
    </row>
    <row r="58" spans="1:13" x14ac:dyDescent="0.4">
      <c r="K58" s="74">
        <v>56</v>
      </c>
      <c r="L58" s="119">
        <v>-34.500000000000036</v>
      </c>
      <c r="M58" s="117">
        <v>1765.2973960143108</v>
      </c>
    </row>
    <row r="59" spans="1:13" x14ac:dyDescent="0.4">
      <c r="K59" s="74">
        <v>57</v>
      </c>
      <c r="L59" s="119">
        <v>-74.30000000000004</v>
      </c>
      <c r="M59" s="117">
        <v>1757.111611638225</v>
      </c>
    </row>
    <row r="60" spans="1:13" x14ac:dyDescent="0.4">
      <c r="K60" s="74">
        <v>58</v>
      </c>
      <c r="L60" s="119">
        <v>-72.700000000000045</v>
      </c>
      <c r="M60" s="117">
        <v>1756.4389419683957</v>
      </c>
    </row>
    <row r="61" spans="1:13" x14ac:dyDescent="0.4">
      <c r="K61" s="74">
        <v>59</v>
      </c>
      <c r="L61" s="119">
        <v>-36.500000000000043</v>
      </c>
      <c r="M61" s="117">
        <v>1762.2443083165854</v>
      </c>
    </row>
    <row r="62" spans="1:13" x14ac:dyDescent="0.4">
      <c r="K62" s="74">
        <v>60</v>
      </c>
      <c r="L62" s="119">
        <v>-35.900000000000041</v>
      </c>
      <c r="M62" s="117">
        <v>1761.414842466686</v>
      </c>
    </row>
    <row r="63" spans="1:13" x14ac:dyDescent="0.4">
      <c r="K63" s="74">
        <v>61</v>
      </c>
      <c r="L63" s="119">
        <v>-0.40000000000004121</v>
      </c>
      <c r="M63" s="117">
        <v>1766.8723534118858</v>
      </c>
    </row>
    <row r="64" spans="1:13" x14ac:dyDescent="0.4">
      <c r="K64" s="74">
        <v>62</v>
      </c>
      <c r="L64" s="119">
        <v>-18.100000000000041</v>
      </c>
      <c r="M64" s="117">
        <v>1762.9251192914144</v>
      </c>
    </row>
    <row r="65" spans="11:13" x14ac:dyDescent="0.4">
      <c r="K65" s="74">
        <v>63</v>
      </c>
      <c r="L65" s="119">
        <v>-40.80000000000004</v>
      </c>
      <c r="M65" s="117">
        <v>1758.1015685756659</v>
      </c>
    </row>
    <row r="66" spans="11:13" x14ac:dyDescent="0.4">
      <c r="K66" s="74">
        <v>64</v>
      </c>
      <c r="L66" s="119">
        <v>-18.600000000000041</v>
      </c>
      <c r="M66" s="117">
        <v>1761.3829591642118</v>
      </c>
    </row>
    <row r="67" spans="11:13" x14ac:dyDescent="0.4">
      <c r="K67" s="74">
        <v>65</v>
      </c>
      <c r="L67" s="119">
        <v>-71.500000000000043</v>
      </c>
      <c r="M67" s="117">
        <v>1751.1326614092266</v>
      </c>
    </row>
    <row r="68" spans="11:13" x14ac:dyDescent="0.4">
      <c r="K68" s="74">
        <v>66</v>
      </c>
      <c r="L68" s="119">
        <v>-97.500000000000043</v>
      </c>
      <c r="M68" s="117">
        <v>1745.7738654407713</v>
      </c>
    </row>
    <row r="69" spans="11:13" x14ac:dyDescent="0.4">
      <c r="K69" s="74">
        <v>67</v>
      </c>
      <c r="L69" s="119">
        <v>-93.30000000000004</v>
      </c>
      <c r="M69" s="117">
        <v>1745.8832222481267</v>
      </c>
    </row>
    <row r="70" spans="11:13" x14ac:dyDescent="0.4">
      <c r="K70" s="74">
        <v>68</v>
      </c>
      <c r="L70" s="119">
        <v>-53.400000000000041</v>
      </c>
      <c r="M70" s="117">
        <v>1752.417922914638</v>
      </c>
    </row>
    <row r="71" spans="11:13" x14ac:dyDescent="0.4">
      <c r="K71" s="74">
        <v>69</v>
      </c>
      <c r="L71" s="119">
        <v>-38.000000000000043</v>
      </c>
      <c r="M71" s="117">
        <v>1754.3774153771501</v>
      </c>
    </row>
    <row r="72" spans="11:13" x14ac:dyDescent="0.4">
      <c r="K72" s="74">
        <v>70</v>
      </c>
      <c r="L72" s="119">
        <v>-20.200000000000042</v>
      </c>
      <c r="M72" s="117">
        <v>1756.7571508848871</v>
      </c>
    </row>
    <row r="73" spans="11:13" x14ac:dyDescent="0.4">
      <c r="K73" s="74">
        <v>71</v>
      </c>
      <c r="L73" s="119">
        <v>-31.700000000000042</v>
      </c>
      <c r="M73" s="117">
        <v>1754.1066079795778</v>
      </c>
    </row>
    <row r="74" spans="11:13" x14ac:dyDescent="0.4">
      <c r="K74" s="74">
        <v>72</v>
      </c>
      <c r="L74" s="119">
        <v>18.699999999999957</v>
      </c>
      <c r="M74" s="117">
        <v>1762.6139683317003</v>
      </c>
    </row>
    <row r="75" spans="11:13" x14ac:dyDescent="0.4">
      <c r="K75" s="74">
        <v>73</v>
      </c>
      <c r="L75" s="119">
        <v>11.799999999999956</v>
      </c>
      <c r="M75" s="117">
        <v>1760.4202845217101</v>
      </c>
    </row>
    <row r="76" spans="11:13" x14ac:dyDescent="0.4">
      <c r="K76" s="74">
        <v>74</v>
      </c>
      <c r="L76" s="119">
        <v>-7.5000000000000444</v>
      </c>
      <c r="M76" s="117">
        <v>1755.8697628145799</v>
      </c>
    </row>
    <row r="77" spans="11:13" x14ac:dyDescent="0.4">
      <c r="K77" s="74">
        <v>75</v>
      </c>
      <c r="L77" s="119">
        <v>28.799999999999955</v>
      </c>
      <c r="M77" s="117">
        <v>1761.5645442376924</v>
      </c>
    </row>
    <row r="78" spans="11:13" x14ac:dyDescent="0.4">
      <c r="K78" s="74">
        <v>76</v>
      </c>
      <c r="L78" s="119">
        <v>50.799999999999955</v>
      </c>
      <c r="M78" s="117">
        <v>1764.6511569722663</v>
      </c>
    </row>
    <row r="79" spans="11:13" x14ac:dyDescent="0.4">
      <c r="K79" s="74">
        <v>77</v>
      </c>
      <c r="L79" s="119">
        <v>63.099999999999952</v>
      </c>
      <c r="M79" s="117">
        <v>1765.9072500304328</v>
      </c>
    </row>
    <row r="80" spans="11:13" x14ac:dyDescent="0.4">
      <c r="K80" s="74">
        <v>78</v>
      </c>
      <c r="L80" s="119">
        <v>126.09999999999995</v>
      </c>
      <c r="M80" s="117">
        <v>1776.4438065302502</v>
      </c>
    </row>
    <row r="81" spans="11:13" x14ac:dyDescent="0.4">
      <c r="K81" s="74">
        <v>79</v>
      </c>
      <c r="L81" s="119">
        <v>109.39999999999995</v>
      </c>
      <c r="M81" s="117">
        <v>1772.2051436910688</v>
      </c>
    </row>
    <row r="82" spans="11:13" x14ac:dyDescent="0.4">
      <c r="K82" s="74">
        <v>80</v>
      </c>
      <c r="L82" s="119">
        <v>49.99999999999995</v>
      </c>
      <c r="M82" s="117">
        <v>1760.4079128289225</v>
      </c>
    </row>
    <row r="83" spans="11:13" x14ac:dyDescent="0.4">
      <c r="K83" s="74">
        <v>81</v>
      </c>
      <c r="L83" s="119">
        <v>105.59999999999995</v>
      </c>
      <c r="M83" s="117">
        <v>1769.6154653519488</v>
      </c>
    </row>
    <row r="84" spans="11:13" x14ac:dyDescent="0.4">
      <c r="K84" s="74">
        <v>82</v>
      </c>
      <c r="L84" s="119">
        <v>157.09999999999997</v>
      </c>
      <c r="M84" s="117">
        <v>1778.0357725598371</v>
      </c>
    </row>
    <row r="85" spans="11:13" x14ac:dyDescent="0.4">
      <c r="K85" s="74">
        <v>83</v>
      </c>
      <c r="L85" s="119">
        <v>102.69999999999996</v>
      </c>
      <c r="M85" s="117">
        <v>1767.5055579244781</v>
      </c>
    </row>
    <row r="86" spans="11:13" x14ac:dyDescent="0.4">
      <c r="K86" s="74">
        <v>84</v>
      </c>
      <c r="L86" s="119">
        <v>102.99999999999996</v>
      </c>
      <c r="M86" s="117">
        <v>1766.8845245769312</v>
      </c>
    </row>
    <row r="87" spans="11:13" x14ac:dyDescent="0.4">
      <c r="K87" s="74">
        <v>85</v>
      </c>
      <c r="L87" s="119">
        <v>160.49999999999994</v>
      </c>
      <c r="M87" s="117">
        <v>1776.4732174294695</v>
      </c>
    </row>
    <row r="88" spans="11:13" x14ac:dyDescent="0.4">
      <c r="K88" s="74">
        <v>86</v>
      </c>
      <c r="L88" s="119">
        <v>149.39999999999995</v>
      </c>
      <c r="M88" s="117">
        <v>1773.6563781248926</v>
      </c>
    </row>
    <row r="89" spans="11:13" x14ac:dyDescent="0.4">
      <c r="K89" s="74">
        <v>87</v>
      </c>
      <c r="L89" s="119">
        <v>115.59999999999995</v>
      </c>
      <c r="M89" s="117">
        <v>1766.7644398561433</v>
      </c>
    </row>
    <row r="90" spans="11:13" x14ac:dyDescent="0.4">
      <c r="K90" s="74">
        <v>88</v>
      </c>
      <c r="L90" s="119">
        <v>113.19999999999995</v>
      </c>
      <c r="M90" s="117">
        <v>1765.5658532170064</v>
      </c>
    </row>
    <row r="91" spans="11:13" x14ac:dyDescent="0.4">
      <c r="K91" s="74">
        <v>89</v>
      </c>
      <c r="L91" s="119">
        <v>128.69999999999993</v>
      </c>
      <c r="M91" s="117">
        <v>1767.5964580977043</v>
      </c>
    </row>
    <row r="92" spans="11:13" x14ac:dyDescent="0.4">
      <c r="K92" s="74">
        <v>90</v>
      </c>
      <c r="L92" s="119">
        <v>122.49999999999993</v>
      </c>
      <c r="M92" s="117">
        <v>1765.5948793491179</v>
      </c>
    </row>
    <row r="93" spans="11:13" x14ac:dyDescent="0.4">
      <c r="K93" s="74">
        <v>91</v>
      </c>
      <c r="L93" s="119">
        <v>169.09999999999994</v>
      </c>
      <c r="M93" s="117">
        <v>1773.1093100730232</v>
      </c>
    </row>
    <row r="94" spans="11:13" x14ac:dyDescent="0.4">
      <c r="K94" s="74">
        <v>92</v>
      </c>
      <c r="L94" s="119">
        <v>196.59999999999994</v>
      </c>
      <c r="M94" s="117">
        <v>1777.230654212585</v>
      </c>
    </row>
    <row r="95" spans="11:13" x14ac:dyDescent="0.4">
      <c r="K95" s="74">
        <v>93</v>
      </c>
      <c r="L95" s="119">
        <v>224.49999999999994</v>
      </c>
      <c r="M95" s="117">
        <v>1781.3932702873094</v>
      </c>
    </row>
    <row r="96" spans="11:13" x14ac:dyDescent="0.4">
      <c r="K96" s="74">
        <v>94</v>
      </c>
      <c r="L96" s="119">
        <v>232.69999999999993</v>
      </c>
      <c r="M96" s="117">
        <v>1781.9189106655856</v>
      </c>
    </row>
    <row r="97" spans="11:13" x14ac:dyDescent="0.4">
      <c r="K97" s="74">
        <v>95</v>
      </c>
      <c r="L97" s="119">
        <v>211.19999999999993</v>
      </c>
      <c r="M97" s="117">
        <v>1777.3413972015921</v>
      </c>
    </row>
    <row r="98" spans="11:13" x14ac:dyDescent="0.4">
      <c r="K98" s="74">
        <v>96</v>
      </c>
      <c r="L98" s="119">
        <v>245.49999999999994</v>
      </c>
      <c r="M98" s="117">
        <v>1782.8353488183825</v>
      </c>
    </row>
    <row r="99" spans="11:13" x14ac:dyDescent="0.4">
      <c r="K99" s="74">
        <v>97</v>
      </c>
      <c r="L99" s="119">
        <v>197.49999999999994</v>
      </c>
      <c r="M99" s="117">
        <v>1773.3683367254721</v>
      </c>
    </row>
    <row r="100" spans="11:13" x14ac:dyDescent="0.4">
      <c r="K100" s="74">
        <v>98</v>
      </c>
      <c r="L100" s="119">
        <v>206.39999999999995</v>
      </c>
      <c r="M100" s="117">
        <v>1774.2001267051191</v>
      </c>
    </row>
    <row r="101" spans="11:13" x14ac:dyDescent="0.4">
      <c r="K101" s="74">
        <v>99</v>
      </c>
      <c r="L101" s="119">
        <v>172.49999999999994</v>
      </c>
      <c r="M101" s="117">
        <v>1767.3229259448885</v>
      </c>
    </row>
    <row r="102" spans="11:13" x14ac:dyDescent="0.4">
      <c r="K102" s="74">
        <v>100</v>
      </c>
      <c r="L102" s="119">
        <v>196.39999999999995</v>
      </c>
      <c r="M102" s="117">
        <v>1770.8969883892191</v>
      </c>
    </row>
    <row r="103" spans="11:13" x14ac:dyDescent="0.4">
      <c r="K103" s="74">
        <v>101</v>
      </c>
      <c r="L103" s="119">
        <v>158.99999999999994</v>
      </c>
      <c r="M103" s="117">
        <v>1763.4156064588838</v>
      </c>
    </row>
    <row r="104" spans="11:13" x14ac:dyDescent="0.4">
      <c r="K104" s="74">
        <v>102</v>
      </c>
      <c r="L104" s="119">
        <v>147.99999999999994</v>
      </c>
      <c r="M104" s="117">
        <v>1760.7251128201306</v>
      </c>
    </row>
    <row r="105" spans="11:13" x14ac:dyDescent="0.4">
      <c r="K105" s="74">
        <v>103</v>
      </c>
      <c r="L105" s="119">
        <v>123.79999999999994</v>
      </c>
      <c r="M105" s="117">
        <v>1755.5727621432097</v>
      </c>
    </row>
    <row r="106" spans="11:13" x14ac:dyDescent="0.4">
      <c r="K106" s="74">
        <v>104</v>
      </c>
      <c r="L106" s="119">
        <v>173.19999999999993</v>
      </c>
      <c r="M106" s="117">
        <v>1763.6993255703505</v>
      </c>
    </row>
    <row r="107" spans="11:13" x14ac:dyDescent="0.4">
      <c r="K107" s="74">
        <v>105</v>
      </c>
      <c r="L107" s="119">
        <v>184.39999999999992</v>
      </c>
      <c r="M107" s="117">
        <v>1764.9011296169285</v>
      </c>
    </row>
    <row r="108" spans="11:13" x14ac:dyDescent="0.4">
      <c r="K108" s="74">
        <v>106</v>
      </c>
      <c r="L108" s="119">
        <v>219.09999999999991</v>
      </c>
      <c r="M108" s="117">
        <v>1770.325722839227</v>
      </c>
    </row>
    <row r="109" spans="11:13" x14ac:dyDescent="0.4">
      <c r="K109" s="74">
        <v>107</v>
      </c>
      <c r="L109" s="119">
        <v>218.2999999999999</v>
      </c>
      <c r="M109" s="117">
        <v>1769.3217685021916</v>
      </c>
    </row>
    <row r="110" spans="11:13" x14ac:dyDescent="0.4">
      <c r="K110" s="74">
        <v>108</v>
      </c>
      <c r="L110" s="119">
        <v>209.59999999999991</v>
      </c>
      <c r="M110" s="117">
        <v>1766.8238378911785</v>
      </c>
    </row>
    <row r="111" spans="11:13" x14ac:dyDescent="0.4">
      <c r="K111" s="74">
        <v>109</v>
      </c>
      <c r="L111" s="119">
        <v>207.7999999999999</v>
      </c>
      <c r="M111" s="117">
        <v>1765.5828948638314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6BA1F-CA27-4FCC-9F2C-B795F093AC8A}">
  <sheetPr codeName="Sheet9"/>
  <dimension ref="A1:R7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163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72</v>
      </c>
      <c r="C2" s="142"/>
      <c r="E2" s="26" t="s">
        <v>66</v>
      </c>
      <c r="F2" s="23" t="s">
        <v>22</v>
      </c>
      <c r="G2" s="11">
        <v>163</v>
      </c>
      <c r="H2" s="87">
        <f>IF(B$20=0,0,G2/B$20)</f>
        <v>0.96449704142011838</v>
      </c>
      <c r="I2" s="57">
        <v>2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1175</v>
      </c>
      <c r="Q2" s="76">
        <v>72</v>
      </c>
      <c r="R2" s="63">
        <v>84600</v>
      </c>
    </row>
    <row r="3" spans="1:18" x14ac:dyDescent="0.4">
      <c r="A3" s="19" t="s">
        <v>8</v>
      </c>
      <c r="B3" s="143">
        <v>632</v>
      </c>
      <c r="C3" s="144"/>
      <c r="E3" s="27" t="s">
        <v>72</v>
      </c>
      <c r="F3" s="24" t="s">
        <v>27</v>
      </c>
      <c r="G3" s="12">
        <v>110</v>
      </c>
      <c r="H3" s="88">
        <f>IF(B$20=0,0,G3/B$20)</f>
        <v>0.65088757396449703</v>
      </c>
      <c r="I3" s="58">
        <v>4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-134.28571428571428</v>
      </c>
      <c r="Q3" s="77">
        <v>70</v>
      </c>
      <c r="R3" s="64">
        <v>-9400</v>
      </c>
    </row>
    <row r="4" spans="1:18" x14ac:dyDescent="0.4">
      <c r="A4" s="19" t="s">
        <v>6</v>
      </c>
      <c r="B4" s="145">
        <v>-87.699999999999989</v>
      </c>
      <c r="C4" s="146"/>
      <c r="E4" s="27" t="s">
        <v>64</v>
      </c>
      <c r="F4" s="24" t="s">
        <v>20</v>
      </c>
      <c r="G4" s="12">
        <v>79</v>
      </c>
      <c r="H4" s="88">
        <f>IF(B$20=0,0,G4/B$20)</f>
        <v>0.46745562130177515</v>
      </c>
      <c r="I4" s="58">
        <v>4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-810</v>
      </c>
      <c r="Q4" s="77">
        <v>70</v>
      </c>
      <c r="R4" s="64">
        <v>-56700</v>
      </c>
    </row>
    <row r="5" spans="1:18" x14ac:dyDescent="0.4">
      <c r="A5" s="19" t="s">
        <v>7</v>
      </c>
      <c r="B5" s="133">
        <f>IF(B$2=0,0,B$4/B$2)</f>
        <v>-1.2180555555555554</v>
      </c>
      <c r="C5" s="134"/>
      <c r="E5" s="27" t="s">
        <v>159</v>
      </c>
      <c r="F5" s="24" t="s">
        <v>160</v>
      </c>
      <c r="G5" s="12">
        <v>69</v>
      </c>
      <c r="H5" s="88">
        <f>IF(B$20=0,0,G5/B$20)</f>
        <v>0.40828402366863903</v>
      </c>
      <c r="I5" s="58">
        <v>6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-182.08955223880596</v>
      </c>
      <c r="Q5" s="77">
        <v>67</v>
      </c>
      <c r="R5" s="64">
        <v>-12200</v>
      </c>
    </row>
    <row r="6" spans="1:18" x14ac:dyDescent="0.4">
      <c r="A6" s="19" t="s">
        <v>196</v>
      </c>
      <c r="B6" s="137">
        <v>1633.2149258932193</v>
      </c>
      <c r="C6" s="138"/>
      <c r="E6" s="27" t="s">
        <v>68</v>
      </c>
      <c r="F6" s="24" t="s">
        <v>12</v>
      </c>
      <c r="G6" s="12">
        <v>59</v>
      </c>
      <c r="H6" s="88">
        <f>IF(B$20=0,0,G6/B$20)</f>
        <v>0.34911242603550297</v>
      </c>
      <c r="I6" s="58">
        <v>5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260.65573770491801</v>
      </c>
      <c r="Q6" s="77">
        <v>61</v>
      </c>
      <c r="R6" s="64">
        <v>15900</v>
      </c>
    </row>
    <row r="7" spans="1:18" x14ac:dyDescent="0.4">
      <c r="A7" s="19" t="s">
        <v>1</v>
      </c>
      <c r="B7" s="147">
        <f>IF(B$2=0,0,(B$8*1+B$9*2+B$10*3)/B$2)</f>
        <v>2</v>
      </c>
      <c r="C7" s="148"/>
      <c r="E7" s="27" t="s">
        <v>67</v>
      </c>
      <c r="F7" s="24" t="s">
        <v>23</v>
      </c>
      <c r="G7" s="12">
        <v>43</v>
      </c>
      <c r="H7" s="88">
        <f>IF(B$20=0,0,G7/B$20)</f>
        <v>0.25443786982248523</v>
      </c>
      <c r="I7" s="58">
        <v>5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296.15384615384613</v>
      </c>
      <c r="Q7" s="78">
        <v>52</v>
      </c>
      <c r="R7" s="65">
        <v>15400</v>
      </c>
    </row>
    <row r="8" spans="1:18" x14ac:dyDescent="0.4">
      <c r="A8" s="19" t="s">
        <v>2</v>
      </c>
      <c r="B8" s="12">
        <v>24</v>
      </c>
      <c r="C8" s="6">
        <f t="shared" ref="C8:C15" si="1">IF(B$2=0,0,B8/B$2)</f>
        <v>0.33333333333333331</v>
      </c>
      <c r="E8" s="27" t="s">
        <v>89</v>
      </c>
      <c r="F8" s="24" t="s">
        <v>44</v>
      </c>
      <c r="G8" s="12">
        <v>27</v>
      </c>
      <c r="H8" s="88">
        <f>IF(B$20=0,0,G8/B$20)</f>
        <v>0.15976331360946747</v>
      </c>
      <c r="I8" s="58">
        <v>5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">
      <c r="A9" s="19" t="s">
        <v>3</v>
      </c>
      <c r="B9" s="12">
        <v>24</v>
      </c>
      <c r="C9" s="6">
        <f t="shared" si="1"/>
        <v>0.33333333333333331</v>
      </c>
      <c r="E9" s="27" t="s">
        <v>69</v>
      </c>
      <c r="F9" s="24" t="s">
        <v>24</v>
      </c>
      <c r="G9" s="12">
        <v>21</v>
      </c>
      <c r="H9" s="88">
        <f>IF(B$20=0,0,G9/B$20)</f>
        <v>0.1242603550295858</v>
      </c>
      <c r="I9" s="58">
        <v>6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24</v>
      </c>
      <c r="C10" s="7">
        <f t="shared" si="1"/>
        <v>0.33333333333333331</v>
      </c>
      <c r="E10" s="27" t="s">
        <v>65</v>
      </c>
      <c r="F10" s="24" t="s">
        <v>21</v>
      </c>
      <c r="G10" s="12">
        <v>19</v>
      </c>
      <c r="H10" s="88">
        <f>IF(B$20=0,0,G10/B$20)</f>
        <v>0.11242603550295859</v>
      </c>
      <c r="I10" s="58">
        <v>4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-1.5129032258064514</v>
      </c>
      <c r="Q10" s="76">
        <v>31</v>
      </c>
      <c r="R10" s="67">
        <v>-46.899999999999991</v>
      </c>
    </row>
    <row r="11" spans="1:18" x14ac:dyDescent="0.4">
      <c r="A11" s="20" t="s">
        <v>184</v>
      </c>
      <c r="B11" s="109">
        <f>IF(B8=0,0,C11/B8)</f>
        <v>33.716666666666669</v>
      </c>
      <c r="C11" s="110">
        <v>809.2</v>
      </c>
      <c r="E11" s="27" t="s">
        <v>70</v>
      </c>
      <c r="F11" s="24" t="s">
        <v>25</v>
      </c>
      <c r="G11" s="12">
        <v>15</v>
      </c>
      <c r="H11" s="88">
        <f>IF(B$20=0,0,G11/B$20)</f>
        <v>8.8757396449704137E-2</v>
      </c>
      <c r="I11" s="58">
        <v>6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2.214999999999999</v>
      </c>
      <c r="Q11" s="77">
        <v>20</v>
      </c>
      <c r="R11" s="68">
        <v>44.299999999999983</v>
      </c>
    </row>
    <row r="12" spans="1:18" x14ac:dyDescent="0.4">
      <c r="A12" s="20" t="s">
        <v>185</v>
      </c>
      <c r="B12" s="109">
        <f>IF(B9=0,0,C12/B9)</f>
        <v>1.3041666666666667</v>
      </c>
      <c r="C12" s="110">
        <v>31.3</v>
      </c>
      <c r="E12" s="27" t="s">
        <v>71</v>
      </c>
      <c r="F12" s="24" t="s">
        <v>26</v>
      </c>
      <c r="G12" s="12">
        <v>13</v>
      </c>
      <c r="H12" s="88">
        <f>IF(B$20=0,0,G12/B$20)</f>
        <v>7.6923076923076927E-2</v>
      </c>
      <c r="I12" s="58">
        <v>4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-4.0523809523809522</v>
      </c>
      <c r="Q12" s="78">
        <v>21</v>
      </c>
      <c r="R12" s="69">
        <v>-85.1</v>
      </c>
    </row>
    <row r="13" spans="1:18" x14ac:dyDescent="0.4">
      <c r="A13" s="20" t="s">
        <v>186</v>
      </c>
      <c r="B13" s="109">
        <f>IF(B10=0,0,C13/B10)</f>
        <v>-38.675000000000004</v>
      </c>
      <c r="C13" s="110">
        <v>-928.20000000000016</v>
      </c>
      <c r="E13" s="27" t="s">
        <v>86</v>
      </c>
      <c r="F13" s="24" t="s">
        <v>41</v>
      </c>
      <c r="G13" s="12">
        <v>10</v>
      </c>
      <c r="H13" s="88">
        <f>IF(B$20=0,0,G13/B$20)</f>
        <v>5.9171597633136092E-2</v>
      </c>
      <c r="I13" s="58">
        <v>5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-1.2180555555555561</v>
      </c>
      <c r="C14" s="134"/>
      <c r="E14" s="27" t="s">
        <v>83</v>
      </c>
      <c r="F14" s="24" t="s">
        <v>38</v>
      </c>
      <c r="G14" s="12">
        <v>6</v>
      </c>
      <c r="H14" s="88">
        <f>IF(B$20=0,0,G14/B$20)</f>
        <v>3.5502958579881658E-2</v>
      </c>
      <c r="I14" s="58">
        <v>9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10</v>
      </c>
      <c r="C15" s="9">
        <f t="shared" si="1"/>
        <v>0.1388888888888889</v>
      </c>
      <c r="E15" s="27" t="s">
        <v>81</v>
      </c>
      <c r="F15" s="24" t="s">
        <v>36</v>
      </c>
      <c r="G15" s="12">
        <v>5</v>
      </c>
      <c r="H15" s="88">
        <f>IF(B$20=0,0,G15/B$20)</f>
        <v>2.9585798816568046E-2</v>
      </c>
      <c r="I15" s="58">
        <v>9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35.614285714285714</v>
      </c>
      <c r="Q15" s="76">
        <v>7</v>
      </c>
      <c r="R15" s="67">
        <v>249.3</v>
      </c>
    </row>
    <row r="16" spans="1:18" x14ac:dyDescent="0.4">
      <c r="A16" s="22" t="s">
        <v>121</v>
      </c>
      <c r="B16" s="15">
        <v>181</v>
      </c>
      <c r="C16" s="10">
        <f>IF(B$3=0,0,B16/B$3)</f>
        <v>0.28639240506329117</v>
      </c>
      <c r="E16" s="27" t="s">
        <v>155</v>
      </c>
      <c r="F16" s="24" t="s">
        <v>156</v>
      </c>
      <c r="G16" s="12">
        <v>5</v>
      </c>
      <c r="H16" s="88">
        <f>IF(B$20=0,0,G16/B$20)</f>
        <v>2.9585798816568046E-2</v>
      </c>
      <c r="I16" s="58">
        <v>2</v>
      </c>
      <c r="K16" s="74">
        <v>14</v>
      </c>
      <c r="L16" s="119">
        <v>-125.80000000000004</v>
      </c>
      <c r="M16" s="117">
        <v>1630.1668189337324</v>
      </c>
      <c r="O16" s="74" t="s">
        <v>201</v>
      </c>
      <c r="P16" s="83">
        <f>IF(Q16=0,0,R16/Q16)</f>
        <v>21.074999999999999</v>
      </c>
      <c r="Q16" s="77">
        <v>4</v>
      </c>
      <c r="R16" s="68">
        <v>84.3</v>
      </c>
    </row>
    <row r="17" spans="1:18" x14ac:dyDescent="0.4">
      <c r="A17" s="19" t="s">
        <v>118</v>
      </c>
      <c r="B17" s="12">
        <v>142</v>
      </c>
      <c r="C17" s="6">
        <f>IF(B$3=0,0,B17/B$3)</f>
        <v>0.22468354430379747</v>
      </c>
      <c r="E17" s="27" t="s">
        <v>78</v>
      </c>
      <c r="F17" s="24" t="s">
        <v>33</v>
      </c>
      <c r="G17" s="12">
        <v>4</v>
      </c>
      <c r="H17" s="88">
        <f>IF(B$20=0,0,G17/B$20)</f>
        <v>2.3668639053254437E-2</v>
      </c>
      <c r="I17" s="58">
        <v>9</v>
      </c>
      <c r="K17" s="74">
        <v>15</v>
      </c>
      <c r="L17" s="119">
        <v>-165.10000000000002</v>
      </c>
      <c r="M17" s="117">
        <v>1623.3138180201299</v>
      </c>
      <c r="O17" s="74" t="s">
        <v>193</v>
      </c>
      <c r="P17" s="83">
        <f>IF(Q17=0,0,R17/Q17)</f>
        <v>18.3</v>
      </c>
      <c r="Q17" s="77">
        <v>2</v>
      </c>
      <c r="R17" s="68">
        <v>36.6</v>
      </c>
    </row>
    <row r="18" spans="1:18" x14ac:dyDescent="0.4">
      <c r="A18" s="18" t="s">
        <v>123</v>
      </c>
      <c r="B18" s="11">
        <f>B24</f>
        <v>84</v>
      </c>
      <c r="C18" s="5">
        <f>IF(B$16=0,0,B18/B$16)</f>
        <v>0.46408839779005523</v>
      </c>
      <c r="E18" s="27" t="s">
        <v>91</v>
      </c>
      <c r="F18" s="24" t="s">
        <v>46</v>
      </c>
      <c r="G18" s="12">
        <v>4</v>
      </c>
      <c r="H18" s="88">
        <f>IF(B$20=0,0,G18/B$20)</f>
        <v>2.3668639053254437E-2</v>
      </c>
      <c r="I18" s="58">
        <v>3</v>
      </c>
      <c r="K18" s="74">
        <v>16</v>
      </c>
      <c r="L18" s="119">
        <v>-95.40000000000002</v>
      </c>
      <c r="M18" s="117">
        <v>1635.5699351120093</v>
      </c>
      <c r="O18" s="74" t="s">
        <v>189</v>
      </c>
      <c r="P18" s="83">
        <f>IF(Q18=0,0,R18/Q18)</f>
        <v>11.672222222222222</v>
      </c>
      <c r="Q18" s="77">
        <v>18</v>
      </c>
      <c r="R18" s="68">
        <v>210.1</v>
      </c>
    </row>
    <row r="19" spans="1:18" x14ac:dyDescent="0.4">
      <c r="A19" s="18" t="s">
        <v>124</v>
      </c>
      <c r="B19" s="11">
        <f>B25</f>
        <v>49</v>
      </c>
      <c r="C19" s="5">
        <f>IF(B$17=0,0,B19/B$17)</f>
        <v>0.34507042253521125</v>
      </c>
      <c r="E19" s="27" t="s">
        <v>73</v>
      </c>
      <c r="F19" s="24" t="s">
        <v>28</v>
      </c>
      <c r="G19" s="12">
        <v>3</v>
      </c>
      <c r="H19" s="88">
        <f>IF(B$20=0,0,G19/B$20)</f>
        <v>1.7751479289940829E-2</v>
      </c>
      <c r="I19" s="58">
        <v>1</v>
      </c>
      <c r="K19" s="74">
        <v>17</v>
      </c>
      <c r="L19" s="119">
        <v>-91.000000000000014</v>
      </c>
      <c r="M19" s="117">
        <v>1635.9985155013371</v>
      </c>
      <c r="O19" s="74" t="s">
        <v>259</v>
      </c>
      <c r="P19" s="83">
        <f>IF(Q19=0,0,R19/Q19)</f>
        <v>1.8999999999999977</v>
      </c>
      <c r="Q19" s="77">
        <v>3</v>
      </c>
      <c r="R19" s="68">
        <v>5.6999999999999931</v>
      </c>
    </row>
    <row r="20" spans="1:18" x14ac:dyDescent="0.4">
      <c r="A20" s="18" t="s">
        <v>10</v>
      </c>
      <c r="B20" s="11">
        <f>B23+B22</f>
        <v>169</v>
      </c>
      <c r="C20" s="5">
        <f>IF(B$3=0,0,B20/B$3)</f>
        <v>0.26740506329113922</v>
      </c>
      <c r="E20" s="27" t="s">
        <v>77</v>
      </c>
      <c r="F20" s="24" t="s">
        <v>32</v>
      </c>
      <c r="G20" s="12">
        <v>1</v>
      </c>
      <c r="H20" s="88">
        <f>IF(B$20=0,0,G20/B$20)</f>
        <v>5.9171597633136093E-3</v>
      </c>
      <c r="I20" s="58">
        <v>3</v>
      </c>
      <c r="K20" s="74">
        <v>18</v>
      </c>
      <c r="L20" s="119">
        <v>-91.000000000000014</v>
      </c>
      <c r="M20" s="117">
        <v>1635.974524408329</v>
      </c>
      <c r="O20" s="74" t="s">
        <v>126</v>
      </c>
      <c r="P20" s="83">
        <f>IF(Q20=0,0,R20/Q20)</f>
        <v>-4.3916666666666657</v>
      </c>
      <c r="Q20" s="77">
        <v>60</v>
      </c>
      <c r="R20" s="68">
        <v>-263.49999999999994</v>
      </c>
    </row>
    <row r="21" spans="1:18" x14ac:dyDescent="0.4">
      <c r="A21" s="19" t="s">
        <v>13</v>
      </c>
      <c r="B21" s="12">
        <v>119</v>
      </c>
      <c r="C21" s="6">
        <f>IF(B$3=0,0,B21/B$3)</f>
        <v>0.18829113924050633</v>
      </c>
      <c r="E21" s="27" t="s">
        <v>79</v>
      </c>
      <c r="F21" s="24" t="s">
        <v>34</v>
      </c>
      <c r="G21" s="12">
        <v>1</v>
      </c>
      <c r="H21" s="88">
        <f>IF(B$20=0,0,G21/B$20)</f>
        <v>5.9171597633136093E-3</v>
      </c>
      <c r="I21" s="58">
        <v>7</v>
      </c>
      <c r="K21" s="74">
        <v>19</v>
      </c>
      <c r="L21" s="119">
        <v>-143.4</v>
      </c>
      <c r="M21" s="117">
        <v>1626.518677261879</v>
      </c>
      <c r="O21" s="74" t="s">
        <v>190</v>
      </c>
      <c r="P21" s="83">
        <f>IF(Q21=0,0,R21/Q21)</f>
        <v>-8.7866666666666653</v>
      </c>
      <c r="Q21" s="77">
        <v>15</v>
      </c>
      <c r="R21" s="68">
        <v>-131.79999999999998</v>
      </c>
    </row>
    <row r="22" spans="1:18" x14ac:dyDescent="0.4">
      <c r="A22" s="19" t="s">
        <v>12</v>
      </c>
      <c r="B22" s="12">
        <v>78</v>
      </c>
      <c r="C22" s="6">
        <f>IF(B$20=0,0,B22/B$20)</f>
        <v>0.46153846153846156</v>
      </c>
      <c r="E22" s="27" t="s">
        <v>85</v>
      </c>
      <c r="F22" s="24" t="s">
        <v>40</v>
      </c>
      <c r="G22" s="12">
        <v>1</v>
      </c>
      <c r="H22" s="88">
        <f>IF(B$20=0,0,G22/B$20)</f>
        <v>5.9171597633136093E-3</v>
      </c>
      <c r="I22" s="58">
        <v>3</v>
      </c>
      <c r="K22" s="74">
        <v>20</v>
      </c>
      <c r="L22" s="119">
        <v>-101.2</v>
      </c>
      <c r="M22" s="117">
        <v>1634.1175651983078</v>
      </c>
      <c r="O22" s="74" t="s">
        <v>192</v>
      </c>
      <c r="P22" s="83">
        <f>IF(Q22=0,0,R22/Q22)</f>
        <v>-11.021428571428572</v>
      </c>
      <c r="Q22" s="77">
        <v>14</v>
      </c>
      <c r="R22" s="68">
        <v>-154.30000000000001</v>
      </c>
    </row>
    <row r="23" spans="1:18" x14ac:dyDescent="0.4">
      <c r="A23" s="19" t="s">
        <v>11</v>
      </c>
      <c r="B23" s="12">
        <v>91</v>
      </c>
      <c r="C23" s="6">
        <f>IF(B$20=0,0,B23/B$20)</f>
        <v>0.53846153846153844</v>
      </c>
      <c r="E23" s="27" t="s">
        <v>88</v>
      </c>
      <c r="F23" s="24" t="s">
        <v>43</v>
      </c>
      <c r="G23" s="12">
        <v>1</v>
      </c>
      <c r="H23" s="88">
        <f>IF(B$20=0,0,G23/B$20)</f>
        <v>5.9171597633136093E-3</v>
      </c>
      <c r="I23" s="58">
        <v>3</v>
      </c>
      <c r="K23" s="74">
        <v>21</v>
      </c>
      <c r="L23" s="119">
        <v>-99.3</v>
      </c>
      <c r="M23" s="117">
        <v>1634.416859807118</v>
      </c>
      <c r="O23" s="74" t="s">
        <v>211</v>
      </c>
      <c r="P23" s="83">
        <f>IF(Q23=0,0,R23/Q23)</f>
        <v>-11.568421052631582</v>
      </c>
      <c r="Q23" s="77">
        <v>19</v>
      </c>
      <c r="R23" s="68">
        <v>-219.80000000000004</v>
      </c>
    </row>
    <row r="24" spans="1:18" x14ac:dyDescent="0.4">
      <c r="A24" s="19" t="s">
        <v>183</v>
      </c>
      <c r="B24" s="12">
        <v>84</v>
      </c>
      <c r="C24" s="6">
        <f>IF(B$20=0,0,B24/B$20)</f>
        <v>0.49704142011834318</v>
      </c>
      <c r="E24" s="27" t="s">
        <v>92</v>
      </c>
      <c r="F24" s="24" t="s">
        <v>47</v>
      </c>
      <c r="G24" s="12">
        <v>1</v>
      </c>
      <c r="H24" s="88">
        <f>IF(B$20=0,0,G24/B$20)</f>
        <v>5.9171597633136093E-3</v>
      </c>
      <c r="I24" s="58">
        <v>2</v>
      </c>
      <c r="K24" s="74">
        <v>22</v>
      </c>
      <c r="L24" s="119">
        <v>-95.2</v>
      </c>
      <c r="M24" s="117">
        <v>1635.1103586482752</v>
      </c>
      <c r="O24" s="74" t="s">
        <v>195</v>
      </c>
      <c r="P24" s="83">
        <f>IF(Q24=0,0,R24/Q24)</f>
        <v>-39.85</v>
      </c>
      <c r="Q24" s="77">
        <v>2</v>
      </c>
      <c r="R24" s="68">
        <v>-79.7</v>
      </c>
    </row>
    <row r="25" spans="1:18" x14ac:dyDescent="0.4">
      <c r="A25" s="19" t="s">
        <v>181</v>
      </c>
      <c r="B25" s="12">
        <v>49</v>
      </c>
      <c r="C25" s="6">
        <f>IF(B$20=0,0,B25/B$20)</f>
        <v>0.28994082840236685</v>
      </c>
      <c r="E25" s="27" t="s">
        <v>74</v>
      </c>
      <c r="F25" s="24" t="s">
        <v>29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-75</v>
      </c>
      <c r="M25" s="117">
        <v>1638.2056964963856</v>
      </c>
    </row>
    <row r="26" spans="1:18" x14ac:dyDescent="0.4">
      <c r="A26" s="19" t="s">
        <v>182</v>
      </c>
      <c r="B26" s="12">
        <v>36</v>
      </c>
      <c r="C26" s="6">
        <f>IF(B$20=0,0,B26/B$20)</f>
        <v>0.21301775147928995</v>
      </c>
      <c r="E26" s="27" t="s">
        <v>75</v>
      </c>
      <c r="F26" s="24" t="s">
        <v>30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-77.400000000000006</v>
      </c>
      <c r="M26" s="117">
        <v>1637.2144623174072</v>
      </c>
    </row>
    <row r="27" spans="1:18" x14ac:dyDescent="0.4">
      <c r="A27" s="19" t="s">
        <v>5</v>
      </c>
      <c r="B27" s="16">
        <f>IF(B$20=0,0,C27/B$20)</f>
        <v>9362.7218934911234</v>
      </c>
      <c r="C27" s="8">
        <v>1582300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-83.600000000000009</v>
      </c>
      <c r="M27" s="117">
        <v>1635.8451755435028</v>
      </c>
    </row>
    <row r="28" spans="1:18" x14ac:dyDescent="0.4">
      <c r="A28" s="20" t="s">
        <v>165</v>
      </c>
      <c r="B28" s="95">
        <f>IF($B$20-B$19=0,0,C28/($B$20-B$19))</f>
        <v>10083.333333333334</v>
      </c>
      <c r="C28" s="96">
        <v>1210000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-84.500000000000014</v>
      </c>
      <c r="M28" s="117">
        <v>1635.4381044902418</v>
      </c>
    </row>
    <row r="29" spans="1:18" x14ac:dyDescent="0.4">
      <c r="A29" s="20" t="s">
        <v>166</v>
      </c>
      <c r="B29" s="95">
        <f>IF(B$19=0,0,C29/B$19)</f>
        <v>7597.9591836734689</v>
      </c>
      <c r="C29" s="96">
        <v>372300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">
      <c r="A30" s="20" t="s">
        <v>164</v>
      </c>
      <c r="B30" s="95">
        <f>IF(B$21=0,0,C30/B$21)</f>
        <v>-7953.7815126050418</v>
      </c>
      <c r="C30" s="96">
        <v>-946500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-67.100000000000009</v>
      </c>
      <c r="M30" s="117">
        <v>1638.0732230081205</v>
      </c>
    </row>
    <row r="31" spans="1:18" x14ac:dyDescent="0.4">
      <c r="A31" s="19" t="s">
        <v>157</v>
      </c>
      <c r="B31" s="12">
        <v>4</v>
      </c>
      <c r="C31" s="90">
        <v>1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-63.70000000000001</v>
      </c>
      <c r="M31" s="117">
        <v>1638.6967836700719</v>
      </c>
    </row>
    <row r="32" spans="1:18" x14ac:dyDescent="0.4">
      <c r="A32" s="19" t="s">
        <v>158</v>
      </c>
      <c r="B32" s="12">
        <v>25</v>
      </c>
      <c r="C32" s="90">
        <v>13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-76.000000000000014</v>
      </c>
      <c r="M32" s="117">
        <v>1636.4906029680515</v>
      </c>
    </row>
    <row r="33" spans="1:13" x14ac:dyDescent="0.4">
      <c r="A33" s="54" t="s">
        <v>136</v>
      </c>
      <c r="B33" s="135">
        <v>7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-92.600000000000023</v>
      </c>
      <c r="M33" s="117">
        <v>1633.5176593502431</v>
      </c>
    </row>
    <row r="34" spans="1:13" x14ac:dyDescent="0.4">
      <c r="A34" s="22" t="s">
        <v>180</v>
      </c>
      <c r="B34" s="137">
        <v>94700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">
      <c r="A35" s="21" t="s">
        <v>137</v>
      </c>
      <c r="B35" s="29">
        <v>1</v>
      </c>
      <c r="C35" s="9">
        <f>IF(B$3=0,0,B35/B$3)</f>
        <v>1.5822784810126582E-3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-37.200000000000024</v>
      </c>
      <c r="M35" s="117">
        <v>1643.5002420737769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-77.900000000000034</v>
      </c>
      <c r="M36" s="117">
        <v>1636.1412406213342</v>
      </c>
    </row>
    <row r="37" spans="1:13" x14ac:dyDescent="0.4">
      <c r="A37" s="54" t="s">
        <v>171</v>
      </c>
      <c r="B37" s="123">
        <v>10</v>
      </c>
      <c r="C37" s="98">
        <f t="shared" ref="C37:C49" si="2">IF(B$20=0,0,B37/B$20)</f>
        <v>5.9171597633136092E-2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-73.200000000000031</v>
      </c>
      <c r="M37" s="117">
        <v>1636.9983931776062</v>
      </c>
    </row>
    <row r="38" spans="1:13" x14ac:dyDescent="0.4">
      <c r="A38" s="19" t="s">
        <v>167</v>
      </c>
      <c r="B38" s="12">
        <v>14</v>
      </c>
      <c r="C38" s="6">
        <f t="shared" si="2"/>
        <v>8.2840236686390539E-2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-91.000000000000028</v>
      </c>
      <c r="M38" s="117">
        <v>1633.6744028185406</v>
      </c>
    </row>
    <row r="39" spans="1:13" x14ac:dyDescent="0.4">
      <c r="A39" s="19" t="s">
        <v>168</v>
      </c>
      <c r="B39" s="124">
        <v>33</v>
      </c>
      <c r="C39" s="6">
        <f t="shared" si="2"/>
        <v>0.19526627218934911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-85.900000000000034</v>
      </c>
      <c r="M39" s="117">
        <v>1634.4923564016294</v>
      </c>
    </row>
    <row r="40" spans="1:13" x14ac:dyDescent="0.4">
      <c r="A40" s="19" t="s">
        <v>169</v>
      </c>
      <c r="B40" s="124">
        <v>35</v>
      </c>
      <c r="C40" s="6">
        <f t="shared" si="2"/>
        <v>0.20710059171597633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-74.900000000000034</v>
      </c>
      <c r="M40" s="117">
        <v>1636.6254022632197</v>
      </c>
    </row>
    <row r="41" spans="1:13" x14ac:dyDescent="0.4">
      <c r="A41" s="19" t="s">
        <v>170</v>
      </c>
      <c r="B41" s="124">
        <v>35</v>
      </c>
      <c r="C41" s="6">
        <f t="shared" si="2"/>
        <v>0.20710059171597633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-120.20000000000003</v>
      </c>
      <c r="M41" s="117">
        <v>1628.6116498496403</v>
      </c>
    </row>
    <row r="42" spans="1:13" x14ac:dyDescent="0.4">
      <c r="A42" s="19" t="s">
        <v>172</v>
      </c>
      <c r="B42" s="124">
        <v>17</v>
      </c>
      <c r="C42" s="6">
        <f t="shared" si="2"/>
        <v>0.10059171597633136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-119.50000000000003</v>
      </c>
      <c r="M42" s="117">
        <v>1628.6619799505424</v>
      </c>
    </row>
    <row r="43" spans="1:13" x14ac:dyDescent="0.4">
      <c r="A43" s="19" t="s">
        <v>173</v>
      </c>
      <c r="B43" s="124">
        <v>9</v>
      </c>
      <c r="C43" s="6">
        <f t="shared" si="2"/>
        <v>5.3254437869822487E-2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-150.20000000000002</v>
      </c>
      <c r="M43" s="117">
        <v>1623.0600080708391</v>
      </c>
    </row>
    <row r="44" spans="1:13" x14ac:dyDescent="0.4">
      <c r="A44" s="19" t="s">
        <v>174</v>
      </c>
      <c r="B44" s="124">
        <v>8</v>
      </c>
      <c r="C44" s="6">
        <f t="shared" si="2"/>
        <v>4.7337278106508875E-2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-207.8</v>
      </c>
      <c r="M44" s="117">
        <v>1612.271648022414</v>
      </c>
    </row>
    <row r="45" spans="1:13" x14ac:dyDescent="0.4">
      <c r="A45" s="19" t="s">
        <v>175</v>
      </c>
      <c r="B45" s="124">
        <v>4</v>
      </c>
      <c r="C45" s="6">
        <f t="shared" si="2"/>
        <v>2.3668639053254437E-2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-202.5</v>
      </c>
      <c r="M45" s="117">
        <v>1612.7620181342795</v>
      </c>
    </row>
    <row r="46" spans="1:13" x14ac:dyDescent="0.4">
      <c r="A46" s="19" t="s">
        <v>176</v>
      </c>
      <c r="B46" s="124">
        <v>2</v>
      </c>
      <c r="C46" s="6">
        <f t="shared" si="2"/>
        <v>1.1834319526627219E-2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-155.4</v>
      </c>
      <c r="M46" s="117">
        <v>1621.4934460254738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-143.20000000000002</v>
      </c>
      <c r="M47" s="117">
        <v>1623.8904853493209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-193.20000000000002</v>
      </c>
      <c r="M48" s="117">
        <v>1614.987142437225</v>
      </c>
    </row>
    <row r="49" spans="1:13" x14ac:dyDescent="0.4">
      <c r="A49" s="21" t="s">
        <v>179</v>
      </c>
      <c r="B49" s="97">
        <v>2</v>
      </c>
      <c r="C49" s="9">
        <f t="shared" si="2"/>
        <v>1.1834319526627219E-2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-153.30000000000001</v>
      </c>
      <c r="M49" s="117">
        <v>1622.3192195826016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-158.70000000000002</v>
      </c>
      <c r="M50" s="117">
        <v>1621.4473042651059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-139.10000000000002</v>
      </c>
      <c r="M51" s="117">
        <v>1625.0806204395153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-157.80000000000001</v>
      </c>
      <c r="M52" s="117">
        <v>1621.7981367168782</v>
      </c>
    </row>
    <row r="53" spans="1:13" x14ac:dyDescent="0.4">
      <c r="K53" s="74">
        <v>51</v>
      </c>
      <c r="L53" s="119">
        <v>-111.60000000000001</v>
      </c>
      <c r="M53" s="117">
        <v>1630.1033478965769</v>
      </c>
    </row>
    <row r="54" spans="1:13" x14ac:dyDescent="0.4">
      <c r="K54" s="74">
        <v>52</v>
      </c>
      <c r="L54" s="119">
        <v>-107.9</v>
      </c>
      <c r="M54" s="117">
        <v>1630.7087278091974</v>
      </c>
    </row>
    <row r="55" spans="1:13" x14ac:dyDescent="0.4">
      <c r="K55" s="74">
        <v>53</v>
      </c>
      <c r="L55" s="119">
        <v>-130</v>
      </c>
      <c r="M55" s="117">
        <v>1625.9524754423421</v>
      </c>
    </row>
    <row r="56" spans="1:13" x14ac:dyDescent="0.4">
      <c r="K56" s="74">
        <v>54</v>
      </c>
      <c r="L56" s="119">
        <v>-97.8</v>
      </c>
      <c r="M56" s="117">
        <v>1630.9987605896881</v>
      </c>
    </row>
    <row r="57" spans="1:13" x14ac:dyDescent="0.4">
      <c r="K57" s="74">
        <v>55</v>
      </c>
      <c r="L57" s="119">
        <v>-100.8</v>
      </c>
      <c r="M57" s="117">
        <v>1630.4827680261501</v>
      </c>
    </row>
    <row r="58" spans="1:13" x14ac:dyDescent="0.4">
      <c r="K58" s="74">
        <v>56</v>
      </c>
      <c r="L58" s="119">
        <v>-96.399999999999991</v>
      </c>
      <c r="M58" s="117">
        <v>1631.2958714179931</v>
      </c>
    </row>
    <row r="59" spans="1:13" x14ac:dyDescent="0.4">
      <c r="K59" s="74">
        <v>57</v>
      </c>
      <c r="L59" s="119">
        <v>-59.099999999999994</v>
      </c>
      <c r="M59" s="117">
        <v>1637.9600961894851</v>
      </c>
    </row>
    <row r="60" spans="1:13" x14ac:dyDescent="0.4">
      <c r="K60" s="74">
        <v>58</v>
      </c>
      <c r="L60" s="119">
        <v>-39.599999999999994</v>
      </c>
      <c r="M60" s="117">
        <v>1641.6263356123482</v>
      </c>
    </row>
    <row r="61" spans="1:13" x14ac:dyDescent="0.4">
      <c r="K61" s="74">
        <v>59</v>
      </c>
      <c r="L61" s="119">
        <v>-66</v>
      </c>
      <c r="M61" s="117">
        <v>1637.008577598674</v>
      </c>
    </row>
    <row r="62" spans="1:13" x14ac:dyDescent="0.4">
      <c r="K62" s="74">
        <v>60</v>
      </c>
      <c r="L62" s="119">
        <v>-111.7</v>
      </c>
      <c r="M62" s="117">
        <v>1628.3625261330819</v>
      </c>
    </row>
    <row r="63" spans="1:13" x14ac:dyDescent="0.4">
      <c r="K63" s="74">
        <v>61</v>
      </c>
      <c r="L63" s="119">
        <v>-95.7</v>
      </c>
      <c r="M63" s="117">
        <v>1631.3423509762833</v>
      </c>
    </row>
    <row r="64" spans="1:13" x14ac:dyDescent="0.4">
      <c r="K64" s="74">
        <v>62</v>
      </c>
      <c r="L64" s="119">
        <v>-130.6</v>
      </c>
      <c r="M64" s="117">
        <v>1625.1422968704258</v>
      </c>
    </row>
    <row r="65" spans="11:13" x14ac:dyDescent="0.4">
      <c r="K65" s="74">
        <v>63</v>
      </c>
      <c r="L65" s="119">
        <v>-129</v>
      </c>
      <c r="M65" s="117">
        <v>1625.5494430892031</v>
      </c>
    </row>
    <row r="66" spans="11:13" x14ac:dyDescent="0.4">
      <c r="K66" s="74">
        <v>64</v>
      </c>
      <c r="L66" s="119">
        <v>-129.5</v>
      </c>
      <c r="M66" s="117">
        <v>1625.582146430668</v>
      </c>
    </row>
    <row r="67" spans="11:13" x14ac:dyDescent="0.4">
      <c r="K67" s="74">
        <v>65</v>
      </c>
      <c r="L67" s="119">
        <v>-92.4</v>
      </c>
      <c r="M67" s="117">
        <v>1632.3826535520841</v>
      </c>
    </row>
    <row r="68" spans="11:13" x14ac:dyDescent="0.4">
      <c r="K68" s="74">
        <v>66</v>
      </c>
      <c r="L68" s="119">
        <v>-141.4</v>
      </c>
      <c r="M68" s="117">
        <v>1623.6383576307717</v>
      </c>
    </row>
    <row r="69" spans="11:13" x14ac:dyDescent="0.4">
      <c r="K69" s="74">
        <v>67</v>
      </c>
      <c r="L69" s="119">
        <v>-112.7</v>
      </c>
      <c r="M69" s="117">
        <v>1628.830527484987</v>
      </c>
    </row>
    <row r="70" spans="11:13" x14ac:dyDescent="0.4">
      <c r="K70" s="74">
        <v>68</v>
      </c>
      <c r="L70" s="119">
        <v>-163.19999999999999</v>
      </c>
      <c r="M70" s="117">
        <v>1619.735544320077</v>
      </c>
    </row>
    <row r="71" spans="11:13" x14ac:dyDescent="0.4">
      <c r="K71" s="74">
        <v>69</v>
      </c>
      <c r="L71" s="119">
        <v>-122.6</v>
      </c>
      <c r="M71" s="117">
        <v>1627.0931310541566</v>
      </c>
    </row>
    <row r="72" spans="11:13" x14ac:dyDescent="0.4">
      <c r="K72" s="74">
        <v>70</v>
      </c>
      <c r="L72" s="119">
        <v>-134.79999999999998</v>
      </c>
      <c r="M72" s="117">
        <v>1624.9025722678316</v>
      </c>
    </row>
    <row r="73" spans="11:13" x14ac:dyDescent="0.4">
      <c r="K73" s="74">
        <v>71</v>
      </c>
      <c r="L73" s="119">
        <v>-102.19999999999999</v>
      </c>
      <c r="M73" s="117">
        <v>1630.7051568342247</v>
      </c>
    </row>
    <row r="74" spans="11:13" x14ac:dyDescent="0.4">
      <c r="K74" s="74">
        <v>72</v>
      </c>
      <c r="L74" s="119">
        <v>-87.699999999999989</v>
      </c>
      <c r="M74" s="117">
        <v>1633.2149258932193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61845-D574-4EE9-B26A-49F0C9F59EF3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189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45</v>
      </c>
      <c r="C2" s="142"/>
      <c r="E2" s="26" t="s">
        <v>72</v>
      </c>
      <c r="F2" s="23" t="s">
        <v>27</v>
      </c>
      <c r="G2" s="11">
        <v>82</v>
      </c>
      <c r="H2" s="87">
        <f>IF(B$20=0,0,G2/B$20)</f>
        <v>0.7068965517241379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-597.77777777777783</v>
      </c>
      <c r="Q2" s="76">
        <v>45</v>
      </c>
      <c r="R2" s="63">
        <v>-26900</v>
      </c>
    </row>
    <row r="3" spans="1:18" x14ac:dyDescent="0.4">
      <c r="A3" s="19" t="s">
        <v>8</v>
      </c>
      <c r="B3" s="143">
        <v>400</v>
      </c>
      <c r="C3" s="144"/>
      <c r="E3" s="27" t="s">
        <v>66</v>
      </c>
      <c r="F3" s="24" t="s">
        <v>22</v>
      </c>
      <c r="G3" s="12">
        <v>73</v>
      </c>
      <c r="H3" s="88">
        <f>IF(B$20=0,0,G3/B$20)</f>
        <v>0.62931034482758619</v>
      </c>
      <c r="I3" s="58">
        <v>12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-900</v>
      </c>
      <c r="Q3" s="77">
        <v>45</v>
      </c>
      <c r="R3" s="64">
        <v>-40500</v>
      </c>
    </row>
    <row r="4" spans="1:18" x14ac:dyDescent="0.4">
      <c r="A4" s="19" t="s">
        <v>6</v>
      </c>
      <c r="B4" s="145">
        <v>-146.69999999999999</v>
      </c>
      <c r="C4" s="146"/>
      <c r="E4" s="27" t="s">
        <v>64</v>
      </c>
      <c r="F4" s="24" t="s">
        <v>20</v>
      </c>
      <c r="G4" s="12">
        <v>46</v>
      </c>
      <c r="H4" s="88">
        <f>IF(B$20=0,0,G4/B$20)</f>
        <v>0.39655172413793105</v>
      </c>
      <c r="I4" s="58">
        <v>10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663.63636363636363</v>
      </c>
      <c r="Q4" s="77">
        <v>44</v>
      </c>
      <c r="R4" s="64">
        <v>29200</v>
      </c>
    </row>
    <row r="5" spans="1:18" x14ac:dyDescent="0.4">
      <c r="A5" s="19" t="s">
        <v>7</v>
      </c>
      <c r="B5" s="133">
        <f>IF(B$2=0,0,B$4/B$2)</f>
        <v>-3.26</v>
      </c>
      <c r="C5" s="134"/>
      <c r="E5" s="27" t="s">
        <v>159</v>
      </c>
      <c r="F5" s="24" t="s">
        <v>160</v>
      </c>
      <c r="G5" s="12">
        <v>40</v>
      </c>
      <c r="H5" s="88">
        <f>IF(B$20=0,0,G5/B$20)</f>
        <v>0.34482758620689657</v>
      </c>
      <c r="I5" s="58">
        <v>10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-1022.7272727272727</v>
      </c>
      <c r="Q5" s="77">
        <v>44</v>
      </c>
      <c r="R5" s="64">
        <v>-45000</v>
      </c>
    </row>
    <row r="6" spans="1:18" x14ac:dyDescent="0.4">
      <c r="A6" s="19" t="s">
        <v>196</v>
      </c>
      <c r="B6" s="137">
        <v>1444.1642121350767</v>
      </c>
      <c r="C6" s="138"/>
      <c r="E6" s="27" t="s">
        <v>68</v>
      </c>
      <c r="F6" s="24" t="s">
        <v>12</v>
      </c>
      <c r="G6" s="12">
        <v>30</v>
      </c>
      <c r="H6" s="88">
        <f>IF(B$20=0,0,G6/B$20)</f>
        <v>0.25862068965517243</v>
      </c>
      <c r="I6" s="58">
        <v>10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-1293.0232558139535</v>
      </c>
      <c r="Q6" s="77">
        <v>43</v>
      </c>
      <c r="R6" s="64">
        <v>-55600</v>
      </c>
    </row>
    <row r="7" spans="1:18" x14ac:dyDescent="0.4">
      <c r="A7" s="19" t="s">
        <v>1</v>
      </c>
      <c r="B7" s="147">
        <f>IF(B$2=0,0,(B$8*1+B$9*2+B$10*3)/B$2)</f>
        <v>2.088888888888889</v>
      </c>
      <c r="C7" s="148"/>
      <c r="E7" s="27" t="s">
        <v>67</v>
      </c>
      <c r="F7" s="24" t="s">
        <v>23</v>
      </c>
      <c r="G7" s="12">
        <v>29</v>
      </c>
      <c r="H7" s="88">
        <f>IF(B$20=0,0,G7/B$20)</f>
        <v>0.25</v>
      </c>
      <c r="I7" s="58">
        <v>6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-572.22222222222217</v>
      </c>
      <c r="Q7" s="78">
        <v>36</v>
      </c>
      <c r="R7" s="65">
        <v>-20600</v>
      </c>
    </row>
    <row r="8" spans="1:18" x14ac:dyDescent="0.4">
      <c r="A8" s="19" t="s">
        <v>2</v>
      </c>
      <c r="B8" s="12">
        <v>15</v>
      </c>
      <c r="C8" s="6">
        <f t="shared" ref="C8:C15" si="1">IF(B$2=0,0,B8/B$2)</f>
        <v>0.33333333333333331</v>
      </c>
      <c r="E8" s="27" t="s">
        <v>70</v>
      </c>
      <c r="F8" s="24" t="s">
        <v>25</v>
      </c>
      <c r="G8" s="12">
        <v>11</v>
      </c>
      <c r="H8" s="88">
        <f>IF(B$20=0,0,G8/B$20)</f>
        <v>9.4827586206896547E-2</v>
      </c>
      <c r="I8" s="58">
        <v>5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">
      <c r="A9" s="19" t="s">
        <v>3</v>
      </c>
      <c r="B9" s="12">
        <v>11</v>
      </c>
      <c r="C9" s="6">
        <f t="shared" si="1"/>
        <v>0.24444444444444444</v>
      </c>
      <c r="E9" s="27" t="s">
        <v>89</v>
      </c>
      <c r="F9" s="24" t="s">
        <v>44</v>
      </c>
      <c r="G9" s="12">
        <v>11</v>
      </c>
      <c r="H9" s="88">
        <f>IF(B$20=0,0,G9/B$20)</f>
        <v>9.4827586206896547E-2</v>
      </c>
      <c r="I9" s="58">
        <v>10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19</v>
      </c>
      <c r="C10" s="7">
        <f t="shared" si="1"/>
        <v>0.42222222222222222</v>
      </c>
      <c r="E10" s="27" t="s">
        <v>65</v>
      </c>
      <c r="F10" s="24" t="s">
        <v>21</v>
      </c>
      <c r="G10" s="12">
        <v>9</v>
      </c>
      <c r="H10" s="88">
        <f>IF(B$20=0,0,G10/B$20)</f>
        <v>7.7586206896551727E-2</v>
      </c>
      <c r="I10" s="58">
        <v>9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5.3000000000000007</v>
      </c>
      <c r="Q10" s="76">
        <v>11</v>
      </c>
      <c r="R10" s="67">
        <v>58.300000000000004</v>
      </c>
    </row>
    <row r="11" spans="1:18" x14ac:dyDescent="0.4">
      <c r="A11" s="20" t="s">
        <v>184</v>
      </c>
      <c r="B11" s="109">
        <f>IF(B8=0,0,C11/B8)</f>
        <v>29.013333333333335</v>
      </c>
      <c r="C11" s="110">
        <v>435.20000000000005</v>
      </c>
      <c r="E11" s="27" t="s">
        <v>69</v>
      </c>
      <c r="F11" s="24" t="s">
        <v>24</v>
      </c>
      <c r="G11" s="12">
        <v>9</v>
      </c>
      <c r="H11" s="88">
        <f>IF(B$20=0,0,G11/B$20)</f>
        <v>7.7586206896551727E-2</v>
      </c>
      <c r="I11" s="58">
        <v>9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-7.6764705882352944</v>
      </c>
      <c r="Q11" s="77">
        <v>17</v>
      </c>
      <c r="R11" s="68">
        <v>-130.5</v>
      </c>
    </row>
    <row r="12" spans="1:18" x14ac:dyDescent="0.4">
      <c r="A12" s="20" t="s">
        <v>185</v>
      </c>
      <c r="B12" s="109">
        <f>IF(B9=0,0,C12/B9)</f>
        <v>4.918181818181818</v>
      </c>
      <c r="C12" s="110">
        <v>54.099999999999994</v>
      </c>
      <c r="E12" s="27" t="s">
        <v>83</v>
      </c>
      <c r="F12" s="24" t="s">
        <v>38</v>
      </c>
      <c r="G12" s="12">
        <v>8</v>
      </c>
      <c r="H12" s="88">
        <f>IF(B$20=0,0,G12/B$20)</f>
        <v>6.8965517241379309E-2</v>
      </c>
      <c r="I12" s="58">
        <v>4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-4.382352941176471</v>
      </c>
      <c r="Q12" s="78">
        <v>17</v>
      </c>
      <c r="R12" s="69">
        <v>-74.500000000000014</v>
      </c>
    </row>
    <row r="13" spans="1:18" x14ac:dyDescent="0.4">
      <c r="A13" s="20" t="s">
        <v>186</v>
      </c>
      <c r="B13" s="109">
        <f>IF(B10=0,0,C13/B10)</f>
        <v>-33.473684210526315</v>
      </c>
      <c r="C13" s="110">
        <v>-636</v>
      </c>
      <c r="E13" s="27" t="s">
        <v>71</v>
      </c>
      <c r="F13" s="24" t="s">
        <v>26</v>
      </c>
      <c r="G13" s="12">
        <v>6</v>
      </c>
      <c r="H13" s="88">
        <f>IF(B$20=0,0,G13/B$20)</f>
        <v>5.1724137931034482E-2</v>
      </c>
      <c r="I13" s="58">
        <v>8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0.15261031366294731</v>
      </c>
      <c r="C14" s="134"/>
      <c r="E14" s="27" t="s">
        <v>81</v>
      </c>
      <c r="F14" s="24" t="s">
        <v>36</v>
      </c>
      <c r="G14" s="12">
        <v>5</v>
      </c>
      <c r="H14" s="88">
        <f>IF(B$20=0,0,G14/B$20)</f>
        <v>4.3103448275862072E-2</v>
      </c>
      <c r="I14" s="58">
        <v>4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8.8888888888888892E-2</v>
      </c>
      <c r="E15" s="27" t="s">
        <v>78</v>
      </c>
      <c r="F15" s="24" t="s">
        <v>33</v>
      </c>
      <c r="G15" s="12">
        <v>4</v>
      </c>
      <c r="H15" s="88">
        <f>IF(B$20=0,0,G15/B$20)</f>
        <v>3.4482758620689655E-2</v>
      </c>
      <c r="I15" s="58">
        <v>3</v>
      </c>
      <c r="K15" s="74">
        <v>13</v>
      </c>
      <c r="L15" s="119">
        <v>35.000000000000007</v>
      </c>
      <c r="M15" s="117">
        <v>1449.5174194108242</v>
      </c>
      <c r="O15" s="73" t="s">
        <v>195</v>
      </c>
      <c r="P15" s="82">
        <f>IF(Q15=0,0,R15/Q15)</f>
        <v>47.400000000000006</v>
      </c>
      <c r="Q15" s="76">
        <v>2</v>
      </c>
      <c r="R15" s="67">
        <v>94.800000000000011</v>
      </c>
    </row>
    <row r="16" spans="1:18" x14ac:dyDescent="0.4">
      <c r="A16" s="22" t="s">
        <v>121</v>
      </c>
      <c r="B16" s="15">
        <v>105</v>
      </c>
      <c r="C16" s="10">
        <f>IF(B$3=0,0,B16/B$3)</f>
        <v>0.26250000000000001</v>
      </c>
      <c r="E16" s="27" t="s">
        <v>79</v>
      </c>
      <c r="F16" s="24" t="s">
        <v>34</v>
      </c>
      <c r="G16" s="12">
        <v>3</v>
      </c>
      <c r="H16" s="88">
        <f>IF(B$20=0,0,G16/B$20)</f>
        <v>2.5862068965517241E-2</v>
      </c>
      <c r="I16" s="58">
        <v>1</v>
      </c>
      <c r="K16" s="74">
        <v>14</v>
      </c>
      <c r="L16" s="119">
        <v>42.800000000000004</v>
      </c>
      <c r="M16" s="117">
        <v>1451.8303148943594</v>
      </c>
      <c r="O16" s="74" t="s">
        <v>216</v>
      </c>
      <c r="P16" s="83">
        <f>IF(Q16=0,0,R16/Q16)</f>
        <v>35.5</v>
      </c>
      <c r="Q16" s="77">
        <v>1</v>
      </c>
      <c r="R16" s="68">
        <v>35.5</v>
      </c>
    </row>
    <row r="17" spans="1:18" x14ac:dyDescent="0.4">
      <c r="A17" s="19" t="s">
        <v>118</v>
      </c>
      <c r="B17" s="12">
        <v>119</v>
      </c>
      <c r="C17" s="6">
        <f>IF(B$3=0,0,B17/B$3)</f>
        <v>0.29749999999999999</v>
      </c>
      <c r="E17" s="27" t="s">
        <v>86</v>
      </c>
      <c r="F17" s="24" t="s">
        <v>41</v>
      </c>
      <c r="G17" s="12">
        <v>2</v>
      </c>
      <c r="H17" s="88">
        <f>IF(B$20=0,0,G17/B$20)</f>
        <v>1.7241379310344827E-2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190</v>
      </c>
      <c r="P17" s="83">
        <f>IF(Q17=0,0,R17/Q17)</f>
        <v>32.266666666666673</v>
      </c>
      <c r="Q17" s="77">
        <v>3</v>
      </c>
      <c r="R17" s="68">
        <v>96.800000000000011</v>
      </c>
    </row>
    <row r="18" spans="1:18" x14ac:dyDescent="0.4">
      <c r="A18" s="18" t="s">
        <v>123</v>
      </c>
      <c r="B18" s="11">
        <f>B24</f>
        <v>46</v>
      </c>
      <c r="C18" s="5">
        <f>IF(B$16=0,0,B18/B$16)</f>
        <v>0.43809523809523809</v>
      </c>
      <c r="E18" s="27" t="s">
        <v>91</v>
      </c>
      <c r="F18" s="24" t="s">
        <v>46</v>
      </c>
      <c r="G18" s="12">
        <v>2</v>
      </c>
      <c r="H18" s="88">
        <f>IF(B$20=0,0,G18/B$20)</f>
        <v>1.7241379310344827E-2</v>
      </c>
      <c r="I18" s="58">
        <v>5</v>
      </c>
      <c r="K18" s="74">
        <v>16</v>
      </c>
      <c r="L18" s="119">
        <v>38.600000000000009</v>
      </c>
      <c r="M18" s="117">
        <v>1453.0914330069634</v>
      </c>
      <c r="O18" s="74" t="s">
        <v>211</v>
      </c>
      <c r="P18" s="83">
        <f>IF(Q18=0,0,R18/Q18)</f>
        <v>6.9000000000000012</v>
      </c>
      <c r="Q18" s="77">
        <v>9</v>
      </c>
      <c r="R18" s="68">
        <v>62.100000000000009</v>
      </c>
    </row>
    <row r="19" spans="1:18" x14ac:dyDescent="0.4">
      <c r="A19" s="18" t="s">
        <v>124</v>
      </c>
      <c r="B19" s="11">
        <f>B25</f>
        <v>48</v>
      </c>
      <c r="C19" s="5">
        <f>IF(B$17=0,0,B19/B$17)</f>
        <v>0.40336134453781514</v>
      </c>
      <c r="E19" s="27" t="s">
        <v>88</v>
      </c>
      <c r="F19" s="24" t="s">
        <v>43</v>
      </c>
      <c r="G19" s="12">
        <v>1</v>
      </c>
      <c r="H19" s="88">
        <f>IF(B$20=0,0,G19/B$20)</f>
        <v>8.6206896551724137E-3</v>
      </c>
      <c r="I19" s="58">
        <v>1</v>
      </c>
      <c r="K19" s="74">
        <v>17</v>
      </c>
      <c r="L19" s="119">
        <v>7.6000000000000085</v>
      </c>
      <c r="M19" s="117">
        <v>1448.4108844089217</v>
      </c>
      <c r="O19" s="74" t="s">
        <v>126</v>
      </c>
      <c r="P19" s="83">
        <f>IF(Q19=0,0,R19/Q19)</f>
        <v>-2.3897435897435897</v>
      </c>
      <c r="Q19" s="77">
        <v>39</v>
      </c>
      <c r="R19" s="68">
        <v>-93.2</v>
      </c>
    </row>
    <row r="20" spans="1:18" x14ac:dyDescent="0.4">
      <c r="A20" s="18" t="s">
        <v>10</v>
      </c>
      <c r="B20" s="11">
        <f>B23+B22</f>
        <v>116</v>
      </c>
      <c r="C20" s="5">
        <f>IF(B$3=0,0,B20/B$3)</f>
        <v>0.28999999999999998</v>
      </c>
      <c r="E20" s="27" t="s">
        <v>93</v>
      </c>
      <c r="F20" s="24" t="s">
        <v>48</v>
      </c>
      <c r="G20" s="12">
        <v>1</v>
      </c>
      <c r="H20" s="88">
        <f>IF(B$20=0,0,G20/B$20)</f>
        <v>8.6206896551724137E-3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163</v>
      </c>
      <c r="P20" s="83">
        <f>IF(Q20=0,0,R20/Q20)</f>
        <v>-11.672222222222219</v>
      </c>
      <c r="Q20" s="77">
        <v>18</v>
      </c>
      <c r="R20" s="68">
        <v>-210.09999999999994</v>
      </c>
    </row>
    <row r="21" spans="1:18" x14ac:dyDescent="0.4">
      <c r="A21" s="19" t="s">
        <v>13</v>
      </c>
      <c r="B21" s="12">
        <v>66</v>
      </c>
      <c r="C21" s="6">
        <f>IF(B$3=0,0,B21/B$3)</f>
        <v>0.16500000000000001</v>
      </c>
      <c r="E21" s="27" t="s">
        <v>106</v>
      </c>
      <c r="F21" s="24" t="s">
        <v>113</v>
      </c>
      <c r="G21" s="12">
        <v>1</v>
      </c>
      <c r="H21" s="88">
        <f>IF(B$20=0,0,G21/B$20)</f>
        <v>8.6206896551724137E-3</v>
      </c>
      <c r="I21" s="58">
        <v>1</v>
      </c>
      <c r="K21" s="74">
        <v>19</v>
      </c>
      <c r="L21" s="119">
        <v>42.400000000000006</v>
      </c>
      <c r="M21" s="117">
        <v>1456.6902885878533</v>
      </c>
      <c r="O21" s="74" t="s">
        <v>192</v>
      </c>
      <c r="P21" s="83">
        <f>IF(Q21=0,0,R21/Q21)</f>
        <v>-23.666666666666671</v>
      </c>
      <c r="Q21" s="77">
        <v>18</v>
      </c>
      <c r="R21" s="68">
        <v>-426.00000000000006</v>
      </c>
    </row>
    <row r="22" spans="1:18" x14ac:dyDescent="0.4">
      <c r="A22" s="19" t="s">
        <v>12</v>
      </c>
      <c r="B22" s="12">
        <v>54</v>
      </c>
      <c r="C22" s="6">
        <f>IF(B$20=0,0,B22/B$20)</f>
        <v>0.46551724137931033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6</v>
      </c>
      <c r="K22" s="74">
        <v>20</v>
      </c>
      <c r="L22" s="119">
        <v>81.5</v>
      </c>
      <c r="M22" s="117">
        <v>1464.7801468563262</v>
      </c>
    </row>
    <row r="23" spans="1:18" x14ac:dyDescent="0.4">
      <c r="A23" s="19" t="s">
        <v>11</v>
      </c>
      <c r="B23" s="12">
        <v>62</v>
      </c>
      <c r="C23" s="6">
        <f>IF(B$20=0,0,B23/B$20)</f>
        <v>0.53448275862068961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15.099999999999994</v>
      </c>
      <c r="M23" s="117">
        <v>1453.7114659751883</v>
      </c>
    </row>
    <row r="24" spans="1:18" x14ac:dyDescent="0.4">
      <c r="A24" s="19" t="s">
        <v>183</v>
      </c>
      <c r="B24" s="12">
        <v>46</v>
      </c>
      <c r="C24" s="6">
        <f>IF(B$20=0,0,B24/B$20)</f>
        <v>0.39655172413793105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17.999999999999993</v>
      </c>
      <c r="M24" s="117">
        <v>1455.1831971793372</v>
      </c>
    </row>
    <row r="25" spans="1:18" x14ac:dyDescent="0.4">
      <c r="A25" s="19" t="s">
        <v>181</v>
      </c>
      <c r="B25" s="12">
        <v>48</v>
      </c>
      <c r="C25" s="6">
        <f>IF(B$20=0,0,B25/B$20)</f>
        <v>0.41379310344827586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46.199999999999989</v>
      </c>
      <c r="M25" s="117">
        <v>1461.2000979962611</v>
      </c>
    </row>
    <row r="26" spans="1:18" x14ac:dyDescent="0.4">
      <c r="A26" s="19" t="s">
        <v>182</v>
      </c>
      <c r="B26" s="12">
        <v>22</v>
      </c>
      <c r="C26" s="6">
        <f>IF(B$20=0,0,B26/B$20)</f>
        <v>0.18965517241379309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16.79999999999999</v>
      </c>
      <c r="M26" s="117">
        <v>1456.9028974082835</v>
      </c>
    </row>
    <row r="27" spans="1:18" x14ac:dyDescent="0.4">
      <c r="A27" s="19" t="s">
        <v>5</v>
      </c>
      <c r="B27" s="16">
        <f>IF(B$20=0,0,C27/B$20)</f>
        <v>7512.0689655172409</v>
      </c>
      <c r="C27" s="8">
        <v>871400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60.699999999999989</v>
      </c>
      <c r="M27" s="117">
        <v>1465.8254800238337</v>
      </c>
    </row>
    <row r="28" spans="1:18" x14ac:dyDescent="0.4">
      <c r="A28" s="20" t="s">
        <v>165</v>
      </c>
      <c r="B28" s="95">
        <f>IF($B$20-B$19=0,0,C28/($B$20-B$19))</f>
        <v>9192.6470588235297</v>
      </c>
      <c r="C28" s="96">
        <v>625100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">
      <c r="A29" s="20" t="s">
        <v>166</v>
      </c>
      <c r="B29" s="95">
        <f>IF(B$19=0,0,C29/B$19)</f>
        <v>5131.25</v>
      </c>
      <c r="C29" s="96">
        <v>246300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17.199999999999989</v>
      </c>
      <c r="M29" s="117">
        <v>1459.8536799808285</v>
      </c>
    </row>
    <row r="30" spans="1:18" x14ac:dyDescent="0.4">
      <c r="A30" s="20" t="s">
        <v>164</v>
      </c>
      <c r="B30" s="95">
        <f>IF(B$21=0,0,C30/B$21)</f>
        <v>-8572.7272727272721</v>
      </c>
      <c r="C30" s="96">
        <v>-565800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61.199999999999989</v>
      </c>
      <c r="M30" s="117">
        <v>1468.6685579009436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36.699999999999989</v>
      </c>
      <c r="M31" s="117">
        <v>1465.0825465535379</v>
      </c>
    </row>
    <row r="32" spans="1:18" x14ac:dyDescent="0.4">
      <c r="A32" s="19" t="s">
        <v>158</v>
      </c>
      <c r="B32" s="12">
        <v>22</v>
      </c>
      <c r="C32" s="90">
        <v>9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11.199999999999989</v>
      </c>
      <c r="M32" s="117">
        <v>1461.3380512742167</v>
      </c>
    </row>
    <row r="33" spans="1:13" x14ac:dyDescent="0.4">
      <c r="A33" s="54" t="s">
        <v>136</v>
      </c>
      <c r="B33" s="135">
        <v>7</v>
      </c>
      <c r="C33" s="136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13.599999999999989</v>
      </c>
      <c r="M33" s="117">
        <v>1462.7040229665713</v>
      </c>
    </row>
    <row r="34" spans="1:13" x14ac:dyDescent="0.4">
      <c r="A34" s="22" t="s">
        <v>180</v>
      </c>
      <c r="B34" s="137">
        <v>89900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-9.3000000000000096</v>
      </c>
      <c r="M34" s="117">
        <v>1459.5077988287719</v>
      </c>
    </row>
    <row r="35" spans="1:13" x14ac:dyDescent="0.4">
      <c r="A35" s="21" t="s">
        <v>137</v>
      </c>
      <c r="B35" s="29">
        <v>1</v>
      </c>
      <c r="C35" s="9">
        <f>IF(B$3=0,0,B35/B$3)</f>
        <v>2.5000000000000001E-3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8.3999999999999897</v>
      </c>
      <c r="M35" s="117">
        <v>1463.4227520357992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-28.600000000000009</v>
      </c>
      <c r="M36" s="117">
        <v>1457.6782155235844</v>
      </c>
    </row>
    <row r="37" spans="1:13" x14ac:dyDescent="0.4">
      <c r="A37" s="54" t="s">
        <v>171</v>
      </c>
      <c r="B37" s="123">
        <v>15</v>
      </c>
      <c r="C37" s="98">
        <f t="shared" ref="C37:C49" si="2">IF(B$20=0,0,B37/B$20)</f>
        <v>0.12931034482758622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-19.900000000000009</v>
      </c>
      <c r="M37" s="117">
        <v>1460.1941462304428</v>
      </c>
    </row>
    <row r="38" spans="1:13" x14ac:dyDescent="0.4">
      <c r="A38" s="19" t="s">
        <v>167</v>
      </c>
      <c r="B38" s="12">
        <v>27</v>
      </c>
      <c r="C38" s="6">
        <f t="shared" si="2"/>
        <v>0.23275862068965517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-72.7</v>
      </c>
      <c r="M38" s="117">
        <v>1451.5589813530601</v>
      </c>
    </row>
    <row r="39" spans="1:13" x14ac:dyDescent="0.4">
      <c r="A39" s="19" t="s">
        <v>168</v>
      </c>
      <c r="B39" s="124">
        <v>24</v>
      </c>
      <c r="C39" s="6">
        <f t="shared" si="2"/>
        <v>0.20689655172413793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-7.7999999999999972</v>
      </c>
      <c r="M39" s="117">
        <v>1464.0596274649417</v>
      </c>
    </row>
    <row r="40" spans="1:13" x14ac:dyDescent="0.4">
      <c r="A40" s="19" t="s">
        <v>169</v>
      </c>
      <c r="B40" s="124">
        <v>22</v>
      </c>
      <c r="C40" s="6">
        <f t="shared" si="2"/>
        <v>0.18965517241379309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21.200000000000003</v>
      </c>
      <c r="M40" s="117">
        <v>1469.2492697001521</v>
      </c>
    </row>
    <row r="41" spans="1:13" x14ac:dyDescent="0.4">
      <c r="A41" s="19" t="s">
        <v>170</v>
      </c>
      <c r="B41" s="124">
        <v>6</v>
      </c>
      <c r="C41" s="6">
        <f t="shared" si="2"/>
        <v>5.1724137931034482E-2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53.800000000000004</v>
      </c>
      <c r="M41" s="117">
        <v>1475.0557740819513</v>
      </c>
    </row>
    <row r="42" spans="1:13" x14ac:dyDescent="0.4">
      <c r="A42" s="19" t="s">
        <v>172</v>
      </c>
      <c r="B42" s="124">
        <v>5</v>
      </c>
      <c r="C42" s="6">
        <f t="shared" si="2"/>
        <v>4.3103448275862072E-2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25.700000000000003</v>
      </c>
      <c r="M42" s="117">
        <v>1470.3574394374596</v>
      </c>
    </row>
    <row r="43" spans="1:13" x14ac:dyDescent="0.4">
      <c r="A43" s="19" t="s">
        <v>173</v>
      </c>
      <c r="B43" s="124">
        <v>5</v>
      </c>
      <c r="C43" s="6">
        <f t="shared" si="2"/>
        <v>4.3103448275862072E-2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-14.299999999999997</v>
      </c>
      <c r="M43" s="117">
        <v>1464.0552948008349</v>
      </c>
    </row>
    <row r="44" spans="1:13" x14ac:dyDescent="0.4">
      <c r="A44" s="19" t="s">
        <v>174</v>
      </c>
      <c r="B44" s="124">
        <v>2</v>
      </c>
      <c r="C44" s="6">
        <f t="shared" si="2"/>
        <v>1.7241379310344827E-2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-64.599999999999994</v>
      </c>
      <c r="M44" s="117">
        <v>1455.9369630320298</v>
      </c>
    </row>
    <row r="45" spans="1:13" x14ac:dyDescent="0.4">
      <c r="A45" s="19" t="s">
        <v>175</v>
      </c>
      <c r="B45" s="124">
        <v>4</v>
      </c>
      <c r="C45" s="6">
        <f t="shared" si="2"/>
        <v>3.4482758620689655E-2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-110.1</v>
      </c>
      <c r="M45" s="117">
        <v>1448.7493412538377</v>
      </c>
    </row>
    <row r="46" spans="1:13" x14ac:dyDescent="0.4">
      <c r="A46" s="19" t="s">
        <v>176</v>
      </c>
      <c r="B46" s="124">
        <v>4</v>
      </c>
      <c r="C46" s="6">
        <f t="shared" si="2"/>
        <v>3.4482758620689655E-2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-134</v>
      </c>
      <c r="M46" s="117">
        <v>1445.4388452063147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-146.69999999999999</v>
      </c>
      <c r="M47" s="117">
        <v>1444.1642121350767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2</v>
      </c>
      <c r="C49" s="9">
        <f t="shared" si="2"/>
        <v>1.7241379310344827E-2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A4B1-6AED-44D6-A373-925163AFAFA6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190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34</v>
      </c>
      <c r="C2" s="142"/>
      <c r="E2" s="26" t="s">
        <v>66</v>
      </c>
      <c r="F2" s="23" t="s">
        <v>22</v>
      </c>
      <c r="G2" s="11">
        <v>68</v>
      </c>
      <c r="H2" s="87">
        <f>IF(B$20=0,0,G2/B$20)</f>
        <v>0.87179487179487181</v>
      </c>
      <c r="I2" s="57">
        <v>3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1285.2941176470588</v>
      </c>
      <c r="Q2" s="76">
        <v>34</v>
      </c>
      <c r="R2" s="63">
        <v>43700</v>
      </c>
    </row>
    <row r="3" spans="1:18" x14ac:dyDescent="0.4">
      <c r="A3" s="19" t="s">
        <v>8</v>
      </c>
      <c r="B3" s="143">
        <v>296</v>
      </c>
      <c r="C3" s="144"/>
      <c r="E3" s="27" t="s">
        <v>72</v>
      </c>
      <c r="F3" s="24" t="s">
        <v>27</v>
      </c>
      <c r="G3" s="12">
        <v>45</v>
      </c>
      <c r="H3" s="88">
        <f>IF(B$20=0,0,G3/B$20)</f>
        <v>0.57692307692307687</v>
      </c>
      <c r="I3" s="58">
        <v>8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682.35294117647061</v>
      </c>
      <c r="Q3" s="77">
        <v>34</v>
      </c>
      <c r="R3" s="64">
        <v>23200</v>
      </c>
    </row>
    <row r="4" spans="1:18" x14ac:dyDescent="0.4">
      <c r="A4" s="19" t="s">
        <v>6</v>
      </c>
      <c r="B4" s="145">
        <v>59.89999999999997</v>
      </c>
      <c r="C4" s="146"/>
      <c r="E4" s="27" t="s">
        <v>64</v>
      </c>
      <c r="F4" s="24" t="s">
        <v>20</v>
      </c>
      <c r="G4" s="12">
        <v>38</v>
      </c>
      <c r="H4" s="88">
        <f>IF(B$20=0,0,G4/B$20)</f>
        <v>0.48717948717948717</v>
      </c>
      <c r="I4" s="58">
        <v>3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1012.1212121212121</v>
      </c>
      <c r="Q4" s="77">
        <v>33</v>
      </c>
      <c r="R4" s="64">
        <v>33400</v>
      </c>
    </row>
    <row r="5" spans="1:18" x14ac:dyDescent="0.4">
      <c r="A5" s="19" t="s">
        <v>7</v>
      </c>
      <c r="B5" s="133">
        <f>IF(B$2=0,0,B$4/B$2)</f>
        <v>1.761764705882352</v>
      </c>
      <c r="C5" s="134"/>
      <c r="E5" s="27" t="s">
        <v>159</v>
      </c>
      <c r="F5" s="24" t="s">
        <v>160</v>
      </c>
      <c r="G5" s="12">
        <v>35</v>
      </c>
      <c r="H5" s="88">
        <f>IF(B$20=0,0,G5/B$20)</f>
        <v>0.44871794871794873</v>
      </c>
      <c r="I5" s="58">
        <v>4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-2565.5172413793102</v>
      </c>
      <c r="Q5" s="77">
        <v>29</v>
      </c>
      <c r="R5" s="64">
        <v>-74400</v>
      </c>
    </row>
    <row r="6" spans="1:18" x14ac:dyDescent="0.4">
      <c r="A6" s="19" t="s">
        <v>196</v>
      </c>
      <c r="B6" s="137">
        <v>1552.0582707777592</v>
      </c>
      <c r="C6" s="138"/>
      <c r="E6" s="27" t="s">
        <v>68</v>
      </c>
      <c r="F6" s="24" t="s">
        <v>12</v>
      </c>
      <c r="G6" s="12">
        <v>20</v>
      </c>
      <c r="H6" s="88">
        <f>IF(B$20=0,0,G6/B$20)</f>
        <v>0.25641025641025639</v>
      </c>
      <c r="I6" s="58">
        <v>11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2296.1538461538462</v>
      </c>
      <c r="Q6" s="77">
        <v>26</v>
      </c>
      <c r="R6" s="64">
        <v>59700</v>
      </c>
    </row>
    <row r="7" spans="1:18" x14ac:dyDescent="0.4">
      <c r="A7" s="19" t="s">
        <v>1</v>
      </c>
      <c r="B7" s="147">
        <f>IF(B$2=0,0,(B$8*1+B$9*2+B$10*3)/B$2)</f>
        <v>1.911764705882353</v>
      </c>
      <c r="C7" s="148"/>
      <c r="E7" s="27" t="s">
        <v>67</v>
      </c>
      <c r="F7" s="24" t="s">
        <v>23</v>
      </c>
      <c r="G7" s="12">
        <v>17</v>
      </c>
      <c r="H7" s="88">
        <f>IF(B$20=0,0,G7/B$20)</f>
        <v>0.21794871794871795</v>
      </c>
      <c r="I7" s="58">
        <v>8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-890.90909090909088</v>
      </c>
      <c r="Q7" s="78">
        <v>22</v>
      </c>
      <c r="R7" s="65">
        <v>-19600</v>
      </c>
    </row>
    <row r="8" spans="1:18" x14ac:dyDescent="0.4">
      <c r="A8" s="19" t="s">
        <v>2</v>
      </c>
      <c r="B8" s="12">
        <v>10</v>
      </c>
      <c r="C8" s="6">
        <f t="shared" ref="C8:C15" si="1">IF(B$2=0,0,B8/B$2)</f>
        <v>0.29411764705882354</v>
      </c>
      <c r="E8" s="27" t="s">
        <v>65</v>
      </c>
      <c r="F8" s="24" t="s">
        <v>21</v>
      </c>
      <c r="G8" s="12">
        <v>14</v>
      </c>
      <c r="H8" s="88">
        <f>IF(B$20=0,0,G8/B$20)</f>
        <v>0.17948717948717949</v>
      </c>
      <c r="I8" s="58">
        <v>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">
      <c r="A9" s="19" t="s">
        <v>3</v>
      </c>
      <c r="B9" s="12">
        <v>17</v>
      </c>
      <c r="C9" s="6">
        <f t="shared" si="1"/>
        <v>0.5</v>
      </c>
      <c r="E9" s="27" t="s">
        <v>69</v>
      </c>
      <c r="F9" s="24" t="s">
        <v>24</v>
      </c>
      <c r="G9" s="12">
        <v>13</v>
      </c>
      <c r="H9" s="88">
        <f>IF(B$20=0,0,G9/B$20)</f>
        <v>0.16666666666666666</v>
      </c>
      <c r="I9" s="58">
        <v>3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7</v>
      </c>
      <c r="C10" s="7">
        <f t="shared" si="1"/>
        <v>0.20588235294117646</v>
      </c>
      <c r="E10" s="27" t="s">
        <v>89</v>
      </c>
      <c r="F10" s="24" t="s">
        <v>44</v>
      </c>
      <c r="G10" s="12">
        <v>8</v>
      </c>
      <c r="H10" s="88">
        <f>IF(B$20=0,0,G10/B$20)</f>
        <v>0.10256410256410256</v>
      </c>
      <c r="I10" s="58">
        <v>9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-4.24</v>
      </c>
      <c r="Q10" s="76">
        <v>10</v>
      </c>
      <c r="R10" s="67">
        <v>-42.4</v>
      </c>
    </row>
    <row r="11" spans="1:18" x14ac:dyDescent="0.4">
      <c r="A11" s="20" t="s">
        <v>184</v>
      </c>
      <c r="B11" s="109">
        <f>IF(B8=0,0,C11/B8)</f>
        <v>34.799999999999997</v>
      </c>
      <c r="C11" s="110">
        <v>348</v>
      </c>
      <c r="E11" s="27" t="s">
        <v>86</v>
      </c>
      <c r="F11" s="24" t="s">
        <v>41</v>
      </c>
      <c r="G11" s="12">
        <v>7</v>
      </c>
      <c r="H11" s="88">
        <f>IF(B$20=0,0,G11/B$20)</f>
        <v>8.9743589743589744E-2</v>
      </c>
      <c r="I11" s="58">
        <v>2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-3.35</v>
      </c>
      <c r="Q11" s="77">
        <v>14</v>
      </c>
      <c r="R11" s="68">
        <v>-46.9</v>
      </c>
    </row>
    <row r="12" spans="1:18" x14ac:dyDescent="0.4">
      <c r="A12" s="20" t="s">
        <v>185</v>
      </c>
      <c r="B12" s="109">
        <f>IF(B9=0,0,C12/B9)</f>
        <v>-1.9941176470588236</v>
      </c>
      <c r="C12" s="110">
        <v>-33.9</v>
      </c>
      <c r="E12" s="27" t="s">
        <v>70</v>
      </c>
      <c r="F12" s="24" t="s">
        <v>25</v>
      </c>
      <c r="G12" s="12">
        <v>6</v>
      </c>
      <c r="H12" s="88">
        <f>IF(B$20=0,0,G12/B$20)</f>
        <v>7.6923076923076927E-2</v>
      </c>
      <c r="I12" s="58">
        <v>7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14.919999999999998</v>
      </c>
      <c r="Q12" s="78">
        <v>10</v>
      </c>
      <c r="R12" s="69">
        <v>149.19999999999999</v>
      </c>
    </row>
    <row r="13" spans="1:18" x14ac:dyDescent="0.4">
      <c r="A13" s="20" t="s">
        <v>186</v>
      </c>
      <c r="B13" s="109">
        <f>IF(B10=0,0,C13/B10)</f>
        <v>-36.314285714285717</v>
      </c>
      <c r="C13" s="110">
        <v>-254.20000000000002</v>
      </c>
      <c r="E13" s="27" t="s">
        <v>83</v>
      </c>
      <c r="F13" s="24" t="s">
        <v>38</v>
      </c>
      <c r="G13" s="12">
        <v>4</v>
      </c>
      <c r="H13" s="88">
        <f>IF(B$20=0,0,G13/B$20)</f>
        <v>5.128205128205128E-2</v>
      </c>
      <c r="I13" s="58">
        <v>5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-1.1694677871148471</v>
      </c>
      <c r="C14" s="134"/>
      <c r="E14" s="27" t="s">
        <v>71</v>
      </c>
      <c r="F14" s="24" t="s">
        <v>26</v>
      </c>
      <c r="G14" s="12">
        <v>2</v>
      </c>
      <c r="H14" s="88">
        <f>IF(B$20=0,0,G14/B$20)</f>
        <v>2.564102564102564E-2</v>
      </c>
      <c r="I14" s="58">
        <v>10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5.8823529411764705E-2</v>
      </c>
      <c r="E15" s="27" t="s">
        <v>79</v>
      </c>
      <c r="F15" s="24" t="s">
        <v>34</v>
      </c>
      <c r="G15" s="12">
        <v>2</v>
      </c>
      <c r="H15" s="88">
        <f>IF(B$20=0,0,G15/B$20)</f>
        <v>2.564102564102564E-2</v>
      </c>
      <c r="I15" s="58">
        <v>2</v>
      </c>
      <c r="K15" s="74">
        <v>13</v>
      </c>
      <c r="L15" s="119">
        <v>-93.500000000000014</v>
      </c>
      <c r="M15" s="117">
        <v>1513.7987256195274</v>
      </c>
      <c r="O15" s="73" t="s">
        <v>192</v>
      </c>
      <c r="P15" s="82">
        <f t="shared" ref="P15:P20" si="2">IF(Q15=0,0,R15/Q15)</f>
        <v>9.2090909090909108</v>
      </c>
      <c r="Q15" s="76">
        <v>11</v>
      </c>
      <c r="R15" s="67">
        <v>101.30000000000001</v>
      </c>
    </row>
    <row r="16" spans="1:18" x14ac:dyDescent="0.4">
      <c r="A16" s="22" t="s">
        <v>121</v>
      </c>
      <c r="B16" s="15">
        <v>78</v>
      </c>
      <c r="C16" s="10">
        <f>IF(B$3=0,0,B16/B$3)</f>
        <v>0.26351351351351349</v>
      </c>
      <c r="E16" s="27" t="s">
        <v>81</v>
      </c>
      <c r="F16" s="24" t="s">
        <v>36</v>
      </c>
      <c r="G16" s="12">
        <v>2</v>
      </c>
      <c r="H16" s="88">
        <f>IF(B$20=0,0,G16/B$20)</f>
        <v>2.564102564102564E-2</v>
      </c>
      <c r="I16" s="58">
        <v>10</v>
      </c>
      <c r="K16" s="74">
        <v>14</v>
      </c>
      <c r="L16" s="119">
        <v>-79.200000000000017</v>
      </c>
      <c r="M16" s="117">
        <v>1517.1299332658102</v>
      </c>
      <c r="O16" s="74" t="s">
        <v>163</v>
      </c>
      <c r="P16" s="83">
        <f t="shared" si="2"/>
        <v>8.7866666666666671</v>
      </c>
      <c r="Q16" s="77">
        <v>15</v>
      </c>
      <c r="R16" s="68">
        <v>131.80000000000001</v>
      </c>
    </row>
    <row r="17" spans="1:18" x14ac:dyDescent="0.4">
      <c r="A17" s="19" t="s">
        <v>118</v>
      </c>
      <c r="B17" s="12">
        <v>58</v>
      </c>
      <c r="C17" s="6">
        <f>IF(B$3=0,0,B17/B$3)</f>
        <v>0.19594594594594594</v>
      </c>
      <c r="E17" s="27" t="s">
        <v>77</v>
      </c>
      <c r="F17" s="24" t="s">
        <v>32</v>
      </c>
      <c r="G17" s="12">
        <v>1</v>
      </c>
      <c r="H17" s="88">
        <f>IF(B$20=0,0,G17/B$20)</f>
        <v>1.282051282051282E-2</v>
      </c>
      <c r="I17" s="58">
        <v>2</v>
      </c>
      <c r="K17" s="74">
        <v>15</v>
      </c>
      <c r="L17" s="119">
        <v>-44.200000000000017</v>
      </c>
      <c r="M17" s="117">
        <v>1524.1671536662154</v>
      </c>
      <c r="O17" s="74" t="s">
        <v>211</v>
      </c>
      <c r="P17" s="83">
        <f t="shared" si="2"/>
        <v>6.5555555555555571</v>
      </c>
      <c r="Q17" s="77">
        <v>9</v>
      </c>
      <c r="R17" s="68">
        <v>59.000000000000014</v>
      </c>
    </row>
    <row r="18" spans="1:18" x14ac:dyDescent="0.4">
      <c r="A18" s="18" t="s">
        <v>123</v>
      </c>
      <c r="B18" s="11">
        <f>B24</f>
        <v>40</v>
      </c>
      <c r="C18" s="5">
        <f>IF(B$16=0,0,B18/B$16)</f>
        <v>0.51282051282051277</v>
      </c>
      <c r="E18" s="27" t="s">
        <v>78</v>
      </c>
      <c r="F18" s="24" t="s">
        <v>33</v>
      </c>
      <c r="G18" s="12">
        <v>1</v>
      </c>
      <c r="H18" s="88">
        <f>IF(B$20=0,0,G18/B$20)</f>
        <v>1.282051282051282E-2</v>
      </c>
      <c r="I18" s="58">
        <v>10</v>
      </c>
      <c r="K18" s="74">
        <v>16</v>
      </c>
      <c r="L18" s="119">
        <v>-49.800000000000018</v>
      </c>
      <c r="M18" s="117">
        <v>1523.8481507442182</v>
      </c>
      <c r="O18" s="74" t="s">
        <v>126</v>
      </c>
      <c r="P18" s="83">
        <f t="shared" si="2"/>
        <v>0.33928571428571352</v>
      </c>
      <c r="Q18" s="77">
        <v>28</v>
      </c>
      <c r="R18" s="68">
        <v>9.4999999999999787</v>
      </c>
    </row>
    <row r="19" spans="1:18" x14ac:dyDescent="0.4">
      <c r="A19" s="18" t="s">
        <v>124</v>
      </c>
      <c r="B19" s="11">
        <f>B25</f>
        <v>22</v>
      </c>
      <c r="C19" s="5">
        <f>IF(B$17=0,0,B19/B$17)</f>
        <v>0.37931034482758619</v>
      </c>
      <c r="E19" s="27" t="s">
        <v>91</v>
      </c>
      <c r="F19" s="24" t="s">
        <v>46</v>
      </c>
      <c r="G19" s="12">
        <v>1</v>
      </c>
      <c r="H19" s="88">
        <f>IF(B$20=0,0,G19/B$20)</f>
        <v>1.282051282051282E-2</v>
      </c>
      <c r="I19" s="58">
        <v>6</v>
      </c>
      <c r="K19" s="74">
        <v>17</v>
      </c>
      <c r="L19" s="119">
        <v>-47.800000000000018</v>
      </c>
      <c r="M19" s="117">
        <v>1524.9050618397528</v>
      </c>
      <c r="O19" s="74" t="s">
        <v>195</v>
      </c>
      <c r="P19" s="83">
        <f t="shared" si="2"/>
        <v>-12.55</v>
      </c>
      <c r="Q19" s="77">
        <v>2</v>
      </c>
      <c r="R19" s="68">
        <v>-25.1</v>
      </c>
    </row>
    <row r="20" spans="1:18" x14ac:dyDescent="0.4">
      <c r="A20" s="18" t="s">
        <v>10</v>
      </c>
      <c r="B20" s="11">
        <f>B23+B22</f>
        <v>78</v>
      </c>
      <c r="C20" s="5">
        <f>IF(B$3=0,0,B20/B$3)</f>
        <v>0.26351351351351349</v>
      </c>
      <c r="E20" s="27" t="s">
        <v>73</v>
      </c>
      <c r="F20" s="24" t="s">
        <v>28</v>
      </c>
      <c r="G20" s="12">
        <v>0</v>
      </c>
      <c r="H20" s="88">
        <f>IF(B$20=0,0,G20/B$20)</f>
        <v>0</v>
      </c>
      <c r="I20" s="58">
        <v>6</v>
      </c>
      <c r="K20" s="74">
        <v>18</v>
      </c>
      <c r="L20" s="119">
        <v>-22.100000000000019</v>
      </c>
      <c r="M20" s="117">
        <v>1530.0056314687142</v>
      </c>
      <c r="O20" s="74" t="s">
        <v>189</v>
      </c>
      <c r="P20" s="83">
        <f t="shared" si="2"/>
        <v>-32.266666666666673</v>
      </c>
      <c r="Q20" s="77">
        <v>3</v>
      </c>
      <c r="R20" s="68">
        <v>-96.800000000000011</v>
      </c>
    </row>
    <row r="21" spans="1:18" x14ac:dyDescent="0.4">
      <c r="A21" s="19" t="s">
        <v>13</v>
      </c>
      <c r="B21" s="12">
        <v>27</v>
      </c>
      <c r="C21" s="6">
        <f>IF(B$3=0,0,B21/B$3)</f>
        <v>9.1216216216216214E-2</v>
      </c>
      <c r="E21" s="27" t="s">
        <v>74</v>
      </c>
      <c r="F21" s="24" t="s">
        <v>29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-9.6000000000000192</v>
      </c>
      <c r="M21" s="117">
        <v>1531.9675976799019</v>
      </c>
    </row>
    <row r="22" spans="1:18" x14ac:dyDescent="0.4">
      <c r="A22" s="19" t="s">
        <v>12</v>
      </c>
      <c r="B22" s="12">
        <v>25</v>
      </c>
      <c r="C22" s="6">
        <f>IF(B$20=0,0,B22/B$20)</f>
        <v>0.32051282051282054</v>
      </c>
      <c r="E22" s="27" t="s">
        <v>75</v>
      </c>
      <c r="F22" s="24" t="s">
        <v>30</v>
      </c>
      <c r="G22" s="12">
        <v>0</v>
      </c>
      <c r="H22" s="88">
        <f>IF(B$20=0,0,G22/B$20)</f>
        <v>0</v>
      </c>
      <c r="I22" s="58">
        <v>5</v>
      </c>
      <c r="K22" s="74">
        <v>20</v>
      </c>
      <c r="L22" s="119">
        <v>-19.40000000000002</v>
      </c>
      <c r="M22" s="117">
        <v>1530.8037920938225</v>
      </c>
    </row>
    <row r="23" spans="1:18" x14ac:dyDescent="0.4">
      <c r="A23" s="19" t="s">
        <v>11</v>
      </c>
      <c r="B23" s="12">
        <v>53</v>
      </c>
      <c r="C23" s="6">
        <f>IF(B$20=0,0,B23/B$20)</f>
        <v>0.67948717948717952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31.499999999999979</v>
      </c>
      <c r="M23" s="117">
        <v>1540.0509693412596</v>
      </c>
    </row>
    <row r="24" spans="1:18" x14ac:dyDescent="0.4">
      <c r="A24" s="19" t="s">
        <v>183</v>
      </c>
      <c r="B24" s="12">
        <v>40</v>
      </c>
      <c r="C24" s="6">
        <f>IF(B$20=0,0,B24/B$20)</f>
        <v>0.51282051282051277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33.299999999999976</v>
      </c>
      <c r="M24" s="117">
        <v>1540.560663525212</v>
      </c>
    </row>
    <row r="25" spans="1:18" x14ac:dyDescent="0.4">
      <c r="A25" s="19" t="s">
        <v>181</v>
      </c>
      <c r="B25" s="12">
        <v>22</v>
      </c>
      <c r="C25" s="6">
        <f>IF(B$20=0,0,B25/B$20)</f>
        <v>0.28205128205128205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27.799999999999976</v>
      </c>
      <c r="M25" s="117">
        <v>1539.8552995440607</v>
      </c>
    </row>
    <row r="26" spans="1:18" x14ac:dyDescent="0.4">
      <c r="A26" s="19" t="s">
        <v>182</v>
      </c>
      <c r="B26" s="12">
        <v>16</v>
      </c>
      <c r="C26" s="6">
        <f>IF(B$20=0,0,B26/B$20)</f>
        <v>0.20512820512820512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25.099999999999977</v>
      </c>
      <c r="M26" s="117">
        <v>1539.8921677467963</v>
      </c>
    </row>
    <row r="27" spans="1:18" x14ac:dyDescent="0.4">
      <c r="A27" s="19" t="s">
        <v>5</v>
      </c>
      <c r="B27" s="16">
        <f>IF(B$20=0,0,C27/B$20)</f>
        <v>7982.0512820512822</v>
      </c>
      <c r="C27" s="8">
        <v>622600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  <c r="K27" s="74">
        <v>25</v>
      </c>
      <c r="L27" s="119">
        <v>-26.900000000000023</v>
      </c>
      <c r="M27" s="117">
        <v>1531.0608147403154</v>
      </c>
    </row>
    <row r="28" spans="1:18" x14ac:dyDescent="0.4">
      <c r="A28" s="20" t="s">
        <v>165</v>
      </c>
      <c r="B28" s="95">
        <f>IF($B$20-B$19=0,0,C28/($B$20-B$19))</f>
        <v>7742.8571428571431</v>
      </c>
      <c r="C28" s="96">
        <v>433600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-31.000000000000021</v>
      </c>
      <c r="M28" s="117">
        <v>1530.4544498518735</v>
      </c>
    </row>
    <row r="29" spans="1:18" x14ac:dyDescent="0.4">
      <c r="A29" s="20" t="s">
        <v>166</v>
      </c>
      <c r="B29" s="95">
        <f>IF(B$19=0,0,C29/B$19)</f>
        <v>8590.9090909090901</v>
      </c>
      <c r="C29" s="96">
        <v>189000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6</v>
      </c>
      <c r="K29" s="74">
        <v>27</v>
      </c>
      <c r="L29" s="119">
        <v>-38.500000000000021</v>
      </c>
      <c r="M29" s="117">
        <v>1529.7617231527622</v>
      </c>
    </row>
    <row r="30" spans="1:18" x14ac:dyDescent="0.4">
      <c r="A30" s="20" t="s">
        <v>164</v>
      </c>
      <c r="B30" s="95">
        <f>IF(B$21=0,0,C30/B$21)</f>
        <v>-6151.8518518518522</v>
      </c>
      <c r="C30" s="96">
        <v>-166100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-67.300000000000026</v>
      </c>
      <c r="M30" s="117">
        <v>1525.2391528138457</v>
      </c>
    </row>
    <row r="31" spans="1:18" x14ac:dyDescent="0.4">
      <c r="A31" s="19" t="s">
        <v>157</v>
      </c>
      <c r="B31" s="12">
        <v>4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-35.300000000000026</v>
      </c>
      <c r="M31" s="117">
        <v>1531.7177178969628</v>
      </c>
    </row>
    <row r="32" spans="1:18" x14ac:dyDescent="0.4">
      <c r="A32" s="19" t="s">
        <v>158</v>
      </c>
      <c r="B32" s="12">
        <v>46</v>
      </c>
      <c r="C32" s="90">
        <v>13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-9.3000000000000256</v>
      </c>
      <c r="M32" s="117">
        <v>1537.0774115895811</v>
      </c>
    </row>
    <row r="33" spans="1:13" x14ac:dyDescent="0.4">
      <c r="A33" s="54" t="s">
        <v>136</v>
      </c>
      <c r="B33" s="135">
        <v>7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22.999999999999972</v>
      </c>
      <c r="M33" s="117">
        <v>1543.5389471200435</v>
      </c>
    </row>
    <row r="34" spans="1:13" x14ac:dyDescent="0.4">
      <c r="A34" s="22" t="s">
        <v>180</v>
      </c>
      <c r="B34" s="137">
        <v>85000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-0.400000000000027</v>
      </c>
      <c r="M34" s="117">
        <v>1539.9417134373232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-0.10000000000002701</v>
      </c>
      <c r="M35" s="117">
        <v>1540.6320631566994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59.89999999999997</v>
      </c>
      <c r="M36" s="117">
        <v>1552.0582707777592</v>
      </c>
    </row>
    <row r="37" spans="1:13" x14ac:dyDescent="0.4">
      <c r="A37" s="54" t="s">
        <v>171</v>
      </c>
      <c r="B37" s="123">
        <v>2</v>
      </c>
      <c r="C37" s="98">
        <f t="shared" ref="C37:C49" si="3">IF(B$20=0,0,B37/B$20)</f>
        <v>2.564102564102564E-2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13" x14ac:dyDescent="0.4">
      <c r="A38" s="19" t="s">
        <v>167</v>
      </c>
      <c r="B38" s="12">
        <v>13</v>
      </c>
      <c r="C38" s="6">
        <f t="shared" si="3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13" x14ac:dyDescent="0.4">
      <c r="A39" s="19" t="s">
        <v>168</v>
      </c>
      <c r="B39" s="124">
        <v>18</v>
      </c>
      <c r="C39" s="6">
        <f t="shared" si="3"/>
        <v>0.23076923076923078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13" x14ac:dyDescent="0.4">
      <c r="A40" s="19" t="s">
        <v>169</v>
      </c>
      <c r="B40" s="124">
        <v>22</v>
      </c>
      <c r="C40" s="6">
        <f t="shared" si="3"/>
        <v>0.28205128205128205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">
      <c r="A41" s="19" t="s">
        <v>170</v>
      </c>
      <c r="B41" s="124">
        <v>9</v>
      </c>
      <c r="C41" s="6">
        <f t="shared" si="3"/>
        <v>0.11538461538461539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13" x14ac:dyDescent="0.4">
      <c r="A42" s="19" t="s">
        <v>172</v>
      </c>
      <c r="B42" s="124">
        <v>6</v>
      </c>
      <c r="C42" s="6">
        <f t="shared" si="3"/>
        <v>7.6923076923076927E-2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173</v>
      </c>
      <c r="B43" s="124">
        <v>3</v>
      </c>
      <c r="C43" s="6">
        <f t="shared" si="3"/>
        <v>3.8461538461538464E-2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4</v>
      </c>
      <c r="C44" s="6">
        <f t="shared" si="3"/>
        <v>5.128205128205128E-2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1</v>
      </c>
      <c r="C45" s="6">
        <f t="shared" si="3"/>
        <v>1.282051282051282E-2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13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9501-8969-479A-B906-D7C37D6CED0D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45</v>
      </c>
      <c r="C2" s="142"/>
      <c r="E2" s="26" t="s">
        <v>66</v>
      </c>
      <c r="F2" s="23" t="s">
        <v>22</v>
      </c>
      <c r="G2" s="11">
        <v>84</v>
      </c>
      <c r="H2" s="87">
        <f>IF(B$20=0,0,G2/B$20)</f>
        <v>0.71186440677966101</v>
      </c>
      <c r="I2" s="57">
        <v>10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-564.44444444444446</v>
      </c>
      <c r="Q2" s="76">
        <v>45</v>
      </c>
      <c r="R2" s="63">
        <v>-25400</v>
      </c>
    </row>
    <row r="3" spans="1:18" x14ac:dyDescent="0.4">
      <c r="A3" s="19" t="s">
        <v>8</v>
      </c>
      <c r="B3" s="143">
        <v>386</v>
      </c>
      <c r="C3" s="144"/>
      <c r="E3" s="27" t="s">
        <v>72</v>
      </c>
      <c r="F3" s="24" t="s">
        <v>27</v>
      </c>
      <c r="G3" s="12">
        <v>70</v>
      </c>
      <c r="H3" s="88">
        <f>IF(B$20=0,0,G3/B$20)</f>
        <v>0.59322033898305082</v>
      </c>
      <c r="I3" s="58">
        <v>7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786.66666666666663</v>
      </c>
      <c r="Q3" s="77">
        <v>45</v>
      </c>
      <c r="R3" s="64">
        <v>35400</v>
      </c>
    </row>
    <row r="4" spans="1:18" x14ac:dyDescent="0.4">
      <c r="A4" s="19" t="s">
        <v>6</v>
      </c>
      <c r="B4" s="145">
        <v>157.69999999999999</v>
      </c>
      <c r="C4" s="146"/>
      <c r="E4" s="27" t="s">
        <v>64</v>
      </c>
      <c r="F4" s="24" t="s">
        <v>20</v>
      </c>
      <c r="G4" s="12">
        <v>51</v>
      </c>
      <c r="H4" s="88">
        <f>IF(B$20=0,0,G4/B$20)</f>
        <v>0.43220338983050849</v>
      </c>
      <c r="I4" s="58">
        <v>7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1477.7777777777778</v>
      </c>
      <c r="Q4" s="77">
        <v>45</v>
      </c>
      <c r="R4" s="64">
        <v>66500</v>
      </c>
    </row>
    <row r="5" spans="1:18" x14ac:dyDescent="0.4">
      <c r="A5" s="19" t="s">
        <v>7</v>
      </c>
      <c r="B5" s="133">
        <f>IF(B$2=0,0,B$4/B$2)</f>
        <v>3.5044444444444443</v>
      </c>
      <c r="C5" s="134"/>
      <c r="E5" s="27" t="s">
        <v>159</v>
      </c>
      <c r="F5" s="24" t="s">
        <v>160</v>
      </c>
      <c r="G5" s="12">
        <v>38</v>
      </c>
      <c r="H5" s="88">
        <f>IF(B$20=0,0,G5/B$20)</f>
        <v>0.32203389830508472</v>
      </c>
      <c r="I5" s="58">
        <v>11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-152.38095238095238</v>
      </c>
      <c r="Q5" s="77">
        <v>42</v>
      </c>
      <c r="R5" s="64">
        <v>-6400</v>
      </c>
    </row>
    <row r="6" spans="1:18" x14ac:dyDescent="0.4">
      <c r="A6" s="19" t="s">
        <v>196</v>
      </c>
      <c r="B6" s="137">
        <v>1534.3633776946201</v>
      </c>
      <c r="C6" s="138"/>
      <c r="E6" s="27" t="s">
        <v>67</v>
      </c>
      <c r="F6" s="24" t="s">
        <v>23</v>
      </c>
      <c r="G6" s="12">
        <v>31</v>
      </c>
      <c r="H6" s="88">
        <f>IF(B$20=0,0,G6/B$20)</f>
        <v>0.26271186440677968</v>
      </c>
      <c r="I6" s="58">
        <v>4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402.63157894736844</v>
      </c>
      <c r="Q6" s="77">
        <v>38</v>
      </c>
      <c r="R6" s="64">
        <v>15300</v>
      </c>
    </row>
    <row r="7" spans="1:18" x14ac:dyDescent="0.4">
      <c r="A7" s="19" t="s">
        <v>1</v>
      </c>
      <c r="B7" s="147">
        <f>IF(B$2=0,0,(B$8*1+B$9*2+B$10*3)/B$2)</f>
        <v>1.9111111111111112</v>
      </c>
      <c r="C7" s="148"/>
      <c r="E7" s="27" t="s">
        <v>68</v>
      </c>
      <c r="F7" s="24" t="s">
        <v>12</v>
      </c>
      <c r="G7" s="12">
        <v>31</v>
      </c>
      <c r="H7" s="88">
        <f>IF(B$20=0,0,G7/B$20)</f>
        <v>0.26271186440677968</v>
      </c>
      <c r="I7" s="58">
        <v>9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1491.6666666666667</v>
      </c>
      <c r="Q7" s="78">
        <v>36</v>
      </c>
      <c r="R7" s="65">
        <v>53700</v>
      </c>
    </row>
    <row r="8" spans="1:18" x14ac:dyDescent="0.4">
      <c r="A8" s="19" t="s">
        <v>2</v>
      </c>
      <c r="B8" s="12">
        <v>18</v>
      </c>
      <c r="C8" s="6">
        <f t="shared" ref="C8:C15" si="1">IF(B$2=0,0,B8/B$2)</f>
        <v>0.4</v>
      </c>
      <c r="E8" s="27" t="s">
        <v>89</v>
      </c>
      <c r="F8" s="24" t="s">
        <v>44</v>
      </c>
      <c r="G8" s="12">
        <v>20</v>
      </c>
      <c r="H8" s="88">
        <f>IF(B$20=0,0,G8/B$20)</f>
        <v>0.16949152542372881</v>
      </c>
      <c r="I8" s="58">
        <v>4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">
      <c r="A9" s="19" t="s">
        <v>3</v>
      </c>
      <c r="B9" s="12">
        <v>13</v>
      </c>
      <c r="C9" s="6">
        <f t="shared" si="1"/>
        <v>0.28888888888888886</v>
      </c>
      <c r="E9" s="27" t="s">
        <v>69</v>
      </c>
      <c r="F9" s="24" t="s">
        <v>24</v>
      </c>
      <c r="G9" s="12">
        <v>17</v>
      </c>
      <c r="H9" s="88">
        <f>IF(B$20=0,0,G9/B$20)</f>
        <v>0.1440677966101695</v>
      </c>
      <c r="I9" s="58">
        <v>4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14</v>
      </c>
      <c r="C10" s="7">
        <f t="shared" si="1"/>
        <v>0.31111111111111112</v>
      </c>
      <c r="E10" s="27" t="s">
        <v>71</v>
      </c>
      <c r="F10" s="24" t="s">
        <v>26</v>
      </c>
      <c r="G10" s="12">
        <v>9</v>
      </c>
      <c r="H10" s="88">
        <f>IF(B$20=0,0,G10/B$20)</f>
        <v>7.6271186440677971E-2</v>
      </c>
      <c r="I10" s="58">
        <v>5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-1.4499999999999995</v>
      </c>
      <c r="Q10" s="76">
        <v>12</v>
      </c>
      <c r="R10" s="67">
        <v>-17.399999999999995</v>
      </c>
    </row>
    <row r="11" spans="1:18" x14ac:dyDescent="0.4">
      <c r="A11" s="20" t="s">
        <v>184</v>
      </c>
      <c r="B11" s="109">
        <f>IF(B8=0,0,C11/B8)</f>
        <v>31.938888888888886</v>
      </c>
      <c r="C11" s="110">
        <v>574.9</v>
      </c>
      <c r="E11" s="27" t="s">
        <v>65</v>
      </c>
      <c r="F11" s="24" t="s">
        <v>21</v>
      </c>
      <c r="G11" s="12">
        <v>8</v>
      </c>
      <c r="H11" s="88">
        <f>IF(B$20=0,0,G11/B$20)</f>
        <v>6.7796610169491525E-2</v>
      </c>
      <c r="I11" s="58">
        <v>10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0.66875000000000095</v>
      </c>
      <c r="Q11" s="77">
        <v>16</v>
      </c>
      <c r="R11" s="68">
        <v>10.700000000000015</v>
      </c>
    </row>
    <row r="12" spans="1:18" x14ac:dyDescent="0.4">
      <c r="A12" s="20" t="s">
        <v>185</v>
      </c>
      <c r="B12" s="109">
        <f>IF(B9=0,0,C12/B9)</f>
        <v>-1.4615384615384621</v>
      </c>
      <c r="C12" s="110">
        <v>-19.000000000000007</v>
      </c>
      <c r="E12" s="27" t="s">
        <v>86</v>
      </c>
      <c r="F12" s="24" t="s">
        <v>41</v>
      </c>
      <c r="G12" s="12">
        <v>7</v>
      </c>
      <c r="H12" s="88">
        <f>IF(B$20=0,0,G12/B$20)</f>
        <v>5.9322033898305086E-2</v>
      </c>
      <c r="I12" s="58">
        <v>4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9.6705882352941188</v>
      </c>
      <c r="Q12" s="78">
        <v>17</v>
      </c>
      <c r="R12" s="69">
        <v>164.4</v>
      </c>
    </row>
    <row r="13" spans="1:18" x14ac:dyDescent="0.4">
      <c r="A13" s="20" t="s">
        <v>186</v>
      </c>
      <c r="B13" s="109">
        <f>IF(B10=0,0,C13/B10)</f>
        <v>-28.442857142857147</v>
      </c>
      <c r="C13" s="110">
        <v>-398.20000000000005</v>
      </c>
      <c r="E13" s="27" t="s">
        <v>83</v>
      </c>
      <c r="F13" s="24" t="s">
        <v>38</v>
      </c>
      <c r="G13" s="12">
        <v>6</v>
      </c>
      <c r="H13" s="88">
        <f>IF(B$20=0,0,G13/B$20)</f>
        <v>5.0847457627118647E-2</v>
      </c>
      <c r="I13" s="58">
        <v>6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0.67816442816442546</v>
      </c>
      <c r="C14" s="134"/>
      <c r="E14" s="27" t="s">
        <v>70</v>
      </c>
      <c r="F14" s="24" t="s">
        <v>25</v>
      </c>
      <c r="G14" s="12">
        <v>5</v>
      </c>
      <c r="H14" s="88">
        <f>IF(B$20=0,0,G14/B$20)</f>
        <v>4.2372881355932202E-2</v>
      </c>
      <c r="I14" s="58">
        <v>9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4.4444444444444446E-2</v>
      </c>
      <c r="E15" s="27" t="s">
        <v>81</v>
      </c>
      <c r="F15" s="24" t="s">
        <v>36</v>
      </c>
      <c r="G15" s="12">
        <v>5</v>
      </c>
      <c r="H15" s="88">
        <f>IF(B$20=0,0,G15/B$20)</f>
        <v>4.2372881355932202E-2</v>
      </c>
      <c r="I15" s="58">
        <v>5</v>
      </c>
      <c r="K15" s="74">
        <v>13</v>
      </c>
      <c r="L15" s="119">
        <v>65.800000000000011</v>
      </c>
      <c r="M15" s="117">
        <v>1506.4847379755383</v>
      </c>
      <c r="O15" s="73" t="s">
        <v>192</v>
      </c>
      <c r="P15" s="82">
        <f t="shared" ref="P15:P23" si="2">IF(Q15=0,0,R15/Q15)</f>
        <v>25.683333333333337</v>
      </c>
      <c r="Q15" s="76">
        <v>6</v>
      </c>
      <c r="R15" s="67">
        <v>154.10000000000002</v>
      </c>
    </row>
    <row r="16" spans="1:18" x14ac:dyDescent="0.4">
      <c r="A16" s="22" t="s">
        <v>121</v>
      </c>
      <c r="B16" s="15">
        <v>84</v>
      </c>
      <c r="C16" s="10">
        <f>IF(B$3=0,0,B16/B$3)</f>
        <v>0.21761658031088082</v>
      </c>
      <c r="E16" s="27" t="s">
        <v>91</v>
      </c>
      <c r="F16" s="24" t="s">
        <v>46</v>
      </c>
      <c r="G16" s="12">
        <v>5</v>
      </c>
      <c r="H16" s="88">
        <f>IF(B$20=0,0,G16/B$20)</f>
        <v>4.2372881355932202E-2</v>
      </c>
      <c r="I16" s="58">
        <v>1</v>
      </c>
      <c r="K16" s="74">
        <v>14</v>
      </c>
      <c r="L16" s="119">
        <v>99.300000000000011</v>
      </c>
      <c r="M16" s="117">
        <v>1512.415829547685</v>
      </c>
      <c r="O16" s="74" t="s">
        <v>216</v>
      </c>
      <c r="P16" s="83">
        <f t="shared" si="2"/>
        <v>16.453846153846158</v>
      </c>
      <c r="Q16" s="77">
        <v>13</v>
      </c>
      <c r="R16" s="68">
        <v>213.90000000000003</v>
      </c>
    </row>
    <row r="17" spans="1:18" x14ac:dyDescent="0.4">
      <c r="A17" s="19" t="s">
        <v>118</v>
      </c>
      <c r="B17" s="12">
        <v>83</v>
      </c>
      <c r="C17" s="6">
        <f>IF(B$3=0,0,B17/B$3)</f>
        <v>0.21502590673575128</v>
      </c>
      <c r="E17" s="27" t="s">
        <v>78</v>
      </c>
      <c r="F17" s="24" t="s">
        <v>33</v>
      </c>
      <c r="G17" s="12">
        <v>4</v>
      </c>
      <c r="H17" s="88">
        <f>IF(B$20=0,0,G17/B$20)</f>
        <v>3.3898305084745763E-2</v>
      </c>
      <c r="I17" s="58">
        <v>5</v>
      </c>
      <c r="K17" s="74">
        <v>15</v>
      </c>
      <c r="L17" s="119">
        <v>75.200000000000017</v>
      </c>
      <c r="M17" s="117">
        <v>1508.6093345703989</v>
      </c>
      <c r="O17" s="74" t="s">
        <v>221</v>
      </c>
      <c r="P17" s="83">
        <f t="shared" si="2"/>
        <v>16.2</v>
      </c>
      <c r="Q17" s="77">
        <v>1</v>
      </c>
      <c r="R17" s="68">
        <v>16.2</v>
      </c>
    </row>
    <row r="18" spans="1:18" x14ac:dyDescent="0.4">
      <c r="A18" s="18" t="s">
        <v>123</v>
      </c>
      <c r="B18" s="11">
        <f>B24</f>
        <v>50</v>
      </c>
      <c r="C18" s="5">
        <f>IF(B$16=0,0,B18/B$16)</f>
        <v>0.59523809523809523</v>
      </c>
      <c r="E18" s="27" t="s">
        <v>73</v>
      </c>
      <c r="F18" s="24" t="s">
        <v>28</v>
      </c>
      <c r="G18" s="12">
        <v>2</v>
      </c>
      <c r="H18" s="88">
        <f>IF(B$20=0,0,G18/B$20)</f>
        <v>1.6949152542372881E-2</v>
      </c>
      <c r="I18" s="58">
        <v>2</v>
      </c>
      <c r="K18" s="74">
        <v>16</v>
      </c>
      <c r="L18" s="119">
        <v>83.000000000000014</v>
      </c>
      <c r="M18" s="117">
        <v>1510.5676785629764</v>
      </c>
      <c r="O18" s="74" t="s">
        <v>163</v>
      </c>
      <c r="P18" s="83">
        <f t="shared" si="2"/>
        <v>11.56842105263158</v>
      </c>
      <c r="Q18" s="77">
        <v>19</v>
      </c>
      <c r="R18" s="68">
        <v>219.8</v>
      </c>
    </row>
    <row r="19" spans="1:18" x14ac:dyDescent="0.4">
      <c r="A19" s="18" t="s">
        <v>124</v>
      </c>
      <c r="B19" s="11">
        <f>B25</f>
        <v>40</v>
      </c>
      <c r="C19" s="5">
        <f>IF(B$17=0,0,B19/B$17)</f>
        <v>0.48192771084337349</v>
      </c>
      <c r="E19" s="27" t="s">
        <v>75</v>
      </c>
      <c r="F19" s="24" t="s">
        <v>30</v>
      </c>
      <c r="G19" s="12">
        <v>1</v>
      </c>
      <c r="H19" s="88">
        <f>IF(B$20=0,0,G19/B$20)</f>
        <v>8.4745762711864406E-3</v>
      </c>
      <c r="I19" s="58">
        <v>2</v>
      </c>
      <c r="K19" s="74">
        <v>17</v>
      </c>
      <c r="L19" s="119">
        <v>81.600000000000009</v>
      </c>
      <c r="M19" s="117">
        <v>1510.8582724915987</v>
      </c>
      <c r="O19" s="74" t="s">
        <v>193</v>
      </c>
      <c r="P19" s="83">
        <f t="shared" si="2"/>
        <v>7.1250000000000009</v>
      </c>
      <c r="Q19" s="77">
        <v>4</v>
      </c>
      <c r="R19" s="68">
        <v>28.500000000000004</v>
      </c>
    </row>
    <row r="20" spans="1:18" x14ac:dyDescent="0.4">
      <c r="A20" s="18" t="s">
        <v>10</v>
      </c>
      <c r="B20" s="11">
        <f>B23+B22</f>
        <v>118</v>
      </c>
      <c r="C20" s="5">
        <f>IF(B$3=0,0,B20/B$3)</f>
        <v>0.30569948186528495</v>
      </c>
      <c r="E20" s="27" t="s">
        <v>79</v>
      </c>
      <c r="F20" s="24" t="s">
        <v>34</v>
      </c>
      <c r="G20" s="12">
        <v>1</v>
      </c>
      <c r="H20" s="88">
        <f>IF(B$20=0,0,G20/B$20)</f>
        <v>8.4745762711864406E-3</v>
      </c>
      <c r="I20" s="58">
        <v>6</v>
      </c>
      <c r="K20" s="74">
        <v>18</v>
      </c>
      <c r="L20" s="119">
        <v>83.2</v>
      </c>
      <c r="M20" s="117">
        <v>1512.053122856649</v>
      </c>
      <c r="O20" s="74" t="s">
        <v>126</v>
      </c>
      <c r="P20" s="83">
        <f t="shared" si="2"/>
        <v>-1.0399999999999996</v>
      </c>
      <c r="Q20" s="77">
        <v>25</v>
      </c>
      <c r="R20" s="68">
        <v>-25.999999999999989</v>
      </c>
    </row>
    <row r="21" spans="1:18" x14ac:dyDescent="0.4">
      <c r="A21" s="19" t="s">
        <v>13</v>
      </c>
      <c r="B21" s="12">
        <v>53</v>
      </c>
      <c r="C21" s="6">
        <f>IF(B$3=0,0,B21/B$3)</f>
        <v>0.13730569948186527</v>
      </c>
      <c r="E21" s="27" t="s">
        <v>93</v>
      </c>
      <c r="F21" s="24" t="s">
        <v>48</v>
      </c>
      <c r="G21" s="12">
        <v>1</v>
      </c>
      <c r="H21" s="88">
        <f>IF(B$20=0,0,G21/B$20)</f>
        <v>8.4745762711864406E-3</v>
      </c>
      <c r="I21" s="58">
        <v>2</v>
      </c>
      <c r="K21" s="74">
        <v>19</v>
      </c>
      <c r="L21" s="119">
        <v>126.80000000000001</v>
      </c>
      <c r="M21" s="117">
        <v>1520.8008041195092</v>
      </c>
      <c r="O21" s="74" t="s">
        <v>195</v>
      </c>
      <c r="P21" s="83">
        <f t="shared" si="2"/>
        <v>-3.0750000000000011</v>
      </c>
      <c r="Q21" s="77">
        <v>4</v>
      </c>
      <c r="R21" s="68">
        <v>-12.300000000000004</v>
      </c>
    </row>
    <row r="22" spans="1:18" x14ac:dyDescent="0.4">
      <c r="A22" s="19" t="s">
        <v>12</v>
      </c>
      <c r="B22" s="12">
        <v>51</v>
      </c>
      <c r="C22" s="6">
        <f>IF(B$20=0,0,B22/B$20)</f>
        <v>0.43220338983050849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163</v>
      </c>
      <c r="M22" s="117">
        <v>1527.9899992947921</v>
      </c>
      <c r="O22" s="74" t="s">
        <v>190</v>
      </c>
      <c r="P22" s="83">
        <f t="shared" si="2"/>
        <v>-6.5555555555555562</v>
      </c>
      <c r="Q22" s="77">
        <v>9</v>
      </c>
      <c r="R22" s="68">
        <v>-59.000000000000007</v>
      </c>
    </row>
    <row r="23" spans="1:18" x14ac:dyDescent="0.4">
      <c r="A23" s="19" t="s">
        <v>11</v>
      </c>
      <c r="B23" s="12">
        <v>67</v>
      </c>
      <c r="C23" s="6">
        <f>IF(B$20=0,0,B23/B$20)</f>
        <v>0.56779661016949157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116.7</v>
      </c>
      <c r="M23" s="117">
        <v>1519.9380592990233</v>
      </c>
      <c r="O23" s="74" t="s">
        <v>189</v>
      </c>
      <c r="P23" s="83">
        <f t="shared" si="2"/>
        <v>-6.9</v>
      </c>
      <c r="Q23" s="77">
        <v>9</v>
      </c>
      <c r="R23" s="68">
        <v>-62.1</v>
      </c>
    </row>
    <row r="24" spans="1:18" x14ac:dyDescent="0.4">
      <c r="A24" s="19" t="s">
        <v>183</v>
      </c>
      <c r="B24" s="12">
        <v>50</v>
      </c>
      <c r="C24" s="6">
        <f>IF(B$20=0,0,B24/B$20)</f>
        <v>0.42372881355932202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137.19999999999999</v>
      </c>
      <c r="M24" s="117">
        <v>1523.9584309432291</v>
      </c>
    </row>
    <row r="25" spans="1:18" x14ac:dyDescent="0.4">
      <c r="A25" s="19" t="s">
        <v>181</v>
      </c>
      <c r="B25" s="12">
        <v>40</v>
      </c>
      <c r="C25" s="6">
        <f>IF(B$20=0,0,B25/B$20)</f>
        <v>0.33898305084745761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139.19999999999999</v>
      </c>
      <c r="M25" s="117">
        <v>1524.7926803575697</v>
      </c>
    </row>
    <row r="26" spans="1:18" x14ac:dyDescent="0.4">
      <c r="A26" s="19" t="s">
        <v>182</v>
      </c>
      <c r="B26" s="12">
        <v>28</v>
      </c>
      <c r="C26" s="6">
        <f>IF(B$20=0,0,B26/B$20)</f>
        <v>0.23728813559322035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">
      <c r="A27" s="19" t="s">
        <v>5</v>
      </c>
      <c r="B27" s="16">
        <f>IF(B$20=0,0,C27/B$20)</f>
        <v>7850</v>
      </c>
      <c r="C27" s="8">
        <v>926300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90.399999999999977</v>
      </c>
      <c r="M27" s="117">
        <v>1516.6351487297718</v>
      </c>
    </row>
    <row r="28" spans="1:18" x14ac:dyDescent="0.4">
      <c r="A28" s="20" t="s">
        <v>165</v>
      </c>
      <c r="B28" s="95">
        <f>IF($B$20-B$19=0,0,C28/($B$20-B$19))</f>
        <v>8225.6410256410254</v>
      </c>
      <c r="C28" s="96">
        <v>641600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123.09999999999998</v>
      </c>
      <c r="M28" s="117">
        <v>1522.6913378373931</v>
      </c>
    </row>
    <row r="29" spans="1:18" x14ac:dyDescent="0.4">
      <c r="A29" s="20" t="s">
        <v>166</v>
      </c>
      <c r="B29" s="95">
        <f>IF(B$19=0,0,C29/B$19)</f>
        <v>7117.5</v>
      </c>
      <c r="C29" s="96">
        <v>284700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124.79999999999998</v>
      </c>
      <c r="M29" s="117">
        <v>1523.2151898103687</v>
      </c>
    </row>
    <row r="30" spans="1:18" x14ac:dyDescent="0.4">
      <c r="A30" s="20" t="s">
        <v>164</v>
      </c>
      <c r="B30" s="95">
        <f>IF(B$21=0,0,C30/B$21)</f>
        <v>-6656.6037735849059</v>
      </c>
      <c r="C30" s="96">
        <v>-352800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106.39999999999998</v>
      </c>
      <c r="M30" s="117">
        <v>1520.3458986715063</v>
      </c>
    </row>
    <row r="31" spans="1:18" x14ac:dyDescent="0.4">
      <c r="A31" s="19" t="s">
        <v>157</v>
      </c>
      <c r="B31" s="12">
        <v>5</v>
      </c>
      <c r="C31" s="90">
        <v>2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127.89999999999998</v>
      </c>
      <c r="M31" s="117">
        <v>1524.9218232794774</v>
      </c>
    </row>
    <row r="32" spans="1:18" x14ac:dyDescent="0.4">
      <c r="A32" s="19" t="s">
        <v>158</v>
      </c>
      <c r="B32" s="12">
        <v>30</v>
      </c>
      <c r="C32" s="90">
        <v>2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164.39999999999998</v>
      </c>
      <c r="M32" s="117">
        <v>1532.1702923398004</v>
      </c>
    </row>
    <row r="33" spans="1:13" x14ac:dyDescent="0.4">
      <c r="A33" s="54" t="s">
        <v>136</v>
      </c>
      <c r="B33" s="135">
        <v>6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119.79999999999998</v>
      </c>
      <c r="M33" s="117">
        <v>1524.7772705857617</v>
      </c>
    </row>
    <row r="34" spans="1:13" x14ac:dyDescent="0.4">
      <c r="A34" s="22" t="s">
        <v>180</v>
      </c>
      <c r="B34" s="137">
        <v>86700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100.99999999999999</v>
      </c>
      <c r="M34" s="117">
        <v>1521.8686069622472</v>
      </c>
    </row>
    <row r="35" spans="1:13" x14ac:dyDescent="0.4">
      <c r="A35" s="21" t="s">
        <v>137</v>
      </c>
      <c r="B35" s="29">
        <v>3</v>
      </c>
      <c r="C35" s="9">
        <f>IF(B$3=0,0,B35/B$3)</f>
        <v>7.7720207253886009E-3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102.59999999999998</v>
      </c>
      <c r="M35" s="117">
        <v>1522.5113953204736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65.59999999999998</v>
      </c>
      <c r="M36" s="117">
        <v>1515.6083269485507</v>
      </c>
    </row>
    <row r="37" spans="1:13" x14ac:dyDescent="0.4">
      <c r="A37" s="54" t="s">
        <v>171</v>
      </c>
      <c r="B37" s="123">
        <v>8</v>
      </c>
      <c r="C37" s="98">
        <f t="shared" ref="C37:C49" si="3">IF(B$20=0,0,B37/B$20)</f>
        <v>6.7796610169491525E-2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45.499999999999979</v>
      </c>
      <c r="M37" s="117">
        <v>1512.1666769868593</v>
      </c>
    </row>
    <row r="38" spans="1:13" x14ac:dyDescent="0.4">
      <c r="A38" s="19" t="s">
        <v>167</v>
      </c>
      <c r="B38" s="12">
        <v>26</v>
      </c>
      <c r="C38" s="6">
        <f t="shared" si="3"/>
        <v>0.22033898305084745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40.699999999999982</v>
      </c>
      <c r="M38" s="117">
        <v>1510.9836769249382</v>
      </c>
    </row>
    <row r="39" spans="1:13" x14ac:dyDescent="0.4">
      <c r="A39" s="19" t="s">
        <v>168</v>
      </c>
      <c r="B39" s="124">
        <v>23</v>
      </c>
      <c r="C39" s="6">
        <f t="shared" si="3"/>
        <v>0.19491525423728814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17.09999999999998</v>
      </c>
      <c r="M39" s="117">
        <v>1506.4237748633886</v>
      </c>
    </row>
    <row r="40" spans="1:13" x14ac:dyDescent="0.4">
      <c r="A40" s="19" t="s">
        <v>169</v>
      </c>
      <c r="B40" s="124">
        <v>19</v>
      </c>
      <c r="C40" s="6">
        <f t="shared" si="3"/>
        <v>0.16101694915254236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78.799999999999983</v>
      </c>
      <c r="M40" s="117">
        <v>1517.8092322142084</v>
      </c>
    </row>
    <row r="41" spans="1:13" x14ac:dyDescent="0.4">
      <c r="A41" s="19" t="s">
        <v>170</v>
      </c>
      <c r="B41" s="124">
        <v>15</v>
      </c>
      <c r="C41" s="6">
        <f t="shared" si="3"/>
        <v>0.1271186440677966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101.59999999999998</v>
      </c>
      <c r="M41" s="117">
        <v>1522.0163768209231</v>
      </c>
    </row>
    <row r="42" spans="1:13" x14ac:dyDescent="0.4">
      <c r="A42" s="19" t="s">
        <v>172</v>
      </c>
      <c r="B42" s="124">
        <v>13</v>
      </c>
      <c r="C42" s="6">
        <f t="shared" si="3"/>
        <v>0.11016949152542373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140.79999999999998</v>
      </c>
      <c r="M42" s="117">
        <v>1529.7742785599976</v>
      </c>
    </row>
    <row r="43" spans="1:13" x14ac:dyDescent="0.4">
      <c r="A43" s="19" t="s">
        <v>173</v>
      </c>
      <c r="B43" s="124">
        <v>5</v>
      </c>
      <c r="C43" s="6">
        <f t="shared" si="3"/>
        <v>4.2372881355932202E-2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123.59999999999998</v>
      </c>
      <c r="M43" s="117">
        <v>1527.3336328886376</v>
      </c>
    </row>
    <row r="44" spans="1:13" x14ac:dyDescent="0.4">
      <c r="A44" s="19" t="s">
        <v>174</v>
      </c>
      <c r="B44" s="124">
        <v>4</v>
      </c>
      <c r="C44" s="6">
        <f t="shared" si="3"/>
        <v>3.3898305084745763E-2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126.79999999999998</v>
      </c>
      <c r="M44" s="117">
        <v>1528.5796310913058</v>
      </c>
    </row>
    <row r="45" spans="1:13" x14ac:dyDescent="0.4">
      <c r="A45" s="19" t="s">
        <v>175</v>
      </c>
      <c r="B45" s="124">
        <v>1</v>
      </c>
      <c r="C45" s="6">
        <f t="shared" si="3"/>
        <v>8.4745762711864406E-3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  <c r="K45" s="74">
        <v>43</v>
      </c>
      <c r="L45" s="119">
        <v>148.29999999999998</v>
      </c>
      <c r="M45" s="117">
        <v>1532.2841533047581</v>
      </c>
    </row>
    <row r="46" spans="1:13" x14ac:dyDescent="0.4">
      <c r="A46" s="19" t="s">
        <v>176</v>
      </c>
      <c r="B46" s="124">
        <v>2</v>
      </c>
      <c r="C46" s="6">
        <f t="shared" si="3"/>
        <v>1.6949152542372881E-2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143.19999999999999</v>
      </c>
      <c r="M46" s="117">
        <v>1531.1784483849297</v>
      </c>
    </row>
    <row r="47" spans="1:13" x14ac:dyDescent="0.4">
      <c r="A47" s="19" t="s">
        <v>177</v>
      </c>
      <c r="B47" s="124">
        <v>1</v>
      </c>
      <c r="C47" s="6">
        <f t="shared" si="3"/>
        <v>8.4745762711864406E-3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157.69999999999999</v>
      </c>
      <c r="M47" s="117">
        <v>1534.3633776946201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1</v>
      </c>
      <c r="C49" s="9">
        <f t="shared" si="3"/>
        <v>8.4745762711864406E-3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549C6-7EBA-4C78-BC35-954E2FD28177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192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49</v>
      </c>
      <c r="C2" s="142"/>
      <c r="E2" s="26" t="s">
        <v>66</v>
      </c>
      <c r="F2" s="23" t="s">
        <v>22</v>
      </c>
      <c r="G2" s="11">
        <v>105</v>
      </c>
      <c r="H2" s="87">
        <f>IF(B$20=0,0,G2/B$20)</f>
        <v>0.74468085106382975</v>
      </c>
      <c r="I2" s="57">
        <v>9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-334.69387755102042</v>
      </c>
      <c r="Q2" s="76">
        <v>49</v>
      </c>
      <c r="R2" s="63">
        <v>-16400</v>
      </c>
    </row>
    <row r="3" spans="1:18" x14ac:dyDescent="0.4">
      <c r="A3" s="19" t="s">
        <v>8</v>
      </c>
      <c r="B3" s="143">
        <v>422</v>
      </c>
      <c r="C3" s="144"/>
      <c r="E3" s="27" t="s">
        <v>72</v>
      </c>
      <c r="F3" s="24" t="s">
        <v>27</v>
      </c>
      <c r="G3" s="12">
        <v>89</v>
      </c>
      <c r="H3" s="88">
        <f>IF(B$20=0,0,G3/B$20)</f>
        <v>0.63120567375886527</v>
      </c>
      <c r="I3" s="58">
        <v>5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676.08695652173913</v>
      </c>
      <c r="Q3" s="77">
        <v>46</v>
      </c>
      <c r="R3" s="64">
        <v>31100</v>
      </c>
    </row>
    <row r="4" spans="1:18" x14ac:dyDescent="0.4">
      <c r="A4" s="19" t="s">
        <v>6</v>
      </c>
      <c r="B4" s="145">
        <v>248.19999999999993</v>
      </c>
      <c r="C4" s="146"/>
      <c r="E4" s="27" t="s">
        <v>159</v>
      </c>
      <c r="F4" s="24" t="s">
        <v>160</v>
      </c>
      <c r="G4" s="12">
        <v>67</v>
      </c>
      <c r="H4" s="88">
        <f>IF(B$20=0,0,G4/B$20)</f>
        <v>0.47517730496453903</v>
      </c>
      <c r="I4" s="58">
        <v>3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985.10638297872345</v>
      </c>
      <c r="Q4" s="77">
        <v>47</v>
      </c>
      <c r="R4" s="64">
        <v>46300</v>
      </c>
    </row>
    <row r="5" spans="1:18" x14ac:dyDescent="0.4">
      <c r="A5" s="19" t="s">
        <v>7</v>
      </c>
      <c r="B5" s="133">
        <f>IF(B$2=0,0,B$4/B$2)</f>
        <v>5.0653061224489786</v>
      </c>
      <c r="C5" s="134"/>
      <c r="E5" s="27" t="s">
        <v>64</v>
      </c>
      <c r="F5" s="24" t="s">
        <v>20</v>
      </c>
      <c r="G5" s="12">
        <v>45</v>
      </c>
      <c r="H5" s="88">
        <f>IF(B$20=0,0,G5/B$20)</f>
        <v>0.31914893617021278</v>
      </c>
      <c r="I5" s="58">
        <v>11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2222.7272727272725</v>
      </c>
      <c r="Q5" s="77">
        <v>44</v>
      </c>
      <c r="R5" s="64">
        <v>97800</v>
      </c>
    </row>
    <row r="6" spans="1:18" x14ac:dyDescent="0.4">
      <c r="A6" s="19" t="s">
        <v>196</v>
      </c>
      <c r="B6" s="137">
        <v>1578.1244171430706</v>
      </c>
      <c r="C6" s="138"/>
      <c r="E6" s="27" t="s">
        <v>68</v>
      </c>
      <c r="F6" s="24" t="s">
        <v>12</v>
      </c>
      <c r="G6" s="12">
        <v>34</v>
      </c>
      <c r="H6" s="88">
        <f>IF(B$20=0,0,G6/B$20)</f>
        <v>0.24113475177304963</v>
      </c>
      <c r="I6" s="58">
        <v>13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163.41463414634146</v>
      </c>
      <c r="Q6" s="77">
        <v>41</v>
      </c>
      <c r="R6" s="64">
        <v>6700</v>
      </c>
    </row>
    <row r="7" spans="1:18" x14ac:dyDescent="0.4">
      <c r="A7" s="19" t="s">
        <v>1</v>
      </c>
      <c r="B7" s="147">
        <f>IF(B$2=0,0,(B$8*1+B$9*2+B$10*3)/B$2)</f>
        <v>1.8367346938775511</v>
      </c>
      <c r="C7" s="148"/>
      <c r="E7" s="27" t="s">
        <v>67</v>
      </c>
      <c r="F7" s="24" t="s">
        <v>23</v>
      </c>
      <c r="G7" s="12">
        <v>18</v>
      </c>
      <c r="H7" s="88">
        <f>IF(B$20=0,0,G7/B$20)</f>
        <v>0.1276595744680851</v>
      </c>
      <c r="I7" s="58">
        <v>12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-57.575757575757578</v>
      </c>
      <c r="Q7" s="78">
        <v>33</v>
      </c>
      <c r="R7" s="65">
        <v>-1900</v>
      </c>
    </row>
    <row r="8" spans="1:18" x14ac:dyDescent="0.4">
      <c r="A8" s="19" t="s">
        <v>2</v>
      </c>
      <c r="B8" s="12">
        <v>20</v>
      </c>
      <c r="C8" s="6">
        <f t="shared" ref="C8:C15" si="1">IF(B$2=0,0,B8/B$2)</f>
        <v>0.40816326530612246</v>
      </c>
      <c r="E8" s="27" t="s">
        <v>70</v>
      </c>
      <c r="F8" s="24" t="s">
        <v>25</v>
      </c>
      <c r="G8" s="12">
        <v>18</v>
      </c>
      <c r="H8" s="88">
        <f>IF(B$20=0,0,G8/B$20)</f>
        <v>0.1276595744680851</v>
      </c>
      <c r="I8" s="58">
        <v>3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">
      <c r="A9" s="19" t="s">
        <v>3</v>
      </c>
      <c r="B9" s="12">
        <v>17</v>
      </c>
      <c r="C9" s="6">
        <f t="shared" si="1"/>
        <v>0.34693877551020408</v>
      </c>
      <c r="E9" s="27" t="s">
        <v>89</v>
      </c>
      <c r="F9" s="24" t="s">
        <v>44</v>
      </c>
      <c r="G9" s="12">
        <v>18</v>
      </c>
      <c r="H9" s="88">
        <f>IF(B$20=0,0,G9/B$20)</f>
        <v>0.1276595744680851</v>
      </c>
      <c r="I9" s="58">
        <v>8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12</v>
      </c>
      <c r="C10" s="7">
        <f t="shared" si="1"/>
        <v>0.24489795918367346</v>
      </c>
      <c r="E10" s="27" t="s">
        <v>71</v>
      </c>
      <c r="F10" s="24" t="s">
        <v>26</v>
      </c>
      <c r="G10" s="12">
        <v>15</v>
      </c>
      <c r="H10" s="88">
        <f>IF(B$20=0,0,G10/B$20)</f>
        <v>0.10638297872340426</v>
      </c>
      <c r="I10" s="58">
        <v>3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13.631578947368421</v>
      </c>
      <c r="Q10" s="76">
        <v>19</v>
      </c>
      <c r="R10" s="67">
        <v>259</v>
      </c>
    </row>
    <row r="11" spans="1:18" x14ac:dyDescent="0.4">
      <c r="A11" s="20" t="s">
        <v>184</v>
      </c>
      <c r="B11" s="109">
        <f>IF(B8=0,0,C11/B8)</f>
        <v>36.200000000000003</v>
      </c>
      <c r="C11" s="110">
        <v>724</v>
      </c>
      <c r="E11" s="27" t="s">
        <v>69</v>
      </c>
      <c r="F11" s="24" t="s">
        <v>24</v>
      </c>
      <c r="G11" s="12">
        <v>13</v>
      </c>
      <c r="H11" s="88">
        <f>IF(B$20=0,0,G11/B$20)</f>
        <v>9.2198581560283682E-2</v>
      </c>
      <c r="I11" s="58">
        <v>8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-0.81874999999999976</v>
      </c>
      <c r="Q11" s="77">
        <v>16</v>
      </c>
      <c r="R11" s="68">
        <v>-13.099999999999996</v>
      </c>
    </row>
    <row r="12" spans="1:18" x14ac:dyDescent="0.4">
      <c r="A12" s="20" t="s">
        <v>185</v>
      </c>
      <c r="B12" s="109">
        <f>IF(B9=0,0,C12/B9)</f>
        <v>-3.8117647058823527</v>
      </c>
      <c r="C12" s="110">
        <v>-64.8</v>
      </c>
      <c r="E12" s="27" t="s">
        <v>65</v>
      </c>
      <c r="F12" s="24" t="s">
        <v>21</v>
      </c>
      <c r="G12" s="12">
        <v>5</v>
      </c>
      <c r="H12" s="88">
        <f>IF(B$20=0,0,G12/B$20)</f>
        <v>3.5460992907801421E-2</v>
      </c>
      <c r="I12" s="58">
        <v>11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0.16428571428571384</v>
      </c>
      <c r="Q12" s="78">
        <v>14</v>
      </c>
      <c r="R12" s="69">
        <v>2.2999999999999936</v>
      </c>
    </row>
    <row r="13" spans="1:18" x14ac:dyDescent="0.4">
      <c r="A13" s="20" t="s">
        <v>186</v>
      </c>
      <c r="B13" s="109">
        <f>IF(B10=0,0,C13/B10)</f>
        <v>-34.25</v>
      </c>
      <c r="C13" s="110">
        <v>-411</v>
      </c>
      <c r="E13" s="27" t="s">
        <v>86</v>
      </c>
      <c r="F13" s="24" t="s">
        <v>41</v>
      </c>
      <c r="G13" s="12">
        <v>5</v>
      </c>
      <c r="H13" s="88">
        <f>IF(B$20=0,0,G13/B$20)</f>
        <v>3.5460992907801421E-2</v>
      </c>
      <c r="I13" s="58">
        <v>7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-0.62058823529411689</v>
      </c>
      <c r="C14" s="134"/>
      <c r="E14" s="27" t="s">
        <v>78</v>
      </c>
      <c r="F14" s="24" t="s">
        <v>33</v>
      </c>
      <c r="G14" s="12">
        <v>4</v>
      </c>
      <c r="H14" s="88">
        <f>IF(B$20=0,0,G14/B$20)</f>
        <v>2.8368794326241134E-2</v>
      </c>
      <c r="I14" s="58">
        <v>6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8.1632653061224483E-2</v>
      </c>
      <c r="E15" s="27" t="s">
        <v>79</v>
      </c>
      <c r="F15" s="24" t="s">
        <v>34</v>
      </c>
      <c r="G15" s="12">
        <v>3</v>
      </c>
      <c r="H15" s="88">
        <f>IF(B$20=0,0,G15/B$20)</f>
        <v>2.1276595744680851E-2</v>
      </c>
      <c r="I15" s="58">
        <v>3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 t="shared" ref="P15:P23" si="2">IF(Q15=0,0,R15/Q15)</f>
        <v>36.479999999999997</v>
      </c>
      <c r="Q15" s="76">
        <v>5</v>
      </c>
      <c r="R15" s="67">
        <v>182.39999999999998</v>
      </c>
    </row>
    <row r="16" spans="1:18" x14ac:dyDescent="0.4">
      <c r="A16" s="22" t="s">
        <v>121</v>
      </c>
      <c r="B16" s="15">
        <v>85</v>
      </c>
      <c r="C16" s="10">
        <f>IF(B$3=0,0,B16/B$3)</f>
        <v>0.2014218009478673</v>
      </c>
      <c r="E16" s="27" t="s">
        <v>81</v>
      </c>
      <c r="F16" s="24" t="s">
        <v>36</v>
      </c>
      <c r="G16" s="12">
        <v>3</v>
      </c>
      <c r="H16" s="88">
        <f>IF(B$20=0,0,G16/B$20)</f>
        <v>2.1276595744680851E-2</v>
      </c>
      <c r="I16" s="58">
        <v>11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 t="shared" si="2"/>
        <v>35.1</v>
      </c>
      <c r="Q16" s="77">
        <v>1</v>
      </c>
      <c r="R16" s="68">
        <v>35.1</v>
      </c>
    </row>
    <row r="17" spans="1:18" x14ac:dyDescent="0.4">
      <c r="A17" s="19" t="s">
        <v>118</v>
      </c>
      <c r="B17" s="12">
        <v>116</v>
      </c>
      <c r="C17" s="6">
        <f>IF(B$3=0,0,B17/B$3)</f>
        <v>0.27488151658767773</v>
      </c>
      <c r="E17" s="27" t="s">
        <v>83</v>
      </c>
      <c r="F17" s="24" t="s">
        <v>38</v>
      </c>
      <c r="G17" s="12">
        <v>3</v>
      </c>
      <c r="H17" s="88">
        <f>IF(B$20=0,0,G17/B$20)</f>
        <v>2.1276595744680851E-2</v>
      </c>
      <c r="I17" s="58">
        <v>10</v>
      </c>
      <c r="K17" s="74">
        <v>15</v>
      </c>
      <c r="L17" s="119">
        <v>22.500000000000004</v>
      </c>
      <c r="M17" s="117">
        <v>1526.5944319692035</v>
      </c>
      <c r="O17" s="74" t="s">
        <v>259</v>
      </c>
      <c r="P17" s="83">
        <f t="shared" si="2"/>
        <v>32.1</v>
      </c>
      <c r="Q17" s="77">
        <v>1</v>
      </c>
      <c r="R17" s="68">
        <v>32.1</v>
      </c>
    </row>
    <row r="18" spans="1:18" x14ac:dyDescent="0.4">
      <c r="A18" s="18" t="s">
        <v>123</v>
      </c>
      <c r="B18" s="11">
        <f>B24</f>
        <v>45</v>
      </c>
      <c r="C18" s="5">
        <f>IF(B$16=0,0,B18/B$16)</f>
        <v>0.52941176470588236</v>
      </c>
      <c r="E18" s="27" t="s">
        <v>73</v>
      </c>
      <c r="F18" s="24" t="s">
        <v>28</v>
      </c>
      <c r="G18" s="12">
        <v>1</v>
      </c>
      <c r="H18" s="88">
        <f>IF(B$20=0,0,G18/B$20)</f>
        <v>7.0921985815602835E-3</v>
      </c>
      <c r="I18" s="58">
        <v>5</v>
      </c>
      <c r="K18" s="74">
        <v>16</v>
      </c>
      <c r="L18" s="119">
        <v>64.5</v>
      </c>
      <c r="M18" s="117">
        <v>1534.7448653773884</v>
      </c>
      <c r="O18" s="74" t="s">
        <v>189</v>
      </c>
      <c r="P18" s="83">
        <f t="shared" si="2"/>
        <v>23.666666666666668</v>
      </c>
      <c r="Q18" s="77">
        <v>18</v>
      </c>
      <c r="R18" s="68">
        <v>426</v>
      </c>
    </row>
    <row r="19" spans="1:18" x14ac:dyDescent="0.4">
      <c r="A19" s="18" t="s">
        <v>124</v>
      </c>
      <c r="B19" s="11">
        <f>B25</f>
        <v>48</v>
      </c>
      <c r="C19" s="5">
        <f>IF(B$17=0,0,B19/B$17)</f>
        <v>0.41379310344827586</v>
      </c>
      <c r="E19" s="27" t="s">
        <v>88</v>
      </c>
      <c r="F19" s="24" t="s">
        <v>43</v>
      </c>
      <c r="G19" s="12">
        <v>1</v>
      </c>
      <c r="H19" s="88">
        <f>IF(B$20=0,0,G19/B$20)</f>
        <v>7.0921985815602835E-3</v>
      </c>
      <c r="I19" s="58">
        <v>2</v>
      </c>
      <c r="K19" s="74">
        <v>17</v>
      </c>
      <c r="L19" s="119">
        <v>10.5</v>
      </c>
      <c r="M19" s="117">
        <v>1525.5663961851239</v>
      </c>
      <c r="O19" s="74" t="s">
        <v>221</v>
      </c>
      <c r="P19" s="83">
        <f t="shared" si="2"/>
        <v>17</v>
      </c>
      <c r="Q19" s="77">
        <v>1</v>
      </c>
      <c r="R19" s="68">
        <v>17</v>
      </c>
    </row>
    <row r="20" spans="1:18" x14ac:dyDescent="0.4">
      <c r="A20" s="18" t="s">
        <v>10</v>
      </c>
      <c r="B20" s="11">
        <f>B23+B22</f>
        <v>141</v>
      </c>
      <c r="C20" s="5">
        <f>IF(B$3=0,0,B20/B$3)</f>
        <v>0.33412322274881517</v>
      </c>
      <c r="E20" s="27" t="s">
        <v>92</v>
      </c>
      <c r="F20" s="24" t="s">
        <v>47</v>
      </c>
      <c r="G20" s="12">
        <v>1</v>
      </c>
      <c r="H20" s="88">
        <f>IF(B$20=0,0,G20/B$20)</f>
        <v>7.0921985815602835E-3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163</v>
      </c>
      <c r="P20" s="83">
        <f t="shared" si="2"/>
        <v>11.021428571428572</v>
      </c>
      <c r="Q20" s="77">
        <v>14</v>
      </c>
      <c r="R20" s="68">
        <v>154.30000000000001</v>
      </c>
    </row>
    <row r="21" spans="1:18" x14ac:dyDescent="0.4">
      <c r="A21" s="19" t="s">
        <v>13</v>
      </c>
      <c r="B21" s="12">
        <v>49</v>
      </c>
      <c r="C21" s="6">
        <f>IF(B$3=0,0,B21/B$3)</f>
        <v>0.11611374407582939</v>
      </c>
      <c r="E21" s="27" t="s">
        <v>102</v>
      </c>
      <c r="F21" s="24" t="s">
        <v>57</v>
      </c>
      <c r="G21" s="12">
        <v>1</v>
      </c>
      <c r="H21" s="88">
        <f>IF(B$20=0,0,G21/B$20)</f>
        <v>7.0921985815602835E-3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126</v>
      </c>
      <c r="P21" s="83">
        <f t="shared" si="2"/>
        <v>3.7341463414634126</v>
      </c>
      <c r="Q21" s="77">
        <v>41</v>
      </c>
      <c r="R21" s="68">
        <v>153.09999999999991</v>
      </c>
    </row>
    <row r="22" spans="1:18" x14ac:dyDescent="0.4">
      <c r="A22" s="19" t="s">
        <v>12</v>
      </c>
      <c r="B22" s="12">
        <v>56</v>
      </c>
      <c r="C22" s="6">
        <f>IF(B$20=0,0,B22/B$20)</f>
        <v>0.3971631205673759</v>
      </c>
      <c r="E22" s="27" t="s">
        <v>155</v>
      </c>
      <c r="F22" s="24" t="s">
        <v>156</v>
      </c>
      <c r="G22" s="12">
        <v>1</v>
      </c>
      <c r="H22" s="88">
        <f>IF(B$20=0,0,G22/B$20)</f>
        <v>7.0921985815602835E-3</v>
      </c>
      <c r="I22" s="58">
        <v>4</v>
      </c>
      <c r="K22" s="74">
        <v>20</v>
      </c>
      <c r="L22" s="119">
        <v>36.800000000000004</v>
      </c>
      <c r="M22" s="117">
        <v>1531.9848551582381</v>
      </c>
      <c r="O22" s="74" t="s">
        <v>190</v>
      </c>
      <c r="P22" s="83">
        <f t="shared" si="2"/>
        <v>-9.2090909090909108</v>
      </c>
      <c r="Q22" s="77">
        <v>11</v>
      </c>
      <c r="R22" s="68">
        <v>-101.30000000000001</v>
      </c>
    </row>
    <row r="23" spans="1:18" x14ac:dyDescent="0.4">
      <c r="A23" s="19" t="s">
        <v>11</v>
      </c>
      <c r="B23" s="12">
        <v>85</v>
      </c>
      <c r="C23" s="6">
        <f>IF(B$20=0,0,B23/B$20)</f>
        <v>0.6028368794326241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  <c r="O23" s="74" t="s">
        <v>211</v>
      </c>
      <c r="P23" s="83">
        <f t="shared" si="2"/>
        <v>-25.683333333333334</v>
      </c>
      <c r="Q23" s="77">
        <v>6</v>
      </c>
      <c r="R23" s="68">
        <v>-154.1</v>
      </c>
    </row>
    <row r="24" spans="1:18" x14ac:dyDescent="0.4">
      <c r="A24" s="19" t="s">
        <v>183</v>
      </c>
      <c r="B24" s="12">
        <v>45</v>
      </c>
      <c r="C24" s="6">
        <f>IF(B$20=0,0,B24/B$20)</f>
        <v>0.31914893617021278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103</v>
      </c>
      <c r="M24" s="117">
        <v>1545.0727283511251</v>
      </c>
    </row>
    <row r="25" spans="1:18" x14ac:dyDescent="0.4">
      <c r="A25" s="19" t="s">
        <v>181</v>
      </c>
      <c r="B25" s="12">
        <v>48</v>
      </c>
      <c r="C25" s="6">
        <f>IF(B$20=0,0,B25/B$20)</f>
        <v>0.34042553191489361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">
      <c r="A26" s="19" t="s">
        <v>182</v>
      </c>
      <c r="B26" s="12">
        <v>48</v>
      </c>
      <c r="C26" s="6">
        <f>IF(B$20=0,0,B26/B$20)</f>
        <v>0.34042553191489361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198.89999999999998</v>
      </c>
      <c r="M26" s="117">
        <v>1563.2357782291322</v>
      </c>
    </row>
    <row r="27" spans="1:18" x14ac:dyDescent="0.4">
      <c r="A27" s="19" t="s">
        <v>5</v>
      </c>
      <c r="B27" s="16">
        <f>IF(B$20=0,0,C27/B$20)</f>
        <v>7300</v>
      </c>
      <c r="C27" s="8">
        <v>1029300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230.09999999999997</v>
      </c>
      <c r="M27" s="117">
        <v>1568.9703635597573</v>
      </c>
    </row>
    <row r="28" spans="1:18" x14ac:dyDescent="0.4">
      <c r="A28" s="20" t="s">
        <v>165</v>
      </c>
      <c r="B28" s="95">
        <f>IF($B$20-B$19=0,0,C28/($B$20-B$19))</f>
        <v>8174.1935483870966</v>
      </c>
      <c r="C28" s="96">
        <v>760200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">
      <c r="A29" s="20" t="s">
        <v>166</v>
      </c>
      <c r="B29" s="95">
        <f>IF(B$19=0,0,C29/B$19)</f>
        <v>5606.25</v>
      </c>
      <c r="C29" s="96">
        <v>269100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250.09999999999997</v>
      </c>
      <c r="M29" s="117">
        <v>1573.4740661301284</v>
      </c>
    </row>
    <row r="30" spans="1:18" x14ac:dyDescent="0.4">
      <c r="A30" s="20" t="s">
        <v>164</v>
      </c>
      <c r="B30" s="95">
        <f>IF(B$21=0,0,C30/B$21)</f>
        <v>-7693.8775510204077</v>
      </c>
      <c r="C30" s="96">
        <v>-377000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">
      <c r="A32" s="19" t="s">
        <v>158</v>
      </c>
      <c r="B32" s="12">
        <v>65</v>
      </c>
      <c r="C32" s="90">
        <v>3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252.59999999999997</v>
      </c>
      <c r="M32" s="117">
        <v>1574.2506528365298</v>
      </c>
    </row>
    <row r="33" spans="1:13" x14ac:dyDescent="0.4">
      <c r="A33" s="54" t="s">
        <v>136</v>
      </c>
      <c r="B33" s="135">
        <v>7</v>
      </c>
      <c r="C33" s="136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7</v>
      </c>
      <c r="K33" s="74">
        <v>31</v>
      </c>
      <c r="L33" s="119">
        <v>297.2</v>
      </c>
      <c r="M33" s="117">
        <v>1582.5051489195105</v>
      </c>
    </row>
    <row r="34" spans="1:13" x14ac:dyDescent="0.4">
      <c r="A34" s="22" t="s">
        <v>180</v>
      </c>
      <c r="B34" s="137">
        <v>98800</v>
      </c>
      <c r="C34" s="138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4</v>
      </c>
      <c r="K34" s="74">
        <v>32</v>
      </c>
      <c r="L34" s="119">
        <v>293.89999999999998</v>
      </c>
      <c r="M34" s="117">
        <v>1582.0881180259935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">
      <c r="A37" s="54" t="s">
        <v>171</v>
      </c>
      <c r="B37" s="123">
        <v>13</v>
      </c>
      <c r="C37" s="98">
        <f t="shared" ref="C37:C49" si="3">IF(B$20=0,0,B37/B$20)</f>
        <v>9.2198581560283682E-2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">
      <c r="A38" s="19" t="s">
        <v>167</v>
      </c>
      <c r="B38" s="12">
        <v>36</v>
      </c>
      <c r="C38" s="6">
        <f t="shared" si="3"/>
        <v>0.25531914893617019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">
      <c r="A39" s="19" t="s">
        <v>168</v>
      </c>
      <c r="B39" s="124">
        <v>32</v>
      </c>
      <c r="C39" s="6">
        <f t="shared" si="3"/>
        <v>0.22695035460992907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335.09999999999997</v>
      </c>
      <c r="M39" s="117">
        <v>1590.413259977362</v>
      </c>
    </row>
    <row r="40" spans="1:13" x14ac:dyDescent="0.4">
      <c r="A40" s="19" t="s">
        <v>169</v>
      </c>
      <c r="B40" s="124">
        <v>20</v>
      </c>
      <c r="C40" s="6">
        <f t="shared" si="3"/>
        <v>0.14184397163120568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329.99999999999994</v>
      </c>
      <c r="M40" s="117">
        <v>1589.912780417498</v>
      </c>
    </row>
    <row r="41" spans="1:13" x14ac:dyDescent="0.4">
      <c r="A41" s="19" t="s">
        <v>170</v>
      </c>
      <c r="B41" s="124">
        <v>21</v>
      </c>
      <c r="C41" s="6">
        <f t="shared" si="3"/>
        <v>0.14893617021276595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370.49999999999994</v>
      </c>
      <c r="M41" s="117">
        <v>1597.2933037349931</v>
      </c>
    </row>
    <row r="42" spans="1:13" x14ac:dyDescent="0.4">
      <c r="A42" s="19" t="s">
        <v>172</v>
      </c>
      <c r="B42" s="124">
        <v>4</v>
      </c>
      <c r="C42" s="6">
        <f t="shared" si="3"/>
        <v>2.8368794326241134E-2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317.29999999999995</v>
      </c>
      <c r="M42" s="117">
        <v>1587.9255439125832</v>
      </c>
    </row>
    <row r="43" spans="1:13" x14ac:dyDescent="0.4">
      <c r="A43" s="19" t="s">
        <v>173</v>
      </c>
      <c r="B43" s="124">
        <v>8</v>
      </c>
      <c r="C43" s="6">
        <f t="shared" si="3"/>
        <v>5.6737588652482268E-2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286.49999999999994</v>
      </c>
      <c r="M43" s="117">
        <v>1582.1239906491078</v>
      </c>
    </row>
    <row r="44" spans="1:13" x14ac:dyDescent="0.4">
      <c r="A44" s="19" t="s">
        <v>174</v>
      </c>
      <c r="B44" s="124">
        <v>2</v>
      </c>
      <c r="C44" s="6">
        <f t="shared" si="3"/>
        <v>1.4184397163120567E-2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233.59999999999994</v>
      </c>
      <c r="M44" s="117">
        <v>1572.871246705213</v>
      </c>
    </row>
    <row r="45" spans="1:13" x14ac:dyDescent="0.4">
      <c r="A45" s="19" t="s">
        <v>175</v>
      </c>
      <c r="B45" s="124">
        <v>2</v>
      </c>
      <c r="C45" s="6">
        <f t="shared" si="3"/>
        <v>1.4184397163120567E-2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234.09999999999994</v>
      </c>
      <c r="M45" s="117">
        <v>1573.2920192249817</v>
      </c>
    </row>
    <row r="46" spans="1:13" x14ac:dyDescent="0.4">
      <c r="A46" s="19" t="s">
        <v>176</v>
      </c>
      <c r="B46" s="124">
        <v>1</v>
      </c>
      <c r="C46" s="6">
        <f t="shared" si="3"/>
        <v>7.0921985815602835E-3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241.39999999999995</v>
      </c>
      <c r="M46" s="117">
        <v>1575.0962671096318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228.89999999999995</v>
      </c>
      <c r="M47" s="117">
        <v>1573.325689506974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230.89999999999995</v>
      </c>
      <c r="M48" s="117">
        <v>1574.2297353699321</v>
      </c>
    </row>
    <row r="49" spans="1:13" x14ac:dyDescent="0.4">
      <c r="A49" s="21" t="s">
        <v>179</v>
      </c>
      <c r="B49" s="97">
        <v>2</v>
      </c>
      <c r="C49" s="9">
        <f t="shared" si="3"/>
        <v>1.4184397163120567E-2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222.99999999999994</v>
      </c>
      <c r="M49" s="117">
        <v>1573.3463569577125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261.89999999999992</v>
      </c>
      <c r="M50" s="117">
        <v>1580.3102788159663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248.19999999999993</v>
      </c>
      <c r="M51" s="117">
        <v>1578.1244171430706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F4DF-AEB7-446B-94EE-22163FC487F6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18</v>
      </c>
      <c r="C2" s="142"/>
      <c r="E2" s="26" t="s">
        <v>66</v>
      </c>
      <c r="F2" s="23" t="s">
        <v>22</v>
      </c>
      <c r="G2" s="11">
        <v>15</v>
      </c>
      <c r="H2" s="87">
        <f>IF(B$20=0,0,G2/B$20)</f>
        <v>0.5</v>
      </c>
      <c r="I2" s="57">
        <v>13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">
      <c r="A3" s="19" t="s">
        <v>8</v>
      </c>
      <c r="B3" s="143">
        <v>140</v>
      </c>
      <c r="C3" s="144"/>
      <c r="E3" s="27" t="s">
        <v>72</v>
      </c>
      <c r="F3" s="24" t="s">
        <v>27</v>
      </c>
      <c r="G3" s="12">
        <v>15</v>
      </c>
      <c r="H3" s="88">
        <f>IF(B$20=0,0,G3/B$20)</f>
        <v>0.5</v>
      </c>
      <c r="I3" s="58">
        <v>11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">
      <c r="A4" s="19" t="s">
        <v>6</v>
      </c>
      <c r="B4" s="145">
        <v>-180.3</v>
      </c>
      <c r="C4" s="146"/>
      <c r="E4" s="27" t="s">
        <v>64</v>
      </c>
      <c r="F4" s="24" t="s">
        <v>20</v>
      </c>
      <c r="G4" s="12">
        <v>13</v>
      </c>
      <c r="H4" s="88">
        <f>IF(B$20=0,0,G4/B$20)</f>
        <v>0.43333333333333335</v>
      </c>
      <c r="I4" s="58">
        <v>6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">
      <c r="A5" s="19" t="s">
        <v>7</v>
      </c>
      <c r="B5" s="133">
        <f>IF(B$2=0,0,B$4/B$2)</f>
        <v>-10.016666666666667</v>
      </c>
      <c r="C5" s="134"/>
      <c r="E5" s="27" t="s">
        <v>159</v>
      </c>
      <c r="F5" s="24" t="s">
        <v>160</v>
      </c>
      <c r="G5" s="12">
        <v>12</v>
      </c>
      <c r="H5" s="88">
        <f>IF(B$20=0,0,G5/B$20)</f>
        <v>0.4</v>
      </c>
      <c r="I5" s="58">
        <v>7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">
      <c r="A6" s="19" t="s">
        <v>196</v>
      </c>
      <c r="B6" s="137">
        <v>1475.2783888604056</v>
      </c>
      <c r="C6" s="138"/>
      <c r="E6" s="27" t="s">
        <v>68</v>
      </c>
      <c r="F6" s="24" t="s">
        <v>12</v>
      </c>
      <c r="G6" s="12">
        <v>9</v>
      </c>
      <c r="H6" s="88">
        <f>IF(B$20=0,0,G6/B$20)</f>
        <v>0.3</v>
      </c>
      <c r="I6" s="58">
        <v>8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">
      <c r="A7" s="19" t="s">
        <v>1</v>
      </c>
      <c r="B7" s="147">
        <f>IF(B$2=0,0,(B$8*1+B$9*2+B$10*3)/B$2)</f>
        <v>2.2222222222222223</v>
      </c>
      <c r="C7" s="148"/>
      <c r="E7" s="27" t="s">
        <v>89</v>
      </c>
      <c r="F7" s="24" t="s">
        <v>44</v>
      </c>
      <c r="G7" s="12">
        <v>6</v>
      </c>
      <c r="H7" s="88">
        <f>IF(B$20=0,0,G7/B$20)</f>
        <v>0.2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">
      <c r="A8" s="19" t="s">
        <v>2</v>
      </c>
      <c r="B8" s="12">
        <v>4</v>
      </c>
      <c r="C8" s="6">
        <f t="shared" ref="C8:C15" si="1">IF(B$2=0,0,B8/B$2)</f>
        <v>0.22222222222222221</v>
      </c>
      <c r="E8" s="27" t="s">
        <v>65</v>
      </c>
      <c r="F8" s="24" t="s">
        <v>21</v>
      </c>
      <c r="G8" s="12">
        <v>5</v>
      </c>
      <c r="H8" s="88">
        <f>IF(B$20=0,0,G8/B$20)</f>
        <v>0.16666666666666666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0.33333333333333331</v>
      </c>
      <c r="E9" s="27" t="s">
        <v>67</v>
      </c>
      <c r="F9" s="24" t="s">
        <v>23</v>
      </c>
      <c r="G9" s="12">
        <v>4</v>
      </c>
      <c r="H9" s="88">
        <f>IF(B$20=0,0,G9/B$20)</f>
        <v>0.13333333333333333</v>
      </c>
      <c r="I9" s="58">
        <v>11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8</v>
      </c>
      <c r="C10" s="7">
        <f t="shared" si="1"/>
        <v>0.44444444444444442</v>
      </c>
      <c r="E10" s="27" t="s">
        <v>70</v>
      </c>
      <c r="F10" s="24" t="s">
        <v>25</v>
      </c>
      <c r="G10" s="12">
        <v>4</v>
      </c>
      <c r="H10" s="88">
        <f>IF(B$20=0,0,G10/B$20)</f>
        <v>0.13333333333333333</v>
      </c>
      <c r="I10" s="58">
        <v>1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-13.649999999999999</v>
      </c>
      <c r="Q10" s="76">
        <v>6</v>
      </c>
      <c r="R10" s="67">
        <v>-81.899999999999991</v>
      </c>
    </row>
    <row r="11" spans="1:18" x14ac:dyDescent="0.4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">
      <c r="A12" s="20" t="s">
        <v>185</v>
      </c>
      <c r="B12" s="109">
        <f>IF(B9=0,0,C12/B9)</f>
        <v>-3.35</v>
      </c>
      <c r="C12" s="110">
        <v>-20.100000000000001</v>
      </c>
      <c r="E12" s="27" t="s">
        <v>69</v>
      </c>
      <c r="F12" s="24" t="s">
        <v>24</v>
      </c>
      <c r="G12" s="12">
        <v>2</v>
      </c>
      <c r="H12" s="88">
        <f>IF(B$20=0,0,G12/B$20)</f>
        <v>6.6666666666666666E-2</v>
      </c>
      <c r="I12" s="58">
        <v>10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">
      <c r="A13" s="20" t="s">
        <v>186</v>
      </c>
      <c r="B13" s="109">
        <f>IF(B10=0,0,C13/B10)</f>
        <v>-39.462499999999999</v>
      </c>
      <c r="C13" s="110">
        <v>-315.7</v>
      </c>
      <c r="E13" s="27" t="s">
        <v>71</v>
      </c>
      <c r="F13" s="24" t="s">
        <v>26</v>
      </c>
      <c r="G13" s="12">
        <v>2</v>
      </c>
      <c r="H13" s="88">
        <f>IF(B$20=0,0,G13/B$20)</f>
        <v>6.6666666666666666E-2</v>
      </c>
      <c r="I13" s="58">
        <v>6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-1.3125</v>
      </c>
      <c r="C14" s="134"/>
      <c r="E14" s="27" t="s">
        <v>77</v>
      </c>
      <c r="F14" s="24" t="s">
        <v>32</v>
      </c>
      <c r="G14" s="12">
        <v>2</v>
      </c>
      <c r="H14" s="88">
        <f>IF(B$20=0,0,G14/B$20)</f>
        <v>6.6666666666666666E-2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0.1111111111111111</v>
      </c>
      <c r="E15" s="27" t="s">
        <v>81</v>
      </c>
      <c r="F15" s="24" t="s">
        <v>36</v>
      </c>
      <c r="G15" s="12">
        <v>1</v>
      </c>
      <c r="H15" s="88">
        <f>IF(B$20=0,0,G15/B$20)</f>
        <v>3.3333333333333333E-2</v>
      </c>
      <c r="I15" s="58">
        <v>7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">
      <c r="A16" s="22" t="s">
        <v>121</v>
      </c>
      <c r="B16" s="15">
        <v>32</v>
      </c>
      <c r="C16" s="10">
        <f>IF(B$3=0,0,B16/B$3)</f>
        <v>0.22857142857142856</v>
      </c>
      <c r="E16" s="27" t="s">
        <v>85</v>
      </c>
      <c r="F16" s="24" t="s">
        <v>40</v>
      </c>
      <c r="G16" s="12">
        <v>1</v>
      </c>
      <c r="H16" s="88">
        <f>IF(B$20=0,0,G16/B$20)</f>
        <v>3.3333333333333333E-2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-11.879999999999999</v>
      </c>
      <c r="Q16" s="77">
        <v>10</v>
      </c>
      <c r="R16" s="68">
        <v>-118.8</v>
      </c>
    </row>
    <row r="17" spans="1:18" x14ac:dyDescent="0.4">
      <c r="A17" s="19" t="s">
        <v>118</v>
      </c>
      <c r="B17" s="12">
        <v>24</v>
      </c>
      <c r="C17" s="6">
        <f>IF(B$3=0,0,B17/B$3)</f>
        <v>0.17142857142857143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-16.453846153846158</v>
      </c>
      <c r="Q17" s="77">
        <v>13</v>
      </c>
      <c r="R17" s="68">
        <v>-213.90000000000003</v>
      </c>
    </row>
    <row r="18" spans="1:18" x14ac:dyDescent="0.4">
      <c r="A18" s="18" t="s">
        <v>123</v>
      </c>
      <c r="B18" s="11">
        <f>B24</f>
        <v>14</v>
      </c>
      <c r="C18" s="5">
        <f>IF(B$16=0,0,B18/B$16)</f>
        <v>0.4375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">
      <c r="A19" s="18" t="s">
        <v>124</v>
      </c>
      <c r="B19" s="11">
        <f>B25</f>
        <v>7</v>
      </c>
      <c r="C19" s="5">
        <f>IF(B$17=0,0,B19/B$17)</f>
        <v>0.29166666666666669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">
      <c r="A20" s="18" t="s">
        <v>10</v>
      </c>
      <c r="B20" s="11">
        <f>B23+B22</f>
        <v>30</v>
      </c>
      <c r="C20" s="5">
        <f>IF(B$3=0,0,B20/B$3)</f>
        <v>0.21428571428571427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">
      <c r="A21" s="19" t="s">
        <v>13</v>
      </c>
      <c r="B21" s="12">
        <v>29</v>
      </c>
      <c r="C21" s="6">
        <f>IF(B$3=0,0,B21/B$3)</f>
        <v>0.20714285714285716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11</v>
      </c>
    </row>
    <row r="22" spans="1:18" x14ac:dyDescent="0.4">
      <c r="A22" s="19" t="s">
        <v>12</v>
      </c>
      <c r="B22" s="12">
        <v>13</v>
      </c>
      <c r="C22" s="6">
        <f>IF(B$20=0,0,B22/B$20)</f>
        <v>0.43333333333333335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8</v>
      </c>
    </row>
    <row r="23" spans="1:18" x14ac:dyDescent="0.4">
      <c r="A23" s="19" t="s">
        <v>11</v>
      </c>
      <c r="B23" s="12">
        <v>17</v>
      </c>
      <c r="C23" s="6">
        <f>IF(B$20=0,0,B23/B$20)</f>
        <v>0.56666666666666665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14</v>
      </c>
      <c r="C24" s="6">
        <f>IF(B$20=0,0,B24/B$20)</f>
        <v>0.46666666666666667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7</v>
      </c>
      <c r="C25" s="6">
        <f>IF(B$20=0,0,B25/B$20)</f>
        <v>0.23333333333333334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11</v>
      </c>
    </row>
    <row r="26" spans="1:18" x14ac:dyDescent="0.4">
      <c r="A26" s="19" t="s">
        <v>182</v>
      </c>
      <c r="B26" s="12">
        <v>9</v>
      </c>
      <c r="C26" s="6">
        <f>IF(B$20=0,0,B26/B$20)</f>
        <v>0.3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3</v>
      </c>
    </row>
    <row r="27" spans="1:18" x14ac:dyDescent="0.4">
      <c r="A27" s="19" t="s">
        <v>5</v>
      </c>
      <c r="B27" s="16">
        <f>IF(B$20=0,0,C27/B$20)</f>
        <v>7183.333333333333</v>
      </c>
      <c r="C27" s="8">
        <v>215500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7878.260869565217</v>
      </c>
      <c r="C28" s="96">
        <v>181200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17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74600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6</v>
      </c>
      <c r="C37" s="98">
        <f t="shared" ref="C37:C49" si="3">IF(B$20=0,0,B37/B$20)</f>
        <v>0.2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6</v>
      </c>
      <c r="C38" s="6">
        <f t="shared" si="3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3"/>
        <v>3.3333333333333333E-2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6</v>
      </c>
      <c r="C40" s="6">
        <f t="shared" si="3"/>
        <v>0.2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3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3"/>
        <v>6.6666666666666666E-2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3"/>
        <v>3.3333333333333333E-2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92BD9-BDC2-4F23-A3EC-0F573C670A85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6</v>
      </c>
      <c r="C2" s="142"/>
      <c r="E2" s="26" t="s">
        <v>72</v>
      </c>
      <c r="F2" s="23" t="s">
        <v>27</v>
      </c>
      <c r="G2" s="11">
        <v>9</v>
      </c>
      <c r="H2" s="87">
        <f>IF(B$20=0,0,G2/B$20)</f>
        <v>0.75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-7866.666666666667</v>
      </c>
      <c r="Q2" s="76">
        <v>6</v>
      </c>
      <c r="R2" s="63">
        <v>-47200</v>
      </c>
    </row>
    <row r="3" spans="1:18" x14ac:dyDescent="0.4">
      <c r="A3" s="19" t="s">
        <v>8</v>
      </c>
      <c r="B3" s="143">
        <v>54</v>
      </c>
      <c r="C3" s="144"/>
      <c r="E3" s="27" t="s">
        <v>66</v>
      </c>
      <c r="F3" s="24" t="s">
        <v>22</v>
      </c>
      <c r="G3" s="12">
        <v>8</v>
      </c>
      <c r="H3" s="88">
        <f>IF(B$20=0,0,G3/B$20)</f>
        <v>0.66666666666666663</v>
      </c>
      <c r="I3" s="58">
        <v>11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-500</v>
      </c>
      <c r="Q3" s="77">
        <v>6</v>
      </c>
      <c r="R3" s="64">
        <v>-3000</v>
      </c>
    </row>
    <row r="4" spans="1:18" x14ac:dyDescent="0.4">
      <c r="A4" s="19" t="s">
        <v>6</v>
      </c>
      <c r="B4" s="145">
        <v>-78.199999999999989</v>
      </c>
      <c r="C4" s="146"/>
      <c r="E4" s="27" t="s">
        <v>159</v>
      </c>
      <c r="F4" s="24" t="s">
        <v>160</v>
      </c>
      <c r="G4" s="12">
        <v>6</v>
      </c>
      <c r="H4" s="88">
        <f>IF(B$20=0,0,G4/B$20)</f>
        <v>0.5</v>
      </c>
      <c r="I4" s="58">
        <v>2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7083.333333333333</v>
      </c>
      <c r="Q4" s="77">
        <v>6</v>
      </c>
      <c r="R4" s="64">
        <v>42500</v>
      </c>
    </row>
    <row r="5" spans="1:18" x14ac:dyDescent="0.4">
      <c r="A5" s="19" t="s">
        <v>7</v>
      </c>
      <c r="B5" s="133">
        <f>IF(B$2=0,0,B$4/B$2)</f>
        <v>-13.033333333333331</v>
      </c>
      <c r="C5" s="134"/>
      <c r="E5" s="27" t="s">
        <v>89</v>
      </c>
      <c r="F5" s="24" t="s">
        <v>44</v>
      </c>
      <c r="G5" s="12">
        <v>4</v>
      </c>
      <c r="H5" s="88">
        <f>IF(B$20=0,0,G5/B$20)</f>
        <v>0.33333333333333331</v>
      </c>
      <c r="I5" s="58">
        <v>1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-1360</v>
      </c>
      <c r="Q5" s="77">
        <v>5</v>
      </c>
      <c r="R5" s="64">
        <v>-6800</v>
      </c>
    </row>
    <row r="6" spans="1:18" x14ac:dyDescent="0.4">
      <c r="A6" s="19" t="s">
        <v>196</v>
      </c>
      <c r="B6" s="137">
        <v>1340.228259602879</v>
      </c>
      <c r="C6" s="138"/>
      <c r="E6" s="27" t="s">
        <v>64</v>
      </c>
      <c r="F6" s="24" t="s">
        <v>20</v>
      </c>
      <c r="G6" s="12">
        <v>3</v>
      </c>
      <c r="H6" s="88">
        <f>IF(B$20=0,0,G6/B$20)</f>
        <v>0.25</v>
      </c>
      <c r="I6" s="58">
        <v>12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5</v>
      </c>
      <c r="R6" s="64">
        <v>-20000</v>
      </c>
    </row>
    <row r="7" spans="1:18" x14ac:dyDescent="0.4">
      <c r="A7" s="19" t="s">
        <v>1</v>
      </c>
      <c r="B7" s="147">
        <f>IF(B$2=0,0,(B$8*1+B$9*2+B$10*3)/B$2)</f>
        <v>2.3333333333333335</v>
      </c>
      <c r="C7" s="148"/>
      <c r="E7" s="27" t="s">
        <v>68</v>
      </c>
      <c r="F7" s="24" t="s">
        <v>12</v>
      </c>
      <c r="G7" s="12">
        <v>3</v>
      </c>
      <c r="H7" s="88">
        <f>IF(B$20=0,0,G7/B$20)</f>
        <v>0.25</v>
      </c>
      <c r="I7" s="58">
        <v>12</v>
      </c>
      <c r="K7" s="74">
        <v>5</v>
      </c>
      <c r="L7" s="119">
        <v>-51.099999999999994</v>
      </c>
      <c r="M7" s="117">
        <v>1344.1652511095363</v>
      </c>
      <c r="O7" s="75" t="s">
        <v>133</v>
      </c>
      <c r="P7" s="81">
        <f t="shared" si="0"/>
        <v>-4740</v>
      </c>
      <c r="Q7" s="78">
        <v>5</v>
      </c>
      <c r="R7" s="65">
        <v>-23700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0.16666666666666666</v>
      </c>
      <c r="E8" s="27" t="s">
        <v>71</v>
      </c>
      <c r="F8" s="24" t="s">
        <v>26</v>
      </c>
      <c r="G8" s="12">
        <v>2</v>
      </c>
      <c r="H8" s="88">
        <f>IF(B$20=0,0,G8/B$20)</f>
        <v>0.16666666666666666</v>
      </c>
      <c r="I8" s="58">
        <v>1</v>
      </c>
      <c r="K8" s="74">
        <v>6</v>
      </c>
      <c r="L8" s="119">
        <v>-78.199999999999989</v>
      </c>
      <c r="M8" s="117">
        <v>1340.228259602879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0.33333333333333331</v>
      </c>
      <c r="E9" s="27" t="s">
        <v>65</v>
      </c>
      <c r="F9" s="24" t="s">
        <v>21</v>
      </c>
      <c r="G9" s="12">
        <v>1</v>
      </c>
      <c r="H9" s="88">
        <f>IF(B$20=0,0,G9/B$20)</f>
        <v>8.3333333333333329E-2</v>
      </c>
      <c r="I9" s="58">
        <v>8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8.3333333333333329E-2</v>
      </c>
      <c r="I10" s="58">
        <v>3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20</v>
      </c>
      <c r="C11" s="110">
        <v>20</v>
      </c>
      <c r="E11" s="27" t="s">
        <v>83</v>
      </c>
      <c r="F11" s="24" t="s">
        <v>38</v>
      </c>
      <c r="G11" s="12">
        <v>1</v>
      </c>
      <c r="H11" s="88">
        <f>IF(B$20=0,0,G11/B$20)</f>
        <v>8.3333333333333329E-2</v>
      </c>
      <c r="I11" s="58">
        <v>3</v>
      </c>
      <c r="O11" s="74" t="s">
        <v>152</v>
      </c>
      <c r="P11" s="83">
        <f>IF(Q11=0,0,R11/Q11)</f>
        <v>10.3</v>
      </c>
      <c r="Q11" s="77">
        <v>2</v>
      </c>
      <c r="R11" s="68">
        <v>20.6</v>
      </c>
    </row>
    <row r="12" spans="1:18" x14ac:dyDescent="0.4">
      <c r="A12" s="20" t="s">
        <v>185</v>
      </c>
      <c r="B12" s="109">
        <f>IF(B9=0,0,C12/B9)</f>
        <v>1.85</v>
      </c>
      <c r="C12" s="110">
        <v>3.7</v>
      </c>
      <c r="E12" s="27" t="s">
        <v>67</v>
      </c>
      <c r="F12" s="24" t="s">
        <v>23</v>
      </c>
      <c r="G12" s="12">
        <v>0</v>
      </c>
      <c r="H12" s="88">
        <f>IF(B$20=0,0,G12/B$20)</f>
        <v>0</v>
      </c>
      <c r="I12" s="58">
        <v>13</v>
      </c>
      <c r="O12" s="75" t="s">
        <v>153</v>
      </c>
      <c r="P12" s="84">
        <f>IF(Q12=0,0,R12/Q12)</f>
        <v>-24.699999999999996</v>
      </c>
      <c r="Q12" s="78">
        <v>4</v>
      </c>
      <c r="R12" s="69">
        <v>-98.799999999999983</v>
      </c>
    </row>
    <row r="13" spans="1:18" x14ac:dyDescent="0.4">
      <c r="A13" s="20" t="s">
        <v>186</v>
      </c>
      <c r="B13" s="109">
        <f>IF(B10=0,0,C13/B10)</f>
        <v>-33.966666666666669</v>
      </c>
      <c r="C13" s="110">
        <v>-101.9</v>
      </c>
      <c r="E13" s="27" t="s">
        <v>69</v>
      </c>
      <c r="F13" s="24" t="s">
        <v>24</v>
      </c>
      <c r="G13" s="12">
        <v>0</v>
      </c>
      <c r="H13" s="88">
        <f>IF(B$20=0,0,G13/B$20)</f>
        <v>0</v>
      </c>
      <c r="I13" s="58">
        <v>11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-4.0388888888888888</v>
      </c>
      <c r="C14" s="134"/>
      <c r="E14" s="27" t="s">
        <v>70</v>
      </c>
      <c r="F14" s="24" t="s">
        <v>25</v>
      </c>
      <c r="G14" s="12">
        <v>0</v>
      </c>
      <c r="H14" s="88">
        <f>IF(B$20=0,0,G14/B$20)</f>
        <v>0</v>
      </c>
      <c r="I14" s="58">
        <v>10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211</v>
      </c>
      <c r="P15" s="82">
        <f>IF(Q15=0,0,R15/Q15)</f>
        <v>-7.125</v>
      </c>
      <c r="Q15" s="76">
        <v>4</v>
      </c>
      <c r="R15" s="67">
        <v>-28.5</v>
      </c>
    </row>
    <row r="16" spans="1:18" x14ac:dyDescent="0.4">
      <c r="A16" s="22" t="s">
        <v>121</v>
      </c>
      <c r="B16" s="15">
        <v>9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163</v>
      </c>
      <c r="P16" s="83">
        <f>IF(Q16=0,0,R16/Q16)</f>
        <v>-18.3</v>
      </c>
      <c r="Q16" s="77">
        <v>2</v>
      </c>
      <c r="R16" s="68">
        <v>-36.6</v>
      </c>
    </row>
    <row r="17" spans="1:18" x14ac:dyDescent="0.4">
      <c r="A17" s="19" t="s">
        <v>118</v>
      </c>
      <c r="B17" s="12">
        <v>12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  <c r="O17" s="74" t="s">
        <v>216</v>
      </c>
      <c r="P17" s="83">
        <f>IF(Q17=0,0,R17/Q17)</f>
        <v>-27.925000000000004</v>
      </c>
      <c r="Q17" s="77">
        <v>4</v>
      </c>
      <c r="R17" s="68">
        <v>-111.70000000000002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126</v>
      </c>
      <c r="P18" s="83">
        <f>IF(Q18=0,0,R18/Q18)</f>
        <v>-28.9</v>
      </c>
      <c r="Q18" s="77">
        <v>2</v>
      </c>
      <c r="R18" s="68">
        <v>-57.8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0.41666666666666669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18" x14ac:dyDescent="0.4">
      <c r="A20" s="18" t="s">
        <v>10</v>
      </c>
      <c r="B20" s="11">
        <f>B23+B22</f>
        <v>12</v>
      </c>
      <c r="C20" s="5">
        <f>IF(B$3=0,0,B20/B$3)</f>
        <v>0.22222222222222221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11</v>
      </c>
    </row>
    <row r="21" spans="1:18" x14ac:dyDescent="0.4">
      <c r="A21" s="19" t="s">
        <v>13</v>
      </c>
      <c r="B21" s="12">
        <v>12</v>
      </c>
      <c r="C21" s="6">
        <f>IF(B$3=0,0,B21/B$3)</f>
        <v>0.22222222222222221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8</v>
      </c>
    </row>
    <row r="22" spans="1:18" x14ac:dyDescent="0.4">
      <c r="A22" s="19" t="s">
        <v>12</v>
      </c>
      <c r="B22" s="12">
        <v>3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9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2</v>
      </c>
      <c r="C24" s="6">
        <f>IF(B$20=0,0,B24/B$20)</f>
        <v>0.16666666666666666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5</v>
      </c>
      <c r="C25" s="6">
        <f>IF(B$20=0,0,B25/B$20)</f>
        <v>0.41666666666666669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5</v>
      </c>
      <c r="C26" s="6">
        <f>IF(B$20=0,0,B26/B$20)</f>
        <v>0.41666666666666669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7866.666666666667</v>
      </c>
      <c r="C27" s="8">
        <v>94400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7414.2857142857147</v>
      </c>
      <c r="C28" s="96">
        <v>51900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8500</v>
      </c>
      <c r="C29" s="96">
        <v>42500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-8875</v>
      </c>
      <c r="C30" s="96">
        <v>-106500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8.3333333333333329E-2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4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0.16666666666666666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8.3333333333333329E-2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E1169-2643-4D48-ACC9-6C1D0485191D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195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12</v>
      </c>
      <c r="C2" s="142"/>
      <c r="E2" s="26" t="s">
        <v>66</v>
      </c>
      <c r="F2" s="23" t="s">
        <v>22</v>
      </c>
      <c r="G2" s="11">
        <v>25</v>
      </c>
      <c r="H2" s="87">
        <f>IF(B$20=0,0,G2/B$20)</f>
        <v>0.86206896551724133</v>
      </c>
      <c r="I2" s="57">
        <v>4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-4275</v>
      </c>
      <c r="Q2" s="76">
        <v>12</v>
      </c>
      <c r="R2" s="63">
        <v>-51300</v>
      </c>
    </row>
    <row r="3" spans="1:18" x14ac:dyDescent="0.4">
      <c r="A3" s="19" t="s">
        <v>8</v>
      </c>
      <c r="B3" s="143">
        <v>103</v>
      </c>
      <c r="C3" s="144"/>
      <c r="E3" s="27" t="s">
        <v>159</v>
      </c>
      <c r="F3" s="24" t="s">
        <v>160</v>
      </c>
      <c r="G3" s="12">
        <v>19</v>
      </c>
      <c r="H3" s="88">
        <f>IF(B$20=0,0,G3/B$20)</f>
        <v>0.65517241379310343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4827.272727272727</v>
      </c>
      <c r="Q3" s="77">
        <v>11</v>
      </c>
      <c r="R3" s="64">
        <v>53100</v>
      </c>
    </row>
    <row r="4" spans="1:18" x14ac:dyDescent="0.4">
      <c r="A4" s="19" t="s">
        <v>6</v>
      </c>
      <c r="B4" s="145">
        <v>-39.5</v>
      </c>
      <c r="C4" s="146"/>
      <c r="E4" s="27" t="s">
        <v>64</v>
      </c>
      <c r="F4" s="24" t="s">
        <v>20</v>
      </c>
      <c r="G4" s="12">
        <v>16</v>
      </c>
      <c r="H4" s="88">
        <f>IF(B$20=0,0,G4/B$20)</f>
        <v>0.55172413793103448</v>
      </c>
      <c r="I4" s="58">
        <v>2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666.66666666666663</v>
      </c>
      <c r="Q4" s="77">
        <v>12</v>
      </c>
      <c r="R4" s="64">
        <v>8000</v>
      </c>
    </row>
    <row r="5" spans="1:18" x14ac:dyDescent="0.4">
      <c r="A5" s="19" t="s">
        <v>7</v>
      </c>
      <c r="B5" s="133">
        <f>IF(B$2=0,0,B$4/B$2)</f>
        <v>-3.2916666666666665</v>
      </c>
      <c r="C5" s="134"/>
      <c r="E5" s="27" t="s">
        <v>68</v>
      </c>
      <c r="F5" s="24" t="s">
        <v>12</v>
      </c>
      <c r="G5" s="12">
        <v>15</v>
      </c>
      <c r="H5" s="88">
        <f>IF(B$20=0,0,G5/B$20)</f>
        <v>0.51724137931034486</v>
      </c>
      <c r="I5" s="58">
        <v>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-3233.3333333333335</v>
      </c>
      <c r="Q5" s="77">
        <v>12</v>
      </c>
      <c r="R5" s="64">
        <v>-38800</v>
      </c>
    </row>
    <row r="6" spans="1:18" x14ac:dyDescent="0.4">
      <c r="A6" s="19" t="s">
        <v>196</v>
      </c>
      <c r="B6" s="137">
        <v>1396.3170423346389</v>
      </c>
      <c r="C6" s="138"/>
      <c r="E6" s="27" t="s">
        <v>72</v>
      </c>
      <c r="F6" s="24" t="s">
        <v>27</v>
      </c>
      <c r="G6" s="12">
        <v>14</v>
      </c>
      <c r="H6" s="88">
        <f>IF(B$20=0,0,G6/B$20)</f>
        <v>0.48275862068965519</v>
      </c>
      <c r="I6" s="58">
        <v>12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-1363.6363636363637</v>
      </c>
      <c r="Q6" s="77">
        <v>11</v>
      </c>
      <c r="R6" s="64">
        <v>-15000</v>
      </c>
    </row>
    <row r="7" spans="1:18" x14ac:dyDescent="0.4">
      <c r="A7" s="19" t="s">
        <v>1</v>
      </c>
      <c r="B7" s="147">
        <f>IF(B$2=0,0,(B$8*1+B$9*2+B$10*3)/B$2)</f>
        <v>1.9166666666666667</v>
      </c>
      <c r="C7" s="148"/>
      <c r="E7" s="27" t="s">
        <v>67</v>
      </c>
      <c r="F7" s="24" t="s">
        <v>23</v>
      </c>
      <c r="G7" s="12">
        <v>9</v>
      </c>
      <c r="H7" s="88">
        <f>IF(B$20=0,0,G7/B$20)</f>
        <v>0.31034482758620691</v>
      </c>
      <c r="I7" s="58">
        <v>3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-500</v>
      </c>
      <c r="Q7" s="78">
        <v>11</v>
      </c>
      <c r="R7" s="65">
        <v>-5500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0.5</v>
      </c>
      <c r="E8" s="27" t="s">
        <v>69</v>
      </c>
      <c r="F8" s="24" t="s">
        <v>24</v>
      </c>
      <c r="G8" s="12">
        <v>9</v>
      </c>
      <c r="H8" s="88">
        <f>IF(B$20=0,0,G8/B$20)</f>
        <v>0.31034482758620691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8.3333333333333329E-2</v>
      </c>
      <c r="E9" s="27" t="s">
        <v>65</v>
      </c>
      <c r="F9" s="24" t="s">
        <v>21</v>
      </c>
      <c r="G9" s="12">
        <v>3</v>
      </c>
      <c r="H9" s="88">
        <f>IF(B$20=0,0,G9/B$20)</f>
        <v>0.10344827586206896</v>
      </c>
      <c r="I9" s="58">
        <v>5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</v>
      </c>
      <c r="C10" s="7">
        <f t="shared" si="1"/>
        <v>0.41666666666666669</v>
      </c>
      <c r="E10" s="27" t="s">
        <v>70</v>
      </c>
      <c r="F10" s="24" t="s">
        <v>25</v>
      </c>
      <c r="G10" s="12">
        <v>2</v>
      </c>
      <c r="H10" s="88">
        <f>IF(B$20=0,0,G10/B$20)</f>
        <v>6.8965517241379309E-2</v>
      </c>
      <c r="I10" s="58">
        <v>8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-4.6499999999999995</v>
      </c>
      <c r="Q10" s="76">
        <v>2</v>
      </c>
      <c r="R10" s="67">
        <v>-9.2999999999999989</v>
      </c>
    </row>
    <row r="11" spans="1:18" x14ac:dyDescent="0.4">
      <c r="A11" s="20" t="s">
        <v>184</v>
      </c>
      <c r="B11" s="109">
        <f>IF(B8=0,0,C11/B8)</f>
        <v>25.716666666666665</v>
      </c>
      <c r="C11" s="110">
        <v>154.29999999999998</v>
      </c>
      <c r="E11" s="27" t="s">
        <v>75</v>
      </c>
      <c r="F11" s="24" t="s">
        <v>30</v>
      </c>
      <c r="G11" s="12">
        <v>1</v>
      </c>
      <c r="H11" s="88">
        <f>IF(B$20=0,0,G11/B$20)</f>
        <v>3.4482758620689655E-2</v>
      </c>
      <c r="I11" s="58">
        <v>1</v>
      </c>
      <c r="K11" s="74">
        <v>9</v>
      </c>
      <c r="L11" s="119">
        <v>-21.200000000000003</v>
      </c>
      <c r="M11" s="117">
        <v>1397.8590871718811</v>
      </c>
      <c r="O11" s="74" t="s">
        <v>152</v>
      </c>
      <c r="P11" s="83">
        <f>IF(Q11=0,0,R11/Q11)</f>
        <v>2.2000000000000006</v>
      </c>
      <c r="Q11" s="77">
        <v>3</v>
      </c>
      <c r="R11" s="68">
        <v>6.6000000000000014</v>
      </c>
    </row>
    <row r="12" spans="1:18" x14ac:dyDescent="0.4">
      <c r="A12" s="20" t="s">
        <v>185</v>
      </c>
      <c r="B12" s="109">
        <f>IF(B9=0,0,C12/B9)</f>
        <v>-9</v>
      </c>
      <c r="C12" s="110">
        <v>-9</v>
      </c>
      <c r="E12" s="27" t="s">
        <v>78</v>
      </c>
      <c r="F12" s="24" t="s">
        <v>33</v>
      </c>
      <c r="G12" s="12">
        <v>1</v>
      </c>
      <c r="H12" s="88">
        <f>IF(B$20=0,0,G12/B$20)</f>
        <v>3.4482758620689655E-2</v>
      </c>
      <c r="I12" s="58">
        <v>3</v>
      </c>
      <c r="K12" s="74">
        <v>10</v>
      </c>
      <c r="L12" s="119">
        <v>-6.3000000000000025</v>
      </c>
      <c r="M12" s="117">
        <v>1401.5799326488498</v>
      </c>
      <c r="O12" s="75" t="s">
        <v>153</v>
      </c>
      <c r="P12" s="84">
        <f>IF(Q12=0,0,R12/Q12)</f>
        <v>-5.2571428571428571</v>
      </c>
      <c r="Q12" s="78">
        <v>7</v>
      </c>
      <c r="R12" s="69">
        <v>-36.799999999999997</v>
      </c>
    </row>
    <row r="13" spans="1:18" x14ac:dyDescent="0.4">
      <c r="A13" s="20" t="s">
        <v>186</v>
      </c>
      <c r="B13" s="109">
        <f>IF(B10=0,0,C13/B10)</f>
        <v>-36.959999999999994</v>
      </c>
      <c r="C13" s="110">
        <v>-184.79999999999998</v>
      </c>
      <c r="E13" s="27" t="s">
        <v>81</v>
      </c>
      <c r="F13" s="24" t="s">
        <v>36</v>
      </c>
      <c r="G13" s="12">
        <v>1</v>
      </c>
      <c r="H13" s="88">
        <f>IF(B$20=0,0,G13/B$20)</f>
        <v>3.4482758620689655E-2</v>
      </c>
      <c r="I13" s="58">
        <v>6</v>
      </c>
      <c r="K13" s="74">
        <v>11</v>
      </c>
      <c r="L13" s="119">
        <v>-30.5</v>
      </c>
      <c r="M13" s="117">
        <v>1397.5684530529566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-6.7477777777777765</v>
      </c>
      <c r="C14" s="134"/>
      <c r="E14" s="27" t="s">
        <v>89</v>
      </c>
      <c r="F14" s="24" t="s">
        <v>44</v>
      </c>
      <c r="G14" s="12">
        <v>1</v>
      </c>
      <c r="H14" s="88">
        <f>IF(B$20=0,0,G14/B$20)</f>
        <v>3.4482758620689655E-2</v>
      </c>
      <c r="I14" s="58">
        <v>11</v>
      </c>
      <c r="K14" s="74">
        <v>12</v>
      </c>
      <c r="L14" s="119">
        <v>-39.5</v>
      </c>
      <c r="M14" s="117">
        <v>1396.3170423346389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0.16666666666666666</v>
      </c>
      <c r="E15" s="27" t="s">
        <v>71</v>
      </c>
      <c r="F15" s="24" t="s">
        <v>26</v>
      </c>
      <c r="G15" s="12">
        <v>0</v>
      </c>
      <c r="H15" s="88">
        <f>IF(B$20=0,0,G15/B$20)</f>
        <v>0</v>
      </c>
      <c r="I15" s="58">
        <v>11</v>
      </c>
      <c r="O15" s="73" t="s">
        <v>163</v>
      </c>
      <c r="P15" s="82">
        <f t="shared" ref="P15:P21" si="2">IF(Q15=0,0,R15/Q15)</f>
        <v>39.850000000000009</v>
      </c>
      <c r="Q15" s="76">
        <v>2</v>
      </c>
      <c r="R15" s="67">
        <v>79.700000000000017</v>
      </c>
    </row>
    <row r="16" spans="1:18" x14ac:dyDescent="0.4">
      <c r="A16" s="22" t="s">
        <v>121</v>
      </c>
      <c r="B16" s="15">
        <v>23</v>
      </c>
      <c r="C16" s="10">
        <f>IF(B$3=0,0,B16/B$3)</f>
        <v>0.22330097087378642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6</v>
      </c>
      <c r="O16" s="74" t="s">
        <v>190</v>
      </c>
      <c r="P16" s="83">
        <f t="shared" si="2"/>
        <v>12.549999999999999</v>
      </c>
      <c r="Q16" s="77">
        <v>2</v>
      </c>
      <c r="R16" s="68">
        <v>25.099999999999998</v>
      </c>
    </row>
    <row r="17" spans="1:18" x14ac:dyDescent="0.4">
      <c r="A17" s="19" t="s">
        <v>118</v>
      </c>
      <c r="B17" s="12">
        <v>14</v>
      </c>
      <c r="C17" s="6">
        <f>IF(B$3=0,0,B17/B$3)</f>
        <v>0.13592233009708737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 t="shared" si="2"/>
        <v>4.8999999999999995</v>
      </c>
      <c r="Q17" s="77">
        <v>7</v>
      </c>
      <c r="R17" s="68">
        <v>34.299999999999997</v>
      </c>
    </row>
    <row r="18" spans="1:18" x14ac:dyDescent="0.4">
      <c r="A18" s="18" t="s">
        <v>123</v>
      </c>
      <c r="B18" s="11">
        <f>B24</f>
        <v>16</v>
      </c>
      <c r="C18" s="5">
        <f>IF(B$16=0,0,B18/B$16)</f>
        <v>0.69565217391304346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221</v>
      </c>
      <c r="P18" s="83">
        <f t="shared" si="2"/>
        <v>3.6500000000000004</v>
      </c>
      <c r="Q18" s="77">
        <v>2</v>
      </c>
      <c r="R18" s="68">
        <v>7.3000000000000007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0.35714285714285715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  <c r="O19" s="74" t="s">
        <v>211</v>
      </c>
      <c r="P19" s="83">
        <f t="shared" si="2"/>
        <v>3.0750000000000011</v>
      </c>
      <c r="Q19" s="77">
        <v>4</v>
      </c>
      <c r="R19" s="68">
        <v>12.300000000000004</v>
      </c>
    </row>
    <row r="20" spans="1:18" x14ac:dyDescent="0.4">
      <c r="A20" s="18" t="s">
        <v>10</v>
      </c>
      <c r="B20" s="11">
        <f>B23+B22</f>
        <v>29</v>
      </c>
      <c r="C20" s="5">
        <f>IF(B$3=0,0,B20/B$3)</f>
        <v>0.28155339805825241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  <c r="O20" s="74" t="s">
        <v>192</v>
      </c>
      <c r="P20" s="83">
        <f t="shared" si="2"/>
        <v>-36.479999999999997</v>
      </c>
      <c r="Q20" s="77">
        <v>5</v>
      </c>
      <c r="R20" s="68">
        <v>-182.39999999999998</v>
      </c>
    </row>
    <row r="21" spans="1:18" x14ac:dyDescent="0.4">
      <c r="A21" s="19" t="s">
        <v>13</v>
      </c>
      <c r="B21" s="12">
        <v>17</v>
      </c>
      <c r="C21" s="6">
        <f>IF(B$3=0,0,B21/B$3)</f>
        <v>0.1650485436893204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  <c r="O21" s="74" t="s">
        <v>189</v>
      </c>
      <c r="P21" s="83">
        <f t="shared" si="2"/>
        <v>-47.400000000000006</v>
      </c>
      <c r="Q21" s="77">
        <v>2</v>
      </c>
      <c r="R21" s="68">
        <v>-94.800000000000011</v>
      </c>
    </row>
    <row r="22" spans="1:18" x14ac:dyDescent="0.4">
      <c r="A22" s="19" t="s">
        <v>12</v>
      </c>
      <c r="B22" s="12">
        <v>16</v>
      </c>
      <c r="C22" s="6">
        <f>IF(B$20=0,0,B22/B$20)</f>
        <v>0.55172413793103448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13</v>
      </c>
      <c r="C23" s="6">
        <f>IF(B$20=0,0,B23/B$20)</f>
        <v>0.44827586206896552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11</v>
      </c>
    </row>
    <row r="24" spans="1:18" x14ac:dyDescent="0.4">
      <c r="A24" s="19" t="s">
        <v>183</v>
      </c>
      <c r="B24" s="12">
        <v>16</v>
      </c>
      <c r="C24" s="6">
        <f>IF(B$20=0,0,B24/B$20)</f>
        <v>0.55172413793103448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5</v>
      </c>
      <c r="C25" s="6">
        <f>IF(B$20=0,0,B25/B$20)</f>
        <v>0.17241379310344829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8</v>
      </c>
      <c r="C26" s="6">
        <f>IF(B$20=0,0,B26/B$20)</f>
        <v>0.27586206896551724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8606.8965517241377</v>
      </c>
      <c r="C27" s="8">
        <v>249600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8600</v>
      </c>
      <c r="C28" s="96">
        <v>206400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8640</v>
      </c>
      <c r="C29" s="96">
        <v>43200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-7629.411764705882</v>
      </c>
      <c r="C30" s="96">
        <v>-129700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16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65700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9.7087378640776691E-3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3">IF(B$20=0,0,B37/B$20)</f>
        <v>3.4482758620689655E-2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4</v>
      </c>
      <c r="C38" s="6">
        <f t="shared" si="3"/>
        <v>0.13793103448275862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5</v>
      </c>
      <c r="C39" s="6">
        <f t="shared" si="3"/>
        <v>0.17241379310344829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9</v>
      </c>
      <c r="C40" s="6">
        <f t="shared" si="3"/>
        <v>0.31034482758620691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3"/>
        <v>0.17241379310344829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0.10344827586206896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3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3"/>
        <v>6.8965517241379309E-2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D1A-AA85-4DE9-B776-A8C06912CC2A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221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2</v>
      </c>
      <c r="C2" s="142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">
      <c r="A3" s="19" t="s">
        <v>8</v>
      </c>
      <c r="B3" s="143">
        <v>18</v>
      </c>
      <c r="C3" s="144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">
      <c r="A4" s="19" t="s">
        <v>6</v>
      </c>
      <c r="B4" s="145">
        <v>-13.5</v>
      </c>
      <c r="C4" s="146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">
      <c r="A5" s="19" t="s">
        <v>7</v>
      </c>
      <c r="B5" s="133">
        <f>IF(B$2=0,0,B$4/B$2)</f>
        <v>-6.75</v>
      </c>
      <c r="C5" s="134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12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">
      <c r="A6" s="19" t="s">
        <v>196</v>
      </c>
      <c r="B6" s="137">
        <v>1497.379788</v>
      </c>
      <c r="C6" s="138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6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">
      <c r="A7" s="19" t="s">
        <v>1</v>
      </c>
      <c r="B7" s="147">
        <f>IF(B$2=0,0,(B$8*1+B$9*2+B$10*3)/B$2)</f>
        <v>2.5</v>
      </c>
      <c r="C7" s="148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12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11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-4.5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8</v>
      </c>
    </row>
    <row r="20" spans="1:18" x14ac:dyDescent="0.4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13</v>
      </c>
    </row>
    <row r="22" spans="1:18" x14ac:dyDescent="0.4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11</v>
      </c>
    </row>
    <row r="24" spans="1:18" x14ac:dyDescent="0.4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39000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815DF-B228-411E-B964-D02356E0B592}">
  <sheetPr codeName="Sheet2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259</v>
      </c>
      <c r="C1" s="140"/>
      <c r="E1" s="104" t="s">
        <v>154</v>
      </c>
      <c r="F1" s="126" t="s">
        <v>115</v>
      </c>
      <c r="G1" s="125" t="s">
        <v>116</v>
      </c>
      <c r="H1" s="86" t="s">
        <v>117</v>
      </c>
      <c r="I1" s="126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</v>
      </c>
      <c r="C2" s="142"/>
      <c r="E2" s="26" t="s">
        <v>66</v>
      </c>
      <c r="F2" s="23" t="s">
        <v>22</v>
      </c>
      <c r="G2" s="11">
        <v>5</v>
      </c>
      <c r="H2" s="87">
        <f>IF(B$20=0,0,G2/B$20)</f>
        <v>0.83333333333333337</v>
      </c>
      <c r="I2" s="57">
        <v>5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-5933.333333333333</v>
      </c>
      <c r="Q2" s="76">
        <v>3</v>
      </c>
      <c r="R2" s="63">
        <v>-17800</v>
      </c>
    </row>
    <row r="3" spans="1:18" x14ac:dyDescent="0.4">
      <c r="A3" s="19" t="s">
        <v>8</v>
      </c>
      <c r="B3" s="143">
        <v>25</v>
      </c>
      <c r="C3" s="144"/>
      <c r="E3" s="27" t="s">
        <v>64</v>
      </c>
      <c r="F3" s="24" t="s">
        <v>20</v>
      </c>
      <c r="G3" s="12">
        <v>4</v>
      </c>
      <c r="H3" s="88">
        <f>IF(B$20=0,0,G3/B$20)</f>
        <v>0.66666666666666663</v>
      </c>
      <c r="I3" s="58">
        <v>1</v>
      </c>
      <c r="K3" s="74">
        <v>1</v>
      </c>
      <c r="L3" s="119">
        <v>-24.5</v>
      </c>
      <c r="M3" s="117">
        <v>1496.4</v>
      </c>
      <c r="O3" s="74" t="s">
        <v>129</v>
      </c>
      <c r="P3" s="80">
        <f t="shared" si="0"/>
        <v>5500</v>
      </c>
      <c r="Q3" s="77">
        <v>3</v>
      </c>
      <c r="R3" s="64">
        <v>16500</v>
      </c>
    </row>
    <row r="4" spans="1:18" x14ac:dyDescent="0.4">
      <c r="A4" s="19" t="s">
        <v>6</v>
      </c>
      <c r="B4" s="145">
        <v>-50</v>
      </c>
      <c r="C4" s="146"/>
      <c r="E4" s="27" t="s">
        <v>68</v>
      </c>
      <c r="F4" s="24" t="s">
        <v>12</v>
      </c>
      <c r="G4" s="12">
        <v>3</v>
      </c>
      <c r="H4" s="88">
        <f>IF(B$20=0,0,G4/B$20)</f>
        <v>0.5</v>
      </c>
      <c r="I4" s="58">
        <v>2</v>
      </c>
      <c r="K4" s="74">
        <v>2</v>
      </c>
      <c r="L4" s="119">
        <v>-56.8</v>
      </c>
      <c r="M4" s="117">
        <v>1491.4116000000001</v>
      </c>
      <c r="O4" s="74" t="s">
        <v>130</v>
      </c>
      <c r="P4" s="80">
        <f t="shared" si="0"/>
        <v>-1433.3333333333333</v>
      </c>
      <c r="Q4" s="77">
        <v>3</v>
      </c>
      <c r="R4" s="64">
        <v>-4300</v>
      </c>
    </row>
    <row r="5" spans="1:18" x14ac:dyDescent="0.4">
      <c r="A5" s="19" t="s">
        <v>7</v>
      </c>
      <c r="B5" s="133">
        <f>IF(B$2=0,0,B$4/B$2)</f>
        <v>-16.666666666666668</v>
      </c>
      <c r="C5" s="134"/>
      <c r="E5" s="27" t="s">
        <v>67</v>
      </c>
      <c r="F5" s="24" t="s">
        <v>23</v>
      </c>
      <c r="G5" s="12">
        <v>2</v>
      </c>
      <c r="H5" s="88">
        <f>IF(B$20=0,0,G5/B$20)</f>
        <v>0.33333333333333331</v>
      </c>
      <c r="I5" s="58">
        <v>2</v>
      </c>
      <c r="K5" s="74">
        <v>3</v>
      </c>
      <c r="L5" s="119">
        <v>-50</v>
      </c>
      <c r="M5" s="117">
        <v>1493.0891304000002</v>
      </c>
      <c r="O5" s="74" t="s">
        <v>131</v>
      </c>
      <c r="P5" s="80">
        <f t="shared" si="0"/>
        <v>-6100</v>
      </c>
      <c r="Q5" s="77">
        <v>3</v>
      </c>
      <c r="R5" s="64">
        <v>-18300</v>
      </c>
    </row>
    <row r="6" spans="1:18" x14ac:dyDescent="0.4">
      <c r="A6" s="19" t="s">
        <v>196</v>
      </c>
      <c r="B6" s="137">
        <v>1493.0891304000002</v>
      </c>
      <c r="C6" s="138"/>
      <c r="E6" s="27" t="s">
        <v>81</v>
      </c>
      <c r="F6" s="24" t="s">
        <v>36</v>
      </c>
      <c r="G6" s="12">
        <v>2</v>
      </c>
      <c r="H6" s="88">
        <f>IF(B$20=0,0,G6/B$20)</f>
        <v>0.33333333333333331</v>
      </c>
      <c r="I6" s="58">
        <v>1</v>
      </c>
      <c r="O6" s="74" t="s">
        <v>132</v>
      </c>
      <c r="P6" s="80">
        <f t="shared" si="0"/>
        <v>4600</v>
      </c>
      <c r="Q6" s="77">
        <v>3</v>
      </c>
      <c r="R6" s="64">
        <v>13800</v>
      </c>
    </row>
    <row r="7" spans="1:18" x14ac:dyDescent="0.4">
      <c r="A7" s="19" t="s">
        <v>1</v>
      </c>
      <c r="B7" s="147">
        <f>IF(B$2=0,0,(B$8*1+B$9*2+B$10*3)/B$2)</f>
        <v>2.6666666666666665</v>
      </c>
      <c r="C7" s="148"/>
      <c r="E7" s="27" t="s">
        <v>65</v>
      </c>
      <c r="F7" s="24" t="s">
        <v>21</v>
      </c>
      <c r="G7" s="12">
        <v>1</v>
      </c>
      <c r="H7" s="88">
        <f>IF(B$20=0,0,G7/B$20)</f>
        <v>0.16666666666666666</v>
      </c>
      <c r="I7" s="58">
        <v>2</v>
      </c>
      <c r="O7" s="75" t="s">
        <v>133</v>
      </c>
      <c r="P7" s="81">
        <f t="shared" si="0"/>
        <v>-7500</v>
      </c>
      <c r="Q7" s="78">
        <v>2</v>
      </c>
      <c r="R7" s="65">
        <v>-15000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71</v>
      </c>
      <c r="F8" s="24" t="s">
        <v>26</v>
      </c>
      <c r="G8" s="12">
        <v>1</v>
      </c>
      <c r="H8" s="88">
        <f>IF(B$20=0,0,G8/B$20)</f>
        <v>0.16666666666666666</v>
      </c>
      <c r="I8" s="58">
        <v>1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0.33333333333333331</v>
      </c>
      <c r="E9" s="27" t="s">
        <v>72</v>
      </c>
      <c r="F9" s="24" t="s">
        <v>27</v>
      </c>
      <c r="G9" s="12">
        <v>1</v>
      </c>
      <c r="H9" s="88">
        <f>IF(B$20=0,0,G9/B$20)</f>
        <v>0.16666666666666666</v>
      </c>
      <c r="I9" s="58">
        <v>13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0.66666666666666663</v>
      </c>
      <c r="E10" s="27" t="s">
        <v>83</v>
      </c>
      <c r="F10" s="24" t="s">
        <v>38</v>
      </c>
      <c r="G10" s="12">
        <v>1</v>
      </c>
      <c r="H10" s="88">
        <f>IF(B$20=0,0,G10/B$20)</f>
        <v>0.16666666666666666</v>
      </c>
      <c r="I10" s="58">
        <v>1</v>
      </c>
      <c r="O10" s="73" t="s">
        <v>151</v>
      </c>
      <c r="P10" s="82">
        <f>IF(Q10=0,0,R10/Q10)</f>
        <v>-8.85</v>
      </c>
      <c r="Q10" s="76">
        <v>2</v>
      </c>
      <c r="R10" s="67">
        <v>-17.7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159</v>
      </c>
      <c r="F11" s="24" t="s">
        <v>160</v>
      </c>
      <c r="G11" s="12">
        <v>1</v>
      </c>
      <c r="H11" s="88">
        <f>IF(B$20=0,0,G11/B$20)</f>
        <v>0.16666666666666666</v>
      </c>
      <c r="I11" s="58">
        <v>13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6.8</v>
      </c>
      <c r="C12" s="110">
        <v>6.8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11</v>
      </c>
      <c r="O12" s="75" t="s">
        <v>153</v>
      </c>
      <c r="P12" s="84">
        <f>IF(Q12=0,0,R12/Q12)</f>
        <v>-32.299999999999997</v>
      </c>
      <c r="Q12" s="78">
        <v>1</v>
      </c>
      <c r="R12" s="69">
        <v>-32.299999999999997</v>
      </c>
    </row>
    <row r="13" spans="1:18" x14ac:dyDescent="0.4">
      <c r="A13" s="20" t="s">
        <v>186</v>
      </c>
      <c r="B13" s="109">
        <f>IF(B10=0,0,C13/B10)</f>
        <v>-28.4</v>
      </c>
      <c r="C13" s="110">
        <v>-56.8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-7.1999999999999993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-1.8999999999999986</v>
      </c>
      <c r="Q15" s="76">
        <v>3</v>
      </c>
      <c r="R15" s="67">
        <v>-5.6999999999999957</v>
      </c>
    </row>
    <row r="16" spans="1:18" x14ac:dyDescent="0.4">
      <c r="A16" s="22" t="s">
        <v>121</v>
      </c>
      <c r="B16" s="15">
        <v>6</v>
      </c>
      <c r="C16" s="10">
        <f>IF(B$3=0,0,B16/B$3)</f>
        <v>0.24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192</v>
      </c>
      <c r="P16" s="83">
        <f>IF(Q16=0,0,R16/Q16)</f>
        <v>-32.1</v>
      </c>
      <c r="Q16" s="77">
        <v>1</v>
      </c>
      <c r="R16" s="68">
        <v>-32.1</v>
      </c>
    </row>
    <row r="17" spans="1:18" x14ac:dyDescent="0.4">
      <c r="A17" s="19" t="s">
        <v>118</v>
      </c>
      <c r="B17" s="12">
        <v>4</v>
      </c>
      <c r="C17" s="6">
        <f>IF(B$3=0,0,B17/B$3)</f>
        <v>0.16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-56.099999999999994</v>
      </c>
      <c r="Q17" s="77">
        <v>2</v>
      </c>
      <c r="R17" s="68">
        <v>-112.19999999999999</v>
      </c>
    </row>
    <row r="18" spans="1:18" x14ac:dyDescent="0.4">
      <c r="A18" s="18" t="s">
        <v>123</v>
      </c>
      <c r="B18" s="11">
        <f>B24</f>
        <v>4</v>
      </c>
      <c r="C18" s="5">
        <f>IF(B$16=0,0,B18/B$16)</f>
        <v>0.66666666666666663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1</v>
      </c>
      <c r="C19" s="5">
        <f>IF(B$17=0,0,B19/B$17)</f>
        <v>0.25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11</v>
      </c>
    </row>
    <row r="20" spans="1:18" x14ac:dyDescent="0.4">
      <c r="A20" s="18" t="s">
        <v>10</v>
      </c>
      <c r="B20" s="11">
        <f>B23+B22</f>
        <v>6</v>
      </c>
      <c r="C20" s="5">
        <f>IF(B$3=0,0,B20/B$3)</f>
        <v>0.24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</row>
    <row r="21" spans="1:18" x14ac:dyDescent="0.4">
      <c r="A21" s="19" t="s">
        <v>13</v>
      </c>
      <c r="B21" s="12">
        <v>5</v>
      </c>
      <c r="C21" s="6">
        <f>IF(B$3=0,0,B21/B$3)</f>
        <v>0.2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18" x14ac:dyDescent="0.4">
      <c r="A22" s="19" t="s">
        <v>12</v>
      </c>
      <c r="B22" s="12">
        <v>3</v>
      </c>
      <c r="C22" s="6">
        <f>IF(B$20=0,0,B22/B$20)</f>
        <v>0.5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3</v>
      </c>
      <c r="C23" s="6">
        <f>IF(B$20=0,0,B23/B$20)</f>
        <v>0.5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4</v>
      </c>
      <c r="C24" s="6">
        <f>IF(B$20=0,0,B24/B$20)</f>
        <v>0.66666666666666663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18" x14ac:dyDescent="0.4">
      <c r="A25" s="19" t="s">
        <v>181</v>
      </c>
      <c r="B25" s="12">
        <v>1</v>
      </c>
      <c r="C25" s="6">
        <f>IF(B$20=0,0,B25/B$20)</f>
        <v>0.16666666666666666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18" x14ac:dyDescent="0.4">
      <c r="A26" s="19" t="s">
        <v>182</v>
      </c>
      <c r="B26" s="12">
        <v>1</v>
      </c>
      <c r="C26" s="6">
        <f>IF(B$20=0,0,B26/B$20)</f>
        <v>0.16666666666666666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7216.666666666667</v>
      </c>
      <c r="C27" s="8">
        <v>43300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18" x14ac:dyDescent="0.4">
      <c r="A28" s="20" t="s">
        <v>165</v>
      </c>
      <c r="B28" s="95">
        <f>IF($B$20-B$19=0,0,C28/($B$20-B$19))</f>
        <v>8360</v>
      </c>
      <c r="C28" s="96">
        <v>41800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18" x14ac:dyDescent="0.4">
      <c r="A29" s="20" t="s">
        <v>166</v>
      </c>
      <c r="B29" s="95">
        <f>IF(B$19=0,0,C29/B$19)</f>
        <v>1500</v>
      </c>
      <c r="C29" s="96">
        <v>1500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-9420</v>
      </c>
      <c r="C30" s="96">
        <v>-47100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7</v>
      </c>
      <c r="C32" s="90">
        <v>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41800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7">
        <v>1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8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8">
        <v>2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8">
        <v>1</v>
      </c>
      <c r="C41" s="6">
        <f t="shared" si="2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8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8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8">
        <v>1</v>
      </c>
      <c r="C44" s="6">
        <f t="shared" si="2"/>
        <v>0.16666666666666666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8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8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8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8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376C7-999D-471A-8448-A88E3DA4BE75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201</v>
      </c>
      <c r="C1" s="140"/>
      <c r="E1" s="104" t="s">
        <v>154</v>
      </c>
      <c r="F1" s="130" t="s">
        <v>115</v>
      </c>
      <c r="G1" s="129" t="s">
        <v>116</v>
      </c>
      <c r="H1" s="86" t="s">
        <v>117</v>
      </c>
      <c r="I1" s="13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</v>
      </c>
      <c r="C2" s="142"/>
      <c r="E2" s="26" t="s">
        <v>66</v>
      </c>
      <c r="F2" s="23" t="s">
        <v>22</v>
      </c>
      <c r="G2" s="11">
        <v>7</v>
      </c>
      <c r="H2" s="87">
        <f>IF(B$20=0,0,G2/B$20)</f>
        <v>0.77777777777777779</v>
      </c>
      <c r="I2" s="57">
        <v>6</v>
      </c>
      <c r="K2" s="73">
        <v>0</v>
      </c>
      <c r="L2" s="118">
        <v>0</v>
      </c>
      <c r="M2" s="116">
        <v>1500.437982464869</v>
      </c>
      <c r="O2" s="73" t="s">
        <v>128</v>
      </c>
      <c r="P2" s="79">
        <f t="shared" ref="P2:P7" si="0">IF(Q2=0,0,R2/Q2)</f>
        <v>-4450</v>
      </c>
      <c r="Q2" s="76">
        <v>4</v>
      </c>
      <c r="R2" s="63">
        <v>-17800</v>
      </c>
    </row>
    <row r="3" spans="1:18" x14ac:dyDescent="0.4">
      <c r="A3" s="19" t="s">
        <v>8</v>
      </c>
      <c r="B3" s="143">
        <v>36</v>
      </c>
      <c r="C3" s="144"/>
      <c r="E3" s="27" t="s">
        <v>72</v>
      </c>
      <c r="F3" s="24" t="s">
        <v>27</v>
      </c>
      <c r="G3" s="12">
        <v>5</v>
      </c>
      <c r="H3" s="88">
        <f>IF(B$20=0,0,G3/B$20)</f>
        <v>0.55555555555555558</v>
      </c>
      <c r="I3" s="58">
        <v>9</v>
      </c>
      <c r="K3" s="74">
        <v>1</v>
      </c>
      <c r="L3" s="119">
        <v>-4.5</v>
      </c>
      <c r="M3" s="117">
        <v>1500.3933545700797</v>
      </c>
      <c r="O3" s="74" t="s">
        <v>129</v>
      </c>
      <c r="P3" s="80">
        <f t="shared" si="0"/>
        <v>-3150</v>
      </c>
      <c r="Q3" s="77">
        <v>4</v>
      </c>
      <c r="R3" s="64">
        <v>-12600</v>
      </c>
    </row>
    <row r="4" spans="1:18" x14ac:dyDescent="0.4">
      <c r="A4" s="19" t="s">
        <v>6</v>
      </c>
      <c r="B4" s="145">
        <v>-77.699999999999989</v>
      </c>
      <c r="C4" s="146"/>
      <c r="E4" s="27" t="s">
        <v>64</v>
      </c>
      <c r="F4" s="24" t="s">
        <v>20</v>
      </c>
      <c r="G4" s="12">
        <v>4</v>
      </c>
      <c r="H4" s="88">
        <f>IF(B$20=0,0,G4/B$20)</f>
        <v>0.44444444444444442</v>
      </c>
      <c r="I4" s="58">
        <v>5</v>
      </c>
      <c r="K4" s="74">
        <v>2</v>
      </c>
      <c r="L4" s="119">
        <v>-3.4</v>
      </c>
      <c r="M4" s="117">
        <v>1501.3569944426592</v>
      </c>
      <c r="O4" s="74" t="s">
        <v>130</v>
      </c>
      <c r="P4" s="80">
        <f t="shared" si="0"/>
        <v>3475</v>
      </c>
      <c r="Q4" s="77">
        <v>4</v>
      </c>
      <c r="R4" s="64">
        <v>13900</v>
      </c>
    </row>
    <row r="5" spans="1:18" x14ac:dyDescent="0.4">
      <c r="A5" s="19" t="s">
        <v>7</v>
      </c>
      <c r="B5" s="133">
        <f>IF(B$2=0,0,B$4/B$2)</f>
        <v>-19.424999999999997</v>
      </c>
      <c r="C5" s="134"/>
      <c r="E5" s="27" t="s">
        <v>67</v>
      </c>
      <c r="F5" s="24" t="s">
        <v>23</v>
      </c>
      <c r="G5" s="12">
        <v>4</v>
      </c>
      <c r="H5" s="88">
        <f>IF(B$20=0,0,G5/B$20)</f>
        <v>0.44444444444444442</v>
      </c>
      <c r="I5" s="58">
        <v>1</v>
      </c>
      <c r="K5" s="74">
        <v>3</v>
      </c>
      <c r="L5" s="119">
        <v>-55.199999999999996</v>
      </c>
      <c r="M5" s="117">
        <v>1492.7928524760032</v>
      </c>
      <c r="O5" s="74" t="s">
        <v>131</v>
      </c>
      <c r="P5" s="80">
        <f t="shared" si="0"/>
        <v>-1966.6666666666667</v>
      </c>
      <c r="Q5" s="77">
        <v>3</v>
      </c>
      <c r="R5" s="64">
        <v>-5900</v>
      </c>
    </row>
    <row r="6" spans="1:18" x14ac:dyDescent="0.4">
      <c r="A6" s="19" t="s">
        <v>196</v>
      </c>
      <c r="B6" s="137">
        <v>1489.5540953611471</v>
      </c>
      <c r="C6" s="138"/>
      <c r="E6" s="27" t="s">
        <v>68</v>
      </c>
      <c r="F6" s="24" t="s">
        <v>12</v>
      </c>
      <c r="G6" s="12">
        <v>4</v>
      </c>
      <c r="H6" s="88">
        <f>IF(B$20=0,0,G6/B$20)</f>
        <v>0.44444444444444442</v>
      </c>
      <c r="I6" s="58">
        <v>4</v>
      </c>
      <c r="K6" s="74">
        <v>4</v>
      </c>
      <c r="L6" s="119">
        <v>-77.699999999999989</v>
      </c>
      <c r="M6" s="117">
        <v>1489.5540953611471</v>
      </c>
      <c r="O6" s="74" t="s">
        <v>132</v>
      </c>
      <c r="P6" s="80">
        <f t="shared" si="0"/>
        <v>-9400</v>
      </c>
      <c r="Q6" s="77">
        <v>3</v>
      </c>
      <c r="R6" s="64">
        <v>-28200</v>
      </c>
    </row>
    <row r="7" spans="1:18" x14ac:dyDescent="0.4">
      <c r="A7" s="19" t="s">
        <v>1</v>
      </c>
      <c r="B7" s="147">
        <f>IF(B$2=0,0,(B$8*1+B$9*2+B$10*3)/B$2)</f>
        <v>2.5</v>
      </c>
      <c r="C7" s="148"/>
      <c r="E7" s="27" t="s">
        <v>159</v>
      </c>
      <c r="F7" s="24" t="s">
        <v>160</v>
      </c>
      <c r="G7" s="12">
        <v>4</v>
      </c>
      <c r="H7" s="88">
        <f>IF(B$20=0,0,G7/B$20)</f>
        <v>0.44444444444444442</v>
      </c>
      <c r="I7" s="58">
        <v>5</v>
      </c>
      <c r="O7" s="75" t="s">
        <v>133</v>
      </c>
      <c r="P7" s="81">
        <f t="shared" si="0"/>
        <v>-2366.6666666666665</v>
      </c>
      <c r="Q7" s="78">
        <v>3</v>
      </c>
      <c r="R7" s="65">
        <v>-7100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69</v>
      </c>
      <c r="F8" s="24" t="s">
        <v>24</v>
      </c>
      <c r="G8" s="12">
        <v>1</v>
      </c>
      <c r="H8" s="88">
        <f>IF(B$20=0,0,G8/B$20)</f>
        <v>0.1111111111111111</v>
      </c>
      <c r="I8" s="58">
        <v>7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0.5</v>
      </c>
      <c r="E9" s="27" t="s">
        <v>78</v>
      </c>
      <c r="F9" s="24" t="s">
        <v>33</v>
      </c>
      <c r="G9" s="12">
        <v>1</v>
      </c>
      <c r="H9" s="88">
        <f>IF(B$20=0,0,G9/B$20)</f>
        <v>0.1111111111111111</v>
      </c>
      <c r="I9" s="58">
        <v>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0.1111111111111111</v>
      </c>
      <c r="I10" s="58">
        <v>2</v>
      </c>
      <c r="O10" s="73" t="s">
        <v>151</v>
      </c>
      <c r="P10" s="82">
        <f>IF(Q10=0,0,R10/Q10)</f>
        <v>-4.5</v>
      </c>
      <c r="Q10" s="76">
        <v>1</v>
      </c>
      <c r="R10" s="67">
        <v>-4.5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83</v>
      </c>
      <c r="F11" s="24" t="s">
        <v>38</v>
      </c>
      <c r="G11" s="12">
        <v>1</v>
      </c>
      <c r="H11" s="88">
        <f>IF(B$20=0,0,G11/B$20)</f>
        <v>0.1111111111111111</v>
      </c>
      <c r="I11" s="58">
        <v>2</v>
      </c>
      <c r="O11" s="74" t="s">
        <v>152</v>
      </c>
      <c r="P11" s="83">
        <f>IF(Q11=0,0,R11/Q11)</f>
        <v>1.1000000000000001</v>
      </c>
      <c r="Q11" s="77">
        <v>1</v>
      </c>
      <c r="R11" s="68">
        <v>1.1000000000000001</v>
      </c>
    </row>
    <row r="12" spans="1:18" x14ac:dyDescent="0.4">
      <c r="A12" s="20" t="s">
        <v>185</v>
      </c>
      <c r="B12" s="109">
        <f>IF(B9=0,0,C12/B9)</f>
        <v>-1.7</v>
      </c>
      <c r="C12" s="110">
        <v>-3.4</v>
      </c>
      <c r="E12" s="27" t="s">
        <v>65</v>
      </c>
      <c r="F12" s="24" t="s">
        <v>21</v>
      </c>
      <c r="G12" s="12">
        <v>0</v>
      </c>
      <c r="H12" s="88">
        <f>IF(B$20=0,0,G12/B$20)</f>
        <v>0</v>
      </c>
      <c r="I12" s="58">
        <v>12</v>
      </c>
      <c r="O12" s="75" t="s">
        <v>153</v>
      </c>
      <c r="P12" s="84">
        <f>IF(Q12=0,0,R12/Q12)</f>
        <v>-37.15</v>
      </c>
      <c r="Q12" s="78">
        <v>2</v>
      </c>
      <c r="R12" s="69">
        <v>-74.3</v>
      </c>
    </row>
    <row r="13" spans="1:18" x14ac:dyDescent="0.4">
      <c r="A13" s="20" t="s">
        <v>186</v>
      </c>
      <c r="B13" s="109">
        <f>IF(B10=0,0,C13/B10)</f>
        <v>-37.15</v>
      </c>
      <c r="C13" s="110">
        <v>-74.3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-12.950000000000001</v>
      </c>
      <c r="C14" s="134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11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0.25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163</v>
      </c>
      <c r="P15" s="82">
        <f>IF(Q15=0,0,R15/Q15)</f>
        <v>-21.074999999999999</v>
      </c>
      <c r="Q15" s="76">
        <v>4</v>
      </c>
      <c r="R15" s="67">
        <v>-84.3</v>
      </c>
    </row>
    <row r="16" spans="1:18" x14ac:dyDescent="0.4">
      <c r="A16" s="22" t="s">
        <v>121</v>
      </c>
      <c r="B16" s="15">
        <v>6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126</v>
      </c>
      <c r="P16" s="83">
        <f>IF(Q16=0,0,R16/Q16)</f>
        <v>-37.200000000000003</v>
      </c>
      <c r="Q16" s="77">
        <v>4</v>
      </c>
      <c r="R16" s="68">
        <v>-148.80000000000001</v>
      </c>
    </row>
    <row r="17" spans="1:9" x14ac:dyDescent="0.4">
      <c r="A17" s="19" t="s">
        <v>118</v>
      </c>
      <c r="B17" s="12">
        <v>8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</row>
    <row r="18" spans="1:9" x14ac:dyDescent="0.4">
      <c r="A18" s="18" t="s">
        <v>123</v>
      </c>
      <c r="B18" s="11">
        <f>B24</f>
        <v>4</v>
      </c>
      <c r="C18" s="5">
        <f>IF(B$16=0,0,B18/B$16)</f>
        <v>0.66666666666666663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9" x14ac:dyDescent="0.4">
      <c r="A19" s="18" t="s">
        <v>124</v>
      </c>
      <c r="B19" s="11">
        <f>B25</f>
        <v>2</v>
      </c>
      <c r="C19" s="5">
        <f>IF(B$17=0,0,B19/B$17)</f>
        <v>0.25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9" x14ac:dyDescent="0.4">
      <c r="A20" s="18" t="s">
        <v>10</v>
      </c>
      <c r="B20" s="11">
        <f>B23+B22</f>
        <v>9</v>
      </c>
      <c r="C20" s="5">
        <f>IF(B$3=0,0,B20/B$3)</f>
        <v>0.25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</row>
    <row r="21" spans="1:9" x14ac:dyDescent="0.4">
      <c r="A21" s="19" t="s">
        <v>13</v>
      </c>
      <c r="B21" s="12">
        <v>10</v>
      </c>
      <c r="C21" s="6">
        <f>IF(B$3=0,0,B21/B$3)</f>
        <v>0.27777777777777779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9" x14ac:dyDescent="0.4">
      <c r="A22" s="19" t="s">
        <v>12</v>
      </c>
      <c r="B22" s="12">
        <v>5</v>
      </c>
      <c r="C22" s="6">
        <f>IF(B$20=0,0,B22/B$20)</f>
        <v>0.55555555555555558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4</v>
      </c>
      <c r="C23" s="6">
        <f>IF(B$20=0,0,B23/B$20)</f>
        <v>0.44444444444444442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9" x14ac:dyDescent="0.4">
      <c r="A24" s="19" t="s">
        <v>183</v>
      </c>
      <c r="B24" s="12">
        <v>4</v>
      </c>
      <c r="C24" s="6">
        <f>IF(B$20=0,0,B24/B$20)</f>
        <v>0.44444444444444442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9" x14ac:dyDescent="0.4">
      <c r="A25" s="19" t="s">
        <v>181</v>
      </c>
      <c r="B25" s="12">
        <v>2</v>
      </c>
      <c r="C25" s="6">
        <f>IF(B$20=0,0,B25/B$20)</f>
        <v>0.22222222222222221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9" x14ac:dyDescent="0.4">
      <c r="A26" s="19" t="s">
        <v>182</v>
      </c>
      <c r="B26" s="12">
        <v>3</v>
      </c>
      <c r="C26" s="6">
        <f>IF(B$20=0,0,B26/B$20)</f>
        <v>0.33333333333333331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6744.4444444444443</v>
      </c>
      <c r="C27" s="8">
        <v>60700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9" x14ac:dyDescent="0.4">
      <c r="A28" s="20" t="s">
        <v>165</v>
      </c>
      <c r="B28" s="95">
        <f>IF($B$20-B$19=0,0,C28/($B$20-B$19))</f>
        <v>7257.1428571428569</v>
      </c>
      <c r="C28" s="96">
        <v>50800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9" x14ac:dyDescent="0.4">
      <c r="A29" s="20" t="s">
        <v>166</v>
      </c>
      <c r="B29" s="95">
        <f>IF(B$19=0,0,C29/B$19)</f>
        <v>4950</v>
      </c>
      <c r="C29" s="96">
        <v>9900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9" x14ac:dyDescent="0.4">
      <c r="A30" s="20" t="s">
        <v>164</v>
      </c>
      <c r="B30" s="95">
        <f>IF(B$21=0,0,C30/B$21)</f>
        <v>-7370</v>
      </c>
      <c r="C30" s="96">
        <v>-73700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9" x14ac:dyDescent="0.4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9" x14ac:dyDescent="0.4">
      <c r="A32" s="19" t="s">
        <v>158</v>
      </c>
      <c r="B32" s="12">
        <v>10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36100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31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0.1111111111111111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32">
        <v>5</v>
      </c>
      <c r="C39" s="6">
        <f t="shared" si="2"/>
        <v>0.55555555555555558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32">
        <v>1</v>
      </c>
      <c r="C40" s="6">
        <f t="shared" si="2"/>
        <v>0.1111111111111111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32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32">
        <v>1</v>
      </c>
      <c r="C42" s="6">
        <f t="shared" si="2"/>
        <v>0.1111111111111111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32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32">
        <v>1</v>
      </c>
      <c r="C44" s="6">
        <f t="shared" si="2"/>
        <v>0.1111111111111111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32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32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32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32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F616D-141D-494D-9F22-1E4550959565}">
  <sheetPr codeName="Sheet30"/>
  <dimension ref="A1:Q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201</v>
      </c>
      <c r="B1" s="34" t="s">
        <v>201</v>
      </c>
      <c r="C1" s="34" t="s">
        <v>201</v>
      </c>
      <c r="D1" s="35" t="s">
        <v>201</v>
      </c>
      <c r="E1" s="34" t="s">
        <v>201</v>
      </c>
      <c r="F1" s="34" t="s">
        <v>201</v>
      </c>
      <c r="G1" s="34" t="s">
        <v>201</v>
      </c>
      <c r="H1" s="34" t="s">
        <v>201</v>
      </c>
      <c r="I1" s="34" t="s">
        <v>201</v>
      </c>
      <c r="J1" s="34" t="s">
        <v>201</v>
      </c>
      <c r="K1" s="34" t="s">
        <v>201</v>
      </c>
      <c r="L1" s="34" t="s">
        <v>201</v>
      </c>
      <c r="M1" s="34" t="s">
        <v>201</v>
      </c>
      <c r="N1" s="34" t="s">
        <v>201</v>
      </c>
      <c r="O1" s="34" t="s">
        <v>201</v>
      </c>
      <c r="P1" s="34" t="s">
        <v>201</v>
      </c>
      <c r="Q1" s="34" t="s">
        <v>201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-4.5</v>
      </c>
      <c r="C4" s="30">
        <v>-4.5</v>
      </c>
      <c r="D4" s="35">
        <v>2</v>
      </c>
      <c r="E4" s="31">
        <v>0</v>
      </c>
      <c r="F4" s="31">
        <v>0</v>
      </c>
      <c r="G4" s="31">
        <v>0.22222222222222221</v>
      </c>
      <c r="H4" s="31">
        <v>0.22222222222222221</v>
      </c>
      <c r="I4" s="32">
        <v>10000</v>
      </c>
      <c r="J4" s="32">
        <v>-6750</v>
      </c>
      <c r="K4" s="31">
        <v>0</v>
      </c>
      <c r="L4" s="31">
        <v>0</v>
      </c>
      <c r="M4" s="31">
        <v>0.22222222222222221</v>
      </c>
      <c r="N4" s="31">
        <v>0</v>
      </c>
      <c r="O4" s="31">
        <v>0</v>
      </c>
      <c r="P4" s="31">
        <v>0.5</v>
      </c>
    </row>
    <row r="5" spans="1:17" x14ac:dyDescent="0.4">
      <c r="A5" s="33">
        <v>2</v>
      </c>
      <c r="B5" s="30">
        <v>-3.4</v>
      </c>
      <c r="C5" s="30">
        <v>-1.7</v>
      </c>
      <c r="D5" s="35">
        <v>2</v>
      </c>
      <c r="E5" s="31">
        <v>0</v>
      </c>
      <c r="F5" s="31">
        <v>0</v>
      </c>
      <c r="G5" s="31">
        <v>0.25</v>
      </c>
      <c r="H5" s="31">
        <v>0.3125</v>
      </c>
      <c r="I5" s="32">
        <v>10000</v>
      </c>
      <c r="J5" s="32">
        <v>-5320</v>
      </c>
      <c r="K5" s="31">
        <v>0</v>
      </c>
      <c r="L5" s="31">
        <v>0.125</v>
      </c>
      <c r="M5" s="31">
        <v>0.125</v>
      </c>
      <c r="N5" s="31">
        <v>1</v>
      </c>
      <c r="O5" s="31">
        <v>0</v>
      </c>
      <c r="P5" s="31">
        <v>0.25</v>
      </c>
    </row>
    <row r="6" spans="1:17" x14ac:dyDescent="0.4">
      <c r="A6" s="33">
        <v>3</v>
      </c>
      <c r="B6" s="30">
        <v>-55.199999999999996</v>
      </c>
      <c r="C6" s="30">
        <v>-18.399999999999999</v>
      </c>
      <c r="D6" s="35">
        <v>2.3333333333333335</v>
      </c>
      <c r="E6" s="31">
        <v>0</v>
      </c>
      <c r="F6" s="31">
        <v>0.33333333333333331</v>
      </c>
      <c r="G6" s="31">
        <v>0.22222222222222221</v>
      </c>
      <c r="H6" s="31">
        <v>0.25925925925925924</v>
      </c>
      <c r="I6" s="32">
        <v>7800</v>
      </c>
      <c r="J6" s="32">
        <v>-7385.7142857142853</v>
      </c>
      <c r="K6" s="31">
        <v>0.33333333333333331</v>
      </c>
      <c r="L6" s="31">
        <v>0.14814814814814814</v>
      </c>
      <c r="M6" s="31">
        <v>0.14814814814814814</v>
      </c>
      <c r="N6" s="31">
        <v>0.75</v>
      </c>
      <c r="O6" s="31">
        <v>0</v>
      </c>
      <c r="P6" s="31">
        <v>0.5</v>
      </c>
    </row>
    <row r="7" spans="1:17" x14ac:dyDescent="0.4">
      <c r="A7" s="33">
        <v>4</v>
      </c>
      <c r="B7" s="30">
        <v>-77.699999999999989</v>
      </c>
      <c r="C7" s="30">
        <v>-19.424999999999997</v>
      </c>
      <c r="D7" s="35">
        <v>2.5</v>
      </c>
      <c r="E7" s="31">
        <v>0</v>
      </c>
      <c r="F7" s="31">
        <v>0.5</v>
      </c>
      <c r="G7" s="31">
        <v>0.25</v>
      </c>
      <c r="H7" s="31">
        <v>0.27777777777777779</v>
      </c>
      <c r="I7" s="32">
        <v>6744.4444444444443</v>
      </c>
      <c r="J7" s="32">
        <v>-7370</v>
      </c>
      <c r="K7" s="31">
        <v>0.25</v>
      </c>
      <c r="L7" s="31">
        <v>0.16666666666666666</v>
      </c>
      <c r="M7" s="31">
        <v>0.22222222222222221</v>
      </c>
      <c r="N7" s="31">
        <v>0.66666666666666663</v>
      </c>
      <c r="O7" s="31">
        <v>0.25</v>
      </c>
      <c r="P7" s="31">
        <v>0.55555555555555558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9DFF4-3B53-49F9-B332-EECE3A3FB232}">
  <sheetPr codeName="Sheet28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259</v>
      </c>
      <c r="B1" s="34" t="s">
        <v>259</v>
      </c>
      <c r="C1" s="34" t="s">
        <v>259</v>
      </c>
      <c r="D1" s="35" t="s">
        <v>259</v>
      </c>
      <c r="E1" s="34" t="s">
        <v>259</v>
      </c>
      <c r="F1" s="34" t="s">
        <v>259</v>
      </c>
      <c r="G1" s="34" t="s">
        <v>259</v>
      </c>
      <c r="H1" s="34" t="s">
        <v>259</v>
      </c>
      <c r="I1" s="34" t="s">
        <v>259</v>
      </c>
      <c r="J1" s="34" t="s">
        <v>259</v>
      </c>
      <c r="K1" s="34" t="s">
        <v>259</v>
      </c>
      <c r="L1" s="34" t="s">
        <v>259</v>
      </c>
      <c r="M1" s="34" t="s">
        <v>259</v>
      </c>
      <c r="N1" s="34" t="s">
        <v>259</v>
      </c>
      <c r="O1" s="34" t="s">
        <v>259</v>
      </c>
      <c r="P1" s="34" t="s">
        <v>259</v>
      </c>
      <c r="Q1" s="34" t="s">
        <v>259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-24.5</v>
      </c>
      <c r="C4" s="30">
        <v>-24.5</v>
      </c>
      <c r="D4" s="35">
        <v>3</v>
      </c>
      <c r="E4" s="31">
        <v>0</v>
      </c>
      <c r="F4" s="31">
        <v>1</v>
      </c>
      <c r="G4" s="31">
        <v>0.14285714285714285</v>
      </c>
      <c r="H4" s="31">
        <v>0.2857142857142857</v>
      </c>
      <c r="I4" s="32">
        <v>16000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0.5</v>
      </c>
      <c r="O4" s="31">
        <v>0</v>
      </c>
      <c r="P4" s="31">
        <v>0</v>
      </c>
    </row>
    <row r="5" spans="1:17" x14ac:dyDescent="0.4">
      <c r="A5" s="33">
        <v>2</v>
      </c>
      <c r="B5" s="30">
        <v>-56.8</v>
      </c>
      <c r="C5" s="30">
        <v>-28.4</v>
      </c>
      <c r="D5" s="35">
        <v>3</v>
      </c>
      <c r="E5" s="31">
        <v>0</v>
      </c>
      <c r="F5" s="31">
        <v>1</v>
      </c>
      <c r="G5" s="31">
        <v>0.25</v>
      </c>
      <c r="H5" s="31">
        <v>0.25</v>
      </c>
      <c r="I5" s="32">
        <v>8300</v>
      </c>
      <c r="J5" s="32">
        <v>-10800</v>
      </c>
      <c r="K5" s="31">
        <v>0</v>
      </c>
      <c r="L5" s="31">
        <v>0.25</v>
      </c>
      <c r="M5" s="31">
        <v>0.1875</v>
      </c>
      <c r="N5" s="31">
        <v>0.75</v>
      </c>
      <c r="O5" s="31">
        <v>0.33333333333333331</v>
      </c>
      <c r="P5" s="31">
        <v>0.25</v>
      </c>
    </row>
    <row r="6" spans="1:17" x14ac:dyDescent="0.4">
      <c r="A6" s="33">
        <v>3</v>
      </c>
      <c r="B6" s="30">
        <v>-50</v>
      </c>
      <c r="C6" s="30">
        <v>-16.666666666666668</v>
      </c>
      <c r="D6" s="35">
        <v>2.6666666666666665</v>
      </c>
      <c r="E6" s="31">
        <v>0</v>
      </c>
      <c r="F6" s="31">
        <v>0.66666666666666663</v>
      </c>
      <c r="G6" s="31">
        <v>0.24</v>
      </c>
      <c r="H6" s="31">
        <v>0.2</v>
      </c>
      <c r="I6" s="32">
        <v>7216.666666666667</v>
      </c>
      <c r="J6" s="32">
        <v>-9420</v>
      </c>
      <c r="K6" s="31">
        <v>0</v>
      </c>
      <c r="L6" s="31">
        <v>0.24</v>
      </c>
      <c r="M6" s="31">
        <v>0.16</v>
      </c>
      <c r="N6" s="31">
        <v>0.66666666666666663</v>
      </c>
      <c r="O6" s="31">
        <v>0.25</v>
      </c>
      <c r="P6" s="31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7372A-A703-4F0B-8D0C-F174E3C72816}">
  <sheetPr codeName="Sheet26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F2BBA-2289-450A-BC91-C6864E10FEF2}">
  <sheetPr codeName="Sheet24"/>
  <dimension ref="A1:Q1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  <row r="12" spans="1:17" x14ac:dyDescent="0.4">
      <c r="A12" s="33">
        <v>9</v>
      </c>
      <c r="B12" s="30">
        <v>-21.200000000000003</v>
      </c>
      <c r="C12" s="30">
        <v>-2.3555555555555561</v>
      </c>
      <c r="D12" s="35">
        <v>1.8888888888888888</v>
      </c>
      <c r="E12" s="31">
        <v>0.55555555555555558</v>
      </c>
      <c r="F12" s="31">
        <v>0.44444444444444442</v>
      </c>
      <c r="G12" s="31">
        <v>0.29729729729729731</v>
      </c>
      <c r="H12" s="31">
        <v>0.14864864864864866</v>
      </c>
      <c r="I12" s="32">
        <v>8727.2727272727279</v>
      </c>
      <c r="J12" s="32">
        <v>-7154.545454545455</v>
      </c>
      <c r="K12" s="31">
        <v>0.22222222222222221</v>
      </c>
      <c r="L12" s="31">
        <v>0.21621621621621623</v>
      </c>
      <c r="M12" s="31">
        <v>0.12162162162162163</v>
      </c>
      <c r="N12" s="31">
        <v>0.6875</v>
      </c>
      <c r="O12" s="31">
        <v>0.44444444444444442</v>
      </c>
      <c r="P12" s="31">
        <v>0.54545454545454541</v>
      </c>
    </row>
    <row r="13" spans="1:17" x14ac:dyDescent="0.4">
      <c r="A13" s="33">
        <v>10</v>
      </c>
      <c r="B13" s="30">
        <v>-6.3000000000000025</v>
      </c>
      <c r="C13" s="30">
        <v>-0.63000000000000023</v>
      </c>
      <c r="D13" s="35">
        <v>1.8</v>
      </c>
      <c r="E13" s="31">
        <v>0.6</v>
      </c>
      <c r="F13" s="31">
        <v>0.4</v>
      </c>
      <c r="G13" s="31">
        <v>0.29268292682926828</v>
      </c>
      <c r="H13" s="31">
        <v>0.14634146341463414</v>
      </c>
      <c r="I13" s="32">
        <v>8720.8333333333339</v>
      </c>
      <c r="J13" s="32">
        <v>-7225</v>
      </c>
      <c r="K13" s="31">
        <v>0.2</v>
      </c>
      <c r="L13" s="31">
        <v>0.23170731707317074</v>
      </c>
      <c r="M13" s="31">
        <v>0.12195121951219512</v>
      </c>
      <c r="N13" s="31">
        <v>0.68421052631578949</v>
      </c>
      <c r="O13" s="31">
        <v>0.4</v>
      </c>
      <c r="P13" s="31">
        <v>0.54166666666666663</v>
      </c>
    </row>
    <row r="14" spans="1:17" x14ac:dyDescent="0.4">
      <c r="A14" s="33">
        <v>11</v>
      </c>
      <c r="B14" s="30">
        <v>-30.5</v>
      </c>
      <c r="C14" s="30">
        <v>-2.7727272727272729</v>
      </c>
      <c r="D14" s="35">
        <v>1.9090909090909092</v>
      </c>
      <c r="E14" s="31">
        <v>0.54545454545454541</v>
      </c>
      <c r="F14" s="31">
        <v>0.45454545454545453</v>
      </c>
      <c r="G14" s="31">
        <v>0.27777777777777779</v>
      </c>
      <c r="H14" s="31">
        <v>0.15555555555555556</v>
      </c>
      <c r="I14" s="32">
        <v>8680</v>
      </c>
      <c r="J14" s="32">
        <v>-7114.2857142857147</v>
      </c>
      <c r="K14" s="31">
        <v>0.18181818181818182</v>
      </c>
      <c r="L14" s="31">
        <v>0.22222222222222221</v>
      </c>
      <c r="M14" s="31">
        <v>0.13333333333333333</v>
      </c>
      <c r="N14" s="31">
        <v>0.7</v>
      </c>
      <c r="O14" s="31">
        <v>0.33333333333333331</v>
      </c>
      <c r="P14" s="31">
        <v>0.52</v>
      </c>
    </row>
    <row r="15" spans="1:17" x14ac:dyDescent="0.4">
      <c r="A15" s="33">
        <v>12</v>
      </c>
      <c r="B15" s="30">
        <v>-39.5</v>
      </c>
      <c r="C15" s="30">
        <v>-3.2916666666666665</v>
      </c>
      <c r="D15" s="35">
        <v>1.9166666666666667</v>
      </c>
      <c r="E15" s="31">
        <v>0.5</v>
      </c>
      <c r="F15" s="31">
        <v>0.41666666666666669</v>
      </c>
      <c r="G15" s="31">
        <v>0.28155339805825241</v>
      </c>
      <c r="H15" s="31">
        <v>0.1650485436893204</v>
      </c>
      <c r="I15" s="32">
        <v>8606.8965517241377</v>
      </c>
      <c r="J15" s="32">
        <v>-7629.411764705882</v>
      </c>
      <c r="K15" s="31">
        <v>0.16666666666666666</v>
      </c>
      <c r="L15" s="31">
        <v>0.22330097087378642</v>
      </c>
      <c r="M15" s="31">
        <v>0.13592233009708737</v>
      </c>
      <c r="N15" s="31">
        <v>0.69565217391304346</v>
      </c>
      <c r="O15" s="31">
        <v>0.35714285714285715</v>
      </c>
      <c r="P15" s="31">
        <v>0.55172413793103448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2F15-2568-44B6-B39A-935C9EC3784E}">
  <sheetPr codeName="Sheet22"/>
  <dimension ref="A1:Q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  <row r="8" spans="1:17" x14ac:dyDescent="0.4">
      <c r="A8" s="33">
        <v>5</v>
      </c>
      <c r="B8" s="30">
        <v>-51.099999999999994</v>
      </c>
      <c r="C8" s="30">
        <v>-10.219999999999999</v>
      </c>
      <c r="D8" s="35">
        <v>2.2000000000000002</v>
      </c>
      <c r="E8" s="31">
        <v>0.2</v>
      </c>
      <c r="F8" s="31">
        <v>0.4</v>
      </c>
      <c r="G8" s="31">
        <v>0.23255813953488372</v>
      </c>
      <c r="H8" s="31">
        <v>0.20930232558139536</v>
      </c>
      <c r="I8" s="32">
        <v>8110</v>
      </c>
      <c r="J8" s="32">
        <v>-9233.3333333333339</v>
      </c>
      <c r="K8" s="31">
        <v>0</v>
      </c>
      <c r="L8" s="31">
        <v>0.20930232558139536</v>
      </c>
      <c r="M8" s="31">
        <v>0.2558139534883721</v>
      </c>
      <c r="N8" s="31">
        <v>0.22222222222222221</v>
      </c>
      <c r="O8" s="31">
        <v>0.45454545454545453</v>
      </c>
      <c r="P8" s="31">
        <v>0.3</v>
      </c>
    </row>
    <row r="9" spans="1:17" x14ac:dyDescent="0.4">
      <c r="A9" s="33">
        <v>6</v>
      </c>
      <c r="B9" s="30">
        <v>-78.199999999999989</v>
      </c>
      <c r="C9" s="30">
        <v>-13.033333333333331</v>
      </c>
      <c r="D9" s="35">
        <v>2.3333333333333335</v>
      </c>
      <c r="E9" s="31">
        <v>0.16666666666666666</v>
      </c>
      <c r="F9" s="31">
        <v>0.5</v>
      </c>
      <c r="G9" s="31">
        <v>0.22222222222222221</v>
      </c>
      <c r="H9" s="31">
        <v>0.22222222222222221</v>
      </c>
      <c r="I9" s="32">
        <v>7866.666666666667</v>
      </c>
      <c r="J9" s="32">
        <v>-8875</v>
      </c>
      <c r="K9" s="31">
        <v>0</v>
      </c>
      <c r="L9" s="31">
        <v>0.16666666666666666</v>
      </c>
      <c r="M9" s="31">
        <v>0.22222222222222221</v>
      </c>
      <c r="N9" s="31">
        <v>0.22222222222222221</v>
      </c>
      <c r="O9" s="31">
        <v>0.41666666666666669</v>
      </c>
      <c r="P9" s="31">
        <v>0.25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1A343-E701-40B7-87B6-EBB11DB4B1FC}">
  <sheetPr codeName="Sheet20"/>
  <dimension ref="A1:Q2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44FAC-CC14-4000-8C37-7B9DBFE3C903}">
  <sheetPr codeName="Sheet18"/>
  <dimension ref="A1:Q5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  <row r="40" spans="1:16" x14ac:dyDescent="0.4">
      <c r="A40" s="33">
        <v>37</v>
      </c>
      <c r="B40" s="30">
        <v>335.09999999999997</v>
      </c>
      <c r="C40" s="30">
        <v>9.0567567567567551</v>
      </c>
      <c r="D40" s="35">
        <v>1.7027027027027026</v>
      </c>
      <c r="E40" s="31">
        <v>0.48648648648648651</v>
      </c>
      <c r="F40" s="31">
        <v>0.1891891891891892</v>
      </c>
      <c r="G40" s="31">
        <v>0.34579439252336447</v>
      </c>
      <c r="H40" s="31">
        <v>0.12149532710280374</v>
      </c>
      <c r="I40" s="32">
        <v>7767.5675675675675</v>
      </c>
      <c r="J40" s="32">
        <v>-7448.7179487179483</v>
      </c>
      <c r="K40" s="31">
        <v>5.4054054054054057E-2</v>
      </c>
      <c r="L40" s="31">
        <v>0.2087227414330218</v>
      </c>
      <c r="M40" s="31">
        <v>0.2554517133956386</v>
      </c>
      <c r="N40" s="31">
        <v>0.52238805970149249</v>
      </c>
      <c r="O40" s="31">
        <v>0.47560975609756095</v>
      </c>
      <c r="P40" s="31">
        <v>0.4144144144144144</v>
      </c>
    </row>
    <row r="41" spans="1:16" x14ac:dyDescent="0.4">
      <c r="A41" s="33">
        <v>38</v>
      </c>
      <c r="B41" s="30">
        <v>329.99999999999994</v>
      </c>
      <c r="C41" s="30">
        <v>8.6842105263157876</v>
      </c>
      <c r="D41" s="35">
        <v>1.7105263157894737</v>
      </c>
      <c r="E41" s="31">
        <v>0.47368421052631576</v>
      </c>
      <c r="F41" s="31">
        <v>0.18421052631578946</v>
      </c>
      <c r="G41" s="31">
        <v>0.34662576687116564</v>
      </c>
      <c r="H41" s="31">
        <v>0.1196319018404908</v>
      </c>
      <c r="I41" s="32">
        <v>7695.575221238938</v>
      </c>
      <c r="J41" s="32">
        <v>-7448.7179487179483</v>
      </c>
      <c r="K41" s="31">
        <v>5.2631578947368418E-2</v>
      </c>
      <c r="L41" s="31">
        <v>0.20858895705521471</v>
      </c>
      <c r="M41" s="31">
        <v>0.25153374233128833</v>
      </c>
      <c r="N41" s="31">
        <v>0.52941176470588236</v>
      </c>
      <c r="O41" s="31">
        <v>0.47560975609756095</v>
      </c>
      <c r="P41" s="31">
        <v>0.41592920353982299</v>
      </c>
    </row>
    <row r="42" spans="1:16" x14ac:dyDescent="0.4">
      <c r="A42" s="33">
        <v>39</v>
      </c>
      <c r="B42" s="30">
        <v>370.49999999999994</v>
      </c>
      <c r="C42" s="30">
        <v>9.4999999999999982</v>
      </c>
      <c r="D42" s="35">
        <v>1.6923076923076923</v>
      </c>
      <c r="E42" s="31">
        <v>0.48717948717948717</v>
      </c>
      <c r="F42" s="31">
        <v>0.17948717948717949</v>
      </c>
      <c r="G42" s="31">
        <v>0.34925373134328358</v>
      </c>
      <c r="H42" s="31">
        <v>0.11940298507462686</v>
      </c>
      <c r="I42" s="32">
        <v>7710.2564102564102</v>
      </c>
      <c r="J42" s="32">
        <v>-7302.5</v>
      </c>
      <c r="K42" s="31">
        <v>5.128205128205128E-2</v>
      </c>
      <c r="L42" s="31">
        <v>0.20895522388059701</v>
      </c>
      <c r="M42" s="31">
        <v>0.24776119402985075</v>
      </c>
      <c r="N42" s="31">
        <v>0.54285714285714282</v>
      </c>
      <c r="O42" s="31">
        <v>0.48192771084337349</v>
      </c>
      <c r="P42" s="31">
        <v>0.40170940170940173</v>
      </c>
    </row>
    <row r="43" spans="1:16" x14ac:dyDescent="0.4">
      <c r="A43" s="33">
        <v>40</v>
      </c>
      <c r="B43" s="30">
        <v>317.29999999999995</v>
      </c>
      <c r="C43" s="30">
        <v>7.9324999999999992</v>
      </c>
      <c r="D43" s="35">
        <v>1.7250000000000001</v>
      </c>
      <c r="E43" s="31">
        <v>0.47499999999999998</v>
      </c>
      <c r="F43" s="31">
        <v>0.2</v>
      </c>
      <c r="G43" s="31">
        <v>0.33913043478260868</v>
      </c>
      <c r="H43" s="31">
        <v>0.12173913043478261</v>
      </c>
      <c r="I43" s="32">
        <v>7710.2564102564102</v>
      </c>
      <c r="J43" s="32">
        <v>-7366.666666666667</v>
      </c>
      <c r="K43" s="31">
        <v>7.4999999999999997E-2</v>
      </c>
      <c r="L43" s="31">
        <v>0.20869565217391303</v>
      </c>
      <c r="M43" s="31">
        <v>0.25507246376811593</v>
      </c>
      <c r="N43" s="31">
        <v>0.52777777777777779</v>
      </c>
      <c r="O43" s="31">
        <v>0.45454545454545453</v>
      </c>
      <c r="P43" s="31">
        <v>0.40170940170940173</v>
      </c>
    </row>
    <row r="44" spans="1:16" x14ac:dyDescent="0.4">
      <c r="A44" s="33">
        <v>41</v>
      </c>
      <c r="B44" s="30">
        <v>286.49999999999994</v>
      </c>
      <c r="C44" s="30">
        <v>6.9878048780487791</v>
      </c>
      <c r="D44" s="35">
        <v>1.7560975609756098</v>
      </c>
      <c r="E44" s="31">
        <v>0.46341463414634149</v>
      </c>
      <c r="F44" s="31">
        <v>0.21951219512195122</v>
      </c>
      <c r="G44" s="31">
        <v>0.3342696629213483</v>
      </c>
      <c r="H44" s="31">
        <v>0.12359550561797752</v>
      </c>
      <c r="I44" s="32">
        <v>7712.6050420168067</v>
      </c>
      <c r="J44" s="32">
        <v>-7654.545454545455</v>
      </c>
      <c r="K44" s="31">
        <v>7.3170731707317069E-2</v>
      </c>
      <c r="L44" s="31">
        <v>0.2050561797752809</v>
      </c>
      <c r="M44" s="31">
        <v>0.2640449438202247</v>
      </c>
      <c r="N44" s="31">
        <v>0.53424657534246578</v>
      </c>
      <c r="O44" s="31">
        <v>0.43617021276595747</v>
      </c>
      <c r="P44" s="31">
        <v>0.40336134453781514</v>
      </c>
    </row>
    <row r="45" spans="1:16" x14ac:dyDescent="0.4">
      <c r="A45" s="33">
        <v>42</v>
      </c>
      <c r="B45" s="30">
        <v>233.59999999999994</v>
      </c>
      <c r="C45" s="30">
        <v>5.5619047619047608</v>
      </c>
      <c r="D45" s="35">
        <v>1.7857142857142858</v>
      </c>
      <c r="E45" s="31">
        <v>0.45238095238095238</v>
      </c>
      <c r="F45" s="31">
        <v>0.23809523809523808</v>
      </c>
      <c r="G45" s="31">
        <v>0.32970027247956402</v>
      </c>
      <c r="H45" s="31">
        <v>0.1226158038147139</v>
      </c>
      <c r="I45" s="32">
        <v>7631.4049586776855</v>
      </c>
      <c r="J45" s="32">
        <v>-8017.7777777777774</v>
      </c>
      <c r="K45" s="31">
        <v>9.5238095238095233E-2</v>
      </c>
      <c r="L45" s="31">
        <v>0.20708446866485014</v>
      </c>
      <c r="M45" s="31">
        <v>0.25885558583106266</v>
      </c>
      <c r="N45" s="31">
        <v>0.52631578947368418</v>
      </c>
      <c r="O45" s="31">
        <v>0.43157894736842106</v>
      </c>
      <c r="P45" s="31">
        <v>0.4049586776859504</v>
      </c>
    </row>
    <row r="46" spans="1:16" x14ac:dyDescent="0.4">
      <c r="A46" s="33">
        <v>43</v>
      </c>
      <c r="B46" s="30">
        <v>234.09999999999994</v>
      </c>
      <c r="C46" s="30">
        <v>5.4441860465116267</v>
      </c>
      <c r="D46" s="35">
        <v>1.7906976744186047</v>
      </c>
      <c r="E46" s="31">
        <v>0.44186046511627908</v>
      </c>
      <c r="F46" s="31">
        <v>0.23255813953488372</v>
      </c>
      <c r="G46" s="31">
        <v>0.32887700534759357</v>
      </c>
      <c r="H46" s="31">
        <v>0.12032085561497326</v>
      </c>
      <c r="I46" s="32">
        <v>7573.1707317073169</v>
      </c>
      <c r="J46" s="32">
        <v>-8017.7777777777774</v>
      </c>
      <c r="K46" s="31">
        <v>9.3023255813953487E-2</v>
      </c>
      <c r="L46" s="31">
        <v>0.20320855614973263</v>
      </c>
      <c r="M46" s="31">
        <v>0.26737967914438504</v>
      </c>
      <c r="N46" s="31">
        <v>0.52631578947368418</v>
      </c>
      <c r="O46" s="31">
        <v>0.42</v>
      </c>
      <c r="P46" s="31">
        <v>0.41463414634146339</v>
      </c>
    </row>
    <row r="47" spans="1:16" x14ac:dyDescent="0.4">
      <c r="A47" s="33">
        <v>44</v>
      </c>
      <c r="B47" s="30">
        <v>241.39999999999995</v>
      </c>
      <c r="C47" s="30">
        <v>5.4863636363636354</v>
      </c>
      <c r="D47" s="35">
        <v>1.7954545454545454</v>
      </c>
      <c r="E47" s="31">
        <v>0.43181818181818182</v>
      </c>
      <c r="F47" s="31">
        <v>0.22727272727272727</v>
      </c>
      <c r="G47" s="31">
        <v>0.32808398950131235</v>
      </c>
      <c r="H47" s="31">
        <v>0.11811023622047244</v>
      </c>
      <c r="I47" s="32">
        <v>7534.4</v>
      </c>
      <c r="J47" s="32">
        <v>-8017.7777777777774</v>
      </c>
      <c r="K47" s="31">
        <v>9.0909090909090912E-2</v>
      </c>
      <c r="L47" s="31">
        <v>0.20209973753280841</v>
      </c>
      <c r="M47" s="31">
        <v>0.27296587926509186</v>
      </c>
      <c r="N47" s="31">
        <v>0.53246753246753242</v>
      </c>
      <c r="O47" s="31">
        <v>0.41346153846153844</v>
      </c>
      <c r="P47" s="31">
        <v>0.41599999999999998</v>
      </c>
    </row>
    <row r="48" spans="1:16" x14ac:dyDescent="0.4">
      <c r="A48" s="33">
        <v>45</v>
      </c>
      <c r="B48" s="30">
        <v>228.89999999999995</v>
      </c>
      <c r="C48" s="30">
        <v>5.0866666666666651</v>
      </c>
      <c r="D48" s="35">
        <v>1.8222222222222222</v>
      </c>
      <c r="E48" s="31">
        <v>0.42222222222222222</v>
      </c>
      <c r="F48" s="31">
        <v>0.24444444444444444</v>
      </c>
      <c r="G48" s="31">
        <v>0.32736572890025578</v>
      </c>
      <c r="H48" s="31">
        <v>0.11508951406649616</v>
      </c>
      <c r="I48" s="32">
        <v>7482.8125</v>
      </c>
      <c r="J48" s="32">
        <v>-8017.7777777777774</v>
      </c>
      <c r="K48" s="31">
        <v>8.8888888888888892E-2</v>
      </c>
      <c r="L48" s="31">
        <v>0.20204603580562661</v>
      </c>
      <c r="M48" s="31">
        <v>0.26854219948849106</v>
      </c>
      <c r="N48" s="31">
        <v>0.54430379746835444</v>
      </c>
      <c r="O48" s="31">
        <v>0.40952380952380951</v>
      </c>
      <c r="P48" s="31">
        <v>0.40625</v>
      </c>
    </row>
    <row r="49" spans="1:16" x14ac:dyDescent="0.4">
      <c r="A49" s="33">
        <v>46</v>
      </c>
      <c r="B49" s="30">
        <v>230.89999999999995</v>
      </c>
      <c r="C49" s="30">
        <v>5.0195652173913032</v>
      </c>
      <c r="D49" s="35">
        <v>1.826086956521739</v>
      </c>
      <c r="E49" s="31">
        <v>0.41304347826086957</v>
      </c>
      <c r="F49" s="31">
        <v>0.2391304347826087</v>
      </c>
      <c r="G49" s="31">
        <v>0.32663316582914576</v>
      </c>
      <c r="H49" s="31">
        <v>0.11306532663316583</v>
      </c>
      <c r="I49" s="32">
        <v>7520.7692307692305</v>
      </c>
      <c r="J49" s="32">
        <v>-8017.7777777777774</v>
      </c>
      <c r="K49" s="31">
        <v>8.6956521739130432E-2</v>
      </c>
      <c r="L49" s="31">
        <v>0.20351758793969849</v>
      </c>
      <c r="M49" s="31">
        <v>0.26884422110552764</v>
      </c>
      <c r="N49" s="31">
        <v>0.53086419753086422</v>
      </c>
      <c r="O49" s="31">
        <v>0.41121495327102803</v>
      </c>
      <c r="P49" s="31">
        <v>0.40769230769230769</v>
      </c>
    </row>
    <row r="50" spans="1:16" x14ac:dyDescent="0.4">
      <c r="A50" s="33">
        <v>47</v>
      </c>
      <c r="B50" s="30">
        <v>222.99999999999994</v>
      </c>
      <c r="C50" s="30">
        <v>4.744680851063829</v>
      </c>
      <c r="D50" s="35">
        <v>1.8297872340425532</v>
      </c>
      <c r="E50" s="31">
        <v>0.40425531914893614</v>
      </c>
      <c r="F50" s="31">
        <v>0.23404255319148937</v>
      </c>
      <c r="G50" s="31">
        <v>0.32839506172839505</v>
      </c>
      <c r="H50" s="31">
        <v>0.11604938271604938</v>
      </c>
      <c r="I50" s="32">
        <v>7401.5037593984962</v>
      </c>
      <c r="J50" s="32">
        <v>-7774.4680851063831</v>
      </c>
      <c r="K50" s="31">
        <v>8.5106382978723402E-2</v>
      </c>
      <c r="L50" s="31">
        <v>0.20246913580246914</v>
      </c>
      <c r="M50" s="31">
        <v>0.26913580246913582</v>
      </c>
      <c r="N50" s="31">
        <v>0.52439024390243905</v>
      </c>
      <c r="O50" s="31">
        <v>0.40366972477064222</v>
      </c>
      <c r="P50" s="31">
        <v>0.40601503759398494</v>
      </c>
    </row>
    <row r="51" spans="1:16" x14ac:dyDescent="0.4">
      <c r="A51" s="33">
        <v>48</v>
      </c>
      <c r="B51" s="30">
        <v>261.89999999999992</v>
      </c>
      <c r="C51" s="30">
        <v>5.456249999999998</v>
      </c>
      <c r="D51" s="35">
        <v>1.8125</v>
      </c>
      <c r="E51" s="31">
        <v>0.41666666666666669</v>
      </c>
      <c r="F51" s="31">
        <v>0.22916666666666666</v>
      </c>
      <c r="G51" s="31">
        <v>0.33574879227053139</v>
      </c>
      <c r="H51" s="31">
        <v>0.11352657004830918</v>
      </c>
      <c r="I51" s="32">
        <v>7306.4748201438852</v>
      </c>
      <c r="J51" s="32">
        <v>-7774.4680851063831</v>
      </c>
      <c r="K51" s="31">
        <v>8.3333333333333329E-2</v>
      </c>
      <c r="L51" s="31">
        <v>0.20289855072463769</v>
      </c>
      <c r="M51" s="31">
        <v>0.27294685990338163</v>
      </c>
      <c r="N51" s="31">
        <v>0.52380952380952384</v>
      </c>
      <c r="O51" s="31">
        <v>0.41592920353982299</v>
      </c>
      <c r="P51" s="31">
        <v>0.39568345323741005</v>
      </c>
    </row>
    <row r="52" spans="1:16" x14ac:dyDescent="0.4">
      <c r="A52" s="33">
        <v>49</v>
      </c>
      <c r="B52" s="30">
        <v>248.19999999999993</v>
      </c>
      <c r="C52" s="30">
        <v>5.0653061224489786</v>
      </c>
      <c r="D52" s="35">
        <v>1.8367346938775511</v>
      </c>
      <c r="E52" s="31">
        <v>0.40816326530612246</v>
      </c>
      <c r="F52" s="31">
        <v>0.24489795918367346</v>
      </c>
      <c r="G52" s="31">
        <v>0.33412322274881517</v>
      </c>
      <c r="H52" s="31">
        <v>0.11611374407582939</v>
      </c>
      <c r="I52" s="32">
        <v>7300</v>
      </c>
      <c r="J52" s="32">
        <v>-7693.8775510204077</v>
      </c>
      <c r="K52" s="31">
        <v>8.1632653061224483E-2</v>
      </c>
      <c r="L52" s="31">
        <v>0.2014218009478673</v>
      </c>
      <c r="M52" s="31">
        <v>0.27488151658767773</v>
      </c>
      <c r="N52" s="31">
        <v>0.52941176470588236</v>
      </c>
      <c r="O52" s="31">
        <v>0.41379310344827586</v>
      </c>
      <c r="P52" s="31">
        <v>0.3971631205673759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5EC9-D634-4562-8B46-7CF95DFBF525}">
  <sheetPr codeName="Sheet16"/>
  <dimension ref="A1:Q4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  <row r="32" spans="1:16" x14ac:dyDescent="0.4">
      <c r="A32" s="33">
        <v>29</v>
      </c>
      <c r="B32" s="30">
        <v>127.89999999999998</v>
      </c>
      <c r="C32" s="30">
        <v>4.4103448275862061</v>
      </c>
      <c r="D32" s="35">
        <v>1.896551724137931</v>
      </c>
      <c r="E32" s="31">
        <v>0.41379310344827586</v>
      </c>
      <c r="F32" s="31">
        <v>0.31034482758620691</v>
      </c>
      <c r="G32" s="31">
        <v>0.32327586206896552</v>
      </c>
      <c r="H32" s="31">
        <v>0.14655172413793102</v>
      </c>
      <c r="I32" s="32">
        <v>7929.333333333333</v>
      </c>
      <c r="J32" s="32">
        <v>-6911.7647058823532</v>
      </c>
      <c r="K32" s="31">
        <v>6.8965517241379309E-2</v>
      </c>
      <c r="L32" s="31">
        <v>0.20258620689655171</v>
      </c>
      <c r="M32" s="31">
        <v>0.23706896551724138</v>
      </c>
      <c r="N32" s="31">
        <v>0.5957446808510638</v>
      </c>
      <c r="O32" s="31">
        <v>0.52727272727272723</v>
      </c>
      <c r="P32" s="31">
        <v>0.4</v>
      </c>
    </row>
    <row r="33" spans="1:16" x14ac:dyDescent="0.4">
      <c r="A33" s="33">
        <v>30</v>
      </c>
      <c r="B33" s="30">
        <v>164.39999999999998</v>
      </c>
      <c r="C33" s="30">
        <v>5.4799999999999995</v>
      </c>
      <c r="D33" s="35">
        <v>1.8666666666666667</v>
      </c>
      <c r="E33" s="31">
        <v>0.43333333333333335</v>
      </c>
      <c r="F33" s="31">
        <v>0.3</v>
      </c>
      <c r="G33" s="31">
        <v>0.33054393305439328</v>
      </c>
      <c r="H33" s="31">
        <v>0.14225941422594143</v>
      </c>
      <c r="I33" s="32">
        <v>7898.7341772151894</v>
      </c>
      <c r="J33" s="32">
        <v>-6911.7647058823532</v>
      </c>
      <c r="K33" s="31">
        <v>6.6666666666666666E-2</v>
      </c>
      <c r="L33" s="31">
        <v>0.20083682008368201</v>
      </c>
      <c r="M33" s="31">
        <v>0.24267782426778242</v>
      </c>
      <c r="N33" s="31">
        <v>0.60416666666666663</v>
      </c>
      <c r="O33" s="31">
        <v>0.53448275862068961</v>
      </c>
      <c r="P33" s="31">
        <v>0.4050632911392405</v>
      </c>
    </row>
    <row r="34" spans="1:16" x14ac:dyDescent="0.4">
      <c r="A34" s="33">
        <v>31</v>
      </c>
      <c r="B34" s="30">
        <v>119.79999999999998</v>
      </c>
      <c r="C34" s="30">
        <v>3.8645161290322574</v>
      </c>
      <c r="D34" s="35">
        <v>1.903225806451613</v>
      </c>
      <c r="E34" s="31">
        <v>0.41935483870967744</v>
      </c>
      <c r="F34" s="31">
        <v>0.32258064516129031</v>
      </c>
      <c r="G34" s="31">
        <v>0.31872509960159362</v>
      </c>
      <c r="H34" s="31">
        <v>0.1394422310756972</v>
      </c>
      <c r="I34" s="32">
        <v>7840</v>
      </c>
      <c r="J34" s="32">
        <v>-6771.4285714285716</v>
      </c>
      <c r="K34" s="31">
        <v>6.4516129032258063E-2</v>
      </c>
      <c r="L34" s="31">
        <v>0.20717131474103587</v>
      </c>
      <c r="M34" s="31">
        <v>0.23904382470119523</v>
      </c>
      <c r="N34" s="31">
        <v>0.57692307692307687</v>
      </c>
      <c r="O34" s="31">
        <v>0.51666666666666672</v>
      </c>
      <c r="P34" s="31">
        <v>0.4</v>
      </c>
    </row>
    <row r="35" spans="1:16" x14ac:dyDescent="0.4">
      <c r="A35" s="33">
        <v>32</v>
      </c>
      <c r="B35" s="30">
        <v>100.99999999999999</v>
      </c>
      <c r="C35" s="30">
        <v>3.1562499999999996</v>
      </c>
      <c r="D35" s="35">
        <v>1.9375</v>
      </c>
      <c r="E35" s="31">
        <v>0.40625</v>
      </c>
      <c r="F35" s="31">
        <v>0.34375</v>
      </c>
      <c r="G35" s="31">
        <v>0.31417624521072796</v>
      </c>
      <c r="H35" s="31">
        <v>0.13793103448275862</v>
      </c>
      <c r="I35" s="32">
        <v>7892.6829268292686</v>
      </c>
      <c r="J35" s="32">
        <v>-6805.5555555555557</v>
      </c>
      <c r="K35" s="31">
        <v>6.25E-2</v>
      </c>
      <c r="L35" s="31">
        <v>0.20306513409961685</v>
      </c>
      <c r="M35" s="31">
        <v>0.23754789272030652</v>
      </c>
      <c r="N35" s="31">
        <v>0.58490566037735847</v>
      </c>
      <c r="O35" s="31">
        <v>0.5</v>
      </c>
      <c r="P35" s="31">
        <v>0.40243902439024393</v>
      </c>
    </row>
    <row r="36" spans="1:16" x14ac:dyDescent="0.4">
      <c r="A36" s="33">
        <v>33</v>
      </c>
      <c r="B36" s="30">
        <v>102.59999999999998</v>
      </c>
      <c r="C36" s="30">
        <v>3.1090909090909085</v>
      </c>
      <c r="D36" s="35">
        <v>1.9393939393939394</v>
      </c>
      <c r="E36" s="31">
        <v>0.39393939393939392</v>
      </c>
      <c r="F36" s="31">
        <v>0.33333333333333331</v>
      </c>
      <c r="G36" s="31">
        <v>0.31343283582089554</v>
      </c>
      <c r="H36" s="31">
        <v>0.13805970149253732</v>
      </c>
      <c r="I36" s="32">
        <v>7891.666666666667</v>
      </c>
      <c r="J36" s="32">
        <v>-6691.8918918918916</v>
      </c>
      <c r="K36" s="31">
        <v>6.0606060606060608E-2</v>
      </c>
      <c r="L36" s="31">
        <v>0.20522388059701493</v>
      </c>
      <c r="M36" s="31">
        <v>0.24253731343283583</v>
      </c>
      <c r="N36" s="31">
        <v>0.58181818181818179</v>
      </c>
      <c r="O36" s="31">
        <v>0.49230769230769234</v>
      </c>
      <c r="P36" s="31">
        <v>0.40476190476190477</v>
      </c>
    </row>
    <row r="37" spans="1:16" x14ac:dyDescent="0.4">
      <c r="A37" s="33">
        <v>34</v>
      </c>
      <c r="B37" s="30">
        <v>65.59999999999998</v>
      </c>
      <c r="C37" s="30">
        <v>1.9294117647058817</v>
      </c>
      <c r="D37" s="35">
        <v>1.9705882352941178</v>
      </c>
      <c r="E37" s="31">
        <v>0.38235294117647056</v>
      </c>
      <c r="F37" s="31">
        <v>0.35294117647058826</v>
      </c>
      <c r="G37" s="31">
        <v>0.30685920577617326</v>
      </c>
      <c r="H37" s="31">
        <v>0.13357400722021662</v>
      </c>
      <c r="I37" s="32">
        <v>7845.8823529411766</v>
      </c>
      <c r="J37" s="32">
        <v>-6691.8918918918916</v>
      </c>
      <c r="K37" s="31">
        <v>5.8823529411764705E-2</v>
      </c>
      <c r="L37" s="31">
        <v>0.20577617328519857</v>
      </c>
      <c r="M37" s="31">
        <v>0.23465703971119134</v>
      </c>
      <c r="N37" s="31">
        <v>0.57894736842105265</v>
      </c>
      <c r="O37" s="31">
        <v>0.49230769230769234</v>
      </c>
      <c r="P37" s="31">
        <v>0.41176470588235292</v>
      </c>
    </row>
    <row r="38" spans="1:16" x14ac:dyDescent="0.4">
      <c r="A38" s="33">
        <v>35</v>
      </c>
      <c r="B38" s="30">
        <v>45.499999999999979</v>
      </c>
      <c r="C38" s="30">
        <v>1.2999999999999994</v>
      </c>
      <c r="D38" s="35">
        <v>1.9714285714285715</v>
      </c>
      <c r="E38" s="31">
        <v>0.37142857142857144</v>
      </c>
      <c r="F38" s="31">
        <v>0.34285714285714286</v>
      </c>
      <c r="G38" s="31">
        <v>0.30555555555555558</v>
      </c>
      <c r="H38" s="31">
        <v>0.13541666666666666</v>
      </c>
      <c r="I38" s="32">
        <v>7815.909090909091</v>
      </c>
      <c r="J38" s="32">
        <v>-6751.2820512820517</v>
      </c>
      <c r="K38" s="31">
        <v>5.7142857142857141E-2</v>
      </c>
      <c r="L38" s="31">
        <v>0.2048611111111111</v>
      </c>
      <c r="M38" s="31">
        <v>0.22916666666666666</v>
      </c>
      <c r="N38" s="31">
        <v>0.55932203389830504</v>
      </c>
      <c r="O38" s="31">
        <v>0.48484848484848486</v>
      </c>
      <c r="P38" s="31">
        <v>0.40909090909090912</v>
      </c>
    </row>
    <row r="39" spans="1:16" x14ac:dyDescent="0.4">
      <c r="A39" s="33">
        <v>36</v>
      </c>
      <c r="B39" s="30">
        <v>40.699999999999982</v>
      </c>
      <c r="C39" s="30">
        <v>1.1305555555555551</v>
      </c>
      <c r="D39" s="35">
        <v>1.9722222222222223</v>
      </c>
      <c r="E39" s="31">
        <v>0.3611111111111111</v>
      </c>
      <c r="F39" s="31">
        <v>0.33333333333333331</v>
      </c>
      <c r="G39" s="31">
        <v>0.30405405405405406</v>
      </c>
      <c r="H39" s="31">
        <v>0.13175675675675674</v>
      </c>
      <c r="I39" s="32">
        <v>7733.333333333333</v>
      </c>
      <c r="J39" s="32">
        <v>-6751.2820512820517</v>
      </c>
      <c r="K39" s="31">
        <v>5.5555555555555552E-2</v>
      </c>
      <c r="L39" s="31">
        <v>0.20270270270270271</v>
      </c>
      <c r="M39" s="31">
        <v>0.22297297297297297</v>
      </c>
      <c r="N39" s="31">
        <v>0.56666666666666665</v>
      </c>
      <c r="O39" s="31">
        <v>0.48484848484848486</v>
      </c>
      <c r="P39" s="31">
        <v>0.41111111111111109</v>
      </c>
    </row>
    <row r="40" spans="1:16" x14ac:dyDescent="0.4">
      <c r="A40" s="33">
        <v>37</v>
      </c>
      <c r="B40" s="30">
        <v>17.09999999999998</v>
      </c>
      <c r="C40" s="30">
        <v>0.4621621621621616</v>
      </c>
      <c r="D40" s="35">
        <v>2</v>
      </c>
      <c r="E40" s="31">
        <v>0.35135135135135137</v>
      </c>
      <c r="F40" s="31">
        <v>0.35135135135135137</v>
      </c>
      <c r="G40" s="31">
        <v>0.29773462783171523</v>
      </c>
      <c r="H40" s="31">
        <v>0.13915857605177995</v>
      </c>
      <c r="I40" s="32">
        <v>7730.434782608696</v>
      </c>
      <c r="J40" s="32">
        <v>-6369.7674418604647</v>
      </c>
      <c r="K40" s="31">
        <v>5.4054054054054057E-2</v>
      </c>
      <c r="L40" s="31">
        <v>0.20388349514563106</v>
      </c>
      <c r="M40" s="31">
        <v>0.2168284789644013</v>
      </c>
      <c r="N40" s="31">
        <v>0.55555555555555558</v>
      </c>
      <c r="O40" s="31">
        <v>0.47761194029850745</v>
      </c>
      <c r="P40" s="31">
        <v>0.41304347826086957</v>
      </c>
    </row>
    <row r="41" spans="1:16" x14ac:dyDescent="0.4">
      <c r="A41" s="33">
        <v>38</v>
      </c>
      <c r="B41" s="30">
        <v>78.799999999999983</v>
      </c>
      <c r="C41" s="30">
        <v>2.0736842105263151</v>
      </c>
      <c r="D41" s="35">
        <v>1.9736842105263157</v>
      </c>
      <c r="E41" s="31">
        <v>0.36842105263157893</v>
      </c>
      <c r="F41" s="31">
        <v>0.34210526315789475</v>
      </c>
      <c r="G41" s="31">
        <v>0.3048780487804878</v>
      </c>
      <c r="H41" s="31">
        <v>0.13719512195121952</v>
      </c>
      <c r="I41" s="32">
        <v>7812</v>
      </c>
      <c r="J41" s="32">
        <v>-6708.8888888888887</v>
      </c>
      <c r="K41" s="31">
        <v>5.2631578947368418E-2</v>
      </c>
      <c r="L41" s="31">
        <v>0.21341463414634146</v>
      </c>
      <c r="M41" s="31">
        <v>0.21036585365853658</v>
      </c>
      <c r="N41" s="31">
        <v>0.5714285714285714</v>
      </c>
      <c r="O41" s="31">
        <v>0.47826086956521741</v>
      </c>
      <c r="P41" s="31">
        <v>0.43</v>
      </c>
    </row>
    <row r="42" spans="1:16" x14ac:dyDescent="0.4">
      <c r="A42" s="33">
        <v>39</v>
      </c>
      <c r="B42" s="30">
        <v>101.59999999999998</v>
      </c>
      <c r="C42" s="30">
        <v>2.6051282051282048</v>
      </c>
      <c r="D42" s="35">
        <v>1.9487179487179487</v>
      </c>
      <c r="E42" s="31">
        <v>0.38461538461538464</v>
      </c>
      <c r="F42" s="31">
        <v>0.33333333333333331</v>
      </c>
      <c r="G42" s="31">
        <v>0.30473372781065089</v>
      </c>
      <c r="H42" s="31">
        <v>0.13313609467455623</v>
      </c>
      <c r="I42" s="32">
        <v>7706.7961165048546</v>
      </c>
      <c r="J42" s="32">
        <v>-6708.8888888888887</v>
      </c>
      <c r="K42" s="31">
        <v>5.128205128205128E-2</v>
      </c>
      <c r="L42" s="31">
        <v>0.21597633136094674</v>
      </c>
      <c r="M42" s="31">
        <v>0.20710059171597633</v>
      </c>
      <c r="N42" s="31">
        <v>0.57534246575342463</v>
      </c>
      <c r="O42" s="31">
        <v>0.48571428571428571</v>
      </c>
      <c r="P42" s="31">
        <v>0.42718446601941745</v>
      </c>
    </row>
    <row r="43" spans="1:16" x14ac:dyDescent="0.4">
      <c r="A43" s="33">
        <v>40</v>
      </c>
      <c r="B43" s="30">
        <v>140.79999999999998</v>
      </c>
      <c r="C43" s="30">
        <v>3.5199999999999996</v>
      </c>
      <c r="D43" s="35">
        <v>1.925</v>
      </c>
      <c r="E43" s="31">
        <v>0.4</v>
      </c>
      <c r="F43" s="31">
        <v>0.32500000000000001</v>
      </c>
      <c r="G43" s="31">
        <v>0.30434782608695654</v>
      </c>
      <c r="H43" s="31">
        <v>0.13623188405797101</v>
      </c>
      <c r="I43" s="32">
        <v>7938.0952380952385</v>
      </c>
      <c r="J43" s="32">
        <v>-6636.1702127659573</v>
      </c>
      <c r="K43" s="31">
        <v>0.05</v>
      </c>
      <c r="L43" s="31">
        <v>0.2144927536231884</v>
      </c>
      <c r="M43" s="31">
        <v>0.20869565217391303</v>
      </c>
      <c r="N43" s="31">
        <v>0.58108108108108103</v>
      </c>
      <c r="O43" s="31">
        <v>0.4861111111111111</v>
      </c>
      <c r="P43" s="31">
        <v>0.43809523809523809</v>
      </c>
    </row>
    <row r="44" spans="1:16" x14ac:dyDescent="0.4">
      <c r="A44" s="33">
        <v>41</v>
      </c>
      <c r="B44" s="30">
        <v>123.59999999999998</v>
      </c>
      <c r="C44" s="30">
        <v>3.014634146341463</v>
      </c>
      <c r="D44" s="35">
        <v>1.9512195121951219</v>
      </c>
      <c r="E44" s="31">
        <v>0.3902439024390244</v>
      </c>
      <c r="F44" s="31">
        <v>0.34146341463414637</v>
      </c>
      <c r="G44" s="31">
        <v>0.30113636363636365</v>
      </c>
      <c r="H44" s="31">
        <v>0.13636363636363635</v>
      </c>
      <c r="I44" s="32">
        <v>7935.8490566037735</v>
      </c>
      <c r="J44" s="32">
        <v>-6579.166666666667</v>
      </c>
      <c r="K44" s="31">
        <v>4.878048780487805E-2</v>
      </c>
      <c r="L44" s="31">
        <v>0.21022727272727273</v>
      </c>
      <c r="M44" s="31">
        <v>0.20738636363636365</v>
      </c>
      <c r="N44" s="31">
        <v>0.58108108108108103</v>
      </c>
      <c r="O44" s="31">
        <v>0.49315068493150682</v>
      </c>
      <c r="P44" s="31">
        <v>0.43396226415094341</v>
      </c>
    </row>
    <row r="45" spans="1:16" x14ac:dyDescent="0.4">
      <c r="A45" s="33">
        <v>42</v>
      </c>
      <c r="B45" s="30">
        <v>126.79999999999998</v>
      </c>
      <c r="C45" s="30">
        <v>3.0190476190476185</v>
      </c>
      <c r="D45" s="35">
        <v>1.9523809523809523</v>
      </c>
      <c r="E45" s="31">
        <v>0.38095238095238093</v>
      </c>
      <c r="F45" s="31">
        <v>0.33333333333333331</v>
      </c>
      <c r="G45" s="31">
        <v>0.30362116991643456</v>
      </c>
      <c r="H45" s="31">
        <v>0.13370473537604458</v>
      </c>
      <c r="I45" s="32">
        <v>7887.1559633027518</v>
      </c>
      <c r="J45" s="32">
        <v>-6579.166666666667</v>
      </c>
      <c r="K45" s="31">
        <v>4.7619047619047616E-2</v>
      </c>
      <c r="L45" s="31">
        <v>0.20891364902506965</v>
      </c>
      <c r="M45" s="31">
        <v>0.20891364902506965</v>
      </c>
      <c r="N45" s="31">
        <v>0.58666666666666667</v>
      </c>
      <c r="O45" s="31">
        <v>0.49333333333333335</v>
      </c>
      <c r="P45" s="31">
        <v>0.44036697247706424</v>
      </c>
    </row>
    <row r="46" spans="1:16" x14ac:dyDescent="0.4">
      <c r="A46" s="33">
        <v>43</v>
      </c>
      <c r="B46" s="30">
        <v>148.29999999999998</v>
      </c>
      <c r="C46" s="30">
        <v>3.4488372093023254</v>
      </c>
      <c r="D46" s="35">
        <v>1.930232558139535</v>
      </c>
      <c r="E46" s="31">
        <v>0.39534883720930231</v>
      </c>
      <c r="F46" s="31">
        <v>0.32558139534883723</v>
      </c>
      <c r="G46" s="31">
        <v>0.3024523160762943</v>
      </c>
      <c r="H46" s="31">
        <v>0.13079019073569481</v>
      </c>
      <c r="I46" s="32">
        <v>7886.4864864864867</v>
      </c>
      <c r="J46" s="32">
        <v>-6579.166666666667</v>
      </c>
      <c r="K46" s="31">
        <v>4.6511627906976744E-2</v>
      </c>
      <c r="L46" s="31">
        <v>0.21253405994550409</v>
      </c>
      <c r="M46" s="31">
        <v>0.20435967302452315</v>
      </c>
      <c r="N46" s="31">
        <v>0.58974358974358976</v>
      </c>
      <c r="O46" s="31">
        <v>0.49333333333333335</v>
      </c>
      <c r="P46" s="31">
        <v>0.43243243243243246</v>
      </c>
    </row>
    <row r="47" spans="1:16" x14ac:dyDescent="0.4">
      <c r="A47" s="33">
        <v>44</v>
      </c>
      <c r="B47" s="30">
        <v>143.19999999999999</v>
      </c>
      <c r="C47" s="30">
        <v>3.2545454545454544</v>
      </c>
      <c r="D47" s="35">
        <v>1.9318181818181819</v>
      </c>
      <c r="E47" s="31">
        <v>0.38636363636363635</v>
      </c>
      <c r="F47" s="31">
        <v>0.31818181818181818</v>
      </c>
      <c r="G47" s="31">
        <v>0.30158730158730157</v>
      </c>
      <c r="H47" s="31">
        <v>0.13492063492063491</v>
      </c>
      <c r="I47" s="32">
        <v>7921.9298245614036</v>
      </c>
      <c r="J47" s="32">
        <v>-6609.8039215686276</v>
      </c>
      <c r="K47" s="31">
        <v>4.5454545454545456E-2</v>
      </c>
      <c r="L47" s="31">
        <v>0.21164021164021163</v>
      </c>
      <c r="M47" s="31">
        <v>0.20899470899470898</v>
      </c>
      <c r="N47" s="31">
        <v>0.58750000000000002</v>
      </c>
      <c r="O47" s="31">
        <v>0.49367088607594939</v>
      </c>
      <c r="P47" s="31">
        <v>0.42982456140350878</v>
      </c>
    </row>
    <row r="48" spans="1:16" x14ac:dyDescent="0.4">
      <c r="A48" s="33">
        <v>45</v>
      </c>
      <c r="B48" s="30">
        <v>157.69999999999999</v>
      </c>
      <c r="C48" s="30">
        <v>3.5044444444444443</v>
      </c>
      <c r="D48" s="35">
        <v>1.9111111111111112</v>
      </c>
      <c r="E48" s="31">
        <v>0.4</v>
      </c>
      <c r="F48" s="31">
        <v>0.31111111111111112</v>
      </c>
      <c r="G48" s="31">
        <v>0.30569948186528495</v>
      </c>
      <c r="H48" s="31">
        <v>0.13730569948186527</v>
      </c>
      <c r="I48" s="32">
        <v>7850</v>
      </c>
      <c r="J48" s="32">
        <v>-6656.6037735849059</v>
      </c>
      <c r="K48" s="31">
        <v>4.4444444444444446E-2</v>
      </c>
      <c r="L48" s="31">
        <v>0.21761658031088082</v>
      </c>
      <c r="M48" s="31">
        <v>0.21502590673575128</v>
      </c>
      <c r="N48" s="31">
        <v>0.59523809523809523</v>
      </c>
      <c r="O48" s="31">
        <v>0.48192771084337349</v>
      </c>
      <c r="P48" s="31">
        <v>0.43220338983050849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CA9F-1072-4BDA-87AF-9C0454AA5DBE}">
  <sheetPr codeName="Sheet14"/>
  <dimension ref="A1:Q3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  <row r="21" spans="1:16" x14ac:dyDescent="0.4">
      <c r="A21" s="33">
        <v>18</v>
      </c>
      <c r="B21" s="30">
        <v>-22.100000000000019</v>
      </c>
      <c r="C21" s="30">
        <v>-1.2277777777777787</v>
      </c>
      <c r="D21" s="35">
        <v>1.9444444444444444</v>
      </c>
      <c r="E21" s="31">
        <v>0.27777777777777779</v>
      </c>
      <c r="F21" s="31">
        <v>0.22222222222222221</v>
      </c>
      <c r="G21" s="31">
        <v>0.24657534246575341</v>
      </c>
      <c r="H21" s="31">
        <v>0.10273972602739725</v>
      </c>
      <c r="I21" s="32">
        <v>7791.666666666667</v>
      </c>
      <c r="J21" s="32">
        <v>-5560</v>
      </c>
      <c r="K21" s="31">
        <v>5.5555555555555552E-2</v>
      </c>
      <c r="L21" s="31">
        <v>0.23287671232876711</v>
      </c>
      <c r="M21" s="31">
        <v>0.19178082191780821</v>
      </c>
      <c r="N21" s="31">
        <v>0.61764705882352944</v>
      </c>
      <c r="O21" s="31">
        <v>0.39285714285714285</v>
      </c>
      <c r="P21" s="31">
        <v>0.16666666666666666</v>
      </c>
    </row>
    <row r="22" spans="1:16" x14ac:dyDescent="0.4">
      <c r="A22" s="33">
        <v>19</v>
      </c>
      <c r="B22" s="30">
        <v>-9.6000000000000192</v>
      </c>
      <c r="C22" s="30">
        <v>-0.50526315789473786</v>
      </c>
      <c r="D22" s="35">
        <v>1.9473684210526316</v>
      </c>
      <c r="E22" s="31">
        <v>0.26315789473684209</v>
      </c>
      <c r="F22" s="31">
        <v>0.21052631578947367</v>
      </c>
      <c r="G22" s="31">
        <v>0.24516129032258063</v>
      </c>
      <c r="H22" s="31">
        <v>9.6774193548387094E-2</v>
      </c>
      <c r="I22" s="32">
        <v>8118.4210526315792</v>
      </c>
      <c r="J22" s="32">
        <v>-5560</v>
      </c>
      <c r="K22" s="31">
        <v>5.2631578947368418E-2</v>
      </c>
      <c r="L22" s="31">
        <v>0.23225806451612904</v>
      </c>
      <c r="M22" s="31">
        <v>0.2</v>
      </c>
      <c r="N22" s="31">
        <v>0.58333333333333337</v>
      </c>
      <c r="O22" s="31">
        <v>0.38709677419354838</v>
      </c>
      <c r="P22" s="31">
        <v>0.21052631578947367</v>
      </c>
    </row>
    <row r="23" spans="1:16" x14ac:dyDescent="0.4">
      <c r="A23" s="33">
        <v>20</v>
      </c>
      <c r="B23" s="30">
        <v>-19.40000000000002</v>
      </c>
      <c r="C23" s="30">
        <v>-0.97000000000000097</v>
      </c>
      <c r="D23" s="35">
        <v>1.95</v>
      </c>
      <c r="E23" s="31">
        <v>0.25</v>
      </c>
      <c r="F23" s="31">
        <v>0.2</v>
      </c>
      <c r="G23" s="31">
        <v>0.24242424242424243</v>
      </c>
      <c r="H23" s="31">
        <v>0.10303030303030303</v>
      </c>
      <c r="I23" s="32">
        <v>8145</v>
      </c>
      <c r="J23" s="32">
        <v>-5211.7647058823532</v>
      </c>
      <c r="K23" s="31">
        <v>0.05</v>
      </c>
      <c r="L23" s="31">
        <v>0.23030303030303031</v>
      </c>
      <c r="M23" s="31">
        <v>0.19393939393939394</v>
      </c>
      <c r="N23" s="31">
        <v>0.55263157894736847</v>
      </c>
      <c r="O23" s="31">
        <v>0.40625</v>
      </c>
      <c r="P23" s="31">
        <v>0.2</v>
      </c>
    </row>
    <row r="24" spans="1:16" x14ac:dyDescent="0.4">
      <c r="A24" s="33">
        <v>21</v>
      </c>
      <c r="B24" s="30">
        <v>31.499999999999979</v>
      </c>
      <c r="C24" s="30">
        <v>1.4999999999999989</v>
      </c>
      <c r="D24" s="35">
        <v>1.9047619047619047</v>
      </c>
      <c r="E24" s="31">
        <v>0.2857142857142857</v>
      </c>
      <c r="F24" s="31">
        <v>0.19047619047619047</v>
      </c>
      <c r="G24" s="31">
        <v>0.26136363636363635</v>
      </c>
      <c r="H24" s="31">
        <v>0.10227272727272728</v>
      </c>
      <c r="I24" s="32">
        <v>8193.4782608695659</v>
      </c>
      <c r="J24" s="32">
        <v>-5350</v>
      </c>
      <c r="K24" s="31">
        <v>4.7619047619047616E-2</v>
      </c>
      <c r="L24" s="31">
        <v>0.23295454545454544</v>
      </c>
      <c r="M24" s="31">
        <v>0.21022727272727273</v>
      </c>
      <c r="N24" s="31">
        <v>0.56097560975609762</v>
      </c>
      <c r="O24" s="31">
        <v>0.43243243243243246</v>
      </c>
      <c r="P24" s="31">
        <v>0.2391304347826087</v>
      </c>
    </row>
    <row r="25" spans="1:16" x14ac:dyDescent="0.4">
      <c r="A25" s="33">
        <v>22</v>
      </c>
      <c r="B25" s="30">
        <v>33.299999999999976</v>
      </c>
      <c r="C25" s="30">
        <v>1.5136363636363626</v>
      </c>
      <c r="D25" s="35">
        <v>1.9090909090909092</v>
      </c>
      <c r="E25" s="31">
        <v>0.27272727272727271</v>
      </c>
      <c r="F25" s="31">
        <v>0.18181818181818182</v>
      </c>
      <c r="G25" s="31">
        <v>0.26630434782608697</v>
      </c>
      <c r="H25" s="31">
        <v>0.10326086956521739</v>
      </c>
      <c r="I25" s="32">
        <v>7989.7959183673465</v>
      </c>
      <c r="J25" s="32">
        <v>-5489.4736842105267</v>
      </c>
      <c r="K25" s="31">
        <v>4.5454545454545456E-2</v>
      </c>
      <c r="L25" s="31">
        <v>0.2391304347826087</v>
      </c>
      <c r="M25" s="31">
        <v>0.20652173913043478</v>
      </c>
      <c r="N25" s="31">
        <v>0.56818181818181823</v>
      </c>
      <c r="O25" s="31">
        <v>0.42105263157894735</v>
      </c>
      <c r="P25" s="31">
        <v>0.24489795918367346</v>
      </c>
    </row>
    <row r="26" spans="1:16" x14ac:dyDescent="0.4">
      <c r="A26" s="33">
        <v>23</v>
      </c>
      <c r="B26" s="30">
        <v>27.799999999999976</v>
      </c>
      <c r="C26" s="30">
        <v>1.2086956521739121</v>
      </c>
      <c r="D26" s="35">
        <v>1.9130434782608696</v>
      </c>
      <c r="E26" s="31">
        <v>0.2608695652173913</v>
      </c>
      <c r="F26" s="31">
        <v>0.17391304347826086</v>
      </c>
      <c r="G26" s="31">
        <v>0.26063829787234044</v>
      </c>
      <c r="H26" s="31">
        <v>0.10106382978723404</v>
      </c>
      <c r="I26" s="32">
        <v>7989.7959183673465</v>
      </c>
      <c r="J26" s="32">
        <v>-5489.4736842105267</v>
      </c>
      <c r="K26" s="31">
        <v>4.3478260869565216E-2</v>
      </c>
      <c r="L26" s="31">
        <v>0.23404255319148937</v>
      </c>
      <c r="M26" s="31">
        <v>0.20744680851063829</v>
      </c>
      <c r="N26" s="31">
        <v>0.56818181818181823</v>
      </c>
      <c r="O26" s="31">
        <v>0.41025641025641024</v>
      </c>
      <c r="P26" s="31">
        <v>0.24489795918367346</v>
      </c>
    </row>
    <row r="27" spans="1:16" x14ac:dyDescent="0.4">
      <c r="A27" s="33">
        <v>24</v>
      </c>
      <c r="B27" s="30">
        <v>25.099999999999977</v>
      </c>
      <c r="C27" s="30">
        <v>1.0458333333333323</v>
      </c>
      <c r="D27" s="35">
        <v>1.9166666666666667</v>
      </c>
      <c r="E27" s="31">
        <v>0.25</v>
      </c>
      <c r="F27" s="31">
        <v>0.16666666666666666</v>
      </c>
      <c r="G27" s="31">
        <v>0.26633165829145727</v>
      </c>
      <c r="H27" s="31">
        <v>0.10552763819095477</v>
      </c>
      <c r="I27" s="32">
        <v>7824.5283018867922</v>
      </c>
      <c r="J27" s="32">
        <v>-5661.9047619047615</v>
      </c>
      <c r="K27" s="31">
        <v>4.1666666666666664E-2</v>
      </c>
      <c r="L27" s="31">
        <v>0.23618090452261306</v>
      </c>
      <c r="M27" s="31">
        <v>0.21105527638190955</v>
      </c>
      <c r="N27" s="31">
        <v>0.57446808510638303</v>
      </c>
      <c r="O27" s="31">
        <v>0.40476190476190477</v>
      </c>
      <c r="P27" s="31">
        <v>0.30188679245283018</v>
      </c>
    </row>
    <row r="28" spans="1:16" x14ac:dyDescent="0.4">
      <c r="A28" s="33">
        <v>25</v>
      </c>
      <c r="B28" s="30">
        <v>-26.900000000000023</v>
      </c>
      <c r="C28" s="30">
        <v>-1.076000000000001</v>
      </c>
      <c r="D28" s="35">
        <v>1.96</v>
      </c>
      <c r="E28" s="31">
        <v>0.24</v>
      </c>
      <c r="F28" s="31">
        <v>0.2</v>
      </c>
      <c r="G28" s="31">
        <v>0.25728155339805825</v>
      </c>
      <c r="H28" s="31">
        <v>0.10679611650485436</v>
      </c>
      <c r="I28" s="32">
        <v>7824.5283018867922</v>
      </c>
      <c r="J28" s="32">
        <v>-6495.454545454545</v>
      </c>
      <c r="K28" s="31">
        <v>0.08</v>
      </c>
      <c r="L28" s="31">
        <v>0.22815533980582525</v>
      </c>
      <c r="M28" s="31">
        <v>0.21844660194174756</v>
      </c>
      <c r="N28" s="31">
        <v>0.57446808510638303</v>
      </c>
      <c r="O28" s="31">
        <v>0.37777777777777777</v>
      </c>
      <c r="P28" s="31">
        <v>0.30188679245283018</v>
      </c>
    </row>
    <row r="29" spans="1:16" x14ac:dyDescent="0.4">
      <c r="A29" s="33">
        <v>26</v>
      </c>
      <c r="B29" s="30">
        <v>-31.000000000000021</v>
      </c>
      <c r="C29" s="30">
        <v>-1.1923076923076932</v>
      </c>
      <c r="D29" s="35">
        <v>1.9615384615384615</v>
      </c>
      <c r="E29" s="31">
        <v>0.23076923076923078</v>
      </c>
      <c r="F29" s="31">
        <v>0.19230769230769232</v>
      </c>
      <c r="G29" s="31">
        <v>0.24888888888888888</v>
      </c>
      <c r="H29" s="31">
        <v>0.10666666666666667</v>
      </c>
      <c r="I29" s="32">
        <v>8112.5</v>
      </c>
      <c r="J29" s="32">
        <v>-6279.166666666667</v>
      </c>
      <c r="K29" s="31">
        <v>7.6923076923076927E-2</v>
      </c>
      <c r="L29" s="31">
        <v>0.23555555555555555</v>
      </c>
      <c r="M29" s="31">
        <v>0.21333333333333335</v>
      </c>
      <c r="N29" s="31">
        <v>0.52830188679245282</v>
      </c>
      <c r="O29" s="31">
        <v>0.375</v>
      </c>
      <c r="P29" s="31">
        <v>0.30357142857142855</v>
      </c>
    </row>
    <row r="30" spans="1:16" x14ac:dyDescent="0.4">
      <c r="A30" s="33">
        <v>27</v>
      </c>
      <c r="B30" s="30">
        <v>-38.500000000000021</v>
      </c>
      <c r="C30" s="30">
        <v>-1.4259259259259267</v>
      </c>
      <c r="D30" s="35">
        <v>1.962962962962963</v>
      </c>
      <c r="E30" s="31">
        <v>0.22222222222222221</v>
      </c>
      <c r="F30" s="31">
        <v>0.18518518518518517</v>
      </c>
      <c r="G30" s="31">
        <v>0.24786324786324787</v>
      </c>
      <c r="H30" s="31">
        <v>0.10683760683760683</v>
      </c>
      <c r="I30" s="32">
        <v>8075.8620689655172</v>
      </c>
      <c r="J30" s="32">
        <v>-6124</v>
      </c>
      <c r="K30" s="31">
        <v>7.407407407407407E-2</v>
      </c>
      <c r="L30" s="31">
        <v>0.23076923076923078</v>
      </c>
      <c r="M30" s="31">
        <v>0.20512820512820512</v>
      </c>
      <c r="N30" s="31">
        <v>0.51851851851851849</v>
      </c>
      <c r="O30" s="31">
        <v>0.375</v>
      </c>
      <c r="P30" s="31">
        <v>0.32758620689655171</v>
      </c>
    </row>
    <row r="31" spans="1:16" x14ac:dyDescent="0.4">
      <c r="A31" s="33">
        <v>28</v>
      </c>
      <c r="B31" s="30">
        <v>-67.300000000000026</v>
      </c>
      <c r="C31" s="30">
        <v>-2.4035714285714294</v>
      </c>
      <c r="D31" s="35">
        <v>2</v>
      </c>
      <c r="E31" s="31">
        <v>0.21428571428571427</v>
      </c>
      <c r="F31" s="31">
        <v>0.21428571428571427</v>
      </c>
      <c r="G31" s="31">
        <v>0.23770491803278687</v>
      </c>
      <c r="H31" s="31">
        <v>0.10245901639344263</v>
      </c>
      <c r="I31" s="32">
        <v>8075.8620689655172</v>
      </c>
      <c r="J31" s="32">
        <v>-6124</v>
      </c>
      <c r="K31" s="31">
        <v>7.1428571428571425E-2</v>
      </c>
      <c r="L31" s="31">
        <v>0.22950819672131148</v>
      </c>
      <c r="M31" s="31">
        <v>0.20491803278688525</v>
      </c>
      <c r="N31" s="31">
        <v>0.5</v>
      </c>
      <c r="O31" s="31">
        <v>0.36</v>
      </c>
      <c r="P31" s="31">
        <v>0.32758620689655171</v>
      </c>
    </row>
    <row r="32" spans="1:16" x14ac:dyDescent="0.4">
      <c r="A32" s="33">
        <v>29</v>
      </c>
      <c r="B32" s="30">
        <v>-35.300000000000026</v>
      </c>
      <c r="C32" s="30">
        <v>-1.2172413793103458</v>
      </c>
      <c r="D32" s="35">
        <v>1.9655172413793103</v>
      </c>
      <c r="E32" s="31">
        <v>0.2413793103448276</v>
      </c>
      <c r="F32" s="31">
        <v>0.20689655172413793</v>
      </c>
      <c r="G32" s="31">
        <v>0.24</v>
      </c>
      <c r="H32" s="31">
        <v>0.1</v>
      </c>
      <c r="I32" s="32">
        <v>8273.3333333333339</v>
      </c>
      <c r="J32" s="32">
        <v>-6124</v>
      </c>
      <c r="K32" s="31">
        <v>6.8965517241379309E-2</v>
      </c>
      <c r="L32" s="31">
        <v>0.22800000000000001</v>
      </c>
      <c r="M32" s="31">
        <v>0.20799999999999999</v>
      </c>
      <c r="N32" s="31">
        <v>0.50877192982456143</v>
      </c>
      <c r="O32" s="31">
        <v>0.34615384615384615</v>
      </c>
      <c r="P32" s="31">
        <v>0.33333333333333331</v>
      </c>
    </row>
    <row r="33" spans="1:16" x14ac:dyDescent="0.4">
      <c r="A33" s="33">
        <v>30</v>
      </c>
      <c r="B33" s="30">
        <v>-9.3000000000000256</v>
      </c>
      <c r="C33" s="30">
        <v>-0.31000000000000083</v>
      </c>
      <c r="D33" s="35">
        <v>1.9333333333333333</v>
      </c>
      <c r="E33" s="31">
        <v>0.26666666666666666</v>
      </c>
      <c r="F33" s="31">
        <v>0.2</v>
      </c>
      <c r="G33" s="31">
        <v>0.25190839694656486</v>
      </c>
      <c r="H33" s="31">
        <v>9.5419847328244281E-2</v>
      </c>
      <c r="I33" s="32">
        <v>8203.0303030303039</v>
      </c>
      <c r="J33" s="32">
        <v>-6124</v>
      </c>
      <c r="K33" s="31">
        <v>6.6666666666666666E-2</v>
      </c>
      <c r="L33" s="31">
        <v>0.24045801526717558</v>
      </c>
      <c r="M33" s="31">
        <v>0.20992366412213739</v>
      </c>
      <c r="N33" s="31">
        <v>0.50793650793650791</v>
      </c>
      <c r="O33" s="31">
        <v>0.36363636363636365</v>
      </c>
      <c r="P33" s="31">
        <v>0.31818181818181818</v>
      </c>
    </row>
    <row r="34" spans="1:16" x14ac:dyDescent="0.4">
      <c r="A34" s="33">
        <v>31</v>
      </c>
      <c r="B34" s="30">
        <v>22.999999999999972</v>
      </c>
      <c r="C34" s="30">
        <v>0.74193548387096686</v>
      </c>
      <c r="D34" s="35">
        <v>1.903225806451613</v>
      </c>
      <c r="E34" s="31">
        <v>0.29032258064516131</v>
      </c>
      <c r="F34" s="31">
        <v>0.19354838709677419</v>
      </c>
      <c r="G34" s="31">
        <v>0.26007326007326009</v>
      </c>
      <c r="H34" s="31">
        <v>9.1575091575091569E-2</v>
      </c>
      <c r="I34" s="32">
        <v>7960.5633802816901</v>
      </c>
      <c r="J34" s="32">
        <v>-6124</v>
      </c>
      <c r="K34" s="31">
        <v>6.4516129032258063E-2</v>
      </c>
      <c r="L34" s="31">
        <v>0.25274725274725274</v>
      </c>
      <c r="M34" s="31">
        <v>0.20512820512820512</v>
      </c>
      <c r="N34" s="31">
        <v>0.52173913043478259</v>
      </c>
      <c r="O34" s="31">
        <v>0.375</v>
      </c>
      <c r="P34" s="31">
        <v>0.30985915492957744</v>
      </c>
    </row>
    <row r="35" spans="1:16" x14ac:dyDescent="0.4">
      <c r="A35" s="33">
        <v>32</v>
      </c>
      <c r="B35" s="30">
        <v>-0.400000000000027</v>
      </c>
      <c r="C35" s="30">
        <v>-1.2500000000000844E-2</v>
      </c>
      <c r="D35" s="35">
        <v>1.9375</v>
      </c>
      <c r="E35" s="31">
        <v>0.28125</v>
      </c>
      <c r="F35" s="31">
        <v>0.21875</v>
      </c>
      <c r="G35" s="31">
        <v>0.25622775800711745</v>
      </c>
      <c r="H35" s="31">
        <v>9.2526690391459068E-2</v>
      </c>
      <c r="I35" s="32">
        <v>7886.1111111111113</v>
      </c>
      <c r="J35" s="32">
        <v>-6350</v>
      </c>
      <c r="K35" s="31">
        <v>6.25E-2</v>
      </c>
      <c r="L35" s="31">
        <v>0.25622775800711745</v>
      </c>
      <c r="M35" s="31">
        <v>0.199288256227758</v>
      </c>
      <c r="N35" s="31">
        <v>0.51388888888888884</v>
      </c>
      <c r="O35" s="31">
        <v>0.375</v>
      </c>
      <c r="P35" s="31">
        <v>0.30555555555555558</v>
      </c>
    </row>
    <row r="36" spans="1:16" x14ac:dyDescent="0.4">
      <c r="A36" s="33">
        <v>33</v>
      </c>
      <c r="B36" s="30">
        <v>-0.10000000000002701</v>
      </c>
      <c r="C36" s="30">
        <v>-3.0303030303038487E-3</v>
      </c>
      <c r="D36" s="35">
        <v>1.9393939393939394</v>
      </c>
      <c r="E36" s="31">
        <v>0.27272727272727271</v>
      </c>
      <c r="F36" s="31">
        <v>0.21212121212121213</v>
      </c>
      <c r="G36" s="31">
        <v>0.25605536332179929</v>
      </c>
      <c r="H36" s="31">
        <v>9.3425605536332182E-2</v>
      </c>
      <c r="I36" s="32">
        <v>7845.9459459459458</v>
      </c>
      <c r="J36" s="32">
        <v>-6151.8518518518522</v>
      </c>
      <c r="K36" s="31">
        <v>6.0606060606060608E-2</v>
      </c>
      <c r="L36" s="31">
        <v>0.25951557093425603</v>
      </c>
      <c r="M36" s="31">
        <v>0.1972318339100346</v>
      </c>
      <c r="N36" s="31">
        <v>0.52</v>
      </c>
      <c r="O36" s="31">
        <v>0.36842105263157893</v>
      </c>
      <c r="P36" s="31">
        <v>0.3108108108108108</v>
      </c>
    </row>
    <row r="37" spans="1:16" x14ac:dyDescent="0.4">
      <c r="A37" s="33">
        <v>34</v>
      </c>
      <c r="B37" s="30">
        <v>59.89999999999997</v>
      </c>
      <c r="C37" s="30">
        <v>1.761764705882352</v>
      </c>
      <c r="D37" s="35">
        <v>1.911764705882353</v>
      </c>
      <c r="E37" s="31">
        <v>0.29411764705882354</v>
      </c>
      <c r="F37" s="31">
        <v>0.20588235294117646</v>
      </c>
      <c r="G37" s="31">
        <v>0.26351351351351349</v>
      </c>
      <c r="H37" s="31">
        <v>9.1216216216216214E-2</v>
      </c>
      <c r="I37" s="32">
        <v>7982.0512820512822</v>
      </c>
      <c r="J37" s="32">
        <v>-6151.8518518518522</v>
      </c>
      <c r="K37" s="31">
        <v>5.8823529411764705E-2</v>
      </c>
      <c r="L37" s="31">
        <v>0.26351351351351349</v>
      </c>
      <c r="M37" s="31">
        <v>0.19594594594594594</v>
      </c>
      <c r="N37" s="31">
        <v>0.51282051282051277</v>
      </c>
      <c r="O37" s="31">
        <v>0.37931034482758619</v>
      </c>
      <c r="P37" s="31">
        <v>0.32051282051282054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7D8DB-5296-42B7-93C7-B85872D2B514}">
  <sheetPr codeName="Sheet12"/>
  <dimension ref="A1:Q4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  <row r="34" spans="1:16" x14ac:dyDescent="0.4">
      <c r="A34" s="33">
        <v>31</v>
      </c>
      <c r="B34" s="30">
        <v>13.599999999999989</v>
      </c>
      <c r="C34" s="30">
        <v>0.43870967741935446</v>
      </c>
      <c r="D34" s="35">
        <v>1.967741935483871</v>
      </c>
      <c r="E34" s="31">
        <v>0.35483870967741937</v>
      </c>
      <c r="F34" s="31">
        <v>0.32258064516129031</v>
      </c>
      <c r="G34" s="31">
        <v>0.30072463768115942</v>
      </c>
      <c r="H34" s="31">
        <v>0.17753623188405798</v>
      </c>
      <c r="I34" s="32">
        <v>7419.2771084337346</v>
      </c>
      <c r="J34" s="32">
        <v>-7620.408163265306</v>
      </c>
      <c r="K34" s="31">
        <v>3.2258064516129031E-2</v>
      </c>
      <c r="L34" s="31">
        <v>0.27898550724637683</v>
      </c>
      <c r="M34" s="31">
        <v>0.29347826086956524</v>
      </c>
      <c r="N34" s="31">
        <v>0.48051948051948051</v>
      </c>
      <c r="O34" s="31">
        <v>0.39506172839506171</v>
      </c>
      <c r="P34" s="31">
        <v>0.48192771084337349</v>
      </c>
    </row>
    <row r="35" spans="1:16" x14ac:dyDescent="0.4">
      <c r="A35" s="33">
        <v>32</v>
      </c>
      <c r="B35" s="30">
        <v>-9.3000000000000096</v>
      </c>
      <c r="C35" s="30">
        <v>-0.2906250000000003</v>
      </c>
      <c r="D35" s="35">
        <v>2</v>
      </c>
      <c r="E35" s="31">
        <v>0.34375</v>
      </c>
      <c r="F35" s="31">
        <v>0.34375</v>
      </c>
      <c r="G35" s="31">
        <v>0.29577464788732394</v>
      </c>
      <c r="H35" s="31">
        <v>0.176056338028169</v>
      </c>
      <c r="I35" s="32">
        <v>7473.8095238095239</v>
      </c>
      <c r="J35" s="32">
        <v>-7708</v>
      </c>
      <c r="K35" s="31">
        <v>3.125E-2</v>
      </c>
      <c r="L35" s="31">
        <v>0.27464788732394368</v>
      </c>
      <c r="M35" s="31">
        <v>0.29577464788732394</v>
      </c>
      <c r="N35" s="31">
        <v>0.47435897435897434</v>
      </c>
      <c r="O35" s="31">
        <v>0.38095238095238093</v>
      </c>
      <c r="P35" s="31">
        <v>0.48809523809523808</v>
      </c>
    </row>
    <row r="36" spans="1:16" x14ac:dyDescent="0.4">
      <c r="A36" s="33">
        <v>33</v>
      </c>
      <c r="B36" s="30">
        <v>8.3999999999999897</v>
      </c>
      <c r="C36" s="30">
        <v>0.25454545454545424</v>
      </c>
      <c r="D36" s="35">
        <v>1.9696969696969697</v>
      </c>
      <c r="E36" s="31">
        <v>0.36363636363636365</v>
      </c>
      <c r="F36" s="31">
        <v>0.33333333333333331</v>
      </c>
      <c r="G36" s="31">
        <v>0.29209621993127149</v>
      </c>
      <c r="H36" s="31">
        <v>0.17525773195876287</v>
      </c>
      <c r="I36" s="32">
        <v>7522.3529411764703</v>
      </c>
      <c r="J36" s="32">
        <v>-7582.3529411764703</v>
      </c>
      <c r="K36" s="31">
        <v>3.0303030303030304E-2</v>
      </c>
      <c r="L36" s="31">
        <v>0.27491408934707906</v>
      </c>
      <c r="M36" s="31">
        <v>0.29553264604810997</v>
      </c>
      <c r="N36" s="31">
        <v>0.46250000000000002</v>
      </c>
      <c r="O36" s="31">
        <v>0.38372093023255816</v>
      </c>
      <c r="P36" s="31">
        <v>0.49411764705882355</v>
      </c>
    </row>
    <row r="37" spans="1:16" x14ac:dyDescent="0.4">
      <c r="A37" s="33">
        <v>34</v>
      </c>
      <c r="B37" s="30">
        <v>-28.600000000000009</v>
      </c>
      <c r="C37" s="30">
        <v>-0.84117647058823553</v>
      </c>
      <c r="D37" s="35">
        <v>2</v>
      </c>
      <c r="E37" s="31">
        <v>0.35294117647058826</v>
      </c>
      <c r="F37" s="31">
        <v>0.35294117647058826</v>
      </c>
      <c r="G37" s="31">
        <v>0.29194630872483224</v>
      </c>
      <c r="H37" s="31">
        <v>0.18120805369127516</v>
      </c>
      <c r="I37" s="32">
        <v>7455.1724137931033</v>
      </c>
      <c r="J37" s="32">
        <v>-7775.9259259259261</v>
      </c>
      <c r="K37" s="31">
        <v>2.9411764705882353E-2</v>
      </c>
      <c r="L37" s="31">
        <v>0.27181208053691275</v>
      </c>
      <c r="M37" s="31">
        <v>0.29194630872483224</v>
      </c>
      <c r="N37" s="31">
        <v>0.46913580246913578</v>
      </c>
      <c r="O37" s="31">
        <v>0.39080459770114945</v>
      </c>
      <c r="P37" s="31">
        <v>0.4942528735632184</v>
      </c>
    </row>
    <row r="38" spans="1:16" x14ac:dyDescent="0.4">
      <c r="A38" s="33">
        <v>35</v>
      </c>
      <c r="B38" s="30">
        <v>-19.900000000000009</v>
      </c>
      <c r="C38" s="30">
        <v>-0.56857142857142884</v>
      </c>
      <c r="D38" s="35">
        <v>2</v>
      </c>
      <c r="E38" s="31">
        <v>0.34285714285714286</v>
      </c>
      <c r="F38" s="31">
        <v>0.34285714285714286</v>
      </c>
      <c r="G38" s="31">
        <v>0.29738562091503268</v>
      </c>
      <c r="H38" s="31">
        <v>0.17647058823529413</v>
      </c>
      <c r="I38" s="32">
        <v>7334.065934065934</v>
      </c>
      <c r="J38" s="32">
        <v>-7775.9259259259261</v>
      </c>
      <c r="K38" s="31">
        <v>2.8571428571428571E-2</v>
      </c>
      <c r="L38" s="31">
        <v>0.27450980392156865</v>
      </c>
      <c r="M38" s="31">
        <v>0.29738562091503268</v>
      </c>
      <c r="N38" s="31">
        <v>0.47619047619047616</v>
      </c>
      <c r="O38" s="31">
        <v>0.39560439560439559</v>
      </c>
      <c r="P38" s="31">
        <v>0.48351648351648352</v>
      </c>
    </row>
    <row r="39" spans="1:16" x14ac:dyDescent="0.4">
      <c r="A39" s="33">
        <v>36</v>
      </c>
      <c r="B39" s="30">
        <v>-72.7</v>
      </c>
      <c r="C39" s="30">
        <v>-2.0194444444444444</v>
      </c>
      <c r="D39" s="35">
        <v>2.0277777777777777</v>
      </c>
      <c r="E39" s="31">
        <v>0.33333333333333331</v>
      </c>
      <c r="F39" s="31">
        <v>0.3611111111111111</v>
      </c>
      <c r="G39" s="31">
        <v>0.28888888888888886</v>
      </c>
      <c r="H39" s="31">
        <v>0.18412698412698414</v>
      </c>
      <c r="I39" s="32">
        <v>7334.065934065934</v>
      </c>
      <c r="J39" s="32">
        <v>-7800</v>
      </c>
      <c r="K39" s="31">
        <v>5.5555555555555552E-2</v>
      </c>
      <c r="L39" s="31">
        <v>0.26984126984126983</v>
      </c>
      <c r="M39" s="31">
        <v>0.29841269841269841</v>
      </c>
      <c r="N39" s="31">
        <v>0.47058823529411764</v>
      </c>
      <c r="O39" s="31">
        <v>0.38297872340425532</v>
      </c>
      <c r="P39" s="31">
        <v>0.48351648351648352</v>
      </c>
    </row>
    <row r="40" spans="1:16" x14ac:dyDescent="0.4">
      <c r="A40" s="33">
        <v>37</v>
      </c>
      <c r="B40" s="30">
        <v>-7.7999999999999972</v>
      </c>
      <c r="C40" s="30">
        <v>-0.21081081081081074</v>
      </c>
      <c r="D40" s="35">
        <v>2</v>
      </c>
      <c r="E40" s="31">
        <v>0.35135135135135137</v>
      </c>
      <c r="F40" s="31">
        <v>0.35135135135135137</v>
      </c>
      <c r="G40" s="31">
        <v>0.29467084639498431</v>
      </c>
      <c r="H40" s="31">
        <v>0.18181818181818182</v>
      </c>
      <c r="I40" s="32">
        <v>7705.3191489361698</v>
      </c>
      <c r="J40" s="32">
        <v>-7800</v>
      </c>
      <c r="K40" s="31">
        <v>5.4054054054054057E-2</v>
      </c>
      <c r="L40" s="31">
        <v>0.2664576802507837</v>
      </c>
      <c r="M40" s="31">
        <v>0.30094043887147337</v>
      </c>
      <c r="N40" s="31">
        <v>0.47058823529411764</v>
      </c>
      <c r="O40" s="31">
        <v>0.39583333333333331</v>
      </c>
      <c r="P40" s="31">
        <v>0.47872340425531917</v>
      </c>
    </row>
    <row r="41" spans="1:16" x14ac:dyDescent="0.4">
      <c r="A41" s="33">
        <v>38</v>
      </c>
      <c r="B41" s="30">
        <v>21.200000000000003</v>
      </c>
      <c r="C41" s="30">
        <v>0.55789473684210533</v>
      </c>
      <c r="D41" s="35">
        <v>1.9736842105263157</v>
      </c>
      <c r="E41" s="31">
        <v>0.36842105263157893</v>
      </c>
      <c r="F41" s="31">
        <v>0.34210526315789475</v>
      </c>
      <c r="G41" s="31">
        <v>0.29969418960244648</v>
      </c>
      <c r="H41" s="31">
        <v>0.18042813455657492</v>
      </c>
      <c r="I41" s="32">
        <v>7673.4693877551017</v>
      </c>
      <c r="J41" s="32">
        <v>-7798.3050847457625</v>
      </c>
      <c r="K41" s="31">
        <v>5.2631578947368418E-2</v>
      </c>
      <c r="L41" s="31">
        <v>0.26605504587155965</v>
      </c>
      <c r="M41" s="31">
        <v>0.29969418960244648</v>
      </c>
      <c r="N41" s="31">
        <v>0.47126436781609193</v>
      </c>
      <c r="O41" s="31">
        <v>0.40816326530612246</v>
      </c>
      <c r="P41" s="31">
        <v>0.48979591836734693</v>
      </c>
    </row>
    <row r="42" spans="1:16" x14ac:dyDescent="0.4">
      <c r="A42" s="33">
        <v>39</v>
      </c>
      <c r="B42" s="30">
        <v>53.800000000000004</v>
      </c>
      <c r="C42" s="30">
        <v>1.3794871794871797</v>
      </c>
      <c r="D42" s="35">
        <v>1.9487179487179487</v>
      </c>
      <c r="E42" s="31">
        <v>0.38461538461538464</v>
      </c>
      <c r="F42" s="31">
        <v>0.33333333333333331</v>
      </c>
      <c r="G42" s="31">
        <v>0.30294117647058821</v>
      </c>
      <c r="H42" s="31">
        <v>0.17352941176470588</v>
      </c>
      <c r="I42" s="32">
        <v>7652.4271844660198</v>
      </c>
      <c r="J42" s="32">
        <v>-7798.3050847457625</v>
      </c>
      <c r="K42" s="31">
        <v>5.128205128205128E-2</v>
      </c>
      <c r="L42" s="31">
        <v>0.26470588235294118</v>
      </c>
      <c r="M42" s="31">
        <v>0.30294117647058821</v>
      </c>
      <c r="N42" s="31">
        <v>0.46666666666666667</v>
      </c>
      <c r="O42" s="31">
        <v>0.40776699029126212</v>
      </c>
      <c r="P42" s="31">
        <v>0.46601941747572817</v>
      </c>
    </row>
    <row r="43" spans="1:16" x14ac:dyDescent="0.4">
      <c r="A43" s="33">
        <v>40</v>
      </c>
      <c r="B43" s="30">
        <v>25.700000000000003</v>
      </c>
      <c r="C43" s="30">
        <v>0.64250000000000007</v>
      </c>
      <c r="D43" s="35">
        <v>1.9750000000000001</v>
      </c>
      <c r="E43" s="31">
        <v>0.375</v>
      </c>
      <c r="F43" s="31">
        <v>0.35</v>
      </c>
      <c r="G43" s="31">
        <v>0.30571428571428572</v>
      </c>
      <c r="H43" s="31">
        <v>0.17428571428571429</v>
      </c>
      <c r="I43" s="32">
        <v>7552.336448598131</v>
      </c>
      <c r="J43" s="32">
        <v>-8100</v>
      </c>
      <c r="K43" s="31">
        <v>0.05</v>
      </c>
      <c r="L43" s="31">
        <v>0.26</v>
      </c>
      <c r="M43" s="31">
        <v>0.30857142857142855</v>
      </c>
      <c r="N43" s="31">
        <v>0.46153846153846156</v>
      </c>
      <c r="O43" s="31">
        <v>0.41666666666666669</v>
      </c>
      <c r="P43" s="31">
        <v>0.46728971962616822</v>
      </c>
    </row>
    <row r="44" spans="1:16" x14ac:dyDescent="0.4">
      <c r="A44" s="33">
        <v>41</v>
      </c>
      <c r="B44" s="30">
        <v>-14.299999999999997</v>
      </c>
      <c r="C44" s="30">
        <v>-0.34878048780487797</v>
      </c>
      <c r="D44" s="35">
        <v>2</v>
      </c>
      <c r="E44" s="31">
        <v>0.36585365853658536</v>
      </c>
      <c r="F44" s="31">
        <v>0.36585365853658536</v>
      </c>
      <c r="G44" s="31">
        <v>0.29945054945054944</v>
      </c>
      <c r="H44" s="31">
        <v>0.17307692307692307</v>
      </c>
      <c r="I44" s="32">
        <v>7549.54128440367</v>
      </c>
      <c r="J44" s="32">
        <v>-8092.063492063492</v>
      </c>
      <c r="K44" s="31">
        <v>4.878048780487805E-2</v>
      </c>
      <c r="L44" s="31">
        <v>0.26098901098901101</v>
      </c>
      <c r="M44" s="31">
        <v>0.30769230769230771</v>
      </c>
      <c r="N44" s="31">
        <v>0.45263157894736844</v>
      </c>
      <c r="O44" s="31">
        <v>0.4107142857142857</v>
      </c>
      <c r="P44" s="31">
        <v>0.46788990825688076</v>
      </c>
    </row>
    <row r="45" spans="1:16" x14ac:dyDescent="0.4">
      <c r="A45" s="33">
        <v>42</v>
      </c>
      <c r="B45" s="30">
        <v>-64.599999999999994</v>
      </c>
      <c r="C45" s="30">
        <v>-1.538095238095238</v>
      </c>
      <c r="D45" s="35">
        <v>2.0238095238095237</v>
      </c>
      <c r="E45" s="31">
        <v>0.35714285714285715</v>
      </c>
      <c r="F45" s="31">
        <v>0.38095238095238093</v>
      </c>
      <c r="G45" s="31">
        <v>0.29301075268817206</v>
      </c>
      <c r="H45" s="31">
        <v>0.17204301075268819</v>
      </c>
      <c r="I45" s="32">
        <v>7549.54128440367</v>
      </c>
      <c r="J45" s="32">
        <v>-8153.125</v>
      </c>
      <c r="K45" s="31">
        <v>7.1428571428571425E-2</v>
      </c>
      <c r="L45" s="31">
        <v>0.260752688172043</v>
      </c>
      <c r="M45" s="31">
        <v>0.30376344086021506</v>
      </c>
      <c r="N45" s="31">
        <v>0.44329896907216493</v>
      </c>
      <c r="O45" s="31">
        <v>0.40707964601769914</v>
      </c>
      <c r="P45" s="31">
        <v>0.46788990825688076</v>
      </c>
    </row>
    <row r="46" spans="1:16" x14ac:dyDescent="0.4">
      <c r="A46" s="33">
        <v>43</v>
      </c>
      <c r="B46" s="30">
        <v>-110.1</v>
      </c>
      <c r="C46" s="30">
        <v>-2.5604651162790697</v>
      </c>
      <c r="D46" s="35">
        <v>2.0465116279069768</v>
      </c>
      <c r="E46" s="31">
        <v>0.34883720930232559</v>
      </c>
      <c r="F46" s="31">
        <v>0.39534883720930231</v>
      </c>
      <c r="G46" s="31">
        <v>0.28720626631853785</v>
      </c>
      <c r="H46" s="31">
        <v>0.16971279373368145</v>
      </c>
      <c r="I46" s="32">
        <v>7535.454545454545</v>
      </c>
      <c r="J46" s="32">
        <v>-8520</v>
      </c>
      <c r="K46" s="31">
        <v>9.3023255813953487E-2</v>
      </c>
      <c r="L46" s="31">
        <v>0.26109660574412535</v>
      </c>
      <c r="M46" s="31">
        <v>0.30026109660574413</v>
      </c>
      <c r="N46" s="31">
        <v>0.43</v>
      </c>
      <c r="O46" s="31">
        <v>0.40869565217391307</v>
      </c>
      <c r="P46" s="31">
        <v>0.47272727272727272</v>
      </c>
    </row>
    <row r="47" spans="1:16" x14ac:dyDescent="0.4">
      <c r="A47" s="33">
        <v>44</v>
      </c>
      <c r="B47" s="30">
        <v>-134</v>
      </c>
      <c r="C47" s="30">
        <v>-3.0454545454545454</v>
      </c>
      <c r="D47" s="35">
        <v>2.0681818181818183</v>
      </c>
      <c r="E47" s="31">
        <v>0.34090909090909088</v>
      </c>
      <c r="F47" s="31">
        <v>0.40909090909090912</v>
      </c>
      <c r="G47" s="31">
        <v>0.28826530612244899</v>
      </c>
      <c r="H47" s="31">
        <v>0.1683673469387755</v>
      </c>
      <c r="I47" s="32">
        <v>7492.0353982300885</v>
      </c>
      <c r="J47" s="32">
        <v>-8572.7272727272721</v>
      </c>
      <c r="K47" s="31">
        <v>9.0909090909090912E-2</v>
      </c>
      <c r="L47" s="31">
        <v>0.25765306122448978</v>
      </c>
      <c r="M47" s="31">
        <v>0.29846938775510207</v>
      </c>
      <c r="N47" s="31">
        <v>0.43564356435643564</v>
      </c>
      <c r="O47" s="31">
        <v>0.40170940170940173</v>
      </c>
      <c r="P47" s="31">
        <v>0.46017699115044247</v>
      </c>
    </row>
    <row r="48" spans="1:16" x14ac:dyDescent="0.4">
      <c r="A48" s="33">
        <v>45</v>
      </c>
      <c r="B48" s="30">
        <v>-146.69999999999999</v>
      </c>
      <c r="C48" s="30">
        <v>-3.26</v>
      </c>
      <c r="D48" s="35">
        <v>2.088888888888889</v>
      </c>
      <c r="E48" s="31">
        <v>0.33333333333333331</v>
      </c>
      <c r="F48" s="31">
        <v>0.42222222222222222</v>
      </c>
      <c r="G48" s="31">
        <v>0.28999999999999998</v>
      </c>
      <c r="H48" s="31">
        <v>0.16500000000000001</v>
      </c>
      <c r="I48" s="32">
        <v>7512.0689655172409</v>
      </c>
      <c r="J48" s="32">
        <v>-8572.7272727272721</v>
      </c>
      <c r="K48" s="31">
        <v>8.8888888888888892E-2</v>
      </c>
      <c r="L48" s="31">
        <v>0.26250000000000001</v>
      </c>
      <c r="M48" s="31">
        <v>0.29749999999999999</v>
      </c>
      <c r="N48" s="31">
        <v>0.43809523809523809</v>
      </c>
      <c r="O48" s="31">
        <v>0.40336134453781514</v>
      </c>
      <c r="P48" s="31">
        <v>0.46551724137931033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4EECF-A8DB-42F5-8C63-C2EBBEB3D8FF}">
  <sheetPr codeName="Sheet10"/>
  <dimension ref="A1:Q7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  <row r="36" spans="1:16" x14ac:dyDescent="0.4">
      <c r="A36" s="33">
        <v>33</v>
      </c>
      <c r="B36" s="30">
        <v>-37.200000000000024</v>
      </c>
      <c r="C36" s="30">
        <v>-1.1272727272727281</v>
      </c>
      <c r="D36" s="35">
        <v>2.0303030303030303</v>
      </c>
      <c r="E36" s="31">
        <v>0.30303030303030304</v>
      </c>
      <c r="F36" s="31">
        <v>0.33333333333333331</v>
      </c>
      <c r="G36" s="31">
        <v>0.2762237762237762</v>
      </c>
      <c r="H36" s="31">
        <v>0.17482517482517482</v>
      </c>
      <c r="I36" s="32">
        <v>8646.835443037975</v>
      </c>
      <c r="J36" s="32">
        <v>-7912</v>
      </c>
      <c r="K36" s="31">
        <v>0.12121212121212122</v>
      </c>
      <c r="L36" s="31">
        <v>0.24125874125874125</v>
      </c>
      <c r="M36" s="31">
        <v>0.23426573426573427</v>
      </c>
      <c r="N36" s="31">
        <v>0.47826086956521741</v>
      </c>
      <c r="O36" s="31">
        <v>0.35820895522388058</v>
      </c>
      <c r="P36" s="31">
        <v>0.46835443037974683</v>
      </c>
    </row>
    <row r="37" spans="1:16" x14ac:dyDescent="0.4">
      <c r="A37" s="33">
        <v>34</v>
      </c>
      <c r="B37" s="30">
        <v>-77.900000000000034</v>
      </c>
      <c r="C37" s="30">
        <v>-2.2911764705882365</v>
      </c>
      <c r="D37" s="35">
        <v>2.0588235294117645</v>
      </c>
      <c r="E37" s="31">
        <v>0.29411764705882354</v>
      </c>
      <c r="F37" s="31">
        <v>0.35294117647058826</v>
      </c>
      <c r="G37" s="31">
        <v>0.27303754266211605</v>
      </c>
      <c r="H37" s="31">
        <v>0.18088737201365188</v>
      </c>
      <c r="I37" s="32">
        <v>8558.75</v>
      </c>
      <c r="J37" s="32">
        <v>-7915.0943396226412</v>
      </c>
      <c r="K37" s="31">
        <v>0.11764705882352941</v>
      </c>
      <c r="L37" s="31">
        <v>0.23890784982935154</v>
      </c>
      <c r="M37" s="31">
        <v>0.23549488054607509</v>
      </c>
      <c r="N37" s="31">
        <v>0.47142857142857142</v>
      </c>
      <c r="O37" s="31">
        <v>0.36231884057971014</v>
      </c>
      <c r="P37" s="31">
        <v>0.47499999999999998</v>
      </c>
    </row>
    <row r="38" spans="1:16" x14ac:dyDescent="0.4">
      <c r="A38" s="33">
        <v>35</v>
      </c>
      <c r="B38" s="30">
        <v>-73.200000000000031</v>
      </c>
      <c r="C38" s="30">
        <v>-2.0914285714285725</v>
      </c>
      <c r="D38" s="35">
        <v>2.0571428571428569</v>
      </c>
      <c r="E38" s="31">
        <v>0.2857142857142857</v>
      </c>
      <c r="F38" s="31">
        <v>0.34285714285714286</v>
      </c>
      <c r="G38" s="31">
        <v>0.27540983606557379</v>
      </c>
      <c r="H38" s="31">
        <v>0.18688524590163935</v>
      </c>
      <c r="I38" s="32">
        <v>8515.4761904761908</v>
      </c>
      <c r="J38" s="32">
        <v>-7896.4912280701756</v>
      </c>
      <c r="K38" s="31">
        <v>0.11428571428571428</v>
      </c>
      <c r="L38" s="31">
        <v>0.24262295081967214</v>
      </c>
      <c r="M38" s="31">
        <v>0.23606557377049181</v>
      </c>
      <c r="N38" s="31">
        <v>0.47297297297297297</v>
      </c>
      <c r="O38" s="31">
        <v>0.3611111111111111</v>
      </c>
      <c r="P38" s="31">
        <v>0.4642857142857143</v>
      </c>
    </row>
    <row r="39" spans="1:16" x14ac:dyDescent="0.4">
      <c r="A39" s="33">
        <v>36</v>
      </c>
      <c r="B39" s="30">
        <v>-91.000000000000028</v>
      </c>
      <c r="C39" s="30">
        <v>-2.5277777777777786</v>
      </c>
      <c r="D39" s="35">
        <v>2.0833333333333335</v>
      </c>
      <c r="E39" s="31">
        <v>0.27777777777777779</v>
      </c>
      <c r="F39" s="31">
        <v>0.3611111111111111</v>
      </c>
      <c r="G39" s="31">
        <v>0.27156549520766771</v>
      </c>
      <c r="H39" s="31">
        <v>0.18849840255591055</v>
      </c>
      <c r="I39" s="32">
        <v>8603.5294117647063</v>
      </c>
      <c r="J39" s="32">
        <v>-7930.5084745762715</v>
      </c>
      <c r="K39" s="31">
        <v>0.1111111111111111</v>
      </c>
      <c r="L39" s="31">
        <v>0.24920127795527156</v>
      </c>
      <c r="M39" s="31">
        <v>0.23961661341853036</v>
      </c>
      <c r="N39" s="31">
        <v>0.46153846153846156</v>
      </c>
      <c r="O39" s="31">
        <v>0.34666666666666668</v>
      </c>
      <c r="P39" s="31">
        <v>0.45882352941176469</v>
      </c>
    </row>
    <row r="40" spans="1:16" x14ac:dyDescent="0.4">
      <c r="A40" s="33">
        <v>37</v>
      </c>
      <c r="B40" s="30">
        <v>-85.900000000000034</v>
      </c>
      <c r="C40" s="30">
        <v>-2.3216216216216226</v>
      </c>
      <c r="D40" s="35">
        <v>2.0810810810810811</v>
      </c>
      <c r="E40" s="31">
        <v>0.27027027027027029</v>
      </c>
      <c r="F40" s="31">
        <v>0.35135135135135137</v>
      </c>
      <c r="G40" s="31">
        <v>0.27414330218068533</v>
      </c>
      <c r="H40" s="31">
        <v>0.18691588785046728</v>
      </c>
      <c r="I40" s="32">
        <v>8673.863636363636</v>
      </c>
      <c r="J40" s="32">
        <v>-7926.666666666667</v>
      </c>
      <c r="K40" s="31">
        <v>0.10810810810810811</v>
      </c>
      <c r="L40" s="31">
        <v>0.25233644859813081</v>
      </c>
      <c r="M40" s="31">
        <v>0.2367601246105919</v>
      </c>
      <c r="N40" s="31">
        <v>0.4567901234567901</v>
      </c>
      <c r="O40" s="31">
        <v>0.35526315789473684</v>
      </c>
      <c r="P40" s="31">
        <v>0.45454545454545453</v>
      </c>
    </row>
    <row r="41" spans="1:16" x14ac:dyDescent="0.4">
      <c r="A41" s="33">
        <v>38</v>
      </c>
      <c r="B41" s="30">
        <v>-74.900000000000034</v>
      </c>
      <c r="C41" s="30">
        <v>-1.9710526315789483</v>
      </c>
      <c r="D41" s="35">
        <v>2.0526315789473686</v>
      </c>
      <c r="E41" s="31">
        <v>0.28947368421052633</v>
      </c>
      <c r="F41" s="31">
        <v>0.34210526315789475</v>
      </c>
      <c r="G41" s="31">
        <v>0.27272727272727271</v>
      </c>
      <c r="H41" s="31">
        <v>0.18181818181818182</v>
      </c>
      <c r="I41" s="32">
        <v>8678.8888888888887</v>
      </c>
      <c r="J41" s="32">
        <v>-7926.666666666667</v>
      </c>
      <c r="K41" s="31">
        <v>0.10526315789473684</v>
      </c>
      <c r="L41" s="31">
        <v>0.24848484848484848</v>
      </c>
      <c r="M41" s="31">
        <v>0.24242424242424243</v>
      </c>
      <c r="N41" s="31">
        <v>0.46341463414634149</v>
      </c>
      <c r="O41" s="31">
        <v>0.35</v>
      </c>
      <c r="P41" s="31">
        <v>0.45555555555555555</v>
      </c>
    </row>
    <row r="42" spans="1:16" x14ac:dyDescent="0.4">
      <c r="A42" s="33">
        <v>39</v>
      </c>
      <c r="B42" s="30">
        <v>-120.20000000000003</v>
      </c>
      <c r="C42" s="30">
        <v>-3.0820512820512826</v>
      </c>
      <c r="D42" s="35">
        <v>2.0769230769230771</v>
      </c>
      <c r="E42" s="31">
        <v>0.28205128205128205</v>
      </c>
      <c r="F42" s="31">
        <v>0.35897435897435898</v>
      </c>
      <c r="G42" s="31">
        <v>0.27164179104477609</v>
      </c>
      <c r="H42" s="31">
        <v>0.18507462686567164</v>
      </c>
      <c r="I42" s="32">
        <v>8671.4285714285706</v>
      </c>
      <c r="J42" s="32">
        <v>-8238.7096774193542</v>
      </c>
      <c r="K42" s="31">
        <v>0.12820512820512819</v>
      </c>
      <c r="L42" s="31">
        <v>0.24776119402985075</v>
      </c>
      <c r="M42" s="31">
        <v>0.2417910447761194</v>
      </c>
      <c r="N42" s="31">
        <v>0.46987951807228917</v>
      </c>
      <c r="O42" s="31">
        <v>0.34567901234567899</v>
      </c>
      <c r="P42" s="31">
        <v>0.46153846153846156</v>
      </c>
    </row>
    <row r="43" spans="1:16" x14ac:dyDescent="0.4">
      <c r="A43" s="33">
        <v>40</v>
      </c>
      <c r="B43" s="30">
        <v>-119.50000000000003</v>
      </c>
      <c r="C43" s="30">
        <v>-2.9875000000000007</v>
      </c>
      <c r="D43" s="35">
        <v>2.0750000000000002</v>
      </c>
      <c r="E43" s="31">
        <v>0.27500000000000002</v>
      </c>
      <c r="F43" s="31">
        <v>0.35</v>
      </c>
      <c r="G43" s="31">
        <v>0.27192982456140352</v>
      </c>
      <c r="H43" s="31">
        <v>0.1871345029239766</v>
      </c>
      <c r="I43" s="32">
        <v>8669.8924731182797</v>
      </c>
      <c r="J43" s="32">
        <v>-8137.5</v>
      </c>
      <c r="K43" s="31">
        <v>0.125</v>
      </c>
      <c r="L43" s="31">
        <v>0.25146198830409355</v>
      </c>
      <c r="M43" s="31">
        <v>0.23976608187134502</v>
      </c>
      <c r="N43" s="31">
        <v>0.46511627906976744</v>
      </c>
      <c r="O43" s="31">
        <v>0.34146341463414637</v>
      </c>
      <c r="P43" s="31">
        <v>0.45161290322580644</v>
      </c>
    </row>
    <row r="44" spans="1:16" x14ac:dyDescent="0.4">
      <c r="A44" s="33">
        <v>41</v>
      </c>
      <c r="B44" s="30">
        <v>-150.20000000000002</v>
      </c>
      <c r="C44" s="30">
        <v>-3.6634146341463421</v>
      </c>
      <c r="D44" s="35">
        <v>2.0975609756097562</v>
      </c>
      <c r="E44" s="31">
        <v>0.26829268292682928</v>
      </c>
      <c r="F44" s="31">
        <v>0.36585365853658536</v>
      </c>
      <c r="G44" s="31">
        <v>0.26857142857142857</v>
      </c>
      <c r="H44" s="31">
        <v>0.18857142857142858</v>
      </c>
      <c r="I44" s="32">
        <v>8634.0425531914898</v>
      </c>
      <c r="J44" s="32">
        <v>-8066.666666666667</v>
      </c>
      <c r="K44" s="31">
        <v>0.12195121951219512</v>
      </c>
      <c r="L44" s="31">
        <v>0.25428571428571428</v>
      </c>
      <c r="M44" s="31">
        <v>0.24</v>
      </c>
      <c r="N44" s="31">
        <v>0.4606741573033708</v>
      </c>
      <c r="O44" s="31">
        <v>0.33333333333333331</v>
      </c>
      <c r="P44" s="31">
        <v>0.45744680851063829</v>
      </c>
    </row>
    <row r="45" spans="1:16" x14ac:dyDescent="0.4">
      <c r="A45" s="33">
        <v>42</v>
      </c>
      <c r="B45" s="30">
        <v>-207.8</v>
      </c>
      <c r="C45" s="30">
        <v>-4.9476190476190478</v>
      </c>
      <c r="D45" s="35">
        <v>2.1190476190476191</v>
      </c>
      <c r="E45" s="31">
        <v>0.26190476190476192</v>
      </c>
      <c r="F45" s="31">
        <v>0.38095238095238093</v>
      </c>
      <c r="G45" s="31">
        <v>0.26287262872628725</v>
      </c>
      <c r="H45" s="31">
        <v>0.18970189701897019</v>
      </c>
      <c r="I45" s="32">
        <v>8709.2783505154639</v>
      </c>
      <c r="J45" s="32">
        <v>-8314.2857142857138</v>
      </c>
      <c r="K45" s="31">
        <v>0.14285714285714285</v>
      </c>
      <c r="L45" s="31">
        <v>0.26016260162601629</v>
      </c>
      <c r="M45" s="31">
        <v>0.23306233062330622</v>
      </c>
      <c r="N45" s="31">
        <v>0.44791666666666669</v>
      </c>
      <c r="O45" s="31">
        <v>0.32558139534883723</v>
      </c>
      <c r="P45" s="31">
        <v>0.44329896907216493</v>
      </c>
    </row>
    <row r="46" spans="1:16" x14ac:dyDescent="0.4">
      <c r="A46" s="33">
        <v>43</v>
      </c>
      <c r="B46" s="30">
        <v>-202.5</v>
      </c>
      <c r="C46" s="30">
        <v>-4.7093023255813957</v>
      </c>
      <c r="D46" s="35">
        <v>2.1162790697674421</v>
      </c>
      <c r="E46" s="31">
        <v>0.2558139534883721</v>
      </c>
      <c r="F46" s="31">
        <v>0.37209302325581395</v>
      </c>
      <c r="G46" s="31">
        <v>0.25857519788918204</v>
      </c>
      <c r="H46" s="31">
        <v>0.19261213720316622</v>
      </c>
      <c r="I46" s="32">
        <v>8946.9387755102034</v>
      </c>
      <c r="J46" s="32">
        <v>-8212.3287671232883</v>
      </c>
      <c r="K46" s="31">
        <v>0.13953488372093023</v>
      </c>
      <c r="L46" s="31">
        <v>0.26385224274406333</v>
      </c>
      <c r="M46" s="31">
        <v>0.22955145118733508</v>
      </c>
      <c r="N46" s="31">
        <v>0.44</v>
      </c>
      <c r="O46" s="31">
        <v>0.32183908045977011</v>
      </c>
      <c r="P46" s="31">
        <v>0.43877551020408162</v>
      </c>
    </row>
    <row r="47" spans="1:16" x14ac:dyDescent="0.4">
      <c r="A47" s="33">
        <v>44</v>
      </c>
      <c r="B47" s="30">
        <v>-155.4</v>
      </c>
      <c r="C47" s="30">
        <v>-3.5318181818181817</v>
      </c>
      <c r="D47" s="35">
        <v>2.0909090909090908</v>
      </c>
      <c r="E47" s="31">
        <v>0.27272727272727271</v>
      </c>
      <c r="F47" s="31">
        <v>0.36363636363636365</v>
      </c>
      <c r="G47" s="31">
        <v>0.26424870466321243</v>
      </c>
      <c r="H47" s="31">
        <v>0.18911917098445596</v>
      </c>
      <c r="I47" s="32">
        <v>8938.2352941176468</v>
      </c>
      <c r="J47" s="32">
        <v>-8212.3287671232883</v>
      </c>
      <c r="K47" s="31">
        <v>0.13636363636363635</v>
      </c>
      <c r="L47" s="31">
        <v>0.26943005181347152</v>
      </c>
      <c r="M47" s="31">
        <v>0.22538860103626943</v>
      </c>
      <c r="N47" s="31">
        <v>0.45192307692307693</v>
      </c>
      <c r="O47" s="31">
        <v>0.32183908045977011</v>
      </c>
      <c r="P47" s="31">
        <v>0.43137254901960786</v>
      </c>
    </row>
    <row r="48" spans="1:16" x14ac:dyDescent="0.4">
      <c r="A48" s="33">
        <v>45</v>
      </c>
      <c r="B48" s="30">
        <v>-143.20000000000002</v>
      </c>
      <c r="C48" s="30">
        <v>-3.1822222222222227</v>
      </c>
      <c r="D48" s="35">
        <v>2.0666666666666669</v>
      </c>
      <c r="E48" s="31">
        <v>0.28888888888888886</v>
      </c>
      <c r="F48" s="31">
        <v>0.35555555555555557</v>
      </c>
      <c r="G48" s="31">
        <v>0.26262626262626265</v>
      </c>
      <c r="H48" s="31">
        <v>0.18939393939393939</v>
      </c>
      <c r="I48" s="32">
        <v>8997.1153846153848</v>
      </c>
      <c r="J48" s="32">
        <v>-8130.666666666667</v>
      </c>
      <c r="K48" s="31">
        <v>0.13333333333333333</v>
      </c>
      <c r="L48" s="31">
        <v>0.27020202020202022</v>
      </c>
      <c r="M48" s="31">
        <v>0.22222222222222221</v>
      </c>
      <c r="N48" s="31">
        <v>0.44859813084112149</v>
      </c>
      <c r="O48" s="31">
        <v>0.31818181818181818</v>
      </c>
      <c r="P48" s="31">
        <v>0.44230769230769229</v>
      </c>
    </row>
    <row r="49" spans="1:16" x14ac:dyDescent="0.4">
      <c r="A49" s="33">
        <v>46</v>
      </c>
      <c r="B49" s="30">
        <v>-193.20000000000002</v>
      </c>
      <c r="C49" s="30">
        <v>-4.2</v>
      </c>
      <c r="D49" s="35">
        <v>2.0869565217391304</v>
      </c>
      <c r="E49" s="31">
        <v>0.28260869565217389</v>
      </c>
      <c r="F49" s="31">
        <v>0.36956521739130432</v>
      </c>
      <c r="G49" s="31">
        <v>0.2617283950617284</v>
      </c>
      <c r="H49" s="31">
        <v>0.18765432098765433</v>
      </c>
      <c r="I49" s="32">
        <v>9014.1509433962256</v>
      </c>
      <c r="J49" s="32">
        <v>-8497.3684210526317</v>
      </c>
      <c r="K49" s="31">
        <v>0.15217391304347827</v>
      </c>
      <c r="L49" s="31">
        <v>0.26913580246913582</v>
      </c>
      <c r="M49" s="31">
        <v>0.22469135802469137</v>
      </c>
      <c r="N49" s="31">
        <v>0.45871559633027525</v>
      </c>
      <c r="O49" s="31">
        <v>0.30769230769230771</v>
      </c>
      <c r="P49" s="31">
        <v>0.44339622641509435</v>
      </c>
    </row>
    <row r="50" spans="1:16" x14ac:dyDescent="0.4">
      <c r="A50" s="33">
        <v>47</v>
      </c>
      <c r="B50" s="30">
        <v>-153.30000000000001</v>
      </c>
      <c r="C50" s="30">
        <v>-3.2617021276595746</v>
      </c>
      <c r="D50" s="35">
        <v>2.0638297872340425</v>
      </c>
      <c r="E50" s="31">
        <v>0.2978723404255319</v>
      </c>
      <c r="F50" s="31">
        <v>0.36170212765957449</v>
      </c>
      <c r="G50" s="31">
        <v>0.26506024096385544</v>
      </c>
      <c r="H50" s="31">
        <v>0.18795180722891566</v>
      </c>
      <c r="I50" s="32">
        <v>9082.7272727272721</v>
      </c>
      <c r="J50" s="32">
        <v>-8346.1538461538457</v>
      </c>
      <c r="K50" s="31">
        <v>0.14893617021276595</v>
      </c>
      <c r="L50" s="31">
        <v>0.27710843373493976</v>
      </c>
      <c r="M50" s="31">
        <v>0.21927710843373494</v>
      </c>
      <c r="N50" s="31">
        <v>0.46956521739130436</v>
      </c>
      <c r="O50" s="31">
        <v>0.30769230769230771</v>
      </c>
      <c r="P50" s="31">
        <v>0.45454545454545453</v>
      </c>
    </row>
    <row r="51" spans="1:16" x14ac:dyDescent="0.4">
      <c r="A51" s="33">
        <v>48</v>
      </c>
      <c r="B51" s="30">
        <v>-158.70000000000002</v>
      </c>
      <c r="C51" s="30">
        <v>-3.3062500000000004</v>
      </c>
      <c r="D51" s="35">
        <v>2.0625</v>
      </c>
      <c r="E51" s="31">
        <v>0.29166666666666669</v>
      </c>
      <c r="F51" s="31">
        <v>0.35416666666666669</v>
      </c>
      <c r="G51" s="31">
        <v>0.26540284360189575</v>
      </c>
      <c r="H51" s="31">
        <v>0.18483412322274881</v>
      </c>
      <c r="I51" s="32">
        <v>9063.3928571428569</v>
      </c>
      <c r="J51" s="32">
        <v>-8346.1538461538457</v>
      </c>
      <c r="K51" s="31">
        <v>0.14583333333333334</v>
      </c>
      <c r="L51" s="31">
        <v>0.2772511848341232</v>
      </c>
      <c r="M51" s="31">
        <v>0.22037914691943128</v>
      </c>
      <c r="N51" s="31">
        <v>0.47008547008547008</v>
      </c>
      <c r="O51" s="31">
        <v>0.31182795698924731</v>
      </c>
      <c r="P51" s="31">
        <v>0.44642857142857145</v>
      </c>
    </row>
    <row r="52" spans="1:16" x14ac:dyDescent="0.4">
      <c r="A52" s="33">
        <v>49</v>
      </c>
      <c r="B52" s="30">
        <v>-139.10000000000002</v>
      </c>
      <c r="C52" s="30">
        <v>-2.8387755102040821</v>
      </c>
      <c r="D52" s="35">
        <v>2.0408163265306123</v>
      </c>
      <c r="E52" s="31">
        <v>0.30612244897959184</v>
      </c>
      <c r="F52" s="31">
        <v>0.34693877551020408</v>
      </c>
      <c r="G52" s="31">
        <v>0.26806526806526809</v>
      </c>
      <c r="H52" s="31">
        <v>0.18648018648018649</v>
      </c>
      <c r="I52" s="32">
        <v>9034.782608695652</v>
      </c>
      <c r="J52" s="32">
        <v>-8353.75</v>
      </c>
      <c r="K52" s="31">
        <v>0.14285714285714285</v>
      </c>
      <c r="L52" s="31">
        <v>0.27505827505827507</v>
      </c>
      <c r="M52" s="31">
        <v>0.22144522144522144</v>
      </c>
      <c r="N52" s="31">
        <v>0.47457627118644069</v>
      </c>
      <c r="O52" s="31">
        <v>0.31578947368421051</v>
      </c>
      <c r="P52" s="31">
        <v>0.45217391304347826</v>
      </c>
    </row>
    <row r="53" spans="1:16" x14ac:dyDescent="0.4">
      <c r="A53" s="33">
        <v>50</v>
      </c>
      <c r="B53" s="30">
        <v>-157.80000000000001</v>
      </c>
      <c r="C53" s="30">
        <v>-3.1560000000000001</v>
      </c>
      <c r="D53" s="35">
        <v>2.06</v>
      </c>
      <c r="E53" s="31">
        <v>0.3</v>
      </c>
      <c r="F53" s="31">
        <v>0.36</v>
      </c>
      <c r="G53" s="31">
        <v>0.26834862385321101</v>
      </c>
      <c r="H53" s="31">
        <v>0.18577981651376146</v>
      </c>
      <c r="I53" s="32">
        <v>9000</v>
      </c>
      <c r="J53" s="32">
        <v>-8345.6790123456794</v>
      </c>
      <c r="K53" s="31">
        <v>0.14000000000000001</v>
      </c>
      <c r="L53" s="31">
        <v>0.27752293577981652</v>
      </c>
      <c r="M53" s="31">
        <v>0.22247706422018348</v>
      </c>
      <c r="N53" s="31">
        <v>0.47933884297520662</v>
      </c>
      <c r="O53" s="31">
        <v>0.30927835051546393</v>
      </c>
      <c r="P53" s="31">
        <v>0.46153846153846156</v>
      </c>
    </row>
    <row r="54" spans="1:16" x14ac:dyDescent="0.4">
      <c r="A54" s="33">
        <v>51</v>
      </c>
      <c r="B54" s="30">
        <v>-111.60000000000001</v>
      </c>
      <c r="C54" s="30">
        <v>-2.1882352941176473</v>
      </c>
      <c r="D54" s="35">
        <v>2.0392156862745097</v>
      </c>
      <c r="E54" s="31">
        <v>0.31372549019607843</v>
      </c>
      <c r="F54" s="31">
        <v>0.35294117647058826</v>
      </c>
      <c r="G54" s="31">
        <v>0.27111111111111114</v>
      </c>
      <c r="H54" s="31">
        <v>0.18</v>
      </c>
      <c r="I54" s="32">
        <v>8912.2950819672133</v>
      </c>
      <c r="J54" s="32">
        <v>-8345.6790123456794</v>
      </c>
      <c r="K54" s="31">
        <v>0.13725490196078433</v>
      </c>
      <c r="L54" s="31">
        <v>0.27777777777777779</v>
      </c>
      <c r="M54" s="31">
        <v>0.22666666666666666</v>
      </c>
      <c r="N54" s="31">
        <v>0.48</v>
      </c>
      <c r="O54" s="31">
        <v>0.3235294117647059</v>
      </c>
      <c r="P54" s="31">
        <v>0.46721311475409838</v>
      </c>
    </row>
    <row r="55" spans="1:16" x14ac:dyDescent="0.4">
      <c r="A55" s="33">
        <v>52</v>
      </c>
      <c r="B55" s="30">
        <v>-107.9</v>
      </c>
      <c r="C55" s="30">
        <v>-2.0750000000000002</v>
      </c>
      <c r="D55" s="35">
        <v>2.0384615384615383</v>
      </c>
      <c r="E55" s="31">
        <v>0.30769230769230771</v>
      </c>
      <c r="F55" s="31">
        <v>0.34615384615384615</v>
      </c>
      <c r="G55" s="31">
        <v>0.27292576419213976</v>
      </c>
      <c r="H55" s="31">
        <v>0.17903930131004367</v>
      </c>
      <c r="I55" s="32">
        <v>8914.4</v>
      </c>
      <c r="J55" s="32">
        <v>-8341.4634146341468</v>
      </c>
      <c r="K55" s="31">
        <v>0.13461538461538461</v>
      </c>
      <c r="L55" s="31">
        <v>0.27947598253275108</v>
      </c>
      <c r="M55" s="31">
        <v>0.22707423580786026</v>
      </c>
      <c r="N55" s="31">
        <v>0.4765625</v>
      </c>
      <c r="O55" s="31">
        <v>0.33653846153846156</v>
      </c>
      <c r="P55" s="31">
        <v>0.47199999999999998</v>
      </c>
    </row>
    <row r="56" spans="1:16" x14ac:dyDescent="0.4">
      <c r="A56" s="33">
        <v>53</v>
      </c>
      <c r="B56" s="30">
        <v>-130</v>
      </c>
      <c r="C56" s="30">
        <v>-2.4528301886792452</v>
      </c>
      <c r="D56" s="35">
        <v>2.0566037735849059</v>
      </c>
      <c r="E56" s="31">
        <v>0.30188679245283018</v>
      </c>
      <c r="F56" s="31">
        <v>0.35849056603773582</v>
      </c>
      <c r="G56" s="31">
        <v>0.27038626609442062</v>
      </c>
      <c r="H56" s="31">
        <v>0.18025751072961374</v>
      </c>
      <c r="I56" s="32">
        <v>8904.7619047619046</v>
      </c>
      <c r="J56" s="32">
        <v>-8326.1904761904771</v>
      </c>
      <c r="K56" s="31">
        <v>0.13207547169811321</v>
      </c>
      <c r="L56" s="31">
        <v>0.27682403433476394</v>
      </c>
      <c r="M56" s="31">
        <v>0.22317596566523606</v>
      </c>
      <c r="N56" s="31">
        <v>0.47286821705426357</v>
      </c>
      <c r="O56" s="31">
        <v>0.33653846153846156</v>
      </c>
      <c r="P56" s="31">
        <v>0.47619047619047616</v>
      </c>
    </row>
    <row r="57" spans="1:16" x14ac:dyDescent="0.4">
      <c r="A57" s="33">
        <v>54</v>
      </c>
      <c r="B57" s="30">
        <v>-97.8</v>
      </c>
      <c r="C57" s="30">
        <v>-1.8111111111111111</v>
      </c>
      <c r="D57" s="35">
        <v>2.0370370370370372</v>
      </c>
      <c r="E57" s="31">
        <v>0.31481481481481483</v>
      </c>
      <c r="F57" s="31">
        <v>0.35185185185185186</v>
      </c>
      <c r="G57" s="31">
        <v>0.27253668763102723</v>
      </c>
      <c r="H57" s="31">
        <v>0.17819706498951782</v>
      </c>
      <c r="I57" s="32">
        <v>8936.1538461538457</v>
      </c>
      <c r="J57" s="32">
        <v>-8369.4117647058829</v>
      </c>
      <c r="K57" s="31">
        <v>0.12962962962962962</v>
      </c>
      <c r="L57" s="31">
        <v>0.27672955974842767</v>
      </c>
      <c r="M57" s="31">
        <v>0.22222222222222221</v>
      </c>
      <c r="N57" s="31">
        <v>0.47727272727272729</v>
      </c>
      <c r="O57" s="31">
        <v>0.33962264150943394</v>
      </c>
      <c r="P57" s="31">
        <v>0.46923076923076923</v>
      </c>
    </row>
    <row r="58" spans="1:16" x14ac:dyDescent="0.4">
      <c r="A58" s="33">
        <v>55</v>
      </c>
      <c r="B58" s="30">
        <v>-100.8</v>
      </c>
      <c r="C58" s="30">
        <v>-1.8327272727272728</v>
      </c>
      <c r="D58" s="35">
        <v>2.0363636363636362</v>
      </c>
      <c r="E58" s="31">
        <v>0.30909090909090908</v>
      </c>
      <c r="F58" s="31">
        <v>0.34545454545454546</v>
      </c>
      <c r="G58" s="31">
        <v>0.27479338842975204</v>
      </c>
      <c r="H58" s="31">
        <v>0.17768595041322313</v>
      </c>
      <c r="I58" s="32">
        <v>8906.7669172932328</v>
      </c>
      <c r="J58" s="32">
        <v>-8458.1395348837214</v>
      </c>
      <c r="K58" s="31">
        <v>0.12727272727272726</v>
      </c>
      <c r="L58" s="31">
        <v>0.27685950413223143</v>
      </c>
      <c r="M58" s="31">
        <v>0.2231404958677686</v>
      </c>
      <c r="N58" s="31">
        <v>0.47761194029850745</v>
      </c>
      <c r="O58" s="31">
        <v>0.35185185185185186</v>
      </c>
      <c r="P58" s="31">
        <v>0.46616541353383456</v>
      </c>
    </row>
    <row r="59" spans="1:16" x14ac:dyDescent="0.4">
      <c r="A59" s="33">
        <v>56</v>
      </c>
      <c r="B59" s="30">
        <v>-96.399999999999991</v>
      </c>
      <c r="C59" s="30">
        <v>-1.7214285714285713</v>
      </c>
      <c r="D59" s="35">
        <v>2.0357142857142856</v>
      </c>
      <c r="E59" s="31">
        <v>0.30357142857142855</v>
      </c>
      <c r="F59" s="31">
        <v>0.3392857142857143</v>
      </c>
      <c r="G59" s="31">
        <v>0.2738336713995943</v>
      </c>
      <c r="H59" s="31">
        <v>0.18052738336713997</v>
      </c>
      <c r="I59" s="32">
        <v>8982.2222222222226</v>
      </c>
      <c r="J59" s="32">
        <v>-8338.2022471910113</v>
      </c>
      <c r="K59" s="31">
        <v>0.125</v>
      </c>
      <c r="L59" s="31">
        <v>0.27586206896551724</v>
      </c>
      <c r="M59" s="31">
        <v>0.22515212981744423</v>
      </c>
      <c r="N59" s="31">
        <v>0.47794117647058826</v>
      </c>
      <c r="O59" s="31">
        <v>0.35135135135135137</v>
      </c>
      <c r="P59" s="31">
        <v>0.46666666666666667</v>
      </c>
    </row>
    <row r="60" spans="1:16" x14ac:dyDescent="0.4">
      <c r="A60" s="33">
        <v>57</v>
      </c>
      <c r="B60" s="30">
        <v>-59.099999999999994</v>
      </c>
      <c r="C60" s="30">
        <v>-1.0368421052631578</v>
      </c>
      <c r="D60" s="35">
        <v>2.0175438596491229</v>
      </c>
      <c r="E60" s="31">
        <v>0.31578947368421051</v>
      </c>
      <c r="F60" s="31">
        <v>0.33333333333333331</v>
      </c>
      <c r="G60" s="31">
        <v>0.27380952380952384</v>
      </c>
      <c r="H60" s="31">
        <v>0.18055555555555555</v>
      </c>
      <c r="I60" s="32">
        <v>9163.7681159420281</v>
      </c>
      <c r="J60" s="32">
        <v>-8327.4725274725279</v>
      </c>
      <c r="K60" s="31">
        <v>0.12280701754385964</v>
      </c>
      <c r="L60" s="31">
        <v>0.27380952380952384</v>
      </c>
      <c r="M60" s="31">
        <v>0.22817460317460317</v>
      </c>
      <c r="N60" s="31">
        <v>0.47101449275362317</v>
      </c>
      <c r="O60" s="31">
        <v>0.35652173913043478</v>
      </c>
      <c r="P60" s="31">
        <v>0.46376811594202899</v>
      </c>
    </row>
    <row r="61" spans="1:16" x14ac:dyDescent="0.4">
      <c r="A61" s="33">
        <v>58</v>
      </c>
      <c r="B61" s="30">
        <v>-39.599999999999994</v>
      </c>
      <c r="C61" s="30">
        <v>-0.68275862068965509</v>
      </c>
      <c r="D61" s="35">
        <v>2</v>
      </c>
      <c r="E61" s="31">
        <v>0.32758620689655171</v>
      </c>
      <c r="F61" s="31">
        <v>0.32758620689655171</v>
      </c>
      <c r="G61" s="31">
        <v>0.27592954990215263</v>
      </c>
      <c r="H61" s="31">
        <v>0.18003913894324852</v>
      </c>
      <c r="I61" s="32">
        <v>9193.6170212765956</v>
      </c>
      <c r="J61" s="32">
        <v>-8271.7391304347821</v>
      </c>
      <c r="K61" s="31">
        <v>0.1206896551724138</v>
      </c>
      <c r="L61" s="31">
        <v>0.27788649706457924</v>
      </c>
      <c r="M61" s="31">
        <v>0.22700587084148727</v>
      </c>
      <c r="N61" s="31">
        <v>0.47887323943661969</v>
      </c>
      <c r="O61" s="31">
        <v>0.35344827586206895</v>
      </c>
      <c r="P61" s="31">
        <v>0.46808510638297873</v>
      </c>
    </row>
    <row r="62" spans="1:16" x14ac:dyDescent="0.4">
      <c r="A62" s="33">
        <v>59</v>
      </c>
      <c r="B62" s="30">
        <v>-66</v>
      </c>
      <c r="C62" s="30">
        <v>-1.1186440677966101</v>
      </c>
      <c r="D62" s="35">
        <v>2.0169491525423728</v>
      </c>
      <c r="E62" s="31">
        <v>0.32203389830508472</v>
      </c>
      <c r="F62" s="31">
        <v>0.33898305084745761</v>
      </c>
      <c r="G62" s="31">
        <v>0.27220077220077221</v>
      </c>
      <c r="H62" s="31">
        <v>0.18146718146718147</v>
      </c>
      <c r="I62" s="32">
        <v>9193.6170212765956</v>
      </c>
      <c r="J62" s="32">
        <v>-8144.6808510638302</v>
      </c>
      <c r="K62" s="31">
        <v>0.11864406779661017</v>
      </c>
      <c r="L62" s="31">
        <v>0.27606177606177607</v>
      </c>
      <c r="M62" s="31">
        <v>0.22586872586872586</v>
      </c>
      <c r="N62" s="31">
        <v>0.47552447552447552</v>
      </c>
      <c r="O62" s="31">
        <v>0.3504273504273504</v>
      </c>
      <c r="P62" s="31">
        <v>0.46808510638297873</v>
      </c>
    </row>
    <row r="63" spans="1:16" x14ac:dyDescent="0.4">
      <c r="A63" s="33">
        <v>60</v>
      </c>
      <c r="B63" s="30">
        <v>-111.7</v>
      </c>
      <c r="C63" s="30">
        <v>-1.8616666666666668</v>
      </c>
      <c r="D63" s="35">
        <v>2.0333333333333332</v>
      </c>
      <c r="E63" s="31">
        <v>0.31666666666666665</v>
      </c>
      <c r="F63" s="31">
        <v>0.35</v>
      </c>
      <c r="G63" s="31">
        <v>0.26755218216318788</v>
      </c>
      <c r="H63" s="31">
        <v>0.1859582542694497</v>
      </c>
      <c r="I63" s="32">
        <v>9193.6170212765956</v>
      </c>
      <c r="J63" s="32">
        <v>-8011.2244897959181</v>
      </c>
      <c r="K63" s="31">
        <v>0.13333333333333333</v>
      </c>
      <c r="L63" s="31">
        <v>0.27324478178368122</v>
      </c>
      <c r="M63" s="31">
        <v>0.2239089184060721</v>
      </c>
      <c r="N63" s="31">
        <v>0.47222222222222221</v>
      </c>
      <c r="O63" s="31">
        <v>0.34745762711864409</v>
      </c>
      <c r="P63" s="31">
        <v>0.46808510638297873</v>
      </c>
    </row>
    <row r="64" spans="1:16" x14ac:dyDescent="0.4">
      <c r="A64" s="33">
        <v>61</v>
      </c>
      <c r="B64" s="30">
        <v>-95.7</v>
      </c>
      <c r="C64" s="30">
        <v>-1.5688524590163935</v>
      </c>
      <c r="D64" s="35">
        <v>2.0327868852459017</v>
      </c>
      <c r="E64" s="31">
        <v>0.31147540983606559</v>
      </c>
      <c r="F64" s="31">
        <v>0.34426229508196721</v>
      </c>
      <c r="G64" s="31">
        <v>0.27016885553470921</v>
      </c>
      <c r="H64" s="31">
        <v>0.18574108818011256</v>
      </c>
      <c r="I64" s="32">
        <v>9265.9722222222226</v>
      </c>
      <c r="J64" s="32">
        <v>-8091.9191919191917</v>
      </c>
      <c r="K64" s="31">
        <v>0.13114754098360656</v>
      </c>
      <c r="L64" s="31">
        <v>0.27579737335834897</v>
      </c>
      <c r="M64" s="31">
        <v>0.22138836772983114</v>
      </c>
      <c r="N64" s="31">
        <v>0.48299319727891155</v>
      </c>
      <c r="O64" s="31">
        <v>0.34745762711864409</v>
      </c>
      <c r="P64" s="31">
        <v>0.46527777777777779</v>
      </c>
    </row>
    <row r="65" spans="1:16" x14ac:dyDescent="0.4">
      <c r="A65" s="33">
        <v>62</v>
      </c>
      <c r="B65" s="30">
        <v>-130.6</v>
      </c>
      <c r="C65" s="30">
        <v>-2.1064516129032258</v>
      </c>
      <c r="D65" s="35">
        <v>2.0483870967741935</v>
      </c>
      <c r="E65" s="31">
        <v>0.30645161290322581</v>
      </c>
      <c r="F65" s="31">
        <v>0.35483870967741937</v>
      </c>
      <c r="G65" s="31">
        <v>0.26788990825688075</v>
      </c>
      <c r="H65" s="31">
        <v>0.1853211009174312</v>
      </c>
      <c r="I65" s="32">
        <v>9260.9589041095896</v>
      </c>
      <c r="J65" s="32">
        <v>-8084.1584158415844</v>
      </c>
      <c r="K65" s="31">
        <v>0.12903225806451613</v>
      </c>
      <c r="L65" s="31">
        <v>0.27522935779816515</v>
      </c>
      <c r="M65" s="31">
        <v>0.22201834862385322</v>
      </c>
      <c r="N65" s="31">
        <v>0.47333333333333333</v>
      </c>
      <c r="O65" s="31">
        <v>0.34710743801652894</v>
      </c>
      <c r="P65" s="31">
        <v>0.46575342465753422</v>
      </c>
    </row>
    <row r="66" spans="1:16" x14ac:dyDescent="0.4">
      <c r="A66" s="33">
        <v>63</v>
      </c>
      <c r="B66" s="30">
        <v>-129</v>
      </c>
      <c r="C66" s="30">
        <v>-2.0476190476190474</v>
      </c>
      <c r="D66" s="35">
        <v>2.0476190476190474</v>
      </c>
      <c r="E66" s="31">
        <v>0.30158730158730157</v>
      </c>
      <c r="F66" s="31">
        <v>0.34920634920634919</v>
      </c>
      <c r="G66" s="31">
        <v>0.26618705035971224</v>
      </c>
      <c r="H66" s="31">
        <v>0.18884892086330934</v>
      </c>
      <c r="I66" s="32">
        <v>9338.5135135135133</v>
      </c>
      <c r="J66" s="32">
        <v>-7932.3809523809523</v>
      </c>
      <c r="K66" s="31">
        <v>0.12698412698412698</v>
      </c>
      <c r="L66" s="31">
        <v>0.28237410071942448</v>
      </c>
      <c r="M66" s="31">
        <v>0.21762589928057555</v>
      </c>
      <c r="N66" s="31">
        <v>0.46496815286624205</v>
      </c>
      <c r="O66" s="31">
        <v>0.34710743801652894</v>
      </c>
      <c r="P66" s="31">
        <v>0.47297297297297297</v>
      </c>
    </row>
    <row r="67" spans="1:16" x14ac:dyDescent="0.4">
      <c r="A67" s="33">
        <v>64</v>
      </c>
      <c r="B67" s="30">
        <v>-129.5</v>
      </c>
      <c r="C67" s="30">
        <v>-2.0234375</v>
      </c>
      <c r="D67" s="35">
        <v>2.046875</v>
      </c>
      <c r="E67" s="31">
        <v>0.296875</v>
      </c>
      <c r="F67" s="31">
        <v>0.34375</v>
      </c>
      <c r="G67" s="31">
        <v>0.26595744680851063</v>
      </c>
      <c r="H67" s="31">
        <v>0.18971631205673758</v>
      </c>
      <c r="I67" s="32">
        <v>9320</v>
      </c>
      <c r="J67" s="32">
        <v>-7895.3271028037379</v>
      </c>
      <c r="K67" s="31">
        <v>0.125</v>
      </c>
      <c r="L67" s="31">
        <v>0.28368794326241137</v>
      </c>
      <c r="M67" s="31">
        <v>0.21808510638297873</v>
      </c>
      <c r="N67" s="31">
        <v>0.46875</v>
      </c>
      <c r="O67" s="31">
        <v>0.34146341463414637</v>
      </c>
      <c r="P67" s="31">
        <v>0.46666666666666667</v>
      </c>
    </row>
    <row r="68" spans="1:16" x14ac:dyDescent="0.4">
      <c r="A68" s="33">
        <v>65</v>
      </c>
      <c r="B68" s="30">
        <v>-92.4</v>
      </c>
      <c r="C68" s="30">
        <v>-1.4215384615384616</v>
      </c>
      <c r="D68" s="35">
        <v>2.0307692307692307</v>
      </c>
      <c r="E68" s="31">
        <v>0.30769230769230771</v>
      </c>
      <c r="F68" s="31">
        <v>0.33846153846153848</v>
      </c>
      <c r="G68" s="31">
        <v>0.2674825174825175</v>
      </c>
      <c r="H68" s="31">
        <v>0.1888111888111888</v>
      </c>
      <c r="I68" s="32">
        <v>9372.5490196078426</v>
      </c>
      <c r="J68" s="32">
        <v>-7881.4814814814818</v>
      </c>
      <c r="K68" s="31">
        <v>0.12307692307692308</v>
      </c>
      <c r="L68" s="31">
        <v>0.28496503496503495</v>
      </c>
      <c r="M68" s="31">
        <v>0.21503496503496503</v>
      </c>
      <c r="N68" s="31">
        <v>0.47239263803680981</v>
      </c>
      <c r="O68" s="31">
        <v>0.34146341463414637</v>
      </c>
      <c r="P68" s="31">
        <v>0.45751633986928103</v>
      </c>
    </row>
    <row r="69" spans="1:16" x14ac:dyDescent="0.4">
      <c r="A69" s="33">
        <v>66</v>
      </c>
      <c r="B69" s="30">
        <v>-141.4</v>
      </c>
      <c r="C69" s="30">
        <v>-2.1424242424242426</v>
      </c>
      <c r="D69" s="35">
        <v>2.0454545454545454</v>
      </c>
      <c r="E69" s="31">
        <v>0.30303030303030304</v>
      </c>
      <c r="F69" s="31">
        <v>0.34848484848484851</v>
      </c>
      <c r="G69" s="31">
        <v>0.26424870466321243</v>
      </c>
      <c r="H69" s="31">
        <v>0.18998272884283246</v>
      </c>
      <c r="I69" s="32">
        <v>9372.5490196078426</v>
      </c>
      <c r="J69" s="32">
        <v>-7920</v>
      </c>
      <c r="K69" s="31">
        <v>0.13636363636363635</v>
      </c>
      <c r="L69" s="31">
        <v>0.28497409326424872</v>
      </c>
      <c r="M69" s="31">
        <v>0.21588946459412781</v>
      </c>
      <c r="N69" s="31">
        <v>0.46666666666666667</v>
      </c>
      <c r="O69" s="31">
        <v>0.33600000000000002</v>
      </c>
      <c r="P69" s="31">
        <v>0.45751633986928103</v>
      </c>
    </row>
    <row r="70" spans="1:16" x14ac:dyDescent="0.4">
      <c r="A70" s="33">
        <v>67</v>
      </c>
      <c r="B70" s="30">
        <v>-112.7</v>
      </c>
      <c r="C70" s="30">
        <v>-1.682089552238806</v>
      </c>
      <c r="D70" s="35">
        <v>2.0298507462686568</v>
      </c>
      <c r="E70" s="31">
        <v>0.31343283582089554</v>
      </c>
      <c r="F70" s="31">
        <v>0.34328358208955223</v>
      </c>
      <c r="G70" s="31">
        <v>0.2687074829931973</v>
      </c>
      <c r="H70" s="31">
        <v>0.19217687074829931</v>
      </c>
      <c r="I70" s="32">
        <v>9386.7088607594942</v>
      </c>
      <c r="J70" s="32">
        <v>-7965.4867256637172</v>
      </c>
      <c r="K70" s="31">
        <v>0.13432835820895522</v>
      </c>
      <c r="L70" s="31">
        <v>0.2857142857142857</v>
      </c>
      <c r="M70" s="31">
        <v>0.22108843537414966</v>
      </c>
      <c r="N70" s="31">
        <v>0.47619047619047616</v>
      </c>
      <c r="O70" s="31">
        <v>0.33846153846153848</v>
      </c>
      <c r="P70" s="31">
        <v>0.44936708860759494</v>
      </c>
    </row>
    <row r="71" spans="1:16" x14ac:dyDescent="0.4">
      <c r="A71" s="33">
        <v>68</v>
      </c>
      <c r="B71" s="30">
        <v>-163.19999999999999</v>
      </c>
      <c r="C71" s="30">
        <v>-2.4</v>
      </c>
      <c r="D71" s="35">
        <v>2.0441176470588234</v>
      </c>
      <c r="E71" s="31">
        <v>0.30882352941176472</v>
      </c>
      <c r="F71" s="31">
        <v>0.35294117647058826</v>
      </c>
      <c r="G71" s="31">
        <v>0.26554621848739496</v>
      </c>
      <c r="H71" s="31">
        <v>0.19495798319327731</v>
      </c>
      <c r="I71" s="32">
        <v>9386.7088607594942</v>
      </c>
      <c r="J71" s="32">
        <v>-8031.8965517241377</v>
      </c>
      <c r="K71" s="31">
        <v>0.14705882352941177</v>
      </c>
      <c r="L71" s="31">
        <v>0.2857142857142857</v>
      </c>
      <c r="M71" s="31">
        <v>0.22184873949579831</v>
      </c>
      <c r="N71" s="31">
        <v>0.47058823529411764</v>
      </c>
      <c r="O71" s="31">
        <v>0.33333333333333331</v>
      </c>
      <c r="P71" s="31">
        <v>0.44936708860759494</v>
      </c>
    </row>
    <row r="72" spans="1:16" x14ac:dyDescent="0.4">
      <c r="A72" s="33">
        <v>69</v>
      </c>
      <c r="B72" s="30">
        <v>-122.6</v>
      </c>
      <c r="C72" s="30">
        <v>-1.7768115942028984</v>
      </c>
      <c r="D72" s="35">
        <v>2.0289855072463769</v>
      </c>
      <c r="E72" s="31">
        <v>0.3188405797101449</v>
      </c>
      <c r="F72" s="31">
        <v>0.34782608695652173</v>
      </c>
      <c r="G72" s="31">
        <v>0.26897689768976896</v>
      </c>
      <c r="H72" s="31">
        <v>0.19306930693069307</v>
      </c>
      <c r="I72" s="32">
        <v>9296.3190184049072</v>
      </c>
      <c r="J72" s="32">
        <v>-7988.0341880341884</v>
      </c>
      <c r="K72" s="31">
        <v>0.14492753623188406</v>
      </c>
      <c r="L72" s="31">
        <v>0.28712871287128711</v>
      </c>
      <c r="M72" s="31">
        <v>0.22112211221122113</v>
      </c>
      <c r="N72" s="31">
        <v>0.47126436781609193</v>
      </c>
      <c r="O72" s="31">
        <v>0.34328358208955223</v>
      </c>
      <c r="P72" s="31">
        <v>0.45398773006134968</v>
      </c>
    </row>
    <row r="73" spans="1:16" x14ac:dyDescent="0.4">
      <c r="A73" s="33">
        <v>70</v>
      </c>
      <c r="B73" s="30">
        <v>-134.79999999999998</v>
      </c>
      <c r="C73" s="30">
        <v>-1.9257142857142855</v>
      </c>
      <c r="D73" s="35">
        <v>2.0285714285714285</v>
      </c>
      <c r="E73" s="31">
        <v>0.31428571428571428</v>
      </c>
      <c r="F73" s="31">
        <v>0.34285714285714286</v>
      </c>
      <c r="G73" s="31">
        <v>0.26666666666666666</v>
      </c>
      <c r="H73" s="31">
        <v>0.19186991869918699</v>
      </c>
      <c r="I73" s="32">
        <v>9251.8292682926822</v>
      </c>
      <c r="J73" s="32">
        <v>-7953.3898305084749</v>
      </c>
      <c r="K73" s="31">
        <v>0.14285714285714285</v>
      </c>
      <c r="L73" s="31">
        <v>0.28292682926829266</v>
      </c>
      <c r="M73" s="31">
        <v>0.22601626016260162</v>
      </c>
      <c r="N73" s="31">
        <v>0.47126436781609193</v>
      </c>
      <c r="O73" s="31">
        <v>0.33812949640287771</v>
      </c>
      <c r="P73" s="31">
        <v>0.45121951219512196</v>
      </c>
    </row>
    <row r="74" spans="1:16" x14ac:dyDescent="0.4">
      <c r="A74" s="33">
        <v>71</v>
      </c>
      <c r="B74" s="30">
        <v>-102.19999999999999</v>
      </c>
      <c r="C74" s="30">
        <v>-1.4394366197183097</v>
      </c>
      <c r="D74" s="35">
        <v>2.0140845070422535</v>
      </c>
      <c r="E74" s="31">
        <v>0.323943661971831</v>
      </c>
      <c r="F74" s="31">
        <v>0.3380281690140845</v>
      </c>
      <c r="G74" s="31">
        <v>0.26762820512820512</v>
      </c>
      <c r="H74" s="31">
        <v>0.19070512820512819</v>
      </c>
      <c r="I74" s="32">
        <v>9299.4011976047896</v>
      </c>
      <c r="J74" s="32">
        <v>-7953.7815126050418</v>
      </c>
      <c r="K74" s="31">
        <v>0.14084507042253522</v>
      </c>
      <c r="L74" s="31">
        <v>0.28044871794871795</v>
      </c>
      <c r="M74" s="31">
        <v>0.22756410256410256</v>
      </c>
      <c r="N74" s="31">
        <v>0.46857142857142858</v>
      </c>
      <c r="O74" s="31">
        <v>0.34507042253521125</v>
      </c>
      <c r="P74" s="31">
        <v>0.45508982035928142</v>
      </c>
    </row>
    <row r="75" spans="1:16" x14ac:dyDescent="0.4">
      <c r="A75" s="33">
        <v>72</v>
      </c>
      <c r="B75" s="30">
        <v>-87.699999999999989</v>
      </c>
      <c r="C75" s="30">
        <v>-1.2180555555555554</v>
      </c>
      <c r="D75" s="35">
        <v>2</v>
      </c>
      <c r="E75" s="31">
        <v>0.33333333333333331</v>
      </c>
      <c r="F75" s="31">
        <v>0.33333333333333331</v>
      </c>
      <c r="G75" s="31">
        <v>0.26740506329113922</v>
      </c>
      <c r="H75" s="31">
        <v>0.18829113924050633</v>
      </c>
      <c r="I75" s="32">
        <v>9362.7218934911234</v>
      </c>
      <c r="J75" s="32">
        <v>-7953.7815126050418</v>
      </c>
      <c r="K75" s="31">
        <v>0.1388888888888889</v>
      </c>
      <c r="L75" s="31">
        <v>0.28639240506329117</v>
      </c>
      <c r="M75" s="31">
        <v>0.22468354430379747</v>
      </c>
      <c r="N75" s="31">
        <v>0.46408839779005523</v>
      </c>
      <c r="O75" s="31">
        <v>0.34507042253521125</v>
      </c>
      <c r="P75" s="31">
        <v>0.46153846153846156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71319-F601-4EFA-AA85-4D7A66505360}">
  <sheetPr codeName="Sheet8"/>
  <dimension ref="A1:Q11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  <row r="69" spans="1:16" x14ac:dyDescent="0.4">
      <c r="A69" s="33">
        <v>66</v>
      </c>
      <c r="B69" s="30">
        <v>-97.500000000000043</v>
      </c>
      <c r="C69" s="30">
        <v>-1.477272727272728</v>
      </c>
      <c r="D69" s="35">
        <v>2.106060606060606</v>
      </c>
      <c r="E69" s="31">
        <v>0.27272727272727271</v>
      </c>
      <c r="F69" s="31">
        <v>0.37878787878787878</v>
      </c>
      <c r="G69" s="31">
        <v>0.30308529945553542</v>
      </c>
      <c r="H69" s="31">
        <v>0.19237749546279492</v>
      </c>
      <c r="I69" s="32">
        <v>8235.9281437125755</v>
      </c>
      <c r="J69" s="32">
        <v>-6878.3018867924529</v>
      </c>
      <c r="K69" s="31">
        <v>7.575757575757576E-2</v>
      </c>
      <c r="L69" s="31">
        <v>0.25045372050816694</v>
      </c>
      <c r="M69" s="31">
        <v>0.21234119782214156</v>
      </c>
      <c r="N69" s="31">
        <v>0.56521739130434778</v>
      </c>
      <c r="O69" s="31">
        <v>0.4358974358974359</v>
      </c>
      <c r="P69" s="31">
        <v>0.44910179640718562</v>
      </c>
    </row>
    <row r="70" spans="1:16" x14ac:dyDescent="0.4">
      <c r="A70" s="33">
        <v>67</v>
      </c>
      <c r="B70" s="30">
        <v>-93.30000000000004</v>
      </c>
      <c r="C70" s="30">
        <v>-1.3925373134328365</v>
      </c>
      <c r="D70" s="35">
        <v>2.1044776119402986</v>
      </c>
      <c r="E70" s="31">
        <v>0.26865671641791045</v>
      </c>
      <c r="F70" s="31">
        <v>0.37313432835820898</v>
      </c>
      <c r="G70" s="31">
        <v>0.30286738351254483</v>
      </c>
      <c r="H70" s="31">
        <v>0.18996415770609318</v>
      </c>
      <c r="I70" s="32">
        <v>8199.4082840236679</v>
      </c>
      <c r="J70" s="32">
        <v>-6878.3018867924529</v>
      </c>
      <c r="K70" s="31">
        <v>7.4626865671641784E-2</v>
      </c>
      <c r="L70" s="31">
        <v>0.24910394265232974</v>
      </c>
      <c r="M70" s="31">
        <v>0.21505376344086022</v>
      </c>
      <c r="N70" s="31">
        <v>0.5611510791366906</v>
      </c>
      <c r="O70" s="31">
        <v>0.44166666666666665</v>
      </c>
      <c r="P70" s="31">
        <v>0.44970414201183434</v>
      </c>
    </row>
    <row r="71" spans="1:16" x14ac:dyDescent="0.4">
      <c r="A71" s="33">
        <v>68</v>
      </c>
      <c r="B71" s="30">
        <v>-53.400000000000041</v>
      </c>
      <c r="C71" s="30">
        <v>-0.78529411764705948</v>
      </c>
      <c r="D71" s="35">
        <v>2.0882352941176472</v>
      </c>
      <c r="E71" s="31">
        <v>0.27941176470588236</v>
      </c>
      <c r="F71" s="31">
        <v>0.36764705882352944</v>
      </c>
      <c r="G71" s="31">
        <v>0.30701754385964913</v>
      </c>
      <c r="H71" s="31">
        <v>0.19122807017543861</v>
      </c>
      <c r="I71" s="32">
        <v>8152.5714285714284</v>
      </c>
      <c r="J71" s="32">
        <v>-6896.3302752293575</v>
      </c>
      <c r="K71" s="31">
        <v>7.3529411764705885E-2</v>
      </c>
      <c r="L71" s="31">
        <v>0.25263157894736843</v>
      </c>
      <c r="M71" s="31">
        <v>0.21403508771929824</v>
      </c>
      <c r="N71" s="31">
        <v>0.5625</v>
      </c>
      <c r="O71" s="31">
        <v>0.45081967213114754</v>
      </c>
      <c r="P71" s="31">
        <v>0.44</v>
      </c>
    </row>
    <row r="72" spans="1:16" x14ac:dyDescent="0.4">
      <c r="A72" s="33">
        <v>69</v>
      </c>
      <c r="B72" s="30">
        <v>-38.000000000000043</v>
      </c>
      <c r="C72" s="30">
        <v>-0.55072463768116009</v>
      </c>
      <c r="D72" s="35">
        <v>2.0724637681159419</v>
      </c>
      <c r="E72" s="31">
        <v>0.28985507246376813</v>
      </c>
      <c r="F72" s="31">
        <v>0.36231884057971014</v>
      </c>
      <c r="G72" s="31">
        <v>0.30795847750865052</v>
      </c>
      <c r="H72" s="31">
        <v>0.19031141868512111</v>
      </c>
      <c r="I72" s="32">
        <v>8097.1910112359546</v>
      </c>
      <c r="J72" s="32">
        <v>-6880.909090909091</v>
      </c>
      <c r="K72" s="31">
        <v>7.2463768115942032E-2</v>
      </c>
      <c r="L72" s="31">
        <v>0.25432525951557095</v>
      </c>
      <c r="M72" s="31">
        <v>0.21280276816608998</v>
      </c>
      <c r="N72" s="31">
        <v>0.55782312925170063</v>
      </c>
      <c r="O72" s="31">
        <v>0.45528455284552843</v>
      </c>
      <c r="P72" s="31">
        <v>0.43820224719101125</v>
      </c>
    </row>
    <row r="73" spans="1:16" x14ac:dyDescent="0.4">
      <c r="A73" s="33">
        <v>70</v>
      </c>
      <c r="B73" s="30">
        <v>-20.200000000000042</v>
      </c>
      <c r="C73" s="30">
        <v>-0.28857142857142914</v>
      </c>
      <c r="D73" s="35">
        <v>2.0571428571428569</v>
      </c>
      <c r="E73" s="31">
        <v>0.3</v>
      </c>
      <c r="F73" s="31">
        <v>0.35714285714285715</v>
      </c>
      <c r="G73" s="31">
        <v>0.31058020477815701</v>
      </c>
      <c r="H73" s="31">
        <v>0.18941979522184299</v>
      </c>
      <c r="I73" s="32">
        <v>8077.4725274725279</v>
      </c>
      <c r="J73" s="32">
        <v>-6927.0270270270266</v>
      </c>
      <c r="K73" s="31">
        <v>7.1428571428571425E-2</v>
      </c>
      <c r="L73" s="31">
        <v>0.25426621160409557</v>
      </c>
      <c r="M73" s="31">
        <v>0.21160409556313994</v>
      </c>
      <c r="N73" s="31">
        <v>0.56375838926174493</v>
      </c>
      <c r="O73" s="31">
        <v>0.45967741935483869</v>
      </c>
      <c r="P73" s="31">
        <v>0.44505494505494503</v>
      </c>
    </row>
    <row r="74" spans="1:16" x14ac:dyDescent="0.4">
      <c r="A74" s="33">
        <v>71</v>
      </c>
      <c r="B74" s="30">
        <v>-31.700000000000042</v>
      </c>
      <c r="C74" s="30">
        <v>-0.44647887323943719</v>
      </c>
      <c r="D74" s="35">
        <v>2.0704225352112675</v>
      </c>
      <c r="E74" s="31">
        <v>0.29577464788732394</v>
      </c>
      <c r="F74" s="31">
        <v>0.36619718309859156</v>
      </c>
      <c r="G74" s="31">
        <v>0.31092436974789917</v>
      </c>
      <c r="H74" s="31">
        <v>0.1915966386554622</v>
      </c>
      <c r="I74" s="32">
        <v>8127.5675675675675</v>
      </c>
      <c r="J74" s="32">
        <v>-6893.8596491228072</v>
      </c>
      <c r="K74" s="31">
        <v>7.0422535211267609E-2</v>
      </c>
      <c r="L74" s="31">
        <v>0.253781512605042</v>
      </c>
      <c r="M74" s="31">
        <v>0.2134453781512605</v>
      </c>
      <c r="N74" s="31">
        <v>0.5629139072847682</v>
      </c>
      <c r="O74" s="31">
        <v>0.45669291338582679</v>
      </c>
      <c r="P74" s="31">
        <v>0.45405405405405408</v>
      </c>
    </row>
    <row r="75" spans="1:16" x14ac:dyDescent="0.4">
      <c r="A75" s="33">
        <v>72</v>
      </c>
      <c r="B75" s="30">
        <v>18.699999999999957</v>
      </c>
      <c r="C75" s="30">
        <v>0.25972222222222163</v>
      </c>
      <c r="D75" s="35">
        <v>2.0555555555555554</v>
      </c>
      <c r="E75" s="31">
        <v>0.30555555555555558</v>
      </c>
      <c r="F75" s="31">
        <v>0.3611111111111111</v>
      </c>
      <c r="G75" s="31">
        <v>0.31333333333333335</v>
      </c>
      <c r="H75" s="31">
        <v>0.19</v>
      </c>
      <c r="I75" s="32">
        <v>8221.2765957446809</v>
      </c>
      <c r="J75" s="32">
        <v>-6893.8596491228072</v>
      </c>
      <c r="K75" s="31">
        <v>6.9444444444444448E-2</v>
      </c>
      <c r="L75" s="31">
        <v>0.25333333333333335</v>
      </c>
      <c r="M75" s="31">
        <v>0.21166666666666667</v>
      </c>
      <c r="N75" s="31">
        <v>0.56578947368421051</v>
      </c>
      <c r="O75" s="31">
        <v>0.45669291338582679</v>
      </c>
      <c r="P75" s="31">
        <v>0.4521276595744681</v>
      </c>
    </row>
    <row r="76" spans="1:16" x14ac:dyDescent="0.4">
      <c r="A76" s="33">
        <v>73</v>
      </c>
      <c r="B76" s="30">
        <v>11.799999999999956</v>
      </c>
      <c r="C76" s="30">
        <v>0.16164383561643775</v>
      </c>
      <c r="D76" s="35">
        <v>2.0547945205479454</v>
      </c>
      <c r="E76" s="31">
        <v>0.30136986301369861</v>
      </c>
      <c r="F76" s="31">
        <v>0.35616438356164382</v>
      </c>
      <c r="G76" s="31">
        <v>0.31311475409836065</v>
      </c>
      <c r="H76" s="31">
        <v>0.1901639344262295</v>
      </c>
      <c r="I76" s="32">
        <v>8220.4188481675392</v>
      </c>
      <c r="J76" s="32">
        <v>-6875</v>
      </c>
      <c r="K76" s="31">
        <v>6.8493150684931503E-2</v>
      </c>
      <c r="L76" s="31">
        <v>0.24918032786885247</v>
      </c>
      <c r="M76" s="31">
        <v>0.21311475409836064</v>
      </c>
      <c r="N76" s="31">
        <v>0.56578947368421051</v>
      </c>
      <c r="O76" s="31">
        <v>0.45384615384615384</v>
      </c>
      <c r="P76" s="31">
        <v>0.4607329842931937</v>
      </c>
    </row>
    <row r="77" spans="1:16" x14ac:dyDescent="0.4">
      <c r="A77" s="33">
        <v>74</v>
      </c>
      <c r="B77" s="30">
        <v>-7.5000000000000444</v>
      </c>
      <c r="C77" s="30">
        <v>-0.10135135135135195</v>
      </c>
      <c r="D77" s="35">
        <v>2.0675675675675675</v>
      </c>
      <c r="E77" s="31">
        <v>0.29729729729729731</v>
      </c>
      <c r="F77" s="31">
        <v>0.36486486486486486</v>
      </c>
      <c r="G77" s="31">
        <v>0.31442463533225284</v>
      </c>
      <c r="H77" s="31">
        <v>0.18962722852512157</v>
      </c>
      <c r="I77" s="32">
        <v>8127.8350515463917</v>
      </c>
      <c r="J77" s="32">
        <v>-6882.0512820512822</v>
      </c>
      <c r="K77" s="31">
        <v>6.7567567567567571E-2</v>
      </c>
      <c r="L77" s="31">
        <v>0.24797406807131281</v>
      </c>
      <c r="M77" s="31">
        <v>0.21231766612641814</v>
      </c>
      <c r="N77" s="31">
        <v>0.56209150326797386</v>
      </c>
      <c r="O77" s="31">
        <v>0.45038167938931295</v>
      </c>
      <c r="P77" s="31">
        <v>0.45876288659793812</v>
      </c>
    </row>
    <row r="78" spans="1:16" x14ac:dyDescent="0.4">
      <c r="A78" s="33">
        <v>75</v>
      </c>
      <c r="B78" s="30">
        <v>28.799999999999955</v>
      </c>
      <c r="C78" s="30">
        <v>0.3839999999999994</v>
      </c>
      <c r="D78" s="35">
        <v>2.0533333333333332</v>
      </c>
      <c r="E78" s="31">
        <v>0.30666666666666664</v>
      </c>
      <c r="F78" s="31">
        <v>0.36</v>
      </c>
      <c r="G78" s="31">
        <v>0.31570512820512819</v>
      </c>
      <c r="H78" s="31">
        <v>0.1875</v>
      </c>
      <c r="I78" s="32">
        <v>8136.040609137056</v>
      </c>
      <c r="J78" s="32">
        <v>-6882.0512820512822</v>
      </c>
      <c r="K78" s="31">
        <v>6.6666666666666666E-2</v>
      </c>
      <c r="L78" s="31">
        <v>0.2483974358974359</v>
      </c>
      <c r="M78" s="31">
        <v>0.21153846153846154</v>
      </c>
      <c r="N78" s="31">
        <v>0.56129032258064515</v>
      </c>
      <c r="O78" s="31">
        <v>0.45454545454545453</v>
      </c>
      <c r="P78" s="31">
        <v>0.45685279187817257</v>
      </c>
    </row>
    <row r="79" spans="1:16" x14ac:dyDescent="0.4">
      <c r="A79" s="33">
        <v>76</v>
      </c>
      <c r="B79" s="30">
        <v>50.799999999999955</v>
      </c>
      <c r="C79" s="30">
        <v>0.66842105263157836</v>
      </c>
      <c r="D79" s="35">
        <v>2.0394736842105261</v>
      </c>
      <c r="E79" s="31">
        <v>0.31578947368421051</v>
      </c>
      <c r="F79" s="31">
        <v>0.35526315789473684</v>
      </c>
      <c r="G79" s="31">
        <v>0.31645569620253167</v>
      </c>
      <c r="H79" s="31">
        <v>0.18829113924050633</v>
      </c>
      <c r="I79" s="32">
        <v>8139</v>
      </c>
      <c r="J79" s="32">
        <v>-6826.8907563025214</v>
      </c>
      <c r="K79" s="31">
        <v>6.5789473684210523E-2</v>
      </c>
      <c r="L79" s="31">
        <v>0.24841772151898733</v>
      </c>
      <c r="M79" s="31">
        <v>0.21202531645569619</v>
      </c>
      <c r="N79" s="31">
        <v>0.56687898089171973</v>
      </c>
      <c r="O79" s="31">
        <v>0.45522388059701491</v>
      </c>
      <c r="P79" s="31">
        <v>0.46</v>
      </c>
    </row>
    <row r="80" spans="1:16" x14ac:dyDescent="0.4">
      <c r="A80" s="33">
        <v>77</v>
      </c>
      <c r="B80" s="30">
        <v>63.099999999999952</v>
      </c>
      <c r="C80" s="30">
        <v>0.81948051948051881</v>
      </c>
      <c r="D80" s="35">
        <v>2.0389610389610389</v>
      </c>
      <c r="E80" s="31">
        <v>0.31168831168831168</v>
      </c>
      <c r="F80" s="31">
        <v>0.35064935064935066</v>
      </c>
      <c r="G80" s="31">
        <v>0.31825273010920435</v>
      </c>
      <c r="H80" s="31">
        <v>0.18876755070202808</v>
      </c>
      <c r="I80" s="32">
        <v>8076.9607843137255</v>
      </c>
      <c r="J80" s="32">
        <v>-6801.6528925619832</v>
      </c>
      <c r="K80" s="31">
        <v>6.4935064935064929E-2</v>
      </c>
      <c r="L80" s="31">
        <v>0.24804992199687986</v>
      </c>
      <c r="M80" s="31">
        <v>0.21216848673946959</v>
      </c>
      <c r="N80" s="31">
        <v>0.56603773584905659</v>
      </c>
      <c r="O80" s="31">
        <v>0.46323529411764708</v>
      </c>
      <c r="P80" s="31">
        <v>0.45588235294117646</v>
      </c>
    </row>
    <row r="81" spans="1:16" x14ac:dyDescent="0.4">
      <c r="A81" s="33">
        <v>78</v>
      </c>
      <c r="B81" s="30">
        <v>126.09999999999995</v>
      </c>
      <c r="C81" s="30">
        <v>1.616666666666666</v>
      </c>
      <c r="D81" s="35">
        <v>2.0256410256410255</v>
      </c>
      <c r="E81" s="31">
        <v>0.32051282051282054</v>
      </c>
      <c r="F81" s="31">
        <v>0.34615384615384615</v>
      </c>
      <c r="G81" s="31">
        <v>0.32258064516129031</v>
      </c>
      <c r="H81" s="31">
        <v>0.18586789554531491</v>
      </c>
      <c r="I81" s="32">
        <v>8089.0476190476193</v>
      </c>
      <c r="J81" s="32">
        <v>-6801.6528925619832</v>
      </c>
      <c r="K81" s="31">
        <v>6.4102564102564097E-2</v>
      </c>
      <c r="L81" s="31">
        <v>0.24577572964669739</v>
      </c>
      <c r="M81" s="31">
        <v>0.21044546850998463</v>
      </c>
      <c r="N81" s="31">
        <v>0.56874999999999998</v>
      </c>
      <c r="O81" s="31">
        <v>0.46715328467153283</v>
      </c>
      <c r="P81" s="31">
        <v>0.46190476190476193</v>
      </c>
    </row>
    <row r="82" spans="1:16" x14ac:dyDescent="0.4">
      <c r="A82" s="33">
        <v>79</v>
      </c>
      <c r="B82" s="30">
        <v>109.39999999999995</v>
      </c>
      <c r="C82" s="30">
        <v>1.3848101265822779</v>
      </c>
      <c r="D82" s="35">
        <v>2.037974683544304</v>
      </c>
      <c r="E82" s="31">
        <v>0.31645569620253167</v>
      </c>
      <c r="F82" s="31">
        <v>0.35443037974683544</v>
      </c>
      <c r="G82" s="31">
        <v>0.32169954476479512</v>
      </c>
      <c r="H82" s="31">
        <v>0.18664643399089528</v>
      </c>
      <c r="I82" s="32">
        <v>8080.6603773584902</v>
      </c>
      <c r="J82" s="32">
        <v>-6809.7560975609758</v>
      </c>
      <c r="K82" s="31">
        <v>6.3291139240506333E-2</v>
      </c>
      <c r="L82" s="31">
        <v>0.24582701062215478</v>
      </c>
      <c r="M82" s="31">
        <v>0.2109256449165402</v>
      </c>
      <c r="N82" s="31">
        <v>0.5679012345679012</v>
      </c>
      <c r="O82" s="31">
        <v>0.46762589928057552</v>
      </c>
      <c r="P82" s="31">
        <v>0.46226415094339623</v>
      </c>
    </row>
    <row r="83" spans="1:16" x14ac:dyDescent="0.4">
      <c r="A83" s="33">
        <v>80</v>
      </c>
      <c r="B83" s="30">
        <v>49.99999999999995</v>
      </c>
      <c r="C83" s="30">
        <v>0.62499999999999933</v>
      </c>
      <c r="D83" s="35">
        <v>2.0499999999999998</v>
      </c>
      <c r="E83" s="31">
        <v>0.3125</v>
      </c>
      <c r="F83" s="31">
        <v>0.36249999999999999</v>
      </c>
      <c r="G83" s="31">
        <v>0.32126696832579188</v>
      </c>
      <c r="H83" s="31">
        <v>0.18853695324283559</v>
      </c>
      <c r="I83" s="32">
        <v>8080.2816901408451</v>
      </c>
      <c r="J83" s="32">
        <v>-7146.4</v>
      </c>
      <c r="K83" s="31">
        <v>7.4999999999999997E-2</v>
      </c>
      <c r="L83" s="31">
        <v>0.2458521870286576</v>
      </c>
      <c r="M83" s="31">
        <v>0.20965309200603319</v>
      </c>
      <c r="N83" s="31">
        <v>0.57055214723926384</v>
      </c>
      <c r="O83" s="31">
        <v>0.46762589928057552</v>
      </c>
      <c r="P83" s="31">
        <v>0.46478873239436619</v>
      </c>
    </row>
    <row r="84" spans="1:16" x14ac:dyDescent="0.4">
      <c r="A84" s="33">
        <v>81</v>
      </c>
      <c r="B84" s="30">
        <v>105.59999999999995</v>
      </c>
      <c r="C84" s="30">
        <v>1.3037037037037031</v>
      </c>
      <c r="D84" s="35">
        <v>2.0370370370370372</v>
      </c>
      <c r="E84" s="31">
        <v>0.32098765432098764</v>
      </c>
      <c r="F84" s="31">
        <v>0.35802469135802467</v>
      </c>
      <c r="G84" s="31">
        <v>0.32195845697329378</v>
      </c>
      <c r="H84" s="31">
        <v>0.18545994065281898</v>
      </c>
      <c r="I84" s="32">
        <v>8188.0184331797236</v>
      </c>
      <c r="J84" s="32">
        <v>-7146.4</v>
      </c>
      <c r="K84" s="31">
        <v>7.407407407407407E-2</v>
      </c>
      <c r="L84" s="31">
        <v>0.24332344213649851</v>
      </c>
      <c r="M84" s="31">
        <v>0.21216617210682492</v>
      </c>
      <c r="N84" s="31">
        <v>0.56707317073170727</v>
      </c>
      <c r="O84" s="31">
        <v>0.4825174825174825</v>
      </c>
      <c r="P84" s="31">
        <v>0.46543778801843316</v>
      </c>
    </row>
    <row r="85" spans="1:16" x14ac:dyDescent="0.4">
      <c r="A85" s="33">
        <v>82</v>
      </c>
      <c r="B85" s="30">
        <v>157.09999999999997</v>
      </c>
      <c r="C85" s="30">
        <v>1.9158536585365848</v>
      </c>
      <c r="D85" s="35">
        <v>2.024390243902439</v>
      </c>
      <c r="E85" s="31">
        <v>0.32926829268292684</v>
      </c>
      <c r="F85" s="31">
        <v>0.35365853658536583</v>
      </c>
      <c r="G85" s="31">
        <v>0.32452276064610869</v>
      </c>
      <c r="H85" s="31">
        <v>0.18355359765051396</v>
      </c>
      <c r="I85" s="32">
        <v>8244.7963800904981</v>
      </c>
      <c r="J85" s="32">
        <v>-7146.4</v>
      </c>
      <c r="K85" s="31">
        <v>7.3170731707317069E-2</v>
      </c>
      <c r="L85" s="31">
        <v>0.24229074889867841</v>
      </c>
      <c r="M85" s="31">
        <v>0.21292217327459617</v>
      </c>
      <c r="N85" s="31">
        <v>0.5696969696969697</v>
      </c>
      <c r="O85" s="31">
        <v>0.48965517241379308</v>
      </c>
      <c r="P85" s="31">
        <v>0.47058823529411764</v>
      </c>
    </row>
    <row r="86" spans="1:16" x14ac:dyDescent="0.4">
      <c r="A86" s="33">
        <v>83</v>
      </c>
      <c r="B86" s="30">
        <v>102.69999999999996</v>
      </c>
      <c r="C86" s="30">
        <v>1.2373493975903609</v>
      </c>
      <c r="D86" s="35">
        <v>2.036144578313253</v>
      </c>
      <c r="E86" s="31">
        <v>0.3253012048192771</v>
      </c>
      <c r="F86" s="31">
        <v>0.36144578313253012</v>
      </c>
      <c r="G86" s="31">
        <v>0.32122093023255816</v>
      </c>
      <c r="H86" s="31">
        <v>0.18604651162790697</v>
      </c>
      <c r="I86" s="32">
        <v>8244.7963800904981</v>
      </c>
      <c r="J86" s="32">
        <v>-7240.625</v>
      </c>
      <c r="K86" s="31">
        <v>8.4337349397590355E-2</v>
      </c>
      <c r="L86" s="31">
        <v>0.2441860465116279</v>
      </c>
      <c r="M86" s="31">
        <v>0.21366279069767441</v>
      </c>
      <c r="N86" s="31">
        <v>0.55952380952380953</v>
      </c>
      <c r="O86" s="31">
        <v>0.48299319727891155</v>
      </c>
      <c r="P86" s="31">
        <v>0.47058823529411764</v>
      </c>
    </row>
    <row r="87" spans="1:16" x14ac:dyDescent="0.4">
      <c r="A87" s="33">
        <v>84</v>
      </c>
      <c r="B87" s="30">
        <v>102.99999999999996</v>
      </c>
      <c r="C87" s="30">
        <v>1.2261904761904756</v>
      </c>
      <c r="D87" s="35">
        <v>2.0357142857142856</v>
      </c>
      <c r="E87" s="31">
        <v>0.32142857142857145</v>
      </c>
      <c r="F87" s="31">
        <v>0.35714285714285715</v>
      </c>
      <c r="G87" s="31">
        <v>0.32378223495702008</v>
      </c>
      <c r="H87" s="31">
        <v>0.18767908309455589</v>
      </c>
      <c r="I87" s="32">
        <v>8174.3362831858403</v>
      </c>
      <c r="J87" s="32">
        <v>-7196.9465648854966</v>
      </c>
      <c r="K87" s="31">
        <v>8.3333333333333329E-2</v>
      </c>
      <c r="L87" s="31">
        <v>0.24641833810888253</v>
      </c>
      <c r="M87" s="31">
        <v>0.21203438395415472</v>
      </c>
      <c r="N87" s="31">
        <v>0.56395348837209303</v>
      </c>
      <c r="O87" s="31">
        <v>0.48648648648648651</v>
      </c>
      <c r="P87" s="31">
        <v>0.47345132743362833</v>
      </c>
    </row>
    <row r="88" spans="1:16" x14ac:dyDescent="0.4">
      <c r="A88" s="33">
        <v>85</v>
      </c>
      <c r="B88" s="30">
        <v>160.49999999999994</v>
      </c>
      <c r="C88" s="30">
        <v>1.8882352941176463</v>
      </c>
      <c r="D88" s="35">
        <v>2.0235294117647058</v>
      </c>
      <c r="E88" s="31">
        <v>0.32941176470588235</v>
      </c>
      <c r="F88" s="31">
        <v>0.35294117647058826</v>
      </c>
      <c r="G88" s="31">
        <v>0.32673267326732675</v>
      </c>
      <c r="H88" s="31">
        <v>0.18670438472418671</v>
      </c>
      <c r="I88" s="32">
        <v>8290.4761904761908</v>
      </c>
      <c r="J88" s="32">
        <v>-7233.333333333333</v>
      </c>
      <c r="K88" s="31">
        <v>8.2352941176470587E-2</v>
      </c>
      <c r="L88" s="31">
        <v>0.24752475247524752</v>
      </c>
      <c r="M88" s="31">
        <v>0.21074964639321075</v>
      </c>
      <c r="N88" s="31">
        <v>0.5714285714285714</v>
      </c>
      <c r="O88" s="31">
        <v>0.48322147651006714</v>
      </c>
      <c r="P88" s="31">
        <v>0.47619047619047616</v>
      </c>
    </row>
    <row r="89" spans="1:16" x14ac:dyDescent="0.4">
      <c r="A89" s="33">
        <v>86</v>
      </c>
      <c r="B89" s="30">
        <v>149.39999999999995</v>
      </c>
      <c r="C89" s="30">
        <v>1.7372093023255808</v>
      </c>
      <c r="D89" s="35">
        <v>2.0232558139534884</v>
      </c>
      <c r="E89" s="31">
        <v>0.32558139534883723</v>
      </c>
      <c r="F89" s="31">
        <v>0.34883720930232559</v>
      </c>
      <c r="G89" s="31">
        <v>0.32635983263598328</v>
      </c>
      <c r="H89" s="31">
        <v>0.18549511854951187</v>
      </c>
      <c r="I89" s="32">
        <v>8257.6923076923085</v>
      </c>
      <c r="J89" s="32">
        <v>-7239.0977443609027</v>
      </c>
      <c r="K89" s="31">
        <v>8.1395348837209308E-2</v>
      </c>
      <c r="L89" s="31">
        <v>0.24546722454672246</v>
      </c>
      <c r="M89" s="31">
        <v>0.2105997210599721</v>
      </c>
      <c r="N89" s="31">
        <v>0.56818181818181823</v>
      </c>
      <c r="O89" s="31">
        <v>0.48344370860927155</v>
      </c>
      <c r="P89" s="31">
        <v>0.47435897435897434</v>
      </c>
    </row>
    <row r="90" spans="1:16" x14ac:dyDescent="0.4">
      <c r="A90" s="33">
        <v>87</v>
      </c>
      <c r="B90" s="30">
        <v>115.59999999999995</v>
      </c>
      <c r="C90" s="30">
        <v>1.3287356321839074</v>
      </c>
      <c r="D90" s="35">
        <v>2.0344827586206895</v>
      </c>
      <c r="E90" s="31">
        <v>0.32183908045977011</v>
      </c>
      <c r="F90" s="31">
        <v>0.35632183908045978</v>
      </c>
      <c r="G90" s="31">
        <v>0.324585635359116</v>
      </c>
      <c r="H90" s="31">
        <v>0.18508287292817679</v>
      </c>
      <c r="I90" s="32">
        <v>8231.0638297872338</v>
      </c>
      <c r="J90" s="32">
        <v>-7244.7761194029854</v>
      </c>
      <c r="K90" s="31">
        <v>8.0459770114942528E-2</v>
      </c>
      <c r="L90" s="31">
        <v>0.24861878453038674</v>
      </c>
      <c r="M90" s="31">
        <v>0.20994475138121546</v>
      </c>
      <c r="N90" s="31">
        <v>0.55555555555555558</v>
      </c>
      <c r="O90" s="31">
        <v>0.48684210526315791</v>
      </c>
      <c r="P90" s="31">
        <v>0.47234042553191491</v>
      </c>
    </row>
    <row r="91" spans="1:16" x14ac:dyDescent="0.4">
      <c r="A91" s="33">
        <v>88</v>
      </c>
      <c r="B91" s="30">
        <v>113.19999999999995</v>
      </c>
      <c r="C91" s="30">
        <v>1.2863636363636357</v>
      </c>
      <c r="D91" s="35">
        <v>2.0340909090909092</v>
      </c>
      <c r="E91" s="31">
        <v>0.31818181818181818</v>
      </c>
      <c r="F91" s="31">
        <v>0.35227272727272729</v>
      </c>
      <c r="G91" s="31">
        <v>0.32421340629274964</v>
      </c>
      <c r="H91" s="31">
        <v>0.18467852257181944</v>
      </c>
      <c r="I91" s="32">
        <v>8234.5991561181436</v>
      </c>
      <c r="J91" s="32">
        <v>-7248.1481481481478</v>
      </c>
      <c r="K91" s="31">
        <v>7.9545454545454544E-2</v>
      </c>
      <c r="L91" s="31">
        <v>0.2476060191518468</v>
      </c>
      <c r="M91" s="31">
        <v>0.20793433652530779</v>
      </c>
      <c r="N91" s="31">
        <v>0.55801104972375692</v>
      </c>
      <c r="O91" s="31">
        <v>0.48684210526315791</v>
      </c>
      <c r="P91" s="31">
        <v>0.46835443037974683</v>
      </c>
    </row>
    <row r="92" spans="1:16" x14ac:dyDescent="0.4">
      <c r="A92" s="33">
        <v>89</v>
      </c>
      <c r="B92" s="30">
        <v>128.69999999999993</v>
      </c>
      <c r="C92" s="30">
        <v>1.4460674157303364</v>
      </c>
      <c r="D92" s="35">
        <v>2.0224719101123596</v>
      </c>
      <c r="E92" s="31">
        <v>0.3258426966292135</v>
      </c>
      <c r="F92" s="31">
        <v>0.34831460674157305</v>
      </c>
      <c r="G92" s="31">
        <v>0.32384823848238481</v>
      </c>
      <c r="H92" s="31">
        <v>0.18292682926829268</v>
      </c>
      <c r="I92" s="32">
        <v>8241.4225941422592</v>
      </c>
      <c r="J92" s="32">
        <v>-7248.1481481481478</v>
      </c>
      <c r="K92" s="31">
        <v>7.8651685393258425E-2</v>
      </c>
      <c r="L92" s="31">
        <v>0.24661246612466126</v>
      </c>
      <c r="M92" s="31">
        <v>0.2073170731707317</v>
      </c>
      <c r="N92" s="31">
        <v>0.56043956043956045</v>
      </c>
      <c r="O92" s="31">
        <v>0.48366013071895425</v>
      </c>
      <c r="P92" s="31">
        <v>0.47280334728033474</v>
      </c>
    </row>
    <row r="93" spans="1:16" x14ac:dyDescent="0.4">
      <c r="A93" s="33">
        <v>90</v>
      </c>
      <c r="B93" s="30">
        <v>122.49999999999993</v>
      </c>
      <c r="C93" s="30">
        <v>1.3611111111111103</v>
      </c>
      <c r="D93" s="35">
        <v>2.0222222222222221</v>
      </c>
      <c r="E93" s="31">
        <v>0.32222222222222224</v>
      </c>
      <c r="F93" s="31">
        <v>0.34444444444444444</v>
      </c>
      <c r="G93" s="31">
        <v>0.32180851063829785</v>
      </c>
      <c r="H93" s="31">
        <v>0.18218085106382978</v>
      </c>
      <c r="I93" s="32">
        <v>8271.4876033057844</v>
      </c>
      <c r="J93" s="32">
        <v>-7286.1313868613142</v>
      </c>
      <c r="K93" s="31">
        <v>7.7777777777777779E-2</v>
      </c>
      <c r="L93" s="31">
        <v>0.24335106382978725</v>
      </c>
      <c r="M93" s="31">
        <v>0.20877659574468085</v>
      </c>
      <c r="N93" s="31">
        <v>0.56284153005464477</v>
      </c>
      <c r="O93" s="31">
        <v>0.47770700636942676</v>
      </c>
      <c r="P93" s="31">
        <v>0.47520661157024796</v>
      </c>
    </row>
    <row r="94" spans="1:16" x14ac:dyDescent="0.4">
      <c r="A94" s="33">
        <v>91</v>
      </c>
      <c r="B94" s="30">
        <v>169.09999999999994</v>
      </c>
      <c r="C94" s="30">
        <v>1.8582417582417576</v>
      </c>
      <c r="D94" s="35">
        <v>2.0109890109890109</v>
      </c>
      <c r="E94" s="31">
        <v>0.32967032967032966</v>
      </c>
      <c r="F94" s="31">
        <v>0.34065934065934067</v>
      </c>
      <c r="G94" s="31">
        <v>0.32236842105263158</v>
      </c>
      <c r="H94" s="31">
        <v>0.18026315789473685</v>
      </c>
      <c r="I94" s="32">
        <v>8323.6734693877552</v>
      </c>
      <c r="J94" s="32">
        <v>-7286.1313868613142</v>
      </c>
      <c r="K94" s="31">
        <v>7.6923076923076927E-2</v>
      </c>
      <c r="L94" s="31">
        <v>0.24473684210526317</v>
      </c>
      <c r="M94" s="31">
        <v>0.20789473684210527</v>
      </c>
      <c r="N94" s="31">
        <v>0.56451612903225812</v>
      </c>
      <c r="O94" s="31">
        <v>0.47468354430379744</v>
      </c>
      <c r="P94" s="31">
        <v>0.47755102040816327</v>
      </c>
    </row>
    <row r="95" spans="1:16" x14ac:dyDescent="0.4">
      <c r="A95" s="33">
        <v>92</v>
      </c>
      <c r="B95" s="30">
        <v>196.59999999999994</v>
      </c>
      <c r="C95" s="30">
        <v>2.1369565217391298</v>
      </c>
      <c r="D95" s="35">
        <v>2</v>
      </c>
      <c r="E95" s="31">
        <v>0.33695652173913043</v>
      </c>
      <c r="F95" s="31">
        <v>0.33695652173913043</v>
      </c>
      <c r="G95" s="31">
        <v>0.32333767926988266</v>
      </c>
      <c r="H95" s="31">
        <v>0.17992177314211213</v>
      </c>
      <c r="I95" s="32">
        <v>8323.3870967741932</v>
      </c>
      <c r="J95" s="32">
        <v>-7254.347826086957</v>
      </c>
      <c r="K95" s="31">
        <v>7.6086956521739135E-2</v>
      </c>
      <c r="L95" s="31">
        <v>0.24771838331160365</v>
      </c>
      <c r="M95" s="31">
        <v>0.20599739243807041</v>
      </c>
      <c r="N95" s="31">
        <v>0.56842105263157894</v>
      </c>
      <c r="O95" s="31">
        <v>0.47468354430379744</v>
      </c>
      <c r="P95" s="31">
        <v>0.47983870967741937</v>
      </c>
    </row>
    <row r="96" spans="1:16" x14ac:dyDescent="0.4">
      <c r="A96" s="33">
        <v>93</v>
      </c>
      <c r="B96" s="30">
        <v>224.49999999999994</v>
      </c>
      <c r="C96" s="30">
        <v>2.4139784946236551</v>
      </c>
      <c r="D96" s="35">
        <v>1.989247311827957</v>
      </c>
      <c r="E96" s="31">
        <v>0.34408602150537637</v>
      </c>
      <c r="F96" s="31">
        <v>0.33333333333333331</v>
      </c>
      <c r="G96" s="31">
        <v>0.32474226804123713</v>
      </c>
      <c r="H96" s="31">
        <v>0.17783505154639176</v>
      </c>
      <c r="I96" s="32">
        <v>8315.0793650793657</v>
      </c>
      <c r="J96" s="32">
        <v>-7254.347826086957</v>
      </c>
      <c r="K96" s="31">
        <v>7.5268817204301078E-2</v>
      </c>
      <c r="L96" s="31">
        <v>0.25</v>
      </c>
      <c r="M96" s="31">
        <v>0.20360824742268041</v>
      </c>
      <c r="N96" s="31">
        <v>0.57216494845360821</v>
      </c>
      <c r="O96" s="31">
        <v>0.47468354430379744</v>
      </c>
      <c r="P96" s="31">
        <v>0.48015873015873017</v>
      </c>
    </row>
    <row r="97" spans="1:16" x14ac:dyDescent="0.4">
      <c r="A97" s="33">
        <v>94</v>
      </c>
      <c r="B97" s="30">
        <v>232.69999999999993</v>
      </c>
      <c r="C97" s="30">
        <v>2.4755319148936161</v>
      </c>
      <c r="D97" s="35">
        <v>1.9893617021276595</v>
      </c>
      <c r="E97" s="31">
        <v>0.34042553191489361</v>
      </c>
      <c r="F97" s="31">
        <v>0.32978723404255317</v>
      </c>
      <c r="G97" s="31">
        <v>0.32655654383735705</v>
      </c>
      <c r="H97" s="31">
        <v>0.17662007623888182</v>
      </c>
      <c r="I97" s="32">
        <v>8261.0894941634233</v>
      </c>
      <c r="J97" s="32">
        <v>-7288.4892086330938</v>
      </c>
      <c r="K97" s="31">
        <v>7.4468085106382975E-2</v>
      </c>
      <c r="L97" s="31">
        <v>0.2503176620076239</v>
      </c>
      <c r="M97" s="31">
        <v>0.20330368487928843</v>
      </c>
      <c r="N97" s="31">
        <v>0.57360406091370564</v>
      </c>
      <c r="O97" s="31">
        <v>0.48125000000000001</v>
      </c>
      <c r="P97" s="31">
        <v>0.48249027237354086</v>
      </c>
    </row>
    <row r="98" spans="1:16" x14ac:dyDescent="0.4">
      <c r="A98" s="33">
        <v>95</v>
      </c>
      <c r="B98" s="30">
        <v>211.19999999999993</v>
      </c>
      <c r="C98" s="30">
        <v>2.2231578947368416</v>
      </c>
      <c r="D98" s="35">
        <v>2</v>
      </c>
      <c r="E98" s="31">
        <v>0.33684210526315789</v>
      </c>
      <c r="F98" s="31">
        <v>0.33684210526315789</v>
      </c>
      <c r="G98" s="31">
        <v>0.32619647355163728</v>
      </c>
      <c r="H98" s="31">
        <v>0.17758186397984888</v>
      </c>
      <c r="I98" s="32">
        <v>8279.1505791505788</v>
      </c>
      <c r="J98" s="32">
        <v>-7297.8723404255315</v>
      </c>
      <c r="K98" s="31">
        <v>7.3684210526315783E-2</v>
      </c>
      <c r="L98" s="31">
        <v>0.25188916876574308</v>
      </c>
      <c r="M98" s="31">
        <v>0.20403022670025189</v>
      </c>
      <c r="N98" s="31">
        <v>0.57499999999999996</v>
      </c>
      <c r="O98" s="31">
        <v>0.47530864197530864</v>
      </c>
      <c r="P98" s="31">
        <v>0.4826254826254826</v>
      </c>
    </row>
    <row r="99" spans="1:16" x14ac:dyDescent="0.4">
      <c r="A99" s="33">
        <v>96</v>
      </c>
      <c r="B99" s="30">
        <v>245.49999999999994</v>
      </c>
      <c r="C99" s="30">
        <v>2.5572916666666661</v>
      </c>
      <c r="D99" s="35">
        <v>1.9895833333333333</v>
      </c>
      <c r="E99" s="31">
        <v>0.34375</v>
      </c>
      <c r="F99" s="31">
        <v>0.33333333333333331</v>
      </c>
      <c r="G99" s="31">
        <v>0.32833957553058679</v>
      </c>
      <c r="H99" s="31">
        <v>0.17602996254681649</v>
      </c>
      <c r="I99" s="32">
        <v>8246.7680608365026</v>
      </c>
      <c r="J99" s="32">
        <v>-7297.8723404255315</v>
      </c>
      <c r="K99" s="31">
        <v>7.2916666666666671E-2</v>
      </c>
      <c r="L99" s="31">
        <v>0.25218476903870163</v>
      </c>
      <c r="M99" s="31">
        <v>0.20848938826466917</v>
      </c>
      <c r="N99" s="31">
        <v>0.57920792079207917</v>
      </c>
      <c r="O99" s="31">
        <v>0.47305389221556887</v>
      </c>
      <c r="P99" s="31">
        <v>0.4828897338403042</v>
      </c>
    </row>
    <row r="100" spans="1:16" x14ac:dyDescent="0.4">
      <c r="A100" s="33">
        <v>97</v>
      </c>
      <c r="B100" s="30">
        <v>197.49999999999994</v>
      </c>
      <c r="C100" s="30">
        <v>2.0360824742268036</v>
      </c>
      <c r="D100" s="35">
        <v>2</v>
      </c>
      <c r="E100" s="31">
        <v>0.34020618556701032</v>
      </c>
      <c r="F100" s="31">
        <v>0.34020618556701032</v>
      </c>
      <c r="G100" s="31">
        <v>0.32589838909541513</v>
      </c>
      <c r="H100" s="31">
        <v>0.17719950433705081</v>
      </c>
      <c r="I100" s="32">
        <v>8246.7680608365026</v>
      </c>
      <c r="J100" s="32">
        <v>-7335.6643356643353</v>
      </c>
      <c r="K100" s="31">
        <v>8.247422680412371E-2</v>
      </c>
      <c r="L100" s="31">
        <v>0.2503097893432466</v>
      </c>
      <c r="M100" s="31">
        <v>0.21065675340768278</v>
      </c>
      <c r="N100" s="31">
        <v>0.57920792079207917</v>
      </c>
      <c r="O100" s="31">
        <v>0.46470588235294119</v>
      </c>
      <c r="P100" s="31">
        <v>0.4828897338403042</v>
      </c>
    </row>
    <row r="101" spans="1:16" x14ac:dyDescent="0.4">
      <c r="A101" s="33">
        <v>98</v>
      </c>
      <c r="B101" s="30">
        <v>206.39999999999995</v>
      </c>
      <c r="C101" s="30">
        <v>2.1061224489795913</v>
      </c>
      <c r="D101" s="35">
        <v>2</v>
      </c>
      <c r="E101" s="31">
        <v>0.33673469387755101</v>
      </c>
      <c r="F101" s="31">
        <v>0.33673469387755101</v>
      </c>
      <c r="G101" s="31">
        <v>0.3247863247863248</v>
      </c>
      <c r="H101" s="31">
        <v>0.17948717948717949</v>
      </c>
      <c r="I101" s="32">
        <v>8289.0977443609027</v>
      </c>
      <c r="J101" s="32">
        <v>-7324.4897959183672</v>
      </c>
      <c r="K101" s="31">
        <v>8.1632653061224483E-2</v>
      </c>
      <c r="L101" s="31">
        <v>0.24908424908424909</v>
      </c>
      <c r="M101" s="31">
        <v>0.21367521367521367</v>
      </c>
      <c r="N101" s="31">
        <v>0.58333333333333337</v>
      </c>
      <c r="O101" s="31">
        <v>0.45714285714285713</v>
      </c>
      <c r="P101" s="31">
        <v>0.48872180451127817</v>
      </c>
    </row>
    <row r="102" spans="1:16" x14ac:dyDescent="0.4">
      <c r="A102" s="33">
        <v>99</v>
      </c>
      <c r="B102" s="30">
        <v>172.49999999999994</v>
      </c>
      <c r="C102" s="30">
        <v>1.7424242424242418</v>
      </c>
      <c r="D102" s="35">
        <v>2.0101010101010099</v>
      </c>
      <c r="E102" s="31">
        <v>0.33333333333333331</v>
      </c>
      <c r="F102" s="31">
        <v>0.34343434343434343</v>
      </c>
      <c r="G102" s="31">
        <v>0.3216867469879518</v>
      </c>
      <c r="H102" s="31">
        <v>0.1783132530120482</v>
      </c>
      <c r="I102" s="32">
        <v>8264.0449438202249</v>
      </c>
      <c r="J102" s="32">
        <v>-7281.7567567567567</v>
      </c>
      <c r="K102" s="31">
        <v>8.0808080808080815E-2</v>
      </c>
      <c r="L102" s="31">
        <v>0.25060240963855424</v>
      </c>
      <c r="M102" s="31">
        <v>0.21084337349397592</v>
      </c>
      <c r="N102" s="31">
        <v>0.57211538461538458</v>
      </c>
      <c r="O102" s="31">
        <v>0.45714285714285713</v>
      </c>
      <c r="P102" s="31">
        <v>0.48689138576779029</v>
      </c>
    </row>
    <row r="103" spans="1:16" x14ac:dyDescent="0.4">
      <c r="A103" s="33">
        <v>100</v>
      </c>
      <c r="B103" s="30">
        <v>196.39999999999995</v>
      </c>
      <c r="C103" s="30">
        <v>1.9639999999999995</v>
      </c>
      <c r="D103" s="35">
        <v>2</v>
      </c>
      <c r="E103" s="31">
        <v>0.34</v>
      </c>
      <c r="F103" s="31">
        <v>0.34</v>
      </c>
      <c r="G103" s="31">
        <v>0.3233890214797136</v>
      </c>
      <c r="H103" s="31">
        <v>0.17899761336515513</v>
      </c>
      <c r="I103" s="32">
        <v>8241.3284132841327</v>
      </c>
      <c r="J103" s="32">
        <v>-7228</v>
      </c>
      <c r="K103" s="31">
        <v>0.08</v>
      </c>
      <c r="L103" s="31">
        <v>0.25059665871121717</v>
      </c>
      <c r="M103" s="31">
        <v>0.21121718377088305</v>
      </c>
      <c r="N103" s="31">
        <v>0.57619047619047614</v>
      </c>
      <c r="O103" s="31">
        <v>0.4576271186440678</v>
      </c>
      <c r="P103" s="31">
        <v>0.4870848708487085</v>
      </c>
    </row>
    <row r="104" spans="1:16" x14ac:dyDescent="0.4">
      <c r="A104" s="33">
        <v>101</v>
      </c>
      <c r="B104" s="30">
        <v>158.99999999999994</v>
      </c>
      <c r="C104" s="30">
        <v>1.5742574257425737</v>
      </c>
      <c r="D104" s="35">
        <v>2.0099009900990099</v>
      </c>
      <c r="E104" s="31">
        <v>0.33663366336633666</v>
      </c>
      <c r="F104" s="31">
        <v>0.34653465346534651</v>
      </c>
      <c r="G104" s="31">
        <v>0.32269503546099293</v>
      </c>
      <c r="H104" s="31">
        <v>0.18085106382978725</v>
      </c>
      <c r="I104" s="32">
        <v>8228.5714285714294</v>
      </c>
      <c r="J104" s="32">
        <v>-7321.5686274509808</v>
      </c>
      <c r="K104" s="31">
        <v>7.9207920792079209E-2</v>
      </c>
      <c r="L104" s="31">
        <v>0.25177304964539005</v>
      </c>
      <c r="M104" s="31">
        <v>0.2115839243498818</v>
      </c>
      <c r="N104" s="31">
        <v>0.57276995305164324</v>
      </c>
      <c r="O104" s="31">
        <v>0.45251396648044695</v>
      </c>
      <c r="P104" s="31">
        <v>0.48717948717948717</v>
      </c>
    </row>
    <row r="105" spans="1:16" x14ac:dyDescent="0.4">
      <c r="A105" s="33">
        <v>102</v>
      </c>
      <c r="B105" s="30">
        <v>147.99999999999994</v>
      </c>
      <c r="C105" s="30">
        <v>1.4509803921568623</v>
      </c>
      <c r="D105" s="35">
        <v>2.0098039215686274</v>
      </c>
      <c r="E105" s="31">
        <v>0.33333333333333331</v>
      </c>
      <c r="F105" s="31">
        <v>0.34313725490196079</v>
      </c>
      <c r="G105" s="31">
        <v>0.3212192262602579</v>
      </c>
      <c r="H105" s="31">
        <v>0.17936694021101993</v>
      </c>
      <c r="I105" s="32">
        <v>8213.1386861313877</v>
      </c>
      <c r="J105" s="32">
        <v>-7321.5686274509808</v>
      </c>
      <c r="K105" s="31">
        <v>7.8431372549019607E-2</v>
      </c>
      <c r="L105" s="31">
        <v>0.25205158264947247</v>
      </c>
      <c r="M105" s="31">
        <v>0.21219226260257915</v>
      </c>
      <c r="N105" s="31">
        <v>0.5720930232558139</v>
      </c>
      <c r="O105" s="31">
        <v>0.44751381215469616</v>
      </c>
      <c r="P105" s="31">
        <v>0.48905109489051096</v>
      </c>
    </row>
    <row r="106" spans="1:16" x14ac:dyDescent="0.4">
      <c r="A106" s="33">
        <v>103</v>
      </c>
      <c r="B106" s="30">
        <v>123.79999999999994</v>
      </c>
      <c r="C106" s="30">
        <v>1.2019417475728149</v>
      </c>
      <c r="D106" s="35">
        <v>2.0194174757281553</v>
      </c>
      <c r="E106" s="31">
        <v>0.3300970873786408</v>
      </c>
      <c r="F106" s="31">
        <v>0.34951456310679613</v>
      </c>
      <c r="G106" s="31">
        <v>0.32018561484918795</v>
      </c>
      <c r="H106" s="31">
        <v>0.17981438515081208</v>
      </c>
      <c r="I106" s="32">
        <v>8200.36231884058</v>
      </c>
      <c r="J106" s="32">
        <v>-7353.5483870967746</v>
      </c>
      <c r="K106" s="31">
        <v>7.7669902912621352E-2</v>
      </c>
      <c r="L106" s="31">
        <v>0.25174013921113692</v>
      </c>
      <c r="M106" s="31">
        <v>0.21229698375870071</v>
      </c>
      <c r="N106" s="31">
        <v>0.56682027649769584</v>
      </c>
      <c r="O106" s="31">
        <v>0.44808743169398907</v>
      </c>
      <c r="P106" s="31">
        <v>0.48550724637681159</v>
      </c>
    </row>
    <row r="107" spans="1:16" x14ac:dyDescent="0.4">
      <c r="A107" s="33">
        <v>104</v>
      </c>
      <c r="B107" s="30">
        <v>173.19999999999993</v>
      </c>
      <c r="C107" s="30">
        <v>1.6653846153846148</v>
      </c>
      <c r="D107" s="35">
        <v>2.0096153846153846</v>
      </c>
      <c r="E107" s="31">
        <v>0.33653846153846156</v>
      </c>
      <c r="F107" s="31">
        <v>0.34615384615384615</v>
      </c>
      <c r="G107" s="31">
        <v>0.32336018411967782</v>
      </c>
      <c r="H107" s="31">
        <v>0.17836593785960875</v>
      </c>
      <c r="I107" s="32">
        <v>8169.7508896797153</v>
      </c>
      <c r="J107" s="32">
        <v>-7353.5483870967746</v>
      </c>
      <c r="K107" s="31">
        <v>7.6923076923076927E-2</v>
      </c>
      <c r="L107" s="31">
        <v>0.25086306098964328</v>
      </c>
      <c r="M107" s="31">
        <v>0.21288837744533948</v>
      </c>
      <c r="N107" s="31">
        <v>0.56880733944954132</v>
      </c>
      <c r="O107" s="31">
        <v>0.45405405405405408</v>
      </c>
      <c r="P107" s="31">
        <v>0.4804270462633452</v>
      </c>
    </row>
    <row r="108" spans="1:16" x14ac:dyDescent="0.4">
      <c r="A108" s="33">
        <v>105</v>
      </c>
      <c r="B108" s="30">
        <v>184.39999999999992</v>
      </c>
      <c r="C108" s="30">
        <v>1.7561904761904754</v>
      </c>
      <c r="D108" s="35">
        <v>2.0095238095238095</v>
      </c>
      <c r="E108" s="31">
        <v>0.33333333333333331</v>
      </c>
      <c r="F108" s="31">
        <v>0.34285714285714286</v>
      </c>
      <c r="G108" s="31">
        <v>0.32272727272727275</v>
      </c>
      <c r="H108" s="31">
        <v>0.17727272727272728</v>
      </c>
      <c r="I108" s="32">
        <v>8168.3098591549297</v>
      </c>
      <c r="J108" s="32">
        <v>-7314.7435897435898</v>
      </c>
      <c r="K108" s="31">
        <v>7.6190476190476197E-2</v>
      </c>
      <c r="L108" s="31">
        <v>0.24886363636363637</v>
      </c>
      <c r="M108" s="31">
        <v>0.21136363636363636</v>
      </c>
      <c r="N108" s="31">
        <v>0.57077625570776258</v>
      </c>
      <c r="O108" s="31">
        <v>0.45161290322580644</v>
      </c>
      <c r="P108" s="31">
        <v>0.47535211267605632</v>
      </c>
    </row>
    <row r="109" spans="1:16" x14ac:dyDescent="0.4">
      <c r="A109" s="33">
        <v>106</v>
      </c>
      <c r="B109" s="30">
        <v>219.09999999999991</v>
      </c>
      <c r="C109" s="30">
        <v>2.0669811320754707</v>
      </c>
      <c r="D109" s="35">
        <v>2</v>
      </c>
      <c r="E109" s="31">
        <v>0.33962264150943394</v>
      </c>
      <c r="F109" s="31">
        <v>0.33962264150943394</v>
      </c>
      <c r="G109" s="31">
        <v>0.32283464566929132</v>
      </c>
      <c r="H109" s="31">
        <v>0.17547806524184478</v>
      </c>
      <c r="I109" s="32">
        <v>8179.4425087108011</v>
      </c>
      <c r="J109" s="32">
        <v>-7314.7435897435898</v>
      </c>
      <c r="K109" s="31">
        <v>7.5471698113207544E-2</v>
      </c>
      <c r="L109" s="31">
        <v>0.24971878515185603</v>
      </c>
      <c r="M109" s="31">
        <v>0.21147356580427445</v>
      </c>
      <c r="N109" s="31">
        <v>0.57657657657657657</v>
      </c>
      <c r="O109" s="31">
        <v>0.44680851063829785</v>
      </c>
      <c r="P109" s="31">
        <v>0.47386759581881532</v>
      </c>
    </row>
    <row r="110" spans="1:16" x14ac:dyDescent="0.4">
      <c r="A110" s="33">
        <v>107</v>
      </c>
      <c r="B110" s="30">
        <v>218.2999999999999</v>
      </c>
      <c r="C110" s="30">
        <v>2.0401869158878494</v>
      </c>
      <c r="D110" s="35">
        <v>2</v>
      </c>
      <c r="E110" s="31">
        <v>0.3364485981308411</v>
      </c>
      <c r="F110" s="31">
        <v>0.3364485981308411</v>
      </c>
      <c r="G110" s="31">
        <v>0.32218506131549612</v>
      </c>
      <c r="H110" s="31">
        <v>0.17502787068004461</v>
      </c>
      <c r="I110" s="32">
        <v>8177.1626297577859</v>
      </c>
      <c r="J110" s="32">
        <v>-7301.2738853503188</v>
      </c>
      <c r="K110" s="31">
        <v>7.476635514018691E-2</v>
      </c>
      <c r="L110" s="31">
        <v>0.24860646599777034</v>
      </c>
      <c r="M110" s="31">
        <v>0.21181716833890746</v>
      </c>
      <c r="N110" s="31">
        <v>0.57399103139013452</v>
      </c>
      <c r="O110" s="31">
        <v>0.45263157894736844</v>
      </c>
      <c r="P110" s="31">
        <v>0.47058823529411764</v>
      </c>
    </row>
    <row r="111" spans="1:16" x14ac:dyDescent="0.4">
      <c r="A111" s="33">
        <v>108</v>
      </c>
      <c r="B111" s="30">
        <v>209.59999999999991</v>
      </c>
      <c r="C111" s="30">
        <v>1.94074074074074</v>
      </c>
      <c r="D111" s="35">
        <v>2</v>
      </c>
      <c r="E111" s="31">
        <v>0.33333333333333331</v>
      </c>
      <c r="F111" s="31">
        <v>0.33333333333333331</v>
      </c>
      <c r="G111" s="31">
        <v>0.32119205298013243</v>
      </c>
      <c r="H111" s="31">
        <v>0.17549668874172186</v>
      </c>
      <c r="I111" s="32">
        <v>8171.8213058419242</v>
      </c>
      <c r="J111" s="32">
        <v>-7270.4402515723268</v>
      </c>
      <c r="K111" s="31">
        <v>7.407407407407407E-2</v>
      </c>
      <c r="L111" s="31">
        <v>0.24724061810154527</v>
      </c>
      <c r="M111" s="31">
        <v>0.21302428256070641</v>
      </c>
      <c r="N111" s="31">
        <v>0.5758928571428571</v>
      </c>
      <c r="O111" s="31">
        <v>0.45077720207253885</v>
      </c>
      <c r="P111" s="31">
        <v>0.47422680412371132</v>
      </c>
    </row>
    <row r="112" spans="1:16" x14ac:dyDescent="0.4">
      <c r="A112" s="33">
        <v>109</v>
      </c>
      <c r="B112" s="30">
        <v>207.7999999999999</v>
      </c>
      <c r="C112" s="30">
        <v>1.9064220183486229</v>
      </c>
      <c r="D112" s="35">
        <v>2</v>
      </c>
      <c r="E112" s="31">
        <v>0.33027522935779818</v>
      </c>
      <c r="F112" s="31">
        <v>0.33027522935779818</v>
      </c>
      <c r="G112" s="31">
        <v>0.32056892778993434</v>
      </c>
      <c r="H112" s="31">
        <v>0.17505470459518599</v>
      </c>
      <c r="I112" s="32">
        <v>8197.9522184300349</v>
      </c>
      <c r="J112" s="32">
        <v>-7257.5</v>
      </c>
      <c r="K112" s="31">
        <v>7.3394495412844041E-2</v>
      </c>
      <c r="L112" s="31">
        <v>0.24617067833698031</v>
      </c>
      <c r="M112" s="31">
        <v>0.21115973741794311</v>
      </c>
      <c r="N112" s="31">
        <v>0.57777777777777772</v>
      </c>
      <c r="O112" s="31">
        <v>0.45077720207253885</v>
      </c>
      <c r="P112" s="31">
        <v>0.47781569965870307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0B437-9CAD-42E5-8D3B-C3D1CE0239B1}">
  <sheetPr codeName="Sheet6"/>
  <dimension ref="A1:Q13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  <row r="84" spans="1:16" x14ac:dyDescent="0.4">
      <c r="A84" s="33">
        <v>81</v>
      </c>
      <c r="B84" s="30">
        <v>3.5527136788005009E-14</v>
      </c>
      <c r="C84" s="30">
        <v>1.4620220900413584E-16</v>
      </c>
      <c r="D84" s="35">
        <v>1.9958847736625513</v>
      </c>
      <c r="E84" s="31">
        <v>0.33744855967078191</v>
      </c>
      <c r="F84" s="31">
        <v>0.33333333333333331</v>
      </c>
      <c r="G84" s="31">
        <v>0.29368575624082233</v>
      </c>
      <c r="H84" s="31">
        <v>0.16642192853646598</v>
      </c>
      <c r="I84" s="32">
        <v>8015.333333333333</v>
      </c>
      <c r="J84" s="32">
        <v>-7311.1764705882351</v>
      </c>
      <c r="K84" s="31">
        <v>7.8189300411522639E-2</v>
      </c>
      <c r="L84" s="31">
        <v>0.23592755751346059</v>
      </c>
      <c r="M84" s="31">
        <v>0.23201174743024963</v>
      </c>
      <c r="N84" s="31">
        <v>0.52282157676348551</v>
      </c>
      <c r="O84" s="31">
        <v>0.42405063291139239</v>
      </c>
      <c r="P84" s="31">
        <v>0.43</v>
      </c>
    </row>
    <row r="85" spans="1:16" x14ac:dyDescent="0.4">
      <c r="A85" s="33">
        <v>82</v>
      </c>
      <c r="B85" s="30">
        <v>3.2862601528904634E-14</v>
      </c>
      <c r="C85" s="30">
        <v>1.3358781109310828E-16</v>
      </c>
      <c r="D85" s="35">
        <v>1.9959349593495934</v>
      </c>
      <c r="E85" s="31">
        <v>0.33739837398373984</v>
      </c>
      <c r="F85" s="31">
        <v>0.33333333333333331</v>
      </c>
      <c r="G85" s="31">
        <v>0.29408914728682173</v>
      </c>
      <c r="H85" s="31">
        <v>0.16618217054263565</v>
      </c>
      <c r="I85" s="32">
        <v>7990.7742998352551</v>
      </c>
      <c r="J85" s="32">
        <v>-7316.9096209912541</v>
      </c>
      <c r="K85" s="31">
        <v>7.7235772357723581E-2</v>
      </c>
      <c r="L85" s="31">
        <v>0.23498062015503876</v>
      </c>
      <c r="M85" s="31">
        <v>0.23352713178294573</v>
      </c>
      <c r="N85" s="31">
        <v>0.52164948453608251</v>
      </c>
      <c r="O85" s="31">
        <v>0.42738589211618255</v>
      </c>
      <c r="P85" s="31">
        <v>0.43163097199341022</v>
      </c>
    </row>
    <row r="86" spans="1:16" x14ac:dyDescent="0.4">
      <c r="A86" s="33">
        <v>83</v>
      </c>
      <c r="B86" s="30">
        <v>2.8421709430404007E-14</v>
      </c>
      <c r="C86" s="30">
        <v>1.1414341136708436E-16</v>
      </c>
      <c r="D86" s="35">
        <v>1.9959839357429718</v>
      </c>
      <c r="E86" s="31">
        <v>0.33734939759036142</v>
      </c>
      <c r="F86" s="31">
        <v>0.33333333333333331</v>
      </c>
      <c r="G86" s="31">
        <v>0.29428571428571426</v>
      </c>
      <c r="H86" s="31">
        <v>0.16714285714285715</v>
      </c>
      <c r="I86" s="32">
        <v>7969.5792880258896</v>
      </c>
      <c r="J86" s="32">
        <v>-7307.4074074074078</v>
      </c>
      <c r="K86" s="31">
        <v>7.6305220883534142E-2</v>
      </c>
      <c r="L86" s="31">
        <v>0.23714285714285716</v>
      </c>
      <c r="M86" s="31">
        <v>0.23285714285714285</v>
      </c>
      <c r="N86" s="31">
        <v>0.52008032128514059</v>
      </c>
      <c r="O86" s="31">
        <v>0.42740286298568508</v>
      </c>
      <c r="P86" s="31">
        <v>0.42718446601941745</v>
      </c>
    </row>
    <row r="87" spans="1:16" x14ac:dyDescent="0.4">
      <c r="A87" s="33">
        <v>84</v>
      </c>
      <c r="B87" s="30">
        <v>2.8421709430404007E-14</v>
      </c>
      <c r="C87" s="30">
        <v>1.1278456123176193E-16</v>
      </c>
      <c r="D87" s="35">
        <v>1.996031746031746</v>
      </c>
      <c r="E87" s="31">
        <v>0.33730158730158732</v>
      </c>
      <c r="F87" s="31">
        <v>0.33333333333333331</v>
      </c>
      <c r="G87" s="31">
        <v>0.29472693032015068</v>
      </c>
      <c r="H87" s="31">
        <v>0.16807909604519775</v>
      </c>
      <c r="I87" s="32">
        <v>7959.7444089456867</v>
      </c>
      <c r="J87" s="32">
        <v>-7323.5294117647063</v>
      </c>
      <c r="K87" s="31">
        <v>7.5396825396825393E-2</v>
      </c>
      <c r="L87" s="31">
        <v>0.2396421845574388</v>
      </c>
      <c r="M87" s="31">
        <v>0.23305084745762711</v>
      </c>
      <c r="N87" s="31">
        <v>0.51866404715127701</v>
      </c>
      <c r="O87" s="31">
        <v>0.42626262626262629</v>
      </c>
      <c r="P87" s="31">
        <v>0.42492012779552718</v>
      </c>
    </row>
    <row r="88" spans="1:16" x14ac:dyDescent="0.4">
      <c r="A88" s="33">
        <v>85</v>
      </c>
      <c r="B88" s="30">
        <v>2.8421709430404007E-14</v>
      </c>
      <c r="C88" s="30">
        <v>1.1145768404080003E-16</v>
      </c>
      <c r="D88" s="35">
        <v>1.996078431372549</v>
      </c>
      <c r="E88" s="31">
        <v>0.33725490196078434</v>
      </c>
      <c r="F88" s="31">
        <v>0.33333333333333331</v>
      </c>
      <c r="G88" s="31">
        <v>0.2951582867783985</v>
      </c>
      <c r="H88" s="31">
        <v>0.16759776536312848</v>
      </c>
      <c r="I88" s="32">
        <v>7974.1324921135647</v>
      </c>
      <c r="J88" s="32">
        <v>-7350.5555555555557</v>
      </c>
      <c r="K88" s="31">
        <v>7.4509803921568626E-2</v>
      </c>
      <c r="L88" s="31">
        <v>0.23975791433891994</v>
      </c>
      <c r="M88" s="31">
        <v>0.23277467411545624</v>
      </c>
      <c r="N88" s="31">
        <v>0.51844660194174752</v>
      </c>
      <c r="O88" s="31">
        <v>0.42599999999999999</v>
      </c>
      <c r="P88" s="31">
        <v>0.4274447949526814</v>
      </c>
    </row>
    <row r="89" spans="1:16" x14ac:dyDescent="0.4">
      <c r="A89" s="33">
        <v>86</v>
      </c>
      <c r="B89" s="30">
        <v>2.8421709430404007E-14</v>
      </c>
      <c r="C89" s="30">
        <v>1.1016166445893026E-16</v>
      </c>
      <c r="D89" s="35">
        <v>1.9961240310077519</v>
      </c>
      <c r="E89" s="31">
        <v>0.33720930232558138</v>
      </c>
      <c r="F89" s="31">
        <v>0.33333333333333331</v>
      </c>
      <c r="G89" s="31">
        <v>0.29517241379310344</v>
      </c>
      <c r="H89" s="31">
        <v>0.16689655172413792</v>
      </c>
      <c r="I89" s="32">
        <v>7984.5794392523367</v>
      </c>
      <c r="J89" s="32">
        <v>-7336.6391184573004</v>
      </c>
      <c r="K89" s="31">
        <v>7.3643410852713184E-2</v>
      </c>
      <c r="L89" s="31">
        <v>0.23816091954022989</v>
      </c>
      <c r="M89" s="31">
        <v>0.23402298850574713</v>
      </c>
      <c r="N89" s="31">
        <v>0.51930501930501927</v>
      </c>
      <c r="O89" s="31">
        <v>0.42436149312377208</v>
      </c>
      <c r="P89" s="31">
        <v>0.42990654205607476</v>
      </c>
    </row>
    <row r="90" spans="1:16" x14ac:dyDescent="0.4">
      <c r="A90" s="33">
        <v>87</v>
      </c>
      <c r="B90" s="30">
        <v>2.8421709430404007E-14</v>
      </c>
      <c r="C90" s="30">
        <v>1.0889543843066669E-16</v>
      </c>
      <c r="D90" s="35">
        <v>1.9961685823754789</v>
      </c>
      <c r="E90" s="31">
        <v>0.33716475095785442</v>
      </c>
      <c r="F90" s="31">
        <v>0.33333333333333331</v>
      </c>
      <c r="G90" s="31">
        <v>0.29589041095890412</v>
      </c>
      <c r="H90" s="31">
        <v>0.16666666666666666</v>
      </c>
      <c r="I90" s="32">
        <v>7999.2283950617284</v>
      </c>
      <c r="J90" s="32">
        <v>-7392.8767123287671</v>
      </c>
      <c r="K90" s="31">
        <v>7.662835249042145E-2</v>
      </c>
      <c r="L90" s="31">
        <v>0.23789954337899544</v>
      </c>
      <c r="M90" s="31">
        <v>0.23287671232876711</v>
      </c>
      <c r="N90" s="31">
        <v>0.52207293666026866</v>
      </c>
      <c r="O90" s="31">
        <v>0.42352941176470588</v>
      </c>
      <c r="P90" s="31">
        <v>0.43055555555555558</v>
      </c>
    </row>
    <row r="91" spans="1:16" x14ac:dyDescent="0.4">
      <c r="A91" s="33">
        <v>88</v>
      </c>
      <c r="B91" s="30">
        <v>2.4868995751603507E-14</v>
      </c>
      <c r="C91" s="30">
        <v>9.4200741483346618E-17</v>
      </c>
      <c r="D91" s="35">
        <v>1.9962121212121211</v>
      </c>
      <c r="E91" s="31">
        <v>0.3371212121212121</v>
      </c>
      <c r="F91" s="31">
        <v>0.33333333333333331</v>
      </c>
      <c r="G91" s="31">
        <v>0.29639639639639642</v>
      </c>
      <c r="H91" s="31">
        <v>0.16621621621621621</v>
      </c>
      <c r="I91" s="32">
        <v>8010.9422492401218</v>
      </c>
      <c r="J91" s="32">
        <v>-7387.5338753387532</v>
      </c>
      <c r="K91" s="31">
        <v>7.575757575757576E-2</v>
      </c>
      <c r="L91" s="31">
        <v>0.23693693693693693</v>
      </c>
      <c r="M91" s="31">
        <v>0.23198198198198197</v>
      </c>
      <c r="N91" s="31">
        <v>0.52661596958174905</v>
      </c>
      <c r="O91" s="31">
        <v>0.42135922330097086</v>
      </c>
      <c r="P91" s="31">
        <v>0.43313069908814589</v>
      </c>
    </row>
    <row r="92" spans="1:16" x14ac:dyDescent="0.4">
      <c r="A92" s="33">
        <v>89</v>
      </c>
      <c r="B92" s="30">
        <v>2.4868995751603507E-14</v>
      </c>
      <c r="C92" s="30">
        <v>9.3142306185780929E-17</v>
      </c>
      <c r="D92" s="35">
        <v>1.9962546816479401</v>
      </c>
      <c r="E92" s="31">
        <v>0.33707865168539325</v>
      </c>
      <c r="F92" s="31">
        <v>0.33333333333333331</v>
      </c>
      <c r="G92" s="31">
        <v>0.29629629629629628</v>
      </c>
      <c r="H92" s="31">
        <v>0.16599732262382866</v>
      </c>
      <c r="I92" s="32">
        <v>7989.7590361445782</v>
      </c>
      <c r="J92" s="32">
        <v>-7359.1397849462364</v>
      </c>
      <c r="K92" s="31">
        <v>7.4906367041198504E-2</v>
      </c>
      <c r="L92" s="31">
        <v>0.23694779116465864</v>
      </c>
      <c r="M92" s="31">
        <v>0.23248549754573852</v>
      </c>
      <c r="N92" s="31">
        <v>0.52354048964218458</v>
      </c>
      <c r="O92" s="31">
        <v>0.42034548944337813</v>
      </c>
      <c r="P92" s="31">
        <v>0.43373493975903615</v>
      </c>
    </row>
    <row r="93" spans="1:16" x14ac:dyDescent="0.4">
      <c r="A93" s="33">
        <v>90</v>
      </c>
      <c r="B93" s="30">
        <v>2.1316282072803006E-14</v>
      </c>
      <c r="C93" s="30">
        <v>7.8949192862233357E-17</v>
      </c>
      <c r="D93" s="35">
        <v>1.9962962962962962</v>
      </c>
      <c r="E93" s="31">
        <v>0.33703703703703702</v>
      </c>
      <c r="F93" s="31">
        <v>0.33333333333333331</v>
      </c>
      <c r="G93" s="31">
        <v>0.29664014146772766</v>
      </c>
      <c r="H93" s="31">
        <v>0.16666666666666666</v>
      </c>
      <c r="I93" s="32">
        <v>7984.5007451564825</v>
      </c>
      <c r="J93" s="32">
        <v>-7376.1273209549072</v>
      </c>
      <c r="K93" s="31">
        <v>7.407407407407407E-2</v>
      </c>
      <c r="L93" s="31">
        <v>0.23740053050397877</v>
      </c>
      <c r="M93" s="31">
        <v>0.23165340406719717</v>
      </c>
      <c r="N93" s="31">
        <v>0.52327746741154557</v>
      </c>
      <c r="O93" s="31">
        <v>0.4217557251908397</v>
      </c>
      <c r="P93" s="31">
        <v>0.43219076005961254</v>
      </c>
    </row>
    <row r="94" spans="1:16" x14ac:dyDescent="0.4">
      <c r="A94" s="33">
        <v>91</v>
      </c>
      <c r="B94" s="30">
        <v>2.1316282072803006E-14</v>
      </c>
      <c r="C94" s="30">
        <v>7.808161931429673E-17</v>
      </c>
      <c r="D94" s="35">
        <v>1.9963369963369964</v>
      </c>
      <c r="E94" s="31">
        <v>0.33699633699633702</v>
      </c>
      <c r="F94" s="31">
        <v>0.33333333333333331</v>
      </c>
      <c r="G94" s="31">
        <v>0.29576234163390125</v>
      </c>
      <c r="H94" s="31">
        <v>0.16470074268239407</v>
      </c>
      <c r="I94" s="32">
        <v>8005.3175775480058</v>
      </c>
      <c r="J94" s="32">
        <v>-7376.1273209549072</v>
      </c>
      <c r="K94" s="31">
        <v>7.3260073260073263E-2</v>
      </c>
      <c r="L94" s="31">
        <v>0.23765836609873306</v>
      </c>
      <c r="M94" s="31">
        <v>0.23023154215814767</v>
      </c>
      <c r="N94" s="31">
        <v>0.52022058823529416</v>
      </c>
      <c r="O94" s="31">
        <v>0.42125237191650855</v>
      </c>
      <c r="P94" s="31">
        <v>0.43722304283604135</v>
      </c>
    </row>
    <row r="95" spans="1:16" x14ac:dyDescent="0.4">
      <c r="A95" s="33">
        <v>92</v>
      </c>
      <c r="B95" s="30">
        <v>2.1316282072803006E-14</v>
      </c>
      <c r="C95" s="30">
        <v>7.7232906060880453E-17</v>
      </c>
      <c r="D95" s="35">
        <v>1.9963768115942029</v>
      </c>
      <c r="E95" s="31">
        <v>0.33695652173913043</v>
      </c>
      <c r="F95" s="31">
        <v>0.33333333333333331</v>
      </c>
      <c r="G95" s="31">
        <v>0.29615218331171639</v>
      </c>
      <c r="H95" s="31">
        <v>0.16472114137483787</v>
      </c>
      <c r="I95" s="32">
        <v>7983.5036496350367</v>
      </c>
      <c r="J95" s="32">
        <v>-7348.0314960629921</v>
      </c>
      <c r="K95" s="31">
        <v>7.2463768115942032E-2</v>
      </c>
      <c r="L95" s="31">
        <v>0.23865110246433205</v>
      </c>
      <c r="M95" s="31">
        <v>0.2313013402507566</v>
      </c>
      <c r="N95" s="31">
        <v>0.52173913043478259</v>
      </c>
      <c r="O95" s="31">
        <v>0.42056074766355139</v>
      </c>
      <c r="P95" s="31">
        <v>0.43795620437956206</v>
      </c>
    </row>
    <row r="96" spans="1:16" x14ac:dyDescent="0.4">
      <c r="A96" s="33">
        <v>93</v>
      </c>
      <c r="B96" s="30">
        <v>2.4868995751603507E-14</v>
      </c>
      <c r="C96" s="30">
        <v>8.9136185489618306E-17</v>
      </c>
      <c r="D96" s="35">
        <v>1.9964157706093191</v>
      </c>
      <c r="E96" s="31">
        <v>0.33691756272401435</v>
      </c>
      <c r="F96" s="31">
        <v>0.33333333333333331</v>
      </c>
      <c r="G96" s="31">
        <v>0.29615384615384616</v>
      </c>
      <c r="H96" s="31">
        <v>0.16581196581196581</v>
      </c>
      <c r="I96" s="32">
        <v>7966.9552669552668</v>
      </c>
      <c r="J96" s="32">
        <v>-7330.6701030927834</v>
      </c>
      <c r="K96" s="31">
        <v>7.5268817204301078E-2</v>
      </c>
      <c r="L96" s="31">
        <v>0.23803418803418802</v>
      </c>
      <c r="M96" s="31">
        <v>0.23119658119658121</v>
      </c>
      <c r="N96" s="31">
        <v>0.52244165170556556</v>
      </c>
      <c r="O96" s="31">
        <v>0.42144177449168208</v>
      </c>
      <c r="P96" s="31">
        <v>0.43434343434343436</v>
      </c>
    </row>
    <row r="97" spans="1:16" x14ac:dyDescent="0.4">
      <c r="A97" s="33">
        <v>94</v>
      </c>
      <c r="B97" s="30">
        <v>2.8421709430404007E-14</v>
      </c>
      <c r="C97" s="30">
        <v>1.0078620365391492E-16</v>
      </c>
      <c r="D97" s="35">
        <v>1.9964539007092199</v>
      </c>
      <c r="E97" s="31">
        <v>0.33687943262411346</v>
      </c>
      <c r="F97" s="31">
        <v>0.33333333333333331</v>
      </c>
      <c r="G97" s="31">
        <v>0.29578059071729956</v>
      </c>
      <c r="H97" s="31">
        <v>0.16540084388185655</v>
      </c>
      <c r="I97" s="32">
        <v>7973.4664764621966</v>
      </c>
      <c r="J97" s="32">
        <v>-7313.2653061224491</v>
      </c>
      <c r="K97" s="31">
        <v>7.8014184397163122E-2</v>
      </c>
      <c r="L97" s="31">
        <v>0.23713080168776371</v>
      </c>
      <c r="M97" s="31">
        <v>0.23122362869198312</v>
      </c>
      <c r="N97" s="31">
        <v>0.5195729537366548</v>
      </c>
      <c r="O97" s="31">
        <v>0.41970802919708028</v>
      </c>
      <c r="P97" s="31">
        <v>0.43509272467902993</v>
      </c>
    </row>
    <row r="98" spans="1:16" x14ac:dyDescent="0.4">
      <c r="A98" s="33">
        <v>95</v>
      </c>
      <c r="B98" s="30">
        <v>2.4868995751603507E-14</v>
      </c>
      <c r="C98" s="30">
        <v>8.7259634216152654E-17</v>
      </c>
      <c r="D98" s="35">
        <v>1.9964912280701754</v>
      </c>
      <c r="E98" s="31">
        <v>0.33684210526315789</v>
      </c>
      <c r="F98" s="31">
        <v>0.33333333333333331</v>
      </c>
      <c r="G98" s="31">
        <v>0.29629629629629628</v>
      </c>
      <c r="H98" s="31">
        <v>0.16521015397419891</v>
      </c>
      <c r="I98" s="32">
        <v>7973.4550561797751</v>
      </c>
      <c r="J98" s="32">
        <v>-7349.1183879093196</v>
      </c>
      <c r="K98" s="31">
        <v>7.7192982456140355E-2</v>
      </c>
      <c r="L98" s="31">
        <v>0.2363712026633375</v>
      </c>
      <c r="M98" s="31">
        <v>0.23304203079483979</v>
      </c>
      <c r="N98" s="31">
        <v>0.51936619718309862</v>
      </c>
      <c r="O98" s="31">
        <v>0.41785714285714287</v>
      </c>
      <c r="P98" s="31">
        <v>0.4353932584269663</v>
      </c>
    </row>
    <row r="99" spans="1:16" x14ac:dyDescent="0.4">
      <c r="A99" s="33">
        <v>96</v>
      </c>
      <c r="B99" s="30">
        <v>2.4868995751603507E-14</v>
      </c>
      <c r="C99" s="30">
        <v>8.6350679693067732E-17</v>
      </c>
      <c r="D99" s="35">
        <v>1.9965277777777777</v>
      </c>
      <c r="E99" s="31">
        <v>0.33680555555555558</v>
      </c>
      <c r="F99" s="31">
        <v>0.33333333333333331</v>
      </c>
      <c r="G99" s="31">
        <v>0.29625051503914296</v>
      </c>
      <c r="H99" s="31">
        <v>0.16522455706633704</v>
      </c>
      <c r="I99" s="32">
        <v>7960.2225312934634</v>
      </c>
      <c r="J99" s="32">
        <v>-7352.1197007481296</v>
      </c>
      <c r="K99" s="31">
        <v>7.6388888888888895E-2</v>
      </c>
      <c r="L99" s="31">
        <v>0.2373300370828183</v>
      </c>
      <c r="M99" s="31">
        <v>0.23238566131025959</v>
      </c>
      <c r="N99" s="31">
        <v>0.52083333333333337</v>
      </c>
      <c r="O99" s="31">
        <v>0.41666666666666669</v>
      </c>
      <c r="P99" s="31">
        <v>0.43532684283727396</v>
      </c>
    </row>
    <row r="100" spans="1:16" x14ac:dyDescent="0.4">
      <c r="A100" s="33">
        <v>97</v>
      </c>
      <c r="B100" s="30">
        <v>2.8421709430404007E-14</v>
      </c>
      <c r="C100" s="30">
        <v>9.7669104571835075E-17</v>
      </c>
      <c r="D100" s="35">
        <v>1.9965635738831615</v>
      </c>
      <c r="E100" s="31">
        <v>0.33676975945017185</v>
      </c>
      <c r="F100" s="31">
        <v>0.33333333333333331</v>
      </c>
      <c r="G100" s="31">
        <v>0.29643296432964328</v>
      </c>
      <c r="H100" s="31">
        <v>0.16523165231652318</v>
      </c>
      <c r="I100" s="32">
        <v>8005.9474412171512</v>
      </c>
      <c r="J100" s="32">
        <v>-7453.8461538461543</v>
      </c>
      <c r="K100" s="31">
        <v>7.903780068728522E-2</v>
      </c>
      <c r="L100" s="31">
        <v>0.23657236572365722</v>
      </c>
      <c r="M100" s="31">
        <v>0.23247232472324722</v>
      </c>
      <c r="N100" s="31">
        <v>0.52166377816291165</v>
      </c>
      <c r="O100" s="31">
        <v>0.41798941798941797</v>
      </c>
      <c r="P100" s="31">
        <v>0.43568464730290457</v>
      </c>
    </row>
    <row r="101" spans="1:16" x14ac:dyDescent="0.4">
      <c r="A101" s="33">
        <v>98</v>
      </c>
      <c r="B101" s="30">
        <v>2.8421709430404007E-14</v>
      </c>
      <c r="C101" s="30">
        <v>9.667248105579594E-17</v>
      </c>
      <c r="D101" s="35">
        <v>1.9965986394557824</v>
      </c>
      <c r="E101" s="31">
        <v>0.33673469387755101</v>
      </c>
      <c r="F101" s="31">
        <v>0.33333333333333331</v>
      </c>
      <c r="G101" s="31">
        <v>0.2963865205034511</v>
      </c>
      <c r="H101" s="31">
        <v>0.16483962647178238</v>
      </c>
      <c r="I101" s="32">
        <v>7988.9041095890407</v>
      </c>
      <c r="J101" s="32">
        <v>-7449.5073891625616</v>
      </c>
      <c r="K101" s="31">
        <v>7.8231292517006806E-2</v>
      </c>
      <c r="L101" s="31">
        <v>0.23589118960617134</v>
      </c>
      <c r="M101" s="31">
        <v>0.23183110028420625</v>
      </c>
      <c r="N101" s="31">
        <v>0.52323580034423411</v>
      </c>
      <c r="O101" s="31">
        <v>0.41856392294220668</v>
      </c>
      <c r="P101" s="31">
        <v>0.43698630136986299</v>
      </c>
    </row>
    <row r="102" spans="1:16" x14ac:dyDescent="0.4">
      <c r="A102" s="33">
        <v>99</v>
      </c>
      <c r="B102" s="30">
        <v>2.8421709430404007E-14</v>
      </c>
      <c r="C102" s="30">
        <v>9.5695991348161637E-17</v>
      </c>
      <c r="D102" s="35">
        <v>1.9966329966329965</v>
      </c>
      <c r="E102" s="31">
        <v>0.33670033670033672</v>
      </c>
      <c r="F102" s="31">
        <v>0.33333333333333331</v>
      </c>
      <c r="G102" s="31">
        <v>0.2961630695443645</v>
      </c>
      <c r="H102" s="31">
        <v>0.1650679456434852</v>
      </c>
      <c r="I102" s="32">
        <v>7983.6707152496629</v>
      </c>
      <c r="J102" s="32">
        <v>-7421.7917675544795</v>
      </c>
      <c r="K102" s="31">
        <v>7.7441077441077436E-2</v>
      </c>
      <c r="L102" s="31">
        <v>0.23581135091926458</v>
      </c>
      <c r="M102" s="31">
        <v>0.23141486810551559</v>
      </c>
      <c r="N102" s="31">
        <v>0.52203389830508473</v>
      </c>
      <c r="O102" s="31">
        <v>0.41796200345423146</v>
      </c>
      <c r="P102" s="31">
        <v>0.4358974358974359</v>
      </c>
    </row>
    <row r="103" spans="1:16" x14ac:dyDescent="0.4">
      <c r="A103" s="33">
        <v>100</v>
      </c>
      <c r="B103" s="30">
        <v>3.1086244689504383E-14</v>
      </c>
      <c r="C103" s="30">
        <v>1.0362081563168128E-16</v>
      </c>
      <c r="D103" s="35">
        <v>1.9966666666666666</v>
      </c>
      <c r="E103" s="31">
        <v>0.33666666666666667</v>
      </c>
      <c r="F103" s="31">
        <v>0.33333333333333331</v>
      </c>
      <c r="G103" s="31">
        <v>0.29625246548323469</v>
      </c>
      <c r="H103" s="31">
        <v>0.1641025641025641</v>
      </c>
      <c r="I103" s="32">
        <v>7989.8801597869506</v>
      </c>
      <c r="J103" s="32">
        <v>-7461.0576923076924</v>
      </c>
      <c r="K103" s="31">
        <v>0.08</v>
      </c>
      <c r="L103" s="31">
        <v>0.23550295857988165</v>
      </c>
      <c r="M103" s="31">
        <v>0.23155818540433926</v>
      </c>
      <c r="N103" s="31">
        <v>0.52093802345058626</v>
      </c>
      <c r="O103" s="31">
        <v>0.42078364565587734</v>
      </c>
      <c r="P103" s="31">
        <v>0.43941411451398138</v>
      </c>
    </row>
    <row r="104" spans="1:16" x14ac:dyDescent="0.4">
      <c r="A104" s="33">
        <v>101</v>
      </c>
      <c r="B104" s="30">
        <v>2.8421709430404007E-14</v>
      </c>
      <c r="C104" s="30">
        <v>9.3801021222455471E-17</v>
      </c>
      <c r="D104" s="35">
        <v>1.9966996699669968</v>
      </c>
      <c r="E104" s="31">
        <v>0.33663366336633666</v>
      </c>
      <c r="F104" s="31">
        <v>0.33333333333333331</v>
      </c>
      <c r="G104" s="31">
        <v>0.29616588419405321</v>
      </c>
      <c r="H104" s="31">
        <v>0.16314553990610328</v>
      </c>
      <c r="I104" s="32">
        <v>7997.0937912813743</v>
      </c>
      <c r="J104" s="32">
        <v>-7500.7194244604316</v>
      </c>
      <c r="K104" s="31">
        <v>8.2508250825082508E-2</v>
      </c>
      <c r="L104" s="31">
        <v>0.23395931142410015</v>
      </c>
      <c r="M104" s="31">
        <v>0.2335680751173709</v>
      </c>
      <c r="N104" s="31">
        <v>0.52173913043478259</v>
      </c>
      <c r="O104" s="31">
        <v>0.41876046901172531</v>
      </c>
      <c r="P104" s="31">
        <v>0.44253632760898282</v>
      </c>
    </row>
    <row r="105" spans="1:16" x14ac:dyDescent="0.4">
      <c r="A105" s="33">
        <v>102</v>
      </c>
      <c r="B105" s="30">
        <v>2.8421709430404007E-14</v>
      </c>
      <c r="C105" s="30">
        <v>9.288140336733336E-17</v>
      </c>
      <c r="D105" s="35">
        <v>1.9967320261437909</v>
      </c>
      <c r="E105" s="31">
        <v>0.33660130718954251</v>
      </c>
      <c r="F105" s="31">
        <v>0.33333333333333331</v>
      </c>
      <c r="G105" s="31">
        <v>0.29506314580941445</v>
      </c>
      <c r="H105" s="31">
        <v>0.1626482969766552</v>
      </c>
      <c r="I105" s="32">
        <v>8037.0946822308688</v>
      </c>
      <c r="J105" s="32">
        <v>-7560.4705882352937</v>
      </c>
      <c r="K105" s="31">
        <v>8.4967320261437912E-2</v>
      </c>
      <c r="L105" s="31">
        <v>0.23650975889781861</v>
      </c>
      <c r="M105" s="31">
        <v>0.23115193264446995</v>
      </c>
      <c r="N105" s="31">
        <v>0.51779935275080902</v>
      </c>
      <c r="O105" s="31">
        <v>0.41721854304635764</v>
      </c>
      <c r="P105" s="31">
        <v>0.44228274967574577</v>
      </c>
    </row>
    <row r="106" spans="1:16" x14ac:dyDescent="0.4">
      <c r="A106" s="33">
        <v>103</v>
      </c>
      <c r="B106" s="30">
        <v>2.7533531010703882E-14</v>
      </c>
      <c r="C106" s="30">
        <v>8.9105278351792501E-17</v>
      </c>
      <c r="D106" s="35">
        <v>1.9967637540453074</v>
      </c>
      <c r="E106" s="31">
        <v>0.33656957928802589</v>
      </c>
      <c r="F106" s="31">
        <v>0.33333333333333331</v>
      </c>
      <c r="G106" s="31">
        <v>0.29474082482027997</v>
      </c>
      <c r="H106" s="31">
        <v>0.16269390843738177</v>
      </c>
      <c r="I106" s="32">
        <v>8037.3555840821564</v>
      </c>
      <c r="J106" s="32">
        <v>-7592.3255813953492</v>
      </c>
      <c r="K106" s="31">
        <v>8.4142394822006472E-2</v>
      </c>
      <c r="L106" s="31">
        <v>0.23685206205069997</v>
      </c>
      <c r="M106" s="31">
        <v>0.23117669315172154</v>
      </c>
      <c r="N106" s="31">
        <v>0.51597444089456868</v>
      </c>
      <c r="O106" s="31">
        <v>0.41898527004909986</v>
      </c>
      <c r="P106" s="31">
        <v>0.44159178433889601</v>
      </c>
    </row>
    <row r="107" spans="1:16" x14ac:dyDescent="0.4">
      <c r="A107" s="33">
        <v>104</v>
      </c>
      <c r="B107" s="30">
        <v>3.1086244689504383E-14</v>
      </c>
      <c r="C107" s="30">
        <v>9.9635399645847385E-17</v>
      </c>
      <c r="D107" s="35">
        <v>1.9967948717948718</v>
      </c>
      <c r="E107" s="31">
        <v>0.33653846153846156</v>
      </c>
      <c r="F107" s="31">
        <v>0.33333333333333331</v>
      </c>
      <c r="G107" s="31">
        <v>0.29466966966966968</v>
      </c>
      <c r="H107" s="31">
        <v>0.16253753753753752</v>
      </c>
      <c r="I107" s="32">
        <v>8033.503184713376</v>
      </c>
      <c r="J107" s="32">
        <v>-7617.0900692840651</v>
      </c>
      <c r="K107" s="31">
        <v>8.6538461538461536E-2</v>
      </c>
      <c r="L107" s="31">
        <v>0.23798798798798798</v>
      </c>
      <c r="M107" s="31">
        <v>0.23160660660660662</v>
      </c>
      <c r="N107" s="31">
        <v>0.51577287066246058</v>
      </c>
      <c r="O107" s="31">
        <v>0.41653160453808752</v>
      </c>
      <c r="P107" s="31">
        <v>0.4407643312101911</v>
      </c>
    </row>
    <row r="108" spans="1:16" x14ac:dyDescent="0.4">
      <c r="A108" s="33">
        <v>105</v>
      </c>
      <c r="B108" s="30">
        <v>3.0198066269804258E-14</v>
      </c>
      <c r="C108" s="30">
        <v>9.5866877046997649E-17</v>
      </c>
      <c r="D108" s="35">
        <v>1.9968253968253968</v>
      </c>
      <c r="E108" s="31">
        <v>0.33650793650793653</v>
      </c>
      <c r="F108" s="31">
        <v>0.33333333333333331</v>
      </c>
      <c r="G108" s="31">
        <v>0.2951002227171492</v>
      </c>
      <c r="H108" s="31">
        <v>0.16258351893095768</v>
      </c>
      <c r="I108" s="32">
        <v>8014.5911949685533</v>
      </c>
      <c r="J108" s="32">
        <v>-7590.1826484018266</v>
      </c>
      <c r="K108" s="31">
        <v>8.5714285714285715E-2</v>
      </c>
      <c r="L108" s="31">
        <v>0.23867854491462509</v>
      </c>
      <c r="M108" s="31">
        <v>0.23014105419450631</v>
      </c>
      <c r="N108" s="31">
        <v>0.51788491446345253</v>
      </c>
      <c r="O108" s="31">
        <v>0.41612903225806452</v>
      </c>
      <c r="P108" s="31">
        <v>0.44150943396226416</v>
      </c>
    </row>
    <row r="109" spans="1:16" x14ac:dyDescent="0.4">
      <c r="A109" s="33">
        <v>106</v>
      </c>
      <c r="B109" s="30">
        <v>2.8421709430404007E-14</v>
      </c>
      <c r="C109" s="30">
        <v>8.9376444749698141E-17</v>
      </c>
      <c r="D109" s="35">
        <v>1.9968553459119496</v>
      </c>
      <c r="E109" s="31">
        <v>0.33647798742138363</v>
      </c>
      <c r="F109" s="31">
        <v>0.33333333333333331</v>
      </c>
      <c r="G109" s="31">
        <v>0.29547960308710031</v>
      </c>
      <c r="H109" s="31">
        <v>0.16207276736493936</v>
      </c>
      <c r="I109" s="32">
        <v>8051.2437810945275</v>
      </c>
      <c r="J109" s="32">
        <v>-7652.8344671201812</v>
      </c>
      <c r="K109" s="31">
        <v>8.8050314465408799E-2</v>
      </c>
      <c r="L109" s="31">
        <v>0.23851525174568172</v>
      </c>
      <c r="M109" s="31">
        <v>0.22932745314222713</v>
      </c>
      <c r="N109" s="31">
        <v>0.52080123266563949</v>
      </c>
      <c r="O109" s="31">
        <v>0.41346153846153844</v>
      </c>
      <c r="P109" s="31">
        <v>0.44402985074626866</v>
      </c>
    </row>
    <row r="110" spans="1:16" x14ac:dyDescent="0.4">
      <c r="A110" s="33">
        <v>107</v>
      </c>
      <c r="B110" s="30">
        <v>2.6645352591003757E-14</v>
      </c>
      <c r="C110" s="30">
        <v>8.3007328943936934E-17</v>
      </c>
      <c r="D110" s="35">
        <v>1.9968847352024923</v>
      </c>
      <c r="E110" s="31">
        <v>0.3364485981308411</v>
      </c>
      <c r="F110" s="31">
        <v>0.33333333333333331</v>
      </c>
      <c r="G110" s="31">
        <v>0.29480189022173753</v>
      </c>
      <c r="H110" s="31">
        <v>0.16139585605234461</v>
      </c>
      <c r="I110" s="32">
        <v>8056.7200986436501</v>
      </c>
      <c r="J110" s="32">
        <v>-7630.8558558558561</v>
      </c>
      <c r="K110" s="31">
        <v>8.7227414330218064E-2</v>
      </c>
      <c r="L110" s="31">
        <v>0.23918575063613232</v>
      </c>
      <c r="M110" s="31">
        <v>0.22828062522719011</v>
      </c>
      <c r="N110" s="31">
        <v>0.51975683890577506</v>
      </c>
      <c r="O110" s="31">
        <v>0.41242038216560511</v>
      </c>
      <c r="P110" s="31">
        <v>0.44512946979038226</v>
      </c>
    </row>
    <row r="111" spans="1:16" x14ac:dyDescent="0.4">
      <c r="A111" s="33">
        <v>108</v>
      </c>
      <c r="B111" s="30">
        <v>3.5527136788005009E-14</v>
      </c>
      <c r="C111" s="30">
        <v>1.0965165675310187E-16</v>
      </c>
      <c r="D111" s="35">
        <v>1.9969135802469136</v>
      </c>
      <c r="E111" s="31">
        <v>0.33641975308641975</v>
      </c>
      <c r="F111" s="31">
        <v>0.33333333333333331</v>
      </c>
      <c r="G111" s="31">
        <v>0.2943722943722944</v>
      </c>
      <c r="H111" s="31">
        <v>0.16125541125541126</v>
      </c>
      <c r="I111" s="32">
        <v>8078.0637254901958</v>
      </c>
      <c r="J111" s="32">
        <v>-7619.9105145413869</v>
      </c>
      <c r="K111" s="31">
        <v>8.6419753086419748E-2</v>
      </c>
      <c r="L111" s="31">
        <v>0.23989898989898989</v>
      </c>
      <c r="M111" s="31">
        <v>0.22835497835497837</v>
      </c>
      <c r="N111" s="31">
        <v>0.5172932330827068</v>
      </c>
      <c r="O111" s="31">
        <v>0.41390205371248023</v>
      </c>
      <c r="P111" s="31">
        <v>0.44485294117647056</v>
      </c>
    </row>
    <row r="112" spans="1:16" x14ac:dyDescent="0.4">
      <c r="A112" s="33">
        <v>109</v>
      </c>
      <c r="B112" s="30">
        <v>3.7747582837255322E-14</v>
      </c>
      <c r="C112" s="30">
        <v>1.1543603314145358E-16</v>
      </c>
      <c r="D112" s="35">
        <v>1.9969418960244649</v>
      </c>
      <c r="E112" s="31">
        <v>0.3363914373088685</v>
      </c>
      <c r="F112" s="31">
        <v>0.33333333333333331</v>
      </c>
      <c r="G112" s="31">
        <v>0.29430719656283566</v>
      </c>
      <c r="H112" s="31">
        <v>0.16147511636233441</v>
      </c>
      <c r="I112" s="32">
        <v>8078.5888077858881</v>
      </c>
      <c r="J112" s="32">
        <v>-7616.4079822616404</v>
      </c>
      <c r="K112" s="31">
        <v>8.5626911314984705E-2</v>
      </c>
      <c r="L112" s="31">
        <v>0.23881131399928393</v>
      </c>
      <c r="M112" s="31">
        <v>0.22771213748657357</v>
      </c>
      <c r="N112" s="31">
        <v>0.51874062968515744</v>
      </c>
      <c r="O112" s="31">
        <v>0.41509433962264153</v>
      </c>
      <c r="P112" s="31">
        <v>0.44403892944038931</v>
      </c>
    </row>
    <row r="113" spans="1:16" x14ac:dyDescent="0.4">
      <c r="A113" s="33">
        <v>110</v>
      </c>
      <c r="B113" s="30">
        <v>3.907985046680551E-14</v>
      </c>
      <c r="C113" s="30">
        <v>1.1842378929335003E-16</v>
      </c>
      <c r="D113" s="35">
        <v>1.9969696969696971</v>
      </c>
      <c r="E113" s="31">
        <v>0.33636363636363636</v>
      </c>
      <c r="F113" s="31">
        <v>0.33333333333333331</v>
      </c>
      <c r="G113" s="31">
        <v>0.29459843638948119</v>
      </c>
      <c r="H113" s="31">
        <v>0.16062544420753375</v>
      </c>
      <c r="I113" s="32">
        <v>8071.4113389626054</v>
      </c>
      <c r="J113" s="32">
        <v>-7616.5929203539827</v>
      </c>
      <c r="K113" s="31">
        <v>8.4848484848484854E-2</v>
      </c>
      <c r="L113" s="31">
        <v>0.23880597014925373</v>
      </c>
      <c r="M113" s="31">
        <v>0.22778962331201139</v>
      </c>
      <c r="N113" s="31">
        <v>0.52083333333333337</v>
      </c>
      <c r="O113" s="31">
        <v>0.41341653666146644</v>
      </c>
      <c r="P113" s="31">
        <v>0.44752714113389624</v>
      </c>
    </row>
    <row r="114" spans="1:16" x14ac:dyDescent="0.4">
      <c r="A114" s="33">
        <v>111</v>
      </c>
      <c r="B114" s="30">
        <v>4.2632564145606011E-14</v>
      </c>
      <c r="C114" s="30">
        <v>1.2802571815497301E-16</v>
      </c>
      <c r="D114" s="35">
        <v>1.996996996996997</v>
      </c>
      <c r="E114" s="31">
        <v>0.33633633633633636</v>
      </c>
      <c r="F114" s="31">
        <v>0.33333333333333331</v>
      </c>
      <c r="G114" s="31">
        <v>0.29376750700280113</v>
      </c>
      <c r="H114" s="31">
        <v>0.15966386554621848</v>
      </c>
      <c r="I114" s="32">
        <v>8071.8712753277714</v>
      </c>
      <c r="J114" s="32">
        <v>-7627.4122807017548</v>
      </c>
      <c r="K114" s="31">
        <v>8.408408408408409E-2</v>
      </c>
      <c r="L114" s="31">
        <v>0.23844537815126052</v>
      </c>
      <c r="M114" s="31">
        <v>0.22899159663865545</v>
      </c>
      <c r="N114" s="31">
        <v>0.51982378854625555</v>
      </c>
      <c r="O114" s="31">
        <v>0.41284403669724773</v>
      </c>
      <c r="P114" s="31">
        <v>0.44934445768772346</v>
      </c>
    </row>
    <row r="115" spans="1:16" x14ac:dyDescent="0.4">
      <c r="A115" s="33">
        <v>112</v>
      </c>
      <c r="B115" s="30">
        <v>4.9737991503207013E-14</v>
      </c>
      <c r="C115" s="30">
        <v>1.4802973661668753E-16</v>
      </c>
      <c r="D115" s="35">
        <v>1.9970238095238095</v>
      </c>
      <c r="E115" s="31">
        <v>0.33630952380952384</v>
      </c>
      <c r="F115" s="31">
        <v>0.33333333333333331</v>
      </c>
      <c r="G115" s="31">
        <v>0.29340277777777779</v>
      </c>
      <c r="H115" s="31">
        <v>0.15902777777777777</v>
      </c>
      <c r="I115" s="32">
        <v>8091.0059171597632</v>
      </c>
      <c r="J115" s="32">
        <v>-7637.7729257641922</v>
      </c>
      <c r="K115" s="31">
        <v>8.6309523809523808E-2</v>
      </c>
      <c r="L115" s="31">
        <v>0.23923611111111112</v>
      </c>
      <c r="M115" s="31">
        <v>0.22847222222222222</v>
      </c>
      <c r="N115" s="31">
        <v>0.51814223512336721</v>
      </c>
      <c r="O115" s="31">
        <v>0.41337386018237082</v>
      </c>
      <c r="P115" s="31">
        <v>0.45088757396449702</v>
      </c>
    </row>
    <row r="116" spans="1:16" x14ac:dyDescent="0.4">
      <c r="A116" s="33">
        <v>113</v>
      </c>
      <c r="B116" s="30">
        <v>4.9737991503207013E-14</v>
      </c>
      <c r="C116" s="30">
        <v>1.4671973894751331E-16</v>
      </c>
      <c r="D116" s="35">
        <v>1.9970501474926254</v>
      </c>
      <c r="E116" s="31">
        <v>0.33628318584070799</v>
      </c>
      <c r="F116" s="31">
        <v>0.33333333333333331</v>
      </c>
      <c r="G116" s="31">
        <v>0.29269972451790632</v>
      </c>
      <c r="H116" s="31">
        <v>0.15874655647382921</v>
      </c>
      <c r="I116" s="32">
        <v>8089.0588235294117</v>
      </c>
      <c r="J116" s="32">
        <v>-7638.8286334056402</v>
      </c>
      <c r="K116" s="31">
        <v>8.5545722713864306E-2</v>
      </c>
      <c r="L116" s="31">
        <v>0.23863636363636365</v>
      </c>
      <c r="M116" s="31">
        <v>0.22692837465564739</v>
      </c>
      <c r="N116" s="31">
        <v>0.51803751803751807</v>
      </c>
      <c r="O116" s="31">
        <v>0.41426403641881637</v>
      </c>
      <c r="P116" s="31">
        <v>0.45058823529411762</v>
      </c>
    </row>
    <row r="117" spans="1:16" x14ac:dyDescent="0.4">
      <c r="A117" s="33">
        <v>114</v>
      </c>
      <c r="B117" s="30">
        <v>4.9737991503207013E-14</v>
      </c>
      <c r="C117" s="30">
        <v>1.4543272369358775E-16</v>
      </c>
      <c r="D117" s="35">
        <v>1.9970760233918128</v>
      </c>
      <c r="E117" s="31">
        <v>0.33625730994152048</v>
      </c>
      <c r="F117" s="31">
        <v>0.33333333333333331</v>
      </c>
      <c r="G117" s="31">
        <v>0.29247531494722506</v>
      </c>
      <c r="H117" s="31">
        <v>0.15934627170582227</v>
      </c>
      <c r="I117" s="32">
        <v>8098.2537834691502</v>
      </c>
      <c r="J117" s="32">
        <v>-7645.7264957264961</v>
      </c>
      <c r="K117" s="31">
        <v>8.4795321637426896E-2</v>
      </c>
      <c r="L117" s="31">
        <v>0.23765747361252978</v>
      </c>
      <c r="M117" s="31">
        <v>0.22676200204290092</v>
      </c>
      <c r="N117" s="31">
        <v>0.51862464183381085</v>
      </c>
      <c r="O117" s="31">
        <v>0.4144144144144144</v>
      </c>
      <c r="P117" s="31">
        <v>0.44819557625145517</v>
      </c>
    </row>
    <row r="118" spans="1:16" x14ac:dyDescent="0.4">
      <c r="A118" s="33">
        <v>115</v>
      </c>
      <c r="B118" s="30">
        <v>4.9737991503207013E-14</v>
      </c>
      <c r="C118" s="30">
        <v>1.4416809131364351E-16</v>
      </c>
      <c r="D118" s="35">
        <v>1.9971014492753623</v>
      </c>
      <c r="E118" s="31">
        <v>0.336231884057971</v>
      </c>
      <c r="F118" s="31">
        <v>0.33333333333333331</v>
      </c>
      <c r="G118" s="31">
        <v>0.2927653820148749</v>
      </c>
      <c r="H118" s="31">
        <v>0.15956727518593644</v>
      </c>
      <c r="I118" s="32">
        <v>8106.4665127020789</v>
      </c>
      <c r="J118" s="32">
        <v>-7648.9406779661012</v>
      </c>
      <c r="K118" s="31">
        <v>8.4057971014492749E-2</v>
      </c>
      <c r="L118" s="31">
        <v>0.23867478025693037</v>
      </c>
      <c r="M118" s="31">
        <v>0.22616632860040567</v>
      </c>
      <c r="N118" s="31">
        <v>0.51983002832861192</v>
      </c>
      <c r="O118" s="31">
        <v>0.41554559043348283</v>
      </c>
      <c r="P118" s="31">
        <v>0.44803695150115475</v>
      </c>
    </row>
    <row r="119" spans="1:16" x14ac:dyDescent="0.4">
      <c r="A119" s="33">
        <v>116</v>
      </c>
      <c r="B119" s="30">
        <v>4.9737991503207013E-14</v>
      </c>
      <c r="C119" s="30">
        <v>1.4292526294025004E-16</v>
      </c>
      <c r="D119" s="35">
        <v>1.9971264367816093</v>
      </c>
      <c r="E119" s="31">
        <v>0.33620689655172414</v>
      </c>
      <c r="F119" s="31">
        <v>0.33333333333333331</v>
      </c>
      <c r="G119" s="31">
        <v>0.29313232830820768</v>
      </c>
      <c r="H119" s="31">
        <v>0.15979899497487438</v>
      </c>
      <c r="I119" s="32">
        <v>8110.4</v>
      </c>
      <c r="J119" s="32">
        <v>-7662.4737945492661</v>
      </c>
      <c r="K119" s="31">
        <v>8.3333333333333329E-2</v>
      </c>
      <c r="L119" s="31">
        <v>0.23919597989949748</v>
      </c>
      <c r="M119" s="31">
        <v>0.22579564489112228</v>
      </c>
      <c r="N119" s="31">
        <v>0.52240896358543421</v>
      </c>
      <c r="O119" s="31">
        <v>0.41543026706231456</v>
      </c>
      <c r="P119" s="31">
        <v>0.44800000000000001</v>
      </c>
    </row>
    <row r="120" spans="1:16" x14ac:dyDescent="0.4">
      <c r="A120" s="33">
        <v>117</v>
      </c>
      <c r="B120" s="30">
        <v>4.2632564145606011E-14</v>
      </c>
      <c r="C120" s="30">
        <v>1.2146029671112825E-16</v>
      </c>
      <c r="D120" s="35">
        <v>1.9971509971509971</v>
      </c>
      <c r="E120" s="31">
        <v>0.33618233618233617</v>
      </c>
      <c r="F120" s="31">
        <v>0.33333333333333331</v>
      </c>
      <c r="G120" s="31">
        <v>0.29290921139827703</v>
      </c>
      <c r="H120" s="31">
        <v>0.15937707090788603</v>
      </c>
      <c r="I120" s="32">
        <v>8124.7737556561087</v>
      </c>
      <c r="J120" s="32">
        <v>-7722.869022869023</v>
      </c>
      <c r="K120" s="31">
        <v>8.5470085470085472E-2</v>
      </c>
      <c r="L120" s="31">
        <v>0.23923127899271041</v>
      </c>
      <c r="M120" s="31">
        <v>0.22597746852220013</v>
      </c>
      <c r="N120" s="31">
        <v>0.51939058171745156</v>
      </c>
      <c r="O120" s="31">
        <v>0.41788856304985339</v>
      </c>
      <c r="P120" s="31">
        <v>0.4490950226244344</v>
      </c>
    </row>
    <row r="121" spans="1:16" x14ac:dyDescent="0.4">
      <c r="A121" s="33">
        <v>118</v>
      </c>
      <c r="B121" s="30">
        <v>4.2632564145606011E-14</v>
      </c>
      <c r="C121" s="30">
        <v>1.2043097216272884E-16</v>
      </c>
      <c r="D121" s="35">
        <v>1.9971751412429379</v>
      </c>
      <c r="E121" s="31">
        <v>0.33615819209039549</v>
      </c>
      <c r="F121" s="31">
        <v>0.33333333333333331</v>
      </c>
      <c r="G121" s="31">
        <v>0.29318854886475815</v>
      </c>
      <c r="H121" s="31">
        <v>0.15926291543270812</v>
      </c>
      <c r="I121" s="32">
        <v>8142.6487093153764</v>
      </c>
      <c r="J121" s="32">
        <v>-7714.4628099173551</v>
      </c>
      <c r="K121" s="31">
        <v>8.4745762711864403E-2</v>
      </c>
      <c r="L121" s="31">
        <v>0.24053965120105297</v>
      </c>
      <c r="M121" s="31">
        <v>0.22606120434353405</v>
      </c>
      <c r="N121" s="31">
        <v>0.51983584131326954</v>
      </c>
      <c r="O121" s="31">
        <v>0.41630276564774382</v>
      </c>
      <c r="P121" s="31">
        <v>0.45005611672278339</v>
      </c>
    </row>
    <row r="122" spans="1:16" x14ac:dyDescent="0.4">
      <c r="A122" s="33">
        <v>119</v>
      </c>
      <c r="B122" s="30">
        <v>4.2632564145606011E-14</v>
      </c>
      <c r="C122" s="30">
        <v>1.1941894718657145E-16</v>
      </c>
      <c r="D122" s="35">
        <v>1.9971988795518207</v>
      </c>
      <c r="E122" s="31">
        <v>0.33613445378151263</v>
      </c>
      <c r="F122" s="31">
        <v>0.33333333333333331</v>
      </c>
      <c r="G122" s="31">
        <v>0.29346405228758171</v>
      </c>
      <c r="H122" s="31">
        <v>0.15947712418300652</v>
      </c>
      <c r="I122" s="32">
        <v>8114.0311804008907</v>
      </c>
      <c r="J122" s="32">
        <v>-7670.0819672131147</v>
      </c>
      <c r="K122" s="31">
        <v>8.4033613445378158E-2</v>
      </c>
      <c r="L122" s="31">
        <v>0.24019607843137256</v>
      </c>
      <c r="M122" s="31">
        <v>0.22712418300653595</v>
      </c>
      <c r="N122" s="31">
        <v>0.51972789115646256</v>
      </c>
      <c r="O122" s="31">
        <v>0.41438848920863308</v>
      </c>
      <c r="P122" s="31">
        <v>0.44988864142538976</v>
      </c>
    </row>
    <row r="123" spans="1:16" x14ac:dyDescent="0.4">
      <c r="A123" s="33">
        <v>120</v>
      </c>
      <c r="B123" s="30">
        <v>3.5527136788005009E-14</v>
      </c>
      <c r="C123" s="30">
        <v>9.8686491077791687E-17</v>
      </c>
      <c r="D123" s="35">
        <v>1.9972222222222222</v>
      </c>
      <c r="E123" s="31">
        <v>0.33611111111111114</v>
      </c>
      <c r="F123" s="31">
        <v>0.33333333333333331</v>
      </c>
      <c r="G123" s="31">
        <v>0.29348882410106902</v>
      </c>
      <c r="H123" s="31">
        <v>0.15970197602850664</v>
      </c>
      <c r="I123" s="32">
        <v>8087.969094922737</v>
      </c>
      <c r="J123" s="32">
        <v>-7639.7565922920894</v>
      </c>
      <c r="K123" s="31">
        <v>8.611111111111111E-2</v>
      </c>
      <c r="L123" s="31">
        <v>0.23971493359248461</v>
      </c>
      <c r="M123" s="31">
        <v>0.22708130871396179</v>
      </c>
      <c r="N123" s="31">
        <v>0.51891891891891895</v>
      </c>
      <c r="O123" s="31">
        <v>0.41512125534950073</v>
      </c>
      <c r="P123" s="31">
        <v>0.44922737306843269</v>
      </c>
    </row>
    <row r="124" spans="1:16" x14ac:dyDescent="0.4">
      <c r="A124" s="33">
        <v>121</v>
      </c>
      <c r="B124" s="30">
        <v>3.5527136788005009E-14</v>
      </c>
      <c r="C124" s="30">
        <v>9.7870900242438045E-17</v>
      </c>
      <c r="D124" s="35">
        <v>1.997245179063361</v>
      </c>
      <c r="E124" s="31">
        <v>0.33608815426997246</v>
      </c>
      <c r="F124" s="31">
        <v>0.33333333333333331</v>
      </c>
      <c r="G124" s="31">
        <v>0.2933977455716586</v>
      </c>
      <c r="H124" s="31">
        <v>0.15974235104669887</v>
      </c>
      <c r="I124" s="32">
        <v>8116.0263446761801</v>
      </c>
      <c r="J124" s="32">
        <v>-7666.1290322580644</v>
      </c>
      <c r="K124" s="31">
        <v>8.8154269972451793E-2</v>
      </c>
      <c r="L124" s="31">
        <v>0.23961352657004831</v>
      </c>
      <c r="M124" s="31">
        <v>0.22737520128824476</v>
      </c>
      <c r="N124" s="31">
        <v>0.521505376344086</v>
      </c>
      <c r="O124" s="31">
        <v>0.41218130311614731</v>
      </c>
      <c r="P124" s="31">
        <v>0.44895718990120748</v>
      </c>
    </row>
    <row r="125" spans="1:16" x14ac:dyDescent="0.4">
      <c r="A125" s="33">
        <v>122</v>
      </c>
      <c r="B125" s="30">
        <v>3.730349362740526E-14</v>
      </c>
      <c r="C125" s="30">
        <v>1.0192211373607995E-16</v>
      </c>
      <c r="D125" s="35">
        <v>1.9972677595628416</v>
      </c>
      <c r="E125" s="31">
        <v>0.33606557377049179</v>
      </c>
      <c r="F125" s="31">
        <v>0.33333333333333331</v>
      </c>
      <c r="G125" s="31">
        <v>0.29353709009869466</v>
      </c>
      <c r="H125" s="31">
        <v>0.15982171283030883</v>
      </c>
      <c r="I125" s="32">
        <v>8126.355748373102</v>
      </c>
      <c r="J125" s="32">
        <v>-7660.3585657370522</v>
      </c>
      <c r="K125" s="31">
        <v>8.7431693989071038E-2</v>
      </c>
      <c r="L125" s="31">
        <v>0.24036930913721744</v>
      </c>
      <c r="M125" s="31">
        <v>0.2282712511938873</v>
      </c>
      <c r="N125" s="31">
        <v>0.52052980132450333</v>
      </c>
      <c r="O125" s="31">
        <v>0.41143654114365413</v>
      </c>
      <c r="P125" s="31">
        <v>0.44902386117136661</v>
      </c>
    </row>
    <row r="126" spans="1:16" x14ac:dyDescent="0.4">
      <c r="A126" s="33">
        <v>123</v>
      </c>
      <c r="B126" s="30">
        <v>3.5527136788005009E-14</v>
      </c>
      <c r="C126" s="30">
        <v>9.6279503490528487E-17</v>
      </c>
      <c r="D126" s="35">
        <v>1.9972899728997291</v>
      </c>
      <c r="E126" s="31">
        <v>0.33604336043360433</v>
      </c>
      <c r="F126" s="31">
        <v>0.33333333333333331</v>
      </c>
      <c r="G126" s="31">
        <v>0.29300567107750475</v>
      </c>
      <c r="H126" s="31">
        <v>0.15973534971644612</v>
      </c>
      <c r="I126" s="32">
        <v>8116.0215053763441</v>
      </c>
      <c r="J126" s="32">
        <v>-7619.1321499013802</v>
      </c>
      <c r="K126" s="31">
        <v>8.6720867208672087E-2</v>
      </c>
      <c r="L126" s="31">
        <v>0.24322621298046629</v>
      </c>
      <c r="M126" s="31">
        <v>0.2262129804662886</v>
      </c>
      <c r="N126" s="31">
        <v>0.51683937823834192</v>
      </c>
      <c r="O126" s="31">
        <v>0.41225626740947074</v>
      </c>
      <c r="P126" s="31">
        <v>0.44838709677419353</v>
      </c>
    </row>
    <row r="127" spans="1:16" x14ac:dyDescent="0.4">
      <c r="A127" s="33">
        <v>124</v>
      </c>
      <c r="B127" s="30">
        <v>3.5527136788005009E-14</v>
      </c>
      <c r="C127" s="30">
        <v>9.5503055881733897E-17</v>
      </c>
      <c r="D127" s="35">
        <v>1.9973118279569892</v>
      </c>
      <c r="E127" s="31">
        <v>0.33602150537634407</v>
      </c>
      <c r="F127" s="31">
        <v>0.33333333333333331</v>
      </c>
      <c r="G127" s="31">
        <v>0.29299562226391496</v>
      </c>
      <c r="H127" s="31">
        <v>0.16010006253908693</v>
      </c>
      <c r="I127" s="32">
        <v>8103.8420490928493</v>
      </c>
      <c r="J127" s="32">
        <v>-7604.1015625</v>
      </c>
      <c r="K127" s="31">
        <v>8.6021505376344093E-2</v>
      </c>
      <c r="L127" s="31">
        <v>0.24390243902439024</v>
      </c>
      <c r="M127" s="31">
        <v>0.22576610381488429</v>
      </c>
      <c r="N127" s="31">
        <v>0.517948717948718</v>
      </c>
      <c r="O127" s="31">
        <v>0.41135734072022162</v>
      </c>
      <c r="P127" s="31">
        <v>0.44717182497331909</v>
      </c>
    </row>
    <row r="128" spans="1:16" x14ac:dyDescent="0.4">
      <c r="A128" s="33">
        <v>125</v>
      </c>
      <c r="B128" s="30">
        <v>3.5527136788005009E-14</v>
      </c>
      <c r="C128" s="30">
        <v>9.4739031434680031E-17</v>
      </c>
      <c r="D128" s="35">
        <v>1.9973333333333334</v>
      </c>
      <c r="E128" s="31">
        <v>0.33600000000000002</v>
      </c>
      <c r="F128" s="31">
        <v>0.33333333333333331</v>
      </c>
      <c r="G128" s="31">
        <v>0.29298572315332094</v>
      </c>
      <c r="H128" s="31">
        <v>0.16045934202358783</v>
      </c>
      <c r="I128" s="32">
        <v>8109.2161016949149</v>
      </c>
      <c r="J128" s="32">
        <v>-7614.506769825919</v>
      </c>
      <c r="K128" s="31">
        <v>8.533333333333333E-2</v>
      </c>
      <c r="L128" s="31">
        <v>0.24487895716945995</v>
      </c>
      <c r="M128" s="31">
        <v>0.22501551831160771</v>
      </c>
      <c r="N128" s="31">
        <v>0.51837769328263628</v>
      </c>
      <c r="O128" s="31">
        <v>0.40965517241379312</v>
      </c>
      <c r="P128" s="31">
        <v>0.44597457627118642</v>
      </c>
    </row>
    <row r="129" spans="1:16" x14ac:dyDescent="0.4">
      <c r="A129" s="33">
        <v>126</v>
      </c>
      <c r="B129" s="30">
        <v>3.5527136788005009E-14</v>
      </c>
      <c r="C129" s="30">
        <v>9.3987134359801607E-17</v>
      </c>
      <c r="D129" s="35">
        <v>1.9973544973544974</v>
      </c>
      <c r="E129" s="31">
        <v>0.33597883597883599</v>
      </c>
      <c r="F129" s="31">
        <v>0.33333333333333331</v>
      </c>
      <c r="G129" s="31">
        <v>0.29263028060437868</v>
      </c>
      <c r="H129" s="31">
        <v>0.16003700277520813</v>
      </c>
      <c r="I129" s="32">
        <v>8114.9631190727077</v>
      </c>
      <c r="J129" s="32">
        <v>-7623.6994219653179</v>
      </c>
      <c r="K129" s="31">
        <v>8.7301587301587297E-2</v>
      </c>
      <c r="L129" s="31">
        <v>0.24545174221399937</v>
      </c>
      <c r="M129" s="31">
        <v>0.22510021584952206</v>
      </c>
      <c r="N129" s="31">
        <v>0.51633165829145733</v>
      </c>
      <c r="O129" s="31">
        <v>0.40821917808219177</v>
      </c>
      <c r="P129" s="31">
        <v>0.44678609062170704</v>
      </c>
    </row>
    <row r="130" spans="1:16" x14ac:dyDescent="0.4">
      <c r="A130" s="33">
        <v>127</v>
      </c>
      <c r="B130" s="30">
        <v>3.5527136788005009E-14</v>
      </c>
      <c r="C130" s="30">
        <v>9.3247078183740181E-17</v>
      </c>
      <c r="D130" s="35">
        <v>1.9973753280839894</v>
      </c>
      <c r="E130" s="31">
        <v>0.33595800524934383</v>
      </c>
      <c r="F130" s="31">
        <v>0.33333333333333331</v>
      </c>
      <c r="G130" s="31">
        <v>0.29296636085626909</v>
      </c>
      <c r="H130" s="31">
        <v>0.16085626911314985</v>
      </c>
      <c r="I130" s="32">
        <v>8124.321503131524</v>
      </c>
      <c r="J130" s="32">
        <v>-7640.1140684410648</v>
      </c>
      <c r="K130" s="31">
        <v>8.6614173228346455E-2</v>
      </c>
      <c r="L130" s="31">
        <v>0.24495412844036699</v>
      </c>
      <c r="M130" s="31">
        <v>0.22599388379204893</v>
      </c>
      <c r="N130" s="31">
        <v>0.5168539325842697</v>
      </c>
      <c r="O130" s="31">
        <v>0.40730717185385656</v>
      </c>
      <c r="P130" s="31">
        <v>0.44467640918580376</v>
      </c>
    </row>
    <row r="131" spans="1:16" x14ac:dyDescent="0.4">
      <c r="A131" s="33">
        <v>128</v>
      </c>
      <c r="B131" s="30">
        <v>3.5527136788005009E-14</v>
      </c>
      <c r="C131" s="30">
        <v>9.2518585385429716E-17</v>
      </c>
      <c r="D131" s="35">
        <v>1.9973958333333333</v>
      </c>
      <c r="E131" s="31">
        <v>0.3359375</v>
      </c>
      <c r="F131" s="31">
        <v>0.33333333333333331</v>
      </c>
      <c r="G131" s="31">
        <v>0.29322394408994229</v>
      </c>
      <c r="H131" s="31">
        <v>0.16165299301124278</v>
      </c>
      <c r="I131" s="32">
        <v>8119.6891191709847</v>
      </c>
      <c r="J131" s="32">
        <v>-7637.9699248120305</v>
      </c>
      <c r="K131" s="31">
        <v>8.8541666666666671E-2</v>
      </c>
      <c r="L131" s="31">
        <v>0.24491036159222121</v>
      </c>
      <c r="M131" s="31">
        <v>0.22576724399878456</v>
      </c>
      <c r="N131" s="31">
        <v>0.51736972704714645</v>
      </c>
      <c r="O131" s="31">
        <v>0.40780619111709288</v>
      </c>
      <c r="P131" s="31">
        <v>0.44248704663212435</v>
      </c>
    </row>
    <row r="132" spans="1:16" x14ac:dyDescent="0.4">
      <c r="A132" s="33">
        <v>129</v>
      </c>
      <c r="B132" s="30">
        <v>4.2632564145606011E-14</v>
      </c>
      <c r="C132" s="30">
        <v>1.1016166445893026E-16</v>
      </c>
      <c r="D132" s="35">
        <v>1.9974160206718345</v>
      </c>
      <c r="E132" s="31">
        <v>0.33591731266149871</v>
      </c>
      <c r="F132" s="31">
        <v>0.33333333333333331</v>
      </c>
      <c r="G132" s="31">
        <v>0.29332129963898917</v>
      </c>
      <c r="H132" s="31">
        <v>0.16125150421179302</v>
      </c>
      <c r="I132" s="32">
        <v>8101.1282051282051</v>
      </c>
      <c r="J132" s="32">
        <v>-7635.6343283582091</v>
      </c>
      <c r="K132" s="31">
        <v>9.0439276485788117E-2</v>
      </c>
      <c r="L132" s="31">
        <v>0.24458483754512636</v>
      </c>
      <c r="M132" s="31">
        <v>0.22503008423586041</v>
      </c>
      <c r="N132" s="31">
        <v>0.5178351783517835</v>
      </c>
      <c r="O132" s="31">
        <v>0.40775401069518719</v>
      </c>
      <c r="P132" s="31">
        <v>0.44307692307692309</v>
      </c>
    </row>
    <row r="133" spans="1:16" x14ac:dyDescent="0.4">
      <c r="A133" s="33">
        <v>130</v>
      </c>
      <c r="B133" s="30">
        <v>4.6185277824406512E-14</v>
      </c>
      <c r="C133" s="30">
        <v>1.1842378929335003E-16</v>
      </c>
      <c r="D133" s="35">
        <v>1.9974358974358974</v>
      </c>
      <c r="E133" s="31">
        <v>0.33589743589743587</v>
      </c>
      <c r="F133" s="31">
        <v>0.33333333333333331</v>
      </c>
      <c r="G133" s="31">
        <v>0.29304685168606387</v>
      </c>
      <c r="H133" s="31">
        <v>0.16114592658907789</v>
      </c>
      <c r="I133" s="32">
        <v>8087.7800407331979</v>
      </c>
      <c r="J133" s="32">
        <v>-7627.0370370370374</v>
      </c>
      <c r="K133" s="31">
        <v>8.9743589743589744E-2</v>
      </c>
      <c r="L133" s="31">
        <v>0.24410623694419575</v>
      </c>
      <c r="M133" s="31">
        <v>0.22649955237242614</v>
      </c>
      <c r="N133" s="31">
        <v>0.51955990220048898</v>
      </c>
      <c r="O133" s="31">
        <v>0.40579710144927539</v>
      </c>
      <c r="P133" s="31">
        <v>0.44297352342158858</v>
      </c>
    </row>
    <row r="134" spans="1:16" x14ac:dyDescent="0.4">
      <c r="A134" s="33">
        <v>131</v>
      </c>
      <c r="B134" s="30">
        <v>4.6185277824406512E-14</v>
      </c>
      <c r="C134" s="30">
        <v>1.1751979090179773E-16</v>
      </c>
      <c r="D134" s="35">
        <v>1.9974554707379135</v>
      </c>
      <c r="E134" s="31">
        <v>0.33587786259541985</v>
      </c>
      <c r="F134" s="31">
        <v>0.33333333333333331</v>
      </c>
      <c r="G134" s="31">
        <v>0.29333333333333333</v>
      </c>
      <c r="H134" s="31">
        <v>0.16148148148148148</v>
      </c>
      <c r="I134" s="32">
        <v>8075.5555555555557</v>
      </c>
      <c r="J134" s="32">
        <v>-7616.6972477064219</v>
      </c>
      <c r="K134" s="31">
        <v>8.9058524173027995E-2</v>
      </c>
      <c r="L134" s="31">
        <v>0.24414814814814814</v>
      </c>
      <c r="M134" s="31">
        <v>0.22755555555555557</v>
      </c>
      <c r="N134" s="31">
        <v>0.52063106796116509</v>
      </c>
      <c r="O134" s="31">
        <v>0.40625</v>
      </c>
      <c r="P134" s="31">
        <v>0.44242424242424244</v>
      </c>
    </row>
    <row r="135" spans="1:16" x14ac:dyDescent="0.4">
      <c r="A135" s="33">
        <v>132</v>
      </c>
      <c r="B135" s="30">
        <v>4.9737991503207013E-14</v>
      </c>
      <c r="C135" s="30">
        <v>1.2560098864446215E-16</v>
      </c>
      <c r="D135" s="35">
        <v>1.9974747474747474</v>
      </c>
      <c r="E135" s="31">
        <v>0.33585858585858586</v>
      </c>
      <c r="F135" s="31">
        <v>0.33333333333333331</v>
      </c>
      <c r="G135" s="31">
        <v>0.29335684891240449</v>
      </c>
      <c r="H135" s="31">
        <v>0.16137566137566137</v>
      </c>
      <c r="I135" s="32">
        <v>8079.1583166332666</v>
      </c>
      <c r="J135" s="32">
        <v>-7615.3005464480875</v>
      </c>
      <c r="K135" s="31">
        <v>8.8383838383838384E-2</v>
      </c>
      <c r="L135" s="31">
        <v>0.2430922986478542</v>
      </c>
      <c r="M135" s="31">
        <v>0.22810111699000588</v>
      </c>
      <c r="N135" s="31">
        <v>0.5211608222490931</v>
      </c>
      <c r="O135" s="31">
        <v>0.40592783505154639</v>
      </c>
      <c r="P135" s="31">
        <v>0.44288577154308617</v>
      </c>
    </row>
    <row r="136" spans="1:16" x14ac:dyDescent="0.4">
      <c r="A136" s="33">
        <v>133</v>
      </c>
      <c r="B136" s="30">
        <v>5.0404125317982107E-14</v>
      </c>
      <c r="C136" s="30">
        <v>1.2632612861649651E-16</v>
      </c>
      <c r="D136" s="35">
        <v>1.9974937343358397</v>
      </c>
      <c r="E136" s="31">
        <v>0.33583959899749372</v>
      </c>
      <c r="F136" s="31">
        <v>0.33333333333333331</v>
      </c>
      <c r="G136" s="31">
        <v>0.29334500875656744</v>
      </c>
      <c r="H136" s="31">
        <v>0.16053706946876825</v>
      </c>
      <c r="I136" s="32">
        <v>8100.5970149253735</v>
      </c>
      <c r="J136" s="32">
        <v>-7610.909090909091</v>
      </c>
      <c r="K136" s="31">
        <v>8.771929824561403E-2</v>
      </c>
      <c r="L136" s="31">
        <v>0.24460011675423235</v>
      </c>
      <c r="M136" s="31">
        <v>0.22708698190309398</v>
      </c>
      <c r="N136" s="31">
        <v>0.52028639618138428</v>
      </c>
      <c r="O136" s="31">
        <v>0.40616966580976865</v>
      </c>
      <c r="P136" s="31">
        <v>0.44577114427860698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882</vt:i4>
      </vt:variant>
    </vt:vector>
  </HeadingPairs>
  <TitlesOfParts>
    <vt:vector size="92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やなぎ</vt:lpstr>
      <vt:lpstr>いっしー</vt:lpstr>
      <vt:lpstr>いっしー2</vt:lpstr>
      <vt:lpstr>やなぎ2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いっしー!アガリ数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やなぎ!アガリ数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いっしー!アガリ率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やなぎ!アガリ率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やなぎ!ダマアガリ数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やなぎ!ダマアガリ率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やなぎ!チョンボ数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やなぎ!チョンボ率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いっしー!ツモ数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やなぎ!ツモ数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いっしー!ツモ率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やなぎ!ツモ率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いっしー!トップ数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やなぎ!トップ数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いっしー!トップ率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やなぎ!トップ率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いっしー!バランス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やなぎ!バランス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やなぎ!ふっとび数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やなぎ!ふっとび率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いっしー!ラス数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やなぎ!ラス数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いっしー!ラス率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やなぎ!ラス率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やなぎ!リーチアガリ数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やなぎ!リーチアガリ率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いっしー!リーチ数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やなぎ!リーチ数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やなぎ!リーチ成功数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やなぎ!リーチ成功率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やなぎ!リーチ率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いっしー!レーティング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やなぎ!レーティング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いっしー!ロン数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やなぎ!ロン数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いっしー!ロン率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やなぎ!ロン率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やなぎ!一位スコア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やなぎ!一位通算スコア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いっしー!一翻数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やなぎ!一翻数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いっしー!一翻率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やなぎ!一翻率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やなぎ!現行連続アガリ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やなぎ!現行連続無放銃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いっしー!最高点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やなぎ!最高点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やなぎ!最大ドラ数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やなぎ!最大点数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やなぎ!三位スコア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やなぎ!三位通算スコア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いっしー!総局数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やなぎ!総局数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いっしー!対戦数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やなぎ!対戦数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やなぎ!通算アガリ点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やなぎ!通算スコア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やなぎ!通算副露アガリ点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やなぎ!通算放銃点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やなぎ!通算門前アガリ点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やなぎ!二位スコア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いっしー!二位数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やなぎ!二位数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やなぎ!二位通算スコア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いっしー!二位率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やなぎ!二位率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やなぎ!副露アガリ数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やなぎ!副露アガリ点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やなぎ!副露アガリ率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いっしー!副露数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やなぎ!副露数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やなぎ!副露成功数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やなぎ!副露成功率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いっしー!副露率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やなぎ!副露率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やなぎ!平均アガリ点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やなぎ!平均スコア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いっしー!平均順位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やなぎ!平均順位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やなぎ!平均放銃点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いっしー!放銃数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やなぎ!放銃数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いっしー!放銃率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やなぎ!放銃率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いっしー!名前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やなぎ!名前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やなぎ!門前アガリ点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やなぎ!連続アガリ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やなぎ!連続無放銃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2020-12-11T08:36:48Z</dcterms:modified>
</cp:coreProperties>
</file>