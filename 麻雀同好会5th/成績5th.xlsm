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15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16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7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8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19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1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2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3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24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25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6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27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28.xml" ContentType="application/vnd.openxmlformats-officedocument.drawing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"/>
    </mc:Choice>
  </mc:AlternateContent>
  <xr:revisionPtr revIDLastSave="0" documentId="13_ncr:1_{F7B7A0B6-A1C5-4DA2-8D6B-403EC3BAE29D}" xr6:coauthVersionLast="45" xr6:coauthVersionMax="45" xr10:uidLastSave="{00000000-0000-0000-0000-000000000000}"/>
  <bookViews>
    <workbookView xWindow="-28920" yWindow="-120" windowWidth="29040" windowHeight="1599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716" r:id="rId6"/>
    <sheet name="だいち" sheetId="6718" r:id="rId7"/>
    <sheet name="れんたろう" sheetId="6720" r:id="rId8"/>
    <sheet name="たかの" sheetId="6722" r:id="rId9"/>
    <sheet name="まっつん" sheetId="6724" r:id="rId10"/>
    <sheet name="いちかわ" sheetId="6726" r:id="rId11"/>
    <sheet name="ただ" sheetId="6728" r:id="rId12"/>
    <sheet name="たか" sheetId="6730" r:id="rId13"/>
    <sheet name="のり" sheetId="6732" r:id="rId14"/>
    <sheet name="りくと" sheetId="6734" r:id="rId15"/>
    <sheet name="わさび" sheetId="6736" r:id="rId16"/>
    <sheet name="わさび2" sheetId="6737" state="hidden" r:id="rId17"/>
    <sheet name="りくと2" sheetId="6735" state="hidden" r:id="rId18"/>
    <sheet name="のり2" sheetId="6733" state="hidden" r:id="rId19"/>
    <sheet name="たか2" sheetId="6731" state="hidden" r:id="rId20"/>
    <sheet name="ただ2" sheetId="6729" state="hidden" r:id="rId21"/>
    <sheet name="いちかわ2" sheetId="6727" state="hidden" r:id="rId22"/>
    <sheet name="まっつん2" sheetId="6725" state="hidden" r:id="rId23"/>
    <sheet name="たかの2" sheetId="6723" state="hidden" r:id="rId24"/>
    <sheet name="れんたろう2" sheetId="6721" state="hidden" r:id="rId25"/>
    <sheet name="だいち2" sheetId="6719" state="hidden" r:id="rId26"/>
    <sheet name="全体2" sheetId="6717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リーチ率" sheetId="3524" state="hidden" r:id="rId38"/>
    <sheet name="副露率" sheetId="3525" state="hidden" r:id="rId39"/>
    <sheet name="リーチ成功率" sheetId="4841" state="hidden" r:id="rId40"/>
    <sheet name="副露成功率" sheetId="3527" state="hidden" r:id="rId41"/>
    <sheet name="ツモ率" sheetId="3528" state="hidden" r:id="rId42"/>
  </sheets>
  <definedNames>
    <definedName name="アガリ数" localSheetId="3">Template1!$B$20</definedName>
    <definedName name="アガリ数" localSheetId="10">いちかわ!$B$20</definedName>
    <definedName name="アガリ数" localSheetId="6">だいち!$B$20</definedName>
    <definedName name="アガリ数" localSheetId="12">たか!$B$20</definedName>
    <definedName name="アガリ数" localSheetId="8">たかの!$B$20</definedName>
    <definedName name="アガリ数" localSheetId="11">ただ!$B$20</definedName>
    <definedName name="アガリ数" localSheetId="13">のり!$B$20</definedName>
    <definedName name="アガリ数" localSheetId="9">まっつん!$B$20</definedName>
    <definedName name="アガリ数" localSheetId="14">りくと!$B$20</definedName>
    <definedName name="アガリ数" localSheetId="7">れんたろう!$B$20</definedName>
    <definedName name="アガリ数" localSheetId="15">わさび!$B$20</definedName>
    <definedName name="アガリ数" localSheetId="5">全体!$B$20</definedName>
    <definedName name="アガリ率" localSheetId="3">Template1!$C$20</definedName>
    <definedName name="アガリ率" localSheetId="10">いちかわ!$C$20</definedName>
    <definedName name="アガリ率" localSheetId="6">だいち!$C$20</definedName>
    <definedName name="アガリ率" localSheetId="12">たか!$C$20</definedName>
    <definedName name="アガリ率" localSheetId="8">たかの!$C$20</definedName>
    <definedName name="アガリ率" localSheetId="11">ただ!$C$20</definedName>
    <definedName name="アガリ率" localSheetId="13">のり!$C$20</definedName>
    <definedName name="アガリ率" localSheetId="9">まっつん!$C$20</definedName>
    <definedName name="アガリ率" localSheetId="14">りくと!$C$20</definedName>
    <definedName name="アガリ率" localSheetId="7">れんたろう!$C$20</definedName>
    <definedName name="アガリ率" localSheetId="15">わさび!$C$20</definedName>
    <definedName name="アガリ率" localSheetId="5">全体!$C$20</definedName>
    <definedName name="ダマアガリ数" localSheetId="3">Template1!$B$26</definedName>
    <definedName name="ダマアガリ数" localSheetId="10">いちかわ!$B$26</definedName>
    <definedName name="ダマアガリ数" localSheetId="6">だいち!$B$26</definedName>
    <definedName name="ダマアガリ数" localSheetId="12">たか!$B$26</definedName>
    <definedName name="ダマアガリ数" localSheetId="8">たかの!$B$26</definedName>
    <definedName name="ダマアガリ数" localSheetId="11">ただ!$B$26</definedName>
    <definedName name="ダマアガリ数" localSheetId="13">のり!$B$26</definedName>
    <definedName name="ダマアガリ数" localSheetId="9">まっつん!$B$26</definedName>
    <definedName name="ダマアガリ数" localSheetId="14">りくと!$B$26</definedName>
    <definedName name="ダマアガリ数" localSheetId="7">れんたろう!$B$26</definedName>
    <definedName name="ダマアガリ数" localSheetId="15">わさび!$B$26</definedName>
    <definedName name="ダマアガリ数" localSheetId="5">全体!$B$26</definedName>
    <definedName name="ダマアガリ率" localSheetId="3">Template1!$C$26</definedName>
    <definedName name="ダマアガリ率" localSheetId="10">いちかわ!$C$26</definedName>
    <definedName name="ダマアガリ率" localSheetId="6">だいち!$C$26</definedName>
    <definedName name="ダマアガリ率" localSheetId="12">たか!$C$26</definedName>
    <definedName name="ダマアガリ率" localSheetId="8">たかの!$C$26</definedName>
    <definedName name="ダマアガリ率" localSheetId="11">ただ!$C$26</definedName>
    <definedName name="ダマアガリ率" localSheetId="13">のり!$C$26</definedName>
    <definedName name="ダマアガリ率" localSheetId="9">まっつん!$C$26</definedName>
    <definedName name="ダマアガリ率" localSheetId="14">りくと!$C$26</definedName>
    <definedName name="ダマアガリ率" localSheetId="7">れんたろう!$C$26</definedName>
    <definedName name="ダマアガリ率" localSheetId="15">わさび!$C$26</definedName>
    <definedName name="ダマアガリ率" localSheetId="5">全体!$C$26</definedName>
    <definedName name="チョンボ数" localSheetId="3">Template1!$B$35</definedName>
    <definedName name="チョンボ数" localSheetId="10">いちかわ!$B$35</definedName>
    <definedName name="チョンボ数" localSheetId="6">だいち!$B$35</definedName>
    <definedName name="チョンボ数" localSheetId="12">たか!$B$35</definedName>
    <definedName name="チョンボ数" localSheetId="8">たかの!$B$35</definedName>
    <definedName name="チョンボ数" localSheetId="11">ただ!$B$35</definedName>
    <definedName name="チョンボ数" localSheetId="13">のり!$B$35</definedName>
    <definedName name="チョンボ数" localSheetId="9">まっつん!$B$35</definedName>
    <definedName name="チョンボ数" localSheetId="14">りくと!$B$35</definedName>
    <definedName name="チョンボ数" localSheetId="7">れんたろう!$B$35</definedName>
    <definedName name="チョンボ数" localSheetId="15">わさび!$B$35</definedName>
    <definedName name="チョンボ数" localSheetId="5">全体!$B$35</definedName>
    <definedName name="チョンボ率" localSheetId="3">Template1!$C$35</definedName>
    <definedName name="チョンボ率" localSheetId="10">いちかわ!$C$35</definedName>
    <definedName name="チョンボ率" localSheetId="6">だいち!$C$35</definedName>
    <definedName name="チョンボ率" localSheetId="12">たか!$C$35</definedName>
    <definedName name="チョンボ率" localSheetId="8">たかの!$C$35</definedName>
    <definedName name="チョンボ率" localSheetId="11">ただ!$C$35</definedName>
    <definedName name="チョンボ率" localSheetId="13">のり!$C$35</definedName>
    <definedName name="チョンボ率" localSheetId="9">まっつん!$C$35</definedName>
    <definedName name="チョンボ率" localSheetId="14">りくと!$C$35</definedName>
    <definedName name="チョンボ率" localSheetId="7">れんたろう!$C$35</definedName>
    <definedName name="チョンボ率" localSheetId="15">わさび!$C$35</definedName>
    <definedName name="チョンボ率" localSheetId="5">全体!$C$35</definedName>
    <definedName name="ツモ数" localSheetId="3">Template1!$B$22</definedName>
    <definedName name="ツモ数" localSheetId="10">いちかわ!$B$22</definedName>
    <definedName name="ツモ数" localSheetId="6">だいち!$B$22</definedName>
    <definedName name="ツモ数" localSheetId="12">たか!$B$22</definedName>
    <definedName name="ツモ数" localSheetId="8">たかの!$B$22</definedName>
    <definedName name="ツモ数" localSheetId="11">ただ!$B$22</definedName>
    <definedName name="ツモ数" localSheetId="13">のり!$B$22</definedName>
    <definedName name="ツモ数" localSheetId="9">まっつん!$B$22</definedName>
    <definedName name="ツモ数" localSheetId="14">りくと!$B$22</definedName>
    <definedName name="ツモ数" localSheetId="7">れんたろう!$B$22</definedName>
    <definedName name="ツモ数" localSheetId="15">わさび!$B$22</definedName>
    <definedName name="ツモ数" localSheetId="5">全体!$B$22</definedName>
    <definedName name="ツモ率" localSheetId="3">Template1!$C$22</definedName>
    <definedName name="ツモ率" localSheetId="10">いちかわ!$C$22</definedName>
    <definedName name="ツモ率" localSheetId="6">だいち!$C$22</definedName>
    <definedName name="ツモ率" localSheetId="12">たか!$C$22</definedName>
    <definedName name="ツモ率" localSheetId="8">たかの!$C$22</definedName>
    <definedName name="ツモ率" localSheetId="11">ただ!$C$22</definedName>
    <definedName name="ツモ率" localSheetId="13">のり!$C$22</definedName>
    <definedName name="ツモ率" localSheetId="9">まっつん!$C$22</definedName>
    <definedName name="ツモ率" localSheetId="14">りくと!$C$22</definedName>
    <definedName name="ツモ率" localSheetId="7">れんたろう!$C$22</definedName>
    <definedName name="ツモ率" localSheetId="15">わさび!$C$22</definedName>
    <definedName name="ツモ率" localSheetId="5">全体!$C$22</definedName>
    <definedName name="トップ数" localSheetId="3">Template1!$B$8</definedName>
    <definedName name="トップ数" localSheetId="10">いちかわ!$B$8</definedName>
    <definedName name="トップ数" localSheetId="6">だいち!$B$8</definedName>
    <definedName name="トップ数" localSheetId="12">たか!$B$8</definedName>
    <definedName name="トップ数" localSheetId="8">たかの!$B$8</definedName>
    <definedName name="トップ数" localSheetId="11">ただ!$B$8</definedName>
    <definedName name="トップ数" localSheetId="13">のり!$B$8</definedName>
    <definedName name="トップ数" localSheetId="9">まっつん!$B$8</definedName>
    <definedName name="トップ数" localSheetId="14">りくと!$B$8</definedName>
    <definedName name="トップ数" localSheetId="7">れんたろう!$B$8</definedName>
    <definedName name="トップ数" localSheetId="15">わさび!$B$8</definedName>
    <definedName name="トップ数" localSheetId="5">全体!$B$8</definedName>
    <definedName name="トップ率" localSheetId="3">Template1!$C$8</definedName>
    <definedName name="トップ率" localSheetId="10">いちかわ!$C$8</definedName>
    <definedName name="トップ率" localSheetId="6">だいち!$C$8</definedName>
    <definedName name="トップ率" localSheetId="12">たか!$C$8</definedName>
    <definedName name="トップ率" localSheetId="8">たかの!$C$8</definedName>
    <definedName name="トップ率" localSheetId="11">ただ!$C$8</definedName>
    <definedName name="トップ率" localSheetId="13">のり!$C$8</definedName>
    <definedName name="トップ率" localSheetId="9">まっつん!$C$8</definedName>
    <definedName name="トップ率" localSheetId="14">りくと!$C$8</definedName>
    <definedName name="トップ率" localSheetId="7">れんたろう!$C$8</definedName>
    <definedName name="トップ率" localSheetId="15">わさび!$C$8</definedName>
    <definedName name="トップ率" localSheetId="5">全体!$C$8</definedName>
    <definedName name="バランス" localSheetId="10">いちかわ!$B$14</definedName>
    <definedName name="バランス" localSheetId="6">だいち!$B$14</definedName>
    <definedName name="バランス" localSheetId="12">たか!$B$14</definedName>
    <definedName name="バランス" localSheetId="8">たかの!$B$14</definedName>
    <definedName name="バランス" localSheetId="11">ただ!$B$14</definedName>
    <definedName name="バランス" localSheetId="13">のり!$B$14</definedName>
    <definedName name="バランス" localSheetId="9">まっつん!$B$14</definedName>
    <definedName name="バランス" localSheetId="14">りくと!$B$14</definedName>
    <definedName name="バランス" localSheetId="7">れんたろう!$B$14</definedName>
    <definedName name="バランス" localSheetId="15">わさび!$B$14</definedName>
    <definedName name="バランス" localSheetId="5">全体!$B$14</definedName>
    <definedName name="バランス">Template1!$B$14</definedName>
    <definedName name="ふっとび数" localSheetId="3">Template1!$B$15</definedName>
    <definedName name="ふっとび数" localSheetId="10">いちかわ!$B$15</definedName>
    <definedName name="ふっとび数" localSheetId="6">だいち!$B$15</definedName>
    <definedName name="ふっとび数" localSheetId="12">たか!$B$15</definedName>
    <definedName name="ふっとび数" localSheetId="8">たかの!$B$15</definedName>
    <definedName name="ふっとび数" localSheetId="11">ただ!$B$15</definedName>
    <definedName name="ふっとび数" localSheetId="13">のり!$B$15</definedName>
    <definedName name="ふっとび数" localSheetId="9">まっつん!$B$15</definedName>
    <definedName name="ふっとび数" localSheetId="14">りくと!$B$15</definedName>
    <definedName name="ふっとび数" localSheetId="7">れんたろう!$B$15</definedName>
    <definedName name="ふっとび数" localSheetId="15">わさび!$B$15</definedName>
    <definedName name="ふっとび数" localSheetId="5">全体!$B$15</definedName>
    <definedName name="ふっとび率" localSheetId="3">Template1!$C$15</definedName>
    <definedName name="ふっとび率" localSheetId="10">いちかわ!$C$15</definedName>
    <definedName name="ふっとび率" localSheetId="6">だいち!$C$15</definedName>
    <definedName name="ふっとび率" localSheetId="12">たか!$C$15</definedName>
    <definedName name="ふっとび率" localSheetId="8">たかの!$C$15</definedName>
    <definedName name="ふっとび率" localSheetId="11">ただ!$C$15</definedName>
    <definedName name="ふっとび率" localSheetId="13">のり!$C$15</definedName>
    <definedName name="ふっとび率" localSheetId="9">まっつん!$C$15</definedName>
    <definedName name="ふっとび率" localSheetId="14">りくと!$C$15</definedName>
    <definedName name="ふっとび率" localSheetId="7">れんたろう!$C$15</definedName>
    <definedName name="ふっとび率" localSheetId="15">わさび!$C$15</definedName>
    <definedName name="ふっとび率" localSheetId="5">全体!$C$15</definedName>
    <definedName name="ラス数" localSheetId="3">Template1!$B$10</definedName>
    <definedName name="ラス数" localSheetId="10">いちかわ!$B$10</definedName>
    <definedName name="ラス数" localSheetId="6">だいち!$B$10</definedName>
    <definedName name="ラス数" localSheetId="12">たか!$B$10</definedName>
    <definedName name="ラス数" localSheetId="8">たかの!$B$10</definedName>
    <definedName name="ラス数" localSheetId="11">ただ!$B$10</definedName>
    <definedName name="ラス数" localSheetId="13">のり!$B$10</definedName>
    <definedName name="ラス数" localSheetId="9">まっつん!$B$10</definedName>
    <definedName name="ラス数" localSheetId="14">りくと!$B$10</definedName>
    <definedName name="ラス数" localSheetId="7">れんたろう!$B$10</definedName>
    <definedName name="ラス数" localSheetId="15">わさび!$B$10</definedName>
    <definedName name="ラス数" localSheetId="5">全体!$B$10</definedName>
    <definedName name="ラス率" localSheetId="3">Template1!$C$10</definedName>
    <definedName name="ラス率" localSheetId="10">いちかわ!$C$10</definedName>
    <definedName name="ラス率" localSheetId="6">だいち!$C$10</definedName>
    <definedName name="ラス率" localSheetId="12">たか!$C$10</definedName>
    <definedName name="ラス率" localSheetId="8">たかの!$C$10</definedName>
    <definedName name="ラス率" localSheetId="11">ただ!$C$10</definedName>
    <definedName name="ラス率" localSheetId="13">のり!$C$10</definedName>
    <definedName name="ラス率" localSheetId="9">まっつん!$C$10</definedName>
    <definedName name="ラス率" localSheetId="14">りくと!$C$10</definedName>
    <definedName name="ラス率" localSheetId="7">れんたろう!$C$10</definedName>
    <definedName name="ラス率" localSheetId="15">わさび!$C$10</definedName>
    <definedName name="ラス率" localSheetId="5">全体!$C$10</definedName>
    <definedName name="リーチアガリ数" localSheetId="3">Template1!$B$24</definedName>
    <definedName name="リーチアガリ数" localSheetId="10">いちかわ!$B$24</definedName>
    <definedName name="リーチアガリ数" localSheetId="6">だいち!$B$24</definedName>
    <definedName name="リーチアガリ数" localSheetId="12">たか!$B$24</definedName>
    <definedName name="リーチアガリ数" localSheetId="8">たかの!$B$24</definedName>
    <definedName name="リーチアガリ数" localSheetId="11">ただ!$B$24</definedName>
    <definedName name="リーチアガリ数" localSheetId="13">のり!$B$24</definedName>
    <definedName name="リーチアガリ数" localSheetId="9">まっつん!$B$24</definedName>
    <definedName name="リーチアガリ数" localSheetId="14">りくと!$B$24</definedName>
    <definedName name="リーチアガリ数" localSheetId="7">れんたろう!$B$24</definedName>
    <definedName name="リーチアガリ数" localSheetId="15">わさび!$B$24</definedName>
    <definedName name="リーチアガリ数" localSheetId="5">全体!$B$24</definedName>
    <definedName name="リーチアガリ率" localSheetId="3">Template1!$C$24</definedName>
    <definedName name="リーチアガリ率" localSheetId="10">いちかわ!$C$24</definedName>
    <definedName name="リーチアガリ率" localSheetId="6">だいち!$C$24</definedName>
    <definedName name="リーチアガリ率" localSheetId="12">たか!$C$24</definedName>
    <definedName name="リーチアガリ率" localSheetId="8">たかの!$C$24</definedName>
    <definedName name="リーチアガリ率" localSheetId="11">ただ!$C$24</definedName>
    <definedName name="リーチアガリ率" localSheetId="13">のり!$C$24</definedName>
    <definedName name="リーチアガリ率" localSheetId="9">まっつん!$C$24</definedName>
    <definedName name="リーチアガリ率" localSheetId="14">りくと!$C$24</definedName>
    <definedName name="リーチアガリ率" localSheetId="7">れんたろう!$C$24</definedName>
    <definedName name="リーチアガリ率" localSheetId="15">わさび!$C$24</definedName>
    <definedName name="リーチアガリ率" localSheetId="5">全体!$C$24</definedName>
    <definedName name="リーチ数" localSheetId="3">Template1!$B$16</definedName>
    <definedName name="リーチ数" localSheetId="10">いちかわ!$B$16</definedName>
    <definedName name="リーチ数" localSheetId="6">だいち!$B$16</definedName>
    <definedName name="リーチ数" localSheetId="12">たか!$B$16</definedName>
    <definedName name="リーチ数" localSheetId="8">たかの!$B$16</definedName>
    <definedName name="リーチ数" localSheetId="11">ただ!$B$16</definedName>
    <definedName name="リーチ数" localSheetId="13">のり!$B$16</definedName>
    <definedName name="リーチ数" localSheetId="9">まっつん!$B$16</definedName>
    <definedName name="リーチ数" localSheetId="14">りくと!$B$16</definedName>
    <definedName name="リーチ数" localSheetId="7">れんたろう!$B$16</definedName>
    <definedName name="リーチ数" localSheetId="15">わさび!$B$16</definedName>
    <definedName name="リーチ数" localSheetId="5">全体!$B$16</definedName>
    <definedName name="リーチ成功数" localSheetId="3">Template1!$B$18</definedName>
    <definedName name="リーチ成功数" localSheetId="10">いちかわ!$B$18</definedName>
    <definedName name="リーチ成功数" localSheetId="6">だいち!$B$18</definedName>
    <definedName name="リーチ成功数" localSheetId="12">たか!$B$18</definedName>
    <definedName name="リーチ成功数" localSheetId="8">たかの!$B$18</definedName>
    <definedName name="リーチ成功数" localSheetId="11">ただ!$B$18</definedName>
    <definedName name="リーチ成功数" localSheetId="13">のり!$B$18</definedName>
    <definedName name="リーチ成功数" localSheetId="9">まっつん!$B$18</definedName>
    <definedName name="リーチ成功数" localSheetId="14">りくと!$B$18</definedName>
    <definedName name="リーチ成功数" localSheetId="7">れんたろう!$B$18</definedName>
    <definedName name="リーチ成功数" localSheetId="15">わさび!$B$18</definedName>
    <definedName name="リーチ成功数" localSheetId="5">全体!$B$18</definedName>
    <definedName name="リーチ成功率" localSheetId="3">Template1!$C$18</definedName>
    <definedName name="リーチ成功率" localSheetId="10">いちかわ!$C$18</definedName>
    <definedName name="リーチ成功率" localSheetId="6">だいち!$C$18</definedName>
    <definedName name="リーチ成功率" localSheetId="12">たか!$C$18</definedName>
    <definedName name="リーチ成功率" localSheetId="8">たかの!$C$18</definedName>
    <definedName name="リーチ成功率" localSheetId="11">ただ!$C$18</definedName>
    <definedName name="リーチ成功率" localSheetId="13">のり!$C$18</definedName>
    <definedName name="リーチ成功率" localSheetId="9">まっつん!$C$18</definedName>
    <definedName name="リーチ成功率" localSheetId="14">りくと!$C$18</definedName>
    <definedName name="リーチ成功率" localSheetId="7">れんたろう!$C$18</definedName>
    <definedName name="リーチ成功率" localSheetId="15">わさび!$C$18</definedName>
    <definedName name="リーチ成功率" localSheetId="5">全体!$C$18</definedName>
    <definedName name="リーチ率" localSheetId="3">Template1!$C$16</definedName>
    <definedName name="リーチ率" localSheetId="10">いちかわ!$C$16</definedName>
    <definedName name="リーチ率" localSheetId="6">だいち!$C$16</definedName>
    <definedName name="リーチ率" localSheetId="12">たか!$C$16</definedName>
    <definedName name="リーチ率" localSheetId="8">たかの!$C$16</definedName>
    <definedName name="リーチ率" localSheetId="11">ただ!$C$16</definedName>
    <definedName name="リーチ率" localSheetId="13">のり!$C$16</definedName>
    <definedName name="リーチ率" localSheetId="9">まっつん!$C$16</definedName>
    <definedName name="リーチ率" localSheetId="14">りくと!$C$16</definedName>
    <definedName name="リーチ率" localSheetId="7">れんたろう!$C$16</definedName>
    <definedName name="リーチ率" localSheetId="15">わさび!$C$16</definedName>
    <definedName name="リーチ率" localSheetId="5">全体!$C$16</definedName>
    <definedName name="レーティング" localSheetId="10">いちかわ!$B$6</definedName>
    <definedName name="レーティング" localSheetId="6">だいち!$B$6</definedName>
    <definedName name="レーティング" localSheetId="12">たか!$B$6</definedName>
    <definedName name="レーティング" localSheetId="8">たかの!$B$6</definedName>
    <definedName name="レーティング" localSheetId="11">ただ!$B$6</definedName>
    <definedName name="レーティング" localSheetId="13">のり!$B$6</definedName>
    <definedName name="レーティング" localSheetId="9">まっつん!$B$6</definedName>
    <definedName name="レーティング" localSheetId="14">りくと!$B$6</definedName>
    <definedName name="レーティング" localSheetId="7">れんたろう!$B$6</definedName>
    <definedName name="レーティング" localSheetId="15">わさび!$B$6</definedName>
    <definedName name="レーティング" localSheetId="5">全体!$B$6</definedName>
    <definedName name="レーティング">Template1!$B$6</definedName>
    <definedName name="ロン数" localSheetId="3">Template1!$B$23</definedName>
    <definedName name="ロン数" localSheetId="10">いちかわ!$B$23</definedName>
    <definedName name="ロン数" localSheetId="6">だいち!$B$23</definedName>
    <definedName name="ロン数" localSheetId="12">たか!$B$23</definedName>
    <definedName name="ロン数" localSheetId="8">たかの!$B$23</definedName>
    <definedName name="ロン数" localSheetId="11">ただ!$B$23</definedName>
    <definedName name="ロン数" localSheetId="13">のり!$B$23</definedName>
    <definedName name="ロン数" localSheetId="9">まっつん!$B$23</definedName>
    <definedName name="ロン数" localSheetId="14">りくと!$B$23</definedName>
    <definedName name="ロン数" localSheetId="7">れんたろう!$B$23</definedName>
    <definedName name="ロン数" localSheetId="15">わさび!$B$23</definedName>
    <definedName name="ロン数" localSheetId="5">全体!$B$23</definedName>
    <definedName name="ロン率" localSheetId="3">Template1!$C$23</definedName>
    <definedName name="ロン率" localSheetId="10">いちかわ!$C$23</definedName>
    <definedName name="ロン率" localSheetId="6">だいち!$C$23</definedName>
    <definedName name="ロン率" localSheetId="12">たか!$C$23</definedName>
    <definedName name="ロン率" localSheetId="8">たかの!$C$23</definedName>
    <definedName name="ロン率" localSheetId="11">ただ!$C$23</definedName>
    <definedName name="ロン率" localSheetId="13">のり!$C$23</definedName>
    <definedName name="ロン率" localSheetId="9">まっつん!$C$23</definedName>
    <definedName name="ロン率" localSheetId="14">りくと!$C$23</definedName>
    <definedName name="ロン率" localSheetId="7">れんたろう!$C$23</definedName>
    <definedName name="ロン率" localSheetId="15">わさび!$C$23</definedName>
    <definedName name="ロン率" localSheetId="5">全体!$C$23</definedName>
    <definedName name="一位スコア" localSheetId="10">いちかわ!$B$11</definedName>
    <definedName name="一位スコア" localSheetId="6">だいち!$B$11</definedName>
    <definedName name="一位スコア" localSheetId="12">たか!$B$11</definedName>
    <definedName name="一位スコア" localSheetId="8">たかの!$B$11</definedName>
    <definedName name="一位スコア" localSheetId="11">ただ!$B$11</definedName>
    <definedName name="一位スコア" localSheetId="13">のり!$B$11</definedName>
    <definedName name="一位スコア" localSheetId="9">まっつん!$B$11</definedName>
    <definedName name="一位スコア" localSheetId="14">りくと!$B$11</definedName>
    <definedName name="一位スコア" localSheetId="7">れんたろう!$B$11</definedName>
    <definedName name="一位スコア" localSheetId="15">わさび!$B$11</definedName>
    <definedName name="一位スコア" localSheetId="5">全体!$B$11</definedName>
    <definedName name="一位スコア">Template1!$B$11</definedName>
    <definedName name="一位通算スコア" localSheetId="10">いちかわ!$C$11</definedName>
    <definedName name="一位通算スコア" localSheetId="6">だいち!$C$11</definedName>
    <definedName name="一位通算スコア" localSheetId="12">たか!$C$11</definedName>
    <definedName name="一位通算スコア" localSheetId="8">たかの!$C$11</definedName>
    <definedName name="一位通算スコア" localSheetId="11">ただ!$C$11</definedName>
    <definedName name="一位通算スコア" localSheetId="13">のり!$C$11</definedName>
    <definedName name="一位通算スコア" localSheetId="9">まっつん!$C$11</definedName>
    <definedName name="一位通算スコア" localSheetId="14">りくと!$C$11</definedName>
    <definedName name="一位通算スコア" localSheetId="7">れんたろう!$C$11</definedName>
    <definedName name="一位通算スコア" localSheetId="15">わさび!$C$11</definedName>
    <definedName name="一位通算スコア" localSheetId="5">全体!$C$11</definedName>
    <definedName name="一位通算スコア">Template1!$C$11</definedName>
    <definedName name="一翻数" localSheetId="10">いちかわ!$B$37</definedName>
    <definedName name="一翻数" localSheetId="6">だいち!$B$37</definedName>
    <definedName name="一翻数" localSheetId="12">たか!$B$37</definedName>
    <definedName name="一翻数" localSheetId="8">たかの!$B$37</definedName>
    <definedName name="一翻数" localSheetId="11">ただ!$B$37</definedName>
    <definedName name="一翻数" localSheetId="13">のり!$B$37</definedName>
    <definedName name="一翻数" localSheetId="9">まっつん!$B$37</definedName>
    <definedName name="一翻数" localSheetId="14">りくと!$B$37</definedName>
    <definedName name="一翻数" localSheetId="7">れんたろう!$B$37</definedName>
    <definedName name="一翻数" localSheetId="15">わさび!$B$37</definedName>
    <definedName name="一翻数" localSheetId="5">全体!$B$37</definedName>
    <definedName name="一翻数">Template1!$B$37</definedName>
    <definedName name="一翻率" localSheetId="10">いちかわ!$C$37</definedName>
    <definedName name="一翻率" localSheetId="6">だいち!$C$37</definedName>
    <definedName name="一翻率" localSheetId="12">たか!$C$37</definedName>
    <definedName name="一翻率" localSheetId="8">たかの!$C$37</definedName>
    <definedName name="一翻率" localSheetId="11">ただ!$C$37</definedName>
    <definedName name="一翻率" localSheetId="13">のり!$C$37</definedName>
    <definedName name="一翻率" localSheetId="9">まっつん!$C$37</definedName>
    <definedName name="一翻率" localSheetId="14">りくと!$C$37</definedName>
    <definedName name="一翻率" localSheetId="7">れんたろう!$C$37</definedName>
    <definedName name="一翻率" localSheetId="15">わさび!$C$37</definedName>
    <definedName name="一翻率" localSheetId="5">全体!$C$37</definedName>
    <definedName name="一翻率">Template1!$C$37</definedName>
    <definedName name="現行連続アガリ" localSheetId="3">Template1!$C$31</definedName>
    <definedName name="現行連続アガリ" localSheetId="10">いちかわ!$C$31</definedName>
    <definedName name="現行連続アガリ" localSheetId="6">だいち!$C$31</definedName>
    <definedName name="現行連続アガリ" localSheetId="12">たか!$C$31</definedName>
    <definedName name="現行連続アガリ" localSheetId="8">たかの!$C$31</definedName>
    <definedName name="現行連続アガリ" localSheetId="11">ただ!$C$31</definedName>
    <definedName name="現行連続アガリ" localSheetId="13">のり!$C$31</definedName>
    <definedName name="現行連続アガリ" localSheetId="9">まっつん!$C$31</definedName>
    <definedName name="現行連続アガリ" localSheetId="14">りくと!$C$31</definedName>
    <definedName name="現行連続アガリ" localSheetId="7">れんたろう!$C$31</definedName>
    <definedName name="現行連続アガリ" localSheetId="15">わさび!$C$31</definedName>
    <definedName name="現行連続アガリ" localSheetId="5">全体!$C$31</definedName>
    <definedName name="現行連続無放銃" localSheetId="3">Template1!$C$32</definedName>
    <definedName name="現行連続無放銃" localSheetId="10">いちかわ!$C$32</definedName>
    <definedName name="現行連続無放銃" localSheetId="6">だいち!$C$32</definedName>
    <definedName name="現行連続無放銃" localSheetId="12">たか!$C$32</definedName>
    <definedName name="現行連続無放銃" localSheetId="8">たかの!$C$32</definedName>
    <definedName name="現行連続無放銃" localSheetId="11">ただ!$C$32</definedName>
    <definedName name="現行連続無放銃" localSheetId="13">のり!$C$32</definedName>
    <definedName name="現行連続無放銃" localSheetId="9">まっつん!$C$32</definedName>
    <definedName name="現行連続無放銃" localSheetId="14">りくと!$C$32</definedName>
    <definedName name="現行連続無放銃" localSheetId="7">れんたろう!$C$32</definedName>
    <definedName name="現行連続無放銃" localSheetId="15">わさび!$C$32</definedName>
    <definedName name="現行連続無放銃" localSheetId="5">全体!$C$32</definedName>
    <definedName name="最高点" localSheetId="3">Template1!$B$34</definedName>
    <definedName name="最高点" localSheetId="10">いちかわ!$B$34</definedName>
    <definedName name="最高点" localSheetId="6">だいち!$B$34</definedName>
    <definedName name="最高点" localSheetId="12">たか!$B$34</definedName>
    <definedName name="最高点" localSheetId="8">たかの!$B$34</definedName>
    <definedName name="最高点" localSheetId="11">ただ!$B$34</definedName>
    <definedName name="最高点" localSheetId="13">のり!$B$34</definedName>
    <definedName name="最高点" localSheetId="9">まっつん!$B$34</definedName>
    <definedName name="最高点" localSheetId="14">りくと!$B$34</definedName>
    <definedName name="最高点" localSheetId="7">れんたろう!$B$34</definedName>
    <definedName name="最高点" localSheetId="15">わさび!$B$34</definedName>
    <definedName name="最高点" localSheetId="5">全体!$B$34</definedName>
    <definedName name="最大ドラ数" localSheetId="3">Template1!$B$33</definedName>
    <definedName name="最大ドラ数" localSheetId="10">いちかわ!$B$33</definedName>
    <definedName name="最大ドラ数" localSheetId="6">だいち!$B$33</definedName>
    <definedName name="最大ドラ数" localSheetId="12">たか!$B$33</definedName>
    <definedName name="最大ドラ数" localSheetId="8">たかの!$B$33</definedName>
    <definedName name="最大ドラ数" localSheetId="11">ただ!$B$33</definedName>
    <definedName name="最大ドラ数" localSheetId="13">のり!$B$33</definedName>
    <definedName name="最大ドラ数" localSheetId="9">まっつん!$B$33</definedName>
    <definedName name="最大ドラ数" localSheetId="14">りくと!$B$33</definedName>
    <definedName name="最大ドラ数" localSheetId="7">れんたろう!$B$33</definedName>
    <definedName name="最大ドラ数" localSheetId="15">わさび!$B$33</definedName>
    <definedName name="最大ドラ数" localSheetId="5">全体!$B$33</definedName>
    <definedName name="最大点数" localSheetId="3">Template1!$B$34</definedName>
    <definedName name="最大点数" localSheetId="10">いちかわ!$B$34</definedName>
    <definedName name="最大点数" localSheetId="6">だいち!$B$34</definedName>
    <definedName name="最大点数" localSheetId="12">たか!$B$34</definedName>
    <definedName name="最大点数" localSheetId="8">たかの!$B$34</definedName>
    <definedName name="最大点数" localSheetId="11">ただ!$B$34</definedName>
    <definedName name="最大点数" localSheetId="13">のり!$B$34</definedName>
    <definedName name="最大点数" localSheetId="9">まっつん!$B$34</definedName>
    <definedName name="最大点数" localSheetId="14">りくと!$B$34</definedName>
    <definedName name="最大点数" localSheetId="7">れんたろう!$B$34</definedName>
    <definedName name="最大点数" localSheetId="15">わさび!$B$34</definedName>
    <definedName name="最大点数" localSheetId="5">全体!$B$34</definedName>
    <definedName name="三位スコア" localSheetId="10">いちかわ!$B$13</definedName>
    <definedName name="三位スコア" localSheetId="6">だいち!$B$13</definedName>
    <definedName name="三位スコア" localSheetId="12">たか!$B$13</definedName>
    <definedName name="三位スコア" localSheetId="8">たかの!$B$13</definedName>
    <definedName name="三位スコア" localSheetId="11">ただ!$B$13</definedName>
    <definedName name="三位スコア" localSheetId="13">のり!$B$13</definedName>
    <definedName name="三位スコア" localSheetId="9">まっつん!$B$13</definedName>
    <definedName name="三位スコア" localSheetId="14">りくと!$B$13</definedName>
    <definedName name="三位スコア" localSheetId="7">れんたろう!$B$13</definedName>
    <definedName name="三位スコア" localSheetId="15">わさび!$B$13</definedName>
    <definedName name="三位スコア" localSheetId="5">全体!$B$13</definedName>
    <definedName name="三位スコア">Template1!$B$13</definedName>
    <definedName name="三位通算スコア" localSheetId="10">いちかわ!$C$13</definedName>
    <definedName name="三位通算スコア" localSheetId="6">だいち!$C$13</definedName>
    <definedName name="三位通算スコア" localSheetId="12">たか!$C$13</definedName>
    <definedName name="三位通算スコア" localSheetId="8">たかの!$C$13</definedName>
    <definedName name="三位通算スコア" localSheetId="11">ただ!$C$13</definedName>
    <definedName name="三位通算スコア" localSheetId="13">のり!$C$13</definedName>
    <definedName name="三位通算スコア" localSheetId="9">まっつん!$C$13</definedName>
    <definedName name="三位通算スコア" localSheetId="14">りくと!$C$13</definedName>
    <definedName name="三位通算スコア" localSheetId="7">れんたろう!$C$13</definedName>
    <definedName name="三位通算スコア" localSheetId="15">わさび!$C$13</definedName>
    <definedName name="三位通算スコア" localSheetId="5">全体!$C$13</definedName>
    <definedName name="三位通算スコア">Template1!$C$13</definedName>
    <definedName name="総局数" localSheetId="3">Template1!$B$3</definedName>
    <definedName name="総局数" localSheetId="10">いちかわ!$B$3</definedName>
    <definedName name="総局数" localSheetId="6">だいち!$B$3</definedName>
    <definedName name="総局数" localSheetId="12">たか!$B$3</definedName>
    <definedName name="総局数" localSheetId="8">たかの!$B$3</definedName>
    <definedName name="総局数" localSheetId="11">ただ!$B$3</definedName>
    <definedName name="総局数" localSheetId="13">のり!$B$3</definedName>
    <definedName name="総局数" localSheetId="9">まっつん!$B$3</definedName>
    <definedName name="総局数" localSheetId="14">りくと!$B$3</definedName>
    <definedName name="総局数" localSheetId="7">れんたろう!$B$3</definedName>
    <definedName name="総局数" localSheetId="15">わさび!$B$3</definedName>
    <definedName name="総局数" localSheetId="5">全体!$B$3</definedName>
    <definedName name="対戦数" localSheetId="3">Template1!$B$2</definedName>
    <definedName name="対戦数" localSheetId="10">いちかわ!$B$2</definedName>
    <definedName name="対戦数" localSheetId="6">だいち!$B$2</definedName>
    <definedName name="対戦数" localSheetId="12">たか!$B$2</definedName>
    <definedName name="対戦数" localSheetId="8">たかの!$B$2</definedName>
    <definedName name="対戦数" localSheetId="11">ただ!$B$2</definedName>
    <definedName name="対戦数" localSheetId="13">のり!$B$2</definedName>
    <definedName name="対戦数" localSheetId="9">まっつん!$B$2</definedName>
    <definedName name="対戦数" localSheetId="14">りくと!$B$2</definedName>
    <definedName name="対戦数" localSheetId="7">れんたろう!$B$2</definedName>
    <definedName name="対戦数" localSheetId="15">わさび!$B$2</definedName>
    <definedName name="対戦数" localSheetId="5">全体!$B$2</definedName>
    <definedName name="通算アガリ点" localSheetId="3">Template1!$C$27</definedName>
    <definedName name="通算アガリ点" localSheetId="10">いちかわ!$C$27</definedName>
    <definedName name="通算アガリ点" localSheetId="6">だいち!$C$27</definedName>
    <definedName name="通算アガリ点" localSheetId="12">たか!$C$27</definedName>
    <definedName name="通算アガリ点" localSheetId="8">たかの!$C$27</definedName>
    <definedName name="通算アガリ点" localSheetId="11">ただ!$C$27</definedName>
    <definedName name="通算アガリ点" localSheetId="13">のり!$C$27</definedName>
    <definedName name="通算アガリ点" localSheetId="9">まっつん!$C$27</definedName>
    <definedName name="通算アガリ点" localSheetId="14">りくと!$C$27</definedName>
    <definedName name="通算アガリ点" localSheetId="7">れんたろう!$C$27</definedName>
    <definedName name="通算アガリ点" localSheetId="15">わさび!$C$27</definedName>
    <definedName name="通算アガリ点" localSheetId="5">全体!$C$27</definedName>
    <definedName name="通算スコア" localSheetId="3">Template1!$B$4</definedName>
    <definedName name="通算スコア" localSheetId="10">いちかわ!$B$4</definedName>
    <definedName name="通算スコア" localSheetId="6">だいち!$B$4</definedName>
    <definedName name="通算スコア" localSheetId="12">たか!$B$4</definedName>
    <definedName name="通算スコア" localSheetId="8">たかの!$B$4</definedName>
    <definedName name="通算スコア" localSheetId="11">ただ!$B$4</definedName>
    <definedName name="通算スコア" localSheetId="13">のり!$B$4</definedName>
    <definedName name="通算スコア" localSheetId="9">まっつん!$B$4</definedName>
    <definedName name="通算スコア" localSheetId="14">りくと!$B$4</definedName>
    <definedName name="通算スコア" localSheetId="7">れんたろう!$B$4</definedName>
    <definedName name="通算スコア" localSheetId="15">わさび!$B$4</definedName>
    <definedName name="通算スコア" localSheetId="5">全体!$B$4</definedName>
    <definedName name="通算副露アガリ点" localSheetId="3">Template1!$C$29</definedName>
    <definedName name="通算副露アガリ点" localSheetId="10">いちかわ!$C$29</definedName>
    <definedName name="通算副露アガリ点" localSheetId="6">だいち!$C$29</definedName>
    <definedName name="通算副露アガリ点" localSheetId="12">たか!$C$29</definedName>
    <definedName name="通算副露アガリ点" localSheetId="8">たかの!$C$29</definedName>
    <definedName name="通算副露アガリ点" localSheetId="11">ただ!$C$29</definedName>
    <definedName name="通算副露アガリ点" localSheetId="13">のり!$C$29</definedName>
    <definedName name="通算副露アガリ点" localSheetId="9">まっつん!$C$29</definedName>
    <definedName name="通算副露アガリ点" localSheetId="14">りくと!$C$29</definedName>
    <definedName name="通算副露アガリ点" localSheetId="7">れんたろう!$C$29</definedName>
    <definedName name="通算副露アガリ点" localSheetId="15">わさび!$C$29</definedName>
    <definedName name="通算副露アガリ点" localSheetId="5">全体!$C$29</definedName>
    <definedName name="通算放銃点" localSheetId="3">Template1!$C$30</definedName>
    <definedName name="通算放銃点" localSheetId="10">いちかわ!$C$30</definedName>
    <definedName name="通算放銃点" localSheetId="6">だいち!$C$30</definedName>
    <definedName name="通算放銃点" localSheetId="12">たか!$C$30</definedName>
    <definedName name="通算放銃点" localSheetId="8">たかの!$C$30</definedName>
    <definedName name="通算放銃点" localSheetId="11">ただ!$C$30</definedName>
    <definedName name="通算放銃点" localSheetId="13">のり!$C$30</definedName>
    <definedName name="通算放銃点" localSheetId="9">まっつん!$C$30</definedName>
    <definedName name="通算放銃点" localSheetId="14">りくと!$C$30</definedName>
    <definedName name="通算放銃点" localSheetId="7">れんたろう!$C$30</definedName>
    <definedName name="通算放銃点" localSheetId="15">わさび!$C$30</definedName>
    <definedName name="通算放銃点" localSheetId="5">全体!$C$30</definedName>
    <definedName name="通算門前アガリ点" localSheetId="3">Template1!$C$28</definedName>
    <definedName name="通算門前アガリ点" localSheetId="10">いちかわ!$C$28</definedName>
    <definedName name="通算門前アガリ点" localSheetId="6">だいち!$C$28</definedName>
    <definedName name="通算門前アガリ点" localSheetId="12">たか!$C$28</definedName>
    <definedName name="通算門前アガリ点" localSheetId="8">たかの!$C$28</definedName>
    <definedName name="通算門前アガリ点" localSheetId="11">ただ!$C$28</definedName>
    <definedName name="通算門前アガリ点" localSheetId="13">のり!$C$28</definedName>
    <definedName name="通算門前アガリ点" localSheetId="9">まっつん!$C$28</definedName>
    <definedName name="通算門前アガリ点" localSheetId="14">りくと!$C$28</definedName>
    <definedName name="通算門前アガリ点" localSheetId="7">れんたろう!$C$28</definedName>
    <definedName name="通算門前アガリ点" localSheetId="15">わさび!$C$28</definedName>
    <definedName name="通算門前アガリ点" localSheetId="5">全体!$C$28</definedName>
    <definedName name="二位スコア" localSheetId="10">いちかわ!$B$12</definedName>
    <definedName name="二位スコア" localSheetId="6">だいち!$B$12</definedName>
    <definedName name="二位スコア" localSheetId="12">たか!$B$12</definedName>
    <definedName name="二位スコア" localSheetId="8">たかの!$B$12</definedName>
    <definedName name="二位スコア" localSheetId="11">ただ!$B$12</definedName>
    <definedName name="二位スコア" localSheetId="13">のり!$B$12</definedName>
    <definedName name="二位スコア" localSheetId="9">まっつん!$B$12</definedName>
    <definedName name="二位スコア" localSheetId="14">りくと!$B$12</definedName>
    <definedName name="二位スコア" localSheetId="7">れんたろう!$B$12</definedName>
    <definedName name="二位スコア" localSheetId="15">わさび!$B$12</definedName>
    <definedName name="二位スコア" localSheetId="5">全体!$B$12</definedName>
    <definedName name="二位スコア">Template1!$B$12</definedName>
    <definedName name="二位数" localSheetId="3">Template1!$B$9</definedName>
    <definedName name="二位数" localSheetId="10">いちかわ!$B$9</definedName>
    <definedName name="二位数" localSheetId="6">だいち!$B$9</definedName>
    <definedName name="二位数" localSheetId="12">たか!$B$9</definedName>
    <definedName name="二位数" localSheetId="8">たかの!$B$9</definedName>
    <definedName name="二位数" localSheetId="11">ただ!$B$9</definedName>
    <definedName name="二位数" localSheetId="13">のり!$B$9</definedName>
    <definedName name="二位数" localSheetId="9">まっつん!$B$9</definedName>
    <definedName name="二位数" localSheetId="14">りくと!$B$9</definedName>
    <definedName name="二位数" localSheetId="7">れんたろう!$B$9</definedName>
    <definedName name="二位数" localSheetId="15">わさび!$B$9</definedName>
    <definedName name="二位数" localSheetId="5">全体!$B$9</definedName>
    <definedName name="二位通算スコア" localSheetId="10">いちかわ!$C$12</definedName>
    <definedName name="二位通算スコア" localSheetId="6">だいち!$C$12</definedName>
    <definedName name="二位通算スコア" localSheetId="12">たか!$C$12</definedName>
    <definedName name="二位通算スコア" localSheetId="8">たかの!$C$12</definedName>
    <definedName name="二位通算スコア" localSheetId="11">ただ!$C$12</definedName>
    <definedName name="二位通算スコア" localSheetId="13">のり!$C$12</definedName>
    <definedName name="二位通算スコア" localSheetId="9">まっつん!$C$12</definedName>
    <definedName name="二位通算スコア" localSheetId="14">りくと!$C$12</definedName>
    <definedName name="二位通算スコア" localSheetId="7">れんたろう!$C$12</definedName>
    <definedName name="二位通算スコア" localSheetId="15">わさび!$C$12</definedName>
    <definedName name="二位通算スコア" localSheetId="5">全体!$C$12</definedName>
    <definedName name="二位通算スコア">Template1!$C$12</definedName>
    <definedName name="二位率" localSheetId="3">Template1!$C$9</definedName>
    <definedName name="二位率" localSheetId="10">いちかわ!$C$9</definedName>
    <definedName name="二位率" localSheetId="6">だいち!$C$9</definedName>
    <definedName name="二位率" localSheetId="12">たか!$C$9</definedName>
    <definedName name="二位率" localSheetId="8">たかの!$C$9</definedName>
    <definedName name="二位率" localSheetId="11">ただ!$C$9</definedName>
    <definedName name="二位率" localSheetId="13">のり!$C$9</definedName>
    <definedName name="二位率" localSheetId="9">まっつん!$C$9</definedName>
    <definedName name="二位率" localSheetId="14">りくと!$C$9</definedName>
    <definedName name="二位率" localSheetId="7">れんたろう!$C$9</definedName>
    <definedName name="二位率" localSheetId="15">わさび!$C$9</definedName>
    <definedName name="二位率" localSheetId="5">全体!$C$9</definedName>
    <definedName name="副露アガリ数" localSheetId="3">Template1!$B$25</definedName>
    <definedName name="副露アガリ数" localSheetId="10">いちかわ!$B$25</definedName>
    <definedName name="副露アガリ数" localSheetId="6">だいち!$B$25</definedName>
    <definedName name="副露アガリ数" localSheetId="12">たか!$B$25</definedName>
    <definedName name="副露アガリ数" localSheetId="8">たかの!$B$25</definedName>
    <definedName name="副露アガリ数" localSheetId="11">ただ!$B$25</definedName>
    <definedName name="副露アガリ数" localSheetId="13">のり!$B$25</definedName>
    <definedName name="副露アガリ数" localSheetId="9">まっつん!$B$25</definedName>
    <definedName name="副露アガリ数" localSheetId="14">りくと!$B$25</definedName>
    <definedName name="副露アガリ数" localSheetId="7">れんたろう!$B$25</definedName>
    <definedName name="副露アガリ数" localSheetId="15">わさび!$B$25</definedName>
    <definedName name="副露アガリ数" localSheetId="5">全体!$B$25</definedName>
    <definedName name="副露アガリ点" localSheetId="3">Template1!$B$29</definedName>
    <definedName name="副露アガリ点" localSheetId="10">いちかわ!$B$29</definedName>
    <definedName name="副露アガリ点" localSheetId="6">だいち!$B$29</definedName>
    <definedName name="副露アガリ点" localSheetId="12">たか!$B$29</definedName>
    <definedName name="副露アガリ点" localSheetId="8">たかの!$B$29</definedName>
    <definedName name="副露アガリ点" localSheetId="11">ただ!$B$29</definedName>
    <definedName name="副露アガリ点" localSheetId="13">のり!$B$29</definedName>
    <definedName name="副露アガリ点" localSheetId="9">まっつん!$B$29</definedName>
    <definedName name="副露アガリ点" localSheetId="14">りくと!$B$29</definedName>
    <definedName name="副露アガリ点" localSheetId="7">れんたろう!$B$29</definedName>
    <definedName name="副露アガリ点" localSheetId="15">わさび!$B$29</definedName>
    <definedName name="副露アガリ点" localSheetId="5">全体!$B$29</definedName>
    <definedName name="副露アガリ率" localSheetId="3">Template1!$C$25</definedName>
    <definedName name="副露アガリ率" localSheetId="10">いちかわ!$C$25</definedName>
    <definedName name="副露アガリ率" localSheetId="6">だいち!$C$25</definedName>
    <definedName name="副露アガリ率" localSheetId="12">たか!$C$25</definedName>
    <definedName name="副露アガリ率" localSheetId="8">たかの!$C$25</definedName>
    <definedName name="副露アガリ率" localSheetId="11">ただ!$C$25</definedName>
    <definedName name="副露アガリ率" localSheetId="13">のり!$C$25</definedName>
    <definedName name="副露アガリ率" localSheetId="9">まっつん!$C$25</definedName>
    <definedName name="副露アガリ率" localSheetId="14">りくと!$C$25</definedName>
    <definedName name="副露アガリ率" localSheetId="7">れんたろう!$C$25</definedName>
    <definedName name="副露アガリ率" localSheetId="15">わさび!$C$25</definedName>
    <definedName name="副露アガリ率" localSheetId="5">全体!$C$25</definedName>
    <definedName name="副露数" localSheetId="3">Template1!$B$17</definedName>
    <definedName name="副露数" localSheetId="10">いちかわ!$B$17</definedName>
    <definedName name="副露数" localSheetId="6">だいち!$B$17</definedName>
    <definedName name="副露数" localSheetId="12">たか!$B$17</definedName>
    <definedName name="副露数" localSheetId="8">たかの!$B$17</definedName>
    <definedName name="副露数" localSheetId="11">ただ!$B$17</definedName>
    <definedName name="副露数" localSheetId="13">のり!$B$17</definedName>
    <definedName name="副露数" localSheetId="9">まっつん!$B$17</definedName>
    <definedName name="副露数" localSheetId="14">りくと!$B$17</definedName>
    <definedName name="副露数" localSheetId="7">れんたろう!$B$17</definedName>
    <definedName name="副露数" localSheetId="15">わさび!$B$17</definedName>
    <definedName name="副露数" localSheetId="5">全体!$B$17</definedName>
    <definedName name="副露成功数" localSheetId="3">Template1!$B$19</definedName>
    <definedName name="副露成功数" localSheetId="10">いちかわ!$B$19</definedName>
    <definedName name="副露成功数" localSheetId="6">だいち!$B$19</definedName>
    <definedName name="副露成功数" localSheetId="12">たか!$B$19</definedName>
    <definedName name="副露成功数" localSheetId="8">たかの!$B$19</definedName>
    <definedName name="副露成功数" localSheetId="11">ただ!$B$19</definedName>
    <definedName name="副露成功数" localSheetId="13">のり!$B$19</definedName>
    <definedName name="副露成功数" localSheetId="9">まっつん!$B$19</definedName>
    <definedName name="副露成功数" localSheetId="14">りくと!$B$19</definedName>
    <definedName name="副露成功数" localSheetId="7">れんたろう!$B$19</definedName>
    <definedName name="副露成功数" localSheetId="15">わさび!$B$19</definedName>
    <definedName name="副露成功数" localSheetId="5">全体!$B$19</definedName>
    <definedName name="副露成功率" localSheetId="3">Template1!$C$19</definedName>
    <definedName name="副露成功率" localSheetId="10">いちかわ!$C$19</definedName>
    <definedName name="副露成功率" localSheetId="6">だいち!$C$19</definedName>
    <definedName name="副露成功率" localSheetId="12">たか!$C$19</definedName>
    <definedName name="副露成功率" localSheetId="8">たかの!$C$19</definedName>
    <definedName name="副露成功率" localSheetId="11">ただ!$C$19</definedName>
    <definedName name="副露成功率" localSheetId="13">のり!$C$19</definedName>
    <definedName name="副露成功率" localSheetId="9">まっつん!$C$19</definedName>
    <definedName name="副露成功率" localSheetId="14">りくと!$C$19</definedName>
    <definedName name="副露成功率" localSheetId="7">れんたろう!$C$19</definedName>
    <definedName name="副露成功率" localSheetId="15">わさび!$C$19</definedName>
    <definedName name="副露成功率" localSheetId="5">全体!$C$19</definedName>
    <definedName name="副露率" localSheetId="3">Template1!$C$17</definedName>
    <definedName name="副露率" localSheetId="10">いちかわ!$C$17</definedName>
    <definedName name="副露率" localSheetId="6">だいち!$C$17</definedName>
    <definedName name="副露率" localSheetId="12">たか!$C$17</definedName>
    <definedName name="副露率" localSheetId="8">たかの!$C$17</definedName>
    <definedName name="副露率" localSheetId="11">ただ!$C$17</definedName>
    <definedName name="副露率" localSheetId="13">のり!$C$17</definedName>
    <definedName name="副露率" localSheetId="9">まっつん!$C$17</definedName>
    <definedName name="副露率" localSheetId="14">りくと!$C$17</definedName>
    <definedName name="副露率" localSheetId="7">れんたろう!$C$17</definedName>
    <definedName name="副露率" localSheetId="15">わさび!$C$17</definedName>
    <definedName name="副露率" localSheetId="5">全体!$C$17</definedName>
    <definedName name="平均アガリ点" localSheetId="3">Template1!$B$27</definedName>
    <definedName name="平均アガリ点" localSheetId="10">いちかわ!$B$27</definedName>
    <definedName name="平均アガリ点" localSheetId="6">だいち!$B$27</definedName>
    <definedName name="平均アガリ点" localSheetId="12">たか!$B$27</definedName>
    <definedName name="平均アガリ点" localSheetId="8">たかの!$B$27</definedName>
    <definedName name="平均アガリ点" localSheetId="11">ただ!$B$27</definedName>
    <definedName name="平均アガリ点" localSheetId="13">のり!$B$27</definedName>
    <definedName name="平均アガリ点" localSheetId="9">まっつん!$B$27</definedName>
    <definedName name="平均アガリ点" localSheetId="14">りくと!$B$27</definedName>
    <definedName name="平均アガリ点" localSheetId="7">れんたろう!$B$27</definedName>
    <definedName name="平均アガリ点" localSheetId="15">わさび!$B$27</definedName>
    <definedName name="平均アガリ点" localSheetId="5">全体!$B$27</definedName>
    <definedName name="平均スコア" localSheetId="3">Template1!$B$5</definedName>
    <definedName name="平均スコア" localSheetId="10">いちかわ!$B$5</definedName>
    <definedName name="平均スコア" localSheetId="6">だいち!$B$5</definedName>
    <definedName name="平均スコア" localSheetId="12">たか!$B$5</definedName>
    <definedName name="平均スコア" localSheetId="8">たかの!$B$5</definedName>
    <definedName name="平均スコア" localSheetId="11">ただ!$B$5</definedName>
    <definedName name="平均スコア" localSheetId="13">のり!$B$5</definedName>
    <definedName name="平均スコア" localSheetId="9">まっつん!$B$5</definedName>
    <definedName name="平均スコア" localSheetId="14">りくと!$B$5</definedName>
    <definedName name="平均スコア" localSheetId="7">れんたろう!$B$5</definedName>
    <definedName name="平均スコア" localSheetId="15">わさび!$B$5</definedName>
    <definedName name="平均スコア" localSheetId="5">全体!$B$5</definedName>
    <definedName name="平均順位" localSheetId="3">Template1!$B$7</definedName>
    <definedName name="平均順位" localSheetId="10">いちかわ!$B$7</definedName>
    <definedName name="平均順位" localSheetId="6">だいち!$B$7</definedName>
    <definedName name="平均順位" localSheetId="12">たか!$B$7</definedName>
    <definedName name="平均順位" localSheetId="8">たかの!$B$7</definedName>
    <definedName name="平均順位" localSheetId="11">ただ!$B$7</definedName>
    <definedName name="平均順位" localSheetId="13">のり!$B$7</definedName>
    <definedName name="平均順位" localSheetId="9">まっつん!$B$7</definedName>
    <definedName name="平均順位" localSheetId="14">りくと!$B$7</definedName>
    <definedName name="平均順位" localSheetId="7">れんたろう!$B$7</definedName>
    <definedName name="平均順位" localSheetId="15">わさび!$B$7</definedName>
    <definedName name="平均順位" localSheetId="5">全体!$B$7</definedName>
    <definedName name="平均放銃点" localSheetId="3">Template1!$B$30</definedName>
    <definedName name="平均放銃点" localSheetId="10">いちかわ!$B$30</definedName>
    <definedName name="平均放銃点" localSheetId="6">だいち!$B$30</definedName>
    <definedName name="平均放銃点" localSheetId="12">たか!$B$30</definedName>
    <definedName name="平均放銃点" localSheetId="8">たかの!$B$30</definedName>
    <definedName name="平均放銃点" localSheetId="11">ただ!$B$30</definedName>
    <definedName name="平均放銃点" localSheetId="13">のり!$B$30</definedName>
    <definedName name="平均放銃点" localSheetId="9">まっつん!$B$30</definedName>
    <definedName name="平均放銃点" localSheetId="14">りくと!$B$30</definedName>
    <definedName name="平均放銃点" localSheetId="7">れんたろう!$B$30</definedName>
    <definedName name="平均放銃点" localSheetId="15">わさび!$B$30</definedName>
    <definedName name="平均放銃点" localSheetId="5">全体!$B$30</definedName>
    <definedName name="放銃数" localSheetId="3">Template1!$B$21</definedName>
    <definedName name="放銃数" localSheetId="10">いちかわ!$B$21</definedName>
    <definedName name="放銃数" localSheetId="6">だいち!$B$21</definedName>
    <definedName name="放銃数" localSheetId="12">たか!$B$21</definedName>
    <definedName name="放銃数" localSheetId="8">たかの!$B$21</definedName>
    <definedName name="放銃数" localSheetId="11">ただ!$B$21</definedName>
    <definedName name="放銃数" localSheetId="13">のり!$B$21</definedName>
    <definedName name="放銃数" localSheetId="9">まっつん!$B$21</definedName>
    <definedName name="放銃数" localSheetId="14">りくと!$B$21</definedName>
    <definedName name="放銃数" localSheetId="7">れんたろう!$B$21</definedName>
    <definedName name="放銃数" localSheetId="15">わさび!$B$21</definedName>
    <definedName name="放銃数" localSheetId="5">全体!$B$21</definedName>
    <definedName name="放銃率" localSheetId="3">Template1!$C$21</definedName>
    <definedName name="放銃率" localSheetId="10">いちかわ!$C$21</definedName>
    <definedName name="放銃率" localSheetId="6">だいち!$C$21</definedName>
    <definedName name="放銃率" localSheetId="12">たか!$C$21</definedName>
    <definedName name="放銃率" localSheetId="8">たかの!$C$21</definedName>
    <definedName name="放銃率" localSheetId="11">ただ!$C$21</definedName>
    <definedName name="放銃率" localSheetId="13">のり!$C$21</definedName>
    <definedName name="放銃率" localSheetId="9">まっつん!$C$21</definedName>
    <definedName name="放銃率" localSheetId="14">りくと!$C$21</definedName>
    <definedName name="放銃率" localSheetId="7">れんたろう!$C$21</definedName>
    <definedName name="放銃率" localSheetId="15">わさび!$C$21</definedName>
    <definedName name="放銃率" localSheetId="5">全体!$C$21</definedName>
    <definedName name="名前" localSheetId="3">Template1!$B$1</definedName>
    <definedName name="名前" localSheetId="10">いちかわ!$B$1</definedName>
    <definedName name="名前" localSheetId="6">だいち!$B$1</definedName>
    <definedName name="名前" localSheetId="12">たか!$B$1</definedName>
    <definedName name="名前" localSheetId="8">たかの!$B$1</definedName>
    <definedName name="名前" localSheetId="11">ただ!$B$1</definedName>
    <definedName name="名前" localSheetId="13">のり!$B$1</definedName>
    <definedName name="名前" localSheetId="9">まっつん!$B$1</definedName>
    <definedName name="名前" localSheetId="14">りくと!$B$1</definedName>
    <definedName name="名前" localSheetId="7">れんたろう!$B$1</definedName>
    <definedName name="名前" localSheetId="15">わさび!$B$1</definedName>
    <definedName name="名前" localSheetId="5">全体!$B$1</definedName>
    <definedName name="門前アガリ点" localSheetId="3">Template1!$B$28</definedName>
    <definedName name="門前アガリ点" localSheetId="10">いちかわ!$B$28</definedName>
    <definedName name="門前アガリ点" localSheetId="6">だいち!$B$28</definedName>
    <definedName name="門前アガリ点" localSheetId="12">たか!$B$28</definedName>
    <definedName name="門前アガリ点" localSheetId="8">たかの!$B$28</definedName>
    <definedName name="門前アガリ点" localSheetId="11">ただ!$B$28</definedName>
    <definedName name="門前アガリ点" localSheetId="13">のり!$B$28</definedName>
    <definedName name="門前アガリ点" localSheetId="9">まっつん!$B$28</definedName>
    <definedName name="門前アガリ点" localSheetId="14">りくと!$B$28</definedName>
    <definedName name="門前アガリ点" localSheetId="7">れんたろう!$B$28</definedName>
    <definedName name="門前アガリ点" localSheetId="15">わさび!$B$28</definedName>
    <definedName name="門前アガリ点" localSheetId="5">全体!$B$28</definedName>
    <definedName name="連続アガリ" localSheetId="3">Template1!$B$31</definedName>
    <definedName name="連続アガリ" localSheetId="10">いちかわ!$B$31</definedName>
    <definedName name="連続アガリ" localSheetId="6">だいち!$B$31</definedName>
    <definedName name="連続アガリ" localSheetId="12">たか!$B$31</definedName>
    <definedName name="連続アガリ" localSheetId="8">たかの!$B$31</definedName>
    <definedName name="連続アガリ" localSheetId="11">ただ!$B$31</definedName>
    <definedName name="連続アガリ" localSheetId="13">のり!$B$31</definedName>
    <definedName name="連続アガリ" localSheetId="9">まっつん!$B$31</definedName>
    <definedName name="連続アガリ" localSheetId="14">りくと!$B$31</definedName>
    <definedName name="連続アガリ" localSheetId="7">れんたろう!$B$31</definedName>
    <definedName name="連続アガリ" localSheetId="15">わさび!$B$31</definedName>
    <definedName name="連続アガリ" localSheetId="5">全体!$B$31</definedName>
    <definedName name="連続無放銃" localSheetId="3">Template1!$B$32</definedName>
    <definedName name="連続無放銃" localSheetId="10">いちかわ!$B$32</definedName>
    <definedName name="連続無放銃" localSheetId="6">だいち!$B$32</definedName>
    <definedName name="連続無放銃" localSheetId="12">たか!$B$32</definedName>
    <definedName name="連続無放銃" localSheetId="8">たかの!$B$32</definedName>
    <definedName name="連続無放銃" localSheetId="11">ただ!$B$32</definedName>
    <definedName name="連続無放銃" localSheetId="13">のり!$B$32</definedName>
    <definedName name="連続無放銃" localSheetId="9">まっつん!$B$32</definedName>
    <definedName name="連続無放銃" localSheetId="14">りくと!$B$32</definedName>
    <definedName name="連続無放銃" localSheetId="7">れんたろう!$B$32</definedName>
    <definedName name="連続無放銃" localSheetId="15">わさび!$B$32</definedName>
    <definedName name="連続無放銃" localSheetId="5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7" i="6734" l="1"/>
  <c r="P18" i="6718"/>
  <c r="P23" i="6726" l="1"/>
  <c r="P16" i="6722"/>
  <c r="P19" i="6728" l="1"/>
  <c r="P17" i="6728"/>
  <c r="P15" i="6734"/>
  <c r="P17" i="6736"/>
  <c r="P17" i="6726"/>
  <c r="P15" i="6726"/>
  <c r="P15" i="6736"/>
  <c r="P16" i="6736"/>
  <c r="C35" i="6736"/>
  <c r="B30" i="6736"/>
  <c r="C21" i="6736"/>
  <c r="C20" i="6736"/>
  <c r="B20" i="6736"/>
  <c r="H50" i="6736" s="1"/>
  <c r="B19" i="6736"/>
  <c r="B29" i="6736" s="1"/>
  <c r="H20" i="6736"/>
  <c r="C18" i="6736"/>
  <c r="B18" i="6736"/>
  <c r="C17" i="6736"/>
  <c r="C16" i="6736"/>
  <c r="C15" i="6736"/>
  <c r="B13" i="6736"/>
  <c r="P12" i="6736"/>
  <c r="B12" i="6736"/>
  <c r="P11" i="6736"/>
  <c r="B11" i="6736"/>
  <c r="P10" i="6736"/>
  <c r="H3" i="6736"/>
  <c r="C10" i="6736"/>
  <c r="C9" i="6736"/>
  <c r="H12" i="6736"/>
  <c r="C8" i="6736"/>
  <c r="P7" i="6736"/>
  <c r="B7" i="6736"/>
  <c r="P6" i="6736"/>
  <c r="P5" i="6736"/>
  <c r="H6" i="6736"/>
  <c r="B5" i="6736"/>
  <c r="P4" i="6736"/>
  <c r="P3" i="6736"/>
  <c r="P2" i="6736"/>
  <c r="P19" i="6716"/>
  <c r="P18" i="6734"/>
  <c r="P16" i="6734"/>
  <c r="C35" i="6734"/>
  <c r="B30" i="6734"/>
  <c r="C21" i="6734"/>
  <c r="B20" i="6734"/>
  <c r="H52" i="6734" s="1"/>
  <c r="B19" i="6734"/>
  <c r="C19" i="6734" s="1"/>
  <c r="B18" i="6734"/>
  <c r="C18" i="6734" s="1"/>
  <c r="C17" i="6734"/>
  <c r="C16" i="6734"/>
  <c r="C15" i="6734"/>
  <c r="B13" i="6734"/>
  <c r="P12" i="6734"/>
  <c r="B12" i="6734"/>
  <c r="P11" i="6734"/>
  <c r="B11" i="6734"/>
  <c r="B14" i="6734" s="1"/>
  <c r="P10" i="6734"/>
  <c r="C10" i="6734"/>
  <c r="C9" i="6734"/>
  <c r="C8" i="6734"/>
  <c r="P7" i="6734"/>
  <c r="B7" i="6734"/>
  <c r="P6" i="6734"/>
  <c r="P5" i="6734"/>
  <c r="B5" i="6734"/>
  <c r="P4" i="6734"/>
  <c r="P3" i="6734"/>
  <c r="P2" i="6734"/>
  <c r="P18" i="6716"/>
  <c r="B29" i="6734" l="1"/>
  <c r="H16" i="6734"/>
  <c r="H10" i="6734"/>
  <c r="H8" i="6734"/>
  <c r="H9" i="6734"/>
  <c r="H3" i="6734"/>
  <c r="H7" i="6734"/>
  <c r="B14" i="6736"/>
  <c r="C19" i="6736"/>
  <c r="H23" i="6736"/>
  <c r="H25" i="6736"/>
  <c r="H27" i="6736"/>
  <c r="H8" i="6736"/>
  <c r="H30" i="6736"/>
  <c r="H33" i="6736"/>
  <c r="H36" i="6736"/>
  <c r="C38" i="6736"/>
  <c r="C40" i="6736"/>
  <c r="C42" i="6736"/>
  <c r="C44" i="6736"/>
  <c r="C46" i="6736"/>
  <c r="C48" i="6736"/>
  <c r="H51" i="6736"/>
  <c r="H5" i="6736"/>
  <c r="H2" i="6736"/>
  <c r="H11" i="6736"/>
  <c r="H16" i="6736"/>
  <c r="H18" i="6736"/>
  <c r="H19" i="6736"/>
  <c r="C22" i="6736"/>
  <c r="C24" i="6736"/>
  <c r="C26" i="6736"/>
  <c r="B28" i="6736"/>
  <c r="H34" i="6736"/>
  <c r="H37" i="6736"/>
  <c r="H39" i="6736"/>
  <c r="H41" i="6736"/>
  <c r="H43" i="6736"/>
  <c r="H45" i="6736"/>
  <c r="H47" i="6736"/>
  <c r="H49" i="6736"/>
  <c r="H9" i="6736"/>
  <c r="H4" i="6736"/>
  <c r="H13" i="6736"/>
  <c r="H15" i="6736"/>
  <c r="H22" i="6736"/>
  <c r="H24" i="6736"/>
  <c r="H26" i="6736"/>
  <c r="H28" i="6736"/>
  <c r="H29" i="6736"/>
  <c r="H31" i="6736"/>
  <c r="H35" i="6736"/>
  <c r="C37" i="6736"/>
  <c r="C39" i="6736"/>
  <c r="C41" i="6736"/>
  <c r="C43" i="6736"/>
  <c r="C45" i="6736"/>
  <c r="C47" i="6736"/>
  <c r="C49" i="6736"/>
  <c r="H52" i="6736"/>
  <c r="H10" i="6736"/>
  <c r="H14" i="6736"/>
  <c r="H17" i="6736"/>
  <c r="H7" i="6736"/>
  <c r="H21" i="6736"/>
  <c r="C23" i="6736"/>
  <c r="C25" i="6736"/>
  <c r="B27" i="6736"/>
  <c r="H32" i="6736"/>
  <c r="H38" i="6736"/>
  <c r="H40" i="6736"/>
  <c r="H42" i="6736"/>
  <c r="H44" i="6736"/>
  <c r="H46" i="6736"/>
  <c r="H48" i="6736"/>
  <c r="H18" i="6734"/>
  <c r="H2" i="6734"/>
  <c r="H5" i="6734"/>
  <c r="H12" i="6734"/>
  <c r="H19" i="6734"/>
  <c r="C20" i="6734"/>
  <c r="H23" i="6734"/>
  <c r="H27" i="6734"/>
  <c r="H40" i="6734"/>
  <c r="H44" i="6734"/>
  <c r="C23" i="6734"/>
  <c r="B27" i="6734"/>
  <c r="H31" i="6734"/>
  <c r="C37" i="6734"/>
  <c r="C41" i="6734"/>
  <c r="H46" i="6734"/>
  <c r="H14" i="6734"/>
  <c r="H21" i="6734"/>
  <c r="H25" i="6734"/>
  <c r="H29" i="6734"/>
  <c r="H32" i="6734"/>
  <c r="H38" i="6734"/>
  <c r="H42" i="6734"/>
  <c r="H48" i="6734"/>
  <c r="H4" i="6734"/>
  <c r="H11" i="6734"/>
  <c r="H13" i="6734"/>
  <c r="H15" i="6734"/>
  <c r="H17" i="6734"/>
  <c r="H20" i="6734"/>
  <c r="C25" i="6734"/>
  <c r="H35" i="6734"/>
  <c r="C39" i="6734"/>
  <c r="C43" i="6734"/>
  <c r="H50" i="6734"/>
  <c r="H22" i="6734"/>
  <c r="H24" i="6734"/>
  <c r="H26" i="6734"/>
  <c r="H28" i="6734"/>
  <c r="H30" i="6734"/>
  <c r="H33" i="6734"/>
  <c r="H36" i="6734"/>
  <c r="C38" i="6734"/>
  <c r="C40" i="6734"/>
  <c r="C42" i="6734"/>
  <c r="C44" i="6734"/>
  <c r="C46" i="6734"/>
  <c r="C48" i="6734"/>
  <c r="H51" i="6734"/>
  <c r="C22" i="6734"/>
  <c r="C24" i="6734"/>
  <c r="C26" i="6734"/>
  <c r="B28" i="6734"/>
  <c r="H34" i="6734"/>
  <c r="H37" i="6734"/>
  <c r="H39" i="6734"/>
  <c r="H41" i="6734"/>
  <c r="H43" i="6734"/>
  <c r="H45" i="6734"/>
  <c r="H47" i="6734"/>
  <c r="H49" i="6734"/>
  <c r="H6" i="6734"/>
  <c r="C45" i="6734"/>
  <c r="C47" i="6734"/>
  <c r="C49" i="6734"/>
  <c r="P17" i="6720" l="1"/>
  <c r="P15" i="6728"/>
  <c r="P16" i="6726"/>
  <c r="P16" i="6728"/>
  <c r="P21" i="6728"/>
  <c r="P19" i="6730"/>
  <c r="P18" i="6726"/>
  <c r="P18" i="6730"/>
  <c r="P16" i="6720"/>
  <c r="P15" i="6720"/>
  <c r="P17" i="6732" l="1"/>
  <c r="P16" i="6730"/>
  <c r="P17" i="6718"/>
  <c r="P22" i="6718"/>
  <c r="P16" i="6732"/>
  <c r="P15" i="6732"/>
  <c r="C35" i="6732"/>
  <c r="B30" i="6732"/>
  <c r="C21" i="6732"/>
  <c r="B20" i="6732"/>
  <c r="H51" i="6732" s="1"/>
  <c r="B19" i="6732"/>
  <c r="C19" i="6732" s="1"/>
  <c r="B18" i="6732"/>
  <c r="C18" i="6732" s="1"/>
  <c r="C17" i="6732"/>
  <c r="C16" i="6732"/>
  <c r="C15" i="6732"/>
  <c r="B13" i="6732"/>
  <c r="P12" i="6732"/>
  <c r="B12" i="6732"/>
  <c r="P11" i="6732"/>
  <c r="B11" i="6732"/>
  <c r="P10" i="6732"/>
  <c r="H2" i="6732"/>
  <c r="C10" i="6732"/>
  <c r="C9" i="6732"/>
  <c r="C8" i="6732"/>
  <c r="P7" i="6732"/>
  <c r="B7" i="6732"/>
  <c r="P6" i="6732"/>
  <c r="P5" i="6732"/>
  <c r="H11" i="6732"/>
  <c r="B5" i="6732"/>
  <c r="P4" i="6732"/>
  <c r="P3" i="6732"/>
  <c r="P2" i="6732"/>
  <c r="P17" i="6730"/>
  <c r="P15" i="6730"/>
  <c r="C35" i="6730"/>
  <c r="B30" i="6730"/>
  <c r="C21" i="6730"/>
  <c r="B20" i="6730"/>
  <c r="H50" i="6730" s="1"/>
  <c r="B19" i="6730"/>
  <c r="B29" i="6730" s="1"/>
  <c r="B18" i="6730"/>
  <c r="C18" i="6730" s="1"/>
  <c r="C17" i="6730"/>
  <c r="C16" i="6730"/>
  <c r="C15" i="6730"/>
  <c r="B13" i="6730"/>
  <c r="P12" i="6730"/>
  <c r="B12" i="6730"/>
  <c r="P11" i="6730"/>
  <c r="B11" i="6730"/>
  <c r="P10" i="6730"/>
  <c r="C10" i="6730"/>
  <c r="C9" i="6730"/>
  <c r="C8" i="6730"/>
  <c r="P7" i="6730"/>
  <c r="B7" i="6730"/>
  <c r="P6" i="6730"/>
  <c r="P5" i="6730"/>
  <c r="B5" i="6730"/>
  <c r="P4" i="6730"/>
  <c r="P3" i="6730"/>
  <c r="P2" i="6730"/>
  <c r="P22" i="6726"/>
  <c r="P19" i="6726"/>
  <c r="P17" i="6716"/>
  <c r="P21" i="6716"/>
  <c r="B14" i="6732" l="1"/>
  <c r="B14" i="6730"/>
  <c r="H13" i="6732"/>
  <c r="H26" i="6732"/>
  <c r="H45" i="6732"/>
  <c r="H8" i="6732"/>
  <c r="H15" i="6732"/>
  <c r="H18" i="6732"/>
  <c r="H20" i="6732"/>
  <c r="H9" i="6732"/>
  <c r="C24" i="6732"/>
  <c r="H28" i="6732"/>
  <c r="H31" i="6732"/>
  <c r="H39" i="6732"/>
  <c r="C41" i="6732"/>
  <c r="H44" i="6732"/>
  <c r="H47" i="6732"/>
  <c r="C49" i="6732"/>
  <c r="B27" i="6732"/>
  <c r="H37" i="6732"/>
  <c r="H42" i="6732"/>
  <c r="C47" i="6732"/>
  <c r="H6" i="6732"/>
  <c r="H12" i="6732"/>
  <c r="H19" i="6732"/>
  <c r="C20" i="6732"/>
  <c r="H24" i="6732"/>
  <c r="H29" i="6732"/>
  <c r="H34" i="6732"/>
  <c r="C37" i="6732"/>
  <c r="H40" i="6732"/>
  <c r="H43" i="6732"/>
  <c r="C45" i="6732"/>
  <c r="H48" i="6732"/>
  <c r="H5" i="6732"/>
  <c r="H22" i="6732"/>
  <c r="C22" i="6732"/>
  <c r="H32" i="6732"/>
  <c r="C39" i="6732"/>
  <c r="H50" i="6732"/>
  <c r="H3" i="6732"/>
  <c r="H17" i="6732"/>
  <c r="H21" i="6732"/>
  <c r="B28" i="6732"/>
  <c r="C25" i="6732"/>
  <c r="H7" i="6732"/>
  <c r="H14" i="6732"/>
  <c r="H16" i="6732"/>
  <c r="H23" i="6732"/>
  <c r="C23" i="6732"/>
  <c r="C26" i="6732"/>
  <c r="H35" i="6732"/>
  <c r="H38" i="6732"/>
  <c r="H41" i="6732"/>
  <c r="C43" i="6732"/>
  <c r="H46" i="6732"/>
  <c r="H49" i="6732"/>
  <c r="H52" i="6732"/>
  <c r="B29" i="6732"/>
  <c r="H10" i="6732"/>
  <c r="H25" i="6732"/>
  <c r="H27" i="6732"/>
  <c r="H4" i="6732"/>
  <c r="H30" i="6732"/>
  <c r="H33" i="6732"/>
  <c r="H36" i="6732"/>
  <c r="C38" i="6732"/>
  <c r="C40" i="6732"/>
  <c r="C42" i="6732"/>
  <c r="C44" i="6732"/>
  <c r="C46" i="6732"/>
  <c r="C48" i="6732"/>
  <c r="C19" i="6730"/>
  <c r="H9" i="6730"/>
  <c r="H22" i="6730"/>
  <c r="C20" i="6730"/>
  <c r="H3" i="6730"/>
  <c r="H11" i="6730"/>
  <c r="H25" i="6730"/>
  <c r="H15" i="6730"/>
  <c r="H27" i="6730"/>
  <c r="H7" i="6730"/>
  <c r="H30" i="6730"/>
  <c r="H33" i="6730"/>
  <c r="H36" i="6730"/>
  <c r="C38" i="6730"/>
  <c r="C40" i="6730"/>
  <c r="C42" i="6730"/>
  <c r="C44" i="6730"/>
  <c r="C46" i="6730"/>
  <c r="C48" i="6730"/>
  <c r="H51" i="6730"/>
  <c r="H4" i="6730"/>
  <c r="H2" i="6730"/>
  <c r="H12" i="6730"/>
  <c r="H18" i="6730"/>
  <c r="H14" i="6730"/>
  <c r="H21" i="6730"/>
  <c r="C22" i="6730"/>
  <c r="C24" i="6730"/>
  <c r="C26" i="6730"/>
  <c r="B28" i="6730"/>
  <c r="H34" i="6730"/>
  <c r="H37" i="6730"/>
  <c r="H39" i="6730"/>
  <c r="H41" i="6730"/>
  <c r="H43" i="6730"/>
  <c r="H45" i="6730"/>
  <c r="H47" i="6730"/>
  <c r="H49" i="6730"/>
  <c r="H5" i="6730"/>
  <c r="H6" i="6730"/>
  <c r="H13" i="6730"/>
  <c r="H17" i="6730"/>
  <c r="H24" i="6730"/>
  <c r="H26" i="6730"/>
  <c r="H10" i="6730"/>
  <c r="H28" i="6730"/>
  <c r="H29" i="6730"/>
  <c r="H31" i="6730"/>
  <c r="H35" i="6730"/>
  <c r="C37" i="6730"/>
  <c r="C39" i="6730"/>
  <c r="C41" i="6730"/>
  <c r="C43" i="6730"/>
  <c r="C45" i="6730"/>
  <c r="C47" i="6730"/>
  <c r="C49" i="6730"/>
  <c r="H52" i="6730"/>
  <c r="H8" i="6730"/>
  <c r="H16" i="6730"/>
  <c r="H19" i="6730"/>
  <c r="H20" i="6730"/>
  <c r="H23" i="6730"/>
  <c r="C23" i="6730"/>
  <c r="C25" i="6730"/>
  <c r="B27" i="6730"/>
  <c r="H32" i="6730"/>
  <c r="H38" i="6730"/>
  <c r="H40" i="6730"/>
  <c r="H42" i="6730"/>
  <c r="H44" i="6730"/>
  <c r="H46" i="6730"/>
  <c r="H48" i="6730"/>
  <c r="P18" i="6722" l="1"/>
  <c r="P20" i="6728"/>
  <c r="P18" i="6728"/>
  <c r="C35" i="6728"/>
  <c r="B30" i="6728"/>
  <c r="C21" i="6728"/>
  <c r="C20" i="6728"/>
  <c r="B20" i="6728"/>
  <c r="H3" i="6728" s="1"/>
  <c r="B19" i="6728"/>
  <c r="B29" i="6728" s="1"/>
  <c r="H22" i="6728"/>
  <c r="B18" i="6728"/>
  <c r="C18" i="6728" s="1"/>
  <c r="C17" i="6728"/>
  <c r="C16" i="6728"/>
  <c r="C15" i="6728"/>
  <c r="B13" i="6728"/>
  <c r="P12" i="6728"/>
  <c r="B12" i="6728"/>
  <c r="P11" i="6728"/>
  <c r="B11" i="6728"/>
  <c r="P10" i="6728"/>
  <c r="C10" i="6728"/>
  <c r="H8" i="6728"/>
  <c r="C9" i="6728"/>
  <c r="H7" i="6728"/>
  <c r="C8" i="6728"/>
  <c r="P7" i="6728"/>
  <c r="B7" i="6728"/>
  <c r="P6" i="6728"/>
  <c r="P5" i="6728"/>
  <c r="H9" i="6728"/>
  <c r="B5" i="6728"/>
  <c r="P4" i="6728"/>
  <c r="P3" i="6728"/>
  <c r="P2" i="6728"/>
  <c r="P19" i="6718"/>
  <c r="P20" i="6716"/>
  <c r="H24" i="6728" l="1"/>
  <c r="H6" i="6728"/>
  <c r="H18" i="6728"/>
  <c r="B14" i="6728"/>
  <c r="C19" i="6728"/>
  <c r="H5" i="6728"/>
  <c r="H26" i="6728"/>
  <c r="H15" i="6728"/>
  <c r="H29" i="6728"/>
  <c r="H30" i="6728"/>
  <c r="H32" i="6728"/>
  <c r="H36" i="6728"/>
  <c r="C37" i="6728"/>
  <c r="C39" i="6728"/>
  <c r="C41" i="6728"/>
  <c r="C43" i="6728"/>
  <c r="C45" i="6728"/>
  <c r="C47" i="6728"/>
  <c r="C49" i="6728"/>
  <c r="H52" i="6728"/>
  <c r="H17" i="6728"/>
  <c r="H12" i="6728"/>
  <c r="H20" i="6728"/>
  <c r="H13" i="6728"/>
  <c r="H23" i="6728"/>
  <c r="C23" i="6728"/>
  <c r="C25" i="6728"/>
  <c r="B27" i="6728"/>
  <c r="H33" i="6728"/>
  <c r="H39" i="6728"/>
  <c r="H41" i="6728"/>
  <c r="H43" i="6728"/>
  <c r="H45" i="6728"/>
  <c r="H47" i="6728"/>
  <c r="H49" i="6728"/>
  <c r="H51" i="6728"/>
  <c r="H25" i="6728"/>
  <c r="H27" i="6728"/>
  <c r="H28" i="6728"/>
  <c r="H10" i="6728"/>
  <c r="H31" i="6728"/>
  <c r="H34" i="6728"/>
  <c r="H37" i="6728"/>
  <c r="C38" i="6728"/>
  <c r="C40" i="6728"/>
  <c r="C42" i="6728"/>
  <c r="C44" i="6728"/>
  <c r="C46" i="6728"/>
  <c r="C48" i="6728"/>
  <c r="H16" i="6728"/>
  <c r="H4" i="6728"/>
  <c r="H2" i="6728"/>
  <c r="H11" i="6728"/>
  <c r="H19" i="6728"/>
  <c r="H21" i="6728"/>
  <c r="H14" i="6728"/>
  <c r="C22" i="6728"/>
  <c r="C24" i="6728"/>
  <c r="C26" i="6728"/>
  <c r="B28" i="6728"/>
  <c r="H35" i="6728"/>
  <c r="H38" i="6728"/>
  <c r="H40" i="6728"/>
  <c r="H42" i="6728"/>
  <c r="H44" i="6728"/>
  <c r="H46" i="6728"/>
  <c r="H48" i="6728"/>
  <c r="H50" i="6728"/>
  <c r="P21" i="6718" l="1"/>
  <c r="P16" i="6718"/>
  <c r="P20" i="6726"/>
  <c r="P21" i="6726"/>
  <c r="C35" i="6726"/>
  <c r="B30" i="6726"/>
  <c r="C21" i="6726"/>
  <c r="B20" i="6726"/>
  <c r="H52" i="6726" s="1"/>
  <c r="B19" i="6726"/>
  <c r="B29" i="6726" s="1"/>
  <c r="B18" i="6726"/>
  <c r="C18" i="6726" s="1"/>
  <c r="C17" i="6726"/>
  <c r="C16" i="6726"/>
  <c r="C15" i="6726"/>
  <c r="B13" i="6726"/>
  <c r="P12" i="6726"/>
  <c r="B12" i="6726"/>
  <c r="P11" i="6726"/>
  <c r="B11" i="6726"/>
  <c r="P10" i="6726"/>
  <c r="C10" i="6726"/>
  <c r="C9" i="6726"/>
  <c r="C8" i="6726"/>
  <c r="P7" i="6726"/>
  <c r="B7" i="6726"/>
  <c r="P6" i="6726"/>
  <c r="P5" i="6726"/>
  <c r="B5" i="6726"/>
  <c r="P4" i="6726"/>
  <c r="P3" i="6726"/>
  <c r="P2" i="6726"/>
  <c r="P16" i="6716"/>
  <c r="P16" i="6724"/>
  <c r="P15" i="6724"/>
  <c r="C35" i="6724"/>
  <c r="B30" i="6724"/>
  <c r="B29" i="6724"/>
  <c r="C21" i="6724"/>
  <c r="B20" i="6724"/>
  <c r="H52" i="6724" s="1"/>
  <c r="C19" i="6724"/>
  <c r="B19" i="6724"/>
  <c r="B18" i="6724"/>
  <c r="C18" i="6724" s="1"/>
  <c r="C17" i="6724"/>
  <c r="C16" i="6724"/>
  <c r="C15" i="6724"/>
  <c r="B13" i="6724"/>
  <c r="P12" i="6724"/>
  <c r="B12" i="6724"/>
  <c r="P11" i="6724"/>
  <c r="B11" i="6724"/>
  <c r="P10" i="6724"/>
  <c r="C10" i="6724"/>
  <c r="C9" i="6724"/>
  <c r="C8" i="6724"/>
  <c r="P7" i="6724"/>
  <c r="B7" i="6724"/>
  <c r="P6" i="6724"/>
  <c r="P5" i="6724"/>
  <c r="B5" i="6724"/>
  <c r="P4" i="6724"/>
  <c r="P3" i="6724"/>
  <c r="P2" i="6724"/>
  <c r="P23" i="6716"/>
  <c r="B14" i="6726" l="1"/>
  <c r="C19" i="6726"/>
  <c r="B14" i="6724"/>
  <c r="H8" i="6724"/>
  <c r="H20" i="6724"/>
  <c r="H44" i="6724"/>
  <c r="H13" i="6724"/>
  <c r="C20" i="6726"/>
  <c r="H5" i="6726"/>
  <c r="H3" i="6726"/>
  <c r="H15" i="6726"/>
  <c r="H12" i="6726"/>
  <c r="H28" i="6726"/>
  <c r="C38" i="6726"/>
  <c r="C46" i="6726"/>
  <c r="H14" i="6726"/>
  <c r="H16" i="6726"/>
  <c r="H21" i="6726"/>
  <c r="H18" i="6726"/>
  <c r="H11" i="6726"/>
  <c r="C23" i="6726"/>
  <c r="C25" i="6726"/>
  <c r="B27" i="6726"/>
  <c r="H32" i="6726"/>
  <c r="H38" i="6726"/>
  <c r="H40" i="6726"/>
  <c r="H42" i="6726"/>
  <c r="H44" i="6726"/>
  <c r="H46" i="6726"/>
  <c r="H48" i="6726"/>
  <c r="H50" i="6726"/>
  <c r="H13" i="6726"/>
  <c r="H51" i="6726"/>
  <c r="H9" i="6726"/>
  <c r="H36" i="6726"/>
  <c r="C42" i="6726"/>
  <c r="C48" i="6726"/>
  <c r="H4" i="6726"/>
  <c r="H2" i="6726"/>
  <c r="H8" i="6726"/>
  <c r="H17" i="6726"/>
  <c r="H22" i="6726"/>
  <c r="H23" i="6726"/>
  <c r="C22" i="6726"/>
  <c r="C24" i="6726"/>
  <c r="C26" i="6726"/>
  <c r="B28" i="6726"/>
  <c r="H34" i="6726"/>
  <c r="H37" i="6726"/>
  <c r="H39" i="6726"/>
  <c r="H41" i="6726"/>
  <c r="H43" i="6726"/>
  <c r="H45" i="6726"/>
  <c r="H47" i="6726"/>
  <c r="H49" i="6726"/>
  <c r="H6" i="6726"/>
  <c r="H24" i="6726"/>
  <c r="H27" i="6726"/>
  <c r="H33" i="6726"/>
  <c r="C40" i="6726"/>
  <c r="C44" i="6726"/>
  <c r="H7" i="6726"/>
  <c r="H10" i="6726"/>
  <c r="H20" i="6726"/>
  <c r="H25" i="6726"/>
  <c r="H26" i="6726"/>
  <c r="H19" i="6726"/>
  <c r="H29" i="6726"/>
  <c r="H30" i="6726"/>
  <c r="H31" i="6726"/>
  <c r="H35" i="6726"/>
  <c r="C37" i="6726"/>
  <c r="C39" i="6726"/>
  <c r="C41" i="6726"/>
  <c r="C43" i="6726"/>
  <c r="C45" i="6726"/>
  <c r="C47" i="6726"/>
  <c r="C49" i="6726"/>
  <c r="C25" i="6724"/>
  <c r="H32" i="6724"/>
  <c r="H42" i="6724"/>
  <c r="H50" i="6724"/>
  <c r="H5" i="6724"/>
  <c r="H11" i="6724"/>
  <c r="H6" i="6724"/>
  <c r="H17" i="6724"/>
  <c r="H19" i="6724"/>
  <c r="C20" i="6724"/>
  <c r="B27" i="6724"/>
  <c r="H4" i="6724"/>
  <c r="H9" i="6724"/>
  <c r="H3" i="6724"/>
  <c r="H15" i="6724"/>
  <c r="H38" i="6724"/>
  <c r="H46" i="6724"/>
  <c r="H10" i="6724"/>
  <c r="H12" i="6724"/>
  <c r="H14" i="6724"/>
  <c r="H16" i="6724"/>
  <c r="H18" i="6724"/>
  <c r="H21" i="6724"/>
  <c r="C23" i="6724"/>
  <c r="H40" i="6724"/>
  <c r="H48" i="6724"/>
  <c r="H23" i="6724"/>
  <c r="H25" i="6724"/>
  <c r="H27" i="6724"/>
  <c r="H7" i="6724"/>
  <c r="H30" i="6724"/>
  <c r="H33" i="6724"/>
  <c r="H36" i="6724"/>
  <c r="C38" i="6724"/>
  <c r="C40" i="6724"/>
  <c r="C42" i="6724"/>
  <c r="C44" i="6724"/>
  <c r="C46" i="6724"/>
  <c r="C48" i="6724"/>
  <c r="H51" i="6724"/>
  <c r="C22" i="6724"/>
  <c r="C24" i="6724"/>
  <c r="C26" i="6724"/>
  <c r="B28" i="6724"/>
  <c r="H34" i="6724"/>
  <c r="H37" i="6724"/>
  <c r="H39" i="6724"/>
  <c r="H41" i="6724"/>
  <c r="H43" i="6724"/>
  <c r="H45" i="6724"/>
  <c r="H47" i="6724"/>
  <c r="H49" i="6724"/>
  <c r="H2" i="6724"/>
  <c r="H22" i="6724"/>
  <c r="H24" i="6724"/>
  <c r="H26" i="6724"/>
  <c r="H28" i="6724"/>
  <c r="H29" i="6724"/>
  <c r="H31" i="6724"/>
  <c r="H35" i="6724"/>
  <c r="C37" i="6724"/>
  <c r="C39" i="6724"/>
  <c r="C41" i="6724"/>
  <c r="C43" i="6724"/>
  <c r="C45" i="6724"/>
  <c r="C47" i="6724"/>
  <c r="C49" i="6724"/>
  <c r="P15" i="6722" l="1"/>
  <c r="P17" i="6722"/>
  <c r="C35" i="6722"/>
  <c r="B30" i="6722"/>
  <c r="C21" i="6722"/>
  <c r="B20" i="6722"/>
  <c r="H51" i="6722" s="1"/>
  <c r="B19" i="6722"/>
  <c r="C19" i="6722" s="1"/>
  <c r="B18" i="6722"/>
  <c r="C18" i="6722" s="1"/>
  <c r="C17" i="6722"/>
  <c r="C16" i="6722"/>
  <c r="C15" i="6722"/>
  <c r="B13" i="6722"/>
  <c r="P12" i="6722"/>
  <c r="B12" i="6722"/>
  <c r="P11" i="6722"/>
  <c r="B11" i="6722"/>
  <c r="P10" i="6722"/>
  <c r="C10" i="6722"/>
  <c r="C9" i="6722"/>
  <c r="C8" i="6722"/>
  <c r="P7" i="6722"/>
  <c r="B7" i="6722"/>
  <c r="P6" i="6722"/>
  <c r="P5" i="6722"/>
  <c r="B5" i="6722"/>
  <c r="P4" i="6722"/>
  <c r="P3" i="6722"/>
  <c r="P2" i="6722"/>
  <c r="P19" i="6720"/>
  <c r="P18" i="6720"/>
  <c r="C35" i="6720"/>
  <c r="B30" i="6720"/>
  <c r="C21" i="6720"/>
  <c r="B20" i="6720"/>
  <c r="H52" i="6720" s="1"/>
  <c r="B19" i="6720"/>
  <c r="C19" i="6720" s="1"/>
  <c r="C18" i="6720"/>
  <c r="B18" i="6720"/>
  <c r="C17" i="6720"/>
  <c r="C16" i="6720"/>
  <c r="C15" i="6720"/>
  <c r="B13" i="6720"/>
  <c r="P12" i="6720"/>
  <c r="B12" i="6720"/>
  <c r="P11" i="6720"/>
  <c r="B11" i="6720"/>
  <c r="B14" i="6720" s="1"/>
  <c r="P10" i="6720"/>
  <c r="C10" i="6720"/>
  <c r="C9" i="6720"/>
  <c r="C8" i="6720"/>
  <c r="P7" i="6720"/>
  <c r="B7" i="6720"/>
  <c r="P6" i="6720"/>
  <c r="P5" i="6720"/>
  <c r="B5" i="6720"/>
  <c r="P4" i="6720"/>
  <c r="P3" i="6720"/>
  <c r="P2" i="6720"/>
  <c r="P24" i="6716"/>
  <c r="P20" i="6718"/>
  <c r="P15" i="6718"/>
  <c r="C35" i="6718"/>
  <c r="B30" i="6718"/>
  <c r="C21" i="6718"/>
  <c r="B20" i="6718"/>
  <c r="H52" i="6718" s="1"/>
  <c r="B19" i="6718"/>
  <c r="C19" i="6718" s="1"/>
  <c r="B18" i="6718"/>
  <c r="C18" i="6718" s="1"/>
  <c r="C17" i="6718"/>
  <c r="C16" i="6718"/>
  <c r="C15" i="6718"/>
  <c r="B13" i="6718"/>
  <c r="P12" i="6718"/>
  <c r="B12" i="6718"/>
  <c r="P11" i="6718"/>
  <c r="B11" i="6718"/>
  <c r="P10" i="6718"/>
  <c r="C10" i="6718"/>
  <c r="C9" i="6718"/>
  <c r="C8" i="6718"/>
  <c r="P7" i="6718"/>
  <c r="B7" i="6718"/>
  <c r="P6" i="6718"/>
  <c r="P5" i="6718"/>
  <c r="B5" i="6718"/>
  <c r="P4" i="6718"/>
  <c r="P3" i="6718"/>
  <c r="P2" i="6718"/>
  <c r="P22" i="6716"/>
  <c r="P15" i="6716"/>
  <c r="C35" i="6716"/>
  <c r="B30" i="6716"/>
  <c r="C21" i="6716"/>
  <c r="B20" i="6716"/>
  <c r="H5" i="6716" s="1"/>
  <c r="B19" i="6716"/>
  <c r="B29" i="6716" s="1"/>
  <c r="B18" i="6716"/>
  <c r="C18" i="6716" s="1"/>
  <c r="C17" i="6716"/>
  <c r="C16" i="6716"/>
  <c r="C15" i="6716"/>
  <c r="B13" i="6716"/>
  <c r="P12" i="6716"/>
  <c r="B12" i="6716"/>
  <c r="P11" i="6716"/>
  <c r="B11" i="6716"/>
  <c r="P10" i="6716"/>
  <c r="C10" i="6716"/>
  <c r="C9" i="6716"/>
  <c r="C8" i="6716"/>
  <c r="P7" i="6716"/>
  <c r="B7" i="6716"/>
  <c r="P6" i="6716"/>
  <c r="P5" i="6716"/>
  <c r="B5" i="6716"/>
  <c r="P4" i="6716"/>
  <c r="P3" i="6716"/>
  <c r="P2" i="6716"/>
  <c r="H17" i="6720" l="1"/>
  <c r="H16" i="6720"/>
  <c r="H6" i="6720"/>
  <c r="H3" i="6720"/>
  <c r="H13" i="6718"/>
  <c r="B14" i="6722"/>
  <c r="B14" i="6718"/>
  <c r="H10" i="6718"/>
  <c r="H12" i="6718"/>
  <c r="H8" i="6718"/>
  <c r="C23" i="6718"/>
  <c r="H25" i="6716"/>
  <c r="H7" i="6716"/>
  <c r="H12" i="6716"/>
  <c r="H10" i="6716"/>
  <c r="H3" i="6716"/>
  <c r="H27" i="6716"/>
  <c r="H9" i="6720"/>
  <c r="H23" i="6720"/>
  <c r="H9" i="6722"/>
  <c r="H16" i="6722"/>
  <c r="H39" i="6722"/>
  <c r="H7" i="6722"/>
  <c r="H11" i="6722"/>
  <c r="H17" i="6722"/>
  <c r="H19" i="6722"/>
  <c r="H21" i="6722"/>
  <c r="H24" i="6722"/>
  <c r="C25" i="6722"/>
  <c r="H37" i="6722"/>
  <c r="H43" i="6722"/>
  <c r="C47" i="6722"/>
  <c r="H26" i="6722"/>
  <c r="H31" i="6722"/>
  <c r="C43" i="6722"/>
  <c r="H10" i="6722"/>
  <c r="H2" i="6722"/>
  <c r="H20" i="6722"/>
  <c r="H22" i="6722"/>
  <c r="C20" i="6722"/>
  <c r="C23" i="6722"/>
  <c r="H29" i="6722"/>
  <c r="H35" i="6722"/>
  <c r="C39" i="6722"/>
  <c r="H45" i="6722"/>
  <c r="H5" i="6722"/>
  <c r="H23" i="6722"/>
  <c r="C26" i="6722"/>
  <c r="H49" i="6722"/>
  <c r="H4" i="6722"/>
  <c r="B28" i="6722"/>
  <c r="H6" i="6722"/>
  <c r="H3" i="6722"/>
  <c r="H15" i="6722"/>
  <c r="H18" i="6722"/>
  <c r="H25" i="6722"/>
  <c r="C24" i="6722"/>
  <c r="H30" i="6722"/>
  <c r="H41" i="6722"/>
  <c r="H47" i="6722"/>
  <c r="H52" i="6722"/>
  <c r="C22" i="6722"/>
  <c r="H13" i="6722"/>
  <c r="B27" i="6722"/>
  <c r="H34" i="6722"/>
  <c r="C37" i="6722"/>
  <c r="C41" i="6722"/>
  <c r="C45" i="6722"/>
  <c r="C49" i="6722"/>
  <c r="B29" i="6722"/>
  <c r="H32" i="6722"/>
  <c r="H38" i="6722"/>
  <c r="H40" i="6722"/>
  <c r="H42" i="6722"/>
  <c r="H44" i="6722"/>
  <c r="H46" i="6722"/>
  <c r="H48" i="6722"/>
  <c r="H50" i="6722"/>
  <c r="H12" i="6722"/>
  <c r="H27" i="6722"/>
  <c r="H28" i="6722"/>
  <c r="H8" i="6722"/>
  <c r="H14" i="6722"/>
  <c r="H33" i="6722"/>
  <c r="H36" i="6722"/>
  <c r="C38" i="6722"/>
  <c r="C40" i="6722"/>
  <c r="C42" i="6722"/>
  <c r="C44" i="6722"/>
  <c r="C46" i="6722"/>
  <c r="C48" i="6722"/>
  <c r="H6" i="6716"/>
  <c r="C20" i="6716"/>
  <c r="C24" i="6720"/>
  <c r="H32" i="6720"/>
  <c r="H41" i="6720"/>
  <c r="H21" i="6720"/>
  <c r="H22" i="6720"/>
  <c r="C25" i="6720"/>
  <c r="H44" i="6720"/>
  <c r="B28" i="6720"/>
  <c r="H5" i="6720"/>
  <c r="H2" i="6720"/>
  <c r="H8" i="6720"/>
  <c r="H19" i="6720"/>
  <c r="C26" i="6720"/>
  <c r="H37" i="6720"/>
  <c r="H45" i="6720"/>
  <c r="C20" i="6720"/>
  <c r="H7" i="6720"/>
  <c r="H10" i="6720"/>
  <c r="H18" i="6720"/>
  <c r="H20" i="6720"/>
  <c r="H11" i="6720"/>
  <c r="H12" i="6720"/>
  <c r="C22" i="6720"/>
  <c r="H40" i="6720"/>
  <c r="H48" i="6720"/>
  <c r="B29" i="6720"/>
  <c r="H49" i="6720"/>
  <c r="H38" i="6720"/>
  <c r="H42" i="6720"/>
  <c r="H46" i="6720"/>
  <c r="H50" i="6720"/>
  <c r="C23" i="6720"/>
  <c r="B27" i="6720"/>
  <c r="H34" i="6720"/>
  <c r="H39" i="6720"/>
  <c r="H43" i="6720"/>
  <c r="H47" i="6720"/>
  <c r="H4" i="6720"/>
  <c r="H13" i="6720"/>
  <c r="H26" i="6720"/>
  <c r="H27" i="6720"/>
  <c r="H15" i="6720"/>
  <c r="H30" i="6720"/>
  <c r="H33" i="6720"/>
  <c r="H36" i="6720"/>
  <c r="C38" i="6720"/>
  <c r="C40" i="6720"/>
  <c r="C42" i="6720"/>
  <c r="C44" i="6720"/>
  <c r="C46" i="6720"/>
  <c r="C48" i="6720"/>
  <c r="H51" i="6720"/>
  <c r="H24" i="6720"/>
  <c r="H25" i="6720"/>
  <c r="H14" i="6720"/>
  <c r="H28" i="6720"/>
  <c r="H29" i="6720"/>
  <c r="H31" i="6720"/>
  <c r="H35" i="6720"/>
  <c r="C37" i="6720"/>
  <c r="C39" i="6720"/>
  <c r="C41" i="6720"/>
  <c r="C43" i="6720"/>
  <c r="C45" i="6720"/>
  <c r="C47" i="6720"/>
  <c r="C49" i="6720"/>
  <c r="B14" i="6716"/>
  <c r="C19" i="6716"/>
  <c r="H41" i="6718"/>
  <c r="H17" i="6718"/>
  <c r="H25" i="6718"/>
  <c r="H19" i="6718"/>
  <c r="H42" i="6718"/>
  <c r="H5" i="6718"/>
  <c r="H9" i="6718"/>
  <c r="H23" i="6718"/>
  <c r="H26" i="6718"/>
  <c r="C26" i="6718"/>
  <c r="H45" i="6718"/>
  <c r="H22" i="6718"/>
  <c r="C24" i="6718"/>
  <c r="H3" i="6718"/>
  <c r="H21" i="6718"/>
  <c r="H6" i="6718"/>
  <c r="H14" i="6718"/>
  <c r="H20" i="6718"/>
  <c r="H30" i="6718"/>
  <c r="H38" i="6718"/>
  <c r="H46" i="6718"/>
  <c r="H49" i="6718"/>
  <c r="H50" i="6718"/>
  <c r="C22" i="6718"/>
  <c r="H15" i="6718"/>
  <c r="B27" i="6718"/>
  <c r="H33" i="6718"/>
  <c r="H39" i="6718"/>
  <c r="H43" i="6718"/>
  <c r="H47" i="6718"/>
  <c r="H51" i="6718"/>
  <c r="H2" i="6718"/>
  <c r="H24" i="6718"/>
  <c r="H18" i="6718"/>
  <c r="B28" i="6718"/>
  <c r="C20" i="6718"/>
  <c r="H27" i="6718"/>
  <c r="C25" i="6718"/>
  <c r="H31" i="6718"/>
  <c r="H35" i="6718"/>
  <c r="H40" i="6718"/>
  <c r="H44" i="6718"/>
  <c r="H48" i="6718"/>
  <c r="H4" i="6718"/>
  <c r="B29" i="6718"/>
  <c r="H11" i="6718"/>
  <c r="H28" i="6718"/>
  <c r="H29" i="6718"/>
  <c r="H7" i="6718"/>
  <c r="H32" i="6718"/>
  <c r="H34" i="6718"/>
  <c r="H37" i="6718"/>
  <c r="C38" i="6718"/>
  <c r="C40" i="6718"/>
  <c r="C42" i="6718"/>
  <c r="C44" i="6718"/>
  <c r="C46" i="6718"/>
  <c r="C48" i="6718"/>
  <c r="H16" i="6718"/>
  <c r="H36" i="6718"/>
  <c r="C37" i="6718"/>
  <c r="C39" i="6718"/>
  <c r="C41" i="6718"/>
  <c r="C43" i="6718"/>
  <c r="C45" i="6718"/>
  <c r="C47" i="6718"/>
  <c r="C49" i="6718"/>
  <c r="H28" i="6716"/>
  <c r="H29" i="6716"/>
  <c r="H14" i="6716"/>
  <c r="H31" i="6716"/>
  <c r="H32" i="6716"/>
  <c r="H24" i="6716"/>
  <c r="H36" i="6716"/>
  <c r="C37" i="6716"/>
  <c r="C39" i="6716"/>
  <c r="C41" i="6716"/>
  <c r="C43" i="6716"/>
  <c r="C45" i="6716"/>
  <c r="C47" i="6716"/>
  <c r="C49" i="6716"/>
  <c r="H52" i="6716"/>
  <c r="H11" i="6716"/>
  <c r="H19" i="6716"/>
  <c r="H26" i="6716"/>
  <c r="H16" i="6716"/>
  <c r="H15" i="6716"/>
  <c r="C23" i="6716"/>
  <c r="C25" i="6716"/>
  <c r="B27" i="6716"/>
  <c r="H33" i="6716"/>
  <c r="H39" i="6716"/>
  <c r="H41" i="6716"/>
  <c r="H43" i="6716"/>
  <c r="H45" i="6716"/>
  <c r="H47" i="6716"/>
  <c r="H49" i="6716"/>
  <c r="H51" i="6716"/>
  <c r="H13" i="6716"/>
  <c r="H23" i="6716"/>
  <c r="H30" i="6716"/>
  <c r="H8" i="6716"/>
  <c r="H17" i="6716"/>
  <c r="H34" i="6716"/>
  <c r="H37" i="6716"/>
  <c r="C38" i="6716"/>
  <c r="C40" i="6716"/>
  <c r="C42" i="6716"/>
  <c r="C44" i="6716"/>
  <c r="C46" i="6716"/>
  <c r="C48" i="6716"/>
  <c r="H18" i="6716"/>
  <c r="H4" i="6716"/>
  <c r="H2" i="6716"/>
  <c r="H9" i="6716"/>
  <c r="H21" i="6716"/>
  <c r="H22" i="6716"/>
  <c r="H20" i="6716"/>
  <c r="C22" i="6716"/>
  <c r="C24" i="6716"/>
  <c r="C26" i="6716"/>
  <c r="B28" i="6716"/>
  <c r="H35" i="6716"/>
  <c r="H38" i="6716"/>
  <c r="H40" i="6716"/>
  <c r="H42" i="6716"/>
  <c r="H44" i="6716"/>
  <c r="H46" i="6716"/>
  <c r="H48" i="6716"/>
  <c r="H50" i="6716"/>
  <c r="C35" i="6023" l="1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<sst xmlns="http://schemas.openxmlformats.org/spreadsheetml/2006/main" count="2874" uniqueCount="225">
  <si>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</si>
  <si>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</si>
  <si>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</si>
  <si>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</si>
  <si>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</si>
  <si>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</si>
  <si>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</si>
  <si>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</si>
  <si>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</si>
  <si>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</si>
  <si>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</si>
  <si>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</si>
  <si>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</si>
  <si>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</si>
  <si>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</si>
  <si>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</si>
  <si>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</si>
  <si>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</si>
  <si>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</si>
  <si>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</si>
  <si>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</si>
  <si>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</si>
  <si>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</si>
  <si>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</si>
  <si>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</si>
  <si>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</si>
  <si>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</si>
  <si>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</si>
  <si>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</si>
  <si>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</si>
  <si>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</si>
  <si>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</si>
  <si>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</si>
  <si>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</si>
  <si>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</si>
  <si>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</si>
  <si>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</si>
  <si>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</si>
  <si>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</si>
  <si>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</si>
  <si>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</si>
  <si>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</si>
  <si>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</si>
  <si>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</si>
  <si>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</si>
  <si>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</si>
  <si>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</si>
  <si>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</si>
  <si>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</si>
  <si>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</si>
  <si>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</si>
  <si>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</si>
  <si>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</si>
  <si>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</si>
  <si>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</si>
  <si>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</si>
  <si>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</si>
  <si>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</si>
  <si>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</si>
  <si>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</si>
  <si>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</si>
  <si>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</si>
  <si>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</si>
  <si>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</si>
  <si>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</si>
  <si>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</si>
  <si>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</si>
  <si>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</si>
  <si>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</si>
  <si>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</si>
  <si>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</si>
  <si>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</si>
  <si>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</si>
  <si>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</si>
  <si>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</si>
  <si>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</si>
  <si>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</si>
  <si>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</si>
  <si>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</si>
  <si>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</si>
  <si>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</si>
  <si>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</si>
  <si>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</si>
  <si>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</si>
  <si>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</si>
  <si>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</si>
  <si>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</si>
  <si>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</si>
  <si>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</si>
  <si>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</si>
  <si>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</si>
  <si>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</si>
  <si>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</si>
  <si>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</si>
  <si>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</si>
  <si>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</si>
  <si>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</si>
  <si>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</si>
  <si>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</si>
  <si>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</si>
  <si>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</si>
  <si>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</si>
  <si>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</si>
  <si>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</si>
  <si>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</si>
  <si>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</si>
  <si>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</si>
  <si>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</si>
  <si>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</si>
  <si>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</si>
  <si>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</si>
  <si>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</si>
  <si>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</si>
  <si>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</si>
  <si>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</si>
  <si>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</si>
  <si>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</si>
  <si>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</si>
  <si>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</si>
  <si>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</si>
  <si>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</si>
  <si>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</si>
  <si>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</si>
  <si>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</si>
  <si>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</si>
  <si>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</si>
  <si>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</si>
  <si>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</si>
  <si>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</si>
  <si>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</si>
  <si>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</si>
  <si>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</si>
  <si>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</si>
  <si>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</si>
  <si>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</si>
  <si>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</si>
  <si>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</si>
  <si>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</si>
  <si>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</si>
  <si>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</si>
  <si>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</si>
  <si>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</si>
  <si>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</si>
  <si>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</si>
  <si>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</si>
  <si>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</si>
  <si>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</si>
  <si>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</si>
  <si>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</si>
  <si>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</si>
  <si>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</si>
  <si>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</si>
  <si>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</si>
  <si>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</si>
  <si>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</si>
  <si>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</si>
  <si>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</si>
  <si>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</si>
  <si>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</si>
  <si>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</si>
  <si>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</si>
  <si>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</si>
  <si>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</si>
  <si>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</si>
  <si>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</si>
  <si>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</si>
  <si>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</si>
  <si>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</si>
  <si>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</si>
  <si>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</si>
  <si>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</si>
  <si>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</si>
  <si>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</si>
  <si>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</si>
  <si>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</si>
  <si>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</si>
  <si>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</si>
  <si>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</si>
  <si>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</si>
  <si>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</si>
  <si>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</si>
  <si>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</si>
  <si>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</si>
  <si>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</si>
  <si>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</si>
  <si>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</si>
  <si>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</si>
  <si>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</si>
  <si>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</si>
  <si>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たかの</t>
  </si>
  <si>
    <t>まっつん</t>
  </si>
  <si>
    <t>Sheet3</t>
  </si>
  <si>
    <t>ただ</t>
  </si>
  <si>
    <t>のり</t>
  </si>
  <si>
    <t>Sheet4</t>
  </si>
  <si>
    <t>りくと</t>
  </si>
  <si>
    <t>レーティング</t>
    <phoneticPr fontId="1"/>
  </si>
  <si>
    <t>R</t>
    <phoneticPr fontId="1"/>
  </si>
  <si>
    <t>ともき</t>
  </si>
  <si>
    <t>ぱぱ</t>
  </si>
  <si>
    <t>あさひ</t>
  </si>
  <si>
    <t>いっしー</t>
  </si>
  <si>
    <t>ほたに</t>
  </si>
  <si>
    <t>かわたつ</t>
  </si>
  <si>
    <t>やがさき</t>
  </si>
  <si>
    <t>ちさと</t>
  </si>
  <si>
    <t>かこたろう</t>
  </si>
  <si>
    <t>がくと</t>
  </si>
  <si>
    <t>相関</t>
    <rPh sb="0" eb="2">
      <t>ソウカン</t>
    </rPh>
    <phoneticPr fontId="1"/>
  </si>
  <si>
    <t>ゆう</t>
  </si>
  <si>
    <t>てんちゃん</t>
  </si>
  <si>
    <t>いちかわ</t>
  </si>
  <si>
    <t>2020-09-25@0.xlsm</t>
  </si>
  <si>
    <t>2020-09-27@0.xlsm</t>
  </si>
  <si>
    <t>2020-10-01@0.xlsm</t>
  </si>
  <si>
    <t>2020-10-03@0.xlsm</t>
  </si>
  <si>
    <t>たか</t>
  </si>
  <si>
    <t>2020-10-04@0.xlsm</t>
  </si>
  <si>
    <t>2020-10-05@0.xlsm</t>
  </si>
  <si>
    <t>2020-10-06@0.xlsm</t>
  </si>
  <si>
    <t>2020-10-07@0.xlsm</t>
  </si>
  <si>
    <t>わさび</t>
  </si>
  <si>
    <t>2020-10-08@0.xlsm</t>
  </si>
  <si>
    <t>2020-10-09@0.xlsm</t>
  </si>
  <si>
    <t>2020-10-10@0.xlsm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</si>
</sst>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9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全体!$K$2:$K$77</c:f>
              <c:numCache>
                <c:formatCode>General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全体!$L$2:$L$77</c:f>
              <c:numCache>
                <c:formatCode>\+0.0;\-0.0;\±0</c:formatCode>
                <c:ptCount val="76"/>
                <c:pt idx="0">
                  <c:v>0</c:v>
                </c:pt>
                <c:pt idx="1">
                  <c:v>20.9</c:v>
                </c:pt>
                <c:pt idx="2">
                  <c:v>-10.100000000000001</c:v>
                </c:pt>
                <c:pt idx="3">
                  <c:v>-1.7763568394002505E-15</c:v>
                </c:pt>
                <c:pt idx="4">
                  <c:v>26.299999999999997</c:v>
                </c:pt>
                <c:pt idx="5">
                  <c:v>-41.600000000000009</c:v>
                </c:pt>
                <c:pt idx="6">
                  <c:v>-7.1054273576010019E-15</c:v>
                </c:pt>
                <c:pt idx="7">
                  <c:v>-33.600000000000009</c:v>
                </c:pt>
                <c:pt idx="8">
                  <c:v>21.999999999999993</c:v>
                </c:pt>
                <c:pt idx="9">
                  <c:v>-7.1054273576010019E-15</c:v>
                </c:pt>
                <c:pt idx="10">
                  <c:v>-30.700000000000006</c:v>
                </c:pt>
                <c:pt idx="11">
                  <c:v>-34.000000000000007</c:v>
                </c:pt>
                <c:pt idx="12">
                  <c:v>-7.1054273576010019E-15</c:v>
                </c:pt>
                <c:pt idx="13">
                  <c:v>48.999999999999993</c:v>
                </c:pt>
                <c:pt idx="14">
                  <c:v>3.4999999999999929</c:v>
                </c:pt>
                <c:pt idx="15">
                  <c:v>-7.1054273576010019E-15</c:v>
                </c:pt>
                <c:pt idx="16">
                  <c:v>-11.600000000000007</c:v>
                </c:pt>
                <c:pt idx="17">
                  <c:v>-7.1054273576010019E-15</c:v>
                </c:pt>
                <c:pt idx="18">
                  <c:v>-7.1054273576010019E-15</c:v>
                </c:pt>
                <c:pt idx="19">
                  <c:v>-23.100000000000009</c:v>
                </c:pt>
                <c:pt idx="20">
                  <c:v>-31.300000000000008</c:v>
                </c:pt>
                <c:pt idx="21">
                  <c:v>-7.1054273576010019E-15</c:v>
                </c:pt>
                <c:pt idx="22">
                  <c:v>-4.4000000000000075</c:v>
                </c:pt>
                <c:pt idx="23">
                  <c:v>37.999999999999993</c:v>
                </c:pt>
                <c:pt idx="24">
                  <c:v>-7.1054273576010019E-15</c:v>
                </c:pt>
                <c:pt idx="25">
                  <c:v>-28.000000000000007</c:v>
                </c:pt>
                <c:pt idx="26">
                  <c:v>-8.0000000000000071</c:v>
                </c:pt>
                <c:pt idx="27">
                  <c:v>-7.1054273576010019E-15</c:v>
                </c:pt>
                <c:pt idx="28">
                  <c:v>36.899999999999991</c:v>
                </c:pt>
                <c:pt idx="29">
                  <c:v>-3.1000000000000085</c:v>
                </c:pt>
                <c:pt idx="30">
                  <c:v>-8.4376949871511897E-15</c:v>
                </c:pt>
                <c:pt idx="31">
                  <c:v>49.599999999999994</c:v>
                </c:pt>
                <c:pt idx="32">
                  <c:v>36.799999999999997</c:v>
                </c:pt>
                <c:pt idx="33">
                  <c:v>0</c:v>
                </c:pt>
                <c:pt idx="34">
                  <c:v>33.6</c:v>
                </c:pt>
                <c:pt idx="35">
                  <c:v>-20.199999999999996</c:v>
                </c:pt>
                <c:pt idx="36">
                  <c:v>3.5527136788005009E-15</c:v>
                </c:pt>
                <c:pt idx="37">
                  <c:v>-34.399999999999991</c:v>
                </c:pt>
                <c:pt idx="38">
                  <c:v>-23.79999999999999</c:v>
                </c:pt>
                <c:pt idx="39">
                  <c:v>1.0658141036401503E-14</c:v>
                </c:pt>
                <c:pt idx="40">
                  <c:v>-28.79999999999999</c:v>
                </c:pt>
                <c:pt idx="41">
                  <c:v>-22.499999999999989</c:v>
                </c:pt>
                <c:pt idx="42">
                  <c:v>1.0658141036401503E-14</c:v>
                </c:pt>
                <c:pt idx="43">
                  <c:v>26.600000000000012</c:v>
                </c:pt>
                <c:pt idx="44">
                  <c:v>-6.5999999999999908</c:v>
                </c:pt>
                <c:pt idx="45">
                  <c:v>8.8817841970012523E-15</c:v>
                </c:pt>
                <c:pt idx="46">
                  <c:v>-27.999999999999993</c:v>
                </c:pt>
                <c:pt idx="47">
                  <c:v>50.000000000000007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-26.599999999999991</c:v>
                </c:pt>
                <c:pt idx="51">
                  <c:v>1.0658141036401503E-14</c:v>
                </c:pt>
                <c:pt idx="52">
                  <c:v>-24.199999999999989</c:v>
                </c:pt>
                <c:pt idx="53">
                  <c:v>-20.199999999999989</c:v>
                </c:pt>
                <c:pt idx="54">
                  <c:v>1.0658141036401503E-14</c:v>
                </c:pt>
                <c:pt idx="55">
                  <c:v>-17.499999999999989</c:v>
                </c:pt>
                <c:pt idx="56">
                  <c:v>0.50000000000001066</c:v>
                </c:pt>
                <c:pt idx="57">
                  <c:v>1.0658141036401503E-14</c:v>
                </c:pt>
                <c:pt idx="58">
                  <c:v>16.600000000000012</c:v>
                </c:pt>
                <c:pt idx="59">
                  <c:v>13.600000000000012</c:v>
                </c:pt>
                <c:pt idx="60">
                  <c:v>1.2434497875801753E-14</c:v>
                </c:pt>
                <c:pt idx="61">
                  <c:v>-13.999999999999988</c:v>
                </c:pt>
                <c:pt idx="62">
                  <c:v>-39.699999999999989</c:v>
                </c:pt>
                <c:pt idx="63">
                  <c:v>1.4210854715202004E-14</c:v>
                </c:pt>
                <c:pt idx="64">
                  <c:v>-19.799999999999986</c:v>
                </c:pt>
                <c:pt idx="65">
                  <c:v>-50.899999999999991</c:v>
                </c:pt>
                <c:pt idx="66">
                  <c:v>7.1054273576010019E-15</c:v>
                </c:pt>
                <c:pt idx="67">
                  <c:v>-26.699999999999992</c:v>
                </c:pt>
                <c:pt idx="68">
                  <c:v>7.0000000000000107</c:v>
                </c:pt>
                <c:pt idx="69">
                  <c:v>1.0658141036401503E-14</c:v>
                </c:pt>
                <c:pt idx="70">
                  <c:v>-24.399999999999988</c:v>
                </c:pt>
                <c:pt idx="71">
                  <c:v>-24.299999999999986</c:v>
                </c:pt>
                <c:pt idx="72">
                  <c:v>1.4210854715202004E-14</c:v>
                </c:pt>
                <c:pt idx="73">
                  <c:v>8.2000000000000135</c:v>
                </c:pt>
                <c:pt idx="74">
                  <c:v>32.800000000000011</c:v>
                </c:pt>
                <c:pt idx="75">
                  <c:v>1.4210854715202004E-14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C6-4CBA-B0EA-74874355EF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-40</c:v>
                </c:pt>
                <c:pt idx="1">
                  <c:v>41.666666666666664</c:v>
                </c:pt>
                <c:pt idx="2">
                  <c:v>-13.888888888888889</c:v>
                </c:pt>
                <c:pt idx="3">
                  <c:v>15.151515151515152</c:v>
                </c:pt>
                <c:pt idx="4">
                  <c:v>-16.666666666666668</c:v>
                </c:pt>
                <c:pt idx="5">
                  <c:v>17.543859649122808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4D-4484-BF62-693275853C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13</c:v>
                </c:pt>
                <c:pt idx="1">
                  <c:v>38</c:v>
                </c:pt>
                <c:pt idx="2">
                  <c:v>33</c:v>
                </c:pt>
                <c:pt idx="3">
                  <c:v>29</c:v>
                </c:pt>
                <c:pt idx="4">
                  <c:v>21</c:v>
                </c:pt>
                <c:pt idx="5">
                  <c:v>24</c:v>
                </c:pt>
                <c:pt idx="6">
                  <c:v>12</c:v>
                </c:pt>
                <c:pt idx="7">
                  <c:v>5</c:v>
                </c:pt>
                <c:pt idx="8">
                  <c:v>2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C3-46E9-B574-1D7442F6B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全体!$K$2:$K$77</c:f>
              <c:numCache>
                <c:formatCode>General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全体!$M$2:$M$77</c:f>
              <c:numCache>
                <c:formatCode>0</c:formatCode>
                <c:ptCount val="76"/>
                <c:pt idx="0">
                  <c:v>1594.5463045050694</c:v>
                </c:pt>
                <c:pt idx="1">
                  <c:v>1597.7410266780389</c:v>
                </c:pt>
                <c:pt idx="2">
                  <c:v>1591.5745805179706</c:v>
                </c:pt>
                <c:pt idx="3">
                  <c:v>1592.8431330348628</c:v>
                </c:pt>
                <c:pt idx="4">
                  <c:v>1597.8720742366536</c:v>
                </c:pt>
                <c:pt idx="5">
                  <c:v>1585.9148417912336</c:v>
                </c:pt>
                <c:pt idx="6">
                  <c:v>1593.7393527404861</c:v>
                </c:pt>
                <c:pt idx="7">
                  <c:v>1587.8309166240431</c:v>
                </c:pt>
                <c:pt idx="8">
                  <c:v>1598.0139311242988</c:v>
                </c:pt>
                <c:pt idx="9">
                  <c:v>1594.1678475375529</c:v>
                </c:pt>
                <c:pt idx="10">
                  <c:v>1588.8028404523277</c:v>
                </c:pt>
                <c:pt idx="11">
                  <c:v>1588.4020234096138</c:v>
                </c:pt>
                <c:pt idx="12">
                  <c:v>1594.7176112691561</c:v>
                </c:pt>
                <c:pt idx="13">
                  <c:v>1603.6953056015411</c:v>
                </c:pt>
                <c:pt idx="14">
                  <c:v>1595.6091337679318</c:v>
                </c:pt>
                <c:pt idx="15">
                  <c:v>1595.1314789653243</c:v>
                </c:pt>
                <c:pt idx="16">
                  <c:v>1593.0666900915323</c:v>
                </c:pt>
                <c:pt idx="17">
                  <c:v>1595.1902899509832</c:v>
                </c:pt>
                <c:pt idx="18">
                  <c:v>1595.2131482112773</c:v>
                </c:pt>
                <c:pt idx="19">
                  <c:v>1591.1138693220096</c:v>
                </c:pt>
                <c:pt idx="20">
                  <c:v>1589.7211861060775</c:v>
                </c:pt>
                <c:pt idx="21">
                  <c:v>1595.4468589894411</c:v>
                </c:pt>
                <c:pt idx="22">
                  <c:v>1594.0581778355045</c:v>
                </c:pt>
                <c:pt idx="23">
                  <c:v>1601.1018287684915</c:v>
                </c:pt>
                <c:pt idx="24">
                  <c:v>1593.6312177958805</c:v>
                </c:pt>
                <c:pt idx="25">
                  <c:v>1587.7054304891053</c:v>
                </c:pt>
                <c:pt idx="26">
                  <c:v>1590.4551979061707</c:v>
                </c:pt>
                <c:pt idx="27">
                  <c:v>1591.0284667187336</c:v>
                </c:pt>
                <c:pt idx="28">
                  <c:v>1597.5382959184212</c:v>
                </c:pt>
                <c:pt idx="29">
                  <c:v>1590.1670661429107</c:v>
                </c:pt>
                <c:pt idx="30">
                  <c:v>1590.5980637460532</c:v>
                </c:pt>
                <c:pt idx="31">
                  <c:v>1599.3964753635769</c:v>
                </c:pt>
                <c:pt idx="32">
                  <c:v>1596.9100965113955</c:v>
                </c:pt>
                <c:pt idx="33">
                  <c:v>1590.1186359323272</c:v>
                </c:pt>
                <c:pt idx="34">
                  <c:v>1595.8779241167331</c:v>
                </c:pt>
                <c:pt idx="35">
                  <c:v>1585.8706565720327</c:v>
                </c:pt>
                <c:pt idx="36">
                  <c:v>1589.2434326326004</c:v>
                </c:pt>
                <c:pt idx="37">
                  <c:v>1582.7679720368048</c:v>
                </c:pt>
                <c:pt idx="38">
                  <c:v>1584.431364204584</c:v>
                </c:pt>
                <c:pt idx="39">
                  <c:v>1588.4607760193564</c:v>
                </c:pt>
                <c:pt idx="40">
                  <c:v>1582.7880113632402</c:v>
                </c:pt>
                <c:pt idx="41">
                  <c:v>1583.4672832950607</c:v>
                </c:pt>
                <c:pt idx="42">
                  <c:v>1587.0584795952905</c:v>
                </c:pt>
                <c:pt idx="43">
                  <c:v>1592.3501287177187</c:v>
                </c:pt>
                <c:pt idx="44">
                  <c:v>1586.8460279454123</c:v>
                </c:pt>
                <c:pt idx="45">
                  <c:v>1588.5389517777398</c:v>
                </c:pt>
                <c:pt idx="46">
                  <c:v>1583.9937180670734</c:v>
                </c:pt>
                <c:pt idx="47">
                  <c:v>1598.555755758671</c:v>
                </c:pt>
                <c:pt idx="48">
                  <c:v>1589.990421224119</c:v>
                </c:pt>
                <c:pt idx="49">
                  <c:v>1586.2644786967744</c:v>
                </c:pt>
                <c:pt idx="50">
                  <c:v>1585.4768918245938</c:v>
                </c:pt>
                <c:pt idx="51">
                  <c:v>1590.4180304736462</c:v>
                </c:pt>
                <c:pt idx="52">
                  <c:v>1585.5015222908044</c:v>
                </c:pt>
                <c:pt idx="53">
                  <c:v>1585.6905131570595</c:v>
                </c:pt>
                <c:pt idx="54">
                  <c:v>1588.7943700781173</c:v>
                </c:pt>
                <c:pt idx="55">
                  <c:v>1584.9436038576484</c:v>
                </c:pt>
                <c:pt idx="56">
                  <c:v>1587.5059422345025</c:v>
                </c:pt>
                <c:pt idx="57">
                  <c:v>1586.7229065810955</c:v>
                </c:pt>
                <c:pt idx="58">
                  <c:v>1589.7965691416089</c:v>
                </c:pt>
                <c:pt idx="59">
                  <c:v>1589.3237897267593</c:v>
                </c:pt>
                <c:pt idx="60">
                  <c:v>1586.9458469883987</c:v>
                </c:pt>
                <c:pt idx="61">
                  <c:v>1584.6241719064683</c:v>
                </c:pt>
                <c:pt idx="62">
                  <c:v>1580.2104268750295</c:v>
                </c:pt>
                <c:pt idx="63">
                  <c:v>1587.5951643137794</c:v>
                </c:pt>
                <c:pt idx="64">
                  <c:v>1584.2255933278966</c:v>
                </c:pt>
                <c:pt idx="65">
                  <c:v>1578.8422397679292</c:v>
                </c:pt>
                <c:pt idx="66">
                  <c:v>1588.2511863293216</c:v>
                </c:pt>
                <c:pt idx="67">
                  <c:v>1583.6356792113456</c:v>
                </c:pt>
                <c:pt idx="68">
                  <c:v>1589.9198651360775</c:v>
                </c:pt>
                <c:pt idx="69">
                  <c:v>1588.8403459452611</c:v>
                </c:pt>
                <c:pt idx="70">
                  <c:v>1584.4493038695896</c:v>
                </c:pt>
                <c:pt idx="71">
                  <c:v>1584.4946080463722</c:v>
                </c:pt>
                <c:pt idx="72">
                  <c:v>1588.895640398094</c:v>
                </c:pt>
                <c:pt idx="73">
                  <c:v>1590.3722665557054</c:v>
                </c:pt>
                <c:pt idx="74">
                  <c:v>1594.7920329563713</c:v>
                </c:pt>
                <c:pt idx="75">
                  <c:v>1588.853280758633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B8-4C8A-95AE-6790D1B7A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だいち!$L$2:$L$20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20.9</c:v>
                </c:pt>
                <c:pt idx="2">
                  <c:v>62.5</c:v>
                </c:pt>
                <c:pt idx="3">
                  <c:v>40.5</c:v>
                </c:pt>
                <c:pt idx="4">
                  <c:v>74.5</c:v>
                </c:pt>
                <c:pt idx="5">
                  <c:v>123.5</c:v>
                </c:pt>
                <c:pt idx="6">
                  <c:v>111.9</c:v>
                </c:pt>
                <c:pt idx="7">
                  <c:v>103.7</c:v>
                </c:pt>
                <c:pt idx="8">
                  <c:v>140.6</c:v>
                </c:pt>
                <c:pt idx="9">
                  <c:v>127.8</c:v>
                </c:pt>
                <c:pt idx="10">
                  <c:v>134.4</c:v>
                </c:pt>
                <c:pt idx="11">
                  <c:v>212.4</c:v>
                </c:pt>
                <c:pt idx="12">
                  <c:v>239</c:v>
                </c:pt>
                <c:pt idx="13">
                  <c:v>236</c:v>
                </c:pt>
                <c:pt idx="14">
                  <c:v>222</c:v>
                </c:pt>
                <c:pt idx="15">
                  <c:v>190.9</c:v>
                </c:pt>
                <c:pt idx="16">
                  <c:v>164.20000000000002</c:v>
                </c:pt>
                <c:pt idx="17">
                  <c:v>164.3</c:v>
                </c:pt>
                <c:pt idx="18">
                  <c:v>188.9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E8-4CCC-8DA2-2F4426467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2283.3333333333335</c:v>
                </c:pt>
                <c:pt idx="1">
                  <c:v>-717.64705882352939</c:v>
                </c:pt>
                <c:pt idx="2">
                  <c:v>1088.2352941176471</c:v>
                </c:pt>
                <c:pt idx="3">
                  <c:v>1081.25</c:v>
                </c:pt>
                <c:pt idx="4">
                  <c:v>-473.33333333333331</c:v>
                </c:pt>
                <c:pt idx="5">
                  <c:v>-1971.4285714285713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9B-4E76-AAE3-5F6EBC96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2</c:v>
                </c:pt>
                <c:pt idx="1">
                  <c:v>7</c:v>
                </c:pt>
                <c:pt idx="2">
                  <c:v>13</c:v>
                </c:pt>
                <c:pt idx="3">
                  <c:v>7</c:v>
                </c:pt>
                <c:pt idx="4">
                  <c:v>6</c:v>
                </c:pt>
                <c:pt idx="5">
                  <c:v>9</c:v>
                </c:pt>
                <c:pt idx="6">
                  <c:v>5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AB-433D-8267-A7BDB32BA0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だいち!$M$2:$M$20</c:f>
              <c:numCache>
                <c:formatCode>0</c:formatCode>
                <c:ptCount val="19"/>
                <c:pt idx="0">
                  <c:v>1842.3339395535957</c:v>
                </c:pt>
                <c:pt idx="1">
                  <c:v>1844.041935916274</c:v>
                </c:pt>
                <c:pt idx="2">
                  <c:v>1850.3176843007764</c:v>
                </c:pt>
                <c:pt idx="3">
                  <c:v>1844.9577781949718</c:v>
                </c:pt>
                <c:pt idx="4">
                  <c:v>1849.7340315258018</c:v>
                </c:pt>
                <c:pt idx="5">
                  <c:v>1857.1816273366469</c:v>
                </c:pt>
                <c:pt idx="6">
                  <c:v>1853.544537572627</c:v>
                </c:pt>
                <c:pt idx="7">
                  <c:v>1850.5772703471912</c:v>
                </c:pt>
                <c:pt idx="8">
                  <c:v>1855.5298067251081</c:v>
                </c:pt>
                <c:pt idx="9">
                  <c:v>1851.5066278847573</c:v>
                </c:pt>
                <c:pt idx="10">
                  <c:v>1851.6115881174487</c:v>
                </c:pt>
                <c:pt idx="11">
                  <c:v>1864.5679185887441</c:v>
                </c:pt>
                <c:pt idx="12">
                  <c:v>1867.8345110772116</c:v>
                </c:pt>
                <c:pt idx="13">
                  <c:v>1865.6935040107483</c:v>
                </c:pt>
                <c:pt idx="14">
                  <c:v>1861.6993429866839</c:v>
                </c:pt>
                <c:pt idx="15">
                  <c:v>1854.6511469287639</c:v>
                </c:pt>
                <c:pt idx="16">
                  <c:v>1848.4372400471914</c:v>
                </c:pt>
                <c:pt idx="17">
                  <c:v>1846.8986166069083</c:v>
                </c:pt>
                <c:pt idx="18">
                  <c:v>1849.7792249072668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09-4EAF-9E50-60699E839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れんたろう!$L$2:$L$8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-31</c:v>
                </c:pt>
                <c:pt idx="2">
                  <c:v>-98.9</c:v>
                </c:pt>
                <c:pt idx="3">
                  <c:v>-65.300000000000011</c:v>
                </c:pt>
                <c:pt idx="4">
                  <c:v>-99.700000000000017</c:v>
                </c:pt>
                <c:pt idx="5">
                  <c:v>-132.90000000000003</c:v>
                </c:pt>
                <c:pt idx="6">
                  <c:v>-182.90000000000003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0D-4E1A-BFE1-A51EB2A0C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-2033.3333333333333</c:v>
                </c:pt>
                <c:pt idx="1">
                  <c:v>-3380</c:v>
                </c:pt>
                <c:pt idx="2">
                  <c:v>-3720</c:v>
                </c:pt>
                <c:pt idx="3">
                  <c:v>-680</c:v>
                </c:pt>
                <c:pt idx="4">
                  <c:v>-50</c:v>
                </c:pt>
                <c:pt idx="5">
                  <c:v>-2700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A3-4CA7-A7EA-D3511A1911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0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92-4253-8803-69E8DE1B4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れんたろう!$M$2:$M$8</c:f>
              <c:numCache>
                <c:formatCode>0</c:formatCode>
                <c:ptCount val="7"/>
                <c:pt idx="0">
                  <c:v>1653.1699313523677</c:v>
                </c:pt>
                <c:pt idx="1">
                  <c:v>1646.6709117642536</c:v>
                </c:pt>
                <c:pt idx="2">
                  <c:v>1634.420886293668</c:v>
                </c:pt>
                <c:pt idx="3">
                  <c:v>1639.914360975906</c:v>
                </c:pt>
                <c:pt idx="4">
                  <c:v>1633.1348748100506</c:v>
                </c:pt>
                <c:pt idx="5">
                  <c:v>1627.3860655611904</c:v>
                </c:pt>
                <c:pt idx="6">
                  <c:v>1618.6477491678233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E5-4A89-A461-23B4751AFF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たかの!$L$2:$L$8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10.1</c:v>
                </c:pt>
                <c:pt idx="2">
                  <c:v>36.4</c:v>
                </c:pt>
                <c:pt idx="3">
                  <c:v>36.4</c:v>
                </c:pt>
                <c:pt idx="4">
                  <c:v>13.299999999999997</c:v>
                </c:pt>
                <c:pt idx="5">
                  <c:v>8.0999999999999979</c:v>
                </c:pt>
                <c:pt idx="6">
                  <c:v>24.7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CE-45BC-B5AE-9EF7ECA321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1750</c:v>
                </c:pt>
                <c:pt idx="1">
                  <c:v>-2783.3333333333335</c:v>
                </c:pt>
                <c:pt idx="2">
                  <c:v>583.33333333333337</c:v>
                </c:pt>
                <c:pt idx="3">
                  <c:v>-150</c:v>
                </c:pt>
                <c:pt idx="4">
                  <c:v>3350</c:v>
                </c:pt>
                <c:pt idx="5">
                  <c:v>2300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04-4885-9484-83B854CA50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EC-4CE7-AA8E-69755D3EAF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たかの!$M$2:$M$8</c:f>
              <c:numCache>
                <c:formatCode>0</c:formatCode>
                <c:ptCount val="7"/>
                <c:pt idx="0">
                  <c:v>1433.30445236539</c:v>
                </c:pt>
                <c:pt idx="1">
                  <c:v>1435.5226256511976</c:v>
                </c:pt>
                <c:pt idx="2">
                  <c:v>1441.4954898972903</c:v>
                </c:pt>
                <c:pt idx="3">
                  <c:v>1442.4405169579065</c:v>
                </c:pt>
                <c:pt idx="4">
                  <c:v>1439.257873856159</c:v>
                </c:pt>
                <c:pt idx="5">
                  <c:v>1439.3523266130221</c:v>
                </c:pt>
                <c:pt idx="6">
                  <c:v>1443.310212653344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79-4937-AEA5-63D668B0AC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まっつん!$L$2:$L$5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-33.6</c:v>
                </c:pt>
                <c:pt idx="2">
                  <c:v>-36.9</c:v>
                </c:pt>
                <c:pt idx="3">
                  <c:v>-40.4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01-4263-9012-9291F64A4D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2566.6666666666665</c:v>
                </c:pt>
                <c:pt idx="1">
                  <c:v>4066.6666666666665</c:v>
                </c:pt>
                <c:pt idx="2">
                  <c:v>-2766.6666666666665</c:v>
                </c:pt>
                <c:pt idx="3">
                  <c:v>-9750</c:v>
                </c:pt>
                <c:pt idx="4">
                  <c:v>-10500</c:v>
                </c:pt>
                <c:pt idx="5">
                  <c:v>-750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B3-4B8E-B27E-1632BFE1A5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9E-4F54-A396-D2024E0DCA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まっつん!$M$2:$M$5</c:f>
              <c:numCache>
                <c:formatCode>0</c:formatCode>
                <c:ptCount val="4"/>
                <c:pt idx="0">
                  <c:v>1524.3778689305989</c:v>
                </c:pt>
                <c:pt idx="1">
                  <c:v>1518.8856017170153</c:v>
                </c:pt>
                <c:pt idx="2">
                  <c:v>1518.9042881067132</c:v>
                </c:pt>
                <c:pt idx="3">
                  <c:v>1518.8868623780729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03-4562-BA15-FE952BC1CD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いちかわ!$L$2:$L$15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55.6</c:v>
                </c:pt>
                <c:pt idx="2">
                  <c:v>24.900000000000002</c:v>
                </c:pt>
                <c:pt idx="3">
                  <c:v>-20.599999999999998</c:v>
                </c:pt>
                <c:pt idx="4">
                  <c:v>-25</c:v>
                </c:pt>
                <c:pt idx="5">
                  <c:v>-53</c:v>
                </c:pt>
                <c:pt idx="6">
                  <c:v>-32.799999999999997</c:v>
                </c:pt>
                <c:pt idx="7">
                  <c:v>-22.199999999999996</c:v>
                </c:pt>
                <c:pt idx="8">
                  <c:v>0.30000000000000426</c:v>
                </c:pt>
                <c:pt idx="9">
                  <c:v>20.500000000000004</c:v>
                </c:pt>
                <c:pt idx="10">
                  <c:v>6.9000000000000039</c:v>
                </c:pt>
                <c:pt idx="11">
                  <c:v>-18.799999999999997</c:v>
                </c:pt>
                <c:pt idx="12">
                  <c:v>32.1</c:v>
                </c:pt>
                <c:pt idx="13">
                  <c:v>65.800000000000011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18-499A-8AFC-D286D04AB6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-676.92307692307691</c:v>
                </c:pt>
                <c:pt idx="1">
                  <c:v>1615.3846153846155</c:v>
                </c:pt>
                <c:pt idx="2">
                  <c:v>284.61538461538464</c:v>
                </c:pt>
                <c:pt idx="3">
                  <c:v>1009.0909090909091</c:v>
                </c:pt>
                <c:pt idx="4">
                  <c:v>2188.8888888888887</c:v>
                </c:pt>
                <c:pt idx="5">
                  <c:v>1910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80-4D03-8C25-722B3B1962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2</c:v>
                </c:pt>
                <c:pt idx="1">
                  <c:v>7</c:v>
                </c:pt>
                <c:pt idx="2">
                  <c:v>6</c:v>
                </c:pt>
                <c:pt idx="3">
                  <c:v>6</c:v>
                </c:pt>
                <c:pt idx="4">
                  <c:v>2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AD-4EA1-9C4D-06570996CA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いちかわ!$M$2:$M$15</c:f>
              <c:numCache>
                <c:formatCode>0</c:formatCode>
                <c:ptCount val="14"/>
                <c:pt idx="0">
                  <c:v>1488.8318648771276</c:v>
                </c:pt>
                <c:pt idx="1">
                  <c:v>1499.6088736878648</c:v>
                </c:pt>
                <c:pt idx="2">
                  <c:v>1494.8112204457377</c:v>
                </c:pt>
                <c:pt idx="3">
                  <c:v>1487.3783531230633</c:v>
                </c:pt>
                <c:pt idx="4">
                  <c:v>1486.6380830043249</c:v>
                </c:pt>
                <c:pt idx="5">
                  <c:v>1481.354254506299</c:v>
                </c:pt>
                <c:pt idx="6">
                  <c:v>1485.3541289792611</c:v>
                </c:pt>
                <c:pt idx="7">
                  <c:v>1487.6020042053856</c:v>
                </c:pt>
                <c:pt idx="8">
                  <c:v>1491.7683921801533</c:v>
                </c:pt>
                <c:pt idx="9">
                  <c:v>1495.4357818270723</c:v>
                </c:pt>
                <c:pt idx="10">
                  <c:v>1493.62116713611</c:v>
                </c:pt>
                <c:pt idx="11">
                  <c:v>1489.7534401332932</c:v>
                </c:pt>
                <c:pt idx="12">
                  <c:v>1499.6969194924934</c:v>
                </c:pt>
                <c:pt idx="13">
                  <c:v>1506.4847379755383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A7-49B6-858B-34D0FB443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ただ!$L$2:$L$11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11.6</c:v>
                </c:pt>
                <c:pt idx="2">
                  <c:v>42.9</c:v>
                </c:pt>
                <c:pt idx="3">
                  <c:v>49.199999999999996</c:v>
                </c:pt>
                <c:pt idx="4">
                  <c:v>75.8</c:v>
                </c:pt>
                <c:pt idx="5">
                  <c:v>47.8</c:v>
                </c:pt>
                <c:pt idx="6">
                  <c:v>26.4</c:v>
                </c:pt>
                <c:pt idx="7">
                  <c:v>25.9</c:v>
                </c:pt>
                <c:pt idx="8">
                  <c:v>1.5</c:v>
                </c:pt>
                <c:pt idx="9">
                  <c:v>9.6999999999999993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28-4E10-B41A-FB6917B612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833.33333333333337</c:v>
                </c:pt>
                <c:pt idx="1">
                  <c:v>800</c:v>
                </c:pt>
                <c:pt idx="2">
                  <c:v>2937.5</c:v>
                </c:pt>
                <c:pt idx="3">
                  <c:v>1275</c:v>
                </c:pt>
                <c:pt idx="4">
                  <c:v>-650</c:v>
                </c:pt>
                <c:pt idx="5">
                  <c:v>-2614.2857142857142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39-49C9-BD3D-C8A99DBC5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2</c:v>
                </c:pt>
                <c:pt idx="1">
                  <c:v>8</c:v>
                </c:pt>
                <c:pt idx="2">
                  <c:v>4</c:v>
                </c:pt>
                <c:pt idx="3">
                  <c:v>6</c:v>
                </c:pt>
                <c:pt idx="4">
                  <c:v>5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2C-42D8-9BEB-DB79514E4E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ただ!$M$2:$M$11</c:f>
              <c:numCache>
                <c:formatCode>0</c:formatCode>
                <c:ptCount val="10"/>
                <c:pt idx="0">
                  <c:v>1517.1288342047803</c:v>
                </c:pt>
                <c:pt idx="1">
                  <c:v>1519.7080611995516</c:v>
                </c:pt>
                <c:pt idx="2">
                  <c:v>1525.8538128323544</c:v>
                </c:pt>
                <c:pt idx="3">
                  <c:v>1526.8746899553603</c:v>
                </c:pt>
                <c:pt idx="4">
                  <c:v>1532.5274418156282</c:v>
                </c:pt>
                <c:pt idx="5">
                  <c:v>1528.3182771647344</c:v>
                </c:pt>
                <c:pt idx="6">
                  <c:v>1524.962367501746</c:v>
                </c:pt>
                <c:pt idx="7">
                  <c:v>1524.5545932967354</c:v>
                </c:pt>
                <c:pt idx="8">
                  <c:v>1520.549265736955</c:v>
                </c:pt>
                <c:pt idx="9">
                  <c:v>1522.4359701425333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87-4F10-8129-61AABD3B53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42.4</c:v>
                </c:pt>
                <c:pt idx="2">
                  <c:v>50.4</c:v>
                </c:pt>
                <c:pt idx="3">
                  <c:v>10.399999999999999</c:v>
                </c:pt>
                <c:pt idx="4">
                  <c:v>60</c:v>
                </c:pt>
                <c:pt idx="5">
                  <c:v>6.2000000000000028</c:v>
                </c:pt>
                <c:pt idx="6">
                  <c:v>30.000000000000004</c:v>
                </c:pt>
                <c:pt idx="7">
                  <c:v>1.2000000000000028</c:v>
                </c:pt>
                <c:pt idx="8">
                  <c:v>40.900000000000006</c:v>
                </c:pt>
                <c:pt idx="9">
                  <c:v>21.100000000000005</c:v>
                </c:pt>
                <c:pt idx="10">
                  <c:v>14.100000000000005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84-4007-B3AC-E4C561CE03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1180</c:v>
                </c:pt>
                <c:pt idx="1">
                  <c:v>770</c:v>
                </c:pt>
                <c:pt idx="2">
                  <c:v>-3420</c:v>
                </c:pt>
                <c:pt idx="3">
                  <c:v>-866.66666666666663</c:v>
                </c:pt>
                <c:pt idx="4">
                  <c:v>-600</c:v>
                </c:pt>
                <c:pt idx="5">
                  <c:v>3850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6E-4162-AFA4-64EBAB341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4</c:v>
                </c:pt>
                <c:pt idx="1">
                  <c:v>5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D4-4D18-85DD-74020D9954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たか!$M$2:$M$12</c:f>
              <c:numCache>
                <c:formatCode>0</c:formatCode>
                <c:ptCount val="11"/>
                <c:pt idx="0">
                  <c:v>1500</c:v>
                </c:pt>
                <c:pt idx="1">
                  <c:v>1507.6079999999999</c:v>
                </c:pt>
                <c:pt idx="2">
                  <c:v>1508.6783519999999</c:v>
                </c:pt>
                <c:pt idx="3">
                  <c:v>1501.8402818879999</c:v>
                </c:pt>
                <c:pt idx="4">
                  <c:v>1511.171240196672</c:v>
                </c:pt>
                <c:pt idx="5">
                  <c:v>1501.672212755492</c:v>
                </c:pt>
                <c:pt idx="6">
                  <c:v>1506.198179478959</c:v>
                </c:pt>
                <c:pt idx="7">
                  <c:v>1501.0189904020851</c:v>
                </c:pt>
                <c:pt idx="8">
                  <c:v>1508.8788764596727</c:v>
                </c:pt>
                <c:pt idx="9">
                  <c:v>1505.9816032009146</c:v>
                </c:pt>
                <c:pt idx="10">
                  <c:v>1505.4057135817091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51-4653-98D5-4561E86FE7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-38</c:v>
                </c:pt>
                <c:pt idx="2">
                  <c:v>-18</c:v>
                </c:pt>
                <c:pt idx="3">
                  <c:v>-14.9</c:v>
                </c:pt>
                <c:pt idx="4">
                  <c:v>-51.699999999999996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FC-43B9-BCA3-385DB8AC7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-6625</c:v>
                </c:pt>
                <c:pt idx="1">
                  <c:v>-1125</c:v>
                </c:pt>
                <c:pt idx="2">
                  <c:v>6750</c:v>
                </c:pt>
                <c:pt idx="3">
                  <c:v>-766.66666666666663</c:v>
                </c:pt>
                <c:pt idx="4">
                  <c:v>-4000</c:v>
                </c:pt>
                <c:pt idx="5">
                  <c:v>-7800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06-418D-81FD-1D09C813BF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98-402D-90C6-858A414A2C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のり!$M$2:$M$6</c:f>
              <c:numCache>
                <c:formatCode>0</c:formatCode>
                <c:ptCount val="5"/>
                <c:pt idx="0">
                  <c:v>1348.2487416206377</c:v>
                </c:pt>
                <c:pt idx="1">
                  <c:v>1342.2952491709138</c:v>
                </c:pt>
                <c:pt idx="2">
                  <c:v>1346.5174776758884</c:v>
                </c:pt>
                <c:pt idx="3">
                  <c:v>1348.410372809833</c:v>
                </c:pt>
                <c:pt idx="4">
                  <c:v>1343.1099105729741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2D-4306-BC8F-7260F38A94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りくと!$L$2:$L$6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-24.2</c:v>
                </c:pt>
                <c:pt idx="2">
                  <c:v>-6.1999999999999993</c:v>
                </c:pt>
                <c:pt idx="3">
                  <c:v>18.100000000000001</c:v>
                </c:pt>
                <c:pt idx="4">
                  <c:v>-14.699999999999996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EE-474B-82A7-87A17C648F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-6700</c:v>
                </c:pt>
                <c:pt idx="1">
                  <c:v>1925</c:v>
                </c:pt>
                <c:pt idx="2">
                  <c:v>-1950</c:v>
                </c:pt>
                <c:pt idx="3">
                  <c:v>-2375</c:v>
                </c:pt>
                <c:pt idx="4">
                  <c:v>1300</c:v>
                </c:pt>
                <c:pt idx="5">
                  <c:v>4125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C5-41FB-96B1-0AEFEF2885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F4-478D-97AE-1D4F40A5AB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りくと!$M$2:$M$6</c:f>
              <c:numCache>
                <c:formatCode>0</c:formatCode>
                <c:ptCount val="5"/>
                <c:pt idx="0">
                  <c:v>1392.8042574192286</c:v>
                </c:pt>
                <c:pt idx="1">
                  <c:v>1389.0734318747132</c:v>
                </c:pt>
                <c:pt idx="2">
                  <c:v>1392.8109912834648</c:v>
                </c:pt>
                <c:pt idx="3">
                  <c:v>1398.3621253357639</c:v>
                </c:pt>
                <c:pt idx="4">
                  <c:v>1393.6019525837494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76-4846-9CA8-3D2426C2DD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3-4069-950B-E4ED91AB0A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-3650</c:v>
                </c:pt>
                <c:pt idx="1">
                  <c:v>-850</c:v>
                </c:pt>
                <c:pt idx="2">
                  <c:v>-4150</c:v>
                </c:pt>
                <c:pt idx="3">
                  <c:v>2900</c:v>
                </c:pt>
                <c:pt idx="4">
                  <c:v>1850</c:v>
                </c:pt>
                <c:pt idx="5">
                  <c:v>2150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70-4C18-AD7A-D1A46B8A0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71-4781-8F2C-1A88B1BABD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わさび!$M$2:$M$4</c:f>
              <c:numCache>
                <c:formatCode>0</c:formatCode>
                <c:ptCount val="3"/>
                <c:pt idx="0">
                  <c:v>1500</c:v>
                </c:pt>
                <c:pt idx="1">
                  <c:v>1500.702</c:v>
                </c:pt>
                <c:pt idx="2">
                  <c:v>1497.379788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80-48D9-9895-31542DF176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たか2!$B$1:$B$2</c:f>
              <c:strCache>
                <c:ptCount val="2"/>
                <c:pt idx="0">
                  <c:v>たか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たか2!$B$3:$B$13</c:f>
              <c:numCache>
                <c:formatCode>\+0.0;\-0.0;\±0</c:formatCode>
                <c:ptCount val="11"/>
                <c:pt idx="0">
                  <c:v>0</c:v>
                </c:pt>
                <c:pt idx="1">
                  <c:v>42.4</c:v>
                </c:pt>
                <c:pt idx="2">
                  <c:v>50.4</c:v>
                </c:pt>
                <c:pt idx="3">
                  <c:v>10.399999999999999</c:v>
                </c:pt>
                <c:pt idx="4">
                  <c:v>60</c:v>
                </c:pt>
                <c:pt idx="5">
                  <c:v>6.2000000000000028</c:v>
                </c:pt>
                <c:pt idx="6">
                  <c:v>30.000000000000004</c:v>
                </c:pt>
                <c:pt idx="7">
                  <c:v>1.2000000000000028</c:v>
                </c:pt>
                <c:pt idx="8">
                  <c:v>40.900000000000006</c:v>
                </c:pt>
                <c:pt idx="9">
                  <c:v>21.100000000000005</c:v>
                </c:pt>
                <c:pt idx="10">
                  <c:v>14.100000000000005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4210854715202004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たか2!$C$1:$C$2</c:f>
              <c:strCache>
                <c:ptCount val="2"/>
                <c:pt idx="0">
                  <c:v>たか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たか2!$C$3:$C$13</c:f>
              <c:numCache>
                <c:formatCode>\+0.0;\-0.0;\±0</c:formatCode>
                <c:ptCount val="11"/>
                <c:pt idx="1">
                  <c:v>42.4</c:v>
                </c:pt>
                <c:pt idx="2">
                  <c:v>25.2</c:v>
                </c:pt>
                <c:pt idx="3">
                  <c:v>3.4666666666666663</c:v>
                </c:pt>
                <c:pt idx="4">
                  <c:v>15</c:v>
                </c:pt>
                <c:pt idx="5">
                  <c:v>1.2400000000000007</c:v>
                </c:pt>
                <c:pt idx="6">
                  <c:v>5.0000000000000009</c:v>
                </c:pt>
                <c:pt idx="7">
                  <c:v>0.17142857142857185</c:v>
                </c:pt>
                <c:pt idx="8">
                  <c:v>5.1125000000000007</c:v>
                </c:pt>
                <c:pt idx="9">
                  <c:v>2.344444444444445</c:v>
                </c:pt>
                <c:pt idx="10">
                  <c:v>1.4100000000000006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8947806286936006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たか2!$D$1:$D$2</c:f>
              <c:strCache>
                <c:ptCount val="2"/>
                <c:pt idx="0">
                  <c:v>たか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たか2!$D$3:$D$13</c:f>
              <c:numCache>
                <c:formatCode>0.00\ "位"</c:formatCode>
                <c:ptCount val="11"/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1.75</c:v>
                </c:pt>
                <c:pt idx="5">
                  <c:v>2</c:v>
                </c:pt>
                <c:pt idx="6">
                  <c:v>1.8333333333333333</c:v>
                </c:pt>
                <c:pt idx="7">
                  <c:v>2</c:v>
                </c:pt>
                <c:pt idx="8">
                  <c:v>1.875</c:v>
                </c:pt>
                <c:pt idx="9">
                  <c:v>1.8888888888888888</c:v>
                </c:pt>
                <c:pt idx="10">
                  <c:v>1.9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たか2!$E$1:$E$2</c:f>
              <c:strCache>
                <c:ptCount val="2"/>
                <c:pt idx="0">
                  <c:v>たか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たか2!$E$3:$E$13</c:f>
              <c:numCache>
                <c:formatCode>0.0%</c:formatCode>
                <c:ptCount val="11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0.5</c:v>
                </c:pt>
                <c:pt idx="7">
                  <c:v>0.42857142857142855</c:v>
                </c:pt>
                <c:pt idx="8">
                  <c:v>0.5</c:v>
                </c:pt>
                <c:pt idx="9">
                  <c:v>0.44444444444444442</c:v>
                </c:pt>
                <c:pt idx="10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たか2!$F$1:$F$2</c:f>
              <c:strCache>
                <c:ptCount val="2"/>
                <c:pt idx="0">
                  <c:v>たか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たか2!$F$3:$F$13</c:f>
              <c:numCache>
                <c:formatCode>0.0%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たか2!$G$1:$G$2</c:f>
              <c:strCache>
                <c:ptCount val="2"/>
                <c:pt idx="0">
                  <c:v>たか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たか2!$G$3:$G$13</c:f>
              <c:numCache>
                <c:formatCode>0.0%</c:formatCode>
                <c:ptCount val="11"/>
                <c:pt idx="1">
                  <c:v>0.35714285714285715</c:v>
                </c:pt>
                <c:pt idx="2">
                  <c:v>0.35294117647058826</c:v>
                </c:pt>
                <c:pt idx="3">
                  <c:v>0.25</c:v>
                </c:pt>
                <c:pt idx="4">
                  <c:v>0.34285714285714286</c:v>
                </c:pt>
                <c:pt idx="5">
                  <c:v>0.27272727272727271</c:v>
                </c:pt>
                <c:pt idx="6">
                  <c:v>0.3</c:v>
                </c:pt>
                <c:pt idx="7">
                  <c:v>0.25862068965517243</c:v>
                </c:pt>
                <c:pt idx="8">
                  <c:v>0.27692307692307694</c:v>
                </c:pt>
                <c:pt idx="9">
                  <c:v>0.25</c:v>
                </c:pt>
                <c:pt idx="10">
                  <c:v>0.24358974358974358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14653784219001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たか2!$H$1:$H$2</c:f>
              <c:strCache>
                <c:ptCount val="2"/>
                <c:pt idx="0">
                  <c:v>たか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たか2!$H$3:$H$13</c:f>
              <c:numCache>
                <c:formatCode>0.0%</c:formatCode>
                <c:ptCount val="11"/>
                <c:pt idx="1">
                  <c:v>7.1428571428571425E-2</c:v>
                </c:pt>
                <c:pt idx="2">
                  <c:v>5.8823529411764705E-2</c:v>
                </c:pt>
                <c:pt idx="3">
                  <c:v>0.10714285714285714</c:v>
                </c:pt>
                <c:pt idx="4">
                  <c:v>0.11428571428571428</c:v>
                </c:pt>
                <c:pt idx="5">
                  <c:v>0.18181818181818182</c:v>
                </c:pt>
                <c:pt idx="6">
                  <c:v>0.16</c:v>
                </c:pt>
                <c:pt idx="7">
                  <c:v>0.17241379310344829</c:v>
                </c:pt>
                <c:pt idx="8">
                  <c:v>0.16923076923076924</c:v>
                </c:pt>
                <c:pt idx="9">
                  <c:v>0.18055555555555555</c:v>
                </c:pt>
                <c:pt idx="10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497584541062801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たか2!$I$1:$I$2</c:f>
              <c:strCache>
                <c:ptCount val="2"/>
                <c:pt idx="0">
                  <c:v>たか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たか2!$I$3:$I$13</c:f>
              <c:numCache>
                <c:formatCode>0</c:formatCode>
                <c:ptCount val="11"/>
                <c:pt idx="1">
                  <c:v>8980</c:v>
                </c:pt>
                <c:pt idx="2">
                  <c:v>8816.6666666666661</c:v>
                </c:pt>
                <c:pt idx="3">
                  <c:v>7857.1428571428569</c:v>
                </c:pt>
                <c:pt idx="4">
                  <c:v>8625</c:v>
                </c:pt>
                <c:pt idx="5">
                  <c:v>8625</c:v>
                </c:pt>
                <c:pt idx="6">
                  <c:v>7693.333333333333</c:v>
                </c:pt>
                <c:pt idx="7">
                  <c:v>7693.333333333333</c:v>
                </c:pt>
                <c:pt idx="8">
                  <c:v>7905.5555555555557</c:v>
                </c:pt>
                <c:pt idx="9">
                  <c:v>7905.5555555555557</c:v>
                </c:pt>
                <c:pt idx="10">
                  <c:v>7557.894736842105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153.591160220994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たか2!$J$1:$J$2</c:f>
              <c:strCache>
                <c:ptCount val="2"/>
                <c:pt idx="0">
                  <c:v>たか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たか2!$J$3:$J$13</c:f>
              <c:numCache>
                <c:formatCode>0</c:formatCode>
                <c:ptCount val="11"/>
                <c:pt idx="1">
                  <c:v>-12000</c:v>
                </c:pt>
                <c:pt idx="2">
                  <c:v>-12000</c:v>
                </c:pt>
                <c:pt idx="3">
                  <c:v>-9933.3333333333339</c:v>
                </c:pt>
                <c:pt idx="4">
                  <c:v>-8425</c:v>
                </c:pt>
                <c:pt idx="5">
                  <c:v>-8400</c:v>
                </c:pt>
                <c:pt idx="6">
                  <c:v>-8400</c:v>
                </c:pt>
                <c:pt idx="7">
                  <c:v>-7820</c:v>
                </c:pt>
                <c:pt idx="8">
                  <c:v>-7227.272727272727</c:v>
                </c:pt>
                <c:pt idx="9">
                  <c:v>-6907.6923076923076</c:v>
                </c:pt>
                <c:pt idx="10">
                  <c:v>-6907.6923076923076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977.419354838709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たか2!$K$1:$K$2</c:f>
              <c:strCache>
                <c:ptCount val="2"/>
                <c:pt idx="0">
                  <c:v>たか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たか2!$K$3:$K$13</c:f>
              <c:numCache>
                <c:formatCode>0.0%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5.3333333333333337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たか2!$L$1:$L$2</c:f>
              <c:strCache>
                <c:ptCount val="2"/>
                <c:pt idx="0">
                  <c:v>たか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たか2!$L$3:$L$13</c:f>
              <c:numCache>
                <c:formatCode>0.0%</c:formatCode>
                <c:ptCount val="11"/>
                <c:pt idx="1">
                  <c:v>0.42857142857142855</c:v>
                </c:pt>
                <c:pt idx="2">
                  <c:v>0.41176470588235292</c:v>
                </c:pt>
                <c:pt idx="3">
                  <c:v>0.39285714285714285</c:v>
                </c:pt>
                <c:pt idx="4">
                  <c:v>0.4</c:v>
                </c:pt>
                <c:pt idx="5">
                  <c:v>0.36363636363636365</c:v>
                </c:pt>
                <c:pt idx="6">
                  <c:v>0.34</c:v>
                </c:pt>
                <c:pt idx="7">
                  <c:v>0.29310344827586204</c:v>
                </c:pt>
                <c:pt idx="8">
                  <c:v>0.27692307692307694</c:v>
                </c:pt>
                <c:pt idx="9">
                  <c:v>0.25</c:v>
                </c:pt>
                <c:pt idx="10">
                  <c:v>0.26923076923076922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12077294685990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たか2!$M$1:$M$2</c:f>
              <c:strCache>
                <c:ptCount val="2"/>
                <c:pt idx="0">
                  <c:v>たか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たか2!$M$3:$M$13</c:f>
              <c:numCache>
                <c:formatCode>0.0%</c:formatCode>
                <c:ptCount val="11"/>
                <c:pt idx="1">
                  <c:v>0.21428571428571427</c:v>
                </c:pt>
                <c:pt idx="2">
                  <c:v>0.17647058823529413</c:v>
                </c:pt>
                <c:pt idx="3">
                  <c:v>0.25</c:v>
                </c:pt>
                <c:pt idx="4">
                  <c:v>0.22857142857142856</c:v>
                </c:pt>
                <c:pt idx="5">
                  <c:v>0.18181818181818182</c:v>
                </c:pt>
                <c:pt idx="6">
                  <c:v>0.18</c:v>
                </c:pt>
                <c:pt idx="7">
                  <c:v>0.18965517241379309</c:v>
                </c:pt>
                <c:pt idx="8">
                  <c:v>0.2</c:v>
                </c:pt>
                <c:pt idx="9">
                  <c:v>0.20833333333333334</c:v>
                </c:pt>
                <c:pt idx="10">
                  <c:v>0.21794871794871795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83252818035426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たか2!$N$1:$N$2</c:f>
              <c:strCache>
                <c:ptCount val="2"/>
                <c:pt idx="0">
                  <c:v>たか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たか2!$N$3:$N$13</c:f>
              <c:numCache>
                <c:formatCode>0.0%</c:formatCode>
                <c:ptCount val="11"/>
                <c:pt idx="1">
                  <c:v>0.33333333333333331</c:v>
                </c:pt>
                <c:pt idx="2">
                  <c:v>0.42857142857142855</c:v>
                </c:pt>
                <c:pt idx="3">
                  <c:v>0.27272727272727271</c:v>
                </c:pt>
                <c:pt idx="4">
                  <c:v>0.42857142857142855</c:v>
                </c:pt>
                <c:pt idx="5">
                  <c:v>0.375</c:v>
                </c:pt>
                <c:pt idx="6">
                  <c:v>0.41176470588235292</c:v>
                </c:pt>
                <c:pt idx="7">
                  <c:v>0.41176470588235292</c:v>
                </c:pt>
                <c:pt idx="8">
                  <c:v>0.44444444444444442</c:v>
                </c:pt>
                <c:pt idx="9">
                  <c:v>0.44444444444444442</c:v>
                </c:pt>
                <c:pt idx="10">
                  <c:v>0.42857142857142855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935897435897436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たか2!$O$1:$O$2</c:f>
              <c:strCache>
                <c:ptCount val="2"/>
                <c:pt idx="0">
                  <c:v>たか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たか2!$O$3:$O$13</c:f>
              <c:numCache>
                <c:formatCode>0.0%</c:formatCode>
                <c:ptCount val="11"/>
                <c:pt idx="1">
                  <c:v>1</c:v>
                </c:pt>
                <c:pt idx="2">
                  <c:v>1</c:v>
                </c:pt>
                <c:pt idx="3">
                  <c:v>0.5714285714285714</c:v>
                </c:pt>
                <c:pt idx="4">
                  <c:v>0.625</c:v>
                </c:pt>
                <c:pt idx="5">
                  <c:v>0.625</c:v>
                </c:pt>
                <c:pt idx="6">
                  <c:v>0.66666666666666663</c:v>
                </c:pt>
                <c:pt idx="7">
                  <c:v>0.54545454545454541</c:v>
                </c:pt>
                <c:pt idx="8">
                  <c:v>0.46153846153846156</c:v>
                </c:pt>
                <c:pt idx="9">
                  <c:v>0.4</c:v>
                </c:pt>
                <c:pt idx="10">
                  <c:v>0.35294117647058826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59459459459459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たか2!$P$1:$P$2</c:f>
              <c:strCache>
                <c:ptCount val="2"/>
                <c:pt idx="0">
                  <c:v>たか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たか2!$P$3:$P$13</c:f>
              <c:numCache>
                <c:formatCode>0.0%</c:formatCode>
                <c:ptCount val="11"/>
                <c:pt idx="1">
                  <c:v>0.2</c:v>
                </c:pt>
                <c:pt idx="2">
                  <c:v>0.16666666666666666</c:v>
                </c:pt>
                <c:pt idx="3">
                  <c:v>0.2857142857142857</c:v>
                </c:pt>
                <c:pt idx="4">
                  <c:v>0.33333333333333331</c:v>
                </c:pt>
                <c:pt idx="5">
                  <c:v>0.33333333333333331</c:v>
                </c:pt>
                <c:pt idx="6">
                  <c:v>0.4</c:v>
                </c:pt>
                <c:pt idx="7">
                  <c:v>0.4</c:v>
                </c:pt>
                <c:pt idx="8">
                  <c:v>0.5</c:v>
                </c:pt>
                <c:pt idx="9">
                  <c:v>0.5</c:v>
                </c:pt>
                <c:pt idx="10">
                  <c:v>0.47368421052631576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861878453038673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2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F12"/>
  <sheetViews>
    <sheetView workbookViewId="0"/>
  </sheetViews>
  <sheetFormatPr defaultColWidth="9" defaultRowHeight="18.75" x14ac:dyDescent="0.4"/>
  <cols>
    <col min="1" max="1" width="19.125" style="2" customWidth="1"/>
    <col min="2" max="2" width="19.125" style="3" customWidth="1"/>
    <col min="3" max="16384" width="9" style="2"/>
  </cols>
  <sheetData>
    <row r="1" spans="1:6" x14ac:dyDescent="0.4">
      <c r="A1" s="1">
        <v>32874</v>
      </c>
      <c r="B1" s="1">
        <v>2958465</v>
      </c>
    </row>
    <row r="2" spans="1:6" x14ac:dyDescent="0.4">
      <c r="A2" s="2" t="s">
        <v>212</v>
      </c>
      <c r="B2" s="3">
        <v>44107.58520833333</v>
      </c>
      <c r="C2" s="2" t="s">
        <v>127</v>
      </c>
      <c r="D2" s="2" t="s">
        <v>188</v>
      </c>
    </row>
    <row r="3" spans="1:6" x14ac:dyDescent="0.4">
      <c r="A3" s="2" t="s">
        <v>213</v>
      </c>
      <c r="B3" s="3">
        <v>44107.58520833333</v>
      </c>
      <c r="C3" s="2" t="s">
        <v>127</v>
      </c>
      <c r="D3" s="2" t="s">
        <v>188</v>
      </c>
      <c r="E3" s="2" t="s">
        <v>191</v>
      </c>
    </row>
    <row r="4" spans="1:6" x14ac:dyDescent="0.4">
      <c r="A4" s="2" t="s">
        <v>214</v>
      </c>
      <c r="B4" s="3">
        <v>44107.58520833333</v>
      </c>
      <c r="C4" s="2" t="s">
        <v>127</v>
      </c>
      <c r="D4" s="2" t="s">
        <v>188</v>
      </c>
    </row>
    <row r="5" spans="1:6" x14ac:dyDescent="0.4">
      <c r="A5" s="2" t="s">
        <v>215</v>
      </c>
      <c r="B5" s="3">
        <v>44107.768576388888</v>
      </c>
      <c r="C5" s="2" t="s">
        <v>127</v>
      </c>
      <c r="D5" s="2" t="s">
        <v>188</v>
      </c>
      <c r="E5" s="2" t="s">
        <v>191</v>
      </c>
      <c r="F5" s="2" t="s">
        <v>194</v>
      </c>
    </row>
    <row r="6" spans="1:6" x14ac:dyDescent="0.4">
      <c r="A6" s="2" t="s">
        <v>217</v>
      </c>
      <c r="B6" s="3">
        <v>44115.815416666665</v>
      </c>
      <c r="C6" s="2" t="s">
        <v>127</v>
      </c>
      <c r="D6" s="2" t="s">
        <v>188</v>
      </c>
      <c r="E6" s="2" t="s">
        <v>191</v>
      </c>
      <c r="F6" s="2" t="s">
        <v>194</v>
      </c>
    </row>
    <row r="7" spans="1:6" x14ac:dyDescent="0.4">
      <c r="A7" s="2" t="s">
        <v>218</v>
      </c>
      <c r="B7" s="3">
        <v>44115.815416666665</v>
      </c>
      <c r="C7" s="2" t="s">
        <v>127</v>
      </c>
    </row>
    <row r="8" spans="1:6" x14ac:dyDescent="0.4">
      <c r="A8" s="2" t="s">
        <v>219</v>
      </c>
      <c r="B8" s="3">
        <v>44115.815416666665</v>
      </c>
      <c r="C8" s="2" t="s">
        <v>127</v>
      </c>
    </row>
    <row r="9" spans="1:6" x14ac:dyDescent="0.4">
      <c r="A9" s="2" t="s">
        <v>220</v>
      </c>
      <c r="B9" s="3">
        <v>44115.815416666665</v>
      </c>
      <c r="C9" s="2" t="s">
        <v>127</v>
      </c>
      <c r="D9" s="2" t="s">
        <v>188</v>
      </c>
    </row>
    <row r="10" spans="1:6" x14ac:dyDescent="0.4">
      <c r="A10" s="2" t="s">
        <v>222</v>
      </c>
      <c r="B10" s="3">
        <v>44115.815416666665</v>
      </c>
      <c r="C10" s="2" t="s">
        <v>127</v>
      </c>
    </row>
    <row r="11" spans="1:6" x14ac:dyDescent="0.4">
      <c r="A11" s="2" t="s">
        <v>223</v>
      </c>
      <c r="B11" s="3">
        <v>44115.815416666665</v>
      </c>
      <c r="C11" s="2" t="s">
        <v>127</v>
      </c>
      <c r="D11" s="2" t="s">
        <v>188</v>
      </c>
      <c r="E11" s="2" t="s">
        <v>191</v>
      </c>
    </row>
    <row r="12" spans="1:6" x14ac:dyDescent="0.4">
      <c r="A12" s="2" t="s">
        <v>224</v>
      </c>
      <c r="B12" s="3">
        <v>44115.815416666665</v>
      </c>
      <c r="C12" s="2" t="s">
        <v>127</v>
      </c>
      <c r="D12" s="2" t="s">
        <v>188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6" x14ac:dyDescent="0.4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6" x14ac:dyDescent="0.4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H23"/>
  <sheetViews>
    <sheetView workbookViewId="0"/>
  </sheetViews>
  <sheetFormatPr defaultRowHeight="18.75" x14ac:dyDescent="0.4"/>
  <cols>
    <col min="1" max="1" width="11" customWidth="1"/>
    <col min="2" max="2" width="9" style="120" customWidth="1"/>
    <col min="3" max="3" width="9" style="120"/>
  </cols>
  <sheetData>
    <row r="1" spans="1:8" x14ac:dyDescent="0.4">
      <c r="A1" t="s">
        <v>126</v>
      </c>
      <c r="B1" s="120">
        <v>18</v>
      </c>
      <c r="C1" s="120">
        <v>1842.3339395535957</v>
      </c>
    </row>
    <row r="2" spans="1:8" x14ac:dyDescent="0.4">
      <c r="A2" t="s">
        <v>163</v>
      </c>
      <c r="B2" s="120">
        <v>6</v>
      </c>
      <c r="C2" s="120">
        <v>1653.1699313523677</v>
      </c>
    </row>
    <row r="3" spans="1:8" x14ac:dyDescent="0.4">
      <c r="A3" t="s">
        <v>139</v>
      </c>
      <c r="B3" s="120">
        <v>75</v>
      </c>
      <c r="C3" s="120">
        <v>1594.5463045050694</v>
      </c>
    </row>
    <row r="4" spans="1:8" x14ac:dyDescent="0.4">
      <c r="A4" t="s">
        <v>190</v>
      </c>
      <c r="B4" s="120">
        <v>3</v>
      </c>
      <c r="C4" s="120">
        <v>1524.3778689305989</v>
      </c>
    </row>
    <row r="5" spans="1:8" x14ac:dyDescent="0.4">
      <c r="A5" t="s">
        <v>192</v>
      </c>
      <c r="B5" s="120">
        <v>9</v>
      </c>
      <c r="C5" s="120">
        <v>1517.1288342047803</v>
      </c>
    </row>
    <row r="6" spans="1:8" x14ac:dyDescent="0.4">
      <c r="A6" t="s">
        <v>211</v>
      </c>
      <c r="B6" s="120">
        <v>13</v>
      </c>
      <c r="C6" s="120">
        <v>1488.8318648771276</v>
      </c>
    </row>
    <row r="7" spans="1:8" x14ac:dyDescent="0.4">
      <c r="A7" t="s">
        <v>210</v>
      </c>
      <c r="C7" s="120">
        <v>1483.0119085897741</v>
      </c>
    </row>
    <row r="8" spans="1:8" x14ac:dyDescent="0.4">
      <c r="A8" t="s">
        <v>198</v>
      </c>
      <c r="C8" s="120">
        <v>1463.4239467393418</v>
      </c>
    </row>
    <row r="9" spans="1:8" x14ac:dyDescent="0.4">
      <c r="A9" t="s">
        <v>189</v>
      </c>
      <c r="B9" s="120">
        <v>6</v>
      </c>
      <c r="C9" s="120">
        <v>1433.30445236539</v>
      </c>
    </row>
    <row r="10" spans="1:8" x14ac:dyDescent="0.4">
      <c r="A10" t="s">
        <v>195</v>
      </c>
      <c r="B10" s="120">
        <v>4</v>
      </c>
      <c r="C10" s="120">
        <v>1392.8042574192286</v>
      </c>
    </row>
    <row r="11" spans="1:8" x14ac:dyDescent="0.4">
      <c r="A11" t="s">
        <v>199</v>
      </c>
      <c r="C11" s="120">
        <v>1382.1789004547948</v>
      </c>
    </row>
    <row r="12" spans="1:8" x14ac:dyDescent="0.4">
      <c r="A12" t="s">
        <v>193</v>
      </c>
      <c r="B12" s="120">
        <v>4</v>
      </c>
      <c r="C12" s="120">
        <v>1348.2487416206377</v>
      </c>
    </row>
    <row r="13" spans="1:8" x14ac:dyDescent="0.4">
      <c r="A13" t="s">
        <v>201</v>
      </c>
      <c r="C13" s="120">
        <v>1500.437982464869</v>
      </c>
    </row>
    <row r="14" spans="1:8" x14ac:dyDescent="0.4">
      <c r="A14" t="s">
        <v>202</v>
      </c>
      <c r="C14" s="120">
        <v>1491.5152195648213</v>
      </c>
    </row>
    <row r="15" spans="1:8" x14ac:dyDescent="0.4">
      <c r="A15" t="s">
        <v>209</v>
      </c>
      <c r="C15" s="120">
        <v>1484.4200922656562</v>
      </c>
    </row>
    <row r="16" spans="1:8" x14ac:dyDescent="0.4">
      <c r="A16" t="s">
        <v>204</v>
      </c>
      <c r="C16" s="120">
        <v>1519.3079580555725</v>
      </c>
      <c r="G16" s="120"/>
      <c r="H16" s="120"/>
    </row>
    <row r="17" spans="1:8" x14ac:dyDescent="0.4">
      <c r="A17" t="s">
        <v>200</v>
      </c>
      <c r="C17" s="120">
        <v>1519.2052586122145</v>
      </c>
      <c r="G17" s="120"/>
      <c r="H17" s="120"/>
    </row>
    <row r="18" spans="1:8" x14ac:dyDescent="0.4">
      <c r="A18" t="s">
        <v>203</v>
      </c>
      <c r="C18" s="120">
        <v>1503.1020000000001</v>
      </c>
      <c r="G18" s="120"/>
      <c r="H18" s="120"/>
    </row>
    <row r="19" spans="1:8" x14ac:dyDescent="0.4">
      <c r="A19" t="s">
        <v>205</v>
      </c>
      <c r="C19" s="120">
        <v>1489.2889468180317</v>
      </c>
      <c r="G19" s="120"/>
      <c r="H19" s="120"/>
    </row>
    <row r="20" spans="1:8" x14ac:dyDescent="0.4">
      <c r="A20" t="s">
        <v>207</v>
      </c>
      <c r="C20" s="120">
        <v>1484.6521503082251</v>
      </c>
      <c r="G20" s="120"/>
      <c r="H20" s="120"/>
    </row>
    <row r="21" spans="1:8" x14ac:dyDescent="0.4">
      <c r="A21" t="s">
        <v>206</v>
      </c>
      <c r="C21" s="120">
        <v>1476.2954110473599</v>
      </c>
      <c r="G21" s="120"/>
      <c r="H21" s="120"/>
    </row>
    <row r="22" spans="1:8" x14ac:dyDescent="0.4">
      <c r="A22" t="s">
        <v>221</v>
      </c>
      <c r="B22" s="120">
        <v>2</v>
      </c>
      <c r="C22" s="120">
        <v>1500</v>
      </c>
    </row>
    <row r="23" spans="1:8" x14ac:dyDescent="0.4">
      <c r="A23" t="s">
        <v>216</v>
      </c>
      <c r="B23" s="120">
        <v>10</v>
      </c>
      <c r="C23" s="120">
        <v>1500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/>
      <c r="C1" s="132"/>
      <c r="E1" s="104" t="s">
        <v>154</v>
      </c>
      <c r="F1" s="100" t="s">
        <v>115</v>
      </c>
      <c r="G1" s="99" t="s">
        <v>116</v>
      </c>
      <c r="H1" s="86" t="s">
        <v>117</v>
      </c>
      <c r="I1" s="100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0</v>
      </c>
      <c r="C2" s="134"/>
      <c r="E2" s="26" t="s">
        <v>64</v>
      </c>
      <c r="F2" s="23" t="s">
        <v>20</v>
      </c>
      <c r="G2" s="11">
        <v>0</v>
      </c>
      <c r="H2" s="87">
        <f t="shared" ref="H2:H33" si="0">IF(B$20=0,0,G2/B$20)</f>
        <v>0</v>
      </c>
      <c r="I2" s="57"/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0</v>
      </c>
      <c r="Q2" s="76">
        <v>0</v>
      </c>
      <c r="R2" s="63">
        <v>0</v>
      </c>
    </row>
    <row r="3" spans="1:18" x14ac:dyDescent="0.4">
      <c r="A3" s="19" t="s">
        <v>8</v>
      </c>
      <c r="B3" s="135">
        <v>0</v>
      </c>
      <c r="C3" s="136"/>
      <c r="E3" s="27" t="s">
        <v>65</v>
      </c>
      <c r="F3" s="24" t="s">
        <v>21</v>
      </c>
      <c r="G3" s="12">
        <v>0</v>
      </c>
      <c r="H3" s="88">
        <f t="shared" si="0"/>
        <v>0</v>
      </c>
      <c r="I3" s="58"/>
      <c r="O3" s="74" t="s">
        <v>129</v>
      </c>
      <c r="P3" s="80">
        <f t="shared" si="1"/>
        <v>0</v>
      </c>
      <c r="Q3" s="77">
        <v>0</v>
      </c>
      <c r="R3" s="64">
        <v>0</v>
      </c>
    </row>
    <row r="4" spans="1:18" x14ac:dyDescent="0.4">
      <c r="A4" s="19" t="s">
        <v>6</v>
      </c>
      <c r="B4" s="137">
        <v>0</v>
      </c>
      <c r="C4" s="138"/>
      <c r="E4" s="27" t="s">
        <v>66</v>
      </c>
      <c r="F4" s="24" t="s">
        <v>22</v>
      </c>
      <c r="G4" s="12">
        <v>0</v>
      </c>
      <c r="H4" s="88">
        <f t="shared" si="0"/>
        <v>0</v>
      </c>
      <c r="I4" s="58"/>
      <c r="O4" s="74" t="s">
        <v>130</v>
      </c>
      <c r="P4" s="80">
        <f t="shared" si="1"/>
        <v>0</v>
      </c>
      <c r="Q4" s="77">
        <v>0</v>
      </c>
      <c r="R4" s="64">
        <v>0</v>
      </c>
    </row>
    <row r="5" spans="1:18" x14ac:dyDescent="0.4">
      <c r="A5" s="19" t="s">
        <v>7</v>
      </c>
      <c r="B5" s="125">
        <f>IF(B$2=0,0,B$4/B$2)</f>
        <v>0</v>
      </c>
      <c r="C5" s="126"/>
      <c r="E5" s="27" t="s">
        <v>67</v>
      </c>
      <c r="F5" s="24" t="s">
        <v>23</v>
      </c>
      <c r="G5" s="12">
        <v>0</v>
      </c>
      <c r="H5" s="88">
        <f t="shared" si="0"/>
        <v>0</v>
      </c>
      <c r="I5" s="58"/>
      <c r="O5" s="74" t="s">
        <v>131</v>
      </c>
      <c r="P5" s="80">
        <f t="shared" si="1"/>
        <v>0</v>
      </c>
      <c r="Q5" s="77">
        <v>0</v>
      </c>
      <c r="R5" s="64">
        <v>0</v>
      </c>
    </row>
    <row r="6" spans="1:18" x14ac:dyDescent="0.4">
      <c r="A6" s="19" t="s">
        <v>196</v>
      </c>
      <c r="B6" s="129">
        <v>1500</v>
      </c>
      <c r="C6" s="130"/>
      <c r="E6" s="27" t="s">
        <v>68</v>
      </c>
      <c r="F6" s="24" t="s">
        <v>12</v>
      </c>
      <c r="G6" s="12">
        <v>0</v>
      </c>
      <c r="H6" s="88">
        <f t="shared" si="0"/>
        <v>0</v>
      </c>
      <c r="I6" s="58"/>
      <c r="O6" s="74" t="s">
        <v>132</v>
      </c>
      <c r="P6" s="80">
        <f t="shared" si="1"/>
        <v>0</v>
      </c>
      <c r="Q6" s="77">
        <v>0</v>
      </c>
      <c r="R6" s="64">
        <v>0</v>
      </c>
    </row>
    <row r="7" spans="1:18" x14ac:dyDescent="0.4">
      <c r="A7" s="19" t="s">
        <v>1</v>
      </c>
      <c r="B7" s="139">
        <f>IF(B$2=0,0,(B$8*1+B$9*2+B$10*3)/B$2)</f>
        <v>0</v>
      </c>
      <c r="C7" s="140"/>
      <c r="E7" s="27" t="s">
        <v>69</v>
      </c>
      <c r="F7" s="24" t="s">
        <v>24</v>
      </c>
      <c r="G7" s="12">
        <v>0</v>
      </c>
      <c r="H7" s="88">
        <f t="shared" si="0"/>
        <v>0</v>
      </c>
      <c r="I7" s="58"/>
      <c r="O7" s="75" t="s">
        <v>133</v>
      </c>
      <c r="P7" s="81">
        <f t="shared" si="1"/>
        <v>0</v>
      </c>
      <c r="Q7" s="78">
        <v>0</v>
      </c>
      <c r="R7" s="65">
        <v>0</v>
      </c>
    </row>
    <row r="8" spans="1:18" x14ac:dyDescent="0.4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/>
      <c r="O8" s="107"/>
      <c r="P8" s="85"/>
      <c r="Q8" s="108"/>
      <c r="R8" s="70"/>
    </row>
    <row r="9" spans="1:18" x14ac:dyDescent="0.4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/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/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185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186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0</v>
      </c>
      <c r="C14" s="126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/>
      <c r="P15" s="82"/>
      <c r="Q15" s="76"/>
      <c r="R15" s="67"/>
    </row>
    <row r="16" spans="1:18" x14ac:dyDescent="0.4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</row>
    <row r="17" spans="1:9" x14ac:dyDescent="0.4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</row>
    <row r="18" spans="1:9" x14ac:dyDescent="0.4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</row>
    <row r="19" spans="1:9" x14ac:dyDescent="0.4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/>
    </row>
    <row r="20" spans="1:9" x14ac:dyDescent="0.4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</row>
    <row r="21" spans="1:9" x14ac:dyDescent="0.4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9" x14ac:dyDescent="0.4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9" x14ac:dyDescent="0.4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9" x14ac:dyDescent="0.4">
      <c r="A24" s="19" t="s">
        <v>183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9" x14ac:dyDescent="0.4">
      <c r="A25" s="19" t="s">
        <v>181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9" x14ac:dyDescent="0.4">
      <c r="A26" s="19" t="s">
        <v>182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9" x14ac:dyDescent="0.4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/>
    </row>
    <row r="28" spans="1:9" x14ac:dyDescent="0.4">
      <c r="A28" s="20" t="s">
        <v>165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9" x14ac:dyDescent="0.4">
      <c r="A29" s="20" t="s">
        <v>166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/>
    </row>
    <row r="30" spans="1:9" x14ac:dyDescent="0.4">
      <c r="A30" s="20" t="s">
        <v>164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9" x14ac:dyDescent="0.4">
      <c r="A31" s="19" t="s">
        <v>157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9" x14ac:dyDescent="0.4">
      <c r="A32" s="19" t="s">
        <v>158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">
      <c r="A33" s="54" t="s">
        <v>136</v>
      </c>
      <c r="B33" s="127">
        <v>0</v>
      </c>
      <c r="C33" s="128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">
      <c r="A34" s="22" t="s">
        <v>180</v>
      </c>
      <c r="B34" s="129">
        <v>-1000000</v>
      </c>
      <c r="C34" s="130"/>
      <c r="E34" s="27" t="s">
        <v>96</v>
      </c>
      <c r="F34" s="24" t="s">
        <v>51</v>
      </c>
      <c r="G34" s="12">
        <v>0</v>
      </c>
      <c r="H34" s="88">
        <f t="shared" ref="H34:H52" si="3">IF(B$20=0,0,G34/B$20)</f>
        <v>0</v>
      </c>
      <c r="I34" s="58"/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/>
    </row>
    <row r="36" spans="1:9" x14ac:dyDescent="0.4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/>
    </row>
    <row r="37" spans="1:9" x14ac:dyDescent="0.4">
      <c r="A37" s="54" t="s">
        <v>171</v>
      </c>
      <c r="B37" s="101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/>
    </row>
    <row r="38" spans="1:9" x14ac:dyDescent="0.4">
      <c r="A38" s="19" t="s">
        <v>167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/>
    </row>
    <row r="39" spans="1:9" x14ac:dyDescent="0.4">
      <c r="A39" s="19" t="s">
        <v>168</v>
      </c>
      <c r="B39" s="102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/>
    </row>
    <row r="40" spans="1:9" x14ac:dyDescent="0.4">
      <c r="A40" s="19" t="s">
        <v>169</v>
      </c>
      <c r="B40" s="102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/>
    </row>
    <row r="41" spans="1:9" x14ac:dyDescent="0.4">
      <c r="A41" s="19" t="s">
        <v>170</v>
      </c>
      <c r="B41" s="102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/>
    </row>
    <row r="42" spans="1:9" x14ac:dyDescent="0.4">
      <c r="A42" s="19" t="s">
        <v>172</v>
      </c>
      <c r="B42" s="102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/>
    </row>
    <row r="43" spans="1:9" x14ac:dyDescent="0.4">
      <c r="A43" s="19" t="s">
        <v>173</v>
      </c>
      <c r="B43" s="102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/>
    </row>
    <row r="44" spans="1:9" x14ac:dyDescent="0.4">
      <c r="A44" s="19" t="s">
        <v>174</v>
      </c>
      <c r="B44" s="102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/>
    </row>
    <row r="45" spans="1:9" x14ac:dyDescent="0.4">
      <c r="A45" s="19" t="s">
        <v>175</v>
      </c>
      <c r="B45" s="102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/>
    </row>
    <row r="46" spans="1:9" x14ac:dyDescent="0.4">
      <c r="A46" s="19" t="s">
        <v>176</v>
      </c>
      <c r="B46" s="102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/>
    </row>
    <row r="47" spans="1:9" x14ac:dyDescent="0.4">
      <c r="A47" s="19" t="s">
        <v>177</v>
      </c>
      <c r="B47" s="102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/>
    </row>
    <row r="48" spans="1:9" x14ac:dyDescent="0.4">
      <c r="A48" s="19" t="s">
        <v>178</v>
      </c>
      <c r="B48" s="102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/>
    </row>
    <row r="49" spans="1:9" x14ac:dyDescent="0.4">
      <c r="A49" s="21" t="s">
        <v>179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/>
    </row>
    <row r="50" spans="1:9" x14ac:dyDescent="0.4">
      <c r="E50" s="27" t="s">
        <v>155</v>
      </c>
      <c r="F50" s="24" t="s">
        <v>156</v>
      </c>
      <c r="G50" s="12">
        <v>0</v>
      </c>
      <c r="H50" s="88">
        <f t="shared" si="3"/>
        <v>0</v>
      </c>
      <c r="I50" s="58"/>
    </row>
    <row r="51" spans="1:9" x14ac:dyDescent="0.4">
      <c r="E51" s="91" t="s">
        <v>159</v>
      </c>
      <c r="F51" s="92" t="s">
        <v>160</v>
      </c>
      <c r="G51" s="13">
        <v>0</v>
      </c>
      <c r="H51" s="93">
        <f t="shared" si="3"/>
        <v>0</v>
      </c>
      <c r="I51" s="94"/>
    </row>
    <row r="52" spans="1:9" x14ac:dyDescent="0.4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3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46" customWidth="1"/>
    <col min="2" max="2" width="10.625" style="49" customWidth="1"/>
    <col min="3" max="3" width="10.625" style="114" customWidth="1"/>
    <col min="4" max="4" width="10.625" style="47" customWidth="1"/>
    <col min="5" max="5" width="10.625" style="48" customWidth="1"/>
    <col min="6" max="6" width="10.625" style="49" customWidth="1"/>
    <col min="7" max="7" width="10.625" style="61" customWidth="1"/>
    <col min="8" max="8" width="10.625" style="49" customWidth="1"/>
    <col min="9" max="9" width="10.625" style="53" customWidth="1"/>
    <col min="10" max="10" width="10.625" style="49" customWidth="1"/>
    <col min="11" max="11" width="10.625" style="50" customWidth="1"/>
    <col min="12" max="12" width="10.625" style="49" customWidth="1"/>
    <col min="13" max="13" width="10.625" style="51" customWidth="1"/>
    <col min="14" max="14" width="10.625" style="49" customWidth="1"/>
    <col min="15" max="15" width="10.625" style="51" customWidth="1"/>
    <col min="16" max="16" width="10.625" style="49" customWidth="1"/>
    <col min="17" max="17" width="10.625" style="52" customWidth="1"/>
    <col min="18" max="18" width="10.625" style="49" customWidth="1"/>
    <col min="19" max="19" width="10.625" style="52" customWidth="1"/>
    <col min="20" max="20" width="10.625" style="49" customWidth="1"/>
    <col min="21" max="21" width="10.625" style="53" customWidth="1"/>
    <col min="22" max="22" width="10.625" style="49" customWidth="1"/>
    <col min="23" max="23" width="10.625" style="53" customWidth="1"/>
    <col min="24" max="24" width="10.625" style="49" customWidth="1"/>
    <col min="25" max="25" width="10.625" style="51" customWidth="1"/>
    <col min="26" max="26" width="10.625" style="49" customWidth="1"/>
    <col min="27" max="27" width="10.625" style="52" customWidth="1"/>
    <col min="28" max="28" width="10.625" style="49" customWidth="1"/>
    <col min="29" max="29" width="10.625" style="52" customWidth="1"/>
    <col min="30" max="30" width="10.625" style="49" customWidth="1"/>
    <col min="31" max="31" width="10.625" style="52" customWidth="1"/>
    <col min="32" max="32" width="10.625" style="49" customWidth="1"/>
    <col min="33" max="33" width="10.625" style="52" customWidth="1"/>
    <col min="34" max="34" width="10.625" style="49" customWidth="1"/>
    <col min="35" max="35" width="10.625" style="52" customWidth="1"/>
    <col min="36" max="36" width="10.625" style="49" customWidth="1"/>
    <col min="37" max="37" width="10.625" style="56" customWidth="1"/>
    <col min="38" max="16384" width="9" style="37"/>
  </cols>
  <sheetData>
    <row r="1" spans="1:37" x14ac:dyDescent="0.4">
      <c r="A1" s="36"/>
      <c r="B1" s="147" t="s">
        <v>9</v>
      </c>
      <c r="C1" s="148"/>
      <c r="D1" s="141" t="s">
        <v>6</v>
      </c>
      <c r="E1" s="142"/>
      <c r="F1" s="141" t="s">
        <v>7</v>
      </c>
      <c r="G1" s="142"/>
      <c r="H1" s="147" t="s">
        <v>196</v>
      </c>
      <c r="I1" s="148"/>
      <c r="J1" s="141" t="s">
        <v>15</v>
      </c>
      <c r="K1" s="142"/>
      <c r="L1" s="141" t="s">
        <v>14</v>
      </c>
      <c r="M1" s="142"/>
      <c r="N1" s="141" t="s">
        <v>149</v>
      </c>
      <c r="O1" s="142"/>
      <c r="P1" s="141" t="s">
        <v>143</v>
      </c>
      <c r="Q1" s="142"/>
      <c r="R1" s="141" t="s">
        <v>144</v>
      </c>
      <c r="S1" s="142"/>
      <c r="T1" s="141" t="s">
        <v>5</v>
      </c>
      <c r="U1" s="142"/>
      <c r="V1" s="141" t="s">
        <v>16</v>
      </c>
      <c r="W1" s="142"/>
      <c r="X1" s="141" t="s">
        <v>17</v>
      </c>
      <c r="Y1" s="142"/>
      <c r="Z1" s="141" t="s">
        <v>122</v>
      </c>
      <c r="AA1" s="142"/>
      <c r="AB1" s="141" t="s">
        <v>119</v>
      </c>
      <c r="AC1" s="142"/>
      <c r="AD1" s="141" t="s">
        <v>125</v>
      </c>
      <c r="AE1" s="142"/>
      <c r="AF1" s="141" t="s">
        <v>145</v>
      </c>
      <c r="AG1" s="142"/>
      <c r="AH1" s="141" t="s">
        <v>138</v>
      </c>
      <c r="AI1" s="142"/>
      <c r="AJ1" s="141" t="s">
        <v>180</v>
      </c>
      <c r="AK1" s="142"/>
    </row>
    <row r="2" spans="1:37" x14ac:dyDescent="0.4">
      <c r="A2" s="36" t="s">
        <v>208</v>
      </c>
      <c r="B2" s="143">
        <v>0.9295767069027262</v>
      </c>
      <c r="C2" s="144"/>
      <c r="D2" s="143">
        <v>0.95844833683252251</v>
      </c>
      <c r="E2" s="144"/>
      <c r="F2" s="143">
        <v>0.91785728750087991</v>
      </c>
      <c r="G2" s="144"/>
      <c r="H2" s="145"/>
      <c r="I2" s="146"/>
      <c r="J2" s="143">
        <v>0.93375023545279801</v>
      </c>
      <c r="K2" s="144"/>
      <c r="L2" s="143">
        <v>0.96818795654780554</v>
      </c>
      <c r="M2" s="144"/>
      <c r="N2" s="143">
        <v>0.92184915981593241</v>
      </c>
      <c r="O2" s="144"/>
      <c r="P2" s="143">
        <v>0.62521418910490045</v>
      </c>
      <c r="Q2" s="144"/>
      <c r="R2" s="143">
        <v>0.99569508662555983</v>
      </c>
      <c r="S2" s="144"/>
      <c r="T2" s="143">
        <v>0.92522307707034601</v>
      </c>
      <c r="U2" s="144"/>
      <c r="V2" s="143">
        <v>0.83241249941170037</v>
      </c>
      <c r="W2" s="144"/>
      <c r="X2" s="143">
        <v>0.97601256906531875</v>
      </c>
      <c r="Y2" s="144"/>
      <c r="Z2" s="143">
        <v>0.45477139299571312</v>
      </c>
      <c r="AA2" s="144"/>
      <c r="AB2" s="143">
        <v>0.92495723460493795</v>
      </c>
      <c r="AC2" s="144"/>
      <c r="AD2" s="143">
        <v>-9.3077007995712766E-2</v>
      </c>
      <c r="AE2" s="144"/>
      <c r="AF2" s="143">
        <v>0.49214600095292554</v>
      </c>
      <c r="AG2" s="144"/>
      <c r="AH2" s="143">
        <v>0.99711226530598662</v>
      </c>
      <c r="AI2" s="144"/>
      <c r="AJ2" s="143">
        <v>0.98025072846916605</v>
      </c>
      <c r="AK2" s="144"/>
    </row>
    <row r="3" spans="1:37" x14ac:dyDescent="0.4">
      <c r="A3" s="38">
        <v>1</v>
      </c>
      <c r="B3" s="41" t="s">
        <v>139</v>
      </c>
      <c r="C3" s="113">
        <v>25</v>
      </c>
      <c r="D3" s="39" t="s">
        <v>126</v>
      </c>
      <c r="E3" s="40">
        <v>188.9</v>
      </c>
      <c r="F3" s="41" t="s">
        <v>126</v>
      </c>
      <c r="G3" s="60">
        <v>10.494444444444445</v>
      </c>
      <c r="H3" s="41" t="s">
        <v>126</v>
      </c>
      <c r="I3" s="45">
        <v>1849.7792249072668</v>
      </c>
      <c r="J3" s="41" t="s">
        <v>126</v>
      </c>
      <c r="K3" s="42">
        <v>1.7222222222222223</v>
      </c>
      <c r="L3" s="41" t="s">
        <v>195</v>
      </c>
      <c r="M3" s="43">
        <v>0.5</v>
      </c>
      <c r="N3" s="41" t="s">
        <v>126</v>
      </c>
      <c r="O3" s="43">
        <v>0.16666666666666666</v>
      </c>
      <c r="P3" s="41" t="s">
        <v>126</v>
      </c>
      <c r="Q3" s="44">
        <v>0.34228187919463088</v>
      </c>
      <c r="R3" s="41" t="s">
        <v>190</v>
      </c>
      <c r="S3" s="44">
        <v>4.7619047619047616E-2</v>
      </c>
      <c r="T3" s="41" t="s">
        <v>221</v>
      </c>
      <c r="U3" s="45">
        <v>10925</v>
      </c>
      <c r="V3" s="41" t="s">
        <v>190</v>
      </c>
      <c r="W3" s="45">
        <v>-3900</v>
      </c>
      <c r="X3" s="41" t="s">
        <v>126</v>
      </c>
      <c r="Y3" s="43">
        <v>0</v>
      </c>
      <c r="Z3" s="41" t="s">
        <v>189</v>
      </c>
      <c r="AA3" s="44">
        <v>0.28301886792452829</v>
      </c>
      <c r="AB3" s="41" t="s">
        <v>189</v>
      </c>
      <c r="AC3" s="44">
        <v>0.43396226415094341</v>
      </c>
      <c r="AD3" s="41" t="s">
        <v>195</v>
      </c>
      <c r="AE3" s="44">
        <v>0.77777777777777779</v>
      </c>
      <c r="AF3" s="41" t="s">
        <v>211</v>
      </c>
      <c r="AG3" s="44">
        <v>0.54545454545454541</v>
      </c>
      <c r="AH3" s="41" t="s">
        <v>221</v>
      </c>
      <c r="AI3" s="44">
        <v>1</v>
      </c>
      <c r="AJ3" s="41" t="s">
        <v>126</v>
      </c>
      <c r="AK3" s="55">
        <v>103000</v>
      </c>
    </row>
    <row r="4" spans="1:37" x14ac:dyDescent="0.4">
      <c r="A4" s="46">
        <v>2</v>
      </c>
      <c r="B4" s="49" t="s">
        <v>126</v>
      </c>
      <c r="C4" s="114">
        <v>18</v>
      </c>
      <c r="D4" s="47" t="s">
        <v>211</v>
      </c>
      <c r="E4" s="48">
        <v>65.800000000000011</v>
      </c>
      <c r="F4" s="49" t="s">
        <v>211</v>
      </c>
      <c r="G4" s="61">
        <v>5.0615384615384622</v>
      </c>
      <c r="H4" s="49" t="s">
        <v>163</v>
      </c>
      <c r="I4" s="53">
        <v>1618.6477491678233</v>
      </c>
      <c r="J4" s="49" t="s">
        <v>192</v>
      </c>
      <c r="K4" s="50">
        <v>1.8888888888888888</v>
      </c>
      <c r="L4" s="49" t="s">
        <v>126</v>
      </c>
      <c r="M4" s="51">
        <v>0.44444444444444442</v>
      </c>
      <c r="N4" s="49" t="s">
        <v>189</v>
      </c>
      <c r="O4" s="51">
        <v>0.16666666666666666</v>
      </c>
      <c r="P4" s="49" t="s">
        <v>189</v>
      </c>
      <c r="Q4" s="52">
        <v>0.33962264150943394</v>
      </c>
      <c r="R4" s="49" t="s">
        <v>192</v>
      </c>
      <c r="S4" s="52">
        <v>0.10975609756097561</v>
      </c>
      <c r="T4" s="49" t="s">
        <v>126</v>
      </c>
      <c r="U4" s="53">
        <v>9135.2941176470595</v>
      </c>
      <c r="V4" s="49" t="s">
        <v>195</v>
      </c>
      <c r="W4" s="53">
        <v>-6380</v>
      </c>
      <c r="X4" s="49" t="s">
        <v>190</v>
      </c>
      <c r="Y4" s="51">
        <v>0</v>
      </c>
      <c r="Z4" s="49" t="s">
        <v>216</v>
      </c>
      <c r="AA4" s="52">
        <v>0.26923076923076922</v>
      </c>
      <c r="AB4" s="49" t="s">
        <v>193</v>
      </c>
      <c r="AC4" s="52">
        <v>0.2857142857142857</v>
      </c>
      <c r="AD4" s="49" t="s">
        <v>211</v>
      </c>
      <c r="AE4" s="52">
        <v>0.6</v>
      </c>
      <c r="AF4" s="49" t="s">
        <v>126</v>
      </c>
      <c r="AG4" s="52">
        <v>0.54285714285714282</v>
      </c>
      <c r="AH4" s="49" t="s">
        <v>195</v>
      </c>
      <c r="AI4" s="52">
        <v>0.77777777777777779</v>
      </c>
      <c r="AJ4" s="49" t="s">
        <v>139</v>
      </c>
      <c r="AK4" s="56">
        <v>103000</v>
      </c>
    </row>
    <row r="5" spans="1:37" x14ac:dyDescent="0.4">
      <c r="A5" s="46">
        <v>3</v>
      </c>
      <c r="B5" s="49" t="s">
        <v>211</v>
      </c>
      <c r="C5" s="114">
        <v>13</v>
      </c>
      <c r="D5" s="47" t="s">
        <v>189</v>
      </c>
      <c r="E5" s="48">
        <v>24.7</v>
      </c>
      <c r="F5" s="49" t="s">
        <v>189</v>
      </c>
      <c r="G5" s="61">
        <v>4.1166666666666663</v>
      </c>
      <c r="H5" s="49" t="s">
        <v>139</v>
      </c>
      <c r="I5" s="53">
        <v>1588.853280758633</v>
      </c>
      <c r="J5" s="49" t="s">
        <v>216</v>
      </c>
      <c r="K5" s="50">
        <v>1.9</v>
      </c>
      <c r="L5" s="49" t="s">
        <v>216</v>
      </c>
      <c r="M5" s="51">
        <v>0.4</v>
      </c>
      <c r="N5" s="49" t="s">
        <v>192</v>
      </c>
      <c r="O5" s="51">
        <v>0.22222222222222221</v>
      </c>
      <c r="P5" s="49" t="s">
        <v>192</v>
      </c>
      <c r="Q5" s="52">
        <v>0.32926829268292684</v>
      </c>
      <c r="R5" s="49" t="s">
        <v>189</v>
      </c>
      <c r="S5" s="52">
        <v>0.13207547169811321</v>
      </c>
      <c r="T5" s="49" t="s">
        <v>195</v>
      </c>
      <c r="U5" s="53">
        <v>9022.2222222222226</v>
      </c>
      <c r="V5" s="49" t="s">
        <v>126</v>
      </c>
      <c r="W5" s="53">
        <v>-6545</v>
      </c>
      <c r="X5" s="49" t="s">
        <v>192</v>
      </c>
      <c r="Y5" s="51">
        <v>0</v>
      </c>
      <c r="Z5" s="49" t="s">
        <v>126</v>
      </c>
      <c r="AA5" s="52">
        <v>0.26845637583892618</v>
      </c>
      <c r="AB5" s="49" t="s">
        <v>221</v>
      </c>
      <c r="AC5" s="52">
        <v>0.27777777777777779</v>
      </c>
      <c r="AD5" s="49" t="s">
        <v>192</v>
      </c>
      <c r="AE5" s="52">
        <v>0.6</v>
      </c>
      <c r="AF5" s="49" t="s">
        <v>192</v>
      </c>
      <c r="AG5" s="52">
        <v>0.5</v>
      </c>
      <c r="AH5" s="49" t="s">
        <v>189</v>
      </c>
      <c r="AI5" s="52">
        <v>0.55555555555555558</v>
      </c>
      <c r="AJ5" s="49" t="s">
        <v>211</v>
      </c>
      <c r="AK5" s="56">
        <v>80600</v>
      </c>
    </row>
    <row r="6" spans="1:37" x14ac:dyDescent="0.4">
      <c r="A6" s="46">
        <v>4</v>
      </c>
      <c r="B6" s="49" t="s">
        <v>216</v>
      </c>
      <c r="C6" s="114">
        <v>10</v>
      </c>
      <c r="D6" s="47" t="s">
        <v>216</v>
      </c>
      <c r="E6" s="48">
        <v>14.100000000000005</v>
      </c>
      <c r="F6" s="49" t="s">
        <v>216</v>
      </c>
      <c r="G6" s="61">
        <v>1.4100000000000006</v>
      </c>
      <c r="H6" s="49" t="s">
        <v>192</v>
      </c>
      <c r="I6" s="53">
        <v>1522.4359701425333</v>
      </c>
      <c r="J6" s="49" t="s">
        <v>211</v>
      </c>
      <c r="K6" s="50">
        <v>2</v>
      </c>
      <c r="L6" s="49" t="s">
        <v>211</v>
      </c>
      <c r="M6" s="51">
        <v>0.38461538461538464</v>
      </c>
      <c r="N6" s="49" t="s">
        <v>216</v>
      </c>
      <c r="O6" s="51">
        <v>0.3</v>
      </c>
      <c r="P6" s="49" t="s">
        <v>211</v>
      </c>
      <c r="Q6" s="52">
        <v>0.32653061224489793</v>
      </c>
      <c r="R6" s="49" t="s">
        <v>126</v>
      </c>
      <c r="S6" s="52">
        <v>0.13422818791946309</v>
      </c>
      <c r="T6" s="49" t="s">
        <v>189</v>
      </c>
      <c r="U6" s="53">
        <v>8355.5555555555547</v>
      </c>
      <c r="V6" s="49" t="s">
        <v>216</v>
      </c>
      <c r="W6" s="53">
        <v>-6907.6923076923076</v>
      </c>
      <c r="X6" s="49" t="s">
        <v>189</v>
      </c>
      <c r="Y6" s="51">
        <v>0</v>
      </c>
      <c r="Z6" s="49" t="s">
        <v>193</v>
      </c>
      <c r="AA6" s="52">
        <v>0.25714285714285712</v>
      </c>
      <c r="AB6" s="49" t="s">
        <v>163</v>
      </c>
      <c r="AC6" s="52">
        <v>0.25490196078431371</v>
      </c>
      <c r="AD6" s="49" t="s">
        <v>126</v>
      </c>
      <c r="AE6" s="52">
        <v>0.5</v>
      </c>
      <c r="AF6" s="49" t="s">
        <v>195</v>
      </c>
      <c r="AG6" s="52">
        <v>0.5</v>
      </c>
      <c r="AH6" s="49" t="s">
        <v>126</v>
      </c>
      <c r="AI6" s="52">
        <v>0.52941176470588236</v>
      </c>
      <c r="AJ6" s="49" t="s">
        <v>216</v>
      </c>
      <c r="AK6" s="56">
        <v>74600</v>
      </c>
    </row>
    <row r="7" spans="1:37" x14ac:dyDescent="0.4">
      <c r="A7" s="46">
        <v>5</v>
      </c>
      <c r="B7" s="49" t="s">
        <v>192</v>
      </c>
      <c r="C7" s="114">
        <v>9</v>
      </c>
      <c r="D7" s="47" t="s">
        <v>192</v>
      </c>
      <c r="E7" s="48">
        <v>9.6999999999999993</v>
      </c>
      <c r="F7" s="49" t="s">
        <v>192</v>
      </c>
      <c r="G7" s="61">
        <v>1.0777777777777777</v>
      </c>
      <c r="H7" s="49" t="s">
        <v>190</v>
      </c>
      <c r="I7" s="53">
        <v>1518.8868623780729</v>
      </c>
      <c r="J7" s="49" t="s">
        <v>139</v>
      </c>
      <c r="K7" s="50">
        <v>2</v>
      </c>
      <c r="L7" s="49" t="s">
        <v>139</v>
      </c>
      <c r="M7" s="51">
        <v>0.33333333333333331</v>
      </c>
      <c r="N7" s="49" t="s">
        <v>139</v>
      </c>
      <c r="O7" s="51">
        <v>0.33333333333333331</v>
      </c>
      <c r="P7" s="49" t="s">
        <v>139</v>
      </c>
      <c r="Q7" s="52">
        <v>0.29146537842190018</v>
      </c>
      <c r="R7" s="49" t="s">
        <v>195</v>
      </c>
      <c r="S7" s="52">
        <v>0.1388888888888889</v>
      </c>
      <c r="T7" s="49" t="s">
        <v>193</v>
      </c>
      <c r="U7" s="53">
        <v>8212.5</v>
      </c>
      <c r="V7" s="49" t="s">
        <v>211</v>
      </c>
      <c r="W7" s="53">
        <v>-7356.25</v>
      </c>
      <c r="X7" s="49" t="s">
        <v>195</v>
      </c>
      <c r="Y7" s="51">
        <v>0</v>
      </c>
      <c r="Z7" s="49" t="s">
        <v>211</v>
      </c>
      <c r="AA7" s="52">
        <v>0.25510204081632654</v>
      </c>
      <c r="AB7" s="49" t="s">
        <v>139</v>
      </c>
      <c r="AC7" s="52">
        <v>0.23832528180354268</v>
      </c>
      <c r="AD7" s="49" t="s">
        <v>190</v>
      </c>
      <c r="AE7" s="52">
        <v>0.5</v>
      </c>
      <c r="AF7" s="49" t="s">
        <v>139</v>
      </c>
      <c r="AG7" s="52">
        <v>0.44594594594594594</v>
      </c>
      <c r="AH7" s="49" t="s">
        <v>139</v>
      </c>
      <c r="AI7" s="52">
        <v>0.48618784530386738</v>
      </c>
      <c r="AJ7" s="49" t="s">
        <v>189</v>
      </c>
      <c r="AK7" s="56">
        <v>61300</v>
      </c>
    </row>
    <row r="8" spans="1:37" x14ac:dyDescent="0.4">
      <c r="A8" s="46">
        <v>6</v>
      </c>
      <c r="B8" s="49" t="s">
        <v>163</v>
      </c>
      <c r="C8" s="114">
        <v>6</v>
      </c>
      <c r="D8" s="47" t="s">
        <v>139</v>
      </c>
      <c r="E8" s="48">
        <v>1.4210854715202004E-14</v>
      </c>
      <c r="F8" s="49" t="s">
        <v>139</v>
      </c>
      <c r="G8" s="61">
        <v>1.8947806286936006E-16</v>
      </c>
      <c r="H8" s="49" t="s">
        <v>211</v>
      </c>
      <c r="I8" s="53">
        <v>1506.4847379755383</v>
      </c>
      <c r="J8" s="49" t="s">
        <v>189</v>
      </c>
      <c r="K8" s="50">
        <v>2</v>
      </c>
      <c r="L8" s="49" t="s">
        <v>192</v>
      </c>
      <c r="M8" s="51">
        <v>0.33333333333333331</v>
      </c>
      <c r="N8" s="49" t="s">
        <v>190</v>
      </c>
      <c r="O8" s="51">
        <v>0.33333333333333331</v>
      </c>
      <c r="P8" s="49" t="s">
        <v>195</v>
      </c>
      <c r="Q8" s="52">
        <v>0.25</v>
      </c>
      <c r="R8" s="49" t="s">
        <v>139</v>
      </c>
      <c r="S8" s="52">
        <v>0.14975845410628019</v>
      </c>
      <c r="T8" s="49" t="s">
        <v>211</v>
      </c>
      <c r="U8" s="53">
        <v>8165.625</v>
      </c>
      <c r="V8" s="49" t="s">
        <v>189</v>
      </c>
      <c r="W8" s="53">
        <v>-7571.4285714285716</v>
      </c>
      <c r="X8" s="49" t="s">
        <v>193</v>
      </c>
      <c r="Y8" s="51">
        <v>0</v>
      </c>
      <c r="Z8" s="49" t="s">
        <v>139</v>
      </c>
      <c r="AA8" s="52">
        <v>0.25120772946859904</v>
      </c>
      <c r="AB8" s="49" t="s">
        <v>190</v>
      </c>
      <c r="AC8" s="52">
        <v>0.23809523809523808</v>
      </c>
      <c r="AD8" s="49" t="s">
        <v>139</v>
      </c>
      <c r="AE8" s="52">
        <v>0.49358974358974361</v>
      </c>
      <c r="AF8" s="49" t="s">
        <v>193</v>
      </c>
      <c r="AG8" s="52">
        <v>0.4</v>
      </c>
      <c r="AH8" s="49" t="s">
        <v>216</v>
      </c>
      <c r="AI8" s="52">
        <v>0.47368421052631576</v>
      </c>
      <c r="AJ8" s="49" t="s">
        <v>163</v>
      </c>
      <c r="AK8" s="56">
        <v>58600</v>
      </c>
    </row>
    <row r="9" spans="1:37" x14ac:dyDescent="0.4">
      <c r="A9" s="46">
        <v>7</v>
      </c>
      <c r="B9" s="49" t="s">
        <v>189</v>
      </c>
      <c r="C9" s="114">
        <v>6</v>
      </c>
      <c r="D9" s="47" t="s">
        <v>221</v>
      </c>
      <c r="E9" s="48">
        <v>-13.5</v>
      </c>
      <c r="F9" s="49" t="s">
        <v>195</v>
      </c>
      <c r="G9" s="61">
        <v>-3.6749999999999989</v>
      </c>
      <c r="H9" s="49" t="s">
        <v>216</v>
      </c>
      <c r="I9" s="53">
        <v>1505.4057135817091</v>
      </c>
      <c r="J9" s="49" t="s">
        <v>195</v>
      </c>
      <c r="K9" s="50">
        <v>2</v>
      </c>
      <c r="L9" s="49" t="s">
        <v>193</v>
      </c>
      <c r="M9" s="51">
        <v>0.25</v>
      </c>
      <c r="N9" s="49" t="s">
        <v>211</v>
      </c>
      <c r="O9" s="51">
        <v>0.38461538461538464</v>
      </c>
      <c r="P9" s="49" t="s">
        <v>216</v>
      </c>
      <c r="Q9" s="52">
        <v>0.24358974358974358</v>
      </c>
      <c r="R9" s="49" t="s">
        <v>211</v>
      </c>
      <c r="S9" s="52">
        <v>0.16326530612244897</v>
      </c>
      <c r="T9" s="49" t="s">
        <v>139</v>
      </c>
      <c r="U9" s="53">
        <v>8153.5911602209944</v>
      </c>
      <c r="V9" s="49" t="s">
        <v>192</v>
      </c>
      <c r="W9" s="53">
        <v>-7955.5555555555557</v>
      </c>
      <c r="X9" s="49" t="s">
        <v>221</v>
      </c>
      <c r="Y9" s="51">
        <v>0</v>
      </c>
      <c r="Z9" s="49" t="s">
        <v>195</v>
      </c>
      <c r="AA9" s="52">
        <v>0.25</v>
      </c>
      <c r="AB9" s="49" t="s">
        <v>126</v>
      </c>
      <c r="AC9" s="52">
        <v>0.2348993288590604</v>
      </c>
      <c r="AD9" s="49" t="s">
        <v>189</v>
      </c>
      <c r="AE9" s="52">
        <v>0.46666666666666667</v>
      </c>
      <c r="AF9" s="49" t="s">
        <v>221</v>
      </c>
      <c r="AG9" s="52">
        <v>0.4</v>
      </c>
      <c r="AH9" s="49" t="s">
        <v>211</v>
      </c>
      <c r="AI9" s="52">
        <v>0.46875</v>
      </c>
      <c r="AJ9" s="49" t="s">
        <v>192</v>
      </c>
      <c r="AK9" s="56">
        <v>56300</v>
      </c>
    </row>
    <row r="10" spans="1:37" x14ac:dyDescent="0.4">
      <c r="A10" s="46">
        <v>8</v>
      </c>
      <c r="B10" s="49" t="s">
        <v>195</v>
      </c>
      <c r="C10" s="114">
        <v>4</v>
      </c>
      <c r="D10" s="47" t="s">
        <v>195</v>
      </c>
      <c r="E10" s="48">
        <v>-14.699999999999996</v>
      </c>
      <c r="F10" s="49" t="s">
        <v>221</v>
      </c>
      <c r="G10" s="61">
        <v>-6.75</v>
      </c>
      <c r="H10" s="49" t="s">
        <v>221</v>
      </c>
      <c r="I10" s="53">
        <v>1497.379788</v>
      </c>
      <c r="J10" s="49" t="s">
        <v>193</v>
      </c>
      <c r="K10" s="50">
        <v>2.25</v>
      </c>
      <c r="L10" s="49" t="s">
        <v>163</v>
      </c>
      <c r="M10" s="51">
        <v>0.16666666666666666</v>
      </c>
      <c r="N10" s="49" t="s">
        <v>195</v>
      </c>
      <c r="O10" s="51">
        <v>0.5</v>
      </c>
      <c r="P10" s="49" t="s">
        <v>193</v>
      </c>
      <c r="Q10" s="52">
        <v>0.22857142857142856</v>
      </c>
      <c r="R10" s="49" t="s">
        <v>216</v>
      </c>
      <c r="S10" s="52">
        <v>0.16666666666666666</v>
      </c>
      <c r="T10" s="49" t="s">
        <v>216</v>
      </c>
      <c r="U10" s="53">
        <v>7557.894736842105</v>
      </c>
      <c r="V10" s="49" t="s">
        <v>139</v>
      </c>
      <c r="W10" s="53">
        <v>-7977.4193548387093</v>
      </c>
      <c r="X10" s="49" t="s">
        <v>139</v>
      </c>
      <c r="Y10" s="51">
        <v>5.3333333333333337E-2</v>
      </c>
      <c r="Z10" s="49" t="s">
        <v>192</v>
      </c>
      <c r="AA10" s="52">
        <v>0.24390243902439024</v>
      </c>
      <c r="AB10" s="49" t="s">
        <v>211</v>
      </c>
      <c r="AC10" s="52">
        <v>0.22448979591836735</v>
      </c>
      <c r="AD10" s="49" t="s">
        <v>216</v>
      </c>
      <c r="AE10" s="52">
        <v>0.42857142857142855</v>
      </c>
      <c r="AF10" s="49" t="s">
        <v>189</v>
      </c>
      <c r="AG10" s="52">
        <v>0.39130434782608697</v>
      </c>
      <c r="AH10" s="49" t="s">
        <v>192</v>
      </c>
      <c r="AI10" s="52">
        <v>0.40740740740740738</v>
      </c>
      <c r="AJ10" s="49" t="s">
        <v>195</v>
      </c>
      <c r="AK10" s="56">
        <v>49300</v>
      </c>
    </row>
    <row r="11" spans="1:37" x14ac:dyDescent="0.4">
      <c r="A11" s="46">
        <v>9</v>
      </c>
      <c r="B11" s="49" t="s">
        <v>193</v>
      </c>
      <c r="C11" s="114">
        <v>4</v>
      </c>
      <c r="D11" s="47" t="s">
        <v>190</v>
      </c>
      <c r="E11" s="48">
        <v>-40.4</v>
      </c>
      <c r="F11" s="49" t="s">
        <v>193</v>
      </c>
      <c r="G11" s="61">
        <v>-12.924999999999999</v>
      </c>
      <c r="H11" s="49" t="s">
        <v>189</v>
      </c>
      <c r="I11" s="53">
        <v>1443.310212653344</v>
      </c>
      <c r="J11" s="49" t="s">
        <v>190</v>
      </c>
      <c r="K11" s="50">
        <v>2.3333333333333335</v>
      </c>
      <c r="L11" s="49" t="s">
        <v>189</v>
      </c>
      <c r="M11" s="51">
        <v>0.16666666666666666</v>
      </c>
      <c r="N11" s="49" t="s">
        <v>193</v>
      </c>
      <c r="O11" s="51">
        <v>0.5</v>
      </c>
      <c r="P11" s="49" t="s">
        <v>221</v>
      </c>
      <c r="Q11" s="52">
        <v>0.22222222222222221</v>
      </c>
      <c r="R11" s="49" t="s">
        <v>221</v>
      </c>
      <c r="S11" s="52">
        <v>0.16666666666666666</v>
      </c>
      <c r="T11" s="49" t="s">
        <v>163</v>
      </c>
      <c r="U11" s="53">
        <v>7340</v>
      </c>
      <c r="V11" s="49" t="s">
        <v>193</v>
      </c>
      <c r="W11" s="53">
        <v>-9387.5</v>
      </c>
      <c r="X11" s="49" t="s">
        <v>211</v>
      </c>
      <c r="Y11" s="51">
        <v>7.6923076923076927E-2</v>
      </c>
      <c r="Z11" s="49" t="s">
        <v>221</v>
      </c>
      <c r="AA11" s="52">
        <v>0.22222222222222221</v>
      </c>
      <c r="AB11" s="49" t="s">
        <v>216</v>
      </c>
      <c r="AC11" s="52">
        <v>0.21794871794871795</v>
      </c>
      <c r="AD11" s="49" t="s">
        <v>163</v>
      </c>
      <c r="AE11" s="52">
        <v>0.27272727272727271</v>
      </c>
      <c r="AF11" s="49" t="s">
        <v>216</v>
      </c>
      <c r="AG11" s="52">
        <v>0.35294117647058826</v>
      </c>
      <c r="AH11" s="49" t="s">
        <v>163</v>
      </c>
      <c r="AI11" s="52">
        <v>0.3</v>
      </c>
      <c r="AJ11" s="49" t="s">
        <v>193</v>
      </c>
      <c r="AK11" s="56">
        <v>45000</v>
      </c>
    </row>
    <row r="12" spans="1:37" x14ac:dyDescent="0.4">
      <c r="A12" s="46">
        <v>10</v>
      </c>
      <c r="B12" s="49" t="s">
        <v>190</v>
      </c>
      <c r="C12" s="114">
        <v>3</v>
      </c>
      <c r="D12" s="47" t="s">
        <v>193</v>
      </c>
      <c r="E12" s="48">
        <v>-51.699999999999996</v>
      </c>
      <c r="F12" s="49" t="s">
        <v>190</v>
      </c>
      <c r="G12" s="61">
        <v>-13.466666666666667</v>
      </c>
      <c r="H12" s="49" t="s">
        <v>195</v>
      </c>
      <c r="I12" s="53">
        <v>1393.6019525837494</v>
      </c>
      <c r="J12" s="49" t="s">
        <v>221</v>
      </c>
      <c r="K12" s="50">
        <v>2.5</v>
      </c>
      <c r="L12" s="49" t="s">
        <v>190</v>
      </c>
      <c r="M12" s="51">
        <v>0</v>
      </c>
      <c r="N12" s="49" t="s">
        <v>221</v>
      </c>
      <c r="O12" s="51">
        <v>0.5</v>
      </c>
      <c r="P12" s="49" t="s">
        <v>163</v>
      </c>
      <c r="Q12" s="52">
        <v>0.19607843137254902</v>
      </c>
      <c r="R12" s="49" t="s">
        <v>163</v>
      </c>
      <c r="S12" s="52">
        <v>0.21568627450980393</v>
      </c>
      <c r="T12" s="49" t="s">
        <v>192</v>
      </c>
      <c r="U12" s="53">
        <v>6414.8148148148148</v>
      </c>
      <c r="V12" s="49" t="s">
        <v>221</v>
      </c>
      <c r="W12" s="53">
        <v>-10300</v>
      </c>
      <c r="X12" s="49" t="s">
        <v>216</v>
      </c>
      <c r="Y12" s="51">
        <v>0.1</v>
      </c>
      <c r="Z12" s="49" t="s">
        <v>163</v>
      </c>
      <c r="AA12" s="52">
        <v>0.21568627450980393</v>
      </c>
      <c r="AB12" s="49" t="s">
        <v>192</v>
      </c>
      <c r="AC12" s="52">
        <v>0.1951219512195122</v>
      </c>
      <c r="AD12" s="49" t="s">
        <v>221</v>
      </c>
      <c r="AE12" s="52">
        <v>0.25</v>
      </c>
      <c r="AF12" s="49" t="s">
        <v>163</v>
      </c>
      <c r="AG12" s="52">
        <v>0.30769230769230771</v>
      </c>
      <c r="AH12" s="49" t="s">
        <v>193</v>
      </c>
      <c r="AI12" s="52">
        <v>0.25</v>
      </c>
      <c r="AJ12" s="49" t="s">
        <v>221</v>
      </c>
      <c r="AK12" s="56">
        <v>39000</v>
      </c>
    </row>
    <row r="13" spans="1:37" x14ac:dyDescent="0.4">
      <c r="A13" s="46">
        <v>11</v>
      </c>
      <c r="B13" s="49" t="s">
        <v>221</v>
      </c>
      <c r="C13" s="114">
        <v>2</v>
      </c>
      <c r="D13" s="47" t="s">
        <v>163</v>
      </c>
      <c r="E13" s="48">
        <v>-182.90000000000003</v>
      </c>
      <c r="F13" s="49" t="s">
        <v>163</v>
      </c>
      <c r="G13" s="61">
        <v>-30.483333333333338</v>
      </c>
      <c r="H13" s="49" t="s">
        <v>193</v>
      </c>
      <c r="I13" s="53">
        <v>1343.1099105729741</v>
      </c>
      <c r="J13" s="49" t="s">
        <v>163</v>
      </c>
      <c r="K13" s="50">
        <v>2.6666666666666665</v>
      </c>
      <c r="L13" s="49" t="s">
        <v>221</v>
      </c>
      <c r="M13" s="51">
        <v>0</v>
      </c>
      <c r="N13" s="49" t="s">
        <v>163</v>
      </c>
      <c r="O13" s="51">
        <v>0.83333333333333337</v>
      </c>
      <c r="P13" s="49" t="s">
        <v>190</v>
      </c>
      <c r="Q13" s="52">
        <v>0.14285714285714285</v>
      </c>
      <c r="R13" s="49" t="s">
        <v>193</v>
      </c>
      <c r="S13" s="52">
        <v>0.22857142857142856</v>
      </c>
      <c r="T13" s="49" t="s">
        <v>190</v>
      </c>
      <c r="U13" s="53">
        <v>5800</v>
      </c>
      <c r="V13" s="49" t="s">
        <v>163</v>
      </c>
      <c r="W13" s="53">
        <v>-12463.636363636364</v>
      </c>
      <c r="X13" s="49" t="s">
        <v>163</v>
      </c>
      <c r="Y13" s="51">
        <v>0.33333333333333331</v>
      </c>
      <c r="Z13" s="49" t="s">
        <v>190</v>
      </c>
      <c r="AA13" s="52">
        <v>9.5238095238095233E-2</v>
      </c>
      <c r="AB13" s="49" t="s">
        <v>195</v>
      </c>
      <c r="AC13" s="52">
        <v>5.5555555555555552E-2</v>
      </c>
      <c r="AD13" s="49" t="s">
        <v>193</v>
      </c>
      <c r="AE13" s="52">
        <v>0.22222222222222221</v>
      </c>
      <c r="AF13" s="49" t="s">
        <v>190</v>
      </c>
      <c r="AG13" s="52">
        <v>0.2</v>
      </c>
      <c r="AH13" s="49" t="s">
        <v>190</v>
      </c>
      <c r="AI13" s="52">
        <v>0</v>
      </c>
      <c r="AJ13" s="49" t="s">
        <v>190</v>
      </c>
      <c r="AK13" s="56">
        <v>31700</v>
      </c>
    </row>
  </sheetData>
  <sortState xmlns:xlrd2="http://schemas.microsoft.com/office/spreadsheetml/2017/richdata2" ref="AJ3:AK65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N2:O2"/>
    <mergeCell ref="H2:I2"/>
    <mergeCell ref="P1:Q1"/>
    <mergeCell ref="N1:O1"/>
    <mergeCell ref="H1:I1"/>
    <mergeCell ref="Z1:AA1"/>
    <mergeCell ref="AB1:AC1"/>
    <mergeCell ref="AD1:AE1"/>
    <mergeCell ref="AF1:AG1"/>
    <mergeCell ref="P2:Q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F4476-609E-4F8A-942F-E7CD52AAF9CF}">
  <sheetPr codeName="Sheet4"/>
  <dimension ref="A1:R77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139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75</v>
      </c>
      <c r="C2" s="134"/>
      <c r="E2" s="26" t="s">
        <v>66</v>
      </c>
      <c r="F2" s="23" t="s">
        <v>22</v>
      </c>
      <c r="G2" s="11">
        <v>131</v>
      </c>
      <c r="H2" s="87">
        <f t="shared" ref="H2:H33" si="0">IF(B$20=0,0,G2/B$20)</f>
        <v>0.72375690607734811</v>
      </c>
      <c r="I2" s="57" t="e">
        <v>#N/A</v>
      </c>
      <c r="K2" s="73">
        <v>0</v>
      </c>
      <c r="L2" s="118">
        <v>0</v>
      </c>
      <c r="M2" s="116">
        <v>1594.5463045050694</v>
      </c>
      <c r="O2" s="73" t="s">
        <v>128</v>
      </c>
      <c r="P2" s="79">
        <f t="shared" ref="P2:P7" si="1">IF(Q2=0,0,R2/Q2)</f>
        <v>-40</v>
      </c>
      <c r="Q2" s="76">
        <v>75</v>
      </c>
      <c r="R2" s="63">
        <v>-3000</v>
      </c>
    </row>
    <row r="3" spans="1:18" x14ac:dyDescent="0.4">
      <c r="A3" s="19" t="s">
        <v>8</v>
      </c>
      <c r="B3" s="135">
        <v>621</v>
      </c>
      <c r="C3" s="136"/>
      <c r="E3" s="27" t="s">
        <v>72</v>
      </c>
      <c r="F3" s="24" t="s">
        <v>27</v>
      </c>
      <c r="G3" s="12">
        <v>122</v>
      </c>
      <c r="H3" s="88">
        <f t="shared" si="0"/>
        <v>0.67403314917127077</v>
      </c>
      <c r="I3" s="58" t="e">
        <v>#N/A</v>
      </c>
      <c r="K3" s="74">
        <v>1</v>
      </c>
      <c r="L3" s="119">
        <v>20.9</v>
      </c>
      <c r="M3" s="117">
        <v>1597.7410266780389</v>
      </c>
      <c r="O3" s="74" t="s">
        <v>129</v>
      </c>
      <c r="P3" s="80">
        <f t="shared" si="1"/>
        <v>41.666666666666664</v>
      </c>
      <c r="Q3" s="77">
        <v>72</v>
      </c>
      <c r="R3" s="64">
        <v>3000</v>
      </c>
    </row>
    <row r="4" spans="1:18" x14ac:dyDescent="0.4">
      <c r="A4" s="19" t="s">
        <v>6</v>
      </c>
      <c r="B4" s="137">
        <v>1.4210854715202004E-14</v>
      </c>
      <c r="C4" s="138"/>
      <c r="E4" s="27" t="s">
        <v>64</v>
      </c>
      <c r="F4" s="24" t="s">
        <v>20</v>
      </c>
      <c r="G4" s="12">
        <v>73</v>
      </c>
      <c r="H4" s="88">
        <f t="shared" si="0"/>
        <v>0.40331491712707185</v>
      </c>
      <c r="I4" s="58" t="e">
        <v>#N/A</v>
      </c>
      <c r="K4" s="74">
        <v>2</v>
      </c>
      <c r="L4" s="119">
        <v>-10.100000000000001</v>
      </c>
      <c r="M4" s="117">
        <v>1591.5745805179706</v>
      </c>
      <c r="O4" s="74" t="s">
        <v>130</v>
      </c>
      <c r="P4" s="80">
        <f t="shared" si="1"/>
        <v>-13.888888888888889</v>
      </c>
      <c r="Q4" s="77">
        <v>72</v>
      </c>
      <c r="R4" s="64">
        <v>-1000</v>
      </c>
    </row>
    <row r="5" spans="1:18" x14ac:dyDescent="0.4">
      <c r="A5" s="19" t="s">
        <v>7</v>
      </c>
      <c r="B5" s="125">
        <f>IF(B$2=0,0,B$4/B$2)</f>
        <v>1.8947806286936006E-16</v>
      </c>
      <c r="C5" s="126"/>
      <c r="E5" s="27" t="s">
        <v>159</v>
      </c>
      <c r="F5" s="24" t="s">
        <v>160</v>
      </c>
      <c r="G5" s="12">
        <v>72</v>
      </c>
      <c r="H5" s="88">
        <f t="shared" si="0"/>
        <v>0.39779005524861877</v>
      </c>
      <c r="I5" s="58" t="e">
        <v>#N/A</v>
      </c>
      <c r="K5" s="74">
        <v>3</v>
      </c>
      <c r="L5" s="119">
        <v>-1.7763568394002505E-15</v>
      </c>
      <c r="M5" s="117">
        <v>1592.8431330348628</v>
      </c>
      <c r="O5" s="74" t="s">
        <v>131</v>
      </c>
      <c r="P5" s="80">
        <f t="shared" si="1"/>
        <v>15.151515151515152</v>
      </c>
      <c r="Q5" s="77">
        <v>66</v>
      </c>
      <c r="R5" s="64">
        <v>1000</v>
      </c>
    </row>
    <row r="6" spans="1:18" x14ac:dyDescent="0.4">
      <c r="A6" s="19" t="s">
        <v>196</v>
      </c>
      <c r="B6" s="129">
        <v>1588.853280758633</v>
      </c>
      <c r="C6" s="130"/>
      <c r="E6" s="27" t="s">
        <v>68</v>
      </c>
      <c r="F6" s="24" t="s">
        <v>12</v>
      </c>
      <c r="G6" s="12">
        <v>55</v>
      </c>
      <c r="H6" s="88">
        <f t="shared" si="0"/>
        <v>0.30386740331491713</v>
      </c>
      <c r="I6" s="58" t="e">
        <v>#N/A</v>
      </c>
      <c r="K6" s="74">
        <v>4</v>
      </c>
      <c r="L6" s="119">
        <v>26.299999999999997</v>
      </c>
      <c r="M6" s="117">
        <v>1597.8720742366536</v>
      </c>
      <c r="O6" s="74" t="s">
        <v>132</v>
      </c>
      <c r="P6" s="80">
        <f t="shared" si="1"/>
        <v>-16.666666666666668</v>
      </c>
      <c r="Q6" s="77">
        <v>60</v>
      </c>
      <c r="R6" s="64">
        <v>-1000</v>
      </c>
    </row>
    <row r="7" spans="1:18" x14ac:dyDescent="0.4">
      <c r="A7" s="19" t="s">
        <v>1</v>
      </c>
      <c r="B7" s="139">
        <f>IF(B$2=0,0,(B$8*1+B$9*2+B$10*3)/B$2)</f>
        <v>2</v>
      </c>
      <c r="C7" s="140"/>
      <c r="E7" s="27" t="s">
        <v>67</v>
      </c>
      <c r="F7" s="24" t="s">
        <v>23</v>
      </c>
      <c r="G7" s="12">
        <v>45</v>
      </c>
      <c r="H7" s="88">
        <f t="shared" si="0"/>
        <v>0.24861878453038674</v>
      </c>
      <c r="I7" s="58" t="e">
        <v>#N/A</v>
      </c>
      <c r="K7" s="74">
        <v>5</v>
      </c>
      <c r="L7" s="119">
        <v>-41.600000000000009</v>
      </c>
      <c r="M7" s="117">
        <v>1585.9148417912336</v>
      </c>
      <c r="O7" s="75" t="s">
        <v>133</v>
      </c>
      <c r="P7" s="81">
        <f t="shared" si="1"/>
        <v>17.543859649122808</v>
      </c>
      <c r="Q7" s="78">
        <v>57</v>
      </c>
      <c r="R7" s="65">
        <v>1000</v>
      </c>
    </row>
    <row r="8" spans="1:18" x14ac:dyDescent="0.4">
      <c r="A8" s="19" t="s">
        <v>2</v>
      </c>
      <c r="B8" s="12">
        <v>25</v>
      </c>
      <c r="C8" s="6">
        <f t="shared" ref="C8:C15" si="2">IF(B$2=0,0,B8/B$2)</f>
        <v>0.33333333333333331</v>
      </c>
      <c r="E8" s="27" t="s">
        <v>89</v>
      </c>
      <c r="F8" s="24" t="s">
        <v>44</v>
      </c>
      <c r="G8" s="12">
        <v>30</v>
      </c>
      <c r="H8" s="88">
        <f t="shared" si="0"/>
        <v>0.16574585635359115</v>
      </c>
      <c r="I8" s="58" t="e">
        <v>#N/A</v>
      </c>
      <c r="K8" s="74">
        <v>6</v>
      </c>
      <c r="L8" s="119">
        <v>-7.1054273576010019E-15</v>
      </c>
      <c r="M8" s="117">
        <v>1593.7393527404861</v>
      </c>
      <c r="O8" s="107"/>
      <c r="P8" s="85"/>
      <c r="Q8" s="108"/>
      <c r="R8" s="70"/>
    </row>
    <row r="9" spans="1:18" x14ac:dyDescent="0.4">
      <c r="A9" s="19" t="s">
        <v>3</v>
      </c>
      <c r="B9" s="12">
        <v>25</v>
      </c>
      <c r="C9" s="6">
        <f t="shared" si="2"/>
        <v>0.33333333333333331</v>
      </c>
      <c r="E9" s="27" t="s">
        <v>69</v>
      </c>
      <c r="F9" s="24" t="s">
        <v>24</v>
      </c>
      <c r="G9" s="12">
        <v>22</v>
      </c>
      <c r="H9" s="88">
        <f t="shared" si="0"/>
        <v>0.12154696132596685</v>
      </c>
      <c r="I9" s="58" t="e">
        <v>#N/A</v>
      </c>
      <c r="K9" s="74">
        <v>7</v>
      </c>
      <c r="L9" s="119">
        <v>-33.600000000000009</v>
      </c>
      <c r="M9" s="117">
        <v>1587.8309166240431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25</v>
      </c>
      <c r="C10" s="7">
        <f t="shared" si="2"/>
        <v>0.33333333333333331</v>
      </c>
      <c r="E10" s="27" t="s">
        <v>70</v>
      </c>
      <c r="F10" s="24" t="s">
        <v>25</v>
      </c>
      <c r="G10" s="12">
        <v>19</v>
      </c>
      <c r="H10" s="88">
        <f t="shared" si="0"/>
        <v>0.10497237569060773</v>
      </c>
      <c r="I10" s="58" t="e">
        <v>#N/A</v>
      </c>
      <c r="K10" s="74">
        <v>8</v>
      </c>
      <c r="L10" s="119">
        <v>21.999999999999993</v>
      </c>
      <c r="M10" s="117">
        <v>1598.0139311242988</v>
      </c>
      <c r="O10" s="73" t="s">
        <v>151</v>
      </c>
      <c r="P10" s="82">
        <f>IF(Q10=0,0,R10/Q10)</f>
        <v>-4.1159999999999997</v>
      </c>
      <c r="Q10" s="76">
        <v>25</v>
      </c>
      <c r="R10" s="67">
        <v>-102.89999999999999</v>
      </c>
    </row>
    <row r="11" spans="1:18" x14ac:dyDescent="0.4">
      <c r="A11" s="20" t="s">
        <v>184</v>
      </c>
      <c r="B11" s="109">
        <f>IF(B8=0,0,C11/B8)</f>
        <v>33.280000000000008</v>
      </c>
      <c r="C11" s="110">
        <v>832.00000000000023</v>
      </c>
      <c r="E11" s="27" t="s">
        <v>65</v>
      </c>
      <c r="F11" s="24" t="s">
        <v>21</v>
      </c>
      <c r="G11" s="12">
        <v>12</v>
      </c>
      <c r="H11" s="88">
        <f t="shared" si="0"/>
        <v>6.6298342541436461E-2</v>
      </c>
      <c r="I11" s="58" t="e">
        <v>#N/A</v>
      </c>
      <c r="K11" s="74">
        <v>9</v>
      </c>
      <c r="L11" s="119">
        <v>-7.1054273576010019E-15</v>
      </c>
      <c r="M11" s="117">
        <v>1594.1678475375529</v>
      </c>
      <c r="O11" s="74" t="s">
        <v>152</v>
      </c>
      <c r="P11" s="83">
        <f>IF(Q11=0,0,R11/Q11)</f>
        <v>-2.2320000000000007</v>
      </c>
      <c r="Q11" s="77">
        <v>25</v>
      </c>
      <c r="R11" s="68">
        <v>-55.800000000000018</v>
      </c>
    </row>
    <row r="12" spans="1:18" x14ac:dyDescent="0.4">
      <c r="A12" s="20" t="s">
        <v>185</v>
      </c>
      <c r="B12" s="109">
        <f>IF(B9=0,0,C12/B9)</f>
        <v>-1.1280000000000003</v>
      </c>
      <c r="C12" s="110">
        <v>-28.200000000000006</v>
      </c>
      <c r="E12" s="27" t="s">
        <v>71</v>
      </c>
      <c r="F12" s="24" t="s">
        <v>26</v>
      </c>
      <c r="G12" s="12">
        <v>11</v>
      </c>
      <c r="H12" s="88">
        <f t="shared" si="0"/>
        <v>6.0773480662983423E-2</v>
      </c>
      <c r="I12" s="58" t="e">
        <v>#N/A</v>
      </c>
      <c r="K12" s="74">
        <v>10</v>
      </c>
      <c r="L12" s="119">
        <v>-30.700000000000006</v>
      </c>
      <c r="M12" s="117">
        <v>1588.8028404523277</v>
      </c>
      <c r="O12" s="75" t="s">
        <v>153</v>
      </c>
      <c r="P12" s="84">
        <f>IF(Q12=0,0,R12/Q12)</f>
        <v>6.3480000000000016</v>
      </c>
      <c r="Q12" s="78">
        <v>25</v>
      </c>
      <c r="R12" s="69">
        <v>158.70000000000005</v>
      </c>
    </row>
    <row r="13" spans="1:18" x14ac:dyDescent="0.4">
      <c r="A13" s="20" t="s">
        <v>186</v>
      </c>
      <c r="B13" s="109">
        <f>IF(B10=0,0,C13/B10)</f>
        <v>-32.152000000000001</v>
      </c>
      <c r="C13" s="110">
        <v>-803.80000000000007</v>
      </c>
      <c r="E13" s="27" t="s">
        <v>83</v>
      </c>
      <c r="F13" s="24" t="s">
        <v>38</v>
      </c>
      <c r="G13" s="12">
        <v>10</v>
      </c>
      <c r="H13" s="88">
        <f t="shared" si="0"/>
        <v>5.5248618784530384E-2</v>
      </c>
      <c r="I13" s="58" t="e">
        <v>#N/A</v>
      </c>
      <c r="K13" s="74">
        <v>11</v>
      </c>
      <c r="L13" s="119">
        <v>-34.000000000000007</v>
      </c>
      <c r="M13" s="117">
        <v>1588.4020234096138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0</v>
      </c>
      <c r="C14" s="126"/>
      <c r="E14" s="27" t="s">
        <v>86</v>
      </c>
      <c r="F14" s="24" t="s">
        <v>41</v>
      </c>
      <c r="G14" s="12">
        <v>9</v>
      </c>
      <c r="H14" s="88">
        <f t="shared" si="0"/>
        <v>4.9723756906077346E-2</v>
      </c>
      <c r="I14" s="58" t="e">
        <v>#N/A</v>
      </c>
      <c r="K14" s="74">
        <v>12</v>
      </c>
      <c r="L14" s="119">
        <v>-7.1054273576010019E-15</v>
      </c>
      <c r="M14" s="117">
        <v>1594.7176112691561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4</v>
      </c>
      <c r="C15" s="9">
        <f t="shared" si="2"/>
        <v>5.3333333333333337E-2</v>
      </c>
      <c r="E15" s="27" t="s">
        <v>81</v>
      </c>
      <c r="F15" s="24" t="s">
        <v>36</v>
      </c>
      <c r="G15" s="12">
        <v>7</v>
      </c>
      <c r="H15" s="88">
        <f t="shared" si="0"/>
        <v>3.8674033149171269E-2</v>
      </c>
      <c r="I15" s="58" t="e">
        <v>#N/A</v>
      </c>
      <c r="K15" s="74">
        <v>13</v>
      </c>
      <c r="L15" s="119">
        <v>48.999999999999993</v>
      </c>
      <c r="M15" s="117">
        <v>1603.6953056015411</v>
      </c>
      <c r="O15" s="73" t="s">
        <v>163</v>
      </c>
      <c r="P15" s="82">
        <f t="shared" ref="P15:P24" si="3">IF(Q15=0,0,R15/Q15)</f>
        <v>45.725000000000001</v>
      </c>
      <c r="Q15" s="76">
        <v>12</v>
      </c>
      <c r="R15" s="67">
        <v>548.70000000000005</v>
      </c>
    </row>
    <row r="16" spans="1:18" x14ac:dyDescent="0.4">
      <c r="A16" s="22" t="s">
        <v>121</v>
      </c>
      <c r="B16" s="15">
        <v>156</v>
      </c>
      <c r="C16" s="10">
        <f>IF(B$3=0,0,B16/B$3)</f>
        <v>0.25120772946859904</v>
      </c>
      <c r="E16" s="27" t="s">
        <v>78</v>
      </c>
      <c r="F16" s="24" t="s">
        <v>33</v>
      </c>
      <c r="G16" s="12">
        <v>5</v>
      </c>
      <c r="H16" s="88">
        <f t="shared" si="0"/>
        <v>2.7624309392265192E-2</v>
      </c>
      <c r="I16" s="58" t="e">
        <v>#N/A</v>
      </c>
      <c r="K16" s="74">
        <v>14</v>
      </c>
      <c r="L16" s="119">
        <v>3.4999999999999929</v>
      </c>
      <c r="M16" s="117">
        <v>1595.6091337679318</v>
      </c>
      <c r="O16" s="74" t="s">
        <v>190</v>
      </c>
      <c r="P16" s="83">
        <f t="shared" si="3"/>
        <v>20.2</v>
      </c>
      <c r="Q16" s="77">
        <v>6</v>
      </c>
      <c r="R16" s="68">
        <v>121.19999999999999</v>
      </c>
    </row>
    <row r="17" spans="1:18" x14ac:dyDescent="0.4">
      <c r="A17" s="19" t="s">
        <v>118</v>
      </c>
      <c r="B17" s="12">
        <v>148</v>
      </c>
      <c r="C17" s="6">
        <f>IF(B$3=0,0,B17/B$3)</f>
        <v>0.23832528180354268</v>
      </c>
      <c r="E17" s="27" t="s">
        <v>91</v>
      </c>
      <c r="F17" s="24" t="s">
        <v>46</v>
      </c>
      <c r="G17" s="12">
        <v>3</v>
      </c>
      <c r="H17" s="88">
        <f t="shared" si="0"/>
        <v>1.6574585635359115E-2</v>
      </c>
      <c r="I17" s="58" t="e">
        <v>#N/A</v>
      </c>
      <c r="K17" s="74">
        <v>15</v>
      </c>
      <c r="L17" s="119">
        <v>-7.1054273576010019E-15</v>
      </c>
      <c r="M17" s="117">
        <v>1595.1314789653243</v>
      </c>
      <c r="O17" s="74" t="s">
        <v>193</v>
      </c>
      <c r="P17" s="83">
        <f t="shared" si="3"/>
        <v>19.387500000000003</v>
      </c>
      <c r="Q17" s="77">
        <v>8</v>
      </c>
      <c r="R17" s="68">
        <v>155.10000000000002</v>
      </c>
    </row>
    <row r="18" spans="1:18" x14ac:dyDescent="0.4">
      <c r="A18" s="18" t="s">
        <v>123</v>
      </c>
      <c r="B18" s="11">
        <f>B24</f>
        <v>77</v>
      </c>
      <c r="C18" s="5">
        <f>IF(B$16=0,0,B18/B$16)</f>
        <v>0.49358974358974361</v>
      </c>
      <c r="E18" s="27" t="s">
        <v>155</v>
      </c>
      <c r="F18" s="24" t="s">
        <v>156</v>
      </c>
      <c r="G18" s="12">
        <v>3</v>
      </c>
      <c r="H18" s="88">
        <f t="shared" si="0"/>
        <v>1.6574585635359115E-2</v>
      </c>
      <c r="I18" s="58" t="e">
        <v>#N/A</v>
      </c>
      <c r="K18" s="74">
        <v>16</v>
      </c>
      <c r="L18" s="119">
        <v>-11.600000000000007</v>
      </c>
      <c r="M18" s="117">
        <v>1593.0666900915323</v>
      </c>
      <c r="O18" s="74" t="s">
        <v>221</v>
      </c>
      <c r="P18" s="83">
        <f t="shared" si="3"/>
        <v>10.125</v>
      </c>
      <c r="Q18" s="77">
        <v>4</v>
      </c>
      <c r="R18" s="68">
        <v>40.5</v>
      </c>
    </row>
    <row r="19" spans="1:18" x14ac:dyDescent="0.4">
      <c r="A19" s="18" t="s">
        <v>124</v>
      </c>
      <c r="B19" s="11">
        <f>B25</f>
        <v>66</v>
      </c>
      <c r="C19" s="5">
        <f>IF(B$17=0,0,B19/B$17)</f>
        <v>0.44594594594594594</v>
      </c>
      <c r="E19" s="27" t="s">
        <v>73</v>
      </c>
      <c r="F19" s="24" t="s">
        <v>28</v>
      </c>
      <c r="G19" s="12">
        <v>2</v>
      </c>
      <c r="H19" s="88">
        <f t="shared" si="0"/>
        <v>1.1049723756906077E-2</v>
      </c>
      <c r="I19" s="58" t="e">
        <v>#N/A</v>
      </c>
      <c r="K19" s="74">
        <v>17</v>
      </c>
      <c r="L19" s="119">
        <v>-7.1054273576010019E-15</v>
      </c>
      <c r="M19" s="117">
        <v>1595.1902899509832</v>
      </c>
      <c r="O19" s="74" t="s">
        <v>195</v>
      </c>
      <c r="P19" s="83">
        <f t="shared" si="3"/>
        <v>5.5124999999999984</v>
      </c>
      <c r="Q19" s="77">
        <v>8</v>
      </c>
      <c r="R19" s="68">
        <v>44.099999999999987</v>
      </c>
    </row>
    <row r="20" spans="1:18" x14ac:dyDescent="0.4">
      <c r="A20" s="18" t="s">
        <v>10</v>
      </c>
      <c r="B20" s="11">
        <f>B23+B22</f>
        <v>181</v>
      </c>
      <c r="C20" s="5">
        <f>IF(B$3=0,0,B20/B$3)</f>
        <v>0.29146537842190018</v>
      </c>
      <c r="E20" s="27" t="s">
        <v>79</v>
      </c>
      <c r="F20" s="24" t="s">
        <v>34</v>
      </c>
      <c r="G20" s="12">
        <v>2</v>
      </c>
      <c r="H20" s="88">
        <f t="shared" si="0"/>
        <v>1.1049723756906077E-2</v>
      </c>
      <c r="I20" s="58" t="e">
        <v>#N/A</v>
      </c>
      <c r="K20" s="74">
        <v>18</v>
      </c>
      <c r="L20" s="119">
        <v>-7.1054273576010019E-15</v>
      </c>
      <c r="M20" s="117">
        <v>1595.2131482112773</v>
      </c>
      <c r="O20" s="74" t="s">
        <v>192</v>
      </c>
      <c r="P20" s="83">
        <f t="shared" si="3"/>
        <v>-1.6166666666666694</v>
      </c>
      <c r="Q20" s="77">
        <v>18</v>
      </c>
      <c r="R20" s="68">
        <v>-29.100000000000048</v>
      </c>
    </row>
    <row r="21" spans="1:18" x14ac:dyDescent="0.4">
      <c r="A21" s="19" t="s">
        <v>13</v>
      </c>
      <c r="B21" s="12">
        <v>93</v>
      </c>
      <c r="C21" s="6">
        <f>IF(B$3=0,0,B21/B$3)</f>
        <v>0.14975845410628019</v>
      </c>
      <c r="E21" s="27" t="s">
        <v>75</v>
      </c>
      <c r="F21" s="24" t="s">
        <v>30</v>
      </c>
      <c r="G21" s="12">
        <v>1</v>
      </c>
      <c r="H21" s="88">
        <f t="shared" si="0"/>
        <v>5.5248618784530384E-3</v>
      </c>
      <c r="I21" s="58" t="e">
        <v>#N/A</v>
      </c>
      <c r="K21" s="74">
        <v>19</v>
      </c>
      <c r="L21" s="119">
        <v>-23.100000000000009</v>
      </c>
      <c r="M21" s="117">
        <v>1591.1138693220096</v>
      </c>
      <c r="O21" s="74" t="s">
        <v>216</v>
      </c>
      <c r="P21" s="83">
        <f t="shared" si="3"/>
        <v>-2.1149999999999998</v>
      </c>
      <c r="Q21" s="77">
        <v>20</v>
      </c>
      <c r="R21" s="68">
        <v>-42.3</v>
      </c>
    </row>
    <row r="22" spans="1:18" x14ac:dyDescent="0.4">
      <c r="A22" s="19" t="s">
        <v>12</v>
      </c>
      <c r="B22" s="12">
        <v>88</v>
      </c>
      <c r="C22" s="6">
        <f>IF(B$20=0,0,B22/B$20)</f>
        <v>0.48618784530386738</v>
      </c>
      <c r="E22" s="27" t="s">
        <v>77</v>
      </c>
      <c r="F22" s="24" t="s">
        <v>32</v>
      </c>
      <c r="G22" s="12">
        <v>1</v>
      </c>
      <c r="H22" s="88">
        <f t="shared" si="0"/>
        <v>5.5248618784530384E-3</v>
      </c>
      <c r="I22" s="58" t="e">
        <v>#N/A</v>
      </c>
      <c r="K22" s="74">
        <v>20</v>
      </c>
      <c r="L22" s="119">
        <v>-31.300000000000008</v>
      </c>
      <c r="M22" s="117">
        <v>1589.7211861060775</v>
      </c>
      <c r="O22" s="74" t="s">
        <v>189</v>
      </c>
      <c r="P22" s="83">
        <f t="shared" si="3"/>
        <v>-6.1750000000000007</v>
      </c>
      <c r="Q22" s="77">
        <v>12</v>
      </c>
      <c r="R22" s="68">
        <v>-74.100000000000009</v>
      </c>
    </row>
    <row r="23" spans="1:18" x14ac:dyDescent="0.4">
      <c r="A23" s="19" t="s">
        <v>11</v>
      </c>
      <c r="B23" s="12">
        <v>93</v>
      </c>
      <c r="C23" s="6">
        <f>IF(B$20=0,0,B23/B$20)</f>
        <v>0.51381215469613262</v>
      </c>
      <c r="E23" s="27" t="s">
        <v>85</v>
      </c>
      <c r="F23" s="24" t="s">
        <v>40</v>
      </c>
      <c r="G23" s="12">
        <v>1</v>
      </c>
      <c r="H23" s="88">
        <f t="shared" si="0"/>
        <v>5.5248618784530384E-3</v>
      </c>
      <c r="I23" s="58" t="e">
        <v>#N/A</v>
      </c>
      <c r="K23" s="74">
        <v>21</v>
      </c>
      <c r="L23" s="119">
        <v>-7.1054273576010019E-15</v>
      </c>
      <c r="M23" s="117">
        <v>1595.4468589894411</v>
      </c>
      <c r="O23" s="74" t="s">
        <v>211</v>
      </c>
      <c r="P23" s="83">
        <f t="shared" si="3"/>
        <v>-7.5923076923076938</v>
      </c>
      <c r="Q23" s="77">
        <v>26</v>
      </c>
      <c r="R23" s="68">
        <v>-197.40000000000003</v>
      </c>
    </row>
    <row r="24" spans="1:18" x14ac:dyDescent="0.4">
      <c r="A24" s="19" t="s">
        <v>183</v>
      </c>
      <c r="B24" s="12">
        <v>77</v>
      </c>
      <c r="C24" s="6">
        <f>IF(B$20=0,0,B24/B$20)</f>
        <v>0.425414364640884</v>
      </c>
      <c r="E24" s="27" t="s">
        <v>92</v>
      </c>
      <c r="F24" s="24" t="s">
        <v>47</v>
      </c>
      <c r="G24" s="12">
        <v>1</v>
      </c>
      <c r="H24" s="88">
        <f t="shared" si="0"/>
        <v>5.5248618784530384E-3</v>
      </c>
      <c r="I24" s="58" t="e">
        <v>#N/A</v>
      </c>
      <c r="K24" s="74">
        <v>22</v>
      </c>
      <c r="L24" s="119">
        <v>-4.4000000000000075</v>
      </c>
      <c r="M24" s="117">
        <v>1594.0581778355045</v>
      </c>
      <c r="O24" s="74" t="s">
        <v>126</v>
      </c>
      <c r="P24" s="83">
        <f t="shared" si="3"/>
        <v>-15.741666666666662</v>
      </c>
      <c r="Q24" s="77">
        <v>36</v>
      </c>
      <c r="R24" s="68">
        <v>-566.69999999999982</v>
      </c>
    </row>
    <row r="25" spans="1:18" x14ac:dyDescent="0.4">
      <c r="A25" s="19" t="s">
        <v>181</v>
      </c>
      <c r="B25" s="12">
        <v>66</v>
      </c>
      <c r="C25" s="6">
        <f>IF(B$20=0,0,B25/B$20)</f>
        <v>0.36464088397790057</v>
      </c>
      <c r="E25" s="27" t="s">
        <v>74</v>
      </c>
      <c r="F25" s="24" t="s">
        <v>29</v>
      </c>
      <c r="G25" s="12">
        <v>0</v>
      </c>
      <c r="H25" s="88">
        <f t="shared" si="0"/>
        <v>0</v>
      </c>
      <c r="I25" s="58">
        <v>1</v>
      </c>
      <c r="K25" s="74">
        <v>23</v>
      </c>
      <c r="L25" s="119">
        <v>37.999999999999993</v>
      </c>
      <c r="M25" s="117">
        <v>1601.1018287684915</v>
      </c>
    </row>
    <row r="26" spans="1:18" x14ac:dyDescent="0.4">
      <c r="A26" s="19" t="s">
        <v>182</v>
      </c>
      <c r="B26" s="12">
        <v>38</v>
      </c>
      <c r="C26" s="6">
        <f>IF(B$20=0,0,B26/B$20)</f>
        <v>0.20994475138121546</v>
      </c>
      <c r="E26" s="27" t="s">
        <v>76</v>
      </c>
      <c r="F26" s="24" t="s">
        <v>31</v>
      </c>
      <c r="G26" s="12">
        <v>0</v>
      </c>
      <c r="H26" s="88">
        <f t="shared" si="0"/>
        <v>0</v>
      </c>
      <c r="I26" s="58">
        <v>1</v>
      </c>
      <c r="K26" s="74">
        <v>24</v>
      </c>
      <c r="L26" s="119">
        <v>-7.1054273576010019E-15</v>
      </c>
      <c r="M26" s="117">
        <v>1593.6312177958805</v>
      </c>
    </row>
    <row r="27" spans="1:18" x14ac:dyDescent="0.4">
      <c r="A27" s="19" t="s">
        <v>5</v>
      </c>
      <c r="B27" s="16">
        <f>IF(B$20=0,0,C27/B$20)</f>
        <v>8153.5911602209944</v>
      </c>
      <c r="C27" s="8">
        <v>1475800</v>
      </c>
      <c r="E27" s="27" t="s">
        <v>80</v>
      </c>
      <c r="F27" s="24" t="s">
        <v>35</v>
      </c>
      <c r="G27" s="12">
        <v>0</v>
      </c>
      <c r="H27" s="88">
        <f t="shared" si="0"/>
        <v>0</v>
      </c>
      <c r="I27" s="58">
        <v>1</v>
      </c>
      <c r="K27" s="74">
        <v>25</v>
      </c>
      <c r="L27" s="119">
        <v>-28.000000000000007</v>
      </c>
      <c r="M27" s="117">
        <v>1587.7054304891053</v>
      </c>
    </row>
    <row r="28" spans="1:18" x14ac:dyDescent="0.4">
      <c r="A28" s="20" t="s">
        <v>165</v>
      </c>
      <c r="B28" s="95">
        <f>IF($B$20-B$19=0,0,C28/($B$20-B$19))</f>
        <v>8845.217391304348</v>
      </c>
      <c r="C28" s="96">
        <v>1017200</v>
      </c>
      <c r="E28" s="27" t="s">
        <v>82</v>
      </c>
      <c r="F28" s="24" t="s">
        <v>37</v>
      </c>
      <c r="G28" s="12">
        <v>0</v>
      </c>
      <c r="H28" s="88">
        <f t="shared" si="0"/>
        <v>0</v>
      </c>
      <c r="I28" s="58">
        <v>1</v>
      </c>
      <c r="K28" s="74">
        <v>26</v>
      </c>
      <c r="L28" s="119">
        <v>-8.0000000000000071</v>
      </c>
      <c r="M28" s="117">
        <v>1590.4551979061707</v>
      </c>
    </row>
    <row r="29" spans="1:18" x14ac:dyDescent="0.4">
      <c r="A29" s="20" t="s">
        <v>166</v>
      </c>
      <c r="B29" s="95">
        <f>IF(B$19=0,0,C29/B$19)</f>
        <v>6948.484848484848</v>
      </c>
      <c r="C29" s="96">
        <v>458600</v>
      </c>
      <c r="E29" s="27" t="s">
        <v>84</v>
      </c>
      <c r="F29" s="24" t="s">
        <v>39</v>
      </c>
      <c r="G29" s="12">
        <v>0</v>
      </c>
      <c r="H29" s="88">
        <f t="shared" si="0"/>
        <v>0</v>
      </c>
      <c r="I29" s="58">
        <v>1</v>
      </c>
      <c r="K29" s="74">
        <v>27</v>
      </c>
      <c r="L29" s="119">
        <v>-7.1054273576010019E-15</v>
      </c>
      <c r="M29" s="117">
        <v>1591.0284667187336</v>
      </c>
    </row>
    <row r="30" spans="1:18" x14ac:dyDescent="0.4">
      <c r="A30" s="20" t="s">
        <v>164</v>
      </c>
      <c r="B30" s="95">
        <f>IF(B$21=0,0,C30/B$21)</f>
        <v>-7977.4193548387093</v>
      </c>
      <c r="C30" s="96">
        <v>-741900</v>
      </c>
      <c r="E30" s="27" t="s">
        <v>87</v>
      </c>
      <c r="F30" s="24" t="s">
        <v>42</v>
      </c>
      <c r="G30" s="12">
        <v>0</v>
      </c>
      <c r="H30" s="88">
        <f t="shared" si="0"/>
        <v>0</v>
      </c>
      <c r="I30" s="58">
        <v>1</v>
      </c>
      <c r="K30" s="74">
        <v>28</v>
      </c>
      <c r="L30" s="119">
        <v>36.899999999999991</v>
      </c>
      <c r="M30" s="117">
        <v>1597.5382959184212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88</v>
      </c>
      <c r="F31" s="24" t="s">
        <v>43</v>
      </c>
      <c r="G31" s="12">
        <v>0</v>
      </c>
      <c r="H31" s="88">
        <f t="shared" si="0"/>
        <v>0</v>
      </c>
      <c r="I31" s="58">
        <v>1</v>
      </c>
      <c r="K31" s="74">
        <v>29</v>
      </c>
      <c r="L31" s="119">
        <v>-3.1000000000000085</v>
      </c>
      <c r="M31" s="117">
        <v>1590.1670661429107</v>
      </c>
    </row>
    <row r="32" spans="1:18" x14ac:dyDescent="0.4">
      <c r="A32" s="19" t="s">
        <v>158</v>
      </c>
      <c r="B32" s="12">
        <v>21</v>
      </c>
      <c r="C32" s="90">
        <v>21</v>
      </c>
      <c r="E32" s="27" t="s">
        <v>90</v>
      </c>
      <c r="F32" s="24" t="s">
        <v>45</v>
      </c>
      <c r="G32" s="12">
        <v>0</v>
      </c>
      <c r="H32" s="88">
        <f t="shared" si="0"/>
        <v>0</v>
      </c>
      <c r="I32" s="58">
        <v>1</v>
      </c>
      <c r="K32" s="74">
        <v>30</v>
      </c>
      <c r="L32" s="119">
        <v>-8.4376949871511897E-15</v>
      </c>
      <c r="M32" s="117">
        <v>1590.5980637460532</v>
      </c>
    </row>
    <row r="33" spans="1:13" x14ac:dyDescent="0.4">
      <c r="A33" s="54" t="s">
        <v>136</v>
      </c>
      <c r="B33" s="127">
        <v>7</v>
      </c>
      <c r="C33" s="128"/>
      <c r="E33" s="27" t="s">
        <v>93</v>
      </c>
      <c r="F33" s="24" t="s">
        <v>48</v>
      </c>
      <c r="G33" s="12">
        <v>0</v>
      </c>
      <c r="H33" s="88">
        <f t="shared" si="0"/>
        <v>0</v>
      </c>
      <c r="I33" s="58">
        <v>1</v>
      </c>
      <c r="K33" s="74">
        <v>31</v>
      </c>
      <c r="L33" s="119">
        <v>49.599999999999994</v>
      </c>
      <c r="M33" s="117">
        <v>1599.3964753635769</v>
      </c>
    </row>
    <row r="34" spans="1:13" x14ac:dyDescent="0.4">
      <c r="A34" s="22" t="s">
        <v>180</v>
      </c>
      <c r="B34" s="129">
        <v>103000</v>
      </c>
      <c r="C34" s="130"/>
      <c r="E34" s="27" t="s">
        <v>94</v>
      </c>
      <c r="F34" s="24" t="s">
        <v>49</v>
      </c>
      <c r="G34" s="12">
        <v>0</v>
      </c>
      <c r="H34" s="88">
        <f t="shared" ref="H34:H52" si="4">IF(B$20=0,0,G34/B$20)</f>
        <v>0</v>
      </c>
      <c r="I34" s="58">
        <v>1</v>
      </c>
      <c r="K34" s="74">
        <v>32</v>
      </c>
      <c r="L34" s="119">
        <v>36.799999999999997</v>
      </c>
      <c r="M34" s="117">
        <v>1596.9100965113955</v>
      </c>
    </row>
    <row r="35" spans="1:13" x14ac:dyDescent="0.4">
      <c r="A35" s="21" t="s">
        <v>137</v>
      </c>
      <c r="B35" s="29">
        <v>3</v>
      </c>
      <c r="C35" s="9">
        <f>IF(B$3=0,0,B35/B$3)</f>
        <v>4.830917874396135E-3</v>
      </c>
      <c r="E35" s="27" t="s">
        <v>95</v>
      </c>
      <c r="F35" s="24" t="s">
        <v>50</v>
      </c>
      <c r="G35" s="12">
        <v>0</v>
      </c>
      <c r="H35" s="88">
        <f t="shared" si="4"/>
        <v>0</v>
      </c>
      <c r="I35" s="58">
        <v>1</v>
      </c>
      <c r="K35" s="74">
        <v>33</v>
      </c>
      <c r="L35" s="119">
        <v>0</v>
      </c>
      <c r="M35" s="117">
        <v>1590.1186359323272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 t="shared" si="4"/>
        <v>0</v>
      </c>
      <c r="I36" s="58">
        <v>1</v>
      </c>
      <c r="K36" s="74">
        <v>34</v>
      </c>
      <c r="L36" s="119">
        <v>33.6</v>
      </c>
      <c r="M36" s="117">
        <v>1595.8779241167331</v>
      </c>
    </row>
    <row r="37" spans="1:13" x14ac:dyDescent="0.4">
      <c r="A37" s="54" t="s">
        <v>171</v>
      </c>
      <c r="B37" s="123">
        <v>13</v>
      </c>
      <c r="C37" s="98">
        <f t="shared" ref="C37:C49" si="5">IF(B$20=0,0,B37/B$20)</f>
        <v>7.18232044198895E-2</v>
      </c>
      <c r="E37" s="27" t="s">
        <v>97</v>
      </c>
      <c r="F37" s="24" t="s">
        <v>52</v>
      </c>
      <c r="G37" s="12">
        <v>0</v>
      </c>
      <c r="H37" s="88">
        <f t="shared" si="4"/>
        <v>0</v>
      </c>
      <c r="I37" s="58">
        <v>1</v>
      </c>
      <c r="K37" s="74">
        <v>35</v>
      </c>
      <c r="L37" s="119">
        <v>-20.199999999999996</v>
      </c>
      <c r="M37" s="117">
        <v>1585.8706565720327</v>
      </c>
    </row>
    <row r="38" spans="1:13" x14ac:dyDescent="0.4">
      <c r="A38" s="19" t="s">
        <v>167</v>
      </c>
      <c r="B38" s="12">
        <v>38</v>
      </c>
      <c r="C38" s="6">
        <f t="shared" si="5"/>
        <v>0.20994475138121546</v>
      </c>
      <c r="E38" s="27" t="s">
        <v>98</v>
      </c>
      <c r="F38" s="24" t="s">
        <v>53</v>
      </c>
      <c r="G38" s="12">
        <v>0</v>
      </c>
      <c r="H38" s="88">
        <f t="shared" si="4"/>
        <v>0</v>
      </c>
      <c r="I38" s="58">
        <v>1</v>
      </c>
      <c r="K38" s="74">
        <v>36</v>
      </c>
      <c r="L38" s="119">
        <v>3.5527136788005009E-15</v>
      </c>
      <c r="M38" s="117">
        <v>1589.2434326326004</v>
      </c>
    </row>
    <row r="39" spans="1:13" x14ac:dyDescent="0.4">
      <c r="A39" s="19" t="s">
        <v>168</v>
      </c>
      <c r="B39" s="124">
        <v>33</v>
      </c>
      <c r="C39" s="6">
        <f t="shared" si="5"/>
        <v>0.18232044198895028</v>
      </c>
      <c r="E39" s="27" t="s">
        <v>99</v>
      </c>
      <c r="F39" s="24" t="s">
        <v>54</v>
      </c>
      <c r="G39" s="12">
        <v>0</v>
      </c>
      <c r="H39" s="88">
        <f t="shared" si="4"/>
        <v>0</v>
      </c>
      <c r="I39" s="58">
        <v>1</v>
      </c>
      <c r="K39" s="74">
        <v>37</v>
      </c>
      <c r="L39" s="119">
        <v>-34.399999999999991</v>
      </c>
      <c r="M39" s="117">
        <v>1582.7679720368048</v>
      </c>
    </row>
    <row r="40" spans="1:13" x14ac:dyDescent="0.4">
      <c r="A40" s="19" t="s">
        <v>169</v>
      </c>
      <c r="B40" s="124">
        <v>29</v>
      </c>
      <c r="C40" s="6">
        <f t="shared" si="5"/>
        <v>0.16022099447513813</v>
      </c>
      <c r="E40" s="27" t="s">
        <v>100</v>
      </c>
      <c r="F40" s="24" t="s">
        <v>55</v>
      </c>
      <c r="G40" s="12">
        <v>0</v>
      </c>
      <c r="H40" s="88">
        <f t="shared" si="4"/>
        <v>0</v>
      </c>
      <c r="I40" s="58">
        <v>1</v>
      </c>
      <c r="K40" s="74">
        <v>38</v>
      </c>
      <c r="L40" s="119">
        <v>-23.79999999999999</v>
      </c>
      <c r="M40" s="117">
        <v>1584.431364204584</v>
      </c>
    </row>
    <row r="41" spans="1:13" x14ac:dyDescent="0.4">
      <c r="A41" s="19" t="s">
        <v>170</v>
      </c>
      <c r="B41" s="124">
        <v>21</v>
      </c>
      <c r="C41" s="6">
        <f t="shared" si="5"/>
        <v>0.11602209944751381</v>
      </c>
      <c r="E41" s="27" t="s">
        <v>101</v>
      </c>
      <c r="F41" s="24" t="s">
        <v>56</v>
      </c>
      <c r="G41" s="12">
        <v>0</v>
      </c>
      <c r="H41" s="88">
        <f t="shared" si="4"/>
        <v>0</v>
      </c>
      <c r="I41" s="58">
        <v>1</v>
      </c>
      <c r="K41" s="74">
        <v>39</v>
      </c>
      <c r="L41" s="119">
        <v>1.0658141036401503E-14</v>
      </c>
      <c r="M41" s="117">
        <v>1588.4607760193564</v>
      </c>
    </row>
    <row r="42" spans="1:13" x14ac:dyDescent="0.4">
      <c r="A42" s="19" t="s">
        <v>172</v>
      </c>
      <c r="B42" s="124">
        <v>24</v>
      </c>
      <c r="C42" s="6">
        <f t="shared" si="5"/>
        <v>0.13259668508287292</v>
      </c>
      <c r="E42" s="27" t="s">
        <v>102</v>
      </c>
      <c r="F42" s="24" t="s">
        <v>57</v>
      </c>
      <c r="G42" s="12">
        <v>0</v>
      </c>
      <c r="H42" s="88">
        <f t="shared" si="4"/>
        <v>0</v>
      </c>
      <c r="I42" s="58">
        <v>1</v>
      </c>
      <c r="K42" s="74">
        <v>40</v>
      </c>
      <c r="L42" s="119">
        <v>-28.79999999999999</v>
      </c>
      <c r="M42" s="117">
        <v>1582.7880113632402</v>
      </c>
    </row>
    <row r="43" spans="1:13" x14ac:dyDescent="0.4">
      <c r="A43" s="19" t="s">
        <v>173</v>
      </c>
      <c r="B43" s="124">
        <v>12</v>
      </c>
      <c r="C43" s="6">
        <f t="shared" si="5"/>
        <v>6.6298342541436461E-2</v>
      </c>
      <c r="E43" s="27" t="s">
        <v>103</v>
      </c>
      <c r="F43" s="24" t="s">
        <v>58</v>
      </c>
      <c r="G43" s="12">
        <v>0</v>
      </c>
      <c r="H43" s="88">
        <f t="shared" si="4"/>
        <v>0</v>
      </c>
      <c r="I43" s="58">
        <v>1</v>
      </c>
      <c r="K43" s="74">
        <v>41</v>
      </c>
      <c r="L43" s="119">
        <v>-22.499999999999989</v>
      </c>
      <c r="M43" s="117">
        <v>1583.4672832950607</v>
      </c>
    </row>
    <row r="44" spans="1:13" x14ac:dyDescent="0.4">
      <c r="A44" s="19" t="s">
        <v>174</v>
      </c>
      <c r="B44" s="124">
        <v>5</v>
      </c>
      <c r="C44" s="6">
        <f t="shared" si="5"/>
        <v>2.7624309392265192E-2</v>
      </c>
      <c r="E44" s="27" t="s">
        <v>104</v>
      </c>
      <c r="F44" s="24" t="s">
        <v>59</v>
      </c>
      <c r="G44" s="12">
        <v>0</v>
      </c>
      <c r="H44" s="88">
        <f t="shared" si="4"/>
        <v>0</v>
      </c>
      <c r="I44" s="58">
        <v>1</v>
      </c>
      <c r="K44" s="74">
        <v>42</v>
      </c>
      <c r="L44" s="119">
        <v>1.0658141036401503E-14</v>
      </c>
      <c r="M44" s="117">
        <v>1587.0584795952905</v>
      </c>
    </row>
    <row r="45" spans="1:13" x14ac:dyDescent="0.4">
      <c r="A45" s="19" t="s">
        <v>175</v>
      </c>
      <c r="B45" s="124">
        <v>2</v>
      </c>
      <c r="C45" s="6">
        <f t="shared" si="5"/>
        <v>1.1049723756906077E-2</v>
      </c>
      <c r="E45" s="27" t="s">
        <v>105</v>
      </c>
      <c r="F45" s="24" t="s">
        <v>112</v>
      </c>
      <c r="G45" s="12">
        <v>0</v>
      </c>
      <c r="H45" s="88">
        <f t="shared" si="4"/>
        <v>0</v>
      </c>
      <c r="I45" s="58">
        <v>1</v>
      </c>
      <c r="K45" s="74">
        <v>43</v>
      </c>
      <c r="L45" s="119">
        <v>26.600000000000012</v>
      </c>
      <c r="M45" s="117">
        <v>1592.3501287177187</v>
      </c>
    </row>
    <row r="46" spans="1:13" x14ac:dyDescent="0.4">
      <c r="A46" s="19" t="s">
        <v>176</v>
      </c>
      <c r="B46" s="124">
        <v>2</v>
      </c>
      <c r="C46" s="6">
        <f t="shared" si="5"/>
        <v>1.1049723756906077E-2</v>
      </c>
      <c r="E46" s="27" t="s">
        <v>106</v>
      </c>
      <c r="F46" s="24" t="s">
        <v>113</v>
      </c>
      <c r="G46" s="12">
        <v>0</v>
      </c>
      <c r="H46" s="88">
        <f t="shared" si="4"/>
        <v>0</v>
      </c>
      <c r="I46" s="58">
        <v>1</v>
      </c>
      <c r="K46" s="74">
        <v>44</v>
      </c>
      <c r="L46" s="119">
        <v>-6.5999999999999908</v>
      </c>
      <c r="M46" s="117">
        <v>1586.8460279454123</v>
      </c>
    </row>
    <row r="47" spans="1:13" x14ac:dyDescent="0.4">
      <c r="A47" s="19" t="s">
        <v>177</v>
      </c>
      <c r="B47" s="124">
        <v>1</v>
      </c>
      <c r="C47" s="6">
        <f t="shared" si="5"/>
        <v>5.5248618784530384E-3</v>
      </c>
      <c r="E47" s="27" t="s">
        <v>107</v>
      </c>
      <c r="F47" s="24" t="s">
        <v>114</v>
      </c>
      <c r="G47" s="12">
        <v>0</v>
      </c>
      <c r="H47" s="88">
        <f t="shared" si="4"/>
        <v>0</v>
      </c>
      <c r="I47" s="58">
        <v>1</v>
      </c>
      <c r="K47" s="74">
        <v>45</v>
      </c>
      <c r="L47" s="119">
        <v>8.8817841970012523E-15</v>
      </c>
      <c r="M47" s="117">
        <v>1588.5389517777398</v>
      </c>
    </row>
    <row r="48" spans="1:13" x14ac:dyDescent="0.4">
      <c r="A48" s="19" t="s">
        <v>178</v>
      </c>
      <c r="B48" s="124">
        <v>0</v>
      </c>
      <c r="C48" s="6">
        <f t="shared" si="5"/>
        <v>0</v>
      </c>
      <c r="E48" s="27" t="s">
        <v>108</v>
      </c>
      <c r="F48" s="24" t="s">
        <v>60</v>
      </c>
      <c r="G48" s="12">
        <v>0</v>
      </c>
      <c r="H48" s="88">
        <f t="shared" si="4"/>
        <v>0</v>
      </c>
      <c r="I48" s="58">
        <v>1</v>
      </c>
      <c r="K48" s="74">
        <v>46</v>
      </c>
      <c r="L48" s="119">
        <v>-27.999999999999993</v>
      </c>
      <c r="M48" s="117">
        <v>1583.9937180670734</v>
      </c>
    </row>
    <row r="49" spans="1:13" x14ac:dyDescent="0.4">
      <c r="A49" s="21" t="s">
        <v>179</v>
      </c>
      <c r="B49" s="97">
        <v>1</v>
      </c>
      <c r="C49" s="9">
        <f t="shared" si="5"/>
        <v>5.5248618784530384E-3</v>
      </c>
      <c r="E49" s="27" t="s">
        <v>109</v>
      </c>
      <c r="F49" s="24" t="s">
        <v>61</v>
      </c>
      <c r="G49" s="12">
        <v>0</v>
      </c>
      <c r="H49" s="88">
        <f t="shared" si="4"/>
        <v>0</v>
      </c>
      <c r="I49" s="58">
        <v>1</v>
      </c>
      <c r="K49" s="74">
        <v>47</v>
      </c>
      <c r="L49" s="119">
        <v>50.000000000000007</v>
      </c>
      <c r="M49" s="117">
        <v>1598.555755758671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 t="shared" si="4"/>
        <v>0</v>
      </c>
      <c r="I50" s="58">
        <v>1</v>
      </c>
      <c r="K50" s="74">
        <v>48</v>
      </c>
      <c r="L50" s="119">
        <v>7.1054273576010019E-15</v>
      </c>
      <c r="M50" s="117">
        <v>1589.990421224119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 t="shared" si="4"/>
        <v>0</v>
      </c>
      <c r="I51" s="94">
        <v>1</v>
      </c>
      <c r="K51" s="74">
        <v>49</v>
      </c>
      <c r="L51" s="119">
        <v>-21.399999999999991</v>
      </c>
      <c r="M51" s="117">
        <v>1586.2644786967744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 t="shared" si="4"/>
        <v>0</v>
      </c>
      <c r="I52" s="59">
        <v>1</v>
      </c>
      <c r="K52" s="74">
        <v>50</v>
      </c>
      <c r="L52" s="119">
        <v>-26.599999999999991</v>
      </c>
      <c r="M52" s="117">
        <v>1585.4768918245938</v>
      </c>
    </row>
    <row r="53" spans="1:13" x14ac:dyDescent="0.4">
      <c r="K53" s="74">
        <v>51</v>
      </c>
      <c r="L53" s="119">
        <v>1.0658141036401503E-14</v>
      </c>
      <c r="M53" s="117">
        <v>1590.4180304736462</v>
      </c>
    </row>
    <row r="54" spans="1:13" x14ac:dyDescent="0.4">
      <c r="K54" s="74">
        <v>52</v>
      </c>
      <c r="L54" s="119">
        <v>-24.199999999999989</v>
      </c>
      <c r="M54" s="117">
        <v>1585.5015222908044</v>
      </c>
    </row>
    <row r="55" spans="1:13" x14ac:dyDescent="0.4">
      <c r="K55" s="74">
        <v>53</v>
      </c>
      <c r="L55" s="119">
        <v>-20.199999999999989</v>
      </c>
      <c r="M55" s="117">
        <v>1585.6905131570595</v>
      </c>
    </row>
    <row r="56" spans="1:13" x14ac:dyDescent="0.4">
      <c r="K56" s="74">
        <v>54</v>
      </c>
      <c r="L56" s="119">
        <v>1.0658141036401503E-14</v>
      </c>
      <c r="M56" s="117">
        <v>1588.7943700781173</v>
      </c>
    </row>
    <row r="57" spans="1:13" x14ac:dyDescent="0.4">
      <c r="K57" s="74">
        <v>55</v>
      </c>
      <c r="L57" s="119">
        <v>-17.499999999999989</v>
      </c>
      <c r="M57" s="117">
        <v>1584.9436038576484</v>
      </c>
    </row>
    <row r="58" spans="1:13" x14ac:dyDescent="0.4">
      <c r="K58" s="74">
        <v>56</v>
      </c>
      <c r="L58" s="119">
        <v>0.50000000000001066</v>
      </c>
      <c r="M58" s="117">
        <v>1587.5059422345025</v>
      </c>
    </row>
    <row r="59" spans="1:13" x14ac:dyDescent="0.4">
      <c r="K59" s="74">
        <v>57</v>
      </c>
      <c r="L59" s="119">
        <v>1.0658141036401503E-14</v>
      </c>
      <c r="M59" s="117">
        <v>1586.7229065810955</v>
      </c>
    </row>
    <row r="60" spans="1:13" x14ac:dyDescent="0.4">
      <c r="K60" s="74">
        <v>58</v>
      </c>
      <c r="L60" s="119">
        <v>16.600000000000012</v>
      </c>
      <c r="M60" s="117">
        <v>1589.7965691416089</v>
      </c>
    </row>
    <row r="61" spans="1:13" x14ac:dyDescent="0.4">
      <c r="K61" s="74">
        <v>59</v>
      </c>
      <c r="L61" s="119">
        <v>13.600000000000012</v>
      </c>
      <c r="M61" s="117">
        <v>1589.3237897267593</v>
      </c>
    </row>
    <row r="62" spans="1:13" x14ac:dyDescent="0.4">
      <c r="K62" s="74">
        <v>60</v>
      </c>
      <c r="L62" s="119">
        <v>1.2434497875801753E-14</v>
      </c>
      <c r="M62" s="117">
        <v>1586.9458469883987</v>
      </c>
    </row>
    <row r="63" spans="1:13" x14ac:dyDescent="0.4">
      <c r="K63" s="74">
        <v>61</v>
      </c>
      <c r="L63" s="119">
        <v>-13.999999999999988</v>
      </c>
      <c r="M63" s="117">
        <v>1584.6241719064683</v>
      </c>
    </row>
    <row r="64" spans="1:13" x14ac:dyDescent="0.4">
      <c r="K64" s="74">
        <v>62</v>
      </c>
      <c r="L64" s="119">
        <v>-39.699999999999989</v>
      </c>
      <c r="M64" s="117">
        <v>1580.2104268750295</v>
      </c>
    </row>
    <row r="65" spans="11:13" x14ac:dyDescent="0.4">
      <c r="K65" s="74">
        <v>63</v>
      </c>
      <c r="L65" s="119">
        <v>1.4210854715202004E-14</v>
      </c>
      <c r="M65" s="117">
        <v>1587.5951643137794</v>
      </c>
    </row>
    <row r="66" spans="11:13" x14ac:dyDescent="0.4">
      <c r="K66" s="74">
        <v>64</v>
      </c>
      <c r="L66" s="119">
        <v>-19.799999999999986</v>
      </c>
      <c r="M66" s="117">
        <v>1584.2255933278966</v>
      </c>
    </row>
    <row r="67" spans="11:13" x14ac:dyDescent="0.4">
      <c r="K67" s="74">
        <v>65</v>
      </c>
      <c r="L67" s="119">
        <v>-50.899999999999991</v>
      </c>
      <c r="M67" s="117">
        <v>1578.8422397679292</v>
      </c>
    </row>
    <row r="68" spans="11:13" x14ac:dyDescent="0.4">
      <c r="K68" s="74">
        <v>66</v>
      </c>
      <c r="L68" s="119">
        <v>7.1054273576010019E-15</v>
      </c>
      <c r="M68" s="117">
        <v>1588.2511863293216</v>
      </c>
    </row>
    <row r="69" spans="11:13" x14ac:dyDescent="0.4">
      <c r="K69" s="74">
        <v>67</v>
      </c>
      <c r="L69" s="119">
        <v>-26.699999999999992</v>
      </c>
      <c r="M69" s="117">
        <v>1583.6356792113456</v>
      </c>
    </row>
    <row r="70" spans="11:13" x14ac:dyDescent="0.4">
      <c r="K70" s="74">
        <v>68</v>
      </c>
      <c r="L70" s="119">
        <v>7.0000000000000107</v>
      </c>
      <c r="M70" s="117">
        <v>1589.9198651360775</v>
      </c>
    </row>
    <row r="71" spans="11:13" x14ac:dyDescent="0.4">
      <c r="K71" s="74">
        <v>69</v>
      </c>
      <c r="L71" s="119">
        <v>1.0658141036401503E-14</v>
      </c>
      <c r="M71" s="117">
        <v>1588.8403459452611</v>
      </c>
    </row>
    <row r="72" spans="11:13" x14ac:dyDescent="0.4">
      <c r="K72" s="74">
        <v>70</v>
      </c>
      <c r="L72" s="119">
        <v>-24.399999999999988</v>
      </c>
      <c r="M72" s="117">
        <v>1584.4493038695896</v>
      </c>
    </row>
    <row r="73" spans="11:13" x14ac:dyDescent="0.4">
      <c r="K73" s="74">
        <v>71</v>
      </c>
      <c r="L73" s="119">
        <v>-24.299999999999986</v>
      </c>
      <c r="M73" s="117">
        <v>1584.4946080463722</v>
      </c>
    </row>
    <row r="74" spans="11:13" x14ac:dyDescent="0.4">
      <c r="K74" s="74">
        <v>72</v>
      </c>
      <c r="L74" s="119">
        <v>1.4210854715202004E-14</v>
      </c>
      <c r="M74" s="117">
        <v>1588.895640398094</v>
      </c>
    </row>
    <row r="75" spans="11:13" x14ac:dyDescent="0.4">
      <c r="K75" s="74">
        <v>73</v>
      </c>
      <c r="L75" s="119">
        <v>8.2000000000000135</v>
      </c>
      <c r="M75" s="117">
        <v>1590.3722665557054</v>
      </c>
    </row>
    <row r="76" spans="11:13" x14ac:dyDescent="0.4">
      <c r="K76" s="74">
        <v>74</v>
      </c>
      <c r="L76" s="119">
        <v>32.800000000000011</v>
      </c>
      <c r="M76" s="117">
        <v>1594.7920329563713</v>
      </c>
    </row>
    <row r="77" spans="11:13" x14ac:dyDescent="0.4">
      <c r="K77" s="74">
        <v>75</v>
      </c>
      <c r="L77" s="119">
        <v>1.4210854715202004E-14</v>
      </c>
      <c r="M77" s="117">
        <v>1588.853280758633</v>
      </c>
    </row>
  </sheetData>
  <sortState xmlns:xlrd2="http://schemas.microsoft.com/office/spreadsheetml/2017/richdata2" ref="O15:R24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C9911-026B-48C3-BF7A-E41849B13405}">
  <sheetPr codeName="Sheet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126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18</v>
      </c>
      <c r="C2" s="134"/>
      <c r="E2" s="26" t="s">
        <v>72</v>
      </c>
      <c r="F2" s="23" t="s">
        <v>27</v>
      </c>
      <c r="G2" s="11">
        <v>42</v>
      </c>
      <c r="H2" s="87">
        <f t="shared" ref="H2:H33" si="0">IF(B$20=0,0,G2/B$20)</f>
        <v>0.82352941176470584</v>
      </c>
      <c r="I2" s="57">
        <v>2</v>
      </c>
      <c r="K2" s="73">
        <v>0</v>
      </c>
      <c r="L2" s="118">
        <v>0</v>
      </c>
      <c r="M2" s="116">
        <v>1842.3339395535957</v>
      </c>
      <c r="O2" s="73" t="s">
        <v>128</v>
      </c>
      <c r="P2" s="79">
        <f t="shared" ref="P2:P7" si="1">IF(Q2=0,0,R2/Q2)</f>
        <v>2283.3333333333335</v>
      </c>
      <c r="Q2" s="76">
        <v>18</v>
      </c>
      <c r="R2" s="63">
        <v>41100</v>
      </c>
    </row>
    <row r="3" spans="1:18" x14ac:dyDescent="0.4">
      <c r="A3" s="19" t="s">
        <v>8</v>
      </c>
      <c r="B3" s="135">
        <v>149</v>
      </c>
      <c r="C3" s="136"/>
      <c r="E3" s="27" t="s">
        <v>66</v>
      </c>
      <c r="F3" s="24" t="s">
        <v>22</v>
      </c>
      <c r="G3" s="12">
        <v>37</v>
      </c>
      <c r="H3" s="88">
        <f t="shared" si="0"/>
        <v>0.72549019607843135</v>
      </c>
      <c r="I3" s="58">
        <v>2</v>
      </c>
      <c r="K3" s="74">
        <v>1</v>
      </c>
      <c r="L3" s="119">
        <v>20.9</v>
      </c>
      <c r="M3" s="117">
        <v>1844.041935916274</v>
      </c>
      <c r="O3" s="74" t="s">
        <v>129</v>
      </c>
      <c r="P3" s="80">
        <f t="shared" si="1"/>
        <v>-717.64705882352939</v>
      </c>
      <c r="Q3" s="77">
        <v>17</v>
      </c>
      <c r="R3" s="64">
        <v>-12200</v>
      </c>
    </row>
    <row r="4" spans="1:18" x14ac:dyDescent="0.4">
      <c r="A4" s="19" t="s">
        <v>6</v>
      </c>
      <c r="B4" s="137">
        <v>188.9</v>
      </c>
      <c r="C4" s="138"/>
      <c r="E4" s="27" t="s">
        <v>159</v>
      </c>
      <c r="F4" s="24" t="s">
        <v>160</v>
      </c>
      <c r="G4" s="12">
        <v>20</v>
      </c>
      <c r="H4" s="88">
        <f t="shared" si="0"/>
        <v>0.39215686274509803</v>
      </c>
      <c r="I4" s="58">
        <v>5</v>
      </c>
      <c r="K4" s="74">
        <v>2</v>
      </c>
      <c r="L4" s="119">
        <v>62.5</v>
      </c>
      <c r="M4" s="117">
        <v>1850.3176843007764</v>
      </c>
      <c r="O4" s="74" t="s">
        <v>130</v>
      </c>
      <c r="P4" s="80">
        <f t="shared" si="1"/>
        <v>1088.2352941176471</v>
      </c>
      <c r="Q4" s="77">
        <v>17</v>
      </c>
      <c r="R4" s="64">
        <v>18500</v>
      </c>
    </row>
    <row r="5" spans="1:18" x14ac:dyDescent="0.4">
      <c r="A5" s="19" t="s">
        <v>7</v>
      </c>
      <c r="B5" s="125">
        <f>IF(B$2=0,0,B$4/B$2)</f>
        <v>10.494444444444445</v>
      </c>
      <c r="C5" s="126"/>
      <c r="E5" s="27" t="s">
        <v>64</v>
      </c>
      <c r="F5" s="24" t="s">
        <v>20</v>
      </c>
      <c r="G5" s="12">
        <v>18</v>
      </c>
      <c r="H5" s="88">
        <f t="shared" si="0"/>
        <v>0.35294117647058826</v>
      </c>
      <c r="I5" s="58">
        <v>5</v>
      </c>
      <c r="K5" s="74">
        <v>3</v>
      </c>
      <c r="L5" s="119">
        <v>40.5</v>
      </c>
      <c r="M5" s="117">
        <v>1844.9577781949718</v>
      </c>
      <c r="O5" s="74" t="s">
        <v>131</v>
      </c>
      <c r="P5" s="80">
        <f t="shared" si="1"/>
        <v>1081.25</v>
      </c>
      <c r="Q5" s="77">
        <v>16</v>
      </c>
      <c r="R5" s="64">
        <v>17300</v>
      </c>
    </row>
    <row r="6" spans="1:18" x14ac:dyDescent="0.4">
      <c r="A6" s="19" t="s">
        <v>196</v>
      </c>
      <c r="B6" s="129">
        <v>1849.7792249072668</v>
      </c>
      <c r="C6" s="130"/>
      <c r="E6" s="27" t="s">
        <v>68</v>
      </c>
      <c r="F6" s="24" t="s">
        <v>12</v>
      </c>
      <c r="G6" s="12">
        <v>16</v>
      </c>
      <c r="H6" s="88">
        <f t="shared" si="0"/>
        <v>0.31372549019607843</v>
      </c>
      <c r="I6" s="58">
        <v>3</v>
      </c>
      <c r="K6" s="74">
        <v>4</v>
      </c>
      <c r="L6" s="119">
        <v>74.5</v>
      </c>
      <c r="M6" s="117">
        <v>1849.7340315258018</v>
      </c>
      <c r="O6" s="74" t="s">
        <v>132</v>
      </c>
      <c r="P6" s="80">
        <f t="shared" si="1"/>
        <v>-473.33333333333331</v>
      </c>
      <c r="Q6" s="77">
        <v>15</v>
      </c>
      <c r="R6" s="64">
        <v>-7100</v>
      </c>
    </row>
    <row r="7" spans="1:18" x14ac:dyDescent="0.4">
      <c r="A7" s="19" t="s">
        <v>1</v>
      </c>
      <c r="B7" s="139">
        <f>IF(B$2=0,0,(B$8*1+B$9*2+B$10*3)/B$2)</f>
        <v>1.7222222222222223</v>
      </c>
      <c r="C7" s="140"/>
      <c r="E7" s="27" t="s">
        <v>89</v>
      </c>
      <c r="F7" s="24" t="s">
        <v>44</v>
      </c>
      <c r="G7" s="12">
        <v>10</v>
      </c>
      <c r="H7" s="88">
        <f t="shared" si="0"/>
        <v>0.19607843137254902</v>
      </c>
      <c r="I7" s="58">
        <v>3</v>
      </c>
      <c r="K7" s="74">
        <v>5</v>
      </c>
      <c r="L7" s="119">
        <v>123.5</v>
      </c>
      <c r="M7" s="117">
        <v>1857.1816273366469</v>
      </c>
      <c r="O7" s="75" t="s">
        <v>133</v>
      </c>
      <c r="P7" s="81">
        <f t="shared" si="1"/>
        <v>-1971.4285714285713</v>
      </c>
      <c r="Q7" s="78">
        <v>14</v>
      </c>
      <c r="R7" s="65">
        <v>-27600</v>
      </c>
    </row>
    <row r="8" spans="1:18" x14ac:dyDescent="0.4">
      <c r="A8" s="19" t="s">
        <v>2</v>
      </c>
      <c r="B8" s="12">
        <v>8</v>
      </c>
      <c r="C8" s="6">
        <f t="shared" ref="C8:C15" si="2">IF(B$2=0,0,B8/B$2)</f>
        <v>0.44444444444444442</v>
      </c>
      <c r="E8" s="27" t="s">
        <v>67</v>
      </c>
      <c r="F8" s="24" t="s">
        <v>23</v>
      </c>
      <c r="G8" s="12">
        <v>8</v>
      </c>
      <c r="H8" s="88">
        <f t="shared" si="0"/>
        <v>0.15686274509803921</v>
      </c>
      <c r="I8" s="58">
        <v>6</v>
      </c>
      <c r="K8" s="74">
        <v>6</v>
      </c>
      <c r="L8" s="119">
        <v>111.9</v>
      </c>
      <c r="M8" s="117">
        <v>1853.544537572627</v>
      </c>
      <c r="O8" s="107"/>
      <c r="P8" s="85"/>
      <c r="Q8" s="108"/>
      <c r="R8" s="70"/>
    </row>
    <row r="9" spans="1:18" x14ac:dyDescent="0.4">
      <c r="A9" s="19" t="s">
        <v>3</v>
      </c>
      <c r="B9" s="12">
        <v>7</v>
      </c>
      <c r="C9" s="6">
        <f t="shared" si="2"/>
        <v>0.3888888888888889</v>
      </c>
      <c r="E9" s="27" t="s">
        <v>69</v>
      </c>
      <c r="F9" s="24" t="s">
        <v>24</v>
      </c>
      <c r="G9" s="12">
        <v>8</v>
      </c>
      <c r="H9" s="88">
        <f t="shared" si="0"/>
        <v>0.15686274509803921</v>
      </c>
      <c r="I9" s="58">
        <v>2</v>
      </c>
      <c r="K9" s="74">
        <v>7</v>
      </c>
      <c r="L9" s="119">
        <v>103.7</v>
      </c>
      <c r="M9" s="117">
        <v>1850.5772703471912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3</v>
      </c>
      <c r="C10" s="7">
        <f t="shared" si="2"/>
        <v>0.16666666666666666</v>
      </c>
      <c r="E10" s="27" t="s">
        <v>70</v>
      </c>
      <c r="F10" s="24" t="s">
        <v>25</v>
      </c>
      <c r="G10" s="12">
        <v>6</v>
      </c>
      <c r="H10" s="88">
        <f t="shared" si="0"/>
        <v>0.11764705882352941</v>
      </c>
      <c r="I10" s="58">
        <v>2</v>
      </c>
      <c r="K10" s="74">
        <v>8</v>
      </c>
      <c r="L10" s="119">
        <v>140.6</v>
      </c>
      <c r="M10" s="117">
        <v>1855.5298067251081</v>
      </c>
      <c r="O10" s="73" t="s">
        <v>151</v>
      </c>
      <c r="P10" s="82">
        <f>IF(Q10=0,0,R10/Q10)</f>
        <v>9.0833333333333339</v>
      </c>
      <c r="Q10" s="76">
        <v>6</v>
      </c>
      <c r="R10" s="67">
        <v>54.5</v>
      </c>
    </row>
    <row r="11" spans="1:18" x14ac:dyDescent="0.4">
      <c r="A11" s="20" t="s">
        <v>184</v>
      </c>
      <c r="B11" s="109">
        <f>IF(B8=0,0,C11/B8)</f>
        <v>38.950000000000003</v>
      </c>
      <c r="C11" s="110">
        <v>311.60000000000002</v>
      </c>
      <c r="E11" s="27" t="s">
        <v>83</v>
      </c>
      <c r="F11" s="24" t="s">
        <v>38</v>
      </c>
      <c r="G11" s="12">
        <v>5</v>
      </c>
      <c r="H11" s="88">
        <f t="shared" si="0"/>
        <v>9.8039215686274508E-2</v>
      </c>
      <c r="I11" s="58">
        <v>2</v>
      </c>
      <c r="K11" s="74">
        <v>9</v>
      </c>
      <c r="L11" s="119">
        <v>127.8</v>
      </c>
      <c r="M11" s="117">
        <v>1851.5066278847573</v>
      </c>
      <c r="O11" s="74" t="s">
        <v>152</v>
      </c>
      <c r="P11" s="83">
        <f>IF(Q11=0,0,R11/Q11)</f>
        <v>6.8</v>
      </c>
      <c r="Q11" s="77">
        <v>7</v>
      </c>
      <c r="R11" s="68">
        <v>47.6</v>
      </c>
    </row>
    <row r="12" spans="1:18" x14ac:dyDescent="0.4">
      <c r="A12" s="20" t="s">
        <v>185</v>
      </c>
      <c r="B12" s="109">
        <f>IF(B9=0,0,C12/B9)</f>
        <v>-7.6142857142857139</v>
      </c>
      <c r="C12" s="110">
        <v>-53.3</v>
      </c>
      <c r="E12" s="27" t="s">
        <v>65</v>
      </c>
      <c r="F12" s="24" t="s">
        <v>21</v>
      </c>
      <c r="G12" s="12">
        <v>3</v>
      </c>
      <c r="H12" s="88">
        <f t="shared" si="0"/>
        <v>5.8823529411764705E-2</v>
      </c>
      <c r="I12" s="58">
        <v>3</v>
      </c>
      <c r="K12" s="74">
        <v>10</v>
      </c>
      <c r="L12" s="119">
        <v>134.4</v>
      </c>
      <c r="M12" s="117">
        <v>1851.6115881174487</v>
      </c>
      <c r="O12" s="75" t="s">
        <v>153</v>
      </c>
      <c r="P12" s="84">
        <f>IF(Q12=0,0,R12/Q12)</f>
        <v>17.360000000000003</v>
      </c>
      <c r="Q12" s="78">
        <v>5</v>
      </c>
      <c r="R12" s="69">
        <v>86.800000000000011</v>
      </c>
    </row>
    <row r="13" spans="1:18" x14ac:dyDescent="0.4">
      <c r="A13" s="20" t="s">
        <v>186</v>
      </c>
      <c r="B13" s="109">
        <f>IF(B10=0,0,C13/B10)</f>
        <v>-23.133333333333336</v>
      </c>
      <c r="C13" s="110">
        <v>-69.400000000000006</v>
      </c>
      <c r="E13" s="27" t="s">
        <v>81</v>
      </c>
      <c r="F13" s="24" t="s">
        <v>36</v>
      </c>
      <c r="G13" s="12">
        <v>3</v>
      </c>
      <c r="H13" s="88">
        <f t="shared" si="0"/>
        <v>5.8823529411764705E-2</v>
      </c>
      <c r="I13" s="58">
        <v>3</v>
      </c>
      <c r="K13" s="74">
        <v>11</v>
      </c>
      <c r="L13" s="119">
        <v>212.4</v>
      </c>
      <c r="M13" s="117">
        <v>1864.5679185887441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2.7341269841269842</v>
      </c>
      <c r="C14" s="126"/>
      <c r="E14" s="27" t="s">
        <v>71</v>
      </c>
      <c r="F14" s="24" t="s">
        <v>26</v>
      </c>
      <c r="G14" s="12">
        <v>2</v>
      </c>
      <c r="H14" s="88">
        <f t="shared" si="0"/>
        <v>3.9215686274509803E-2</v>
      </c>
      <c r="I14" s="58">
        <v>6</v>
      </c>
      <c r="K14" s="74">
        <v>12</v>
      </c>
      <c r="L14" s="119">
        <v>239</v>
      </c>
      <c r="M14" s="117">
        <v>1867.8345110772116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2"/>
        <v>0</v>
      </c>
      <c r="E15" s="27" t="s">
        <v>86</v>
      </c>
      <c r="F15" s="24" t="s">
        <v>41</v>
      </c>
      <c r="G15" s="12">
        <v>2</v>
      </c>
      <c r="H15" s="88">
        <f t="shared" si="0"/>
        <v>3.9215686274509803E-2</v>
      </c>
      <c r="I15" s="58">
        <v>4</v>
      </c>
      <c r="K15" s="74">
        <v>13</v>
      </c>
      <c r="L15" s="119">
        <v>236</v>
      </c>
      <c r="M15" s="117">
        <v>1865.6935040107483</v>
      </c>
      <c r="O15" s="73" t="s">
        <v>163</v>
      </c>
      <c r="P15" s="82">
        <f t="shared" ref="P15:P22" si="3">IF(Q15=0,0,R15/Q15)</f>
        <v>82.3</v>
      </c>
      <c r="Q15" s="76">
        <v>4</v>
      </c>
      <c r="R15" s="67">
        <v>329.2</v>
      </c>
    </row>
    <row r="16" spans="1:18" x14ac:dyDescent="0.4">
      <c r="A16" s="22" t="s">
        <v>121</v>
      </c>
      <c r="B16" s="15">
        <v>40</v>
      </c>
      <c r="C16" s="10">
        <f>IF(B$3=0,0,B16/B$3)</f>
        <v>0.26845637583892618</v>
      </c>
      <c r="E16" s="27" t="s">
        <v>155</v>
      </c>
      <c r="F16" s="24" t="s">
        <v>156</v>
      </c>
      <c r="G16" s="12">
        <v>2</v>
      </c>
      <c r="H16" s="88">
        <f t="shared" si="0"/>
        <v>3.9215686274509803E-2</v>
      </c>
      <c r="I16" s="58">
        <v>1</v>
      </c>
      <c r="K16" s="74">
        <v>14</v>
      </c>
      <c r="L16" s="119">
        <v>222</v>
      </c>
      <c r="M16" s="117">
        <v>1861.6993429866839</v>
      </c>
      <c r="O16" s="74" t="s">
        <v>190</v>
      </c>
      <c r="P16" s="83">
        <f t="shared" si="3"/>
        <v>33.800000000000004</v>
      </c>
      <c r="Q16" s="77">
        <v>3</v>
      </c>
      <c r="R16" s="68">
        <v>101.4</v>
      </c>
    </row>
    <row r="17" spans="1:18" x14ac:dyDescent="0.4">
      <c r="A17" s="19" t="s">
        <v>118</v>
      </c>
      <c r="B17" s="12">
        <v>35</v>
      </c>
      <c r="C17" s="6">
        <f>IF(B$3=0,0,B17/B$3)</f>
        <v>0.2348993288590604</v>
      </c>
      <c r="E17" s="27" t="s">
        <v>78</v>
      </c>
      <c r="F17" s="24" t="s">
        <v>33</v>
      </c>
      <c r="G17" s="12">
        <v>1</v>
      </c>
      <c r="H17" s="88">
        <f t="shared" si="0"/>
        <v>1.9607843137254902E-2</v>
      </c>
      <c r="I17" s="58">
        <v>4</v>
      </c>
      <c r="K17" s="74">
        <v>15</v>
      </c>
      <c r="L17" s="119">
        <v>190.9</v>
      </c>
      <c r="M17" s="117">
        <v>1854.6511469287639</v>
      </c>
      <c r="O17" s="74" t="s">
        <v>193</v>
      </c>
      <c r="P17" s="83">
        <f t="shared" si="3"/>
        <v>28.9</v>
      </c>
      <c r="Q17" s="77">
        <v>2</v>
      </c>
      <c r="R17" s="68">
        <v>57.8</v>
      </c>
    </row>
    <row r="18" spans="1:18" x14ac:dyDescent="0.4">
      <c r="A18" s="18" t="s">
        <v>123</v>
      </c>
      <c r="B18" s="11">
        <f>B24</f>
        <v>20</v>
      </c>
      <c r="C18" s="5">
        <f>IF(B$16=0,0,B18/B$16)</f>
        <v>0.5</v>
      </c>
      <c r="E18" s="27" t="s">
        <v>79</v>
      </c>
      <c r="F18" s="24" t="s">
        <v>34</v>
      </c>
      <c r="G18" s="12">
        <v>1</v>
      </c>
      <c r="H18" s="88">
        <f t="shared" si="0"/>
        <v>1.9607843137254902E-2</v>
      </c>
      <c r="I18" s="58">
        <v>2</v>
      </c>
      <c r="K18" s="74">
        <v>16</v>
      </c>
      <c r="L18" s="119">
        <v>164.20000000000002</v>
      </c>
      <c r="M18" s="117">
        <v>1848.4372400471914</v>
      </c>
      <c r="O18" s="74" t="s">
        <v>195</v>
      </c>
      <c r="P18" s="83">
        <f t="shared" si="3"/>
        <v>16.600000000000001</v>
      </c>
      <c r="Q18" s="77">
        <v>2</v>
      </c>
      <c r="R18" s="68">
        <v>33.200000000000003</v>
      </c>
    </row>
    <row r="19" spans="1:18" x14ac:dyDescent="0.4">
      <c r="A19" s="18" t="s">
        <v>124</v>
      </c>
      <c r="B19" s="11">
        <f>B25</f>
        <v>19</v>
      </c>
      <c r="C19" s="5">
        <f>IF(B$17=0,0,B19/B$17)</f>
        <v>0.54285714285714282</v>
      </c>
      <c r="E19" s="27" t="s">
        <v>92</v>
      </c>
      <c r="F19" s="24" t="s">
        <v>47</v>
      </c>
      <c r="G19" s="12">
        <v>1</v>
      </c>
      <c r="H19" s="88">
        <f t="shared" si="0"/>
        <v>1.9607843137254902E-2</v>
      </c>
      <c r="I19" s="58">
        <v>1</v>
      </c>
      <c r="K19" s="74">
        <v>17</v>
      </c>
      <c r="L19" s="119">
        <v>164.3</v>
      </c>
      <c r="M19" s="117">
        <v>1846.8986166069083</v>
      </c>
      <c r="O19" s="74" t="s">
        <v>192</v>
      </c>
      <c r="P19" s="83">
        <f t="shared" si="3"/>
        <v>16.028571428571425</v>
      </c>
      <c r="Q19" s="77">
        <v>7</v>
      </c>
      <c r="R19" s="68">
        <v>112.19999999999997</v>
      </c>
    </row>
    <row r="20" spans="1:18" x14ac:dyDescent="0.4">
      <c r="A20" s="18" t="s">
        <v>10</v>
      </c>
      <c r="B20" s="11">
        <f>B23+B22</f>
        <v>51</v>
      </c>
      <c r="C20" s="5">
        <f>IF(B$3=0,0,B20/B$3)</f>
        <v>0.34228187919463088</v>
      </c>
      <c r="E20" s="27" t="s">
        <v>73</v>
      </c>
      <c r="F20" s="24" t="s">
        <v>28</v>
      </c>
      <c r="G20" s="12">
        <v>0</v>
      </c>
      <c r="H20" s="88">
        <f t="shared" si="0"/>
        <v>0</v>
      </c>
      <c r="I20" s="58">
        <v>3</v>
      </c>
      <c r="K20" s="74">
        <v>18</v>
      </c>
      <c r="L20" s="119">
        <v>188.9</v>
      </c>
      <c r="M20" s="117">
        <v>1849.7792249072668</v>
      </c>
      <c r="O20" s="74" t="s">
        <v>189</v>
      </c>
      <c r="P20" s="83">
        <f t="shared" si="3"/>
        <v>6.9333333333333336</v>
      </c>
      <c r="Q20" s="77">
        <v>6</v>
      </c>
      <c r="R20" s="68">
        <v>41.6</v>
      </c>
    </row>
    <row r="21" spans="1:18" x14ac:dyDescent="0.4">
      <c r="A21" s="19" t="s">
        <v>13</v>
      </c>
      <c r="B21" s="12">
        <v>20</v>
      </c>
      <c r="C21" s="6">
        <f>IF(B$3=0,0,B21/B$3)</f>
        <v>0.13422818791946309</v>
      </c>
      <c r="E21" s="27" t="s">
        <v>74</v>
      </c>
      <c r="F21" s="24" t="s">
        <v>29</v>
      </c>
      <c r="G21" s="12">
        <v>0</v>
      </c>
      <c r="H21" s="88">
        <f t="shared" si="0"/>
        <v>0</v>
      </c>
      <c r="I21" s="58">
        <v>1</v>
      </c>
      <c r="O21" s="74" t="s">
        <v>211</v>
      </c>
      <c r="P21" s="83">
        <f t="shared" si="3"/>
        <v>-5.4999999999999982</v>
      </c>
      <c r="Q21" s="77">
        <v>7</v>
      </c>
      <c r="R21" s="68">
        <v>-38.499999999999986</v>
      </c>
    </row>
    <row r="22" spans="1:18" x14ac:dyDescent="0.4">
      <c r="A22" s="19" t="s">
        <v>12</v>
      </c>
      <c r="B22" s="12">
        <v>27</v>
      </c>
      <c r="C22" s="6">
        <f>IF(B$20=0,0,B22/B$20)</f>
        <v>0.52941176470588236</v>
      </c>
      <c r="E22" s="27" t="s">
        <v>75</v>
      </c>
      <c r="F22" s="24" t="s">
        <v>30</v>
      </c>
      <c r="G22" s="12">
        <v>0</v>
      </c>
      <c r="H22" s="88">
        <f t="shared" si="0"/>
        <v>0</v>
      </c>
      <c r="I22" s="58">
        <v>2</v>
      </c>
      <c r="O22" s="74" t="s">
        <v>216</v>
      </c>
      <c r="P22" s="83">
        <f t="shared" si="3"/>
        <v>-14.040000000000001</v>
      </c>
      <c r="Q22" s="77">
        <v>5</v>
      </c>
      <c r="R22" s="68">
        <v>-70.2</v>
      </c>
    </row>
    <row r="23" spans="1:18" x14ac:dyDescent="0.4">
      <c r="A23" s="19" t="s">
        <v>11</v>
      </c>
      <c r="B23" s="12">
        <v>24</v>
      </c>
      <c r="C23" s="6">
        <f>IF(B$20=0,0,B23/B$20)</f>
        <v>0.47058823529411764</v>
      </c>
      <c r="E23" s="27" t="s">
        <v>76</v>
      </c>
      <c r="F23" s="24" t="s">
        <v>31</v>
      </c>
      <c r="G23" s="12">
        <v>0</v>
      </c>
      <c r="H23" s="88">
        <f t="shared" si="0"/>
        <v>0</v>
      </c>
      <c r="I23" s="58">
        <v>1</v>
      </c>
    </row>
    <row r="24" spans="1:18" x14ac:dyDescent="0.4">
      <c r="A24" s="19" t="s">
        <v>183</v>
      </c>
      <c r="B24" s="12">
        <v>20</v>
      </c>
      <c r="C24" s="6">
        <f>IF(B$20=0,0,B24/B$20)</f>
        <v>0.39215686274509803</v>
      </c>
      <c r="E24" s="27" t="s">
        <v>77</v>
      </c>
      <c r="F24" s="24" t="s">
        <v>32</v>
      </c>
      <c r="G24" s="12">
        <v>0</v>
      </c>
      <c r="H24" s="88">
        <f t="shared" si="0"/>
        <v>0</v>
      </c>
      <c r="I24" s="58">
        <v>2</v>
      </c>
    </row>
    <row r="25" spans="1:18" x14ac:dyDescent="0.4">
      <c r="A25" s="19" t="s">
        <v>181</v>
      </c>
      <c r="B25" s="12">
        <v>19</v>
      </c>
      <c r="C25" s="6">
        <f>IF(B$20=0,0,B25/B$20)</f>
        <v>0.37254901960784315</v>
      </c>
      <c r="E25" s="27" t="s">
        <v>80</v>
      </c>
      <c r="F25" s="24" t="s">
        <v>35</v>
      </c>
      <c r="G25" s="12">
        <v>0</v>
      </c>
      <c r="H25" s="88">
        <f t="shared" si="0"/>
        <v>0</v>
      </c>
      <c r="I25" s="58">
        <v>1</v>
      </c>
    </row>
    <row r="26" spans="1:18" x14ac:dyDescent="0.4">
      <c r="A26" s="19" t="s">
        <v>182</v>
      </c>
      <c r="B26" s="12">
        <v>12</v>
      </c>
      <c r="C26" s="6">
        <f>IF(B$20=0,0,B26/B$20)</f>
        <v>0.23529411764705882</v>
      </c>
      <c r="E26" s="27" t="s">
        <v>82</v>
      </c>
      <c r="F26" s="24" t="s">
        <v>37</v>
      </c>
      <c r="G26" s="12">
        <v>0</v>
      </c>
      <c r="H26" s="88">
        <f t="shared" si="0"/>
        <v>0</v>
      </c>
      <c r="I26" s="58">
        <v>1</v>
      </c>
    </row>
    <row r="27" spans="1:18" x14ac:dyDescent="0.4">
      <c r="A27" s="19" t="s">
        <v>5</v>
      </c>
      <c r="B27" s="16">
        <f>IF(B$20=0,0,C27/B$20)</f>
        <v>9135.2941176470595</v>
      </c>
      <c r="C27" s="8">
        <v>465900</v>
      </c>
      <c r="E27" s="27" t="s">
        <v>84</v>
      </c>
      <c r="F27" s="24" t="s">
        <v>39</v>
      </c>
      <c r="G27" s="12">
        <v>0</v>
      </c>
      <c r="H27" s="88">
        <f t="shared" si="0"/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9600</v>
      </c>
      <c r="C28" s="96">
        <v>307200</v>
      </c>
      <c r="E28" s="27" t="s">
        <v>85</v>
      </c>
      <c r="F28" s="24" t="s">
        <v>40</v>
      </c>
      <c r="G28" s="12">
        <v>0</v>
      </c>
      <c r="H28" s="88">
        <f t="shared" si="0"/>
        <v>0</v>
      </c>
      <c r="I28" s="58">
        <v>2</v>
      </c>
    </row>
    <row r="29" spans="1:18" x14ac:dyDescent="0.4">
      <c r="A29" s="20" t="s">
        <v>166</v>
      </c>
      <c r="B29" s="95">
        <f>IF(B$19=0,0,C29/B$19)</f>
        <v>8352.6315789473683</v>
      </c>
      <c r="C29" s="96">
        <v>158700</v>
      </c>
      <c r="E29" s="27" t="s">
        <v>87</v>
      </c>
      <c r="F29" s="24" t="s">
        <v>42</v>
      </c>
      <c r="G29" s="12">
        <v>0</v>
      </c>
      <c r="H29" s="88">
        <f t="shared" si="0"/>
        <v>0</v>
      </c>
      <c r="I29" s="58">
        <v>1</v>
      </c>
    </row>
    <row r="30" spans="1:18" x14ac:dyDescent="0.4">
      <c r="A30" s="20" t="s">
        <v>164</v>
      </c>
      <c r="B30" s="95">
        <f>IF(B$21=0,0,C30/B$21)</f>
        <v>-6545</v>
      </c>
      <c r="C30" s="96">
        <v>-130900</v>
      </c>
      <c r="E30" s="27" t="s">
        <v>88</v>
      </c>
      <c r="F30" s="24" t="s">
        <v>43</v>
      </c>
      <c r="G30" s="12">
        <v>0</v>
      </c>
      <c r="H30" s="88">
        <f t="shared" si="0"/>
        <v>0</v>
      </c>
      <c r="I30" s="58">
        <v>1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90</v>
      </c>
      <c r="F31" s="24" t="s">
        <v>45</v>
      </c>
      <c r="G31" s="12">
        <v>0</v>
      </c>
      <c r="H31" s="88">
        <f t="shared" si="0"/>
        <v>0</v>
      </c>
      <c r="I31" s="58">
        <v>1</v>
      </c>
    </row>
    <row r="32" spans="1:18" x14ac:dyDescent="0.4">
      <c r="A32" s="19" t="s">
        <v>158</v>
      </c>
      <c r="B32" s="12">
        <v>17</v>
      </c>
      <c r="C32" s="90">
        <v>9</v>
      </c>
      <c r="E32" s="27" t="s">
        <v>91</v>
      </c>
      <c r="F32" s="24" t="s">
        <v>46</v>
      </c>
      <c r="G32" s="12">
        <v>0</v>
      </c>
      <c r="H32" s="88">
        <f t="shared" si="0"/>
        <v>0</v>
      </c>
      <c r="I32" s="58">
        <v>3</v>
      </c>
    </row>
    <row r="33" spans="1:9" x14ac:dyDescent="0.4">
      <c r="A33" s="54" t="s">
        <v>136</v>
      </c>
      <c r="B33" s="127">
        <v>5</v>
      </c>
      <c r="C33" s="128"/>
      <c r="E33" s="27" t="s">
        <v>93</v>
      </c>
      <c r="F33" s="24" t="s">
        <v>48</v>
      </c>
      <c r="G33" s="12">
        <v>0</v>
      </c>
      <c r="H33" s="88">
        <f t="shared" si="0"/>
        <v>0</v>
      </c>
      <c r="I33" s="58">
        <v>1</v>
      </c>
    </row>
    <row r="34" spans="1:9" x14ac:dyDescent="0.4">
      <c r="A34" s="22" t="s">
        <v>180</v>
      </c>
      <c r="B34" s="129">
        <v>103000</v>
      </c>
      <c r="C34" s="130"/>
      <c r="E34" s="27" t="s">
        <v>94</v>
      </c>
      <c r="F34" s="24" t="s">
        <v>49</v>
      </c>
      <c r="G34" s="12">
        <v>0</v>
      </c>
      <c r="H34" s="88">
        <f t="shared" ref="H34:H52" si="4">IF(B$20=0,0,G34/B$20)</f>
        <v>0</v>
      </c>
      <c r="I34" s="58">
        <v>1</v>
      </c>
    </row>
    <row r="35" spans="1:9" x14ac:dyDescent="0.4">
      <c r="A35" s="21" t="s">
        <v>137</v>
      </c>
      <c r="B35" s="29">
        <v>1</v>
      </c>
      <c r="C35" s="9">
        <f>IF(B$3=0,0,B35/B$3)</f>
        <v>6.7114093959731542E-3</v>
      </c>
      <c r="E35" s="27" t="s">
        <v>95</v>
      </c>
      <c r="F35" s="24" t="s">
        <v>50</v>
      </c>
      <c r="G35" s="12">
        <v>0</v>
      </c>
      <c r="H35" s="88">
        <f t="shared" si="4"/>
        <v>0</v>
      </c>
      <c r="I35" s="58">
        <v>1</v>
      </c>
    </row>
    <row r="36" spans="1:9" x14ac:dyDescent="0.4">
      <c r="E36" s="27" t="s">
        <v>96</v>
      </c>
      <c r="F36" s="24" t="s">
        <v>51</v>
      </c>
      <c r="G36" s="12">
        <v>0</v>
      </c>
      <c r="H36" s="88">
        <f t="shared" si="4"/>
        <v>0</v>
      </c>
      <c r="I36" s="58">
        <v>1</v>
      </c>
    </row>
    <row r="37" spans="1:9" x14ac:dyDescent="0.4">
      <c r="A37" s="54" t="s">
        <v>171</v>
      </c>
      <c r="B37" s="123">
        <v>2</v>
      </c>
      <c r="C37" s="98">
        <f t="shared" ref="C37:C49" si="5">IF(B$20=0,0,B37/B$20)</f>
        <v>3.9215686274509803E-2</v>
      </c>
      <c r="E37" s="27" t="s">
        <v>97</v>
      </c>
      <c r="F37" s="24" t="s">
        <v>52</v>
      </c>
      <c r="G37" s="12">
        <v>0</v>
      </c>
      <c r="H37" s="88">
        <f t="shared" si="4"/>
        <v>0</v>
      </c>
      <c r="I37" s="58">
        <v>1</v>
      </c>
    </row>
    <row r="38" spans="1:9" x14ac:dyDescent="0.4">
      <c r="A38" s="19" t="s">
        <v>167</v>
      </c>
      <c r="B38" s="12">
        <v>7</v>
      </c>
      <c r="C38" s="6">
        <f t="shared" si="5"/>
        <v>0.13725490196078433</v>
      </c>
      <c r="E38" s="27" t="s">
        <v>98</v>
      </c>
      <c r="F38" s="24" t="s">
        <v>53</v>
      </c>
      <c r="G38" s="12">
        <v>0</v>
      </c>
      <c r="H38" s="88">
        <f t="shared" si="4"/>
        <v>0</v>
      </c>
      <c r="I38" s="58">
        <v>1</v>
      </c>
    </row>
    <row r="39" spans="1:9" x14ac:dyDescent="0.4">
      <c r="A39" s="19" t="s">
        <v>168</v>
      </c>
      <c r="B39" s="124">
        <v>13</v>
      </c>
      <c r="C39" s="6">
        <f t="shared" si="5"/>
        <v>0.25490196078431371</v>
      </c>
      <c r="E39" s="27" t="s">
        <v>99</v>
      </c>
      <c r="F39" s="24" t="s">
        <v>54</v>
      </c>
      <c r="G39" s="12">
        <v>0</v>
      </c>
      <c r="H39" s="88">
        <f t="shared" si="4"/>
        <v>0</v>
      </c>
      <c r="I39" s="58">
        <v>1</v>
      </c>
    </row>
    <row r="40" spans="1:9" x14ac:dyDescent="0.4">
      <c r="A40" s="19" t="s">
        <v>169</v>
      </c>
      <c r="B40" s="124">
        <v>7</v>
      </c>
      <c r="C40" s="6">
        <f t="shared" si="5"/>
        <v>0.13725490196078433</v>
      </c>
      <c r="E40" s="27" t="s">
        <v>100</v>
      </c>
      <c r="F40" s="24" t="s">
        <v>55</v>
      </c>
      <c r="G40" s="12">
        <v>0</v>
      </c>
      <c r="H40" s="88">
        <f t="shared" si="4"/>
        <v>0</v>
      </c>
      <c r="I40" s="58">
        <v>1</v>
      </c>
    </row>
    <row r="41" spans="1:9" x14ac:dyDescent="0.4">
      <c r="A41" s="19" t="s">
        <v>170</v>
      </c>
      <c r="B41" s="124">
        <v>6</v>
      </c>
      <c r="C41" s="6">
        <f t="shared" si="5"/>
        <v>0.11764705882352941</v>
      </c>
      <c r="E41" s="27" t="s">
        <v>101</v>
      </c>
      <c r="F41" s="24" t="s">
        <v>56</v>
      </c>
      <c r="G41" s="12">
        <v>0</v>
      </c>
      <c r="H41" s="88">
        <f t="shared" si="4"/>
        <v>0</v>
      </c>
      <c r="I41" s="58">
        <v>1</v>
      </c>
    </row>
    <row r="42" spans="1:9" x14ac:dyDescent="0.4">
      <c r="A42" s="19" t="s">
        <v>172</v>
      </c>
      <c r="B42" s="124">
        <v>9</v>
      </c>
      <c r="C42" s="6">
        <f t="shared" si="5"/>
        <v>0.17647058823529413</v>
      </c>
      <c r="E42" s="27" t="s">
        <v>102</v>
      </c>
      <c r="F42" s="24" t="s">
        <v>57</v>
      </c>
      <c r="G42" s="12">
        <v>0</v>
      </c>
      <c r="H42" s="88">
        <f t="shared" si="4"/>
        <v>0</v>
      </c>
      <c r="I42" s="58">
        <v>1</v>
      </c>
    </row>
    <row r="43" spans="1:9" x14ac:dyDescent="0.4">
      <c r="A43" s="19" t="s">
        <v>173</v>
      </c>
      <c r="B43" s="124">
        <v>5</v>
      </c>
      <c r="C43" s="6">
        <f t="shared" si="5"/>
        <v>9.8039215686274508E-2</v>
      </c>
      <c r="E43" s="27" t="s">
        <v>103</v>
      </c>
      <c r="F43" s="24" t="s">
        <v>58</v>
      </c>
      <c r="G43" s="12">
        <v>0</v>
      </c>
      <c r="H43" s="88">
        <f t="shared" si="4"/>
        <v>0</v>
      </c>
      <c r="I43" s="58">
        <v>1</v>
      </c>
    </row>
    <row r="44" spans="1:9" x14ac:dyDescent="0.4">
      <c r="A44" s="19" t="s">
        <v>174</v>
      </c>
      <c r="B44" s="124">
        <v>0</v>
      </c>
      <c r="C44" s="6">
        <f t="shared" si="5"/>
        <v>0</v>
      </c>
      <c r="E44" s="27" t="s">
        <v>104</v>
      </c>
      <c r="F44" s="24" t="s">
        <v>59</v>
      </c>
      <c r="G44" s="12">
        <v>0</v>
      </c>
      <c r="H44" s="88">
        <f t="shared" si="4"/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5"/>
        <v>0</v>
      </c>
      <c r="E45" s="27" t="s">
        <v>105</v>
      </c>
      <c r="F45" s="24" t="s">
        <v>112</v>
      </c>
      <c r="G45" s="12">
        <v>0</v>
      </c>
      <c r="H45" s="88">
        <f t="shared" si="4"/>
        <v>0</v>
      </c>
      <c r="I45" s="58">
        <v>1</v>
      </c>
    </row>
    <row r="46" spans="1:9" x14ac:dyDescent="0.4">
      <c r="A46" s="19" t="s">
        <v>176</v>
      </c>
      <c r="B46" s="124">
        <v>1</v>
      </c>
      <c r="C46" s="6">
        <f t="shared" si="5"/>
        <v>1.9607843137254902E-2</v>
      </c>
      <c r="E46" s="27" t="s">
        <v>106</v>
      </c>
      <c r="F46" s="24" t="s">
        <v>113</v>
      </c>
      <c r="G46" s="12">
        <v>0</v>
      </c>
      <c r="H46" s="88">
        <f t="shared" si="4"/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5"/>
        <v>0</v>
      </c>
      <c r="E47" s="27" t="s">
        <v>107</v>
      </c>
      <c r="F47" s="24" t="s">
        <v>114</v>
      </c>
      <c r="G47" s="12">
        <v>0</v>
      </c>
      <c r="H47" s="88">
        <f t="shared" si="4"/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5"/>
        <v>0</v>
      </c>
      <c r="E48" s="27" t="s">
        <v>108</v>
      </c>
      <c r="F48" s="24" t="s">
        <v>60</v>
      </c>
      <c r="G48" s="12">
        <v>0</v>
      </c>
      <c r="H48" s="88">
        <f t="shared" si="4"/>
        <v>0</v>
      </c>
      <c r="I48" s="58">
        <v>1</v>
      </c>
    </row>
    <row r="49" spans="1:9" x14ac:dyDescent="0.4">
      <c r="A49" s="21" t="s">
        <v>179</v>
      </c>
      <c r="B49" s="97">
        <v>1</v>
      </c>
      <c r="C49" s="9">
        <f t="shared" si="5"/>
        <v>1.9607843137254902E-2</v>
      </c>
      <c r="E49" s="27" t="s">
        <v>109</v>
      </c>
      <c r="F49" s="24" t="s">
        <v>61</v>
      </c>
      <c r="G49" s="12">
        <v>0</v>
      </c>
      <c r="H49" s="88">
        <f t="shared" si="4"/>
        <v>0</v>
      </c>
      <c r="I49" s="58">
        <v>1</v>
      </c>
    </row>
    <row r="50" spans="1:9" x14ac:dyDescent="0.4">
      <c r="E50" s="27" t="s">
        <v>110</v>
      </c>
      <c r="F50" s="24" t="s">
        <v>62</v>
      </c>
      <c r="G50" s="12">
        <v>0</v>
      </c>
      <c r="H50" s="88">
        <f t="shared" si="4"/>
        <v>0</v>
      </c>
      <c r="I50" s="58">
        <v>1</v>
      </c>
    </row>
    <row r="51" spans="1:9" x14ac:dyDescent="0.4">
      <c r="E51" s="91" t="s">
        <v>111</v>
      </c>
      <c r="F51" s="92" t="s">
        <v>63</v>
      </c>
      <c r="G51" s="13">
        <v>0</v>
      </c>
      <c r="H51" s="93">
        <f t="shared" si="4"/>
        <v>0</v>
      </c>
      <c r="I51" s="94">
        <v>1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 t="shared" si="4"/>
        <v>0</v>
      </c>
      <c r="I52" s="59">
        <v>1</v>
      </c>
    </row>
  </sheetData>
  <sortState xmlns:xlrd2="http://schemas.microsoft.com/office/spreadsheetml/2017/richdata2" ref="O15:R22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C6182-7EB7-41CD-B9AA-8BAA36189D0F}">
  <sheetPr codeName="Sheet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163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6</v>
      </c>
      <c r="C2" s="134"/>
      <c r="E2" s="26" t="s">
        <v>66</v>
      </c>
      <c r="F2" s="23" t="s">
        <v>22</v>
      </c>
      <c r="G2" s="11">
        <v>6</v>
      </c>
      <c r="H2" s="87">
        <f t="shared" ref="H2:H33" si="0">IF(B$20=0,0,G2/B$20)</f>
        <v>0.6</v>
      </c>
      <c r="I2" s="57">
        <v>4</v>
      </c>
      <c r="K2" s="73">
        <v>0</v>
      </c>
      <c r="L2" s="118">
        <v>0</v>
      </c>
      <c r="M2" s="116">
        <v>1653.1699313523677</v>
      </c>
      <c r="O2" s="73" t="s">
        <v>128</v>
      </c>
      <c r="P2" s="79">
        <f t="shared" ref="P2:P7" si="1">IF(Q2=0,0,R2/Q2)</f>
        <v>-2033.3333333333333</v>
      </c>
      <c r="Q2" s="76">
        <v>6</v>
      </c>
      <c r="R2" s="63">
        <v>-12200</v>
      </c>
    </row>
    <row r="3" spans="1:18" x14ac:dyDescent="0.4">
      <c r="A3" s="19" t="s">
        <v>8</v>
      </c>
      <c r="B3" s="135">
        <v>51</v>
      </c>
      <c r="C3" s="136"/>
      <c r="E3" s="27" t="s">
        <v>72</v>
      </c>
      <c r="F3" s="24" t="s">
        <v>27</v>
      </c>
      <c r="G3" s="12">
        <v>6</v>
      </c>
      <c r="H3" s="88">
        <f t="shared" si="0"/>
        <v>0.6</v>
      </c>
      <c r="I3" s="58">
        <v>4</v>
      </c>
      <c r="K3" s="74">
        <v>1</v>
      </c>
      <c r="L3" s="119">
        <v>-31</v>
      </c>
      <c r="M3" s="117">
        <v>1646.6709117642536</v>
      </c>
      <c r="O3" s="74" t="s">
        <v>129</v>
      </c>
      <c r="P3" s="80">
        <f t="shared" si="1"/>
        <v>-3380</v>
      </c>
      <c r="Q3" s="77">
        <v>5</v>
      </c>
      <c r="R3" s="64">
        <v>-16900</v>
      </c>
    </row>
    <row r="4" spans="1:18" x14ac:dyDescent="0.4">
      <c r="A4" s="19" t="s">
        <v>6</v>
      </c>
      <c r="B4" s="137">
        <v>-182.90000000000003</v>
      </c>
      <c r="C4" s="138"/>
      <c r="E4" s="27" t="s">
        <v>159</v>
      </c>
      <c r="F4" s="24" t="s">
        <v>160</v>
      </c>
      <c r="G4" s="12">
        <v>4</v>
      </c>
      <c r="H4" s="88">
        <f t="shared" si="0"/>
        <v>0.4</v>
      </c>
      <c r="I4" s="58">
        <v>4</v>
      </c>
      <c r="K4" s="74">
        <v>2</v>
      </c>
      <c r="L4" s="119">
        <v>-98.9</v>
      </c>
      <c r="M4" s="117">
        <v>1634.420886293668</v>
      </c>
      <c r="O4" s="74" t="s">
        <v>130</v>
      </c>
      <c r="P4" s="80">
        <f t="shared" si="1"/>
        <v>-3720</v>
      </c>
      <c r="Q4" s="77">
        <v>5</v>
      </c>
      <c r="R4" s="64">
        <v>-18600</v>
      </c>
    </row>
    <row r="5" spans="1:18" x14ac:dyDescent="0.4">
      <c r="A5" s="19" t="s">
        <v>7</v>
      </c>
      <c r="B5" s="125">
        <f>IF(B$2=0,0,B$4/B$2)</f>
        <v>-30.483333333333338</v>
      </c>
      <c r="C5" s="126"/>
      <c r="E5" s="27" t="s">
        <v>64</v>
      </c>
      <c r="F5" s="24" t="s">
        <v>20</v>
      </c>
      <c r="G5" s="12">
        <v>3</v>
      </c>
      <c r="H5" s="88">
        <f t="shared" si="0"/>
        <v>0.3</v>
      </c>
      <c r="I5" s="58">
        <v>7</v>
      </c>
      <c r="K5" s="74">
        <v>3</v>
      </c>
      <c r="L5" s="119">
        <v>-65.300000000000011</v>
      </c>
      <c r="M5" s="117">
        <v>1639.914360975906</v>
      </c>
      <c r="O5" s="74" t="s">
        <v>131</v>
      </c>
      <c r="P5" s="80">
        <f t="shared" si="1"/>
        <v>-680</v>
      </c>
      <c r="Q5" s="77">
        <v>5</v>
      </c>
      <c r="R5" s="64">
        <v>-3400</v>
      </c>
    </row>
    <row r="6" spans="1:18" x14ac:dyDescent="0.4">
      <c r="A6" s="19" t="s">
        <v>196</v>
      </c>
      <c r="B6" s="129">
        <v>1618.6477491678233</v>
      </c>
      <c r="C6" s="130"/>
      <c r="E6" s="27" t="s">
        <v>67</v>
      </c>
      <c r="F6" s="24" t="s">
        <v>23</v>
      </c>
      <c r="G6" s="12">
        <v>2</v>
      </c>
      <c r="H6" s="88">
        <f t="shared" si="0"/>
        <v>0.2</v>
      </c>
      <c r="I6" s="58">
        <v>4</v>
      </c>
      <c r="K6" s="74">
        <v>4</v>
      </c>
      <c r="L6" s="119">
        <v>-99.700000000000017</v>
      </c>
      <c r="M6" s="117">
        <v>1633.1348748100506</v>
      </c>
      <c r="O6" s="74" t="s">
        <v>132</v>
      </c>
      <c r="P6" s="80">
        <f t="shared" si="1"/>
        <v>-50</v>
      </c>
      <c r="Q6" s="77">
        <v>4</v>
      </c>
      <c r="R6" s="64">
        <v>-200</v>
      </c>
    </row>
    <row r="7" spans="1:18" x14ac:dyDescent="0.4">
      <c r="A7" s="19" t="s">
        <v>1</v>
      </c>
      <c r="B7" s="139">
        <f>IF(B$2=0,0,(B$8*1+B$9*2+B$10*3)/B$2)</f>
        <v>2.6666666666666665</v>
      </c>
      <c r="C7" s="140"/>
      <c r="E7" s="27" t="s">
        <v>68</v>
      </c>
      <c r="F7" s="24" t="s">
        <v>12</v>
      </c>
      <c r="G7" s="12">
        <v>1</v>
      </c>
      <c r="H7" s="88">
        <f t="shared" si="0"/>
        <v>0.1</v>
      </c>
      <c r="I7" s="58">
        <v>6</v>
      </c>
      <c r="K7" s="74">
        <v>5</v>
      </c>
      <c r="L7" s="119">
        <v>-132.90000000000003</v>
      </c>
      <c r="M7" s="117">
        <v>1627.3860655611904</v>
      </c>
      <c r="O7" s="75" t="s">
        <v>133</v>
      </c>
      <c r="P7" s="81">
        <f t="shared" si="1"/>
        <v>-2700</v>
      </c>
      <c r="Q7" s="78">
        <v>3</v>
      </c>
      <c r="R7" s="65">
        <v>-8100</v>
      </c>
    </row>
    <row r="8" spans="1:18" x14ac:dyDescent="0.4">
      <c r="A8" s="19" t="s">
        <v>2</v>
      </c>
      <c r="B8" s="12">
        <v>1</v>
      </c>
      <c r="C8" s="6">
        <f t="shared" ref="C8:C15" si="2">IF(B$2=0,0,B8/B$2)</f>
        <v>0.16666666666666666</v>
      </c>
      <c r="E8" s="27" t="s">
        <v>69</v>
      </c>
      <c r="F8" s="24" t="s">
        <v>24</v>
      </c>
      <c r="G8" s="12">
        <v>1</v>
      </c>
      <c r="H8" s="88">
        <f t="shared" si="0"/>
        <v>0.1</v>
      </c>
      <c r="I8" s="58">
        <v>4</v>
      </c>
      <c r="K8" s="74">
        <v>6</v>
      </c>
      <c r="L8" s="119">
        <v>-182.90000000000003</v>
      </c>
      <c r="M8" s="117">
        <v>1618.6477491678233</v>
      </c>
      <c r="O8" s="107"/>
      <c r="P8" s="85"/>
      <c r="Q8" s="108"/>
      <c r="R8" s="70"/>
    </row>
    <row r="9" spans="1:18" x14ac:dyDescent="0.4">
      <c r="A9" s="19" t="s">
        <v>3</v>
      </c>
      <c r="B9" s="12">
        <v>0</v>
      </c>
      <c r="C9" s="6">
        <f t="shared" si="2"/>
        <v>0</v>
      </c>
      <c r="E9" s="27" t="s">
        <v>70</v>
      </c>
      <c r="F9" s="24" t="s">
        <v>25</v>
      </c>
      <c r="G9" s="12">
        <v>1</v>
      </c>
      <c r="H9" s="88">
        <f t="shared" si="0"/>
        <v>0.1</v>
      </c>
      <c r="I9" s="58">
        <v>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5</v>
      </c>
      <c r="C10" s="7">
        <f t="shared" si="2"/>
        <v>0.83333333333333337</v>
      </c>
      <c r="E10" s="27" t="s">
        <v>71</v>
      </c>
      <c r="F10" s="24" t="s">
        <v>26</v>
      </c>
      <c r="G10" s="12">
        <v>1</v>
      </c>
      <c r="H10" s="88">
        <f t="shared" si="0"/>
        <v>0.1</v>
      </c>
      <c r="I10" s="58">
        <v>2</v>
      </c>
      <c r="O10" s="73" t="s">
        <v>151</v>
      </c>
      <c r="P10" s="82">
        <f>IF(Q10=0,0,R10/Q10)</f>
        <v>-0.39999999999999858</v>
      </c>
      <c r="Q10" s="76">
        <v>2</v>
      </c>
      <c r="R10" s="67">
        <v>-0.79999999999999716</v>
      </c>
    </row>
    <row r="11" spans="1:18" x14ac:dyDescent="0.4">
      <c r="A11" s="20" t="s">
        <v>184</v>
      </c>
      <c r="B11" s="109">
        <f>IF(B8=0,0,C11/B8)</f>
        <v>33.6</v>
      </c>
      <c r="C11" s="110">
        <v>33.6</v>
      </c>
      <c r="E11" s="27" t="s">
        <v>78</v>
      </c>
      <c r="F11" s="24" t="s">
        <v>33</v>
      </c>
      <c r="G11" s="12">
        <v>1</v>
      </c>
      <c r="H11" s="88">
        <f t="shared" si="0"/>
        <v>0.1</v>
      </c>
      <c r="I11" s="58">
        <v>1</v>
      </c>
      <c r="O11" s="74" t="s">
        <v>152</v>
      </c>
      <c r="P11" s="83">
        <f>IF(Q11=0,0,R11/Q11)</f>
        <v>-44.033333333333339</v>
      </c>
      <c r="Q11" s="77">
        <v>3</v>
      </c>
      <c r="R11" s="68">
        <v>-132.10000000000002</v>
      </c>
    </row>
    <row r="12" spans="1:18" x14ac:dyDescent="0.4">
      <c r="A12" s="20" t="s">
        <v>185</v>
      </c>
      <c r="B12" s="109">
        <f>IF(B9=0,0,C12/B9)</f>
        <v>0</v>
      </c>
      <c r="C12" s="110">
        <v>0</v>
      </c>
      <c r="E12" s="27" t="s">
        <v>81</v>
      </c>
      <c r="F12" s="24" t="s">
        <v>36</v>
      </c>
      <c r="G12" s="12">
        <v>1</v>
      </c>
      <c r="H12" s="88">
        <f t="shared" si="0"/>
        <v>0.1</v>
      </c>
      <c r="I12" s="58">
        <v>1</v>
      </c>
      <c r="O12" s="75" t="s">
        <v>153</v>
      </c>
      <c r="P12" s="84">
        <f>IF(Q12=0,0,R12/Q12)</f>
        <v>-50</v>
      </c>
      <c r="Q12" s="78">
        <v>1</v>
      </c>
      <c r="R12" s="69">
        <v>-50</v>
      </c>
    </row>
    <row r="13" spans="1:18" x14ac:dyDescent="0.4">
      <c r="A13" s="20" t="s">
        <v>186</v>
      </c>
      <c r="B13" s="109">
        <f>IF(B10=0,0,C13/B10)</f>
        <v>-43.3</v>
      </c>
      <c r="C13" s="110">
        <v>-216.5</v>
      </c>
      <c r="E13" s="27" t="s">
        <v>83</v>
      </c>
      <c r="F13" s="24" t="s">
        <v>38</v>
      </c>
      <c r="G13" s="12">
        <v>1</v>
      </c>
      <c r="H13" s="88">
        <f t="shared" si="0"/>
        <v>0.1</v>
      </c>
      <c r="I13" s="58">
        <v>1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-3.2333333333333321</v>
      </c>
      <c r="C14" s="126"/>
      <c r="E14" s="27" t="s">
        <v>86</v>
      </c>
      <c r="F14" s="24" t="s">
        <v>41</v>
      </c>
      <c r="G14" s="12">
        <v>1</v>
      </c>
      <c r="H14" s="88">
        <f t="shared" si="0"/>
        <v>0.1</v>
      </c>
      <c r="I14" s="58">
        <v>2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2"/>
        <v>0.33333333333333331</v>
      </c>
      <c r="E15" s="27" t="s">
        <v>89</v>
      </c>
      <c r="F15" s="24" t="s">
        <v>44</v>
      </c>
      <c r="G15" s="12">
        <v>1</v>
      </c>
      <c r="H15" s="88">
        <f t="shared" si="0"/>
        <v>0.1</v>
      </c>
      <c r="I15" s="58">
        <v>7</v>
      </c>
      <c r="O15" s="73" t="s">
        <v>216</v>
      </c>
      <c r="P15" s="82">
        <f>IF(Q15=0,0,R15/Q15)</f>
        <v>14.600000000000003</v>
      </c>
      <c r="Q15" s="76">
        <v>2</v>
      </c>
      <c r="R15" s="67">
        <v>29.200000000000006</v>
      </c>
    </row>
    <row r="16" spans="1:18" x14ac:dyDescent="0.4">
      <c r="A16" s="22" t="s">
        <v>121</v>
      </c>
      <c r="B16" s="15">
        <v>11</v>
      </c>
      <c r="C16" s="10">
        <f>IF(B$3=0,0,B16/B$3)</f>
        <v>0.21568627450980393</v>
      </c>
      <c r="E16" s="27" t="s">
        <v>65</v>
      </c>
      <c r="F16" s="24" t="s">
        <v>21</v>
      </c>
      <c r="G16" s="12">
        <v>0</v>
      </c>
      <c r="H16" s="88">
        <f t="shared" si="0"/>
        <v>0</v>
      </c>
      <c r="I16" s="58">
        <v>5</v>
      </c>
      <c r="O16" s="74" t="s">
        <v>211</v>
      </c>
      <c r="P16" s="83">
        <f>IF(Q16=0,0,R16/Q16)</f>
        <v>-15.799999999999997</v>
      </c>
      <c r="Q16" s="77">
        <v>2</v>
      </c>
      <c r="R16" s="68">
        <v>-31.599999999999994</v>
      </c>
    </row>
    <row r="17" spans="1:18" x14ac:dyDescent="0.4">
      <c r="A17" s="19" t="s">
        <v>118</v>
      </c>
      <c r="B17" s="12">
        <v>13</v>
      </c>
      <c r="C17" s="6">
        <f>IF(B$3=0,0,B17/B$3)</f>
        <v>0.25490196078431371</v>
      </c>
      <c r="E17" s="27" t="s">
        <v>73</v>
      </c>
      <c r="F17" s="24" t="s">
        <v>28</v>
      </c>
      <c r="G17" s="12">
        <v>0</v>
      </c>
      <c r="H17" s="88">
        <f t="shared" si="0"/>
        <v>0</v>
      </c>
      <c r="I17" s="58">
        <v>3</v>
      </c>
      <c r="O17" s="74" t="s">
        <v>192</v>
      </c>
      <c r="P17" s="83">
        <f>IF(Q17=0,0,R17/Q17)</f>
        <v>-40.900000000000006</v>
      </c>
      <c r="Q17" s="77">
        <v>2</v>
      </c>
      <c r="R17" s="68">
        <v>-81.800000000000011</v>
      </c>
    </row>
    <row r="18" spans="1:18" x14ac:dyDescent="0.4">
      <c r="A18" s="18" t="s">
        <v>123</v>
      </c>
      <c r="B18" s="11">
        <f>B24</f>
        <v>3</v>
      </c>
      <c r="C18" s="5">
        <f>IF(B$16=0,0,B18/B$16)</f>
        <v>0.27272727272727271</v>
      </c>
      <c r="E18" s="27" t="s">
        <v>74</v>
      </c>
      <c r="F18" s="24" t="s">
        <v>29</v>
      </c>
      <c r="G18" s="12">
        <v>0</v>
      </c>
      <c r="H18" s="88">
        <f t="shared" si="0"/>
        <v>0</v>
      </c>
      <c r="I18" s="58">
        <v>1</v>
      </c>
      <c r="O18" s="74" t="s">
        <v>189</v>
      </c>
      <c r="P18" s="83">
        <f>IF(Q18=0,0,R18/Q18)</f>
        <v>-67.650000000000006</v>
      </c>
      <c r="Q18" s="77">
        <v>2</v>
      </c>
      <c r="R18" s="68">
        <v>-135.30000000000001</v>
      </c>
    </row>
    <row r="19" spans="1:18" x14ac:dyDescent="0.4">
      <c r="A19" s="18" t="s">
        <v>124</v>
      </c>
      <c r="B19" s="11">
        <f>B25</f>
        <v>4</v>
      </c>
      <c r="C19" s="5">
        <f>IF(B$17=0,0,B19/B$17)</f>
        <v>0.30769230769230771</v>
      </c>
      <c r="E19" s="27" t="s">
        <v>75</v>
      </c>
      <c r="F19" s="24" t="s">
        <v>30</v>
      </c>
      <c r="G19" s="12">
        <v>0</v>
      </c>
      <c r="H19" s="88">
        <f t="shared" si="0"/>
        <v>0</v>
      </c>
      <c r="I19" s="58">
        <v>2</v>
      </c>
      <c r="O19" s="74" t="s">
        <v>126</v>
      </c>
      <c r="P19" s="83">
        <f>IF(Q19=0,0,R19/Q19)</f>
        <v>-82.300000000000011</v>
      </c>
      <c r="Q19" s="77">
        <v>4</v>
      </c>
      <c r="R19" s="68">
        <v>-329.20000000000005</v>
      </c>
    </row>
    <row r="20" spans="1:18" x14ac:dyDescent="0.4">
      <c r="A20" s="18" t="s">
        <v>10</v>
      </c>
      <c r="B20" s="11">
        <f>B23+B22</f>
        <v>10</v>
      </c>
      <c r="C20" s="5">
        <f>IF(B$3=0,0,B20/B$3)</f>
        <v>0.19607843137254902</v>
      </c>
      <c r="E20" s="27" t="s">
        <v>76</v>
      </c>
      <c r="F20" s="24" t="s">
        <v>31</v>
      </c>
      <c r="G20" s="12">
        <v>0</v>
      </c>
      <c r="H20" s="88">
        <f t="shared" si="0"/>
        <v>0</v>
      </c>
      <c r="I20" s="58">
        <v>1</v>
      </c>
    </row>
    <row r="21" spans="1:18" x14ac:dyDescent="0.4">
      <c r="A21" s="19" t="s">
        <v>13</v>
      </c>
      <c r="B21" s="12">
        <v>11</v>
      </c>
      <c r="C21" s="6">
        <f>IF(B$3=0,0,B21/B$3)</f>
        <v>0.21568627450980393</v>
      </c>
      <c r="E21" s="27" t="s">
        <v>77</v>
      </c>
      <c r="F21" s="24" t="s">
        <v>32</v>
      </c>
      <c r="G21" s="12">
        <v>0</v>
      </c>
      <c r="H21" s="88">
        <f t="shared" si="0"/>
        <v>0</v>
      </c>
      <c r="I21" s="58">
        <v>2</v>
      </c>
    </row>
    <row r="22" spans="1:18" x14ac:dyDescent="0.4">
      <c r="A22" s="19" t="s">
        <v>12</v>
      </c>
      <c r="B22" s="12">
        <v>3</v>
      </c>
      <c r="C22" s="6">
        <f>IF(B$20=0,0,B22/B$20)</f>
        <v>0.3</v>
      </c>
      <c r="E22" s="27" t="s">
        <v>79</v>
      </c>
      <c r="F22" s="24" t="s">
        <v>34</v>
      </c>
      <c r="G22" s="12">
        <v>0</v>
      </c>
      <c r="H22" s="88">
        <f t="shared" si="0"/>
        <v>0</v>
      </c>
      <c r="I22" s="58">
        <v>3</v>
      </c>
    </row>
    <row r="23" spans="1:18" x14ac:dyDescent="0.4">
      <c r="A23" s="19" t="s">
        <v>11</v>
      </c>
      <c r="B23" s="12">
        <v>7</v>
      </c>
      <c r="C23" s="6">
        <f>IF(B$20=0,0,B23/B$20)</f>
        <v>0.7</v>
      </c>
      <c r="E23" s="27" t="s">
        <v>80</v>
      </c>
      <c r="F23" s="24" t="s">
        <v>35</v>
      </c>
      <c r="G23" s="12">
        <v>0</v>
      </c>
      <c r="H23" s="88">
        <f t="shared" si="0"/>
        <v>0</v>
      </c>
      <c r="I23" s="58">
        <v>1</v>
      </c>
    </row>
    <row r="24" spans="1:18" x14ac:dyDescent="0.4">
      <c r="A24" s="19" t="s">
        <v>183</v>
      </c>
      <c r="B24" s="12">
        <v>3</v>
      </c>
      <c r="C24" s="6">
        <f>IF(B$20=0,0,B24/B$20)</f>
        <v>0.3</v>
      </c>
      <c r="E24" s="27" t="s">
        <v>82</v>
      </c>
      <c r="F24" s="24" t="s">
        <v>37</v>
      </c>
      <c r="G24" s="12">
        <v>0</v>
      </c>
      <c r="H24" s="88">
        <f t="shared" si="0"/>
        <v>0</v>
      </c>
      <c r="I24" s="58">
        <v>1</v>
      </c>
    </row>
    <row r="25" spans="1:18" x14ac:dyDescent="0.4">
      <c r="A25" s="19" t="s">
        <v>181</v>
      </c>
      <c r="B25" s="12">
        <v>4</v>
      </c>
      <c r="C25" s="6">
        <f>IF(B$20=0,0,B25/B$20)</f>
        <v>0.4</v>
      </c>
      <c r="E25" s="27" t="s">
        <v>84</v>
      </c>
      <c r="F25" s="24" t="s">
        <v>39</v>
      </c>
      <c r="G25" s="12">
        <v>0</v>
      </c>
      <c r="H25" s="88">
        <f t="shared" si="0"/>
        <v>0</v>
      </c>
      <c r="I25" s="58">
        <v>1</v>
      </c>
    </row>
    <row r="26" spans="1:18" x14ac:dyDescent="0.4">
      <c r="A26" s="19" t="s">
        <v>182</v>
      </c>
      <c r="B26" s="12">
        <v>3</v>
      </c>
      <c r="C26" s="6">
        <f>IF(B$20=0,0,B26/B$20)</f>
        <v>0.3</v>
      </c>
      <c r="E26" s="27" t="s">
        <v>85</v>
      </c>
      <c r="F26" s="24" t="s">
        <v>40</v>
      </c>
      <c r="G26" s="12">
        <v>0</v>
      </c>
      <c r="H26" s="88">
        <f t="shared" si="0"/>
        <v>0</v>
      </c>
      <c r="I26" s="58">
        <v>2</v>
      </c>
    </row>
    <row r="27" spans="1:18" x14ac:dyDescent="0.4">
      <c r="A27" s="19" t="s">
        <v>5</v>
      </c>
      <c r="B27" s="16">
        <f>IF(B$20=0,0,C27/B$20)</f>
        <v>7340</v>
      </c>
      <c r="C27" s="8">
        <v>73400</v>
      </c>
      <c r="E27" s="27" t="s">
        <v>87</v>
      </c>
      <c r="F27" s="24" t="s">
        <v>42</v>
      </c>
      <c r="G27" s="12">
        <v>0</v>
      </c>
      <c r="H27" s="88">
        <f t="shared" si="0"/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7916.666666666667</v>
      </c>
      <c r="C28" s="96">
        <v>47500</v>
      </c>
      <c r="E28" s="27" t="s">
        <v>88</v>
      </c>
      <c r="F28" s="24" t="s">
        <v>43</v>
      </c>
      <c r="G28" s="12">
        <v>0</v>
      </c>
      <c r="H28" s="88">
        <f t="shared" si="0"/>
        <v>0</v>
      </c>
      <c r="I28" s="58">
        <v>1</v>
      </c>
    </row>
    <row r="29" spans="1:18" x14ac:dyDescent="0.4">
      <c r="A29" s="20" t="s">
        <v>166</v>
      </c>
      <c r="B29" s="95">
        <f>IF(B$19=0,0,C29/B$19)</f>
        <v>6475</v>
      </c>
      <c r="C29" s="96">
        <v>25900</v>
      </c>
      <c r="E29" s="27" t="s">
        <v>90</v>
      </c>
      <c r="F29" s="24" t="s">
        <v>45</v>
      </c>
      <c r="G29" s="12">
        <v>0</v>
      </c>
      <c r="H29" s="88">
        <f t="shared" si="0"/>
        <v>0</v>
      </c>
      <c r="I29" s="58">
        <v>1</v>
      </c>
    </row>
    <row r="30" spans="1:18" x14ac:dyDescent="0.4">
      <c r="A30" s="20" t="s">
        <v>164</v>
      </c>
      <c r="B30" s="95">
        <f>IF(B$21=0,0,C30/B$21)</f>
        <v>-12463.636363636364</v>
      </c>
      <c r="C30" s="96">
        <v>-137100</v>
      </c>
      <c r="E30" s="27" t="s">
        <v>91</v>
      </c>
      <c r="F30" s="24" t="s">
        <v>46</v>
      </c>
      <c r="G30" s="12">
        <v>0</v>
      </c>
      <c r="H30" s="88">
        <f t="shared" si="0"/>
        <v>0</v>
      </c>
      <c r="I30" s="58">
        <v>3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 t="shared" si="0"/>
        <v>0</v>
      </c>
      <c r="I31" s="58">
        <v>2</v>
      </c>
    </row>
    <row r="32" spans="1:18" x14ac:dyDescent="0.4">
      <c r="A32" s="19" t="s">
        <v>158</v>
      </c>
      <c r="B32" s="12">
        <v>7</v>
      </c>
      <c r="C32" s="90">
        <v>1</v>
      </c>
      <c r="E32" s="27" t="s">
        <v>93</v>
      </c>
      <c r="F32" s="24" t="s">
        <v>48</v>
      </c>
      <c r="G32" s="12">
        <v>0</v>
      </c>
      <c r="H32" s="88">
        <f t="shared" si="0"/>
        <v>0</v>
      </c>
      <c r="I32" s="58">
        <v>1</v>
      </c>
    </row>
    <row r="33" spans="1:9" x14ac:dyDescent="0.4">
      <c r="A33" s="54" t="s">
        <v>136</v>
      </c>
      <c r="B33" s="127">
        <v>4</v>
      </c>
      <c r="C33" s="128"/>
      <c r="E33" s="27" t="s">
        <v>94</v>
      </c>
      <c r="F33" s="24" t="s">
        <v>49</v>
      </c>
      <c r="G33" s="12">
        <v>0</v>
      </c>
      <c r="H33" s="88">
        <f t="shared" si="0"/>
        <v>0</v>
      </c>
      <c r="I33" s="58">
        <v>1</v>
      </c>
    </row>
    <row r="34" spans="1:9" x14ac:dyDescent="0.4">
      <c r="A34" s="22" t="s">
        <v>180</v>
      </c>
      <c r="B34" s="129">
        <v>58600</v>
      </c>
      <c r="C34" s="130"/>
      <c r="E34" s="27" t="s">
        <v>95</v>
      </c>
      <c r="F34" s="24" t="s">
        <v>50</v>
      </c>
      <c r="G34" s="12">
        <v>0</v>
      </c>
      <c r="H34" s="88">
        <f t="shared" ref="H34:H52" si="3">IF(B$20=0,0,G34/B$20)</f>
        <v>0</v>
      </c>
      <c r="I34" s="58">
        <v>1</v>
      </c>
    </row>
    <row r="35" spans="1:9" x14ac:dyDescent="0.4">
      <c r="A35" s="21" t="s">
        <v>137</v>
      </c>
      <c r="B35" s="29">
        <v>1</v>
      </c>
      <c r="C35" s="9">
        <f>IF(B$3=0,0,B35/B$3)</f>
        <v>1.9607843137254902E-2</v>
      </c>
      <c r="E35" s="27" t="s">
        <v>96</v>
      </c>
      <c r="F35" s="24" t="s">
        <v>51</v>
      </c>
      <c r="G35" s="12">
        <v>0</v>
      </c>
      <c r="H35" s="88">
        <f t="shared" si="3"/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 t="shared" si="3"/>
        <v>0</v>
      </c>
      <c r="I36" s="58">
        <v>1</v>
      </c>
    </row>
    <row r="37" spans="1:9" x14ac:dyDescent="0.4">
      <c r="A37" s="54" t="s">
        <v>171</v>
      </c>
      <c r="B37" s="123">
        <v>1</v>
      </c>
      <c r="C37" s="98">
        <f t="shared" ref="C37:C49" si="4">IF(B$20=0,0,B37/B$20)</f>
        <v>0.1</v>
      </c>
      <c r="E37" s="27" t="s">
        <v>98</v>
      </c>
      <c r="F37" s="24" t="s">
        <v>53</v>
      </c>
      <c r="G37" s="12">
        <v>0</v>
      </c>
      <c r="H37" s="88">
        <f t="shared" si="3"/>
        <v>0</v>
      </c>
      <c r="I37" s="58">
        <v>1</v>
      </c>
    </row>
    <row r="38" spans="1:9" x14ac:dyDescent="0.4">
      <c r="A38" s="19" t="s">
        <v>167</v>
      </c>
      <c r="B38" s="12">
        <v>2</v>
      </c>
      <c r="C38" s="6">
        <f t="shared" si="4"/>
        <v>0.2</v>
      </c>
      <c r="E38" s="27" t="s">
        <v>99</v>
      </c>
      <c r="F38" s="24" t="s">
        <v>54</v>
      </c>
      <c r="G38" s="12">
        <v>0</v>
      </c>
      <c r="H38" s="88">
        <f t="shared" si="3"/>
        <v>0</v>
      </c>
      <c r="I38" s="58">
        <v>1</v>
      </c>
    </row>
    <row r="39" spans="1:9" x14ac:dyDescent="0.4">
      <c r="A39" s="19" t="s">
        <v>168</v>
      </c>
      <c r="B39" s="124">
        <v>3</v>
      </c>
      <c r="C39" s="6">
        <f t="shared" si="4"/>
        <v>0.3</v>
      </c>
      <c r="E39" s="27" t="s">
        <v>100</v>
      </c>
      <c r="F39" s="24" t="s">
        <v>55</v>
      </c>
      <c r="G39" s="12">
        <v>0</v>
      </c>
      <c r="H39" s="88">
        <f t="shared" si="3"/>
        <v>0</v>
      </c>
      <c r="I39" s="58">
        <v>1</v>
      </c>
    </row>
    <row r="40" spans="1:9" x14ac:dyDescent="0.4">
      <c r="A40" s="19" t="s">
        <v>169</v>
      </c>
      <c r="B40" s="124">
        <v>0</v>
      </c>
      <c r="C40" s="6">
        <f t="shared" si="4"/>
        <v>0</v>
      </c>
      <c r="E40" s="27" t="s">
        <v>101</v>
      </c>
      <c r="F40" s="24" t="s">
        <v>56</v>
      </c>
      <c r="G40" s="12">
        <v>0</v>
      </c>
      <c r="H40" s="88">
        <f t="shared" si="3"/>
        <v>0</v>
      </c>
      <c r="I40" s="58">
        <v>1</v>
      </c>
    </row>
    <row r="41" spans="1:9" x14ac:dyDescent="0.4">
      <c r="A41" s="19" t="s">
        <v>170</v>
      </c>
      <c r="B41" s="124">
        <v>3</v>
      </c>
      <c r="C41" s="6">
        <f t="shared" si="4"/>
        <v>0.3</v>
      </c>
      <c r="E41" s="27" t="s">
        <v>102</v>
      </c>
      <c r="F41" s="24" t="s">
        <v>57</v>
      </c>
      <c r="G41" s="12">
        <v>0</v>
      </c>
      <c r="H41" s="88">
        <f t="shared" si="3"/>
        <v>0</v>
      </c>
      <c r="I41" s="58">
        <v>1</v>
      </c>
    </row>
    <row r="42" spans="1:9" x14ac:dyDescent="0.4">
      <c r="A42" s="19" t="s">
        <v>172</v>
      </c>
      <c r="B42" s="124">
        <v>1</v>
      </c>
      <c r="C42" s="6">
        <f t="shared" si="4"/>
        <v>0.1</v>
      </c>
      <c r="E42" s="27" t="s">
        <v>103</v>
      </c>
      <c r="F42" s="24" t="s">
        <v>58</v>
      </c>
      <c r="G42" s="12">
        <v>0</v>
      </c>
      <c r="H42" s="88">
        <f t="shared" si="3"/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4"/>
        <v>0</v>
      </c>
      <c r="E43" s="27" t="s">
        <v>104</v>
      </c>
      <c r="F43" s="24" t="s">
        <v>59</v>
      </c>
      <c r="G43" s="12">
        <v>0</v>
      </c>
      <c r="H43" s="88">
        <f t="shared" si="3"/>
        <v>0</v>
      </c>
      <c r="I43" s="58">
        <v>1</v>
      </c>
    </row>
    <row r="44" spans="1:9" x14ac:dyDescent="0.4">
      <c r="A44" s="19" t="s">
        <v>174</v>
      </c>
      <c r="B44" s="124">
        <v>0</v>
      </c>
      <c r="C44" s="6">
        <f t="shared" si="4"/>
        <v>0</v>
      </c>
      <c r="E44" s="27" t="s">
        <v>105</v>
      </c>
      <c r="F44" s="24" t="s">
        <v>112</v>
      </c>
      <c r="G44" s="12">
        <v>0</v>
      </c>
      <c r="H44" s="88">
        <f t="shared" si="3"/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4"/>
        <v>0</v>
      </c>
      <c r="E45" s="27" t="s">
        <v>106</v>
      </c>
      <c r="F45" s="24" t="s">
        <v>113</v>
      </c>
      <c r="G45" s="12">
        <v>0</v>
      </c>
      <c r="H45" s="88">
        <f t="shared" si="3"/>
        <v>0</v>
      </c>
      <c r="I45" s="58">
        <v>1</v>
      </c>
    </row>
    <row r="46" spans="1:9" x14ac:dyDescent="0.4">
      <c r="A46" s="19" t="s">
        <v>176</v>
      </c>
      <c r="B46" s="124">
        <v>0</v>
      </c>
      <c r="C46" s="6">
        <f t="shared" si="4"/>
        <v>0</v>
      </c>
      <c r="E46" s="27" t="s">
        <v>107</v>
      </c>
      <c r="F46" s="24" t="s">
        <v>114</v>
      </c>
      <c r="G46" s="12">
        <v>0</v>
      </c>
      <c r="H46" s="88">
        <f t="shared" si="3"/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4"/>
        <v>0</v>
      </c>
      <c r="E47" s="27" t="s">
        <v>108</v>
      </c>
      <c r="F47" s="24" t="s">
        <v>60</v>
      </c>
      <c r="G47" s="12">
        <v>0</v>
      </c>
      <c r="H47" s="88">
        <f t="shared" si="3"/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4"/>
        <v>0</v>
      </c>
      <c r="E48" s="27" t="s">
        <v>109</v>
      </c>
      <c r="F48" s="24" t="s">
        <v>61</v>
      </c>
      <c r="G48" s="12">
        <v>0</v>
      </c>
      <c r="H48" s="88">
        <f t="shared" si="3"/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4"/>
        <v>0</v>
      </c>
      <c r="E49" s="27" t="s">
        <v>110</v>
      </c>
      <c r="F49" s="24" t="s">
        <v>62</v>
      </c>
      <c r="G49" s="12">
        <v>0</v>
      </c>
      <c r="H49" s="88">
        <f t="shared" si="3"/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 t="shared" si="3"/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 t="shared" si="3"/>
        <v>0</v>
      </c>
      <c r="I51" s="94">
        <v>3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>
        <v>1</v>
      </c>
    </row>
  </sheetData>
  <sortState xmlns:xlrd2="http://schemas.microsoft.com/office/spreadsheetml/2017/richdata2" ref="O15:R19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C4D32-65D9-44E1-84D1-4E620156B378}">
  <sheetPr codeName="Sheet1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189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6</v>
      </c>
      <c r="C2" s="134"/>
      <c r="E2" s="26" t="s">
        <v>72</v>
      </c>
      <c r="F2" s="23" t="s">
        <v>27</v>
      </c>
      <c r="G2" s="11">
        <v>18</v>
      </c>
      <c r="H2" s="87">
        <f t="shared" ref="H2:H33" si="0">IF(B$20=0,0,G2/B$20)</f>
        <v>1</v>
      </c>
      <c r="I2" s="57">
        <v>1</v>
      </c>
      <c r="K2" s="73">
        <v>0</v>
      </c>
      <c r="L2" s="118">
        <v>0</v>
      </c>
      <c r="M2" s="116">
        <v>1433.30445236539</v>
      </c>
      <c r="O2" s="73" t="s">
        <v>128</v>
      </c>
      <c r="P2" s="79">
        <f t="shared" ref="P2:P7" si="1">IF(Q2=0,0,R2/Q2)</f>
        <v>1750</v>
      </c>
      <c r="Q2" s="76">
        <v>6</v>
      </c>
      <c r="R2" s="63">
        <v>10500</v>
      </c>
    </row>
    <row r="3" spans="1:18" x14ac:dyDescent="0.4">
      <c r="A3" s="19" t="s">
        <v>8</v>
      </c>
      <c r="B3" s="135">
        <v>53</v>
      </c>
      <c r="C3" s="136"/>
      <c r="E3" s="27" t="s">
        <v>66</v>
      </c>
      <c r="F3" s="24" t="s">
        <v>22</v>
      </c>
      <c r="G3" s="12">
        <v>10</v>
      </c>
      <c r="H3" s="88">
        <f t="shared" si="0"/>
        <v>0.55555555555555558</v>
      </c>
      <c r="I3" s="58">
        <v>5</v>
      </c>
      <c r="K3" s="74">
        <v>1</v>
      </c>
      <c r="L3" s="119">
        <v>10.1</v>
      </c>
      <c r="M3" s="117">
        <v>1435.5226256511976</v>
      </c>
      <c r="O3" s="74" t="s">
        <v>129</v>
      </c>
      <c r="P3" s="80">
        <f t="shared" si="1"/>
        <v>-2783.3333333333335</v>
      </c>
      <c r="Q3" s="77">
        <v>6</v>
      </c>
      <c r="R3" s="64">
        <v>-16700</v>
      </c>
    </row>
    <row r="4" spans="1:18" x14ac:dyDescent="0.4">
      <c r="A4" s="19" t="s">
        <v>6</v>
      </c>
      <c r="B4" s="137">
        <v>24.7</v>
      </c>
      <c r="C4" s="138"/>
      <c r="E4" s="27" t="s">
        <v>67</v>
      </c>
      <c r="F4" s="24" t="s">
        <v>23</v>
      </c>
      <c r="G4" s="12">
        <v>10</v>
      </c>
      <c r="H4" s="88">
        <f t="shared" si="0"/>
        <v>0.55555555555555558</v>
      </c>
      <c r="I4" s="58">
        <v>1</v>
      </c>
      <c r="K4" s="74">
        <v>2</v>
      </c>
      <c r="L4" s="119">
        <v>36.4</v>
      </c>
      <c r="M4" s="117">
        <v>1441.4954898972903</v>
      </c>
      <c r="O4" s="74" t="s">
        <v>130</v>
      </c>
      <c r="P4" s="80">
        <f t="shared" si="1"/>
        <v>583.33333333333337</v>
      </c>
      <c r="Q4" s="77">
        <v>6</v>
      </c>
      <c r="R4" s="64">
        <v>3500</v>
      </c>
    </row>
    <row r="5" spans="1:18" x14ac:dyDescent="0.4">
      <c r="A5" s="19" t="s">
        <v>7</v>
      </c>
      <c r="B5" s="125">
        <f>IF(B$2=0,0,B$4/B$2)</f>
        <v>4.1166666666666663</v>
      </c>
      <c r="C5" s="126"/>
      <c r="E5" s="27" t="s">
        <v>159</v>
      </c>
      <c r="F5" s="24" t="s">
        <v>160</v>
      </c>
      <c r="G5" s="12">
        <v>8</v>
      </c>
      <c r="H5" s="88">
        <f t="shared" si="0"/>
        <v>0.44444444444444442</v>
      </c>
      <c r="I5" s="58">
        <v>3</v>
      </c>
      <c r="K5" s="74">
        <v>3</v>
      </c>
      <c r="L5" s="119">
        <v>36.4</v>
      </c>
      <c r="M5" s="117">
        <v>1442.4405169579065</v>
      </c>
      <c r="O5" s="74" t="s">
        <v>131</v>
      </c>
      <c r="P5" s="80">
        <f t="shared" si="1"/>
        <v>-150</v>
      </c>
      <c r="Q5" s="77">
        <v>6</v>
      </c>
      <c r="R5" s="64">
        <v>-900</v>
      </c>
    </row>
    <row r="6" spans="1:18" x14ac:dyDescent="0.4">
      <c r="A6" s="19" t="s">
        <v>196</v>
      </c>
      <c r="B6" s="129">
        <v>1443.310212653344</v>
      </c>
      <c r="C6" s="130"/>
      <c r="E6" s="27" t="s">
        <v>64</v>
      </c>
      <c r="F6" s="24" t="s">
        <v>20</v>
      </c>
      <c r="G6" s="12">
        <v>7</v>
      </c>
      <c r="H6" s="88">
        <f t="shared" si="0"/>
        <v>0.3888888888888889</v>
      </c>
      <c r="I6" s="58">
        <v>4</v>
      </c>
      <c r="K6" s="74">
        <v>4</v>
      </c>
      <c r="L6" s="119">
        <v>13.299999999999997</v>
      </c>
      <c r="M6" s="117">
        <v>1439.257873856159</v>
      </c>
      <c r="O6" s="74" t="s">
        <v>132</v>
      </c>
      <c r="P6" s="80">
        <f t="shared" si="1"/>
        <v>3350</v>
      </c>
      <c r="Q6" s="77">
        <v>6</v>
      </c>
      <c r="R6" s="64">
        <v>20100</v>
      </c>
    </row>
    <row r="7" spans="1:18" x14ac:dyDescent="0.4">
      <c r="A7" s="19" t="s">
        <v>1</v>
      </c>
      <c r="B7" s="139">
        <f>IF(B$2=0,0,(B$8*1+B$9*2+B$10*3)/B$2)</f>
        <v>2</v>
      </c>
      <c r="C7" s="140"/>
      <c r="E7" s="27" t="s">
        <v>68</v>
      </c>
      <c r="F7" s="24" t="s">
        <v>12</v>
      </c>
      <c r="G7" s="12">
        <v>6</v>
      </c>
      <c r="H7" s="88">
        <f t="shared" si="0"/>
        <v>0.33333333333333331</v>
      </c>
      <c r="I7" s="58">
        <v>2</v>
      </c>
      <c r="K7" s="74">
        <v>5</v>
      </c>
      <c r="L7" s="119">
        <v>8.0999999999999979</v>
      </c>
      <c r="M7" s="117">
        <v>1439.3523266130221</v>
      </c>
      <c r="O7" s="75" t="s">
        <v>133</v>
      </c>
      <c r="P7" s="81">
        <f t="shared" si="1"/>
        <v>2300</v>
      </c>
      <c r="Q7" s="78">
        <v>4</v>
      </c>
      <c r="R7" s="65">
        <v>9200</v>
      </c>
    </row>
    <row r="8" spans="1:18" x14ac:dyDescent="0.4">
      <c r="A8" s="19" t="s">
        <v>2</v>
      </c>
      <c r="B8" s="12">
        <v>1</v>
      </c>
      <c r="C8" s="6">
        <f t="shared" ref="C8:C15" si="2">IF(B$2=0,0,B8/B$2)</f>
        <v>0.16666666666666666</v>
      </c>
      <c r="E8" s="27" t="s">
        <v>89</v>
      </c>
      <c r="F8" s="24" t="s">
        <v>44</v>
      </c>
      <c r="G8" s="12">
        <v>3</v>
      </c>
      <c r="H8" s="88">
        <f t="shared" si="0"/>
        <v>0.16666666666666666</v>
      </c>
      <c r="I8" s="58">
        <v>4</v>
      </c>
      <c r="K8" s="74">
        <v>6</v>
      </c>
      <c r="L8" s="119">
        <v>24.7</v>
      </c>
      <c r="M8" s="117">
        <v>1443.310212653344</v>
      </c>
      <c r="O8" s="107"/>
      <c r="P8" s="85"/>
      <c r="Q8" s="108"/>
      <c r="R8" s="70"/>
    </row>
    <row r="9" spans="1:18" x14ac:dyDescent="0.4">
      <c r="A9" s="19" t="s">
        <v>3</v>
      </c>
      <c r="B9" s="12">
        <v>4</v>
      </c>
      <c r="C9" s="6">
        <f t="shared" si="2"/>
        <v>0.66666666666666663</v>
      </c>
      <c r="E9" s="27" t="s">
        <v>65</v>
      </c>
      <c r="F9" s="24" t="s">
        <v>21</v>
      </c>
      <c r="G9" s="12">
        <v>2</v>
      </c>
      <c r="H9" s="88">
        <f t="shared" si="0"/>
        <v>0.1111111111111111</v>
      </c>
      <c r="I9" s="58">
        <v>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</v>
      </c>
      <c r="C10" s="7">
        <f t="shared" si="2"/>
        <v>0.16666666666666666</v>
      </c>
      <c r="E10" s="27" t="s">
        <v>70</v>
      </c>
      <c r="F10" s="24" t="s">
        <v>25</v>
      </c>
      <c r="G10" s="12">
        <v>1</v>
      </c>
      <c r="H10" s="88">
        <f t="shared" si="0"/>
        <v>5.5555555555555552E-2</v>
      </c>
      <c r="I10" s="58">
        <v>5</v>
      </c>
      <c r="O10" s="73" t="s">
        <v>151</v>
      </c>
      <c r="P10" s="82">
        <f>IF(Q10=0,0,R10/Q10)</f>
        <v>6.6000000000000005</v>
      </c>
      <c r="Q10" s="76">
        <v>3</v>
      </c>
      <c r="R10" s="67">
        <v>19.8</v>
      </c>
    </row>
    <row r="11" spans="1:18" x14ac:dyDescent="0.4">
      <c r="A11" s="20" t="s">
        <v>184</v>
      </c>
      <c r="B11" s="109">
        <f>IF(B8=0,0,C11/B8)</f>
        <v>16.600000000000001</v>
      </c>
      <c r="C11" s="110">
        <v>16.600000000000001</v>
      </c>
      <c r="E11" s="27" t="s">
        <v>71</v>
      </c>
      <c r="F11" s="24" t="s">
        <v>26</v>
      </c>
      <c r="G11" s="12">
        <v>1</v>
      </c>
      <c r="H11" s="88">
        <f t="shared" si="0"/>
        <v>5.5555555555555552E-2</v>
      </c>
      <c r="I11" s="58">
        <v>4</v>
      </c>
      <c r="O11" s="74" t="s">
        <v>152</v>
      </c>
      <c r="P11" s="83">
        <f>IF(Q11=0,0,R11/Q11)</f>
        <v>-5.2</v>
      </c>
      <c r="Q11" s="77">
        <v>1</v>
      </c>
      <c r="R11" s="68">
        <v>-5.2</v>
      </c>
    </row>
    <row r="12" spans="1:18" x14ac:dyDescent="0.4">
      <c r="A12" s="20" t="s">
        <v>185</v>
      </c>
      <c r="B12" s="109">
        <f>IF(B9=0,0,C12/B9)</f>
        <v>7.8</v>
      </c>
      <c r="C12" s="110">
        <v>31.2</v>
      </c>
      <c r="E12" s="27" t="s">
        <v>83</v>
      </c>
      <c r="F12" s="24" t="s">
        <v>38</v>
      </c>
      <c r="G12" s="12">
        <v>1</v>
      </c>
      <c r="H12" s="88">
        <f t="shared" si="0"/>
        <v>5.5555555555555552E-2</v>
      </c>
      <c r="I12" s="58">
        <v>4</v>
      </c>
      <c r="O12" s="75" t="s">
        <v>153</v>
      </c>
      <c r="P12" s="84">
        <f>IF(Q12=0,0,R12/Q12)</f>
        <v>5.05</v>
      </c>
      <c r="Q12" s="78">
        <v>2</v>
      </c>
      <c r="R12" s="69">
        <v>10.1</v>
      </c>
    </row>
    <row r="13" spans="1:18" x14ac:dyDescent="0.4">
      <c r="A13" s="20" t="s">
        <v>186</v>
      </c>
      <c r="B13" s="109">
        <f>IF(B10=0,0,C13/B10)</f>
        <v>-23.1</v>
      </c>
      <c r="C13" s="110">
        <v>-23.1</v>
      </c>
      <c r="E13" s="27" t="s">
        <v>86</v>
      </c>
      <c r="F13" s="24" t="s">
        <v>41</v>
      </c>
      <c r="G13" s="12">
        <v>1</v>
      </c>
      <c r="H13" s="88">
        <f t="shared" si="0"/>
        <v>5.5555555555555552E-2</v>
      </c>
      <c r="I13" s="58">
        <v>3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0.43333333333333357</v>
      </c>
      <c r="C14" s="126"/>
      <c r="E14" s="27" t="s">
        <v>91</v>
      </c>
      <c r="F14" s="24" t="s">
        <v>46</v>
      </c>
      <c r="G14" s="12">
        <v>1</v>
      </c>
      <c r="H14" s="88">
        <f t="shared" si="0"/>
        <v>5.5555555555555552E-2</v>
      </c>
      <c r="I14" s="58">
        <v>2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2"/>
        <v>0</v>
      </c>
      <c r="E15" s="27" t="s">
        <v>69</v>
      </c>
      <c r="F15" s="24" t="s">
        <v>24</v>
      </c>
      <c r="G15" s="12">
        <v>0</v>
      </c>
      <c r="H15" s="88">
        <f t="shared" si="0"/>
        <v>0</v>
      </c>
      <c r="I15" s="58">
        <v>7</v>
      </c>
      <c r="O15" s="73" t="s">
        <v>163</v>
      </c>
      <c r="P15" s="82">
        <f>IF(Q15=0,0,R15/Q15)</f>
        <v>67.650000000000006</v>
      </c>
      <c r="Q15" s="76">
        <v>2</v>
      </c>
      <c r="R15" s="67">
        <v>135.30000000000001</v>
      </c>
    </row>
    <row r="16" spans="1:18" x14ac:dyDescent="0.4">
      <c r="A16" s="22" t="s">
        <v>121</v>
      </c>
      <c r="B16" s="15">
        <v>15</v>
      </c>
      <c r="C16" s="10">
        <f>IF(B$3=0,0,B16/B$3)</f>
        <v>0.28301886792452829</v>
      </c>
      <c r="E16" s="27" t="s">
        <v>73</v>
      </c>
      <c r="F16" s="24" t="s">
        <v>28</v>
      </c>
      <c r="G16" s="12">
        <v>0</v>
      </c>
      <c r="H16" s="88">
        <f t="shared" si="0"/>
        <v>0</v>
      </c>
      <c r="I16" s="58">
        <v>3</v>
      </c>
      <c r="O16" s="74" t="s">
        <v>211</v>
      </c>
      <c r="P16" s="83">
        <f>IF(Q16=0,0,R16/Q16)</f>
        <v>30.200000000000003</v>
      </c>
      <c r="Q16" s="77">
        <v>1</v>
      </c>
      <c r="R16" s="68">
        <v>30.200000000000003</v>
      </c>
    </row>
    <row r="17" spans="1:18" x14ac:dyDescent="0.4">
      <c r="A17" s="19" t="s">
        <v>118</v>
      </c>
      <c r="B17" s="12">
        <v>23</v>
      </c>
      <c r="C17" s="6">
        <f>IF(B$3=0,0,B17/B$3)</f>
        <v>0.43396226415094341</v>
      </c>
      <c r="E17" s="27" t="s">
        <v>74</v>
      </c>
      <c r="F17" s="24" t="s">
        <v>29</v>
      </c>
      <c r="G17" s="12">
        <v>0</v>
      </c>
      <c r="H17" s="88">
        <f t="shared" si="0"/>
        <v>0</v>
      </c>
      <c r="I17" s="58">
        <v>1</v>
      </c>
      <c r="O17" s="74" t="s">
        <v>126</v>
      </c>
      <c r="P17" s="83">
        <f>IF(Q17=0,0,R17/Q17)</f>
        <v>-6.9333333333333336</v>
      </c>
      <c r="Q17" s="77">
        <v>6</v>
      </c>
      <c r="R17" s="68">
        <v>-41.6</v>
      </c>
    </row>
    <row r="18" spans="1:18" x14ac:dyDescent="0.4">
      <c r="A18" s="18" t="s">
        <v>123</v>
      </c>
      <c r="B18" s="11">
        <f>B24</f>
        <v>7</v>
      </c>
      <c r="C18" s="5">
        <f>IF(B$16=0,0,B18/B$16)</f>
        <v>0.46666666666666667</v>
      </c>
      <c r="E18" s="27" t="s">
        <v>75</v>
      </c>
      <c r="F18" s="24" t="s">
        <v>30</v>
      </c>
      <c r="G18" s="12">
        <v>0</v>
      </c>
      <c r="H18" s="88">
        <f t="shared" si="0"/>
        <v>0</v>
      </c>
      <c r="I18" s="58">
        <v>2</v>
      </c>
      <c r="O18" s="74" t="s">
        <v>192</v>
      </c>
      <c r="P18" s="83">
        <f>IF(Q18=0,0,R18/Q18)</f>
        <v>-16.600000000000001</v>
      </c>
      <c r="Q18" s="77">
        <v>3</v>
      </c>
      <c r="R18" s="68">
        <v>-49.800000000000004</v>
      </c>
    </row>
    <row r="19" spans="1:18" x14ac:dyDescent="0.4">
      <c r="A19" s="18" t="s">
        <v>124</v>
      </c>
      <c r="B19" s="11">
        <f>B25</f>
        <v>9</v>
      </c>
      <c r="C19" s="5">
        <f>IF(B$17=0,0,B19/B$17)</f>
        <v>0.39130434782608697</v>
      </c>
      <c r="E19" s="27" t="s">
        <v>76</v>
      </c>
      <c r="F19" s="24" t="s">
        <v>31</v>
      </c>
      <c r="G19" s="12">
        <v>0</v>
      </c>
      <c r="H19" s="88">
        <f t="shared" si="0"/>
        <v>0</v>
      </c>
      <c r="I19" s="58">
        <v>1</v>
      </c>
    </row>
    <row r="20" spans="1:18" x14ac:dyDescent="0.4">
      <c r="A20" s="18" t="s">
        <v>10</v>
      </c>
      <c r="B20" s="11">
        <f>B23+B22</f>
        <v>18</v>
      </c>
      <c r="C20" s="5">
        <f>IF(B$3=0,0,B20/B$3)</f>
        <v>0.33962264150943394</v>
      </c>
      <c r="E20" s="27" t="s">
        <v>77</v>
      </c>
      <c r="F20" s="24" t="s">
        <v>32</v>
      </c>
      <c r="G20" s="12">
        <v>0</v>
      </c>
      <c r="H20" s="88">
        <f t="shared" si="0"/>
        <v>0</v>
      </c>
      <c r="I20" s="58">
        <v>2</v>
      </c>
    </row>
    <row r="21" spans="1:18" x14ac:dyDescent="0.4">
      <c r="A21" s="19" t="s">
        <v>13</v>
      </c>
      <c r="B21" s="12">
        <v>7</v>
      </c>
      <c r="C21" s="6">
        <f>IF(B$3=0,0,B21/B$3)</f>
        <v>0.13207547169811321</v>
      </c>
      <c r="E21" s="27" t="s">
        <v>78</v>
      </c>
      <c r="F21" s="24" t="s">
        <v>33</v>
      </c>
      <c r="G21" s="12">
        <v>0</v>
      </c>
      <c r="H21" s="88">
        <f t="shared" si="0"/>
        <v>0</v>
      </c>
      <c r="I21" s="58">
        <v>5</v>
      </c>
    </row>
    <row r="22" spans="1:18" x14ac:dyDescent="0.4">
      <c r="A22" s="19" t="s">
        <v>12</v>
      </c>
      <c r="B22" s="12">
        <v>10</v>
      </c>
      <c r="C22" s="6">
        <f>IF(B$20=0,0,B22/B$20)</f>
        <v>0.55555555555555558</v>
      </c>
      <c r="E22" s="27" t="s">
        <v>79</v>
      </c>
      <c r="F22" s="24" t="s">
        <v>34</v>
      </c>
      <c r="G22" s="12">
        <v>0</v>
      </c>
      <c r="H22" s="88">
        <f t="shared" si="0"/>
        <v>0</v>
      </c>
      <c r="I22" s="58">
        <v>3</v>
      </c>
    </row>
    <row r="23" spans="1:18" x14ac:dyDescent="0.4">
      <c r="A23" s="19" t="s">
        <v>11</v>
      </c>
      <c r="B23" s="12">
        <v>8</v>
      </c>
      <c r="C23" s="6">
        <f>IF(B$20=0,0,B23/B$20)</f>
        <v>0.44444444444444442</v>
      </c>
      <c r="E23" s="27" t="s">
        <v>80</v>
      </c>
      <c r="F23" s="24" t="s">
        <v>35</v>
      </c>
      <c r="G23" s="12">
        <v>0</v>
      </c>
      <c r="H23" s="88">
        <f t="shared" si="0"/>
        <v>0</v>
      </c>
      <c r="I23" s="58">
        <v>1</v>
      </c>
    </row>
    <row r="24" spans="1:18" x14ac:dyDescent="0.4">
      <c r="A24" s="19" t="s">
        <v>183</v>
      </c>
      <c r="B24" s="12">
        <v>7</v>
      </c>
      <c r="C24" s="6">
        <f>IF(B$20=0,0,B24/B$20)</f>
        <v>0.3888888888888889</v>
      </c>
      <c r="E24" s="27" t="s">
        <v>81</v>
      </c>
      <c r="F24" s="24" t="s">
        <v>36</v>
      </c>
      <c r="G24" s="12">
        <v>0</v>
      </c>
      <c r="H24" s="88">
        <f t="shared" si="0"/>
        <v>0</v>
      </c>
      <c r="I24" s="58">
        <v>4</v>
      </c>
    </row>
    <row r="25" spans="1:18" x14ac:dyDescent="0.4">
      <c r="A25" s="19" t="s">
        <v>181</v>
      </c>
      <c r="B25" s="12">
        <v>9</v>
      </c>
      <c r="C25" s="6">
        <f>IF(B$20=0,0,B25/B$20)</f>
        <v>0.5</v>
      </c>
      <c r="E25" s="27" t="s">
        <v>82</v>
      </c>
      <c r="F25" s="24" t="s">
        <v>37</v>
      </c>
      <c r="G25" s="12">
        <v>0</v>
      </c>
      <c r="H25" s="88">
        <f t="shared" si="0"/>
        <v>0</v>
      </c>
      <c r="I25" s="58">
        <v>1</v>
      </c>
    </row>
    <row r="26" spans="1:18" x14ac:dyDescent="0.4">
      <c r="A26" s="19" t="s">
        <v>182</v>
      </c>
      <c r="B26" s="12">
        <v>2</v>
      </c>
      <c r="C26" s="6">
        <f>IF(B$20=0,0,B26/B$20)</f>
        <v>0.1111111111111111</v>
      </c>
      <c r="E26" s="27" t="s">
        <v>84</v>
      </c>
      <c r="F26" s="24" t="s">
        <v>39</v>
      </c>
      <c r="G26" s="12">
        <v>0</v>
      </c>
      <c r="H26" s="88">
        <f t="shared" si="0"/>
        <v>0</v>
      </c>
      <c r="I26" s="58">
        <v>1</v>
      </c>
    </row>
    <row r="27" spans="1:18" x14ac:dyDescent="0.4">
      <c r="A27" s="19" t="s">
        <v>5</v>
      </c>
      <c r="B27" s="16">
        <f>IF(B$20=0,0,C27/B$20)</f>
        <v>8355.5555555555547</v>
      </c>
      <c r="C27" s="8">
        <v>150400</v>
      </c>
      <c r="E27" s="27" t="s">
        <v>85</v>
      </c>
      <c r="F27" s="24" t="s">
        <v>40</v>
      </c>
      <c r="G27" s="12">
        <v>0</v>
      </c>
      <c r="H27" s="88">
        <f t="shared" si="0"/>
        <v>0</v>
      </c>
      <c r="I27" s="58">
        <v>2</v>
      </c>
    </row>
    <row r="28" spans="1:18" x14ac:dyDescent="0.4">
      <c r="A28" s="20" t="s">
        <v>165</v>
      </c>
      <c r="B28" s="95">
        <f>IF($B$20-B$19=0,0,C28/($B$20-B$19))</f>
        <v>10711.111111111111</v>
      </c>
      <c r="C28" s="96">
        <v>96400</v>
      </c>
      <c r="E28" s="27" t="s">
        <v>87</v>
      </c>
      <c r="F28" s="24" t="s">
        <v>42</v>
      </c>
      <c r="G28" s="12">
        <v>0</v>
      </c>
      <c r="H28" s="88">
        <f t="shared" si="0"/>
        <v>0</v>
      </c>
      <c r="I28" s="58">
        <v>1</v>
      </c>
    </row>
    <row r="29" spans="1:18" x14ac:dyDescent="0.4">
      <c r="A29" s="20" t="s">
        <v>166</v>
      </c>
      <c r="B29" s="95">
        <f>IF(B$19=0,0,C29/B$19)</f>
        <v>6000</v>
      </c>
      <c r="C29" s="96">
        <v>54000</v>
      </c>
      <c r="E29" s="27" t="s">
        <v>88</v>
      </c>
      <c r="F29" s="24" t="s">
        <v>43</v>
      </c>
      <c r="G29" s="12">
        <v>0</v>
      </c>
      <c r="H29" s="88">
        <f t="shared" si="0"/>
        <v>0</v>
      </c>
      <c r="I29" s="58">
        <v>1</v>
      </c>
    </row>
    <row r="30" spans="1:18" x14ac:dyDescent="0.4">
      <c r="A30" s="20" t="s">
        <v>164</v>
      </c>
      <c r="B30" s="95">
        <f>IF(B$21=0,0,C30/B$21)</f>
        <v>-7571.4285714285716</v>
      </c>
      <c r="C30" s="96">
        <v>-53000</v>
      </c>
      <c r="E30" s="27" t="s">
        <v>90</v>
      </c>
      <c r="F30" s="24" t="s">
        <v>45</v>
      </c>
      <c r="G30" s="12">
        <v>0</v>
      </c>
      <c r="H30" s="88">
        <f t="shared" si="0"/>
        <v>0</v>
      </c>
      <c r="I30" s="58">
        <v>1</v>
      </c>
    </row>
    <row r="31" spans="1:18" x14ac:dyDescent="0.4">
      <c r="A31" s="19" t="s">
        <v>157</v>
      </c>
      <c r="B31" s="12">
        <v>2</v>
      </c>
      <c r="C31" s="90">
        <v>2</v>
      </c>
      <c r="E31" s="27" t="s">
        <v>92</v>
      </c>
      <c r="F31" s="24" t="s">
        <v>47</v>
      </c>
      <c r="G31" s="12">
        <v>0</v>
      </c>
      <c r="H31" s="88">
        <f t="shared" si="0"/>
        <v>0</v>
      </c>
      <c r="I31" s="58">
        <v>2</v>
      </c>
    </row>
    <row r="32" spans="1:18" x14ac:dyDescent="0.4">
      <c r="A32" s="19" t="s">
        <v>158</v>
      </c>
      <c r="B32" s="12">
        <v>12</v>
      </c>
      <c r="C32" s="90">
        <v>4</v>
      </c>
      <c r="E32" s="27" t="s">
        <v>93</v>
      </c>
      <c r="F32" s="24" t="s">
        <v>48</v>
      </c>
      <c r="G32" s="12">
        <v>0</v>
      </c>
      <c r="H32" s="88">
        <f t="shared" si="0"/>
        <v>0</v>
      </c>
      <c r="I32" s="58">
        <v>1</v>
      </c>
    </row>
    <row r="33" spans="1:9" x14ac:dyDescent="0.4">
      <c r="A33" s="54" t="s">
        <v>136</v>
      </c>
      <c r="B33" s="127">
        <v>7</v>
      </c>
      <c r="C33" s="128"/>
      <c r="E33" s="27" t="s">
        <v>94</v>
      </c>
      <c r="F33" s="24" t="s">
        <v>49</v>
      </c>
      <c r="G33" s="12">
        <v>0</v>
      </c>
      <c r="H33" s="88">
        <f t="shared" si="0"/>
        <v>0</v>
      </c>
      <c r="I33" s="58">
        <v>1</v>
      </c>
    </row>
    <row r="34" spans="1:9" x14ac:dyDescent="0.4">
      <c r="A34" s="22" t="s">
        <v>180</v>
      </c>
      <c r="B34" s="129">
        <v>61300</v>
      </c>
      <c r="C34" s="130"/>
      <c r="E34" s="27" t="s">
        <v>95</v>
      </c>
      <c r="F34" s="24" t="s">
        <v>50</v>
      </c>
      <c r="G34" s="12">
        <v>0</v>
      </c>
      <c r="H34" s="88">
        <f t="shared" ref="H34:H52" si="3"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 t="shared" si="3"/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 t="shared" si="3"/>
        <v>0</v>
      </c>
      <c r="I36" s="58">
        <v>1</v>
      </c>
    </row>
    <row r="37" spans="1:9" x14ac:dyDescent="0.4">
      <c r="A37" s="54" t="s">
        <v>171</v>
      </c>
      <c r="B37" s="123">
        <v>1</v>
      </c>
      <c r="C37" s="98">
        <f t="shared" ref="C37:C49" si="4">IF(B$20=0,0,B37/B$20)</f>
        <v>5.5555555555555552E-2</v>
      </c>
      <c r="E37" s="27" t="s">
        <v>98</v>
      </c>
      <c r="F37" s="24" t="s">
        <v>53</v>
      </c>
      <c r="G37" s="12">
        <v>0</v>
      </c>
      <c r="H37" s="88">
        <f t="shared" si="3"/>
        <v>0</v>
      </c>
      <c r="I37" s="58">
        <v>1</v>
      </c>
    </row>
    <row r="38" spans="1:9" x14ac:dyDescent="0.4">
      <c r="A38" s="19" t="s">
        <v>167</v>
      </c>
      <c r="B38" s="12">
        <v>5</v>
      </c>
      <c r="C38" s="6">
        <f t="shared" si="4"/>
        <v>0.27777777777777779</v>
      </c>
      <c r="E38" s="27" t="s">
        <v>99</v>
      </c>
      <c r="F38" s="24" t="s">
        <v>54</v>
      </c>
      <c r="G38" s="12">
        <v>0</v>
      </c>
      <c r="H38" s="88">
        <f t="shared" si="3"/>
        <v>0</v>
      </c>
      <c r="I38" s="58">
        <v>1</v>
      </c>
    </row>
    <row r="39" spans="1:9" x14ac:dyDescent="0.4">
      <c r="A39" s="19" t="s">
        <v>168</v>
      </c>
      <c r="B39" s="124">
        <v>3</v>
      </c>
      <c r="C39" s="6">
        <f t="shared" si="4"/>
        <v>0.16666666666666666</v>
      </c>
      <c r="E39" s="27" t="s">
        <v>100</v>
      </c>
      <c r="F39" s="24" t="s">
        <v>55</v>
      </c>
      <c r="G39" s="12">
        <v>0</v>
      </c>
      <c r="H39" s="88">
        <f t="shared" si="3"/>
        <v>0</v>
      </c>
      <c r="I39" s="58">
        <v>1</v>
      </c>
    </row>
    <row r="40" spans="1:9" x14ac:dyDescent="0.4">
      <c r="A40" s="19" t="s">
        <v>169</v>
      </c>
      <c r="B40" s="124">
        <v>2</v>
      </c>
      <c r="C40" s="6">
        <f t="shared" si="4"/>
        <v>0.1111111111111111</v>
      </c>
      <c r="E40" s="27" t="s">
        <v>101</v>
      </c>
      <c r="F40" s="24" t="s">
        <v>56</v>
      </c>
      <c r="G40" s="12">
        <v>0</v>
      </c>
      <c r="H40" s="88">
        <f t="shared" si="3"/>
        <v>0</v>
      </c>
      <c r="I40" s="58">
        <v>1</v>
      </c>
    </row>
    <row r="41" spans="1:9" x14ac:dyDescent="0.4">
      <c r="A41" s="19" t="s">
        <v>170</v>
      </c>
      <c r="B41" s="124">
        <v>1</v>
      </c>
      <c r="C41" s="6">
        <f t="shared" si="4"/>
        <v>5.5555555555555552E-2</v>
      </c>
      <c r="E41" s="27" t="s">
        <v>102</v>
      </c>
      <c r="F41" s="24" t="s">
        <v>57</v>
      </c>
      <c r="G41" s="12">
        <v>0</v>
      </c>
      <c r="H41" s="88">
        <f t="shared" si="3"/>
        <v>0</v>
      </c>
      <c r="I41" s="58">
        <v>1</v>
      </c>
    </row>
    <row r="42" spans="1:9" x14ac:dyDescent="0.4">
      <c r="A42" s="19" t="s">
        <v>172</v>
      </c>
      <c r="B42" s="124">
        <v>1</v>
      </c>
      <c r="C42" s="6">
        <f t="shared" si="4"/>
        <v>5.5555555555555552E-2</v>
      </c>
      <c r="E42" s="27" t="s">
        <v>103</v>
      </c>
      <c r="F42" s="24" t="s">
        <v>58</v>
      </c>
      <c r="G42" s="12">
        <v>0</v>
      </c>
      <c r="H42" s="88">
        <f t="shared" si="3"/>
        <v>0</v>
      </c>
      <c r="I42" s="58">
        <v>1</v>
      </c>
    </row>
    <row r="43" spans="1:9" x14ac:dyDescent="0.4">
      <c r="A43" s="19" t="s">
        <v>173</v>
      </c>
      <c r="B43" s="124">
        <v>2</v>
      </c>
      <c r="C43" s="6">
        <f t="shared" si="4"/>
        <v>0.1111111111111111</v>
      </c>
      <c r="E43" s="27" t="s">
        <v>104</v>
      </c>
      <c r="F43" s="24" t="s">
        <v>59</v>
      </c>
      <c r="G43" s="12">
        <v>0</v>
      </c>
      <c r="H43" s="88">
        <f t="shared" si="3"/>
        <v>0</v>
      </c>
      <c r="I43" s="58">
        <v>1</v>
      </c>
    </row>
    <row r="44" spans="1:9" x14ac:dyDescent="0.4">
      <c r="A44" s="19" t="s">
        <v>174</v>
      </c>
      <c r="B44" s="124">
        <v>1</v>
      </c>
      <c r="C44" s="6">
        <f t="shared" si="4"/>
        <v>5.5555555555555552E-2</v>
      </c>
      <c r="E44" s="27" t="s">
        <v>105</v>
      </c>
      <c r="F44" s="24" t="s">
        <v>112</v>
      </c>
      <c r="G44" s="12">
        <v>0</v>
      </c>
      <c r="H44" s="88">
        <f t="shared" si="3"/>
        <v>0</v>
      </c>
      <c r="I44" s="58">
        <v>1</v>
      </c>
    </row>
    <row r="45" spans="1:9" x14ac:dyDescent="0.4">
      <c r="A45" s="19" t="s">
        <v>175</v>
      </c>
      <c r="B45" s="124">
        <v>1</v>
      </c>
      <c r="C45" s="6">
        <f t="shared" si="4"/>
        <v>5.5555555555555552E-2</v>
      </c>
      <c r="E45" s="27" t="s">
        <v>106</v>
      </c>
      <c r="F45" s="24" t="s">
        <v>113</v>
      </c>
      <c r="G45" s="12">
        <v>0</v>
      </c>
      <c r="H45" s="88">
        <f t="shared" si="3"/>
        <v>0</v>
      </c>
      <c r="I45" s="58">
        <v>1</v>
      </c>
    </row>
    <row r="46" spans="1:9" x14ac:dyDescent="0.4">
      <c r="A46" s="19" t="s">
        <v>176</v>
      </c>
      <c r="B46" s="124">
        <v>1</v>
      </c>
      <c r="C46" s="6">
        <f t="shared" si="4"/>
        <v>5.5555555555555552E-2</v>
      </c>
      <c r="E46" s="27" t="s">
        <v>107</v>
      </c>
      <c r="F46" s="24" t="s">
        <v>114</v>
      </c>
      <c r="G46" s="12">
        <v>0</v>
      </c>
      <c r="H46" s="88">
        <f t="shared" si="3"/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4"/>
        <v>0</v>
      </c>
      <c r="E47" s="27" t="s">
        <v>108</v>
      </c>
      <c r="F47" s="24" t="s">
        <v>60</v>
      </c>
      <c r="G47" s="12">
        <v>0</v>
      </c>
      <c r="H47" s="88">
        <f t="shared" si="3"/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4"/>
        <v>0</v>
      </c>
      <c r="E48" s="27" t="s">
        <v>109</v>
      </c>
      <c r="F48" s="24" t="s">
        <v>61</v>
      </c>
      <c r="G48" s="12">
        <v>0</v>
      </c>
      <c r="H48" s="88">
        <f t="shared" si="3"/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4"/>
        <v>0</v>
      </c>
      <c r="E49" s="27" t="s">
        <v>110</v>
      </c>
      <c r="F49" s="24" t="s">
        <v>62</v>
      </c>
      <c r="G49" s="12">
        <v>0</v>
      </c>
      <c r="H49" s="88">
        <f t="shared" si="3"/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 t="shared" si="3"/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 t="shared" si="3"/>
        <v>0</v>
      </c>
      <c r="I51" s="94">
        <v>3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>
        <v>1</v>
      </c>
    </row>
  </sheetData>
  <sortState xmlns:xlrd2="http://schemas.microsoft.com/office/spreadsheetml/2017/richdata2" ref="O15:R18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7FA72E-E6D7-4445-B1A7-3296DC9F8713}">
  <sheetPr codeName="Sheet1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190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3</v>
      </c>
      <c r="C2" s="134"/>
      <c r="E2" s="26" t="s">
        <v>159</v>
      </c>
      <c r="F2" s="23" t="s">
        <v>160</v>
      </c>
      <c r="G2" s="11">
        <v>3</v>
      </c>
      <c r="H2" s="87">
        <f t="shared" ref="H2:H33" si="0">IF(B$20=0,0,G2/B$20)</f>
        <v>1</v>
      </c>
      <c r="I2" s="57">
        <v>1</v>
      </c>
      <c r="K2" s="73">
        <v>0</v>
      </c>
      <c r="L2" s="118">
        <v>0</v>
      </c>
      <c r="M2" s="116">
        <v>1524.3778689305989</v>
      </c>
      <c r="O2" s="73" t="s">
        <v>128</v>
      </c>
      <c r="P2" s="79">
        <f t="shared" ref="P2:P7" si="1">IF(Q2=0,0,R2/Q2)</f>
        <v>2566.6666666666665</v>
      </c>
      <c r="Q2" s="76">
        <v>3</v>
      </c>
      <c r="R2" s="63">
        <v>7700</v>
      </c>
    </row>
    <row r="3" spans="1:18" x14ac:dyDescent="0.4">
      <c r="A3" s="19" t="s">
        <v>8</v>
      </c>
      <c r="B3" s="135">
        <v>21</v>
      </c>
      <c r="C3" s="136"/>
      <c r="E3" s="27" t="s">
        <v>69</v>
      </c>
      <c r="F3" s="24" t="s">
        <v>24</v>
      </c>
      <c r="G3" s="12">
        <v>2</v>
      </c>
      <c r="H3" s="88">
        <f t="shared" si="0"/>
        <v>0.66666666666666663</v>
      </c>
      <c r="I3" s="58">
        <v>1</v>
      </c>
      <c r="K3" s="74">
        <v>1</v>
      </c>
      <c r="L3" s="119">
        <v>-33.6</v>
      </c>
      <c r="M3" s="117">
        <v>1518.8856017170153</v>
      </c>
      <c r="O3" s="74" t="s">
        <v>129</v>
      </c>
      <c r="P3" s="80">
        <f t="shared" si="1"/>
        <v>4066.6666666666665</v>
      </c>
      <c r="Q3" s="77">
        <v>3</v>
      </c>
      <c r="R3" s="64">
        <v>12200</v>
      </c>
    </row>
    <row r="4" spans="1:18" x14ac:dyDescent="0.4">
      <c r="A4" s="19" t="s">
        <v>6</v>
      </c>
      <c r="B4" s="137">
        <v>-40.4</v>
      </c>
      <c r="C4" s="138"/>
      <c r="E4" s="27" t="s">
        <v>64</v>
      </c>
      <c r="F4" s="24" t="s">
        <v>20</v>
      </c>
      <c r="G4" s="12">
        <v>1</v>
      </c>
      <c r="H4" s="88">
        <f t="shared" si="0"/>
        <v>0.33333333333333331</v>
      </c>
      <c r="I4" s="58">
        <v>6</v>
      </c>
      <c r="K4" s="74">
        <v>2</v>
      </c>
      <c r="L4" s="119">
        <v>-36.9</v>
      </c>
      <c r="M4" s="117">
        <v>1518.9042881067132</v>
      </c>
      <c r="O4" s="74" t="s">
        <v>130</v>
      </c>
      <c r="P4" s="80">
        <f t="shared" si="1"/>
        <v>-2766.6666666666665</v>
      </c>
      <c r="Q4" s="77">
        <v>3</v>
      </c>
      <c r="R4" s="64">
        <v>-8300</v>
      </c>
    </row>
    <row r="5" spans="1:18" x14ac:dyDescent="0.4">
      <c r="A5" s="19" t="s">
        <v>7</v>
      </c>
      <c r="B5" s="125">
        <f>IF(B$2=0,0,B$4/B$2)</f>
        <v>-13.466666666666667</v>
      </c>
      <c r="C5" s="126"/>
      <c r="E5" s="27" t="s">
        <v>67</v>
      </c>
      <c r="F5" s="24" t="s">
        <v>23</v>
      </c>
      <c r="G5" s="12">
        <v>1</v>
      </c>
      <c r="H5" s="88">
        <f t="shared" si="0"/>
        <v>0.33333333333333331</v>
      </c>
      <c r="I5" s="58">
        <v>2</v>
      </c>
      <c r="K5" s="74">
        <v>3</v>
      </c>
      <c r="L5" s="119">
        <v>-40.4</v>
      </c>
      <c r="M5" s="117">
        <v>1518.8868623780729</v>
      </c>
      <c r="O5" s="74" t="s">
        <v>131</v>
      </c>
      <c r="P5" s="80">
        <f t="shared" si="1"/>
        <v>-9750</v>
      </c>
      <c r="Q5" s="77">
        <v>2</v>
      </c>
      <c r="R5" s="64">
        <v>-19500</v>
      </c>
    </row>
    <row r="6" spans="1:18" x14ac:dyDescent="0.4">
      <c r="A6" s="19" t="s">
        <v>196</v>
      </c>
      <c r="B6" s="129">
        <v>1518.8868623780729</v>
      </c>
      <c r="C6" s="130"/>
      <c r="E6" s="27" t="s">
        <v>72</v>
      </c>
      <c r="F6" s="24" t="s">
        <v>27</v>
      </c>
      <c r="G6" s="12">
        <v>1</v>
      </c>
      <c r="H6" s="88">
        <f t="shared" si="0"/>
        <v>0.33333333333333331</v>
      </c>
      <c r="I6" s="58">
        <v>7</v>
      </c>
      <c r="O6" s="74" t="s">
        <v>132</v>
      </c>
      <c r="P6" s="80">
        <f t="shared" si="1"/>
        <v>-10500</v>
      </c>
      <c r="Q6" s="77">
        <v>2</v>
      </c>
      <c r="R6" s="64">
        <v>-21000</v>
      </c>
    </row>
    <row r="7" spans="1:18" x14ac:dyDescent="0.4">
      <c r="A7" s="19" t="s">
        <v>1</v>
      </c>
      <c r="B7" s="139">
        <f>IF(B$2=0,0,(B$8*1+B$9*2+B$10*3)/B$2)</f>
        <v>2.3333333333333335</v>
      </c>
      <c r="C7" s="140"/>
      <c r="E7" s="27" t="s">
        <v>89</v>
      </c>
      <c r="F7" s="24" t="s">
        <v>44</v>
      </c>
      <c r="G7" s="12">
        <v>1</v>
      </c>
      <c r="H7" s="88">
        <f t="shared" si="0"/>
        <v>0.33333333333333331</v>
      </c>
      <c r="I7" s="58">
        <v>1</v>
      </c>
      <c r="O7" s="75" t="s">
        <v>133</v>
      </c>
      <c r="P7" s="81">
        <f t="shared" si="1"/>
        <v>-750</v>
      </c>
      <c r="Q7" s="78">
        <v>2</v>
      </c>
      <c r="R7" s="65">
        <v>-1500</v>
      </c>
    </row>
    <row r="8" spans="1:18" x14ac:dyDescent="0.4">
      <c r="A8" s="19" t="s">
        <v>2</v>
      </c>
      <c r="B8" s="12">
        <v>0</v>
      </c>
      <c r="C8" s="6">
        <f t="shared" ref="C8:C15" si="2">IF(B$2=0,0,B8/B$2)</f>
        <v>0</v>
      </c>
      <c r="E8" s="27" t="s">
        <v>65</v>
      </c>
      <c r="F8" s="24" t="s">
        <v>21</v>
      </c>
      <c r="G8" s="12">
        <v>0</v>
      </c>
      <c r="H8" s="88">
        <f t="shared" si="0"/>
        <v>0</v>
      </c>
      <c r="I8" s="58">
        <v>5</v>
      </c>
      <c r="O8" s="107"/>
      <c r="P8" s="85"/>
      <c r="Q8" s="108"/>
      <c r="R8" s="70"/>
    </row>
    <row r="9" spans="1:18" x14ac:dyDescent="0.4">
      <c r="A9" s="19" t="s">
        <v>3</v>
      </c>
      <c r="B9" s="12">
        <v>2</v>
      </c>
      <c r="C9" s="6">
        <f t="shared" si="2"/>
        <v>0.66666666666666663</v>
      </c>
      <c r="E9" s="27" t="s">
        <v>66</v>
      </c>
      <c r="F9" s="24" t="s">
        <v>22</v>
      </c>
      <c r="G9" s="12">
        <v>0</v>
      </c>
      <c r="H9" s="88">
        <f t="shared" si="0"/>
        <v>0</v>
      </c>
      <c r="I9" s="58">
        <v>7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</v>
      </c>
      <c r="C10" s="7">
        <f t="shared" si="2"/>
        <v>0.33333333333333331</v>
      </c>
      <c r="E10" s="27" t="s">
        <v>68</v>
      </c>
      <c r="F10" s="24" t="s">
        <v>12</v>
      </c>
      <c r="G10" s="12">
        <v>0</v>
      </c>
      <c r="H10" s="88">
        <f t="shared" si="0"/>
        <v>0</v>
      </c>
      <c r="I10" s="58">
        <v>7</v>
      </c>
      <c r="O10" s="73" t="s">
        <v>151</v>
      </c>
      <c r="P10" s="82">
        <f>IF(Q10=0,0,R10/Q10)</f>
        <v>-33.6</v>
      </c>
      <c r="Q10" s="76">
        <v>1</v>
      </c>
      <c r="R10" s="67">
        <v>-33.6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70</v>
      </c>
      <c r="F11" s="24" t="s">
        <v>25</v>
      </c>
      <c r="G11" s="12">
        <v>0</v>
      </c>
      <c r="H11" s="88">
        <f t="shared" si="0"/>
        <v>0</v>
      </c>
      <c r="I11" s="58">
        <v>7</v>
      </c>
      <c r="O11" s="74" t="s">
        <v>152</v>
      </c>
      <c r="P11" s="83">
        <f>IF(Q11=0,0,R11/Q11)</f>
        <v>-3.3</v>
      </c>
      <c r="Q11" s="77">
        <v>1</v>
      </c>
      <c r="R11" s="68">
        <v>-3.3</v>
      </c>
    </row>
    <row r="12" spans="1:18" x14ac:dyDescent="0.4">
      <c r="A12" s="20" t="s">
        <v>185</v>
      </c>
      <c r="B12" s="109">
        <f>IF(B9=0,0,C12/B9)</f>
        <v>-3.4</v>
      </c>
      <c r="C12" s="110">
        <v>-6.8</v>
      </c>
      <c r="E12" s="27" t="s">
        <v>71</v>
      </c>
      <c r="F12" s="24" t="s">
        <v>26</v>
      </c>
      <c r="G12" s="12">
        <v>0</v>
      </c>
      <c r="H12" s="88">
        <f t="shared" si="0"/>
        <v>0</v>
      </c>
      <c r="I12" s="58">
        <v>7</v>
      </c>
      <c r="O12" s="75" t="s">
        <v>153</v>
      </c>
      <c r="P12" s="84">
        <f>IF(Q12=0,0,R12/Q12)</f>
        <v>-3.5</v>
      </c>
      <c r="Q12" s="78">
        <v>1</v>
      </c>
      <c r="R12" s="69">
        <v>-3.5</v>
      </c>
    </row>
    <row r="13" spans="1:18" x14ac:dyDescent="0.4">
      <c r="A13" s="20" t="s">
        <v>186</v>
      </c>
      <c r="B13" s="109">
        <f>IF(B10=0,0,C13/B10)</f>
        <v>-33.6</v>
      </c>
      <c r="C13" s="110">
        <v>-33.6</v>
      </c>
      <c r="E13" s="27" t="s">
        <v>73</v>
      </c>
      <c r="F13" s="24" t="s">
        <v>28</v>
      </c>
      <c r="G13" s="12">
        <v>0</v>
      </c>
      <c r="H13" s="88">
        <f t="shared" si="0"/>
        <v>0</v>
      </c>
      <c r="I13" s="58">
        <v>3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-12.333333333333334</v>
      </c>
      <c r="C14" s="126"/>
      <c r="E14" s="27" t="s">
        <v>74</v>
      </c>
      <c r="F14" s="24" t="s">
        <v>29</v>
      </c>
      <c r="G14" s="12">
        <v>0</v>
      </c>
      <c r="H14" s="88">
        <f t="shared" si="0"/>
        <v>0</v>
      </c>
      <c r="I14" s="58">
        <v>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2"/>
        <v>0</v>
      </c>
      <c r="E15" s="27" t="s">
        <v>75</v>
      </c>
      <c r="F15" s="24" t="s">
        <v>30</v>
      </c>
      <c r="G15" s="12">
        <v>0</v>
      </c>
      <c r="H15" s="88">
        <f t="shared" si="0"/>
        <v>0</v>
      </c>
      <c r="I15" s="58">
        <v>2</v>
      </c>
      <c r="O15" s="73" t="s">
        <v>211</v>
      </c>
      <c r="P15" s="82">
        <f>IF(Q15=0,0,R15/Q15)</f>
        <v>-6.5999999999999988</v>
      </c>
      <c r="Q15" s="76">
        <v>3</v>
      </c>
      <c r="R15" s="67">
        <v>-19.799999999999997</v>
      </c>
    </row>
    <row r="16" spans="1:18" x14ac:dyDescent="0.4">
      <c r="A16" s="22" t="s">
        <v>121</v>
      </c>
      <c r="B16" s="15">
        <v>2</v>
      </c>
      <c r="C16" s="10">
        <f>IF(B$3=0,0,B16/B$3)</f>
        <v>9.5238095238095233E-2</v>
      </c>
      <c r="E16" s="27" t="s">
        <v>76</v>
      </c>
      <c r="F16" s="24" t="s">
        <v>31</v>
      </c>
      <c r="G16" s="12">
        <v>0</v>
      </c>
      <c r="H16" s="88">
        <f t="shared" si="0"/>
        <v>0</v>
      </c>
      <c r="I16" s="58">
        <v>1</v>
      </c>
      <c r="O16" s="74" t="s">
        <v>126</v>
      </c>
      <c r="P16" s="83">
        <f>IF(Q16=0,0,R16/Q16)</f>
        <v>-33.800000000000004</v>
      </c>
      <c r="Q16" s="77">
        <v>3</v>
      </c>
      <c r="R16" s="68">
        <v>-101.4</v>
      </c>
    </row>
    <row r="17" spans="1:9" x14ac:dyDescent="0.4">
      <c r="A17" s="19" t="s">
        <v>118</v>
      </c>
      <c r="B17" s="12">
        <v>5</v>
      </c>
      <c r="C17" s="6">
        <f>IF(B$3=0,0,B17/B$3)</f>
        <v>0.23809523809523808</v>
      </c>
      <c r="E17" s="27" t="s">
        <v>77</v>
      </c>
      <c r="F17" s="24" t="s">
        <v>32</v>
      </c>
      <c r="G17" s="12">
        <v>0</v>
      </c>
      <c r="H17" s="88">
        <f t="shared" si="0"/>
        <v>0</v>
      </c>
      <c r="I17" s="58">
        <v>2</v>
      </c>
    </row>
    <row r="18" spans="1:9" x14ac:dyDescent="0.4">
      <c r="A18" s="18" t="s">
        <v>123</v>
      </c>
      <c r="B18" s="11">
        <f>B24</f>
        <v>1</v>
      </c>
      <c r="C18" s="5">
        <f>IF(B$16=0,0,B18/B$16)</f>
        <v>0.5</v>
      </c>
      <c r="E18" s="27" t="s">
        <v>78</v>
      </c>
      <c r="F18" s="24" t="s">
        <v>33</v>
      </c>
      <c r="G18" s="12">
        <v>0</v>
      </c>
      <c r="H18" s="88">
        <f t="shared" si="0"/>
        <v>0</v>
      </c>
      <c r="I18" s="58">
        <v>5</v>
      </c>
    </row>
    <row r="19" spans="1:9" x14ac:dyDescent="0.4">
      <c r="A19" s="18" t="s">
        <v>124</v>
      </c>
      <c r="B19" s="11">
        <f>B25</f>
        <v>1</v>
      </c>
      <c r="C19" s="5">
        <f>IF(B$17=0,0,B19/B$17)</f>
        <v>0.2</v>
      </c>
      <c r="E19" s="27" t="s">
        <v>79</v>
      </c>
      <c r="F19" s="24" t="s">
        <v>34</v>
      </c>
      <c r="G19" s="12">
        <v>0</v>
      </c>
      <c r="H19" s="88">
        <f t="shared" si="0"/>
        <v>0</v>
      </c>
      <c r="I19" s="58">
        <v>3</v>
      </c>
    </row>
    <row r="20" spans="1:9" x14ac:dyDescent="0.4">
      <c r="A20" s="18" t="s">
        <v>10</v>
      </c>
      <c r="B20" s="11">
        <f>B23+B22</f>
        <v>3</v>
      </c>
      <c r="C20" s="5">
        <f>IF(B$3=0,0,B20/B$3)</f>
        <v>0.14285714285714285</v>
      </c>
      <c r="E20" s="27" t="s">
        <v>80</v>
      </c>
      <c r="F20" s="24" t="s">
        <v>35</v>
      </c>
      <c r="G20" s="12">
        <v>0</v>
      </c>
      <c r="H20" s="88">
        <f t="shared" si="0"/>
        <v>0</v>
      </c>
      <c r="I20" s="58">
        <v>1</v>
      </c>
    </row>
    <row r="21" spans="1:9" x14ac:dyDescent="0.4">
      <c r="A21" s="19" t="s">
        <v>13</v>
      </c>
      <c r="B21" s="12">
        <v>1</v>
      </c>
      <c r="C21" s="6">
        <f>IF(B$3=0,0,B21/B$3)</f>
        <v>4.7619047619047616E-2</v>
      </c>
      <c r="E21" s="27" t="s">
        <v>81</v>
      </c>
      <c r="F21" s="24" t="s">
        <v>36</v>
      </c>
      <c r="G21" s="12">
        <v>0</v>
      </c>
      <c r="H21" s="88">
        <f t="shared" si="0"/>
        <v>0</v>
      </c>
      <c r="I21" s="58">
        <v>4</v>
      </c>
    </row>
    <row r="22" spans="1:9" x14ac:dyDescent="0.4">
      <c r="A22" s="19" t="s">
        <v>12</v>
      </c>
      <c r="B22" s="12">
        <v>0</v>
      </c>
      <c r="C22" s="6">
        <f>IF(B$20=0,0,B22/B$20)</f>
        <v>0</v>
      </c>
      <c r="E22" s="27" t="s">
        <v>82</v>
      </c>
      <c r="F22" s="24" t="s">
        <v>37</v>
      </c>
      <c r="G22" s="12">
        <v>0</v>
      </c>
      <c r="H22" s="88">
        <f t="shared" si="0"/>
        <v>0</v>
      </c>
      <c r="I22" s="58">
        <v>1</v>
      </c>
    </row>
    <row r="23" spans="1:9" x14ac:dyDescent="0.4">
      <c r="A23" s="19" t="s">
        <v>11</v>
      </c>
      <c r="B23" s="12">
        <v>3</v>
      </c>
      <c r="C23" s="6">
        <f>IF(B$20=0,0,B23/B$20)</f>
        <v>1</v>
      </c>
      <c r="E23" s="27" t="s">
        <v>83</v>
      </c>
      <c r="F23" s="24" t="s">
        <v>38</v>
      </c>
      <c r="G23" s="12">
        <v>0</v>
      </c>
      <c r="H23" s="88">
        <f t="shared" si="0"/>
        <v>0</v>
      </c>
      <c r="I23" s="58">
        <v>5</v>
      </c>
    </row>
    <row r="24" spans="1:9" x14ac:dyDescent="0.4">
      <c r="A24" s="19" t="s">
        <v>183</v>
      </c>
      <c r="B24" s="12">
        <v>1</v>
      </c>
      <c r="C24" s="6">
        <f>IF(B$20=0,0,B24/B$20)</f>
        <v>0.33333333333333331</v>
      </c>
      <c r="E24" s="27" t="s">
        <v>84</v>
      </c>
      <c r="F24" s="24" t="s">
        <v>39</v>
      </c>
      <c r="G24" s="12">
        <v>0</v>
      </c>
      <c r="H24" s="88">
        <f t="shared" si="0"/>
        <v>0</v>
      </c>
      <c r="I24" s="58">
        <v>1</v>
      </c>
    </row>
    <row r="25" spans="1:9" x14ac:dyDescent="0.4">
      <c r="A25" s="19" t="s">
        <v>181</v>
      </c>
      <c r="B25" s="12">
        <v>1</v>
      </c>
      <c r="C25" s="6">
        <f>IF(B$20=0,0,B25/B$20)</f>
        <v>0.33333333333333331</v>
      </c>
      <c r="E25" s="27" t="s">
        <v>85</v>
      </c>
      <c r="F25" s="24" t="s">
        <v>40</v>
      </c>
      <c r="G25" s="12">
        <v>0</v>
      </c>
      <c r="H25" s="88">
        <f t="shared" si="0"/>
        <v>0</v>
      </c>
      <c r="I25" s="58">
        <v>2</v>
      </c>
    </row>
    <row r="26" spans="1:9" x14ac:dyDescent="0.4">
      <c r="A26" s="19" t="s">
        <v>182</v>
      </c>
      <c r="B26" s="12">
        <v>1</v>
      </c>
      <c r="C26" s="6">
        <f>IF(B$20=0,0,B26/B$20)</f>
        <v>0.33333333333333331</v>
      </c>
      <c r="E26" s="27" t="s">
        <v>86</v>
      </c>
      <c r="F26" s="24" t="s">
        <v>41</v>
      </c>
      <c r="G26" s="12">
        <v>0</v>
      </c>
      <c r="H26" s="88">
        <f t="shared" si="0"/>
        <v>0</v>
      </c>
      <c r="I26" s="58">
        <v>7</v>
      </c>
    </row>
    <row r="27" spans="1:9" x14ac:dyDescent="0.4">
      <c r="A27" s="19" t="s">
        <v>5</v>
      </c>
      <c r="B27" s="16">
        <f>IF(B$20=0,0,C27/B$20)</f>
        <v>5800</v>
      </c>
      <c r="C27" s="8">
        <v>17400</v>
      </c>
      <c r="E27" s="27" t="s">
        <v>87</v>
      </c>
      <c r="F27" s="24" t="s">
        <v>42</v>
      </c>
      <c r="G27" s="12">
        <v>0</v>
      </c>
      <c r="H27" s="88">
        <f t="shared" si="0"/>
        <v>0</v>
      </c>
      <c r="I27" s="58">
        <v>1</v>
      </c>
    </row>
    <row r="28" spans="1:9" x14ac:dyDescent="0.4">
      <c r="A28" s="20" t="s">
        <v>165</v>
      </c>
      <c r="B28" s="95">
        <f>IF($B$20-B$19=0,0,C28/($B$20-B$19))</f>
        <v>4850</v>
      </c>
      <c r="C28" s="96">
        <v>9700</v>
      </c>
      <c r="E28" s="27" t="s">
        <v>88</v>
      </c>
      <c r="F28" s="24" t="s">
        <v>43</v>
      </c>
      <c r="G28" s="12">
        <v>0</v>
      </c>
      <c r="H28" s="88">
        <f t="shared" si="0"/>
        <v>0</v>
      </c>
      <c r="I28" s="58">
        <v>1</v>
      </c>
    </row>
    <row r="29" spans="1:9" x14ac:dyDescent="0.4">
      <c r="A29" s="20" t="s">
        <v>166</v>
      </c>
      <c r="B29" s="95">
        <f>IF(B$19=0,0,C29/B$19)</f>
        <v>7700</v>
      </c>
      <c r="C29" s="96">
        <v>7700</v>
      </c>
      <c r="E29" s="27" t="s">
        <v>90</v>
      </c>
      <c r="F29" s="24" t="s">
        <v>45</v>
      </c>
      <c r="G29" s="12">
        <v>0</v>
      </c>
      <c r="H29" s="88">
        <f t="shared" si="0"/>
        <v>0</v>
      </c>
      <c r="I29" s="58">
        <v>1</v>
      </c>
    </row>
    <row r="30" spans="1:9" x14ac:dyDescent="0.4">
      <c r="A30" s="20" t="s">
        <v>164</v>
      </c>
      <c r="B30" s="95">
        <f>IF(B$21=0,0,C30/B$21)</f>
        <v>-3900</v>
      </c>
      <c r="C30" s="96">
        <v>-3900</v>
      </c>
      <c r="E30" s="27" t="s">
        <v>91</v>
      </c>
      <c r="F30" s="24" t="s">
        <v>46</v>
      </c>
      <c r="G30" s="12">
        <v>0</v>
      </c>
      <c r="H30" s="88">
        <f t="shared" si="0"/>
        <v>0</v>
      </c>
      <c r="I30" s="58">
        <v>3</v>
      </c>
    </row>
    <row r="31" spans="1:9" x14ac:dyDescent="0.4">
      <c r="A31" s="19" t="s">
        <v>157</v>
      </c>
      <c r="B31" s="12">
        <v>1</v>
      </c>
      <c r="C31" s="90">
        <v>0</v>
      </c>
      <c r="E31" s="27" t="s">
        <v>92</v>
      </c>
      <c r="F31" s="24" t="s">
        <v>47</v>
      </c>
      <c r="G31" s="12">
        <v>0</v>
      </c>
      <c r="H31" s="88">
        <f t="shared" si="0"/>
        <v>0</v>
      </c>
      <c r="I31" s="58">
        <v>2</v>
      </c>
    </row>
    <row r="32" spans="1:9" x14ac:dyDescent="0.4">
      <c r="A32" s="19" t="s">
        <v>158</v>
      </c>
      <c r="B32" s="12">
        <v>15</v>
      </c>
      <c r="C32" s="90">
        <v>15</v>
      </c>
      <c r="E32" s="27" t="s">
        <v>93</v>
      </c>
      <c r="F32" s="24" t="s">
        <v>48</v>
      </c>
      <c r="G32" s="12">
        <v>0</v>
      </c>
      <c r="H32" s="88">
        <f t="shared" si="0"/>
        <v>0</v>
      </c>
      <c r="I32" s="58">
        <v>1</v>
      </c>
    </row>
    <row r="33" spans="1:9" x14ac:dyDescent="0.4">
      <c r="A33" s="54" t="s">
        <v>136</v>
      </c>
      <c r="B33" s="127">
        <v>2</v>
      </c>
      <c r="C33" s="128"/>
      <c r="E33" s="27" t="s">
        <v>94</v>
      </c>
      <c r="F33" s="24" t="s">
        <v>49</v>
      </c>
      <c r="G33" s="12">
        <v>0</v>
      </c>
      <c r="H33" s="88">
        <f t="shared" si="0"/>
        <v>0</v>
      </c>
      <c r="I33" s="58">
        <v>1</v>
      </c>
    </row>
    <row r="34" spans="1:9" x14ac:dyDescent="0.4">
      <c r="A34" s="22" t="s">
        <v>180</v>
      </c>
      <c r="B34" s="129">
        <v>31700</v>
      </c>
      <c r="C34" s="130"/>
      <c r="E34" s="27" t="s">
        <v>95</v>
      </c>
      <c r="F34" s="24" t="s">
        <v>50</v>
      </c>
      <c r="G34" s="12">
        <v>0</v>
      </c>
      <c r="H34" s="88">
        <f t="shared" ref="H34:H52" si="3"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 t="shared" si="3"/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 t="shared" si="3"/>
        <v>0</v>
      </c>
      <c r="I36" s="58">
        <v>1</v>
      </c>
    </row>
    <row r="37" spans="1:9" x14ac:dyDescent="0.4">
      <c r="A37" s="54" t="s">
        <v>171</v>
      </c>
      <c r="B37" s="123">
        <v>0</v>
      </c>
      <c r="C37" s="98">
        <f t="shared" ref="C37:C49" si="4">IF(B$20=0,0,B37/B$20)</f>
        <v>0</v>
      </c>
      <c r="E37" s="27" t="s">
        <v>98</v>
      </c>
      <c r="F37" s="24" t="s">
        <v>53</v>
      </c>
      <c r="G37" s="12">
        <v>0</v>
      </c>
      <c r="H37" s="88">
        <f t="shared" si="3"/>
        <v>0</v>
      </c>
      <c r="I37" s="58">
        <v>1</v>
      </c>
    </row>
    <row r="38" spans="1:9" x14ac:dyDescent="0.4">
      <c r="A38" s="19" t="s">
        <v>167</v>
      </c>
      <c r="B38" s="12">
        <v>1</v>
      </c>
      <c r="C38" s="6">
        <f t="shared" si="4"/>
        <v>0.33333333333333331</v>
      </c>
      <c r="E38" s="27" t="s">
        <v>99</v>
      </c>
      <c r="F38" s="24" t="s">
        <v>54</v>
      </c>
      <c r="G38" s="12">
        <v>0</v>
      </c>
      <c r="H38" s="88">
        <f t="shared" si="3"/>
        <v>0</v>
      </c>
      <c r="I38" s="58">
        <v>1</v>
      </c>
    </row>
    <row r="39" spans="1:9" x14ac:dyDescent="0.4">
      <c r="A39" s="19" t="s">
        <v>168</v>
      </c>
      <c r="B39" s="124">
        <v>0</v>
      </c>
      <c r="C39" s="6">
        <f t="shared" si="4"/>
        <v>0</v>
      </c>
      <c r="E39" s="27" t="s">
        <v>100</v>
      </c>
      <c r="F39" s="24" t="s">
        <v>55</v>
      </c>
      <c r="G39" s="12">
        <v>0</v>
      </c>
      <c r="H39" s="88">
        <f t="shared" si="3"/>
        <v>0</v>
      </c>
      <c r="I39" s="58">
        <v>1</v>
      </c>
    </row>
    <row r="40" spans="1:9" x14ac:dyDescent="0.4">
      <c r="A40" s="19" t="s">
        <v>169</v>
      </c>
      <c r="B40" s="124">
        <v>2</v>
      </c>
      <c r="C40" s="6">
        <f t="shared" si="4"/>
        <v>0.66666666666666663</v>
      </c>
      <c r="E40" s="27" t="s">
        <v>101</v>
      </c>
      <c r="F40" s="24" t="s">
        <v>56</v>
      </c>
      <c r="G40" s="12">
        <v>0</v>
      </c>
      <c r="H40" s="88">
        <f t="shared" si="3"/>
        <v>0</v>
      </c>
      <c r="I40" s="58">
        <v>1</v>
      </c>
    </row>
    <row r="41" spans="1:9" x14ac:dyDescent="0.4">
      <c r="A41" s="19" t="s">
        <v>170</v>
      </c>
      <c r="B41" s="124">
        <v>0</v>
      </c>
      <c r="C41" s="6">
        <f t="shared" si="4"/>
        <v>0</v>
      </c>
      <c r="E41" s="27" t="s">
        <v>102</v>
      </c>
      <c r="F41" s="24" t="s">
        <v>57</v>
      </c>
      <c r="G41" s="12">
        <v>0</v>
      </c>
      <c r="H41" s="88">
        <f t="shared" si="3"/>
        <v>0</v>
      </c>
      <c r="I41" s="58">
        <v>1</v>
      </c>
    </row>
    <row r="42" spans="1:9" x14ac:dyDescent="0.4">
      <c r="A42" s="19" t="s">
        <v>172</v>
      </c>
      <c r="B42" s="124">
        <v>0</v>
      </c>
      <c r="C42" s="6">
        <f t="shared" si="4"/>
        <v>0</v>
      </c>
      <c r="E42" s="27" t="s">
        <v>103</v>
      </c>
      <c r="F42" s="24" t="s">
        <v>58</v>
      </c>
      <c r="G42" s="12">
        <v>0</v>
      </c>
      <c r="H42" s="88">
        <f t="shared" si="3"/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4"/>
        <v>0</v>
      </c>
      <c r="E43" s="27" t="s">
        <v>104</v>
      </c>
      <c r="F43" s="24" t="s">
        <v>59</v>
      </c>
      <c r="G43" s="12">
        <v>0</v>
      </c>
      <c r="H43" s="88">
        <f t="shared" si="3"/>
        <v>0</v>
      </c>
      <c r="I43" s="58">
        <v>1</v>
      </c>
    </row>
    <row r="44" spans="1:9" x14ac:dyDescent="0.4">
      <c r="A44" s="19" t="s">
        <v>174</v>
      </c>
      <c r="B44" s="124">
        <v>0</v>
      </c>
      <c r="C44" s="6">
        <f t="shared" si="4"/>
        <v>0</v>
      </c>
      <c r="E44" s="27" t="s">
        <v>105</v>
      </c>
      <c r="F44" s="24" t="s">
        <v>112</v>
      </c>
      <c r="G44" s="12">
        <v>0</v>
      </c>
      <c r="H44" s="88">
        <f t="shared" si="3"/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4"/>
        <v>0</v>
      </c>
      <c r="E45" s="27" t="s">
        <v>106</v>
      </c>
      <c r="F45" s="24" t="s">
        <v>113</v>
      </c>
      <c r="G45" s="12">
        <v>0</v>
      </c>
      <c r="H45" s="88">
        <f t="shared" si="3"/>
        <v>0</v>
      </c>
      <c r="I45" s="58">
        <v>1</v>
      </c>
    </row>
    <row r="46" spans="1:9" x14ac:dyDescent="0.4">
      <c r="A46" s="19" t="s">
        <v>176</v>
      </c>
      <c r="B46" s="124">
        <v>0</v>
      </c>
      <c r="C46" s="6">
        <f t="shared" si="4"/>
        <v>0</v>
      </c>
      <c r="E46" s="27" t="s">
        <v>107</v>
      </c>
      <c r="F46" s="24" t="s">
        <v>114</v>
      </c>
      <c r="G46" s="12">
        <v>0</v>
      </c>
      <c r="H46" s="88">
        <f t="shared" si="3"/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4"/>
        <v>0</v>
      </c>
      <c r="E47" s="27" t="s">
        <v>108</v>
      </c>
      <c r="F47" s="24" t="s">
        <v>60</v>
      </c>
      <c r="G47" s="12">
        <v>0</v>
      </c>
      <c r="H47" s="88">
        <f t="shared" si="3"/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4"/>
        <v>0</v>
      </c>
      <c r="E48" s="27" t="s">
        <v>109</v>
      </c>
      <c r="F48" s="24" t="s">
        <v>61</v>
      </c>
      <c r="G48" s="12">
        <v>0</v>
      </c>
      <c r="H48" s="88">
        <f t="shared" si="3"/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4"/>
        <v>0</v>
      </c>
      <c r="E49" s="27" t="s">
        <v>110</v>
      </c>
      <c r="F49" s="24" t="s">
        <v>62</v>
      </c>
      <c r="G49" s="12">
        <v>0</v>
      </c>
      <c r="H49" s="88">
        <f t="shared" si="3"/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 t="shared" si="3"/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 t="shared" si="3"/>
        <v>0</v>
      </c>
      <c r="I51" s="94">
        <v>3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>
        <v>1</v>
      </c>
    </row>
  </sheetData>
  <sortState xmlns:xlrd2="http://schemas.microsoft.com/office/spreadsheetml/2017/richdata2" ref="O15:R16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D61D74-C34B-4C7B-955F-FE5445E95552}">
  <sheetPr codeName="Sheet1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211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13</v>
      </c>
      <c r="C2" s="134"/>
      <c r="E2" s="26" t="s">
        <v>66</v>
      </c>
      <c r="F2" s="23" t="s">
        <v>22</v>
      </c>
      <c r="G2" s="11">
        <v>33</v>
      </c>
      <c r="H2" s="87">
        <f t="shared" ref="H2:H33" si="0">IF(B$20=0,0,G2/B$20)</f>
        <v>1.03125</v>
      </c>
      <c r="I2" s="57">
        <v>1</v>
      </c>
      <c r="K2" s="73">
        <v>0</v>
      </c>
      <c r="L2" s="118">
        <v>0</v>
      </c>
      <c r="M2" s="116">
        <v>1488.8318648771276</v>
      </c>
      <c r="O2" s="73" t="s">
        <v>128</v>
      </c>
      <c r="P2" s="79">
        <f t="shared" ref="P2:P7" si="1">IF(Q2=0,0,R2/Q2)</f>
        <v>-676.92307692307691</v>
      </c>
      <c r="Q2" s="76">
        <v>13</v>
      </c>
      <c r="R2" s="63">
        <v>-8800</v>
      </c>
    </row>
    <row r="3" spans="1:18" x14ac:dyDescent="0.4">
      <c r="A3" s="19" t="s">
        <v>8</v>
      </c>
      <c r="B3" s="135">
        <v>98</v>
      </c>
      <c r="C3" s="136"/>
      <c r="E3" s="27" t="s">
        <v>72</v>
      </c>
      <c r="F3" s="24" t="s">
        <v>27</v>
      </c>
      <c r="G3" s="12">
        <v>18</v>
      </c>
      <c r="H3" s="88">
        <f t="shared" si="0"/>
        <v>0.5625</v>
      </c>
      <c r="I3" s="58">
        <v>5</v>
      </c>
      <c r="K3" s="74">
        <v>1</v>
      </c>
      <c r="L3" s="119">
        <v>55.6</v>
      </c>
      <c r="M3" s="117">
        <v>1499.6088736878648</v>
      </c>
      <c r="O3" s="74" t="s">
        <v>129</v>
      </c>
      <c r="P3" s="80">
        <f t="shared" si="1"/>
        <v>1615.3846153846155</v>
      </c>
      <c r="Q3" s="77">
        <v>13</v>
      </c>
      <c r="R3" s="64">
        <v>21000</v>
      </c>
    </row>
    <row r="4" spans="1:18" x14ac:dyDescent="0.4">
      <c r="A4" s="19" t="s">
        <v>6</v>
      </c>
      <c r="B4" s="137">
        <v>65.800000000000011</v>
      </c>
      <c r="C4" s="138"/>
      <c r="E4" s="27" t="s">
        <v>64</v>
      </c>
      <c r="F4" s="24" t="s">
        <v>20</v>
      </c>
      <c r="G4" s="12">
        <v>15</v>
      </c>
      <c r="H4" s="88">
        <f t="shared" si="0"/>
        <v>0.46875</v>
      </c>
      <c r="I4" s="58">
        <v>1</v>
      </c>
      <c r="K4" s="74">
        <v>2</v>
      </c>
      <c r="L4" s="119">
        <v>24.900000000000002</v>
      </c>
      <c r="M4" s="117">
        <v>1494.8112204457377</v>
      </c>
      <c r="O4" s="74" t="s">
        <v>130</v>
      </c>
      <c r="P4" s="80">
        <f t="shared" si="1"/>
        <v>284.61538461538464</v>
      </c>
      <c r="Q4" s="77">
        <v>13</v>
      </c>
      <c r="R4" s="64">
        <v>3700</v>
      </c>
    </row>
    <row r="5" spans="1:18" x14ac:dyDescent="0.4">
      <c r="A5" s="19" t="s">
        <v>7</v>
      </c>
      <c r="B5" s="125">
        <f>IF(B$2=0,0,B$4/B$2)</f>
        <v>5.0615384615384622</v>
      </c>
      <c r="C5" s="126"/>
      <c r="E5" s="27" t="s">
        <v>67</v>
      </c>
      <c r="F5" s="24" t="s">
        <v>23</v>
      </c>
      <c r="G5" s="12">
        <v>10</v>
      </c>
      <c r="H5" s="88">
        <f t="shared" si="0"/>
        <v>0.3125</v>
      </c>
      <c r="I5" s="58">
        <v>3</v>
      </c>
      <c r="K5" s="74">
        <v>3</v>
      </c>
      <c r="L5" s="119">
        <v>-20.599999999999998</v>
      </c>
      <c r="M5" s="117">
        <v>1487.3783531230633</v>
      </c>
      <c r="O5" s="74" t="s">
        <v>131</v>
      </c>
      <c r="P5" s="80">
        <f t="shared" si="1"/>
        <v>1009.0909090909091</v>
      </c>
      <c r="Q5" s="77">
        <v>11</v>
      </c>
      <c r="R5" s="64">
        <v>11100</v>
      </c>
    </row>
    <row r="6" spans="1:18" x14ac:dyDescent="0.4">
      <c r="A6" s="19" t="s">
        <v>196</v>
      </c>
      <c r="B6" s="129">
        <v>1506.4847379755383</v>
      </c>
      <c r="C6" s="130"/>
      <c r="E6" s="27" t="s">
        <v>159</v>
      </c>
      <c r="F6" s="24" t="s">
        <v>160</v>
      </c>
      <c r="G6" s="12">
        <v>8</v>
      </c>
      <c r="H6" s="88">
        <f t="shared" si="0"/>
        <v>0.25</v>
      </c>
      <c r="I6" s="58">
        <v>7</v>
      </c>
      <c r="K6" s="74">
        <v>4</v>
      </c>
      <c r="L6" s="119">
        <v>-25</v>
      </c>
      <c r="M6" s="117">
        <v>1486.6380830043249</v>
      </c>
      <c r="O6" s="74" t="s">
        <v>132</v>
      </c>
      <c r="P6" s="80">
        <f t="shared" si="1"/>
        <v>2188.8888888888887</v>
      </c>
      <c r="Q6" s="77">
        <v>9</v>
      </c>
      <c r="R6" s="64">
        <v>19700</v>
      </c>
    </row>
    <row r="7" spans="1:18" x14ac:dyDescent="0.4">
      <c r="A7" s="19" t="s">
        <v>1</v>
      </c>
      <c r="B7" s="139">
        <f>IF(B$2=0,0,(B$8*1+B$9*2+B$10*3)/B$2)</f>
        <v>2</v>
      </c>
      <c r="C7" s="140"/>
      <c r="E7" s="27" t="s">
        <v>68</v>
      </c>
      <c r="F7" s="24" t="s">
        <v>12</v>
      </c>
      <c r="G7" s="12">
        <v>7</v>
      </c>
      <c r="H7" s="88">
        <f t="shared" si="0"/>
        <v>0.21875</v>
      </c>
      <c r="I7" s="58">
        <v>4</v>
      </c>
      <c r="K7" s="74">
        <v>5</v>
      </c>
      <c r="L7" s="119">
        <v>-53</v>
      </c>
      <c r="M7" s="117">
        <v>1481.354254506299</v>
      </c>
      <c r="O7" s="75" t="s">
        <v>133</v>
      </c>
      <c r="P7" s="81">
        <f t="shared" si="1"/>
        <v>1910</v>
      </c>
      <c r="Q7" s="78">
        <v>10</v>
      </c>
      <c r="R7" s="65">
        <v>19100</v>
      </c>
    </row>
    <row r="8" spans="1:18" x14ac:dyDescent="0.4">
      <c r="A8" s="19" t="s">
        <v>2</v>
      </c>
      <c r="B8" s="12">
        <v>5</v>
      </c>
      <c r="C8" s="6">
        <f t="shared" ref="C8:C15" si="2">IF(B$2=0,0,B8/B$2)</f>
        <v>0.38461538461538464</v>
      </c>
      <c r="E8" s="27" t="s">
        <v>69</v>
      </c>
      <c r="F8" s="24" t="s">
        <v>24</v>
      </c>
      <c r="G8" s="12">
        <v>5</v>
      </c>
      <c r="H8" s="88">
        <f t="shared" si="0"/>
        <v>0.15625</v>
      </c>
      <c r="I8" s="58">
        <v>3</v>
      </c>
      <c r="K8" s="74">
        <v>6</v>
      </c>
      <c r="L8" s="119">
        <v>-32.799999999999997</v>
      </c>
      <c r="M8" s="117">
        <v>1485.3541289792611</v>
      </c>
      <c r="O8" s="107"/>
      <c r="P8" s="85"/>
      <c r="Q8" s="108"/>
      <c r="R8" s="70"/>
    </row>
    <row r="9" spans="1:18" x14ac:dyDescent="0.4">
      <c r="A9" s="19" t="s">
        <v>3</v>
      </c>
      <c r="B9" s="12">
        <v>3</v>
      </c>
      <c r="C9" s="6">
        <f t="shared" si="2"/>
        <v>0.23076923076923078</v>
      </c>
      <c r="E9" s="27" t="s">
        <v>89</v>
      </c>
      <c r="F9" s="24" t="s">
        <v>44</v>
      </c>
      <c r="G9" s="12">
        <v>4</v>
      </c>
      <c r="H9" s="88">
        <f t="shared" si="0"/>
        <v>0.125</v>
      </c>
      <c r="I9" s="58">
        <v>5</v>
      </c>
      <c r="K9" s="74">
        <v>7</v>
      </c>
      <c r="L9" s="119">
        <v>-22.199999999999996</v>
      </c>
      <c r="M9" s="117">
        <v>1487.6020042053856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5</v>
      </c>
      <c r="C10" s="7">
        <f t="shared" si="2"/>
        <v>0.38461538461538464</v>
      </c>
      <c r="E10" s="27" t="s">
        <v>71</v>
      </c>
      <c r="F10" s="24" t="s">
        <v>26</v>
      </c>
      <c r="G10" s="12">
        <v>2</v>
      </c>
      <c r="H10" s="88">
        <f t="shared" si="0"/>
        <v>6.25E-2</v>
      </c>
      <c r="I10" s="58">
        <v>3</v>
      </c>
      <c r="K10" s="74">
        <v>8</v>
      </c>
      <c r="L10" s="119">
        <v>0.30000000000000426</v>
      </c>
      <c r="M10" s="117">
        <v>1491.7683921801533</v>
      </c>
      <c r="O10" s="73" t="s">
        <v>151</v>
      </c>
      <c r="P10" s="82">
        <f>IF(Q10=0,0,R10/Q10)</f>
        <v>-21.033333333333335</v>
      </c>
      <c r="Q10" s="76">
        <v>3</v>
      </c>
      <c r="R10" s="67">
        <v>-63.1</v>
      </c>
    </row>
    <row r="11" spans="1:18" x14ac:dyDescent="0.4">
      <c r="A11" s="20" t="s">
        <v>184</v>
      </c>
      <c r="B11" s="109">
        <f>IF(B8=0,0,C11/B8)</f>
        <v>36.58</v>
      </c>
      <c r="C11" s="110">
        <v>182.89999999999998</v>
      </c>
      <c r="E11" s="27" t="s">
        <v>81</v>
      </c>
      <c r="F11" s="24" t="s">
        <v>36</v>
      </c>
      <c r="G11" s="12">
        <v>2</v>
      </c>
      <c r="H11" s="88">
        <f t="shared" si="0"/>
        <v>6.25E-2</v>
      </c>
      <c r="I11" s="58">
        <v>2</v>
      </c>
      <c r="K11" s="74">
        <v>9</v>
      </c>
      <c r="L11" s="119">
        <v>20.500000000000004</v>
      </c>
      <c r="M11" s="117">
        <v>1495.4357818270723</v>
      </c>
      <c r="O11" s="74" t="s">
        <v>152</v>
      </c>
      <c r="P11" s="83">
        <f>IF(Q11=0,0,R11/Q11)</f>
        <v>5.7400000000000011</v>
      </c>
      <c r="Q11" s="77">
        <v>5</v>
      </c>
      <c r="R11" s="68">
        <v>28.700000000000006</v>
      </c>
    </row>
    <row r="12" spans="1:18" x14ac:dyDescent="0.4">
      <c r="A12" s="20" t="s">
        <v>185</v>
      </c>
      <c r="B12" s="109">
        <f>IF(B9=0,0,C12/B9)</f>
        <v>8.7999999999999989</v>
      </c>
      <c r="C12" s="110">
        <v>26.4</v>
      </c>
      <c r="E12" s="27" t="s">
        <v>83</v>
      </c>
      <c r="F12" s="24" t="s">
        <v>38</v>
      </c>
      <c r="G12" s="12">
        <v>2</v>
      </c>
      <c r="H12" s="88">
        <f t="shared" si="0"/>
        <v>6.25E-2</v>
      </c>
      <c r="I12" s="58">
        <v>3</v>
      </c>
      <c r="K12" s="74">
        <v>10</v>
      </c>
      <c r="L12" s="119">
        <v>6.9000000000000039</v>
      </c>
      <c r="M12" s="117">
        <v>1493.62116713611</v>
      </c>
      <c r="O12" s="75" t="s">
        <v>153</v>
      </c>
      <c r="P12" s="84">
        <f>IF(Q12=0,0,R12/Q12)</f>
        <v>20.04</v>
      </c>
      <c r="Q12" s="78">
        <v>5</v>
      </c>
      <c r="R12" s="69">
        <v>100.2</v>
      </c>
    </row>
    <row r="13" spans="1:18" x14ac:dyDescent="0.4">
      <c r="A13" s="20" t="s">
        <v>186</v>
      </c>
      <c r="B13" s="109">
        <f>IF(B10=0,0,C13/B10)</f>
        <v>-28.7</v>
      </c>
      <c r="C13" s="110">
        <v>-143.5</v>
      </c>
      <c r="E13" s="27" t="s">
        <v>91</v>
      </c>
      <c r="F13" s="24" t="s">
        <v>46</v>
      </c>
      <c r="G13" s="12">
        <v>2</v>
      </c>
      <c r="H13" s="88">
        <f t="shared" si="0"/>
        <v>6.25E-2</v>
      </c>
      <c r="I13" s="58">
        <v>1</v>
      </c>
      <c r="K13" s="74">
        <v>11</v>
      </c>
      <c r="L13" s="119">
        <v>-18.799999999999997</v>
      </c>
      <c r="M13" s="117">
        <v>1489.7534401332932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5.5599999999999987</v>
      </c>
      <c r="C14" s="126"/>
      <c r="E14" s="27" t="s">
        <v>65</v>
      </c>
      <c r="F14" s="24" t="s">
        <v>21</v>
      </c>
      <c r="G14" s="12">
        <v>1</v>
      </c>
      <c r="H14" s="88">
        <f t="shared" si="0"/>
        <v>3.125E-2</v>
      </c>
      <c r="I14" s="58">
        <v>4</v>
      </c>
      <c r="K14" s="74">
        <v>12</v>
      </c>
      <c r="L14" s="119">
        <v>32.1</v>
      </c>
      <c r="M14" s="117">
        <v>1499.6969194924934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</v>
      </c>
      <c r="C15" s="9">
        <f t="shared" si="2"/>
        <v>7.6923076923076927E-2</v>
      </c>
      <c r="E15" s="27" t="s">
        <v>70</v>
      </c>
      <c r="F15" s="24" t="s">
        <v>25</v>
      </c>
      <c r="G15" s="12">
        <v>1</v>
      </c>
      <c r="H15" s="88">
        <f t="shared" si="0"/>
        <v>3.125E-2</v>
      </c>
      <c r="I15" s="58">
        <v>6</v>
      </c>
      <c r="K15" s="74">
        <v>13</v>
      </c>
      <c r="L15" s="119">
        <v>65.800000000000011</v>
      </c>
      <c r="M15" s="117">
        <v>1506.4847379755383</v>
      </c>
      <c r="O15" s="73" t="s">
        <v>195</v>
      </c>
      <c r="P15" s="82">
        <f t="shared" ref="P15:P23" si="3">IF(Q15=0,0,R15/Q15)</f>
        <v>44.4</v>
      </c>
      <c r="Q15" s="76">
        <v>1</v>
      </c>
      <c r="R15" s="67">
        <v>44.4</v>
      </c>
    </row>
    <row r="16" spans="1:18" x14ac:dyDescent="0.4">
      <c r="A16" s="22" t="s">
        <v>121</v>
      </c>
      <c r="B16" s="15">
        <v>25</v>
      </c>
      <c r="C16" s="10">
        <f>IF(B$3=0,0,B16/B$3)</f>
        <v>0.25510204081632654</v>
      </c>
      <c r="E16" s="27" t="s">
        <v>73</v>
      </c>
      <c r="F16" s="24" t="s">
        <v>28</v>
      </c>
      <c r="G16" s="12">
        <v>1</v>
      </c>
      <c r="H16" s="88">
        <f t="shared" si="0"/>
        <v>3.125E-2</v>
      </c>
      <c r="I16" s="58">
        <v>2</v>
      </c>
      <c r="O16" s="74" t="s">
        <v>192</v>
      </c>
      <c r="P16" s="83">
        <f t="shared" si="3"/>
        <v>16.2</v>
      </c>
      <c r="Q16" s="77">
        <v>1</v>
      </c>
      <c r="R16" s="68">
        <v>16.2</v>
      </c>
    </row>
    <row r="17" spans="1:18" x14ac:dyDescent="0.4">
      <c r="A17" s="19" t="s">
        <v>118</v>
      </c>
      <c r="B17" s="12">
        <v>22</v>
      </c>
      <c r="C17" s="6">
        <f>IF(B$3=0,0,B17/B$3)</f>
        <v>0.22448979591836735</v>
      </c>
      <c r="E17" s="27" t="s">
        <v>75</v>
      </c>
      <c r="F17" s="24" t="s">
        <v>30</v>
      </c>
      <c r="G17" s="12">
        <v>1</v>
      </c>
      <c r="H17" s="88">
        <f t="shared" si="0"/>
        <v>3.125E-2</v>
      </c>
      <c r="I17" s="58">
        <v>1</v>
      </c>
      <c r="O17" s="74" t="s">
        <v>221</v>
      </c>
      <c r="P17" s="83">
        <f t="shared" si="3"/>
        <v>16.2</v>
      </c>
      <c r="Q17" s="77">
        <v>1</v>
      </c>
      <c r="R17" s="68">
        <v>16.2</v>
      </c>
    </row>
    <row r="18" spans="1:18" x14ac:dyDescent="0.4">
      <c r="A18" s="18" t="s">
        <v>123</v>
      </c>
      <c r="B18" s="11">
        <f>B24</f>
        <v>15</v>
      </c>
      <c r="C18" s="5">
        <f>IF(B$16=0,0,B18/B$16)</f>
        <v>0.6</v>
      </c>
      <c r="E18" s="27" t="s">
        <v>78</v>
      </c>
      <c r="F18" s="24" t="s">
        <v>33</v>
      </c>
      <c r="G18" s="12">
        <v>1</v>
      </c>
      <c r="H18" s="88">
        <f t="shared" si="0"/>
        <v>3.125E-2</v>
      </c>
      <c r="I18" s="58">
        <v>3</v>
      </c>
      <c r="O18" s="74" t="s">
        <v>163</v>
      </c>
      <c r="P18" s="83">
        <f t="shared" si="3"/>
        <v>15.799999999999997</v>
      </c>
      <c r="Q18" s="77">
        <v>2</v>
      </c>
      <c r="R18" s="68">
        <v>31.599999999999994</v>
      </c>
    </row>
    <row r="19" spans="1:18" x14ac:dyDescent="0.4">
      <c r="A19" s="18" t="s">
        <v>124</v>
      </c>
      <c r="B19" s="11">
        <f>B25</f>
        <v>12</v>
      </c>
      <c r="C19" s="5">
        <f>IF(B$17=0,0,B19/B$17)</f>
        <v>0.54545454545454541</v>
      </c>
      <c r="E19" s="27" t="s">
        <v>86</v>
      </c>
      <c r="F19" s="24" t="s">
        <v>41</v>
      </c>
      <c r="G19" s="12">
        <v>1</v>
      </c>
      <c r="H19" s="88">
        <f t="shared" si="0"/>
        <v>3.125E-2</v>
      </c>
      <c r="I19" s="58">
        <v>6</v>
      </c>
      <c r="O19" s="74" t="s">
        <v>216</v>
      </c>
      <c r="P19" s="83">
        <f t="shared" si="3"/>
        <v>9.4124999999999996</v>
      </c>
      <c r="Q19" s="77">
        <v>8</v>
      </c>
      <c r="R19" s="68">
        <v>75.3</v>
      </c>
    </row>
    <row r="20" spans="1:18" x14ac:dyDescent="0.4">
      <c r="A20" s="18" t="s">
        <v>10</v>
      </c>
      <c r="B20" s="11">
        <f>B23+B22</f>
        <v>32</v>
      </c>
      <c r="C20" s="5">
        <f>IF(B$3=0,0,B20/B$3)</f>
        <v>0.32653061224489793</v>
      </c>
      <c r="E20" s="27" t="s">
        <v>74</v>
      </c>
      <c r="F20" s="24" t="s">
        <v>29</v>
      </c>
      <c r="G20" s="12">
        <v>0</v>
      </c>
      <c r="H20" s="88">
        <f t="shared" si="0"/>
        <v>0</v>
      </c>
      <c r="I20" s="58">
        <v>1</v>
      </c>
      <c r="O20" s="74" t="s">
        <v>190</v>
      </c>
      <c r="P20" s="83">
        <f t="shared" si="3"/>
        <v>6.5999999999999988</v>
      </c>
      <c r="Q20" s="77">
        <v>3</v>
      </c>
      <c r="R20" s="68">
        <v>19.799999999999997</v>
      </c>
    </row>
    <row r="21" spans="1:18" x14ac:dyDescent="0.4">
      <c r="A21" s="19" t="s">
        <v>13</v>
      </c>
      <c r="B21" s="12">
        <v>16</v>
      </c>
      <c r="C21" s="6">
        <f>IF(B$3=0,0,B21/B$3)</f>
        <v>0.16326530612244897</v>
      </c>
      <c r="E21" s="27" t="s">
        <v>76</v>
      </c>
      <c r="F21" s="24" t="s">
        <v>31</v>
      </c>
      <c r="G21" s="12">
        <v>0</v>
      </c>
      <c r="H21" s="88">
        <f t="shared" si="0"/>
        <v>0</v>
      </c>
      <c r="I21" s="58">
        <v>1</v>
      </c>
      <c r="O21" s="74" t="s">
        <v>126</v>
      </c>
      <c r="P21" s="83">
        <f t="shared" si="3"/>
        <v>5.5</v>
      </c>
      <c r="Q21" s="77">
        <v>7</v>
      </c>
      <c r="R21" s="68">
        <v>38.5</v>
      </c>
    </row>
    <row r="22" spans="1:18" x14ac:dyDescent="0.4">
      <c r="A22" s="19" t="s">
        <v>12</v>
      </c>
      <c r="B22" s="12">
        <v>15</v>
      </c>
      <c r="C22" s="6">
        <f>IF(B$20=0,0,B22/B$20)</f>
        <v>0.46875</v>
      </c>
      <c r="E22" s="27" t="s">
        <v>77</v>
      </c>
      <c r="F22" s="24" t="s">
        <v>32</v>
      </c>
      <c r="G22" s="12">
        <v>0</v>
      </c>
      <c r="H22" s="88">
        <f t="shared" si="0"/>
        <v>0</v>
      </c>
      <c r="I22" s="58">
        <v>2</v>
      </c>
      <c r="O22" s="74" t="s">
        <v>193</v>
      </c>
      <c r="P22" s="83">
        <f t="shared" si="3"/>
        <v>-7.1999999999999993</v>
      </c>
      <c r="Q22" s="77">
        <v>2</v>
      </c>
      <c r="R22" s="68">
        <v>-14.399999999999999</v>
      </c>
    </row>
    <row r="23" spans="1:18" x14ac:dyDescent="0.4">
      <c r="A23" s="19" t="s">
        <v>11</v>
      </c>
      <c r="B23" s="12">
        <v>17</v>
      </c>
      <c r="C23" s="6">
        <f>IF(B$20=0,0,B23/B$20)</f>
        <v>0.53125</v>
      </c>
      <c r="E23" s="27" t="s">
        <v>79</v>
      </c>
      <c r="F23" s="24" t="s">
        <v>34</v>
      </c>
      <c r="G23" s="12">
        <v>0</v>
      </c>
      <c r="H23" s="88">
        <f t="shared" si="0"/>
        <v>0</v>
      </c>
      <c r="I23" s="58">
        <v>3</v>
      </c>
      <c r="O23" s="74" t="s">
        <v>189</v>
      </c>
      <c r="P23" s="83">
        <f t="shared" si="3"/>
        <v>-30.200000000000003</v>
      </c>
      <c r="Q23" s="77">
        <v>1</v>
      </c>
      <c r="R23" s="68">
        <v>-30.200000000000003</v>
      </c>
    </row>
    <row r="24" spans="1:18" x14ac:dyDescent="0.4">
      <c r="A24" s="19" t="s">
        <v>183</v>
      </c>
      <c r="B24" s="12">
        <v>15</v>
      </c>
      <c r="C24" s="6">
        <f>IF(B$20=0,0,B24/B$20)</f>
        <v>0.46875</v>
      </c>
      <c r="E24" s="27" t="s">
        <v>80</v>
      </c>
      <c r="F24" s="24" t="s">
        <v>35</v>
      </c>
      <c r="G24" s="12">
        <v>0</v>
      </c>
      <c r="H24" s="88">
        <f t="shared" si="0"/>
        <v>0</v>
      </c>
      <c r="I24" s="58">
        <v>1</v>
      </c>
    </row>
    <row r="25" spans="1:18" x14ac:dyDescent="0.4">
      <c r="A25" s="19" t="s">
        <v>181</v>
      </c>
      <c r="B25" s="12">
        <v>12</v>
      </c>
      <c r="C25" s="6">
        <f>IF(B$20=0,0,B25/B$20)</f>
        <v>0.375</v>
      </c>
      <c r="E25" s="27" t="s">
        <v>82</v>
      </c>
      <c r="F25" s="24" t="s">
        <v>37</v>
      </c>
      <c r="G25" s="12">
        <v>0</v>
      </c>
      <c r="H25" s="88">
        <f t="shared" si="0"/>
        <v>0</v>
      </c>
      <c r="I25" s="58">
        <v>1</v>
      </c>
    </row>
    <row r="26" spans="1:18" x14ac:dyDescent="0.4">
      <c r="A26" s="19" t="s">
        <v>182</v>
      </c>
      <c r="B26" s="12">
        <v>5</v>
      </c>
      <c r="C26" s="6">
        <f>IF(B$20=0,0,B26/B$20)</f>
        <v>0.15625</v>
      </c>
      <c r="E26" s="27" t="s">
        <v>84</v>
      </c>
      <c r="F26" s="24" t="s">
        <v>39</v>
      </c>
      <c r="G26" s="12">
        <v>0</v>
      </c>
      <c r="H26" s="88">
        <f t="shared" si="0"/>
        <v>0</v>
      </c>
      <c r="I26" s="58">
        <v>1</v>
      </c>
    </row>
    <row r="27" spans="1:18" x14ac:dyDescent="0.4">
      <c r="A27" s="19" t="s">
        <v>5</v>
      </c>
      <c r="B27" s="16">
        <f>IF(B$20=0,0,C27/B$20)</f>
        <v>8165.625</v>
      </c>
      <c r="C27" s="8">
        <v>261300</v>
      </c>
      <c r="E27" s="27" t="s">
        <v>85</v>
      </c>
      <c r="F27" s="24" t="s">
        <v>40</v>
      </c>
      <c r="G27" s="12">
        <v>0</v>
      </c>
      <c r="H27" s="88">
        <f t="shared" si="0"/>
        <v>0</v>
      </c>
      <c r="I27" s="58">
        <v>2</v>
      </c>
    </row>
    <row r="28" spans="1:18" x14ac:dyDescent="0.4">
      <c r="A28" s="20" t="s">
        <v>165</v>
      </c>
      <c r="B28" s="95">
        <f>IF($B$20-B$19=0,0,C28/($B$20-B$19))</f>
        <v>8615</v>
      </c>
      <c r="C28" s="96">
        <v>172300</v>
      </c>
      <c r="E28" s="27" t="s">
        <v>87</v>
      </c>
      <c r="F28" s="24" t="s">
        <v>42</v>
      </c>
      <c r="G28" s="12">
        <v>0</v>
      </c>
      <c r="H28" s="88">
        <f t="shared" si="0"/>
        <v>0</v>
      </c>
      <c r="I28" s="58">
        <v>1</v>
      </c>
    </row>
    <row r="29" spans="1:18" x14ac:dyDescent="0.4">
      <c r="A29" s="20" t="s">
        <v>166</v>
      </c>
      <c r="B29" s="95">
        <f>IF(B$19=0,0,C29/B$19)</f>
        <v>7416.666666666667</v>
      </c>
      <c r="C29" s="96">
        <v>89000</v>
      </c>
      <c r="E29" s="27" t="s">
        <v>88</v>
      </c>
      <c r="F29" s="24" t="s">
        <v>43</v>
      </c>
      <c r="G29" s="12">
        <v>0</v>
      </c>
      <c r="H29" s="88">
        <f t="shared" si="0"/>
        <v>0</v>
      </c>
      <c r="I29" s="58">
        <v>1</v>
      </c>
    </row>
    <row r="30" spans="1:18" x14ac:dyDescent="0.4">
      <c r="A30" s="20" t="s">
        <v>164</v>
      </c>
      <c r="B30" s="95">
        <f>IF(B$21=0,0,C30/B$21)</f>
        <v>-7356.25</v>
      </c>
      <c r="C30" s="96">
        <v>-117700</v>
      </c>
      <c r="E30" s="27" t="s">
        <v>90</v>
      </c>
      <c r="F30" s="24" t="s">
        <v>45</v>
      </c>
      <c r="G30" s="12">
        <v>0</v>
      </c>
      <c r="H30" s="88">
        <f t="shared" si="0"/>
        <v>0</v>
      </c>
      <c r="I30" s="58">
        <v>1</v>
      </c>
    </row>
    <row r="31" spans="1:18" x14ac:dyDescent="0.4">
      <c r="A31" s="19" t="s">
        <v>157</v>
      </c>
      <c r="B31" s="12">
        <v>4</v>
      </c>
      <c r="C31" s="90">
        <v>1</v>
      </c>
      <c r="E31" s="27" t="s">
        <v>92</v>
      </c>
      <c r="F31" s="24" t="s">
        <v>47</v>
      </c>
      <c r="G31" s="12">
        <v>0</v>
      </c>
      <c r="H31" s="88">
        <f t="shared" si="0"/>
        <v>0</v>
      </c>
      <c r="I31" s="58">
        <v>2</v>
      </c>
    </row>
    <row r="32" spans="1:18" x14ac:dyDescent="0.4">
      <c r="A32" s="19" t="s">
        <v>158</v>
      </c>
      <c r="B32" s="12">
        <v>30</v>
      </c>
      <c r="C32" s="90">
        <v>4</v>
      </c>
      <c r="E32" s="27" t="s">
        <v>93</v>
      </c>
      <c r="F32" s="24" t="s">
        <v>48</v>
      </c>
      <c r="G32" s="12">
        <v>0</v>
      </c>
      <c r="H32" s="88">
        <f t="shared" si="0"/>
        <v>0</v>
      </c>
      <c r="I32" s="58">
        <v>1</v>
      </c>
    </row>
    <row r="33" spans="1:9" x14ac:dyDescent="0.4">
      <c r="A33" s="54" t="s">
        <v>136</v>
      </c>
      <c r="B33" s="127">
        <v>6</v>
      </c>
      <c r="C33" s="128"/>
      <c r="E33" s="27" t="s">
        <v>94</v>
      </c>
      <c r="F33" s="24" t="s">
        <v>49</v>
      </c>
      <c r="G33" s="12">
        <v>0</v>
      </c>
      <c r="H33" s="88">
        <f t="shared" si="0"/>
        <v>0</v>
      </c>
      <c r="I33" s="58">
        <v>1</v>
      </c>
    </row>
    <row r="34" spans="1:9" x14ac:dyDescent="0.4">
      <c r="A34" s="22" t="s">
        <v>180</v>
      </c>
      <c r="B34" s="129">
        <v>80600</v>
      </c>
      <c r="C34" s="130"/>
      <c r="E34" s="27" t="s">
        <v>95</v>
      </c>
      <c r="F34" s="24" t="s">
        <v>50</v>
      </c>
      <c r="G34" s="12">
        <v>0</v>
      </c>
      <c r="H34" s="88">
        <f t="shared" ref="H34:H52" si="4">IF(B$20=0,0,G34/B$20)</f>
        <v>0</v>
      </c>
      <c r="I34" s="58">
        <v>1</v>
      </c>
    </row>
    <row r="35" spans="1:9" x14ac:dyDescent="0.4">
      <c r="A35" s="21" t="s">
        <v>137</v>
      </c>
      <c r="B35" s="29">
        <v>1</v>
      </c>
      <c r="C35" s="9">
        <f>IF(B$3=0,0,B35/B$3)</f>
        <v>1.020408163265306E-2</v>
      </c>
      <c r="E35" s="27" t="s">
        <v>96</v>
      </c>
      <c r="F35" s="24" t="s">
        <v>51</v>
      </c>
      <c r="G35" s="12">
        <v>0</v>
      </c>
      <c r="H35" s="88">
        <f t="shared" si="4"/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 t="shared" si="4"/>
        <v>0</v>
      </c>
      <c r="I36" s="58">
        <v>1</v>
      </c>
    </row>
    <row r="37" spans="1:9" x14ac:dyDescent="0.4">
      <c r="A37" s="54" t="s">
        <v>171</v>
      </c>
      <c r="B37" s="123">
        <v>2</v>
      </c>
      <c r="C37" s="98">
        <f t="shared" ref="C37:C49" si="5">IF(B$20=0,0,B37/B$20)</f>
        <v>6.25E-2</v>
      </c>
      <c r="E37" s="27" t="s">
        <v>98</v>
      </c>
      <c r="F37" s="24" t="s">
        <v>53</v>
      </c>
      <c r="G37" s="12">
        <v>0</v>
      </c>
      <c r="H37" s="88">
        <f t="shared" si="4"/>
        <v>0</v>
      </c>
      <c r="I37" s="58">
        <v>1</v>
      </c>
    </row>
    <row r="38" spans="1:9" x14ac:dyDescent="0.4">
      <c r="A38" s="19" t="s">
        <v>167</v>
      </c>
      <c r="B38" s="12">
        <v>7</v>
      </c>
      <c r="C38" s="6">
        <f t="shared" si="5"/>
        <v>0.21875</v>
      </c>
      <c r="E38" s="27" t="s">
        <v>99</v>
      </c>
      <c r="F38" s="24" t="s">
        <v>54</v>
      </c>
      <c r="G38" s="12">
        <v>0</v>
      </c>
      <c r="H38" s="88">
        <f t="shared" si="4"/>
        <v>0</v>
      </c>
      <c r="I38" s="58">
        <v>1</v>
      </c>
    </row>
    <row r="39" spans="1:9" x14ac:dyDescent="0.4">
      <c r="A39" s="19" t="s">
        <v>168</v>
      </c>
      <c r="B39" s="124">
        <v>6</v>
      </c>
      <c r="C39" s="6">
        <f t="shared" si="5"/>
        <v>0.1875</v>
      </c>
      <c r="E39" s="27" t="s">
        <v>100</v>
      </c>
      <c r="F39" s="24" t="s">
        <v>55</v>
      </c>
      <c r="G39" s="12">
        <v>0</v>
      </c>
      <c r="H39" s="88">
        <f t="shared" si="4"/>
        <v>0</v>
      </c>
      <c r="I39" s="58">
        <v>1</v>
      </c>
    </row>
    <row r="40" spans="1:9" x14ac:dyDescent="0.4">
      <c r="A40" s="19" t="s">
        <v>169</v>
      </c>
      <c r="B40" s="124">
        <v>6</v>
      </c>
      <c r="C40" s="6">
        <f t="shared" si="5"/>
        <v>0.1875</v>
      </c>
      <c r="E40" s="27" t="s">
        <v>101</v>
      </c>
      <c r="F40" s="24" t="s">
        <v>56</v>
      </c>
      <c r="G40" s="12">
        <v>0</v>
      </c>
      <c r="H40" s="88">
        <f t="shared" si="4"/>
        <v>0</v>
      </c>
      <c r="I40" s="58">
        <v>1</v>
      </c>
    </row>
    <row r="41" spans="1:9" x14ac:dyDescent="0.4">
      <c r="A41" s="19" t="s">
        <v>170</v>
      </c>
      <c r="B41" s="124">
        <v>2</v>
      </c>
      <c r="C41" s="6">
        <f t="shared" si="5"/>
        <v>6.25E-2</v>
      </c>
      <c r="E41" s="27" t="s">
        <v>102</v>
      </c>
      <c r="F41" s="24" t="s">
        <v>57</v>
      </c>
      <c r="G41" s="12">
        <v>0</v>
      </c>
      <c r="H41" s="88">
        <f t="shared" si="4"/>
        <v>0</v>
      </c>
      <c r="I41" s="58">
        <v>1</v>
      </c>
    </row>
    <row r="42" spans="1:9" x14ac:dyDescent="0.4">
      <c r="A42" s="19" t="s">
        <v>172</v>
      </c>
      <c r="B42" s="124">
        <v>4</v>
      </c>
      <c r="C42" s="6">
        <f t="shared" si="5"/>
        <v>0.125</v>
      </c>
      <c r="E42" s="27" t="s">
        <v>103</v>
      </c>
      <c r="F42" s="24" t="s">
        <v>58</v>
      </c>
      <c r="G42" s="12">
        <v>0</v>
      </c>
      <c r="H42" s="88">
        <f t="shared" si="4"/>
        <v>0</v>
      </c>
      <c r="I42" s="58">
        <v>1</v>
      </c>
    </row>
    <row r="43" spans="1:9" x14ac:dyDescent="0.4">
      <c r="A43" s="19" t="s">
        <v>173</v>
      </c>
      <c r="B43" s="124">
        <v>2</v>
      </c>
      <c r="C43" s="6">
        <f t="shared" si="5"/>
        <v>6.25E-2</v>
      </c>
      <c r="E43" s="27" t="s">
        <v>104</v>
      </c>
      <c r="F43" s="24" t="s">
        <v>59</v>
      </c>
      <c r="G43" s="12">
        <v>0</v>
      </c>
      <c r="H43" s="88">
        <f t="shared" si="4"/>
        <v>0</v>
      </c>
      <c r="I43" s="58">
        <v>1</v>
      </c>
    </row>
    <row r="44" spans="1:9" x14ac:dyDescent="0.4">
      <c r="A44" s="19" t="s">
        <v>174</v>
      </c>
      <c r="B44" s="124">
        <v>1</v>
      </c>
      <c r="C44" s="6">
        <f t="shared" si="5"/>
        <v>3.125E-2</v>
      </c>
      <c r="E44" s="27" t="s">
        <v>105</v>
      </c>
      <c r="F44" s="24" t="s">
        <v>112</v>
      </c>
      <c r="G44" s="12">
        <v>0</v>
      </c>
      <c r="H44" s="88">
        <f t="shared" si="4"/>
        <v>0</v>
      </c>
      <c r="I44" s="58">
        <v>1</v>
      </c>
    </row>
    <row r="45" spans="1:9" x14ac:dyDescent="0.4">
      <c r="A45" s="19" t="s">
        <v>175</v>
      </c>
      <c r="B45" s="124">
        <v>1</v>
      </c>
      <c r="C45" s="6">
        <f t="shared" si="5"/>
        <v>3.125E-2</v>
      </c>
      <c r="E45" s="27" t="s">
        <v>106</v>
      </c>
      <c r="F45" s="24" t="s">
        <v>113</v>
      </c>
      <c r="G45" s="12">
        <v>0</v>
      </c>
      <c r="H45" s="88">
        <f t="shared" si="4"/>
        <v>0</v>
      </c>
      <c r="I45" s="58">
        <v>1</v>
      </c>
    </row>
    <row r="46" spans="1:9" x14ac:dyDescent="0.4">
      <c r="A46" s="19" t="s">
        <v>176</v>
      </c>
      <c r="B46" s="124">
        <v>0</v>
      </c>
      <c r="C46" s="6">
        <f t="shared" si="5"/>
        <v>0</v>
      </c>
      <c r="E46" s="27" t="s">
        <v>107</v>
      </c>
      <c r="F46" s="24" t="s">
        <v>114</v>
      </c>
      <c r="G46" s="12">
        <v>0</v>
      </c>
      <c r="H46" s="88">
        <f t="shared" si="4"/>
        <v>0</v>
      </c>
      <c r="I46" s="58">
        <v>1</v>
      </c>
    </row>
    <row r="47" spans="1:9" x14ac:dyDescent="0.4">
      <c r="A47" s="19" t="s">
        <v>177</v>
      </c>
      <c r="B47" s="124">
        <v>1</v>
      </c>
      <c r="C47" s="6">
        <f t="shared" si="5"/>
        <v>3.125E-2</v>
      </c>
      <c r="E47" s="27" t="s">
        <v>108</v>
      </c>
      <c r="F47" s="24" t="s">
        <v>60</v>
      </c>
      <c r="G47" s="12">
        <v>0</v>
      </c>
      <c r="H47" s="88">
        <f t="shared" si="4"/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5"/>
        <v>0</v>
      </c>
      <c r="E48" s="27" t="s">
        <v>109</v>
      </c>
      <c r="F48" s="24" t="s">
        <v>61</v>
      </c>
      <c r="G48" s="12">
        <v>0</v>
      </c>
      <c r="H48" s="88">
        <f t="shared" si="4"/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5"/>
        <v>0</v>
      </c>
      <c r="E49" s="27" t="s">
        <v>110</v>
      </c>
      <c r="F49" s="24" t="s">
        <v>62</v>
      </c>
      <c r="G49" s="12">
        <v>0</v>
      </c>
      <c r="H49" s="88">
        <f t="shared" si="4"/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 t="shared" si="4"/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 t="shared" si="4"/>
        <v>0</v>
      </c>
      <c r="I51" s="94">
        <v>3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 t="shared" si="4"/>
        <v>0</v>
      </c>
      <c r="I52" s="59">
        <v>1</v>
      </c>
    </row>
  </sheetData>
  <sortState xmlns:xlrd2="http://schemas.microsoft.com/office/spreadsheetml/2017/richdata2" ref="O15:R23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CE90B-EA66-4EEE-8730-4425FFE1EAF2}">
  <sheetPr codeName="Sheet1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192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9</v>
      </c>
      <c r="C2" s="134"/>
      <c r="E2" s="26" t="s">
        <v>66</v>
      </c>
      <c r="F2" s="23" t="s">
        <v>22</v>
      </c>
      <c r="G2" s="11">
        <v>15</v>
      </c>
      <c r="H2" s="87">
        <f t="shared" ref="H2:H33" si="0">IF(B$20=0,0,G2/B$20)</f>
        <v>0.55555555555555558</v>
      </c>
      <c r="I2" s="57">
        <v>5</v>
      </c>
      <c r="K2" s="73">
        <v>0</v>
      </c>
      <c r="L2" s="118">
        <v>0</v>
      </c>
      <c r="M2" s="116">
        <v>1517.1288342047803</v>
      </c>
      <c r="O2" s="73" t="s">
        <v>128</v>
      </c>
      <c r="P2" s="79">
        <f t="shared" ref="P2:P7" si="1">IF(Q2=0,0,R2/Q2)</f>
        <v>833.33333333333337</v>
      </c>
      <c r="Q2" s="76">
        <v>9</v>
      </c>
      <c r="R2" s="63">
        <v>7500</v>
      </c>
    </row>
    <row r="3" spans="1:18" x14ac:dyDescent="0.4">
      <c r="A3" s="19" t="s">
        <v>8</v>
      </c>
      <c r="B3" s="135">
        <v>82</v>
      </c>
      <c r="C3" s="136"/>
      <c r="E3" s="27" t="s">
        <v>159</v>
      </c>
      <c r="F3" s="24" t="s">
        <v>160</v>
      </c>
      <c r="G3" s="12">
        <v>15</v>
      </c>
      <c r="H3" s="88">
        <f t="shared" si="0"/>
        <v>0.55555555555555558</v>
      </c>
      <c r="I3" s="58">
        <v>2</v>
      </c>
      <c r="K3" s="74">
        <v>1</v>
      </c>
      <c r="L3" s="119">
        <v>11.6</v>
      </c>
      <c r="M3" s="117">
        <v>1519.7080611995516</v>
      </c>
      <c r="O3" s="74" t="s">
        <v>129</v>
      </c>
      <c r="P3" s="80">
        <f t="shared" si="1"/>
        <v>800</v>
      </c>
      <c r="Q3" s="77">
        <v>8</v>
      </c>
      <c r="R3" s="64">
        <v>6400</v>
      </c>
    </row>
    <row r="4" spans="1:18" x14ac:dyDescent="0.4">
      <c r="A4" s="19" t="s">
        <v>6</v>
      </c>
      <c r="B4" s="137">
        <v>9.6999999999999993</v>
      </c>
      <c r="C4" s="138"/>
      <c r="E4" s="27" t="s">
        <v>64</v>
      </c>
      <c r="F4" s="24" t="s">
        <v>20</v>
      </c>
      <c r="G4" s="12">
        <v>11</v>
      </c>
      <c r="H4" s="88">
        <f t="shared" si="0"/>
        <v>0.40740740740740738</v>
      </c>
      <c r="I4" s="58">
        <v>3</v>
      </c>
      <c r="K4" s="74">
        <v>2</v>
      </c>
      <c r="L4" s="119">
        <v>42.9</v>
      </c>
      <c r="M4" s="117">
        <v>1525.8538128323544</v>
      </c>
      <c r="O4" s="74" t="s">
        <v>130</v>
      </c>
      <c r="P4" s="80">
        <f t="shared" si="1"/>
        <v>2937.5</v>
      </c>
      <c r="Q4" s="77">
        <v>8</v>
      </c>
      <c r="R4" s="64">
        <v>23500</v>
      </c>
    </row>
    <row r="5" spans="1:18" x14ac:dyDescent="0.4">
      <c r="A5" s="19" t="s">
        <v>7</v>
      </c>
      <c r="B5" s="125">
        <f>IF(B$2=0,0,B$4/B$2)</f>
        <v>1.0777777777777777</v>
      </c>
      <c r="C5" s="126"/>
      <c r="E5" s="27" t="s">
        <v>72</v>
      </c>
      <c r="F5" s="24" t="s">
        <v>27</v>
      </c>
      <c r="G5" s="12">
        <v>11</v>
      </c>
      <c r="H5" s="88">
        <f t="shared" si="0"/>
        <v>0.40740740740740738</v>
      </c>
      <c r="I5" s="58">
        <v>6</v>
      </c>
      <c r="K5" s="74">
        <v>3</v>
      </c>
      <c r="L5" s="119">
        <v>49.199999999999996</v>
      </c>
      <c r="M5" s="117">
        <v>1526.8746899553603</v>
      </c>
      <c r="O5" s="74" t="s">
        <v>131</v>
      </c>
      <c r="P5" s="80">
        <f t="shared" si="1"/>
        <v>1275</v>
      </c>
      <c r="Q5" s="77">
        <v>8</v>
      </c>
      <c r="R5" s="64">
        <v>10200</v>
      </c>
    </row>
    <row r="6" spans="1:18" x14ac:dyDescent="0.4">
      <c r="A6" s="19" t="s">
        <v>196</v>
      </c>
      <c r="B6" s="129">
        <v>1522.4359701425333</v>
      </c>
      <c r="C6" s="130"/>
      <c r="E6" s="27" t="s">
        <v>68</v>
      </c>
      <c r="F6" s="24" t="s">
        <v>12</v>
      </c>
      <c r="G6" s="12">
        <v>10</v>
      </c>
      <c r="H6" s="88">
        <f t="shared" si="0"/>
        <v>0.37037037037037035</v>
      </c>
      <c r="I6" s="58">
        <v>1</v>
      </c>
      <c r="K6" s="74">
        <v>4</v>
      </c>
      <c r="L6" s="119">
        <v>75.8</v>
      </c>
      <c r="M6" s="117">
        <v>1532.5274418156282</v>
      </c>
      <c r="O6" s="74" t="s">
        <v>132</v>
      </c>
      <c r="P6" s="80">
        <f t="shared" si="1"/>
        <v>-650</v>
      </c>
      <c r="Q6" s="77">
        <v>8</v>
      </c>
      <c r="R6" s="64">
        <v>-5200</v>
      </c>
    </row>
    <row r="7" spans="1:18" x14ac:dyDescent="0.4">
      <c r="A7" s="19" t="s">
        <v>1</v>
      </c>
      <c r="B7" s="139">
        <f>IF(B$2=0,0,(B$8*1+B$9*2+B$10*3)/B$2)</f>
        <v>1.8888888888888888</v>
      </c>
      <c r="C7" s="140"/>
      <c r="E7" s="27" t="s">
        <v>70</v>
      </c>
      <c r="F7" s="24" t="s">
        <v>25</v>
      </c>
      <c r="G7" s="12">
        <v>7</v>
      </c>
      <c r="H7" s="88">
        <f t="shared" si="0"/>
        <v>0.25925925925925924</v>
      </c>
      <c r="I7" s="58">
        <v>1</v>
      </c>
      <c r="K7" s="74">
        <v>5</v>
      </c>
      <c r="L7" s="119">
        <v>47.8</v>
      </c>
      <c r="M7" s="117">
        <v>1528.3182771647344</v>
      </c>
      <c r="O7" s="75" t="s">
        <v>133</v>
      </c>
      <c r="P7" s="81">
        <f t="shared" si="1"/>
        <v>-2614.2857142857142</v>
      </c>
      <c r="Q7" s="78">
        <v>7</v>
      </c>
      <c r="R7" s="65">
        <v>-18300</v>
      </c>
    </row>
    <row r="8" spans="1:18" x14ac:dyDescent="0.4">
      <c r="A8" s="19" t="s">
        <v>2</v>
      </c>
      <c r="B8" s="12">
        <v>3</v>
      </c>
      <c r="C8" s="6">
        <f t="shared" ref="C8:C15" si="2">IF(B$2=0,0,B8/B$2)</f>
        <v>0.33333333333333331</v>
      </c>
      <c r="E8" s="27" t="s">
        <v>71</v>
      </c>
      <c r="F8" s="24" t="s">
        <v>26</v>
      </c>
      <c r="G8" s="12">
        <v>4</v>
      </c>
      <c r="H8" s="88">
        <f t="shared" si="0"/>
        <v>0.14814814814814814</v>
      </c>
      <c r="I8" s="58">
        <v>1</v>
      </c>
      <c r="K8" s="74">
        <v>6</v>
      </c>
      <c r="L8" s="119">
        <v>26.4</v>
      </c>
      <c r="M8" s="117">
        <v>1524.962367501746</v>
      </c>
      <c r="O8" s="107"/>
      <c r="P8" s="85"/>
      <c r="Q8" s="108"/>
      <c r="R8" s="70"/>
    </row>
    <row r="9" spans="1:18" x14ac:dyDescent="0.4">
      <c r="A9" s="19" t="s">
        <v>3</v>
      </c>
      <c r="B9" s="12">
        <v>4</v>
      </c>
      <c r="C9" s="6">
        <f t="shared" si="2"/>
        <v>0.44444444444444442</v>
      </c>
      <c r="E9" s="27" t="s">
        <v>67</v>
      </c>
      <c r="F9" s="24" t="s">
        <v>23</v>
      </c>
      <c r="G9" s="12">
        <v>3</v>
      </c>
      <c r="H9" s="88">
        <f t="shared" si="0"/>
        <v>0.1111111111111111</v>
      </c>
      <c r="I9" s="58">
        <v>7</v>
      </c>
      <c r="K9" s="74">
        <v>7</v>
      </c>
      <c r="L9" s="119">
        <v>25.9</v>
      </c>
      <c r="M9" s="117">
        <v>1524.5545932967354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</v>
      </c>
      <c r="C10" s="7">
        <f t="shared" si="2"/>
        <v>0.22222222222222221</v>
      </c>
      <c r="E10" s="27" t="s">
        <v>89</v>
      </c>
      <c r="F10" s="24" t="s">
        <v>44</v>
      </c>
      <c r="G10" s="12">
        <v>3</v>
      </c>
      <c r="H10" s="88">
        <f t="shared" si="0"/>
        <v>0.1111111111111111</v>
      </c>
      <c r="I10" s="58">
        <v>6</v>
      </c>
      <c r="K10" s="74">
        <v>8</v>
      </c>
      <c r="L10" s="119">
        <v>1.5</v>
      </c>
      <c r="M10" s="117">
        <v>1520.549265736955</v>
      </c>
      <c r="O10" s="73" t="s">
        <v>151</v>
      </c>
      <c r="P10" s="82">
        <f>IF(Q10=0,0,R10/Q10)</f>
        <v>-7.8</v>
      </c>
      <c r="Q10" s="76">
        <v>5</v>
      </c>
      <c r="R10" s="67">
        <v>-39</v>
      </c>
    </row>
    <row r="11" spans="1:18" x14ac:dyDescent="0.4">
      <c r="A11" s="20" t="s">
        <v>184</v>
      </c>
      <c r="B11" s="109">
        <f>IF(B8=0,0,C11/B8)</f>
        <v>23.166666666666668</v>
      </c>
      <c r="C11" s="110">
        <v>69.5</v>
      </c>
      <c r="E11" s="27" t="s">
        <v>69</v>
      </c>
      <c r="F11" s="24" t="s">
        <v>24</v>
      </c>
      <c r="G11" s="12">
        <v>2</v>
      </c>
      <c r="H11" s="88">
        <f t="shared" si="0"/>
        <v>7.407407407407407E-2</v>
      </c>
      <c r="I11" s="58">
        <v>5</v>
      </c>
      <c r="K11" s="74">
        <v>9</v>
      </c>
      <c r="L11" s="119">
        <v>9.6999999999999993</v>
      </c>
      <c r="M11" s="117">
        <v>1522.4359701425333</v>
      </c>
      <c r="O11" s="74" t="s">
        <v>152</v>
      </c>
      <c r="P11" s="83">
        <f>IF(Q11=0,0,R11/Q11)</f>
        <v>8.9499999999999993</v>
      </c>
      <c r="Q11" s="77">
        <v>2</v>
      </c>
      <c r="R11" s="68">
        <v>17.899999999999999</v>
      </c>
    </row>
    <row r="12" spans="1:18" x14ac:dyDescent="0.4">
      <c r="A12" s="20" t="s">
        <v>185</v>
      </c>
      <c r="B12" s="109">
        <f>IF(B9=0,0,C12/B9)</f>
        <v>-3.5</v>
      </c>
      <c r="C12" s="110">
        <v>-14</v>
      </c>
      <c r="E12" s="27" t="s">
        <v>73</v>
      </c>
      <c r="F12" s="24" t="s">
        <v>28</v>
      </c>
      <c r="G12" s="12">
        <v>1</v>
      </c>
      <c r="H12" s="88">
        <f t="shared" si="0"/>
        <v>3.7037037037037035E-2</v>
      </c>
      <c r="I12" s="58">
        <v>1</v>
      </c>
      <c r="O12" s="75" t="s">
        <v>153</v>
      </c>
      <c r="P12" s="84">
        <f>IF(Q12=0,0,R12/Q12)</f>
        <v>15.4</v>
      </c>
      <c r="Q12" s="78">
        <v>2</v>
      </c>
      <c r="R12" s="69">
        <v>30.8</v>
      </c>
    </row>
    <row r="13" spans="1:18" x14ac:dyDescent="0.4">
      <c r="A13" s="20" t="s">
        <v>186</v>
      </c>
      <c r="B13" s="109">
        <f>IF(B10=0,0,C13/B10)</f>
        <v>-22.9</v>
      </c>
      <c r="C13" s="110">
        <v>-45.8</v>
      </c>
      <c r="E13" s="27" t="s">
        <v>78</v>
      </c>
      <c r="F13" s="24" t="s">
        <v>33</v>
      </c>
      <c r="G13" s="12">
        <v>1</v>
      </c>
      <c r="H13" s="88">
        <f t="shared" si="0"/>
        <v>3.7037037037037035E-2</v>
      </c>
      <c r="I13" s="58">
        <v>2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-1.0777777777777768</v>
      </c>
      <c r="C14" s="126"/>
      <c r="E14" s="27" t="s">
        <v>79</v>
      </c>
      <c r="F14" s="24" t="s">
        <v>34</v>
      </c>
      <c r="G14" s="12">
        <v>1</v>
      </c>
      <c r="H14" s="88">
        <f t="shared" si="0"/>
        <v>3.7037037037037035E-2</v>
      </c>
      <c r="I14" s="58">
        <v>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2"/>
        <v>0</v>
      </c>
      <c r="E15" s="27" t="s">
        <v>86</v>
      </c>
      <c r="F15" s="24" t="s">
        <v>41</v>
      </c>
      <c r="G15" s="12">
        <v>1</v>
      </c>
      <c r="H15" s="88">
        <f t="shared" si="0"/>
        <v>3.7037037037037035E-2</v>
      </c>
      <c r="I15" s="58">
        <v>5</v>
      </c>
      <c r="O15" s="73" t="s">
        <v>163</v>
      </c>
      <c r="P15" s="82">
        <f t="shared" ref="P15:P21" si="3">IF(Q15=0,0,R15/Q15)</f>
        <v>40.900000000000006</v>
      </c>
      <c r="Q15" s="76">
        <v>2</v>
      </c>
      <c r="R15" s="67">
        <v>81.800000000000011</v>
      </c>
    </row>
    <row r="16" spans="1:18" x14ac:dyDescent="0.4">
      <c r="A16" s="22" t="s">
        <v>121</v>
      </c>
      <c r="B16" s="15">
        <v>20</v>
      </c>
      <c r="C16" s="10">
        <f>IF(B$3=0,0,B16/B$3)</f>
        <v>0.24390243902439024</v>
      </c>
      <c r="E16" s="27" t="s">
        <v>155</v>
      </c>
      <c r="F16" s="24" t="s">
        <v>156</v>
      </c>
      <c r="G16" s="12">
        <v>1</v>
      </c>
      <c r="H16" s="88">
        <f t="shared" si="0"/>
        <v>3.7037037037037035E-2</v>
      </c>
      <c r="I16" s="58">
        <v>2</v>
      </c>
      <c r="O16" s="74" t="s">
        <v>216</v>
      </c>
      <c r="P16" s="83">
        <f t="shared" si="3"/>
        <v>35.1</v>
      </c>
      <c r="Q16" s="77">
        <v>1</v>
      </c>
      <c r="R16" s="68">
        <v>35.1</v>
      </c>
    </row>
    <row r="17" spans="1:18" x14ac:dyDescent="0.4">
      <c r="A17" s="19" t="s">
        <v>118</v>
      </c>
      <c r="B17" s="12">
        <v>16</v>
      </c>
      <c r="C17" s="6">
        <f>IF(B$3=0,0,B17/B$3)</f>
        <v>0.1951219512195122</v>
      </c>
      <c r="E17" s="27" t="s">
        <v>65</v>
      </c>
      <c r="F17" s="24" t="s">
        <v>21</v>
      </c>
      <c r="G17" s="12">
        <v>0</v>
      </c>
      <c r="H17" s="88">
        <f t="shared" si="0"/>
        <v>0</v>
      </c>
      <c r="I17" s="58">
        <v>5</v>
      </c>
      <c r="O17" s="74" t="s">
        <v>221</v>
      </c>
      <c r="P17" s="83">
        <f t="shared" si="3"/>
        <v>17</v>
      </c>
      <c r="Q17" s="77">
        <v>1</v>
      </c>
      <c r="R17" s="68">
        <v>17</v>
      </c>
    </row>
    <row r="18" spans="1:18" x14ac:dyDescent="0.4">
      <c r="A18" s="18" t="s">
        <v>123</v>
      </c>
      <c r="B18" s="11">
        <f>B24</f>
        <v>12</v>
      </c>
      <c r="C18" s="5">
        <f>IF(B$16=0,0,B18/B$16)</f>
        <v>0.6</v>
      </c>
      <c r="E18" s="27" t="s">
        <v>74</v>
      </c>
      <c r="F18" s="24" t="s">
        <v>29</v>
      </c>
      <c r="G18" s="12">
        <v>0</v>
      </c>
      <c r="H18" s="88">
        <f t="shared" si="0"/>
        <v>0</v>
      </c>
      <c r="I18" s="58">
        <v>1</v>
      </c>
      <c r="O18" s="74" t="s">
        <v>189</v>
      </c>
      <c r="P18" s="83">
        <f t="shared" si="3"/>
        <v>16.600000000000001</v>
      </c>
      <c r="Q18" s="77">
        <v>3</v>
      </c>
      <c r="R18" s="68">
        <v>49.800000000000004</v>
      </c>
    </row>
    <row r="19" spans="1:18" x14ac:dyDescent="0.4">
      <c r="A19" s="18" t="s">
        <v>124</v>
      </c>
      <c r="B19" s="11">
        <f>B25</f>
        <v>8</v>
      </c>
      <c r="C19" s="5">
        <f>IF(B$17=0,0,B19/B$17)</f>
        <v>0.5</v>
      </c>
      <c r="E19" s="27" t="s">
        <v>75</v>
      </c>
      <c r="F19" s="24" t="s">
        <v>30</v>
      </c>
      <c r="G19" s="12">
        <v>0</v>
      </c>
      <c r="H19" s="88">
        <f t="shared" si="0"/>
        <v>0</v>
      </c>
      <c r="I19" s="58">
        <v>2</v>
      </c>
      <c r="O19" s="74" t="s">
        <v>195</v>
      </c>
      <c r="P19" s="83">
        <f t="shared" si="3"/>
        <v>-8.7333333333333343</v>
      </c>
      <c r="Q19" s="77">
        <v>3</v>
      </c>
      <c r="R19" s="68">
        <v>-26.200000000000003</v>
      </c>
    </row>
    <row r="20" spans="1:18" x14ac:dyDescent="0.4">
      <c r="A20" s="18" t="s">
        <v>10</v>
      </c>
      <c r="B20" s="11">
        <f>B23+B22</f>
        <v>27</v>
      </c>
      <c r="C20" s="5">
        <f>IF(B$3=0,0,B20/B$3)</f>
        <v>0.32926829268292684</v>
      </c>
      <c r="E20" s="27" t="s">
        <v>76</v>
      </c>
      <c r="F20" s="24" t="s">
        <v>31</v>
      </c>
      <c r="G20" s="12">
        <v>0</v>
      </c>
      <c r="H20" s="88">
        <f t="shared" si="0"/>
        <v>0</v>
      </c>
      <c r="I20" s="58">
        <v>1</v>
      </c>
      <c r="O20" s="74" t="s">
        <v>126</v>
      </c>
      <c r="P20" s="83">
        <f t="shared" si="3"/>
        <v>-16.028571428571428</v>
      </c>
      <c r="Q20" s="77">
        <v>7</v>
      </c>
      <c r="R20" s="68">
        <v>-112.19999999999999</v>
      </c>
    </row>
    <row r="21" spans="1:18" x14ac:dyDescent="0.4">
      <c r="A21" s="19" t="s">
        <v>13</v>
      </c>
      <c r="B21" s="12">
        <v>9</v>
      </c>
      <c r="C21" s="6">
        <f>IF(B$3=0,0,B21/B$3)</f>
        <v>0.10975609756097561</v>
      </c>
      <c r="E21" s="27" t="s">
        <v>77</v>
      </c>
      <c r="F21" s="24" t="s">
        <v>32</v>
      </c>
      <c r="G21" s="12">
        <v>0</v>
      </c>
      <c r="H21" s="88">
        <f t="shared" si="0"/>
        <v>0</v>
      </c>
      <c r="I21" s="58">
        <v>2</v>
      </c>
      <c r="O21" s="74" t="s">
        <v>211</v>
      </c>
      <c r="P21" s="83">
        <f t="shared" si="3"/>
        <v>-16.2</v>
      </c>
      <c r="Q21" s="77">
        <v>1</v>
      </c>
      <c r="R21" s="68">
        <v>-16.2</v>
      </c>
    </row>
    <row r="22" spans="1:18" x14ac:dyDescent="0.4">
      <c r="A22" s="19" t="s">
        <v>12</v>
      </c>
      <c r="B22" s="12">
        <v>11</v>
      </c>
      <c r="C22" s="6">
        <f>IF(B$20=0,0,B22/B$20)</f>
        <v>0.40740740740740738</v>
      </c>
      <c r="E22" s="27" t="s">
        <v>80</v>
      </c>
      <c r="F22" s="24" t="s">
        <v>35</v>
      </c>
      <c r="G22" s="12">
        <v>0</v>
      </c>
      <c r="H22" s="88">
        <f t="shared" si="0"/>
        <v>0</v>
      </c>
      <c r="I22" s="58">
        <v>1</v>
      </c>
    </row>
    <row r="23" spans="1:18" x14ac:dyDescent="0.4">
      <c r="A23" s="19" t="s">
        <v>11</v>
      </c>
      <c r="B23" s="12">
        <v>16</v>
      </c>
      <c r="C23" s="6">
        <f>IF(B$20=0,0,B23/B$20)</f>
        <v>0.59259259259259256</v>
      </c>
      <c r="E23" s="27" t="s">
        <v>81</v>
      </c>
      <c r="F23" s="24" t="s">
        <v>36</v>
      </c>
      <c r="G23" s="12">
        <v>0</v>
      </c>
      <c r="H23" s="88">
        <f t="shared" si="0"/>
        <v>0</v>
      </c>
      <c r="I23" s="58">
        <v>4</v>
      </c>
    </row>
    <row r="24" spans="1:18" x14ac:dyDescent="0.4">
      <c r="A24" s="19" t="s">
        <v>183</v>
      </c>
      <c r="B24" s="12">
        <v>12</v>
      </c>
      <c r="C24" s="6">
        <f>IF(B$20=0,0,B24/B$20)</f>
        <v>0.44444444444444442</v>
      </c>
      <c r="E24" s="27" t="s">
        <v>82</v>
      </c>
      <c r="F24" s="24" t="s">
        <v>37</v>
      </c>
      <c r="G24" s="12">
        <v>0</v>
      </c>
      <c r="H24" s="88">
        <f t="shared" si="0"/>
        <v>0</v>
      </c>
      <c r="I24" s="58">
        <v>1</v>
      </c>
    </row>
    <row r="25" spans="1:18" x14ac:dyDescent="0.4">
      <c r="A25" s="19" t="s">
        <v>181</v>
      </c>
      <c r="B25" s="12">
        <v>8</v>
      </c>
      <c r="C25" s="6">
        <f>IF(B$20=0,0,B25/B$20)</f>
        <v>0.29629629629629628</v>
      </c>
      <c r="E25" s="27" t="s">
        <v>83</v>
      </c>
      <c r="F25" s="24" t="s">
        <v>38</v>
      </c>
      <c r="G25" s="12">
        <v>0</v>
      </c>
      <c r="H25" s="88">
        <f t="shared" si="0"/>
        <v>0</v>
      </c>
      <c r="I25" s="58">
        <v>5</v>
      </c>
    </row>
    <row r="26" spans="1:18" x14ac:dyDescent="0.4">
      <c r="A26" s="19" t="s">
        <v>182</v>
      </c>
      <c r="B26" s="12">
        <v>7</v>
      </c>
      <c r="C26" s="6">
        <f>IF(B$20=0,0,B26/B$20)</f>
        <v>0.25925925925925924</v>
      </c>
      <c r="E26" s="27" t="s">
        <v>84</v>
      </c>
      <c r="F26" s="24" t="s">
        <v>39</v>
      </c>
      <c r="G26" s="12">
        <v>0</v>
      </c>
      <c r="H26" s="88">
        <f t="shared" si="0"/>
        <v>0</v>
      </c>
      <c r="I26" s="58">
        <v>1</v>
      </c>
    </row>
    <row r="27" spans="1:18" x14ac:dyDescent="0.4">
      <c r="A27" s="19" t="s">
        <v>5</v>
      </c>
      <c r="B27" s="16">
        <f>IF(B$20=0,0,C27/B$20)</f>
        <v>6414.8148148148148</v>
      </c>
      <c r="C27" s="8">
        <v>173200</v>
      </c>
      <c r="E27" s="27" t="s">
        <v>85</v>
      </c>
      <c r="F27" s="24" t="s">
        <v>40</v>
      </c>
      <c r="G27" s="12">
        <v>0</v>
      </c>
      <c r="H27" s="88">
        <f t="shared" si="0"/>
        <v>0</v>
      </c>
      <c r="I27" s="58">
        <v>2</v>
      </c>
    </row>
    <row r="28" spans="1:18" x14ac:dyDescent="0.4">
      <c r="A28" s="20" t="s">
        <v>165</v>
      </c>
      <c r="B28" s="95">
        <f>IF($B$20-B$19=0,0,C28/($B$20-B$19))</f>
        <v>7310.5263157894733</v>
      </c>
      <c r="C28" s="96">
        <v>138900</v>
      </c>
      <c r="E28" s="27" t="s">
        <v>87</v>
      </c>
      <c r="F28" s="24" t="s">
        <v>42</v>
      </c>
      <c r="G28" s="12">
        <v>0</v>
      </c>
      <c r="H28" s="88">
        <f t="shared" si="0"/>
        <v>0</v>
      </c>
      <c r="I28" s="58">
        <v>1</v>
      </c>
    </row>
    <row r="29" spans="1:18" x14ac:dyDescent="0.4">
      <c r="A29" s="20" t="s">
        <v>166</v>
      </c>
      <c r="B29" s="95">
        <f>IF(B$19=0,0,C29/B$19)</f>
        <v>4287.5</v>
      </c>
      <c r="C29" s="96">
        <v>34300</v>
      </c>
      <c r="E29" s="27" t="s">
        <v>88</v>
      </c>
      <c r="F29" s="24" t="s">
        <v>43</v>
      </c>
      <c r="G29" s="12">
        <v>0</v>
      </c>
      <c r="H29" s="88">
        <f t="shared" si="0"/>
        <v>0</v>
      </c>
      <c r="I29" s="58">
        <v>1</v>
      </c>
    </row>
    <row r="30" spans="1:18" x14ac:dyDescent="0.4">
      <c r="A30" s="20" t="s">
        <v>164</v>
      </c>
      <c r="B30" s="95">
        <f>IF(B$21=0,0,C30/B$21)</f>
        <v>-7955.5555555555557</v>
      </c>
      <c r="C30" s="96">
        <v>-71600</v>
      </c>
      <c r="E30" s="27" t="s">
        <v>90</v>
      </c>
      <c r="F30" s="24" t="s">
        <v>45</v>
      </c>
      <c r="G30" s="12">
        <v>0</v>
      </c>
      <c r="H30" s="88">
        <f t="shared" si="0"/>
        <v>0</v>
      </c>
      <c r="I30" s="58">
        <v>1</v>
      </c>
    </row>
    <row r="31" spans="1:18" x14ac:dyDescent="0.4">
      <c r="A31" s="19" t="s">
        <v>157</v>
      </c>
      <c r="B31" s="12">
        <v>4</v>
      </c>
      <c r="C31" s="90">
        <v>1</v>
      </c>
      <c r="E31" s="27" t="s">
        <v>91</v>
      </c>
      <c r="F31" s="24" t="s">
        <v>46</v>
      </c>
      <c r="G31" s="12">
        <v>0</v>
      </c>
      <c r="H31" s="88">
        <f t="shared" si="0"/>
        <v>0</v>
      </c>
      <c r="I31" s="58">
        <v>3</v>
      </c>
    </row>
    <row r="32" spans="1:18" x14ac:dyDescent="0.4">
      <c r="A32" s="19" t="s">
        <v>158</v>
      </c>
      <c r="B32" s="12">
        <v>14</v>
      </c>
      <c r="C32" s="90">
        <v>6</v>
      </c>
      <c r="E32" s="27" t="s">
        <v>92</v>
      </c>
      <c r="F32" s="24" t="s">
        <v>47</v>
      </c>
      <c r="G32" s="12">
        <v>0</v>
      </c>
      <c r="H32" s="88">
        <f t="shared" si="0"/>
        <v>0</v>
      </c>
      <c r="I32" s="58">
        <v>2</v>
      </c>
    </row>
    <row r="33" spans="1:9" x14ac:dyDescent="0.4">
      <c r="A33" s="54" t="s">
        <v>136</v>
      </c>
      <c r="B33" s="127">
        <v>3</v>
      </c>
      <c r="C33" s="128"/>
      <c r="E33" s="27" t="s">
        <v>93</v>
      </c>
      <c r="F33" s="24" t="s">
        <v>48</v>
      </c>
      <c r="G33" s="12">
        <v>0</v>
      </c>
      <c r="H33" s="88">
        <f t="shared" si="0"/>
        <v>0</v>
      </c>
      <c r="I33" s="58">
        <v>1</v>
      </c>
    </row>
    <row r="34" spans="1:9" x14ac:dyDescent="0.4">
      <c r="A34" s="22" t="s">
        <v>180</v>
      </c>
      <c r="B34" s="129">
        <v>56300</v>
      </c>
      <c r="C34" s="130"/>
      <c r="E34" s="27" t="s">
        <v>94</v>
      </c>
      <c r="F34" s="24" t="s">
        <v>49</v>
      </c>
      <c r="G34" s="12">
        <v>0</v>
      </c>
      <c r="H34" s="88">
        <f t="shared" ref="H34:H52" si="4"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95</v>
      </c>
      <c r="F35" s="24" t="s">
        <v>50</v>
      </c>
      <c r="G35" s="12">
        <v>0</v>
      </c>
      <c r="H35" s="88">
        <f t="shared" si="4"/>
        <v>0</v>
      </c>
      <c r="I35" s="58">
        <v>1</v>
      </c>
    </row>
    <row r="36" spans="1:9" x14ac:dyDescent="0.4">
      <c r="E36" s="27" t="s">
        <v>96</v>
      </c>
      <c r="F36" s="24" t="s">
        <v>51</v>
      </c>
      <c r="G36" s="12">
        <v>0</v>
      </c>
      <c r="H36" s="88">
        <f t="shared" si="4"/>
        <v>0</v>
      </c>
      <c r="I36" s="58">
        <v>1</v>
      </c>
    </row>
    <row r="37" spans="1:9" x14ac:dyDescent="0.4">
      <c r="A37" s="54" t="s">
        <v>171</v>
      </c>
      <c r="B37" s="123">
        <v>2</v>
      </c>
      <c r="C37" s="98">
        <f t="shared" ref="C37:C49" si="5">IF(B$20=0,0,B37/B$20)</f>
        <v>7.407407407407407E-2</v>
      </c>
      <c r="E37" s="27" t="s">
        <v>97</v>
      </c>
      <c r="F37" s="24" t="s">
        <v>52</v>
      </c>
      <c r="G37" s="12">
        <v>0</v>
      </c>
      <c r="H37" s="88">
        <f t="shared" si="4"/>
        <v>0</v>
      </c>
      <c r="I37" s="58">
        <v>1</v>
      </c>
    </row>
    <row r="38" spans="1:9" x14ac:dyDescent="0.4">
      <c r="A38" s="19" t="s">
        <v>167</v>
      </c>
      <c r="B38" s="12">
        <v>8</v>
      </c>
      <c r="C38" s="6">
        <f t="shared" si="5"/>
        <v>0.29629629629629628</v>
      </c>
      <c r="E38" s="27" t="s">
        <v>98</v>
      </c>
      <c r="F38" s="24" t="s">
        <v>53</v>
      </c>
      <c r="G38" s="12">
        <v>0</v>
      </c>
      <c r="H38" s="88">
        <f t="shared" si="4"/>
        <v>0</v>
      </c>
      <c r="I38" s="58">
        <v>1</v>
      </c>
    </row>
    <row r="39" spans="1:9" x14ac:dyDescent="0.4">
      <c r="A39" s="19" t="s">
        <v>168</v>
      </c>
      <c r="B39" s="124">
        <v>4</v>
      </c>
      <c r="C39" s="6">
        <f t="shared" si="5"/>
        <v>0.14814814814814814</v>
      </c>
      <c r="E39" s="27" t="s">
        <v>99</v>
      </c>
      <c r="F39" s="24" t="s">
        <v>54</v>
      </c>
      <c r="G39" s="12">
        <v>0</v>
      </c>
      <c r="H39" s="88">
        <f t="shared" si="4"/>
        <v>0</v>
      </c>
      <c r="I39" s="58">
        <v>1</v>
      </c>
    </row>
    <row r="40" spans="1:9" x14ac:dyDescent="0.4">
      <c r="A40" s="19" t="s">
        <v>169</v>
      </c>
      <c r="B40" s="124">
        <v>6</v>
      </c>
      <c r="C40" s="6">
        <f t="shared" si="5"/>
        <v>0.22222222222222221</v>
      </c>
      <c r="E40" s="27" t="s">
        <v>100</v>
      </c>
      <c r="F40" s="24" t="s">
        <v>55</v>
      </c>
      <c r="G40" s="12">
        <v>0</v>
      </c>
      <c r="H40" s="88">
        <f t="shared" si="4"/>
        <v>0</v>
      </c>
      <c r="I40" s="58">
        <v>1</v>
      </c>
    </row>
    <row r="41" spans="1:9" x14ac:dyDescent="0.4">
      <c r="A41" s="19" t="s">
        <v>170</v>
      </c>
      <c r="B41" s="124">
        <v>5</v>
      </c>
      <c r="C41" s="6">
        <f t="shared" si="5"/>
        <v>0.18518518518518517</v>
      </c>
      <c r="E41" s="27" t="s">
        <v>101</v>
      </c>
      <c r="F41" s="24" t="s">
        <v>56</v>
      </c>
      <c r="G41" s="12">
        <v>0</v>
      </c>
      <c r="H41" s="88">
        <f t="shared" si="4"/>
        <v>0</v>
      </c>
      <c r="I41" s="58">
        <v>1</v>
      </c>
    </row>
    <row r="42" spans="1:9" x14ac:dyDescent="0.4">
      <c r="A42" s="19" t="s">
        <v>172</v>
      </c>
      <c r="B42" s="124">
        <v>1</v>
      </c>
      <c r="C42" s="6">
        <f t="shared" si="5"/>
        <v>3.7037037037037035E-2</v>
      </c>
      <c r="E42" s="27" t="s">
        <v>102</v>
      </c>
      <c r="F42" s="24" t="s">
        <v>57</v>
      </c>
      <c r="G42" s="12">
        <v>0</v>
      </c>
      <c r="H42" s="88">
        <f t="shared" si="4"/>
        <v>0</v>
      </c>
      <c r="I42" s="58">
        <v>1</v>
      </c>
    </row>
    <row r="43" spans="1:9" x14ac:dyDescent="0.4">
      <c r="A43" s="19" t="s">
        <v>173</v>
      </c>
      <c r="B43" s="124">
        <v>1</v>
      </c>
      <c r="C43" s="6">
        <f t="shared" si="5"/>
        <v>3.7037037037037035E-2</v>
      </c>
      <c r="E43" s="27" t="s">
        <v>103</v>
      </c>
      <c r="F43" s="24" t="s">
        <v>58</v>
      </c>
      <c r="G43" s="12">
        <v>0</v>
      </c>
      <c r="H43" s="88">
        <f t="shared" si="4"/>
        <v>0</v>
      </c>
      <c r="I43" s="58">
        <v>1</v>
      </c>
    </row>
    <row r="44" spans="1:9" x14ac:dyDescent="0.4">
      <c r="A44" s="19" t="s">
        <v>174</v>
      </c>
      <c r="B44" s="124">
        <v>0</v>
      </c>
      <c r="C44" s="6">
        <f t="shared" si="5"/>
        <v>0</v>
      </c>
      <c r="E44" s="27" t="s">
        <v>104</v>
      </c>
      <c r="F44" s="24" t="s">
        <v>59</v>
      </c>
      <c r="G44" s="12">
        <v>0</v>
      </c>
      <c r="H44" s="88">
        <f t="shared" si="4"/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5"/>
        <v>0</v>
      </c>
      <c r="E45" s="27" t="s">
        <v>105</v>
      </c>
      <c r="F45" s="24" t="s">
        <v>112</v>
      </c>
      <c r="G45" s="12">
        <v>0</v>
      </c>
      <c r="H45" s="88">
        <f t="shared" si="4"/>
        <v>0</v>
      </c>
      <c r="I45" s="58">
        <v>1</v>
      </c>
    </row>
    <row r="46" spans="1:9" x14ac:dyDescent="0.4">
      <c r="A46" s="19" t="s">
        <v>176</v>
      </c>
      <c r="B46" s="124">
        <v>0</v>
      </c>
      <c r="C46" s="6">
        <f t="shared" si="5"/>
        <v>0</v>
      </c>
      <c r="E46" s="27" t="s">
        <v>106</v>
      </c>
      <c r="F46" s="24" t="s">
        <v>113</v>
      </c>
      <c r="G46" s="12">
        <v>0</v>
      </c>
      <c r="H46" s="88">
        <f t="shared" si="4"/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5"/>
        <v>0</v>
      </c>
      <c r="E47" s="27" t="s">
        <v>107</v>
      </c>
      <c r="F47" s="24" t="s">
        <v>114</v>
      </c>
      <c r="G47" s="12">
        <v>0</v>
      </c>
      <c r="H47" s="88">
        <f t="shared" si="4"/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5"/>
        <v>0</v>
      </c>
      <c r="E48" s="27" t="s">
        <v>108</v>
      </c>
      <c r="F48" s="24" t="s">
        <v>60</v>
      </c>
      <c r="G48" s="12">
        <v>0</v>
      </c>
      <c r="H48" s="88">
        <f t="shared" si="4"/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5"/>
        <v>0</v>
      </c>
      <c r="E49" s="27" t="s">
        <v>109</v>
      </c>
      <c r="F49" s="24" t="s">
        <v>61</v>
      </c>
      <c r="G49" s="12">
        <v>0</v>
      </c>
      <c r="H49" s="88">
        <f t="shared" si="4"/>
        <v>0</v>
      </c>
      <c r="I49" s="58">
        <v>1</v>
      </c>
    </row>
    <row r="50" spans="1:9" x14ac:dyDescent="0.4">
      <c r="E50" s="27" t="s">
        <v>110</v>
      </c>
      <c r="F50" s="24" t="s">
        <v>62</v>
      </c>
      <c r="G50" s="12">
        <v>0</v>
      </c>
      <c r="H50" s="88">
        <f t="shared" si="4"/>
        <v>0</v>
      </c>
      <c r="I50" s="58">
        <v>1</v>
      </c>
    </row>
    <row r="51" spans="1:9" x14ac:dyDescent="0.4">
      <c r="E51" s="91" t="s">
        <v>111</v>
      </c>
      <c r="F51" s="92" t="s">
        <v>63</v>
      </c>
      <c r="G51" s="13">
        <v>0</v>
      </c>
      <c r="H51" s="93">
        <f t="shared" si="4"/>
        <v>0</v>
      </c>
      <c r="I51" s="94">
        <v>1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 t="shared" si="4"/>
        <v>0</v>
      </c>
      <c r="I52" s="59">
        <v>1</v>
      </c>
    </row>
  </sheetData>
  <sortState xmlns:xlrd2="http://schemas.microsoft.com/office/spreadsheetml/2017/richdata2" ref="O15:R21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83FA31-3467-49D7-B6F8-2854C26F4B80}">
  <sheetPr codeName="Sheet1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216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10</v>
      </c>
      <c r="C2" s="134"/>
      <c r="E2" s="26" t="s">
        <v>66</v>
      </c>
      <c r="F2" s="23" t="s">
        <v>22</v>
      </c>
      <c r="G2" s="11">
        <v>12</v>
      </c>
      <c r="H2" s="87">
        <f t="shared" ref="H2:H33" si="0">IF(B$20=0,0,G2/B$20)</f>
        <v>0.63157894736842102</v>
      </c>
      <c r="I2" s="57">
        <v>3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1180</v>
      </c>
      <c r="Q2" s="76">
        <v>10</v>
      </c>
      <c r="R2" s="63">
        <v>11800</v>
      </c>
    </row>
    <row r="3" spans="1:18" x14ac:dyDescent="0.4">
      <c r="A3" s="19" t="s">
        <v>8</v>
      </c>
      <c r="B3" s="135">
        <v>78</v>
      </c>
      <c r="C3" s="136"/>
      <c r="E3" s="27" t="s">
        <v>72</v>
      </c>
      <c r="F3" s="24" t="s">
        <v>27</v>
      </c>
      <c r="G3" s="12">
        <v>12</v>
      </c>
      <c r="H3" s="88">
        <f t="shared" si="0"/>
        <v>0.63157894736842102</v>
      </c>
      <c r="I3" s="58">
        <v>3</v>
      </c>
      <c r="K3" s="74">
        <v>1</v>
      </c>
      <c r="L3" s="119">
        <v>42.4</v>
      </c>
      <c r="M3" s="117">
        <v>1507.6079999999999</v>
      </c>
      <c r="O3" s="74" t="s">
        <v>129</v>
      </c>
      <c r="P3" s="80">
        <f t="shared" si="1"/>
        <v>770</v>
      </c>
      <c r="Q3" s="77">
        <v>10</v>
      </c>
      <c r="R3" s="64">
        <v>7700</v>
      </c>
    </row>
    <row r="4" spans="1:18" x14ac:dyDescent="0.4">
      <c r="A4" s="19" t="s">
        <v>6</v>
      </c>
      <c r="B4" s="137">
        <v>14.100000000000005</v>
      </c>
      <c r="C4" s="138"/>
      <c r="E4" s="27" t="s">
        <v>64</v>
      </c>
      <c r="F4" s="24" t="s">
        <v>20</v>
      </c>
      <c r="G4" s="12">
        <v>8</v>
      </c>
      <c r="H4" s="88">
        <f t="shared" si="0"/>
        <v>0.42105263157894735</v>
      </c>
      <c r="I4" s="58">
        <v>2</v>
      </c>
      <c r="K4" s="74">
        <v>2</v>
      </c>
      <c r="L4" s="119">
        <v>50.4</v>
      </c>
      <c r="M4" s="117">
        <v>1508.6783519999999</v>
      </c>
      <c r="O4" s="74" t="s">
        <v>130</v>
      </c>
      <c r="P4" s="80">
        <f t="shared" si="1"/>
        <v>-3420</v>
      </c>
      <c r="Q4" s="77">
        <v>10</v>
      </c>
      <c r="R4" s="64">
        <v>-34200</v>
      </c>
    </row>
    <row r="5" spans="1:18" x14ac:dyDescent="0.4">
      <c r="A5" s="19" t="s">
        <v>7</v>
      </c>
      <c r="B5" s="125">
        <f>IF(B$2=0,0,B$4/B$2)</f>
        <v>1.4100000000000006</v>
      </c>
      <c r="C5" s="126"/>
      <c r="E5" s="27" t="s">
        <v>159</v>
      </c>
      <c r="F5" s="24" t="s">
        <v>160</v>
      </c>
      <c r="G5" s="12">
        <v>6</v>
      </c>
      <c r="H5" s="88">
        <f t="shared" si="0"/>
        <v>0.31578947368421051</v>
      </c>
      <c r="I5" s="58">
        <v>6</v>
      </c>
      <c r="K5" s="74">
        <v>3</v>
      </c>
      <c r="L5" s="119">
        <v>10.399999999999999</v>
      </c>
      <c r="M5" s="117">
        <v>1501.8402818879999</v>
      </c>
      <c r="O5" s="74" t="s">
        <v>131</v>
      </c>
      <c r="P5" s="80">
        <f t="shared" si="1"/>
        <v>-866.66666666666663</v>
      </c>
      <c r="Q5" s="77">
        <v>9</v>
      </c>
      <c r="R5" s="64">
        <v>-7800</v>
      </c>
    </row>
    <row r="6" spans="1:18" x14ac:dyDescent="0.4">
      <c r="A6" s="19" t="s">
        <v>196</v>
      </c>
      <c r="B6" s="129">
        <v>1505.4057135817091</v>
      </c>
      <c r="C6" s="130"/>
      <c r="E6" s="27" t="s">
        <v>68</v>
      </c>
      <c r="F6" s="24" t="s">
        <v>12</v>
      </c>
      <c r="G6" s="12">
        <v>4</v>
      </c>
      <c r="H6" s="88">
        <f t="shared" si="0"/>
        <v>0.21052631578947367</v>
      </c>
      <c r="I6" s="58">
        <v>5</v>
      </c>
      <c r="K6" s="74">
        <v>4</v>
      </c>
      <c r="L6" s="119">
        <v>60</v>
      </c>
      <c r="M6" s="117">
        <v>1511.171240196672</v>
      </c>
      <c r="O6" s="74" t="s">
        <v>132</v>
      </c>
      <c r="P6" s="80">
        <f t="shared" si="1"/>
        <v>-600</v>
      </c>
      <c r="Q6" s="77">
        <v>7</v>
      </c>
      <c r="R6" s="64">
        <v>-4200</v>
      </c>
    </row>
    <row r="7" spans="1:18" x14ac:dyDescent="0.4">
      <c r="A7" s="19" t="s">
        <v>1</v>
      </c>
      <c r="B7" s="139">
        <f>IF(B$2=0,0,(B$8*1+B$9*2+B$10*3)/B$2)</f>
        <v>1.9</v>
      </c>
      <c r="C7" s="140"/>
      <c r="E7" s="27" t="s">
        <v>89</v>
      </c>
      <c r="F7" s="24" t="s">
        <v>44</v>
      </c>
      <c r="G7" s="12">
        <v>4</v>
      </c>
      <c r="H7" s="88">
        <f t="shared" si="0"/>
        <v>0.21052631578947367</v>
      </c>
      <c r="I7" s="58">
        <v>2</v>
      </c>
      <c r="K7" s="74">
        <v>5</v>
      </c>
      <c r="L7" s="119">
        <v>6.2000000000000028</v>
      </c>
      <c r="M7" s="117">
        <v>1501.672212755492</v>
      </c>
      <c r="O7" s="75" t="s">
        <v>133</v>
      </c>
      <c r="P7" s="81">
        <f t="shared" si="1"/>
        <v>3850</v>
      </c>
      <c r="Q7" s="78">
        <v>8</v>
      </c>
      <c r="R7" s="65">
        <v>30800</v>
      </c>
    </row>
    <row r="8" spans="1:18" x14ac:dyDescent="0.4">
      <c r="A8" s="19" t="s">
        <v>2</v>
      </c>
      <c r="B8" s="12">
        <v>4</v>
      </c>
      <c r="C8" s="6">
        <f t="shared" ref="C8:C15" si="2">IF(B$2=0,0,B8/B$2)</f>
        <v>0.4</v>
      </c>
      <c r="E8" s="27" t="s">
        <v>65</v>
      </c>
      <c r="F8" s="24" t="s">
        <v>21</v>
      </c>
      <c r="G8" s="12">
        <v>3</v>
      </c>
      <c r="H8" s="88">
        <f t="shared" si="0"/>
        <v>0.15789473684210525</v>
      </c>
      <c r="I8" s="58">
        <v>1</v>
      </c>
      <c r="K8" s="74">
        <v>6</v>
      </c>
      <c r="L8" s="119">
        <v>30.000000000000004</v>
      </c>
      <c r="M8" s="117">
        <v>1506.198179478959</v>
      </c>
      <c r="O8" s="107"/>
      <c r="P8" s="85"/>
      <c r="Q8" s="108"/>
      <c r="R8" s="70"/>
    </row>
    <row r="9" spans="1:18" x14ac:dyDescent="0.4">
      <c r="A9" s="19" t="s">
        <v>3</v>
      </c>
      <c r="B9" s="12">
        <v>3</v>
      </c>
      <c r="C9" s="6">
        <f t="shared" si="2"/>
        <v>0.3</v>
      </c>
      <c r="E9" s="27" t="s">
        <v>67</v>
      </c>
      <c r="F9" s="24" t="s">
        <v>23</v>
      </c>
      <c r="G9" s="12">
        <v>3</v>
      </c>
      <c r="H9" s="88">
        <f t="shared" si="0"/>
        <v>0.15789473684210525</v>
      </c>
      <c r="I9" s="58">
        <v>5</v>
      </c>
      <c r="K9" s="74">
        <v>7</v>
      </c>
      <c r="L9" s="119">
        <v>1.2000000000000028</v>
      </c>
      <c r="M9" s="117">
        <v>1501.0189904020851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3</v>
      </c>
      <c r="C10" s="7">
        <f t="shared" si="2"/>
        <v>0.3</v>
      </c>
      <c r="E10" s="27" t="s">
        <v>86</v>
      </c>
      <c r="F10" s="24" t="s">
        <v>41</v>
      </c>
      <c r="G10" s="12">
        <v>3</v>
      </c>
      <c r="H10" s="88">
        <f t="shared" si="0"/>
        <v>0.15789473684210525</v>
      </c>
      <c r="I10" s="58">
        <v>1</v>
      </c>
      <c r="K10" s="74">
        <v>8</v>
      </c>
      <c r="L10" s="119">
        <v>40.900000000000006</v>
      </c>
      <c r="M10" s="117">
        <v>1508.8788764596727</v>
      </c>
      <c r="O10" s="73" t="s">
        <v>151</v>
      </c>
      <c r="P10" s="82">
        <f>IF(Q10=0,0,R10/Q10)</f>
        <v>0.33333333333333331</v>
      </c>
      <c r="Q10" s="76">
        <v>3</v>
      </c>
      <c r="R10" s="67">
        <v>1</v>
      </c>
    </row>
    <row r="11" spans="1:18" x14ac:dyDescent="0.4">
      <c r="A11" s="20" t="s">
        <v>184</v>
      </c>
      <c r="B11" s="109">
        <f>IF(B8=0,0,C11/B8)</f>
        <v>38.875</v>
      </c>
      <c r="C11" s="110">
        <v>155.5</v>
      </c>
      <c r="E11" s="27" t="s">
        <v>70</v>
      </c>
      <c r="F11" s="24" t="s">
        <v>25</v>
      </c>
      <c r="G11" s="12">
        <v>2</v>
      </c>
      <c r="H11" s="88">
        <f t="shared" si="0"/>
        <v>0.10526315789473684</v>
      </c>
      <c r="I11" s="58">
        <v>3</v>
      </c>
      <c r="K11" s="74">
        <v>9</v>
      </c>
      <c r="L11" s="119">
        <v>21.100000000000005</v>
      </c>
      <c r="M11" s="117">
        <v>1505.9816032009146</v>
      </c>
      <c r="O11" s="74" t="s">
        <v>152</v>
      </c>
      <c r="P11" s="83">
        <f>IF(Q11=0,0,R11/Q11)</f>
        <v>-17.133333333333333</v>
      </c>
      <c r="Q11" s="77">
        <v>3</v>
      </c>
      <c r="R11" s="68">
        <v>-51.4</v>
      </c>
    </row>
    <row r="12" spans="1:18" x14ac:dyDescent="0.4">
      <c r="A12" s="20" t="s">
        <v>185</v>
      </c>
      <c r="B12" s="109">
        <f>IF(B9=0,0,C12/B9)</f>
        <v>-6.2666666666666666</v>
      </c>
      <c r="C12" s="110">
        <v>-18.8</v>
      </c>
      <c r="E12" s="27" t="s">
        <v>69</v>
      </c>
      <c r="F12" s="24" t="s">
        <v>24</v>
      </c>
      <c r="G12" s="12">
        <v>1</v>
      </c>
      <c r="H12" s="88">
        <f t="shared" si="0"/>
        <v>5.2631578947368418E-2</v>
      </c>
      <c r="I12" s="58">
        <v>6</v>
      </c>
      <c r="K12" s="74">
        <v>10</v>
      </c>
      <c r="L12" s="119">
        <v>14.100000000000005</v>
      </c>
      <c r="M12" s="117">
        <v>1505.4057135817091</v>
      </c>
      <c r="O12" s="75" t="s">
        <v>153</v>
      </c>
      <c r="P12" s="84">
        <f>IF(Q12=0,0,R12/Q12)</f>
        <v>16.125</v>
      </c>
      <c r="Q12" s="78">
        <v>4</v>
      </c>
      <c r="R12" s="69">
        <v>64.5</v>
      </c>
    </row>
    <row r="13" spans="1:18" x14ac:dyDescent="0.4">
      <c r="A13" s="20" t="s">
        <v>186</v>
      </c>
      <c r="B13" s="109">
        <f>IF(B10=0,0,C13/B10)</f>
        <v>-40.866666666666667</v>
      </c>
      <c r="C13" s="110">
        <v>-122.6</v>
      </c>
      <c r="E13" s="27" t="s">
        <v>71</v>
      </c>
      <c r="F13" s="24" t="s">
        <v>26</v>
      </c>
      <c r="G13" s="12">
        <v>1</v>
      </c>
      <c r="H13" s="88">
        <f t="shared" si="0"/>
        <v>5.2631578947368418E-2</v>
      </c>
      <c r="I13" s="58">
        <v>5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-2.7527777777777778</v>
      </c>
      <c r="C14" s="126"/>
      <c r="E14" s="27" t="s">
        <v>77</v>
      </c>
      <c r="F14" s="24" t="s">
        <v>32</v>
      </c>
      <c r="G14" s="12">
        <v>1</v>
      </c>
      <c r="H14" s="88">
        <f t="shared" si="0"/>
        <v>5.2631578947368418E-2</v>
      </c>
      <c r="I14" s="58">
        <v>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</v>
      </c>
      <c r="C15" s="9">
        <f t="shared" si="2"/>
        <v>0.1</v>
      </c>
      <c r="E15" s="27" t="s">
        <v>85</v>
      </c>
      <c r="F15" s="24" t="s">
        <v>40</v>
      </c>
      <c r="G15" s="12">
        <v>1</v>
      </c>
      <c r="H15" s="88">
        <f t="shared" si="0"/>
        <v>5.2631578947368418E-2</v>
      </c>
      <c r="I15" s="58">
        <v>1</v>
      </c>
      <c r="O15" s="73" t="s">
        <v>193</v>
      </c>
      <c r="P15" s="82">
        <f>IF(Q15=0,0,R15/Q15)</f>
        <v>27.925000000000001</v>
      </c>
      <c r="Q15" s="76">
        <v>4</v>
      </c>
      <c r="R15" s="67">
        <v>111.7</v>
      </c>
    </row>
    <row r="16" spans="1:18" x14ac:dyDescent="0.4">
      <c r="A16" s="22" t="s">
        <v>121</v>
      </c>
      <c r="B16" s="15">
        <v>21</v>
      </c>
      <c r="C16" s="10">
        <f>IF(B$3=0,0,B16/B$3)</f>
        <v>0.26923076923076922</v>
      </c>
      <c r="E16" s="27" t="s">
        <v>73</v>
      </c>
      <c r="F16" s="24" t="s">
        <v>28</v>
      </c>
      <c r="G16" s="12">
        <v>0</v>
      </c>
      <c r="H16" s="88">
        <f t="shared" si="0"/>
        <v>0</v>
      </c>
      <c r="I16" s="58">
        <v>3</v>
      </c>
      <c r="O16" s="74" t="s">
        <v>126</v>
      </c>
      <c r="P16" s="83">
        <f>IF(Q16=0,0,R16/Q16)</f>
        <v>14.040000000000001</v>
      </c>
      <c r="Q16" s="77">
        <v>5</v>
      </c>
      <c r="R16" s="68">
        <v>70.2</v>
      </c>
    </row>
    <row r="17" spans="1:18" x14ac:dyDescent="0.4">
      <c r="A17" s="19" t="s">
        <v>118</v>
      </c>
      <c r="B17" s="12">
        <v>17</v>
      </c>
      <c r="C17" s="6">
        <f>IF(B$3=0,0,B17/B$3)</f>
        <v>0.21794871794871795</v>
      </c>
      <c r="E17" s="27" t="s">
        <v>74</v>
      </c>
      <c r="F17" s="24" t="s">
        <v>29</v>
      </c>
      <c r="G17" s="12">
        <v>0</v>
      </c>
      <c r="H17" s="88">
        <f t="shared" si="0"/>
        <v>0</v>
      </c>
      <c r="I17" s="58">
        <v>1</v>
      </c>
      <c r="O17" s="74" t="s">
        <v>211</v>
      </c>
      <c r="P17" s="83">
        <f>IF(Q17=0,0,R17/Q17)</f>
        <v>-9.4124999999999996</v>
      </c>
      <c r="Q17" s="77">
        <v>8</v>
      </c>
      <c r="R17" s="68">
        <v>-75.3</v>
      </c>
    </row>
    <row r="18" spans="1:18" x14ac:dyDescent="0.4">
      <c r="A18" s="18" t="s">
        <v>123</v>
      </c>
      <c r="B18" s="11">
        <f>B24</f>
        <v>9</v>
      </c>
      <c r="C18" s="5">
        <f>IF(B$16=0,0,B18/B$16)</f>
        <v>0.42857142857142855</v>
      </c>
      <c r="E18" s="27" t="s">
        <v>75</v>
      </c>
      <c r="F18" s="24" t="s">
        <v>30</v>
      </c>
      <c r="G18" s="12">
        <v>0</v>
      </c>
      <c r="H18" s="88">
        <f t="shared" si="0"/>
        <v>0</v>
      </c>
      <c r="I18" s="58">
        <v>2</v>
      </c>
      <c r="O18" s="74" t="s">
        <v>163</v>
      </c>
      <c r="P18" s="83">
        <f>IF(Q18=0,0,R18/Q18)</f>
        <v>-14.600000000000005</v>
      </c>
      <c r="Q18" s="77">
        <v>2</v>
      </c>
      <c r="R18" s="68">
        <v>-29.20000000000001</v>
      </c>
    </row>
    <row r="19" spans="1:18" x14ac:dyDescent="0.4">
      <c r="A19" s="18" t="s">
        <v>124</v>
      </c>
      <c r="B19" s="11">
        <f>B25</f>
        <v>6</v>
      </c>
      <c r="C19" s="5">
        <f>IF(B$17=0,0,B19/B$17)</f>
        <v>0.35294117647058826</v>
      </c>
      <c r="E19" s="27" t="s">
        <v>76</v>
      </c>
      <c r="F19" s="24" t="s">
        <v>31</v>
      </c>
      <c r="G19" s="12">
        <v>0</v>
      </c>
      <c r="H19" s="88">
        <f t="shared" si="0"/>
        <v>0</v>
      </c>
      <c r="I19" s="58">
        <v>1</v>
      </c>
      <c r="O19" s="74" t="s">
        <v>192</v>
      </c>
      <c r="P19" s="83">
        <f>IF(Q19=0,0,R19/Q19)</f>
        <v>-35.1</v>
      </c>
      <c r="Q19" s="77">
        <v>1</v>
      </c>
      <c r="R19" s="68">
        <v>-35.1</v>
      </c>
    </row>
    <row r="20" spans="1:18" x14ac:dyDescent="0.4">
      <c r="A20" s="18" t="s">
        <v>10</v>
      </c>
      <c r="B20" s="11">
        <f>B23+B22</f>
        <v>19</v>
      </c>
      <c r="C20" s="5">
        <f>IF(B$3=0,0,B20/B$3)</f>
        <v>0.24358974358974358</v>
      </c>
      <c r="E20" s="27" t="s">
        <v>78</v>
      </c>
      <c r="F20" s="24" t="s">
        <v>33</v>
      </c>
      <c r="G20" s="12">
        <v>0</v>
      </c>
      <c r="H20" s="88">
        <f t="shared" si="0"/>
        <v>0</v>
      </c>
      <c r="I20" s="58">
        <v>5</v>
      </c>
    </row>
    <row r="21" spans="1:18" x14ac:dyDescent="0.4">
      <c r="A21" s="19" t="s">
        <v>13</v>
      </c>
      <c r="B21" s="12">
        <v>13</v>
      </c>
      <c r="C21" s="6">
        <f>IF(B$3=0,0,B21/B$3)</f>
        <v>0.16666666666666666</v>
      </c>
      <c r="E21" s="27" t="s">
        <v>79</v>
      </c>
      <c r="F21" s="24" t="s">
        <v>34</v>
      </c>
      <c r="G21" s="12">
        <v>0</v>
      </c>
      <c r="H21" s="88">
        <f t="shared" si="0"/>
        <v>0</v>
      </c>
      <c r="I21" s="58">
        <v>3</v>
      </c>
    </row>
    <row r="22" spans="1:18" x14ac:dyDescent="0.4">
      <c r="A22" s="19" t="s">
        <v>12</v>
      </c>
      <c r="B22" s="12">
        <v>9</v>
      </c>
      <c r="C22" s="6">
        <f>IF(B$20=0,0,B22/B$20)</f>
        <v>0.47368421052631576</v>
      </c>
      <c r="E22" s="27" t="s">
        <v>80</v>
      </c>
      <c r="F22" s="24" t="s">
        <v>35</v>
      </c>
      <c r="G22" s="12">
        <v>0</v>
      </c>
      <c r="H22" s="88">
        <f t="shared" si="0"/>
        <v>0</v>
      </c>
      <c r="I22" s="58">
        <v>1</v>
      </c>
    </row>
    <row r="23" spans="1:18" x14ac:dyDescent="0.4">
      <c r="A23" s="19" t="s">
        <v>11</v>
      </c>
      <c r="B23" s="12">
        <v>10</v>
      </c>
      <c r="C23" s="6">
        <f>IF(B$20=0,0,B23/B$20)</f>
        <v>0.52631578947368418</v>
      </c>
      <c r="E23" s="27" t="s">
        <v>81</v>
      </c>
      <c r="F23" s="24" t="s">
        <v>36</v>
      </c>
      <c r="G23" s="12">
        <v>0</v>
      </c>
      <c r="H23" s="88">
        <f t="shared" si="0"/>
        <v>0</v>
      </c>
      <c r="I23" s="58">
        <v>4</v>
      </c>
    </row>
    <row r="24" spans="1:18" x14ac:dyDescent="0.4">
      <c r="A24" s="19" t="s">
        <v>183</v>
      </c>
      <c r="B24" s="12">
        <v>9</v>
      </c>
      <c r="C24" s="6">
        <f>IF(B$20=0,0,B24/B$20)</f>
        <v>0.47368421052631576</v>
      </c>
      <c r="E24" s="27" t="s">
        <v>82</v>
      </c>
      <c r="F24" s="24" t="s">
        <v>37</v>
      </c>
      <c r="G24" s="12">
        <v>0</v>
      </c>
      <c r="H24" s="88">
        <f t="shared" si="0"/>
        <v>0</v>
      </c>
      <c r="I24" s="58">
        <v>1</v>
      </c>
    </row>
    <row r="25" spans="1:18" x14ac:dyDescent="0.4">
      <c r="A25" s="19" t="s">
        <v>181</v>
      </c>
      <c r="B25" s="12">
        <v>6</v>
      </c>
      <c r="C25" s="6">
        <f>IF(B$20=0,0,B25/B$20)</f>
        <v>0.31578947368421051</v>
      </c>
      <c r="E25" s="27" t="s">
        <v>83</v>
      </c>
      <c r="F25" s="24" t="s">
        <v>38</v>
      </c>
      <c r="G25" s="12">
        <v>0</v>
      </c>
      <c r="H25" s="88">
        <f t="shared" si="0"/>
        <v>0</v>
      </c>
      <c r="I25" s="58">
        <v>5</v>
      </c>
    </row>
    <row r="26" spans="1:18" x14ac:dyDescent="0.4">
      <c r="A26" s="19" t="s">
        <v>182</v>
      </c>
      <c r="B26" s="12">
        <v>4</v>
      </c>
      <c r="C26" s="6">
        <f>IF(B$20=0,0,B26/B$20)</f>
        <v>0.21052631578947367</v>
      </c>
      <c r="E26" s="27" t="s">
        <v>84</v>
      </c>
      <c r="F26" s="24" t="s">
        <v>39</v>
      </c>
      <c r="G26" s="12">
        <v>0</v>
      </c>
      <c r="H26" s="88">
        <f t="shared" si="0"/>
        <v>0</v>
      </c>
      <c r="I26" s="58">
        <v>1</v>
      </c>
    </row>
    <row r="27" spans="1:18" x14ac:dyDescent="0.4">
      <c r="A27" s="19" t="s">
        <v>5</v>
      </c>
      <c r="B27" s="16">
        <f>IF(B$20=0,0,C27/B$20)</f>
        <v>7557.894736842105</v>
      </c>
      <c r="C27" s="8">
        <v>143600</v>
      </c>
      <c r="E27" s="27" t="s">
        <v>87</v>
      </c>
      <c r="F27" s="24" t="s">
        <v>42</v>
      </c>
      <c r="G27" s="12">
        <v>0</v>
      </c>
      <c r="H27" s="88">
        <f t="shared" si="0"/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9023.0769230769238</v>
      </c>
      <c r="C28" s="96">
        <v>117300</v>
      </c>
      <c r="E28" s="27" t="s">
        <v>88</v>
      </c>
      <c r="F28" s="24" t="s">
        <v>43</v>
      </c>
      <c r="G28" s="12">
        <v>0</v>
      </c>
      <c r="H28" s="88">
        <f t="shared" si="0"/>
        <v>0</v>
      </c>
      <c r="I28" s="58">
        <v>1</v>
      </c>
    </row>
    <row r="29" spans="1:18" x14ac:dyDescent="0.4">
      <c r="A29" s="20" t="s">
        <v>166</v>
      </c>
      <c r="B29" s="95">
        <f>IF(B$19=0,0,C29/B$19)</f>
        <v>4383.333333333333</v>
      </c>
      <c r="C29" s="96">
        <v>26300</v>
      </c>
      <c r="E29" s="27" t="s">
        <v>90</v>
      </c>
      <c r="F29" s="24" t="s">
        <v>45</v>
      </c>
      <c r="G29" s="12">
        <v>0</v>
      </c>
      <c r="H29" s="88">
        <f t="shared" si="0"/>
        <v>0</v>
      </c>
      <c r="I29" s="58">
        <v>1</v>
      </c>
    </row>
    <row r="30" spans="1:18" x14ac:dyDescent="0.4">
      <c r="A30" s="20" t="s">
        <v>164</v>
      </c>
      <c r="B30" s="95">
        <f>IF(B$21=0,0,C30/B$21)</f>
        <v>-6907.6923076923076</v>
      </c>
      <c r="C30" s="96">
        <v>-89800</v>
      </c>
      <c r="E30" s="27" t="s">
        <v>91</v>
      </c>
      <c r="F30" s="24" t="s">
        <v>46</v>
      </c>
      <c r="G30" s="12">
        <v>0</v>
      </c>
      <c r="H30" s="88">
        <f t="shared" si="0"/>
        <v>0</v>
      </c>
      <c r="I30" s="58">
        <v>3</v>
      </c>
    </row>
    <row r="31" spans="1:18" x14ac:dyDescent="0.4">
      <c r="A31" s="19" t="s">
        <v>157</v>
      </c>
      <c r="B31" s="12">
        <v>2</v>
      </c>
      <c r="C31" s="90">
        <v>0</v>
      </c>
      <c r="E31" s="27" t="s">
        <v>92</v>
      </c>
      <c r="F31" s="24" t="s">
        <v>47</v>
      </c>
      <c r="G31" s="12">
        <v>0</v>
      </c>
      <c r="H31" s="88">
        <f t="shared" si="0"/>
        <v>0</v>
      </c>
      <c r="I31" s="58">
        <v>2</v>
      </c>
    </row>
    <row r="32" spans="1:18" x14ac:dyDescent="0.4">
      <c r="A32" s="19" t="s">
        <v>158</v>
      </c>
      <c r="B32" s="12">
        <v>17</v>
      </c>
      <c r="C32" s="90">
        <v>8</v>
      </c>
      <c r="E32" s="27" t="s">
        <v>93</v>
      </c>
      <c r="F32" s="24" t="s">
        <v>48</v>
      </c>
      <c r="G32" s="12">
        <v>0</v>
      </c>
      <c r="H32" s="88">
        <f t="shared" si="0"/>
        <v>0</v>
      </c>
      <c r="I32" s="58">
        <v>1</v>
      </c>
    </row>
    <row r="33" spans="1:9" x14ac:dyDescent="0.4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 t="shared" si="0"/>
        <v>0</v>
      </c>
      <c r="I33" s="58">
        <v>1</v>
      </c>
    </row>
    <row r="34" spans="1:9" x14ac:dyDescent="0.4">
      <c r="A34" s="22" t="s">
        <v>180</v>
      </c>
      <c r="B34" s="129">
        <v>74600</v>
      </c>
      <c r="C34" s="130"/>
      <c r="E34" s="27" t="s">
        <v>95</v>
      </c>
      <c r="F34" s="24" t="s">
        <v>50</v>
      </c>
      <c r="G34" s="12">
        <v>0</v>
      </c>
      <c r="H34" s="88">
        <f t="shared" ref="H34:H52" si="3"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 t="shared" si="3"/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 t="shared" si="3"/>
        <v>0</v>
      </c>
      <c r="I36" s="58">
        <v>1</v>
      </c>
    </row>
    <row r="37" spans="1:9" x14ac:dyDescent="0.4">
      <c r="A37" s="54" t="s">
        <v>171</v>
      </c>
      <c r="B37" s="123">
        <v>4</v>
      </c>
      <c r="C37" s="98">
        <f t="shared" ref="C37:C49" si="4">IF(B$20=0,0,B37/B$20)</f>
        <v>0.21052631578947367</v>
      </c>
      <c r="E37" s="27" t="s">
        <v>98</v>
      </c>
      <c r="F37" s="24" t="s">
        <v>53</v>
      </c>
      <c r="G37" s="12">
        <v>0</v>
      </c>
      <c r="H37" s="88">
        <f t="shared" si="3"/>
        <v>0</v>
      </c>
      <c r="I37" s="58">
        <v>1</v>
      </c>
    </row>
    <row r="38" spans="1:9" x14ac:dyDescent="0.4">
      <c r="A38" s="19" t="s">
        <v>167</v>
      </c>
      <c r="B38" s="12">
        <v>5</v>
      </c>
      <c r="C38" s="6">
        <f t="shared" si="4"/>
        <v>0.26315789473684209</v>
      </c>
      <c r="E38" s="27" t="s">
        <v>99</v>
      </c>
      <c r="F38" s="24" t="s">
        <v>54</v>
      </c>
      <c r="G38" s="12">
        <v>0</v>
      </c>
      <c r="H38" s="88">
        <f t="shared" si="3"/>
        <v>0</v>
      </c>
      <c r="I38" s="58">
        <v>1</v>
      </c>
    </row>
    <row r="39" spans="1:9" x14ac:dyDescent="0.4">
      <c r="A39" s="19" t="s">
        <v>168</v>
      </c>
      <c r="B39" s="124">
        <v>0</v>
      </c>
      <c r="C39" s="6">
        <f t="shared" si="4"/>
        <v>0</v>
      </c>
      <c r="E39" s="27" t="s">
        <v>100</v>
      </c>
      <c r="F39" s="24" t="s">
        <v>55</v>
      </c>
      <c r="G39" s="12">
        <v>0</v>
      </c>
      <c r="H39" s="88">
        <f t="shared" si="3"/>
        <v>0</v>
      </c>
      <c r="I39" s="58">
        <v>1</v>
      </c>
    </row>
    <row r="40" spans="1:9" x14ac:dyDescent="0.4">
      <c r="A40" s="19" t="s">
        <v>169</v>
      </c>
      <c r="B40" s="124">
        <v>2</v>
      </c>
      <c r="C40" s="6">
        <f t="shared" si="4"/>
        <v>0.10526315789473684</v>
      </c>
      <c r="E40" s="27" t="s">
        <v>101</v>
      </c>
      <c r="F40" s="24" t="s">
        <v>56</v>
      </c>
      <c r="G40" s="12">
        <v>0</v>
      </c>
      <c r="H40" s="88">
        <f t="shared" si="3"/>
        <v>0</v>
      </c>
      <c r="I40" s="58">
        <v>1</v>
      </c>
    </row>
    <row r="41" spans="1:9" x14ac:dyDescent="0.4">
      <c r="A41" s="19" t="s">
        <v>170</v>
      </c>
      <c r="B41" s="124">
        <v>2</v>
      </c>
      <c r="C41" s="6">
        <f t="shared" si="4"/>
        <v>0.10526315789473684</v>
      </c>
      <c r="E41" s="27" t="s">
        <v>102</v>
      </c>
      <c r="F41" s="24" t="s">
        <v>57</v>
      </c>
      <c r="G41" s="12">
        <v>0</v>
      </c>
      <c r="H41" s="88">
        <f t="shared" si="3"/>
        <v>0</v>
      </c>
      <c r="I41" s="58">
        <v>1</v>
      </c>
    </row>
    <row r="42" spans="1:9" x14ac:dyDescent="0.4">
      <c r="A42" s="19" t="s">
        <v>172</v>
      </c>
      <c r="B42" s="124">
        <v>3</v>
      </c>
      <c r="C42" s="6">
        <f t="shared" si="4"/>
        <v>0.15789473684210525</v>
      </c>
      <c r="E42" s="27" t="s">
        <v>103</v>
      </c>
      <c r="F42" s="24" t="s">
        <v>58</v>
      </c>
      <c r="G42" s="12">
        <v>0</v>
      </c>
      <c r="H42" s="88">
        <f t="shared" si="3"/>
        <v>0</v>
      </c>
      <c r="I42" s="58">
        <v>1</v>
      </c>
    </row>
    <row r="43" spans="1:9" x14ac:dyDescent="0.4">
      <c r="A43" s="19" t="s">
        <v>173</v>
      </c>
      <c r="B43" s="124">
        <v>2</v>
      </c>
      <c r="C43" s="6">
        <f t="shared" si="4"/>
        <v>0.10526315789473684</v>
      </c>
      <c r="E43" s="27" t="s">
        <v>104</v>
      </c>
      <c r="F43" s="24" t="s">
        <v>59</v>
      </c>
      <c r="G43" s="12">
        <v>0</v>
      </c>
      <c r="H43" s="88">
        <f t="shared" si="3"/>
        <v>0</v>
      </c>
      <c r="I43" s="58">
        <v>1</v>
      </c>
    </row>
    <row r="44" spans="1:9" x14ac:dyDescent="0.4">
      <c r="A44" s="19" t="s">
        <v>174</v>
      </c>
      <c r="B44" s="124">
        <v>1</v>
      </c>
      <c r="C44" s="6">
        <f t="shared" si="4"/>
        <v>5.2631578947368418E-2</v>
      </c>
      <c r="E44" s="27" t="s">
        <v>105</v>
      </c>
      <c r="F44" s="24" t="s">
        <v>112</v>
      </c>
      <c r="G44" s="12">
        <v>0</v>
      </c>
      <c r="H44" s="88">
        <f t="shared" si="3"/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4"/>
        <v>0</v>
      </c>
      <c r="E45" s="27" t="s">
        <v>106</v>
      </c>
      <c r="F45" s="24" t="s">
        <v>113</v>
      </c>
      <c r="G45" s="12">
        <v>0</v>
      </c>
      <c r="H45" s="88">
        <f t="shared" si="3"/>
        <v>0</v>
      </c>
      <c r="I45" s="58">
        <v>1</v>
      </c>
    </row>
    <row r="46" spans="1:9" x14ac:dyDescent="0.4">
      <c r="A46" s="19" t="s">
        <v>176</v>
      </c>
      <c r="B46" s="124">
        <v>0</v>
      </c>
      <c r="C46" s="6">
        <f t="shared" si="4"/>
        <v>0</v>
      </c>
      <c r="E46" s="27" t="s">
        <v>107</v>
      </c>
      <c r="F46" s="24" t="s">
        <v>114</v>
      </c>
      <c r="G46" s="12">
        <v>0</v>
      </c>
      <c r="H46" s="88">
        <f t="shared" si="3"/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4"/>
        <v>0</v>
      </c>
      <c r="E47" s="27" t="s">
        <v>108</v>
      </c>
      <c r="F47" s="24" t="s">
        <v>60</v>
      </c>
      <c r="G47" s="12">
        <v>0</v>
      </c>
      <c r="H47" s="88">
        <f t="shared" si="3"/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4"/>
        <v>0</v>
      </c>
      <c r="E48" s="27" t="s">
        <v>109</v>
      </c>
      <c r="F48" s="24" t="s">
        <v>61</v>
      </c>
      <c r="G48" s="12">
        <v>0</v>
      </c>
      <c r="H48" s="88">
        <f t="shared" si="3"/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4"/>
        <v>0</v>
      </c>
      <c r="E49" s="27" t="s">
        <v>110</v>
      </c>
      <c r="F49" s="24" t="s">
        <v>62</v>
      </c>
      <c r="G49" s="12">
        <v>0</v>
      </c>
      <c r="H49" s="88">
        <f t="shared" si="3"/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 t="shared" si="3"/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 t="shared" si="3"/>
        <v>0</v>
      </c>
      <c r="I51" s="94">
        <v>3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>
        <v>1</v>
      </c>
    </row>
  </sheetData>
  <sortState xmlns:xlrd2="http://schemas.microsoft.com/office/spreadsheetml/2017/richdata2" ref="O15:R19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781C48-8AB8-4CF6-867B-53C4BA75DE25}">
  <sheetPr codeName="Sheet2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4</v>
      </c>
      <c r="C2" s="134"/>
      <c r="E2" s="26" t="s">
        <v>72</v>
      </c>
      <c r="F2" s="23" t="s">
        <v>27</v>
      </c>
      <c r="G2" s="11">
        <v>7</v>
      </c>
      <c r="H2" s="87">
        <f t="shared" ref="H2:H33" si="0">IF(B$20=0,0,G2/B$20)</f>
        <v>0.875</v>
      </c>
      <c r="I2" s="57" t="e">
        <v>#N/A</v>
      </c>
      <c r="K2" s="73">
        <v>0</v>
      </c>
      <c r="L2" s="118">
        <v>0</v>
      </c>
      <c r="M2" s="116">
        <v>1348.2487416206377</v>
      </c>
      <c r="O2" s="73" t="s">
        <v>128</v>
      </c>
      <c r="P2" s="79">
        <f t="shared" ref="P2:P7" si="1">IF(Q2=0,0,R2/Q2)</f>
        <v>-6625</v>
      </c>
      <c r="Q2" s="76">
        <v>4</v>
      </c>
      <c r="R2" s="63">
        <v>-26500</v>
      </c>
    </row>
    <row r="3" spans="1:18" x14ac:dyDescent="0.4">
      <c r="A3" s="19" t="s">
        <v>8</v>
      </c>
      <c r="B3" s="135">
        <v>35</v>
      </c>
      <c r="C3" s="136"/>
      <c r="E3" s="27" t="s">
        <v>66</v>
      </c>
      <c r="F3" s="24" t="s">
        <v>22</v>
      </c>
      <c r="G3" s="12">
        <v>6</v>
      </c>
      <c r="H3" s="88">
        <f t="shared" si="0"/>
        <v>0.75</v>
      </c>
      <c r="I3" s="58" t="e">
        <v>#N/A</v>
      </c>
      <c r="K3" s="74">
        <v>1</v>
      </c>
      <c r="L3" s="119">
        <v>-38</v>
      </c>
      <c r="M3" s="117">
        <v>1342.2952491709138</v>
      </c>
      <c r="O3" s="74" t="s">
        <v>129</v>
      </c>
      <c r="P3" s="80">
        <f t="shared" si="1"/>
        <v>-1125</v>
      </c>
      <c r="Q3" s="77">
        <v>4</v>
      </c>
      <c r="R3" s="64">
        <v>-4500</v>
      </c>
    </row>
    <row r="4" spans="1:18" x14ac:dyDescent="0.4">
      <c r="A4" s="19" t="s">
        <v>6</v>
      </c>
      <c r="B4" s="137">
        <v>-51.699999999999996</v>
      </c>
      <c r="C4" s="138"/>
      <c r="E4" s="27" t="s">
        <v>89</v>
      </c>
      <c r="F4" s="24" t="s">
        <v>44</v>
      </c>
      <c r="G4" s="12">
        <v>3</v>
      </c>
      <c r="H4" s="88">
        <f t="shared" si="0"/>
        <v>0.375</v>
      </c>
      <c r="I4" s="58" t="e">
        <v>#N/A</v>
      </c>
      <c r="K4" s="74">
        <v>2</v>
      </c>
      <c r="L4" s="119">
        <v>-18</v>
      </c>
      <c r="M4" s="117">
        <v>1346.5174776758884</v>
      </c>
      <c r="O4" s="74" t="s">
        <v>130</v>
      </c>
      <c r="P4" s="80">
        <f t="shared" si="1"/>
        <v>6750</v>
      </c>
      <c r="Q4" s="77">
        <v>4</v>
      </c>
      <c r="R4" s="64">
        <v>27000</v>
      </c>
    </row>
    <row r="5" spans="1:18" x14ac:dyDescent="0.4">
      <c r="A5" s="19" t="s">
        <v>7</v>
      </c>
      <c r="B5" s="125">
        <f>IF(B$2=0,0,B$4/B$2)</f>
        <v>-12.924999999999999</v>
      </c>
      <c r="C5" s="126"/>
      <c r="E5" s="27" t="s">
        <v>159</v>
      </c>
      <c r="F5" s="24" t="s">
        <v>160</v>
      </c>
      <c r="G5" s="12">
        <v>3</v>
      </c>
      <c r="H5" s="88">
        <f t="shared" si="0"/>
        <v>0.375</v>
      </c>
      <c r="I5" s="58" t="e">
        <v>#N/A</v>
      </c>
      <c r="K5" s="74">
        <v>3</v>
      </c>
      <c r="L5" s="119">
        <v>-14.9</v>
      </c>
      <c r="M5" s="117">
        <v>1348.410372809833</v>
      </c>
      <c r="O5" s="74" t="s">
        <v>131</v>
      </c>
      <c r="P5" s="80">
        <f t="shared" si="1"/>
        <v>-766.66666666666663</v>
      </c>
      <c r="Q5" s="77">
        <v>3</v>
      </c>
      <c r="R5" s="64">
        <v>-2300</v>
      </c>
    </row>
    <row r="6" spans="1:18" x14ac:dyDescent="0.4">
      <c r="A6" s="19" t="s">
        <v>196</v>
      </c>
      <c r="B6" s="129">
        <v>1343.1099105729741</v>
      </c>
      <c r="C6" s="130"/>
      <c r="E6" s="27" t="s">
        <v>64</v>
      </c>
      <c r="F6" s="24" t="s">
        <v>20</v>
      </c>
      <c r="G6" s="12">
        <v>2</v>
      </c>
      <c r="H6" s="88">
        <f t="shared" si="0"/>
        <v>0.25</v>
      </c>
      <c r="I6" s="58" t="e">
        <v>#N/A</v>
      </c>
      <c r="K6" s="74">
        <v>4</v>
      </c>
      <c r="L6" s="119">
        <v>-51.699999999999996</v>
      </c>
      <c r="M6" s="117">
        <v>1343.1099105729741</v>
      </c>
      <c r="O6" s="74" t="s">
        <v>132</v>
      </c>
      <c r="P6" s="80">
        <f t="shared" si="1"/>
        <v>-4000</v>
      </c>
      <c r="Q6" s="77">
        <v>3</v>
      </c>
      <c r="R6" s="64">
        <v>-12000</v>
      </c>
    </row>
    <row r="7" spans="1:18" x14ac:dyDescent="0.4">
      <c r="A7" s="19" t="s">
        <v>1</v>
      </c>
      <c r="B7" s="139">
        <f>IF(B$2=0,0,(B$8*1+B$9*2+B$10*3)/B$2)</f>
        <v>2.25</v>
      </c>
      <c r="C7" s="140"/>
      <c r="E7" s="27" t="s">
        <v>68</v>
      </c>
      <c r="F7" s="24" t="s">
        <v>12</v>
      </c>
      <c r="G7" s="12">
        <v>2</v>
      </c>
      <c r="H7" s="88">
        <f t="shared" si="0"/>
        <v>0.25</v>
      </c>
      <c r="I7" s="58" t="e">
        <v>#N/A</v>
      </c>
      <c r="O7" s="75" t="s">
        <v>133</v>
      </c>
      <c r="P7" s="81">
        <f t="shared" si="1"/>
        <v>-7800</v>
      </c>
      <c r="Q7" s="78">
        <v>3</v>
      </c>
      <c r="R7" s="65">
        <v>-23400</v>
      </c>
    </row>
    <row r="8" spans="1:18" x14ac:dyDescent="0.4">
      <c r="A8" s="19" t="s">
        <v>2</v>
      </c>
      <c r="B8" s="12">
        <v>1</v>
      </c>
      <c r="C8" s="6">
        <f t="shared" ref="C8:C15" si="2">IF(B$2=0,0,B8/B$2)</f>
        <v>0.25</v>
      </c>
      <c r="E8" s="27" t="s">
        <v>65</v>
      </c>
      <c r="F8" s="24" t="s">
        <v>21</v>
      </c>
      <c r="G8" s="12">
        <v>1</v>
      </c>
      <c r="H8" s="88">
        <f t="shared" si="0"/>
        <v>0.125</v>
      </c>
      <c r="I8" s="58" t="e">
        <v>#N/A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2"/>
        <v>0.25</v>
      </c>
      <c r="E9" s="27" t="s">
        <v>81</v>
      </c>
      <c r="F9" s="24" t="s">
        <v>36</v>
      </c>
      <c r="G9" s="12">
        <v>1</v>
      </c>
      <c r="H9" s="88">
        <f t="shared" si="0"/>
        <v>0.125</v>
      </c>
      <c r="I9" s="58" t="e">
        <v>#N/A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</v>
      </c>
      <c r="C10" s="7">
        <f t="shared" si="2"/>
        <v>0.5</v>
      </c>
      <c r="E10" s="27" t="s">
        <v>83</v>
      </c>
      <c r="F10" s="24" t="s">
        <v>38</v>
      </c>
      <c r="G10" s="12">
        <v>1</v>
      </c>
      <c r="H10" s="88">
        <f t="shared" si="0"/>
        <v>0.125</v>
      </c>
      <c r="I10" s="58" t="e">
        <v>#N/A</v>
      </c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184</v>
      </c>
      <c r="B11" s="109">
        <f>IF(B8=0,0,C11/B8)</f>
        <v>20</v>
      </c>
      <c r="C11" s="110">
        <v>20</v>
      </c>
      <c r="E11" s="27" t="s">
        <v>67</v>
      </c>
      <c r="F11" s="24" t="s">
        <v>23</v>
      </c>
      <c r="G11" s="12">
        <v>0</v>
      </c>
      <c r="H11" s="88">
        <f t="shared" si="0"/>
        <v>0</v>
      </c>
      <c r="I11" s="58" t="e">
        <v>#N/A</v>
      </c>
      <c r="O11" s="74" t="s">
        <v>152</v>
      </c>
      <c r="P11" s="83">
        <f>IF(Q11=0,0,R11/Q11)</f>
        <v>20</v>
      </c>
      <c r="Q11" s="77">
        <v>1</v>
      </c>
      <c r="R11" s="68">
        <v>20</v>
      </c>
    </row>
    <row r="12" spans="1:18" x14ac:dyDescent="0.4">
      <c r="A12" s="20" t="s">
        <v>185</v>
      </c>
      <c r="B12" s="109">
        <f>IF(B9=0,0,C12/B9)</f>
        <v>3.1</v>
      </c>
      <c r="C12" s="110">
        <v>3.1</v>
      </c>
      <c r="E12" s="27" t="s">
        <v>69</v>
      </c>
      <c r="F12" s="24" t="s">
        <v>24</v>
      </c>
      <c r="G12" s="12">
        <v>0</v>
      </c>
      <c r="H12" s="88">
        <f t="shared" si="0"/>
        <v>0</v>
      </c>
      <c r="I12" s="58">
        <v>7</v>
      </c>
      <c r="O12" s="75" t="s">
        <v>153</v>
      </c>
      <c r="P12" s="84">
        <f>IF(Q12=0,0,R12/Q12)</f>
        <v>-23.899999999999995</v>
      </c>
      <c r="Q12" s="78">
        <v>3</v>
      </c>
      <c r="R12" s="69">
        <v>-71.699999999999989</v>
      </c>
    </row>
    <row r="13" spans="1:18" x14ac:dyDescent="0.4">
      <c r="A13" s="20" t="s">
        <v>186</v>
      </c>
      <c r="B13" s="109">
        <f>IF(B10=0,0,C13/B10)</f>
        <v>-37.4</v>
      </c>
      <c r="C13" s="110">
        <v>-74.8</v>
      </c>
      <c r="E13" s="27" t="s">
        <v>70</v>
      </c>
      <c r="F13" s="24" t="s">
        <v>25</v>
      </c>
      <c r="G13" s="12">
        <v>0</v>
      </c>
      <c r="H13" s="88">
        <f t="shared" si="0"/>
        <v>0</v>
      </c>
      <c r="I13" s="58">
        <v>7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-4.7666666666666657</v>
      </c>
      <c r="C14" s="126"/>
      <c r="E14" s="27" t="s">
        <v>71</v>
      </c>
      <c r="F14" s="24" t="s">
        <v>26</v>
      </c>
      <c r="G14" s="12">
        <v>0</v>
      </c>
      <c r="H14" s="88">
        <f t="shared" si="0"/>
        <v>0</v>
      </c>
      <c r="I14" s="58">
        <v>7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2"/>
        <v>0</v>
      </c>
      <c r="E15" s="27" t="s">
        <v>73</v>
      </c>
      <c r="F15" s="24" t="s">
        <v>28</v>
      </c>
      <c r="G15" s="12">
        <v>0</v>
      </c>
      <c r="H15" s="88">
        <f t="shared" si="0"/>
        <v>0</v>
      </c>
      <c r="I15" s="58">
        <v>3</v>
      </c>
      <c r="O15" s="73" t="s">
        <v>211</v>
      </c>
      <c r="P15" s="82">
        <f>IF(Q15=0,0,R15/Q15)</f>
        <v>7.1999999999999993</v>
      </c>
      <c r="Q15" s="76">
        <v>2</v>
      </c>
      <c r="R15" s="67">
        <v>14.399999999999999</v>
      </c>
    </row>
    <row r="16" spans="1:18" x14ac:dyDescent="0.4">
      <c r="A16" s="22" t="s">
        <v>121</v>
      </c>
      <c r="B16" s="15">
        <v>9</v>
      </c>
      <c r="C16" s="10">
        <f>IF(B$3=0,0,B16/B$3)</f>
        <v>0.25714285714285712</v>
      </c>
      <c r="E16" s="27" t="s">
        <v>74</v>
      </c>
      <c r="F16" s="24" t="s">
        <v>29</v>
      </c>
      <c r="G16" s="12">
        <v>0</v>
      </c>
      <c r="H16" s="88">
        <f t="shared" si="0"/>
        <v>0</v>
      </c>
      <c r="I16" s="58">
        <v>1</v>
      </c>
      <c r="O16" s="74" t="s">
        <v>216</v>
      </c>
      <c r="P16" s="83">
        <f>IF(Q16=0,0,R16/Q16)</f>
        <v>-27.925000000000004</v>
      </c>
      <c r="Q16" s="77">
        <v>4</v>
      </c>
      <c r="R16" s="68">
        <v>-111.70000000000002</v>
      </c>
    </row>
    <row r="17" spans="1:18" x14ac:dyDescent="0.4">
      <c r="A17" s="19" t="s">
        <v>118</v>
      </c>
      <c r="B17" s="12">
        <v>10</v>
      </c>
      <c r="C17" s="6">
        <f>IF(B$3=0,0,B17/B$3)</f>
        <v>0.2857142857142857</v>
      </c>
      <c r="E17" s="27" t="s">
        <v>75</v>
      </c>
      <c r="F17" s="24" t="s">
        <v>30</v>
      </c>
      <c r="G17" s="12">
        <v>0</v>
      </c>
      <c r="H17" s="88">
        <f t="shared" si="0"/>
        <v>0</v>
      </c>
      <c r="I17" s="58">
        <v>2</v>
      </c>
      <c r="O17" s="74" t="s">
        <v>126</v>
      </c>
      <c r="P17" s="83">
        <f>IF(Q17=0,0,R17/Q17)</f>
        <v>-28.9</v>
      </c>
      <c r="Q17" s="77">
        <v>2</v>
      </c>
      <c r="R17" s="68">
        <v>-57.8</v>
      </c>
    </row>
    <row r="18" spans="1:18" x14ac:dyDescent="0.4">
      <c r="A18" s="18" t="s">
        <v>123</v>
      </c>
      <c r="B18" s="11">
        <f>B24</f>
        <v>2</v>
      </c>
      <c r="C18" s="5">
        <f>IF(B$16=0,0,B18/B$16)</f>
        <v>0.22222222222222221</v>
      </c>
      <c r="E18" s="27" t="s">
        <v>76</v>
      </c>
      <c r="F18" s="24" t="s">
        <v>31</v>
      </c>
      <c r="G18" s="12">
        <v>0</v>
      </c>
      <c r="H18" s="88">
        <f t="shared" si="0"/>
        <v>0</v>
      </c>
      <c r="I18" s="58">
        <v>1</v>
      </c>
    </row>
    <row r="19" spans="1:18" x14ac:dyDescent="0.4">
      <c r="A19" s="18" t="s">
        <v>124</v>
      </c>
      <c r="B19" s="11">
        <f>B25</f>
        <v>4</v>
      </c>
      <c r="C19" s="5">
        <f>IF(B$17=0,0,B19/B$17)</f>
        <v>0.4</v>
      </c>
      <c r="E19" s="27" t="s">
        <v>77</v>
      </c>
      <c r="F19" s="24" t="s">
        <v>32</v>
      </c>
      <c r="G19" s="12">
        <v>0</v>
      </c>
      <c r="H19" s="88">
        <f t="shared" si="0"/>
        <v>0</v>
      </c>
      <c r="I19" s="58">
        <v>2</v>
      </c>
    </row>
    <row r="20" spans="1:18" x14ac:dyDescent="0.4">
      <c r="A20" s="18" t="s">
        <v>10</v>
      </c>
      <c r="B20" s="11">
        <f>B23+B22</f>
        <v>8</v>
      </c>
      <c r="C20" s="5">
        <f>IF(B$3=0,0,B20/B$3)</f>
        <v>0.22857142857142856</v>
      </c>
      <c r="E20" s="27" t="s">
        <v>78</v>
      </c>
      <c r="F20" s="24" t="s">
        <v>33</v>
      </c>
      <c r="G20" s="12">
        <v>0</v>
      </c>
      <c r="H20" s="88">
        <f t="shared" si="0"/>
        <v>0</v>
      </c>
      <c r="I20" s="58">
        <v>5</v>
      </c>
    </row>
    <row r="21" spans="1:18" x14ac:dyDescent="0.4">
      <c r="A21" s="19" t="s">
        <v>13</v>
      </c>
      <c r="B21" s="12">
        <v>8</v>
      </c>
      <c r="C21" s="6">
        <f>IF(B$3=0,0,B21/B$3)</f>
        <v>0.22857142857142856</v>
      </c>
      <c r="E21" s="27" t="s">
        <v>79</v>
      </c>
      <c r="F21" s="24" t="s">
        <v>34</v>
      </c>
      <c r="G21" s="12">
        <v>0</v>
      </c>
      <c r="H21" s="88">
        <f t="shared" si="0"/>
        <v>0</v>
      </c>
      <c r="I21" s="58">
        <v>3</v>
      </c>
    </row>
    <row r="22" spans="1:18" x14ac:dyDescent="0.4">
      <c r="A22" s="19" t="s">
        <v>12</v>
      </c>
      <c r="B22" s="12">
        <v>2</v>
      </c>
      <c r="C22" s="6">
        <f>IF(B$20=0,0,B22/B$20)</f>
        <v>0.25</v>
      </c>
      <c r="E22" s="27" t="s">
        <v>80</v>
      </c>
      <c r="F22" s="24" t="s">
        <v>35</v>
      </c>
      <c r="G22" s="12">
        <v>0</v>
      </c>
      <c r="H22" s="88">
        <f t="shared" si="0"/>
        <v>0</v>
      </c>
      <c r="I22" s="58">
        <v>1</v>
      </c>
    </row>
    <row r="23" spans="1:18" x14ac:dyDescent="0.4">
      <c r="A23" s="19" t="s">
        <v>11</v>
      </c>
      <c r="B23" s="12">
        <v>6</v>
      </c>
      <c r="C23" s="6">
        <f>IF(B$20=0,0,B23/B$20)</f>
        <v>0.75</v>
      </c>
      <c r="E23" s="27" t="s">
        <v>82</v>
      </c>
      <c r="F23" s="24" t="s">
        <v>37</v>
      </c>
      <c r="G23" s="12">
        <v>0</v>
      </c>
      <c r="H23" s="88">
        <f t="shared" si="0"/>
        <v>0</v>
      </c>
      <c r="I23" s="58">
        <v>1</v>
      </c>
    </row>
    <row r="24" spans="1:18" x14ac:dyDescent="0.4">
      <c r="A24" s="19" t="s">
        <v>183</v>
      </c>
      <c r="B24" s="12">
        <v>2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 t="shared" si="0"/>
        <v>0</v>
      </c>
      <c r="I24" s="58">
        <v>1</v>
      </c>
    </row>
    <row r="25" spans="1:18" x14ac:dyDescent="0.4">
      <c r="A25" s="19" t="s">
        <v>181</v>
      </c>
      <c r="B25" s="12">
        <v>4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 t="shared" si="0"/>
        <v>0</v>
      </c>
      <c r="I25" s="58">
        <v>2</v>
      </c>
    </row>
    <row r="26" spans="1:18" x14ac:dyDescent="0.4">
      <c r="A26" s="19" t="s">
        <v>182</v>
      </c>
      <c r="B26" s="12">
        <v>2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 t="shared" si="0"/>
        <v>0</v>
      </c>
      <c r="I26" s="58">
        <v>7</v>
      </c>
    </row>
    <row r="27" spans="1:18" x14ac:dyDescent="0.4">
      <c r="A27" s="19" t="s">
        <v>5</v>
      </c>
      <c r="B27" s="16">
        <f>IF(B$20=0,0,C27/B$20)</f>
        <v>8212.5</v>
      </c>
      <c r="C27" s="8">
        <v>65700</v>
      </c>
      <c r="E27" s="27" t="s">
        <v>87</v>
      </c>
      <c r="F27" s="24" t="s">
        <v>42</v>
      </c>
      <c r="G27" s="12">
        <v>0</v>
      </c>
      <c r="H27" s="88">
        <f t="shared" si="0"/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7725</v>
      </c>
      <c r="C28" s="96">
        <v>30900</v>
      </c>
      <c r="E28" s="27" t="s">
        <v>88</v>
      </c>
      <c r="F28" s="24" t="s">
        <v>43</v>
      </c>
      <c r="G28" s="12">
        <v>0</v>
      </c>
      <c r="H28" s="88">
        <f t="shared" si="0"/>
        <v>0</v>
      </c>
      <c r="I28" s="58">
        <v>1</v>
      </c>
    </row>
    <row r="29" spans="1:18" x14ac:dyDescent="0.4">
      <c r="A29" s="20" t="s">
        <v>166</v>
      </c>
      <c r="B29" s="95">
        <f>IF(B$19=0,0,C29/B$19)</f>
        <v>8700</v>
      </c>
      <c r="C29" s="96">
        <v>34800</v>
      </c>
      <c r="E29" s="27" t="s">
        <v>90</v>
      </c>
      <c r="F29" s="24" t="s">
        <v>45</v>
      </c>
      <c r="G29" s="12">
        <v>0</v>
      </c>
      <c r="H29" s="88">
        <f t="shared" si="0"/>
        <v>0</v>
      </c>
      <c r="I29" s="58">
        <v>1</v>
      </c>
    </row>
    <row r="30" spans="1:18" x14ac:dyDescent="0.4">
      <c r="A30" s="20" t="s">
        <v>164</v>
      </c>
      <c r="B30" s="95">
        <f>IF(B$21=0,0,C30/B$21)</f>
        <v>-9387.5</v>
      </c>
      <c r="C30" s="96">
        <v>-75100</v>
      </c>
      <c r="E30" s="27" t="s">
        <v>91</v>
      </c>
      <c r="F30" s="24" t="s">
        <v>46</v>
      </c>
      <c r="G30" s="12">
        <v>0</v>
      </c>
      <c r="H30" s="88">
        <f t="shared" si="0"/>
        <v>0</v>
      </c>
      <c r="I30" s="58">
        <v>3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 t="shared" si="0"/>
        <v>0</v>
      </c>
      <c r="I31" s="58">
        <v>2</v>
      </c>
    </row>
    <row r="32" spans="1:18" x14ac:dyDescent="0.4">
      <c r="A32" s="19" t="s">
        <v>158</v>
      </c>
      <c r="B32" s="12">
        <v>12</v>
      </c>
      <c r="C32" s="90">
        <v>0</v>
      </c>
      <c r="E32" s="27" t="s">
        <v>93</v>
      </c>
      <c r="F32" s="24" t="s">
        <v>48</v>
      </c>
      <c r="G32" s="12">
        <v>0</v>
      </c>
      <c r="H32" s="88">
        <f t="shared" si="0"/>
        <v>0</v>
      </c>
      <c r="I32" s="58">
        <v>1</v>
      </c>
    </row>
    <row r="33" spans="1:9" x14ac:dyDescent="0.4">
      <c r="A33" s="54" t="s">
        <v>136</v>
      </c>
      <c r="B33" s="127">
        <v>3</v>
      </c>
      <c r="C33" s="128"/>
      <c r="E33" s="27" t="s">
        <v>94</v>
      </c>
      <c r="F33" s="24" t="s">
        <v>49</v>
      </c>
      <c r="G33" s="12">
        <v>0</v>
      </c>
      <c r="H33" s="88">
        <f t="shared" si="0"/>
        <v>0</v>
      </c>
      <c r="I33" s="58">
        <v>1</v>
      </c>
    </row>
    <row r="34" spans="1:9" x14ac:dyDescent="0.4">
      <c r="A34" s="22" t="s">
        <v>180</v>
      </c>
      <c r="B34" s="129">
        <v>45000</v>
      </c>
      <c r="C34" s="130"/>
      <c r="E34" s="27" t="s">
        <v>95</v>
      </c>
      <c r="F34" s="24" t="s">
        <v>50</v>
      </c>
      <c r="G34" s="12">
        <v>0</v>
      </c>
      <c r="H34" s="88">
        <f t="shared" ref="H34:H52" si="3"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 t="shared" si="3"/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 t="shared" si="3"/>
        <v>0</v>
      </c>
      <c r="I36" s="58">
        <v>1</v>
      </c>
    </row>
    <row r="37" spans="1:9" x14ac:dyDescent="0.4">
      <c r="A37" s="54" t="s">
        <v>171</v>
      </c>
      <c r="B37" s="123">
        <v>1</v>
      </c>
      <c r="C37" s="98">
        <f t="shared" ref="C37:C49" si="4">IF(B$20=0,0,B37/B$20)</f>
        <v>0.125</v>
      </c>
      <c r="E37" s="27" t="s">
        <v>98</v>
      </c>
      <c r="F37" s="24" t="s">
        <v>53</v>
      </c>
      <c r="G37" s="12">
        <v>0</v>
      </c>
      <c r="H37" s="88">
        <f t="shared" si="3"/>
        <v>0</v>
      </c>
      <c r="I37" s="58">
        <v>1</v>
      </c>
    </row>
    <row r="38" spans="1:9" x14ac:dyDescent="0.4">
      <c r="A38" s="19" t="s">
        <v>167</v>
      </c>
      <c r="B38" s="12">
        <v>2</v>
      </c>
      <c r="C38" s="6">
        <f t="shared" si="4"/>
        <v>0.25</v>
      </c>
      <c r="E38" s="27" t="s">
        <v>99</v>
      </c>
      <c r="F38" s="24" t="s">
        <v>54</v>
      </c>
      <c r="G38" s="12">
        <v>0</v>
      </c>
      <c r="H38" s="88">
        <f t="shared" si="3"/>
        <v>0</v>
      </c>
      <c r="I38" s="58">
        <v>1</v>
      </c>
    </row>
    <row r="39" spans="1:9" x14ac:dyDescent="0.4">
      <c r="A39" s="19" t="s">
        <v>168</v>
      </c>
      <c r="B39" s="124">
        <v>1</v>
      </c>
      <c r="C39" s="6">
        <f t="shared" si="4"/>
        <v>0.125</v>
      </c>
      <c r="E39" s="27" t="s">
        <v>100</v>
      </c>
      <c r="F39" s="24" t="s">
        <v>55</v>
      </c>
      <c r="G39" s="12">
        <v>0</v>
      </c>
      <c r="H39" s="88">
        <f t="shared" si="3"/>
        <v>0</v>
      </c>
      <c r="I39" s="58">
        <v>1</v>
      </c>
    </row>
    <row r="40" spans="1:9" x14ac:dyDescent="0.4">
      <c r="A40" s="19" t="s">
        <v>169</v>
      </c>
      <c r="B40" s="124">
        <v>1</v>
      </c>
      <c r="C40" s="6">
        <f t="shared" si="4"/>
        <v>0.125</v>
      </c>
      <c r="E40" s="27" t="s">
        <v>101</v>
      </c>
      <c r="F40" s="24" t="s">
        <v>56</v>
      </c>
      <c r="G40" s="12">
        <v>0</v>
      </c>
      <c r="H40" s="88">
        <f t="shared" si="3"/>
        <v>0</v>
      </c>
      <c r="I40" s="58">
        <v>1</v>
      </c>
    </row>
    <row r="41" spans="1:9" x14ac:dyDescent="0.4">
      <c r="A41" s="19" t="s">
        <v>170</v>
      </c>
      <c r="B41" s="124">
        <v>0</v>
      </c>
      <c r="C41" s="6">
        <f t="shared" si="4"/>
        <v>0</v>
      </c>
      <c r="E41" s="27" t="s">
        <v>102</v>
      </c>
      <c r="F41" s="24" t="s">
        <v>57</v>
      </c>
      <c r="G41" s="12">
        <v>0</v>
      </c>
      <c r="H41" s="88">
        <f t="shared" si="3"/>
        <v>0</v>
      </c>
      <c r="I41" s="58">
        <v>1</v>
      </c>
    </row>
    <row r="42" spans="1:9" x14ac:dyDescent="0.4">
      <c r="A42" s="19" t="s">
        <v>172</v>
      </c>
      <c r="B42" s="124">
        <v>2</v>
      </c>
      <c r="C42" s="6">
        <f t="shared" si="4"/>
        <v>0.25</v>
      </c>
      <c r="E42" s="27" t="s">
        <v>103</v>
      </c>
      <c r="F42" s="24" t="s">
        <v>58</v>
      </c>
      <c r="G42" s="12">
        <v>0</v>
      </c>
      <c r="H42" s="88">
        <f t="shared" si="3"/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4"/>
        <v>0</v>
      </c>
      <c r="E43" s="27" t="s">
        <v>104</v>
      </c>
      <c r="F43" s="24" t="s">
        <v>59</v>
      </c>
      <c r="G43" s="12">
        <v>0</v>
      </c>
      <c r="H43" s="88">
        <f t="shared" si="3"/>
        <v>0</v>
      </c>
      <c r="I43" s="58">
        <v>1</v>
      </c>
    </row>
    <row r="44" spans="1:9" x14ac:dyDescent="0.4">
      <c r="A44" s="19" t="s">
        <v>174</v>
      </c>
      <c r="B44" s="124">
        <v>1</v>
      </c>
      <c r="C44" s="6">
        <f t="shared" si="4"/>
        <v>0.125</v>
      </c>
      <c r="E44" s="27" t="s">
        <v>105</v>
      </c>
      <c r="F44" s="24" t="s">
        <v>112</v>
      </c>
      <c r="G44" s="12">
        <v>0</v>
      </c>
      <c r="H44" s="88">
        <f t="shared" si="3"/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4"/>
        <v>0</v>
      </c>
      <c r="E45" s="27" t="s">
        <v>106</v>
      </c>
      <c r="F45" s="24" t="s">
        <v>113</v>
      </c>
      <c r="G45" s="12">
        <v>0</v>
      </c>
      <c r="H45" s="88">
        <f t="shared" si="3"/>
        <v>0</v>
      </c>
      <c r="I45" s="58">
        <v>1</v>
      </c>
    </row>
    <row r="46" spans="1:9" x14ac:dyDescent="0.4">
      <c r="A46" s="19" t="s">
        <v>176</v>
      </c>
      <c r="B46" s="124">
        <v>0</v>
      </c>
      <c r="C46" s="6">
        <f t="shared" si="4"/>
        <v>0</v>
      </c>
      <c r="E46" s="27" t="s">
        <v>107</v>
      </c>
      <c r="F46" s="24" t="s">
        <v>114</v>
      </c>
      <c r="G46" s="12">
        <v>0</v>
      </c>
      <c r="H46" s="88">
        <f t="shared" si="3"/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4"/>
        <v>0</v>
      </c>
      <c r="E47" s="27" t="s">
        <v>108</v>
      </c>
      <c r="F47" s="24" t="s">
        <v>60</v>
      </c>
      <c r="G47" s="12">
        <v>0</v>
      </c>
      <c r="H47" s="88">
        <f t="shared" si="3"/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4"/>
        <v>0</v>
      </c>
      <c r="E48" s="27" t="s">
        <v>109</v>
      </c>
      <c r="F48" s="24" t="s">
        <v>61</v>
      </c>
      <c r="G48" s="12">
        <v>0</v>
      </c>
      <c r="H48" s="88">
        <f t="shared" si="3"/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4"/>
        <v>0</v>
      </c>
      <c r="E49" s="27" t="s">
        <v>110</v>
      </c>
      <c r="F49" s="24" t="s">
        <v>62</v>
      </c>
      <c r="G49" s="12">
        <v>0</v>
      </c>
      <c r="H49" s="88">
        <f t="shared" si="3"/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 t="shared" si="3"/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 t="shared" si="3"/>
        <v>0</v>
      </c>
      <c r="I51" s="94">
        <v>3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>
        <v>1</v>
      </c>
    </row>
  </sheetData>
  <sortState xmlns:xlrd2="http://schemas.microsoft.com/office/spreadsheetml/2017/richdata2" ref="O15:R17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ED3A54-98B1-4C97-A1B8-93E9F67E5E77}">
  <sheetPr codeName="Sheet2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195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4</v>
      </c>
      <c r="C2" s="134"/>
      <c r="E2" s="26" t="s">
        <v>64</v>
      </c>
      <c r="F2" s="23" t="s">
        <v>20</v>
      </c>
      <c r="G2" s="11">
        <v>7</v>
      </c>
      <c r="H2" s="87">
        <f t="shared" ref="H2:H33" si="0">IF(B$20=0,0,G2/B$20)</f>
        <v>0.77777777777777779</v>
      </c>
      <c r="I2" s="57" t="e">
        <v>#N/A</v>
      </c>
      <c r="K2" s="73">
        <v>0</v>
      </c>
      <c r="L2" s="118">
        <v>0</v>
      </c>
      <c r="M2" s="116">
        <v>1392.8042574192286</v>
      </c>
      <c r="O2" s="73" t="s">
        <v>128</v>
      </c>
      <c r="P2" s="79">
        <f t="shared" ref="P2:P7" si="1">IF(Q2=0,0,R2/Q2)</f>
        <v>-6700</v>
      </c>
      <c r="Q2" s="76">
        <v>4</v>
      </c>
      <c r="R2" s="63">
        <v>-26800</v>
      </c>
    </row>
    <row r="3" spans="1:18" x14ac:dyDescent="0.4">
      <c r="A3" s="19" t="s">
        <v>8</v>
      </c>
      <c r="B3" s="135">
        <v>36</v>
      </c>
      <c r="C3" s="136"/>
      <c r="E3" s="27" t="s">
        <v>67</v>
      </c>
      <c r="F3" s="24" t="s">
        <v>23</v>
      </c>
      <c r="G3" s="12">
        <v>7</v>
      </c>
      <c r="H3" s="88">
        <f t="shared" si="0"/>
        <v>0.77777777777777779</v>
      </c>
      <c r="I3" s="58" t="e">
        <v>#N/A</v>
      </c>
      <c r="K3" s="74">
        <v>1</v>
      </c>
      <c r="L3" s="119">
        <v>-24.2</v>
      </c>
      <c r="M3" s="117">
        <v>1389.0734318747132</v>
      </c>
      <c r="O3" s="74" t="s">
        <v>129</v>
      </c>
      <c r="P3" s="80">
        <f t="shared" si="1"/>
        <v>1925</v>
      </c>
      <c r="Q3" s="77">
        <v>4</v>
      </c>
      <c r="R3" s="64">
        <v>7700</v>
      </c>
    </row>
    <row r="4" spans="1:18" x14ac:dyDescent="0.4">
      <c r="A4" s="19" t="s">
        <v>6</v>
      </c>
      <c r="B4" s="137">
        <v>-14.699999999999996</v>
      </c>
      <c r="C4" s="138"/>
      <c r="E4" s="27" t="s">
        <v>68</v>
      </c>
      <c r="F4" s="24" t="s">
        <v>12</v>
      </c>
      <c r="G4" s="12">
        <v>7</v>
      </c>
      <c r="H4" s="88">
        <f t="shared" si="0"/>
        <v>0.77777777777777779</v>
      </c>
      <c r="I4" s="58" t="e">
        <v>#N/A</v>
      </c>
      <c r="K4" s="74">
        <v>2</v>
      </c>
      <c r="L4" s="119">
        <v>-6.1999999999999993</v>
      </c>
      <c r="M4" s="117">
        <v>1392.8109912834648</v>
      </c>
      <c r="O4" s="74" t="s">
        <v>130</v>
      </c>
      <c r="P4" s="80">
        <f t="shared" si="1"/>
        <v>-1950</v>
      </c>
      <c r="Q4" s="77">
        <v>4</v>
      </c>
      <c r="R4" s="64">
        <v>-7800</v>
      </c>
    </row>
    <row r="5" spans="1:18" x14ac:dyDescent="0.4">
      <c r="A5" s="19" t="s">
        <v>7</v>
      </c>
      <c r="B5" s="125">
        <f>IF(B$2=0,0,B$4/B$2)</f>
        <v>-3.6749999999999989</v>
      </c>
      <c r="C5" s="126"/>
      <c r="E5" s="27" t="s">
        <v>66</v>
      </c>
      <c r="F5" s="24" t="s">
        <v>22</v>
      </c>
      <c r="G5" s="12">
        <v>5</v>
      </c>
      <c r="H5" s="88">
        <f t="shared" si="0"/>
        <v>0.55555555555555558</v>
      </c>
      <c r="I5" s="58">
        <v>5</v>
      </c>
      <c r="K5" s="74">
        <v>3</v>
      </c>
      <c r="L5" s="119">
        <v>18.100000000000001</v>
      </c>
      <c r="M5" s="117">
        <v>1398.3621253357639</v>
      </c>
      <c r="O5" s="74" t="s">
        <v>131</v>
      </c>
      <c r="P5" s="80">
        <f t="shared" si="1"/>
        <v>-2375</v>
      </c>
      <c r="Q5" s="77">
        <v>4</v>
      </c>
      <c r="R5" s="64">
        <v>-9500</v>
      </c>
    </row>
    <row r="6" spans="1:18" x14ac:dyDescent="0.4">
      <c r="A6" s="19" t="s">
        <v>196</v>
      </c>
      <c r="B6" s="129">
        <v>1393.6019525837494</v>
      </c>
      <c r="C6" s="130"/>
      <c r="E6" s="27" t="s">
        <v>159</v>
      </c>
      <c r="F6" s="24" t="s">
        <v>160</v>
      </c>
      <c r="G6" s="12">
        <v>4</v>
      </c>
      <c r="H6" s="88">
        <f t="shared" si="0"/>
        <v>0.44444444444444442</v>
      </c>
      <c r="I6" s="58">
        <v>3</v>
      </c>
      <c r="K6" s="74">
        <v>4</v>
      </c>
      <c r="L6" s="119">
        <v>-14.699999999999996</v>
      </c>
      <c r="M6" s="117">
        <v>1393.6019525837494</v>
      </c>
      <c r="O6" s="74" t="s">
        <v>132</v>
      </c>
      <c r="P6" s="80">
        <f t="shared" si="1"/>
        <v>1300</v>
      </c>
      <c r="Q6" s="77">
        <v>4</v>
      </c>
      <c r="R6" s="64">
        <v>5200</v>
      </c>
    </row>
    <row r="7" spans="1:18" x14ac:dyDescent="0.4">
      <c r="A7" s="19" t="s">
        <v>1</v>
      </c>
      <c r="B7" s="139">
        <f>IF(B$2=0,0,(B$8*1+B$9*2+B$10*3)/B$2)</f>
        <v>2</v>
      </c>
      <c r="C7" s="140"/>
      <c r="E7" s="27" t="s">
        <v>69</v>
      </c>
      <c r="F7" s="24" t="s">
        <v>24</v>
      </c>
      <c r="G7" s="12">
        <v>3</v>
      </c>
      <c r="H7" s="88">
        <f t="shared" si="0"/>
        <v>0.33333333333333331</v>
      </c>
      <c r="I7" s="58" t="e">
        <v>#N/A</v>
      </c>
      <c r="O7" s="75" t="s">
        <v>133</v>
      </c>
      <c r="P7" s="81">
        <f t="shared" si="1"/>
        <v>4125</v>
      </c>
      <c r="Q7" s="78">
        <v>4</v>
      </c>
      <c r="R7" s="65">
        <v>16500</v>
      </c>
    </row>
    <row r="8" spans="1:18" x14ac:dyDescent="0.4">
      <c r="A8" s="19" t="s">
        <v>2</v>
      </c>
      <c r="B8" s="12">
        <v>2</v>
      </c>
      <c r="C8" s="6">
        <f t="shared" ref="C8:C15" si="2">IF(B$2=0,0,B8/B$2)</f>
        <v>0.5</v>
      </c>
      <c r="E8" s="27" t="s">
        <v>72</v>
      </c>
      <c r="F8" s="24" t="s">
        <v>27</v>
      </c>
      <c r="G8" s="12">
        <v>3</v>
      </c>
      <c r="H8" s="88">
        <f t="shared" si="0"/>
        <v>0.33333333333333331</v>
      </c>
      <c r="I8" s="58">
        <v>7</v>
      </c>
      <c r="O8" s="107"/>
      <c r="P8" s="85"/>
      <c r="Q8" s="108"/>
      <c r="R8" s="70"/>
    </row>
    <row r="9" spans="1:18" x14ac:dyDescent="0.4">
      <c r="A9" s="19" t="s">
        <v>3</v>
      </c>
      <c r="B9" s="12">
        <v>0</v>
      </c>
      <c r="C9" s="6">
        <f t="shared" si="2"/>
        <v>0</v>
      </c>
      <c r="E9" s="27" t="s">
        <v>65</v>
      </c>
      <c r="F9" s="24" t="s">
        <v>21</v>
      </c>
      <c r="G9" s="12">
        <v>2</v>
      </c>
      <c r="H9" s="88">
        <f t="shared" si="0"/>
        <v>0.22222222222222221</v>
      </c>
      <c r="I9" s="58" t="e">
        <v>#N/A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</v>
      </c>
      <c r="C10" s="7">
        <f t="shared" si="2"/>
        <v>0.5</v>
      </c>
      <c r="E10" s="27" t="s">
        <v>70</v>
      </c>
      <c r="F10" s="24" t="s">
        <v>25</v>
      </c>
      <c r="G10" s="12">
        <v>1</v>
      </c>
      <c r="H10" s="88">
        <f t="shared" si="0"/>
        <v>0.1111111111111111</v>
      </c>
      <c r="I10" s="58" t="e">
        <v>#N/A</v>
      </c>
      <c r="O10" s="73" t="s">
        <v>151</v>
      </c>
      <c r="P10" s="82">
        <f>IF(Q10=0,0,R10/Q10)</f>
        <v>-24.2</v>
      </c>
      <c r="Q10" s="76">
        <v>1</v>
      </c>
      <c r="R10" s="67">
        <v>-24.2</v>
      </c>
    </row>
    <row r="11" spans="1:18" x14ac:dyDescent="0.4">
      <c r="A11" s="20" t="s">
        <v>184</v>
      </c>
      <c r="B11" s="109">
        <f>IF(B8=0,0,C11/B8)</f>
        <v>21.15</v>
      </c>
      <c r="C11" s="110">
        <v>42.3</v>
      </c>
      <c r="E11" s="27" t="s">
        <v>71</v>
      </c>
      <c r="F11" s="24" t="s">
        <v>26</v>
      </c>
      <c r="G11" s="12">
        <v>0</v>
      </c>
      <c r="H11" s="88">
        <f t="shared" si="0"/>
        <v>0</v>
      </c>
      <c r="I11" s="58">
        <v>7</v>
      </c>
      <c r="O11" s="74" t="s">
        <v>152</v>
      </c>
      <c r="P11" s="83">
        <f>IF(Q11=0,0,R11/Q11)</f>
        <v>18</v>
      </c>
      <c r="Q11" s="77">
        <v>1</v>
      </c>
      <c r="R11" s="68">
        <v>18</v>
      </c>
    </row>
    <row r="12" spans="1:18" x14ac:dyDescent="0.4">
      <c r="A12" s="20" t="s">
        <v>185</v>
      </c>
      <c r="B12" s="109">
        <f>IF(B9=0,0,C12/B9)</f>
        <v>0</v>
      </c>
      <c r="C12" s="110">
        <v>0</v>
      </c>
      <c r="E12" s="27" t="s">
        <v>73</v>
      </c>
      <c r="F12" s="24" t="s">
        <v>28</v>
      </c>
      <c r="G12" s="12">
        <v>0</v>
      </c>
      <c r="H12" s="88">
        <f t="shared" si="0"/>
        <v>0</v>
      </c>
      <c r="I12" s="58">
        <v>3</v>
      </c>
      <c r="O12" s="75" t="s">
        <v>153</v>
      </c>
      <c r="P12" s="84">
        <f>IF(Q12=0,0,R12/Q12)</f>
        <v>-4.2499999999999982</v>
      </c>
      <c r="Q12" s="78">
        <v>2</v>
      </c>
      <c r="R12" s="69">
        <v>-8.4999999999999964</v>
      </c>
    </row>
    <row r="13" spans="1:18" x14ac:dyDescent="0.4">
      <c r="A13" s="20" t="s">
        <v>186</v>
      </c>
      <c r="B13" s="109">
        <f>IF(B10=0,0,C13/B10)</f>
        <v>-28.5</v>
      </c>
      <c r="C13" s="110">
        <v>-57</v>
      </c>
      <c r="E13" s="27" t="s">
        <v>74</v>
      </c>
      <c r="F13" s="24" t="s">
        <v>29</v>
      </c>
      <c r="G13" s="12">
        <v>0</v>
      </c>
      <c r="H13" s="88">
        <f t="shared" si="0"/>
        <v>0</v>
      </c>
      <c r="I13" s="58">
        <v>1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-2.4500000000000006</v>
      </c>
      <c r="C14" s="126"/>
      <c r="E14" s="27" t="s">
        <v>75</v>
      </c>
      <c r="F14" s="24" t="s">
        <v>30</v>
      </c>
      <c r="G14" s="12">
        <v>0</v>
      </c>
      <c r="H14" s="88">
        <f t="shared" si="0"/>
        <v>0</v>
      </c>
      <c r="I14" s="58">
        <v>2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2"/>
        <v>0</v>
      </c>
      <c r="E15" s="27" t="s">
        <v>76</v>
      </c>
      <c r="F15" s="24" t="s">
        <v>31</v>
      </c>
      <c r="G15" s="12">
        <v>0</v>
      </c>
      <c r="H15" s="88">
        <f t="shared" si="0"/>
        <v>0</v>
      </c>
      <c r="I15" s="58">
        <v>1</v>
      </c>
      <c r="O15" s="73" t="s">
        <v>192</v>
      </c>
      <c r="P15" s="82">
        <f>IF(Q15=0,0,R15/Q15)</f>
        <v>8.7333333333333307</v>
      </c>
      <c r="Q15" s="76">
        <v>3</v>
      </c>
      <c r="R15" s="67">
        <v>26.199999999999992</v>
      </c>
    </row>
    <row r="16" spans="1:18" x14ac:dyDescent="0.4">
      <c r="A16" s="22" t="s">
        <v>121</v>
      </c>
      <c r="B16" s="15">
        <v>9</v>
      </c>
      <c r="C16" s="10">
        <f>IF(B$3=0,0,B16/B$3)</f>
        <v>0.25</v>
      </c>
      <c r="E16" s="27" t="s">
        <v>77</v>
      </c>
      <c r="F16" s="24" t="s">
        <v>32</v>
      </c>
      <c r="G16" s="12">
        <v>0</v>
      </c>
      <c r="H16" s="88">
        <f t="shared" si="0"/>
        <v>0</v>
      </c>
      <c r="I16" s="58">
        <v>2</v>
      </c>
      <c r="O16" s="74" t="s">
        <v>221</v>
      </c>
      <c r="P16" s="83">
        <f>IF(Q16=0,0,R16/Q16)</f>
        <v>3.6500000000000004</v>
      </c>
      <c r="Q16" s="77">
        <v>2</v>
      </c>
      <c r="R16" s="68">
        <v>7.3000000000000007</v>
      </c>
    </row>
    <row r="17" spans="1:18" x14ac:dyDescent="0.4">
      <c r="A17" s="19" t="s">
        <v>118</v>
      </c>
      <c r="B17" s="12">
        <v>2</v>
      </c>
      <c r="C17" s="6">
        <f>IF(B$3=0,0,B17/B$3)</f>
        <v>5.5555555555555552E-2</v>
      </c>
      <c r="E17" s="27" t="s">
        <v>78</v>
      </c>
      <c r="F17" s="24" t="s">
        <v>33</v>
      </c>
      <c r="G17" s="12">
        <v>0</v>
      </c>
      <c r="H17" s="88">
        <f t="shared" si="0"/>
        <v>0</v>
      </c>
      <c r="I17" s="58">
        <v>5</v>
      </c>
      <c r="O17" s="74" t="s">
        <v>126</v>
      </c>
      <c r="P17" s="83">
        <f>IF(Q17=0,0,R17/Q17)</f>
        <v>-16.600000000000001</v>
      </c>
      <c r="Q17" s="77">
        <v>2</v>
      </c>
      <c r="R17" s="68">
        <v>-33.200000000000003</v>
      </c>
    </row>
    <row r="18" spans="1:18" x14ac:dyDescent="0.4">
      <c r="A18" s="18" t="s">
        <v>123</v>
      </c>
      <c r="B18" s="11">
        <f>B24</f>
        <v>7</v>
      </c>
      <c r="C18" s="5">
        <f>IF(B$16=0,0,B18/B$16)</f>
        <v>0.77777777777777779</v>
      </c>
      <c r="E18" s="27" t="s">
        <v>79</v>
      </c>
      <c r="F18" s="24" t="s">
        <v>34</v>
      </c>
      <c r="G18" s="12">
        <v>0</v>
      </c>
      <c r="H18" s="88">
        <f t="shared" si="0"/>
        <v>0</v>
      </c>
      <c r="I18" s="58">
        <v>3</v>
      </c>
      <c r="O18" s="74" t="s">
        <v>211</v>
      </c>
      <c r="P18" s="83">
        <f>IF(Q18=0,0,R18/Q18)</f>
        <v>-44.4</v>
      </c>
      <c r="Q18" s="77">
        <v>1</v>
      </c>
      <c r="R18" s="68">
        <v>-44.4</v>
      </c>
    </row>
    <row r="19" spans="1:18" x14ac:dyDescent="0.4">
      <c r="A19" s="18" t="s">
        <v>124</v>
      </c>
      <c r="B19" s="11">
        <f>B25</f>
        <v>1</v>
      </c>
      <c r="C19" s="5">
        <f>IF(B$17=0,0,B19/B$17)</f>
        <v>0.5</v>
      </c>
      <c r="E19" s="27" t="s">
        <v>80</v>
      </c>
      <c r="F19" s="24" t="s">
        <v>35</v>
      </c>
      <c r="G19" s="12">
        <v>0</v>
      </c>
      <c r="H19" s="88">
        <f t="shared" si="0"/>
        <v>0</v>
      </c>
      <c r="I19" s="58">
        <v>1</v>
      </c>
    </row>
    <row r="20" spans="1:18" x14ac:dyDescent="0.4">
      <c r="A20" s="18" t="s">
        <v>10</v>
      </c>
      <c r="B20" s="11">
        <f>B23+B22</f>
        <v>9</v>
      </c>
      <c r="C20" s="5">
        <f>IF(B$3=0,0,B20/B$3)</f>
        <v>0.25</v>
      </c>
      <c r="E20" s="27" t="s">
        <v>81</v>
      </c>
      <c r="F20" s="24" t="s">
        <v>36</v>
      </c>
      <c r="G20" s="12">
        <v>0</v>
      </c>
      <c r="H20" s="88">
        <f t="shared" si="0"/>
        <v>0</v>
      </c>
      <c r="I20" s="58">
        <v>4</v>
      </c>
    </row>
    <row r="21" spans="1:18" x14ac:dyDescent="0.4">
      <c r="A21" s="19" t="s">
        <v>13</v>
      </c>
      <c r="B21" s="12">
        <v>5</v>
      </c>
      <c r="C21" s="6">
        <f>IF(B$3=0,0,B21/B$3)</f>
        <v>0.1388888888888889</v>
      </c>
      <c r="E21" s="27" t="s">
        <v>82</v>
      </c>
      <c r="F21" s="24" t="s">
        <v>37</v>
      </c>
      <c r="G21" s="12">
        <v>0</v>
      </c>
      <c r="H21" s="88">
        <f t="shared" si="0"/>
        <v>0</v>
      </c>
      <c r="I21" s="58">
        <v>1</v>
      </c>
    </row>
    <row r="22" spans="1:18" x14ac:dyDescent="0.4">
      <c r="A22" s="19" t="s">
        <v>12</v>
      </c>
      <c r="B22" s="12">
        <v>7</v>
      </c>
      <c r="C22" s="6">
        <f>IF(B$20=0,0,B22/B$20)</f>
        <v>0.77777777777777779</v>
      </c>
      <c r="E22" s="27" t="s">
        <v>83</v>
      </c>
      <c r="F22" s="24" t="s">
        <v>38</v>
      </c>
      <c r="G22" s="12">
        <v>0</v>
      </c>
      <c r="H22" s="88">
        <f t="shared" si="0"/>
        <v>0</v>
      </c>
      <c r="I22" s="58">
        <v>5</v>
      </c>
    </row>
    <row r="23" spans="1:18" x14ac:dyDescent="0.4">
      <c r="A23" s="19" t="s">
        <v>11</v>
      </c>
      <c r="B23" s="12">
        <v>2</v>
      </c>
      <c r="C23" s="6">
        <f>IF(B$20=0,0,B23/B$20)</f>
        <v>0.22222222222222221</v>
      </c>
      <c r="E23" s="27" t="s">
        <v>84</v>
      </c>
      <c r="F23" s="24" t="s">
        <v>39</v>
      </c>
      <c r="G23" s="12">
        <v>0</v>
      </c>
      <c r="H23" s="88">
        <f t="shared" si="0"/>
        <v>0</v>
      </c>
      <c r="I23" s="58">
        <v>1</v>
      </c>
    </row>
    <row r="24" spans="1:18" x14ac:dyDescent="0.4">
      <c r="A24" s="19" t="s">
        <v>183</v>
      </c>
      <c r="B24" s="12">
        <v>7</v>
      </c>
      <c r="C24" s="6">
        <f>IF(B$20=0,0,B24/B$20)</f>
        <v>0.77777777777777779</v>
      </c>
      <c r="E24" s="27" t="s">
        <v>85</v>
      </c>
      <c r="F24" s="24" t="s">
        <v>40</v>
      </c>
      <c r="G24" s="12">
        <v>0</v>
      </c>
      <c r="H24" s="88">
        <f t="shared" si="0"/>
        <v>0</v>
      </c>
      <c r="I24" s="58">
        <v>2</v>
      </c>
    </row>
    <row r="25" spans="1:18" x14ac:dyDescent="0.4">
      <c r="A25" s="19" t="s">
        <v>181</v>
      </c>
      <c r="B25" s="12">
        <v>1</v>
      </c>
      <c r="C25" s="6">
        <f>IF(B$20=0,0,B25/B$20)</f>
        <v>0.1111111111111111</v>
      </c>
      <c r="E25" s="27" t="s">
        <v>86</v>
      </c>
      <c r="F25" s="24" t="s">
        <v>41</v>
      </c>
      <c r="G25" s="12">
        <v>0</v>
      </c>
      <c r="H25" s="88">
        <f t="shared" si="0"/>
        <v>0</v>
      </c>
      <c r="I25" s="58">
        <v>7</v>
      </c>
    </row>
    <row r="26" spans="1:18" x14ac:dyDescent="0.4">
      <c r="A26" s="19" t="s">
        <v>182</v>
      </c>
      <c r="B26" s="12">
        <v>1</v>
      </c>
      <c r="C26" s="6">
        <f>IF(B$20=0,0,B26/B$20)</f>
        <v>0.1111111111111111</v>
      </c>
      <c r="E26" s="27" t="s">
        <v>87</v>
      </c>
      <c r="F26" s="24" t="s">
        <v>42</v>
      </c>
      <c r="G26" s="12">
        <v>0</v>
      </c>
      <c r="H26" s="88">
        <f t="shared" si="0"/>
        <v>0</v>
      </c>
      <c r="I26" s="58">
        <v>1</v>
      </c>
    </row>
    <row r="27" spans="1:18" x14ac:dyDescent="0.4">
      <c r="A27" s="19" t="s">
        <v>5</v>
      </c>
      <c r="B27" s="16">
        <f>IF(B$20=0,0,C27/B$20)</f>
        <v>9022.2222222222226</v>
      </c>
      <c r="C27" s="8">
        <v>81200</v>
      </c>
      <c r="E27" s="27" t="s">
        <v>88</v>
      </c>
      <c r="F27" s="24" t="s">
        <v>43</v>
      </c>
      <c r="G27" s="12">
        <v>0</v>
      </c>
      <c r="H27" s="88">
        <f t="shared" si="0"/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9662.5</v>
      </c>
      <c r="C28" s="96">
        <v>77300</v>
      </c>
      <c r="E28" s="27" t="s">
        <v>89</v>
      </c>
      <c r="F28" s="24" t="s">
        <v>44</v>
      </c>
      <c r="G28" s="12">
        <v>0</v>
      </c>
      <c r="H28" s="88">
        <f t="shared" si="0"/>
        <v>0</v>
      </c>
      <c r="I28" s="58" t="e">
        <v>#N/A</v>
      </c>
    </row>
    <row r="29" spans="1:18" x14ac:dyDescent="0.4">
      <c r="A29" s="20" t="s">
        <v>166</v>
      </c>
      <c r="B29" s="95">
        <f>IF(B$19=0,0,C29/B$19)</f>
        <v>3900</v>
      </c>
      <c r="C29" s="96">
        <v>3900</v>
      </c>
      <c r="E29" s="27" t="s">
        <v>90</v>
      </c>
      <c r="F29" s="24" t="s">
        <v>45</v>
      </c>
      <c r="G29" s="12">
        <v>0</v>
      </c>
      <c r="H29" s="88">
        <f t="shared" si="0"/>
        <v>0</v>
      </c>
      <c r="I29" s="58">
        <v>1</v>
      </c>
    </row>
    <row r="30" spans="1:18" x14ac:dyDescent="0.4">
      <c r="A30" s="20" t="s">
        <v>164</v>
      </c>
      <c r="B30" s="95">
        <f>IF(B$21=0,0,C30/B$21)</f>
        <v>-6380</v>
      </c>
      <c r="C30" s="96">
        <v>-31900</v>
      </c>
      <c r="E30" s="27" t="s">
        <v>91</v>
      </c>
      <c r="F30" s="24" t="s">
        <v>46</v>
      </c>
      <c r="G30" s="12">
        <v>0</v>
      </c>
      <c r="H30" s="88">
        <f t="shared" si="0"/>
        <v>0</v>
      </c>
      <c r="I30" s="58">
        <v>3</v>
      </c>
    </row>
    <row r="31" spans="1:18" x14ac:dyDescent="0.4">
      <c r="A31" s="19" t="s">
        <v>157</v>
      </c>
      <c r="B31" s="12">
        <v>1</v>
      </c>
      <c r="C31" s="90">
        <v>0</v>
      </c>
      <c r="E31" s="27" t="s">
        <v>92</v>
      </c>
      <c r="F31" s="24" t="s">
        <v>47</v>
      </c>
      <c r="G31" s="12">
        <v>0</v>
      </c>
      <c r="H31" s="88">
        <f t="shared" si="0"/>
        <v>0</v>
      </c>
      <c r="I31" s="58">
        <v>2</v>
      </c>
    </row>
    <row r="32" spans="1:18" x14ac:dyDescent="0.4">
      <c r="A32" s="19" t="s">
        <v>158</v>
      </c>
      <c r="B32" s="12">
        <v>15</v>
      </c>
      <c r="C32" s="90">
        <v>15</v>
      </c>
      <c r="E32" s="27" t="s">
        <v>93</v>
      </c>
      <c r="F32" s="24" t="s">
        <v>48</v>
      </c>
      <c r="G32" s="12">
        <v>0</v>
      </c>
      <c r="H32" s="88">
        <f t="shared" si="0"/>
        <v>0</v>
      </c>
      <c r="I32" s="58">
        <v>1</v>
      </c>
    </row>
    <row r="33" spans="1:9" x14ac:dyDescent="0.4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 t="shared" si="0"/>
        <v>0</v>
      </c>
      <c r="I33" s="58">
        <v>1</v>
      </c>
    </row>
    <row r="34" spans="1:9" x14ac:dyDescent="0.4">
      <c r="A34" s="22" t="s">
        <v>180</v>
      </c>
      <c r="B34" s="129">
        <v>49300</v>
      </c>
      <c r="C34" s="130"/>
      <c r="E34" s="27" t="s">
        <v>95</v>
      </c>
      <c r="F34" s="24" t="s">
        <v>50</v>
      </c>
      <c r="G34" s="12">
        <v>0</v>
      </c>
      <c r="H34" s="88">
        <f t="shared" ref="H34:H52" si="3"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 t="shared" si="3"/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 t="shared" si="3"/>
        <v>0</v>
      </c>
      <c r="I36" s="58">
        <v>1</v>
      </c>
    </row>
    <row r="37" spans="1:9" x14ac:dyDescent="0.4">
      <c r="A37" s="54" t="s">
        <v>171</v>
      </c>
      <c r="B37" s="123">
        <v>0</v>
      </c>
      <c r="C37" s="98">
        <f t="shared" ref="C37:C49" si="4">IF(B$20=0,0,B37/B$20)</f>
        <v>0</v>
      </c>
      <c r="E37" s="27" t="s">
        <v>98</v>
      </c>
      <c r="F37" s="24" t="s">
        <v>53</v>
      </c>
      <c r="G37" s="12">
        <v>0</v>
      </c>
      <c r="H37" s="88">
        <f t="shared" si="3"/>
        <v>0</v>
      </c>
      <c r="I37" s="58">
        <v>1</v>
      </c>
    </row>
    <row r="38" spans="1:9" x14ac:dyDescent="0.4">
      <c r="A38" s="19" t="s">
        <v>167</v>
      </c>
      <c r="B38" s="12">
        <v>1</v>
      </c>
      <c r="C38" s="6">
        <f t="shared" si="4"/>
        <v>0.1111111111111111</v>
      </c>
      <c r="E38" s="27" t="s">
        <v>99</v>
      </c>
      <c r="F38" s="24" t="s">
        <v>54</v>
      </c>
      <c r="G38" s="12">
        <v>0</v>
      </c>
      <c r="H38" s="88">
        <f t="shared" si="3"/>
        <v>0</v>
      </c>
      <c r="I38" s="58">
        <v>1</v>
      </c>
    </row>
    <row r="39" spans="1:9" x14ac:dyDescent="0.4">
      <c r="A39" s="19" t="s">
        <v>168</v>
      </c>
      <c r="B39" s="124">
        <v>3</v>
      </c>
      <c r="C39" s="6">
        <f t="shared" si="4"/>
        <v>0.33333333333333331</v>
      </c>
      <c r="E39" s="27" t="s">
        <v>100</v>
      </c>
      <c r="F39" s="24" t="s">
        <v>55</v>
      </c>
      <c r="G39" s="12">
        <v>0</v>
      </c>
      <c r="H39" s="88">
        <f t="shared" si="3"/>
        <v>0</v>
      </c>
      <c r="I39" s="58">
        <v>1</v>
      </c>
    </row>
    <row r="40" spans="1:9" x14ac:dyDescent="0.4">
      <c r="A40" s="19" t="s">
        <v>169</v>
      </c>
      <c r="B40" s="124">
        <v>1</v>
      </c>
      <c r="C40" s="6">
        <f t="shared" si="4"/>
        <v>0.1111111111111111</v>
      </c>
      <c r="E40" s="27" t="s">
        <v>101</v>
      </c>
      <c r="F40" s="24" t="s">
        <v>56</v>
      </c>
      <c r="G40" s="12">
        <v>0</v>
      </c>
      <c r="H40" s="88">
        <f t="shared" si="3"/>
        <v>0</v>
      </c>
      <c r="I40" s="58">
        <v>1</v>
      </c>
    </row>
    <row r="41" spans="1:9" x14ac:dyDescent="0.4">
      <c r="A41" s="19" t="s">
        <v>170</v>
      </c>
      <c r="B41" s="124">
        <v>2</v>
      </c>
      <c r="C41" s="6">
        <f t="shared" si="4"/>
        <v>0.22222222222222221</v>
      </c>
      <c r="E41" s="27" t="s">
        <v>102</v>
      </c>
      <c r="F41" s="24" t="s">
        <v>57</v>
      </c>
      <c r="G41" s="12">
        <v>0</v>
      </c>
      <c r="H41" s="88">
        <f t="shared" si="3"/>
        <v>0</v>
      </c>
      <c r="I41" s="58">
        <v>1</v>
      </c>
    </row>
    <row r="42" spans="1:9" x14ac:dyDescent="0.4">
      <c r="A42" s="19" t="s">
        <v>172</v>
      </c>
      <c r="B42" s="124">
        <v>1</v>
      </c>
      <c r="C42" s="6">
        <f t="shared" si="4"/>
        <v>0.1111111111111111</v>
      </c>
      <c r="E42" s="27" t="s">
        <v>103</v>
      </c>
      <c r="F42" s="24" t="s">
        <v>58</v>
      </c>
      <c r="G42" s="12">
        <v>0</v>
      </c>
      <c r="H42" s="88">
        <f t="shared" si="3"/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4"/>
        <v>0</v>
      </c>
      <c r="E43" s="27" t="s">
        <v>104</v>
      </c>
      <c r="F43" s="24" t="s">
        <v>59</v>
      </c>
      <c r="G43" s="12">
        <v>0</v>
      </c>
      <c r="H43" s="88">
        <f t="shared" si="3"/>
        <v>0</v>
      </c>
      <c r="I43" s="58">
        <v>1</v>
      </c>
    </row>
    <row r="44" spans="1:9" x14ac:dyDescent="0.4">
      <c r="A44" s="19" t="s">
        <v>174</v>
      </c>
      <c r="B44" s="124">
        <v>1</v>
      </c>
      <c r="C44" s="6">
        <f t="shared" si="4"/>
        <v>0.1111111111111111</v>
      </c>
      <c r="E44" s="27" t="s">
        <v>105</v>
      </c>
      <c r="F44" s="24" t="s">
        <v>112</v>
      </c>
      <c r="G44" s="12">
        <v>0</v>
      </c>
      <c r="H44" s="88">
        <f t="shared" si="3"/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4"/>
        <v>0</v>
      </c>
      <c r="E45" s="27" t="s">
        <v>106</v>
      </c>
      <c r="F45" s="24" t="s">
        <v>113</v>
      </c>
      <c r="G45" s="12">
        <v>0</v>
      </c>
      <c r="H45" s="88">
        <f t="shared" si="3"/>
        <v>0</v>
      </c>
      <c r="I45" s="58">
        <v>1</v>
      </c>
    </row>
    <row r="46" spans="1:9" x14ac:dyDescent="0.4">
      <c r="A46" s="19" t="s">
        <v>176</v>
      </c>
      <c r="B46" s="124">
        <v>0</v>
      </c>
      <c r="C46" s="6">
        <f t="shared" si="4"/>
        <v>0</v>
      </c>
      <c r="E46" s="27" t="s">
        <v>107</v>
      </c>
      <c r="F46" s="24" t="s">
        <v>114</v>
      </c>
      <c r="G46" s="12">
        <v>0</v>
      </c>
      <c r="H46" s="88">
        <f t="shared" si="3"/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4"/>
        <v>0</v>
      </c>
      <c r="E47" s="27" t="s">
        <v>108</v>
      </c>
      <c r="F47" s="24" t="s">
        <v>60</v>
      </c>
      <c r="G47" s="12">
        <v>0</v>
      </c>
      <c r="H47" s="88">
        <f t="shared" si="3"/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4"/>
        <v>0</v>
      </c>
      <c r="E48" s="27" t="s">
        <v>109</v>
      </c>
      <c r="F48" s="24" t="s">
        <v>61</v>
      </c>
      <c r="G48" s="12">
        <v>0</v>
      </c>
      <c r="H48" s="88">
        <f t="shared" si="3"/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4"/>
        <v>0</v>
      </c>
      <c r="E49" s="27" t="s">
        <v>110</v>
      </c>
      <c r="F49" s="24" t="s">
        <v>62</v>
      </c>
      <c r="G49" s="12">
        <v>0</v>
      </c>
      <c r="H49" s="88">
        <f t="shared" si="3"/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 t="shared" si="3"/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 t="shared" si="3"/>
        <v>0</v>
      </c>
      <c r="I51" s="94">
        <v>3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>
        <v>1</v>
      </c>
    </row>
  </sheetData>
  <sortState xmlns:xlrd2="http://schemas.microsoft.com/office/spreadsheetml/2017/richdata2" ref="O15:R18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213BE-2C99-4B5F-B71A-39C6D5007F22}">
  <sheetPr codeName="Sheet2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221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2</v>
      </c>
      <c r="C2" s="134"/>
      <c r="E2" s="26" t="s">
        <v>66</v>
      </c>
      <c r="F2" s="23" t="s">
        <v>22</v>
      </c>
      <c r="G2" s="11">
        <v>7</v>
      </c>
      <c r="H2" s="87">
        <f t="shared" ref="H2:H33" si="0">IF(B$20=0,0,G2/B$20)</f>
        <v>1.75</v>
      </c>
      <c r="I2" s="57" t="e">
        <v>#N/A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-3650</v>
      </c>
      <c r="Q2" s="76">
        <v>2</v>
      </c>
      <c r="R2" s="63">
        <v>-7300</v>
      </c>
    </row>
    <row r="3" spans="1:18" x14ac:dyDescent="0.4">
      <c r="A3" s="19" t="s">
        <v>8</v>
      </c>
      <c r="B3" s="135">
        <v>18</v>
      </c>
      <c r="C3" s="136"/>
      <c r="E3" s="27" t="s">
        <v>72</v>
      </c>
      <c r="F3" s="24" t="s">
        <v>27</v>
      </c>
      <c r="G3" s="12">
        <v>4</v>
      </c>
      <c r="H3" s="88">
        <f t="shared" si="0"/>
        <v>1</v>
      </c>
      <c r="I3" s="58">
        <v>1</v>
      </c>
      <c r="K3" s="74">
        <v>1</v>
      </c>
      <c r="L3" s="119">
        <v>4</v>
      </c>
      <c r="M3" s="117">
        <v>1500.702</v>
      </c>
      <c r="O3" s="74" t="s">
        <v>129</v>
      </c>
      <c r="P3" s="80">
        <f t="shared" si="1"/>
        <v>-850</v>
      </c>
      <c r="Q3" s="77">
        <v>2</v>
      </c>
      <c r="R3" s="64">
        <v>-1700</v>
      </c>
    </row>
    <row r="4" spans="1:18" x14ac:dyDescent="0.4">
      <c r="A4" s="19" t="s">
        <v>6</v>
      </c>
      <c r="B4" s="137">
        <v>-13.5</v>
      </c>
      <c r="C4" s="138"/>
      <c r="E4" s="27" t="s">
        <v>68</v>
      </c>
      <c r="F4" s="24" t="s">
        <v>12</v>
      </c>
      <c r="G4" s="12">
        <v>2</v>
      </c>
      <c r="H4" s="88">
        <f t="shared" si="0"/>
        <v>0.5</v>
      </c>
      <c r="I4" s="58" t="e">
        <v>#N/A</v>
      </c>
      <c r="K4" s="74">
        <v>2</v>
      </c>
      <c r="L4" s="119">
        <v>-13.5</v>
      </c>
      <c r="M4" s="117">
        <v>1497.379788</v>
      </c>
      <c r="O4" s="74" t="s">
        <v>130</v>
      </c>
      <c r="P4" s="80">
        <f t="shared" si="1"/>
        <v>-4150</v>
      </c>
      <c r="Q4" s="77">
        <v>2</v>
      </c>
      <c r="R4" s="64">
        <v>-8300</v>
      </c>
    </row>
    <row r="5" spans="1:18" x14ac:dyDescent="0.4">
      <c r="A5" s="19" t="s">
        <v>7</v>
      </c>
      <c r="B5" s="125">
        <f>IF(B$2=0,0,B$4/B$2)</f>
        <v>-6.75</v>
      </c>
      <c r="C5" s="126"/>
      <c r="E5" s="27" t="s">
        <v>64</v>
      </c>
      <c r="F5" s="24" t="s">
        <v>20</v>
      </c>
      <c r="G5" s="12">
        <v>1</v>
      </c>
      <c r="H5" s="88">
        <f t="shared" si="0"/>
        <v>0.25</v>
      </c>
      <c r="I5" s="58" t="e">
        <v>#N/A</v>
      </c>
      <c r="O5" s="74" t="s">
        <v>131</v>
      </c>
      <c r="P5" s="80">
        <f t="shared" si="1"/>
        <v>2900</v>
      </c>
      <c r="Q5" s="77">
        <v>2</v>
      </c>
      <c r="R5" s="64">
        <v>5800</v>
      </c>
    </row>
    <row r="6" spans="1:18" x14ac:dyDescent="0.4">
      <c r="A6" s="19" t="s">
        <v>196</v>
      </c>
      <c r="B6" s="129">
        <v>1497.379788</v>
      </c>
      <c r="C6" s="130"/>
      <c r="E6" s="27" t="s">
        <v>67</v>
      </c>
      <c r="F6" s="24" t="s">
        <v>23</v>
      </c>
      <c r="G6" s="12">
        <v>1</v>
      </c>
      <c r="H6" s="88">
        <f t="shared" si="0"/>
        <v>0.25</v>
      </c>
      <c r="I6" s="58" t="e">
        <v>#N/A</v>
      </c>
      <c r="O6" s="74" t="s">
        <v>132</v>
      </c>
      <c r="P6" s="80">
        <f t="shared" si="1"/>
        <v>1850</v>
      </c>
      <c r="Q6" s="77">
        <v>2</v>
      </c>
      <c r="R6" s="64">
        <v>3700</v>
      </c>
    </row>
    <row r="7" spans="1:18" x14ac:dyDescent="0.4">
      <c r="A7" s="19" t="s">
        <v>1</v>
      </c>
      <c r="B7" s="139">
        <f>IF(B$2=0,0,(B$8*1+B$9*2+B$10*3)/B$2)</f>
        <v>2.5</v>
      </c>
      <c r="C7" s="140"/>
      <c r="E7" s="27" t="s">
        <v>78</v>
      </c>
      <c r="F7" s="24" t="s">
        <v>33</v>
      </c>
      <c r="G7" s="12">
        <v>1</v>
      </c>
      <c r="H7" s="88">
        <f t="shared" si="0"/>
        <v>0.25</v>
      </c>
      <c r="I7" s="58" t="e">
        <v>#N/A</v>
      </c>
      <c r="O7" s="75" t="s">
        <v>133</v>
      </c>
      <c r="P7" s="81">
        <f t="shared" si="1"/>
        <v>2150</v>
      </c>
      <c r="Q7" s="78">
        <v>2</v>
      </c>
      <c r="R7" s="65">
        <v>4300</v>
      </c>
    </row>
    <row r="8" spans="1:18" x14ac:dyDescent="0.4">
      <c r="A8" s="19" t="s">
        <v>2</v>
      </c>
      <c r="B8" s="12">
        <v>0</v>
      </c>
      <c r="C8" s="6">
        <f t="shared" ref="C8:C15" si="2">IF(B$2=0,0,B8/B$2)</f>
        <v>0</v>
      </c>
      <c r="E8" s="27" t="s">
        <v>89</v>
      </c>
      <c r="F8" s="24" t="s">
        <v>44</v>
      </c>
      <c r="G8" s="12">
        <v>1</v>
      </c>
      <c r="H8" s="88">
        <f t="shared" si="0"/>
        <v>0.25</v>
      </c>
      <c r="I8" s="58" t="e">
        <v>#N/A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2"/>
        <v>0.5</v>
      </c>
      <c r="E9" s="27" t="s">
        <v>159</v>
      </c>
      <c r="F9" s="24" t="s">
        <v>160</v>
      </c>
      <c r="G9" s="12">
        <v>1</v>
      </c>
      <c r="H9" s="88">
        <f t="shared" si="0"/>
        <v>0.25</v>
      </c>
      <c r="I9" s="58">
        <v>7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</v>
      </c>
      <c r="C10" s="7">
        <f t="shared" si="2"/>
        <v>0.5</v>
      </c>
      <c r="E10" s="27" t="s">
        <v>65</v>
      </c>
      <c r="F10" s="24" t="s">
        <v>21</v>
      </c>
      <c r="G10" s="12">
        <v>0</v>
      </c>
      <c r="H10" s="88">
        <f t="shared" si="0"/>
        <v>0</v>
      </c>
      <c r="I10" s="58">
        <v>5</v>
      </c>
      <c r="O10" s="73" t="s">
        <v>151</v>
      </c>
      <c r="P10" s="82">
        <f>IF(Q10=0,0,R10/Q10)</f>
        <v>-17.5</v>
      </c>
      <c r="Q10" s="76">
        <v>1</v>
      </c>
      <c r="R10" s="67">
        <v>-17.5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69</v>
      </c>
      <c r="F11" s="24" t="s">
        <v>24</v>
      </c>
      <c r="G11" s="12">
        <v>0</v>
      </c>
      <c r="H11" s="88">
        <f t="shared" si="0"/>
        <v>0</v>
      </c>
      <c r="I11" s="58">
        <v>7</v>
      </c>
      <c r="O11" s="74" t="s">
        <v>152</v>
      </c>
      <c r="P11" s="83">
        <f>IF(Q11=0,0,R11/Q11)</f>
        <v>4</v>
      </c>
      <c r="Q11" s="77">
        <v>1</v>
      </c>
      <c r="R11" s="68">
        <v>4</v>
      </c>
    </row>
    <row r="12" spans="1:18" x14ac:dyDescent="0.4">
      <c r="A12" s="20" t="s">
        <v>185</v>
      </c>
      <c r="B12" s="109">
        <f>IF(B9=0,0,C12/B9)</f>
        <v>4</v>
      </c>
      <c r="C12" s="110">
        <v>4</v>
      </c>
      <c r="E12" s="27" t="s">
        <v>70</v>
      </c>
      <c r="F12" s="24" t="s">
        <v>25</v>
      </c>
      <c r="G12" s="12">
        <v>0</v>
      </c>
      <c r="H12" s="88">
        <f t="shared" si="0"/>
        <v>0</v>
      </c>
      <c r="I12" s="58">
        <v>7</v>
      </c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186</v>
      </c>
      <c r="B13" s="109">
        <f>IF(B10=0,0,C13/B10)</f>
        <v>-17.5</v>
      </c>
      <c r="C13" s="110">
        <v>-17.5</v>
      </c>
      <c r="E13" s="27" t="s">
        <v>71</v>
      </c>
      <c r="F13" s="24" t="s">
        <v>26</v>
      </c>
      <c r="G13" s="12">
        <v>0</v>
      </c>
      <c r="H13" s="88">
        <f t="shared" si="0"/>
        <v>0</v>
      </c>
      <c r="I13" s="58">
        <v>7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-4.5</v>
      </c>
      <c r="C14" s="126"/>
      <c r="E14" s="27" t="s">
        <v>73</v>
      </c>
      <c r="F14" s="24" t="s">
        <v>28</v>
      </c>
      <c r="G14" s="12">
        <v>0</v>
      </c>
      <c r="H14" s="88">
        <f t="shared" si="0"/>
        <v>0</v>
      </c>
      <c r="I14" s="58">
        <v>3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2"/>
        <v>0</v>
      </c>
      <c r="E15" s="27" t="s">
        <v>74</v>
      </c>
      <c r="F15" s="24" t="s">
        <v>29</v>
      </c>
      <c r="G15" s="12">
        <v>0</v>
      </c>
      <c r="H15" s="88">
        <f t="shared" si="0"/>
        <v>0</v>
      </c>
      <c r="I15" s="58">
        <v>1</v>
      </c>
      <c r="O15" s="73" t="s">
        <v>195</v>
      </c>
      <c r="P15" s="82">
        <f>IF(Q15=0,0,R15/Q15)</f>
        <v>-3.6500000000000004</v>
      </c>
      <c r="Q15" s="76">
        <v>2</v>
      </c>
      <c r="R15" s="67">
        <v>-7.3000000000000007</v>
      </c>
    </row>
    <row r="16" spans="1:18" x14ac:dyDescent="0.4">
      <c r="A16" s="22" t="s">
        <v>121</v>
      </c>
      <c r="B16" s="15">
        <v>4</v>
      </c>
      <c r="C16" s="10">
        <f>IF(B$3=0,0,B16/B$3)</f>
        <v>0.22222222222222221</v>
      </c>
      <c r="E16" s="27" t="s">
        <v>75</v>
      </c>
      <c r="F16" s="24" t="s">
        <v>30</v>
      </c>
      <c r="G16" s="12">
        <v>0</v>
      </c>
      <c r="H16" s="88">
        <f t="shared" si="0"/>
        <v>0</v>
      </c>
      <c r="I16" s="58">
        <v>2</v>
      </c>
      <c r="O16" s="74" t="s">
        <v>211</v>
      </c>
      <c r="P16" s="83">
        <f>IF(Q16=0,0,R16/Q16)</f>
        <v>-16.2</v>
      </c>
      <c r="Q16" s="77">
        <v>1</v>
      </c>
      <c r="R16" s="68">
        <v>-16.2</v>
      </c>
    </row>
    <row r="17" spans="1:18" x14ac:dyDescent="0.4">
      <c r="A17" s="19" t="s">
        <v>118</v>
      </c>
      <c r="B17" s="12">
        <v>5</v>
      </c>
      <c r="C17" s="6">
        <f>IF(B$3=0,0,B17/B$3)</f>
        <v>0.27777777777777779</v>
      </c>
      <c r="E17" s="27" t="s">
        <v>76</v>
      </c>
      <c r="F17" s="24" t="s">
        <v>31</v>
      </c>
      <c r="G17" s="12">
        <v>0</v>
      </c>
      <c r="H17" s="88">
        <f t="shared" si="0"/>
        <v>0</v>
      </c>
      <c r="I17" s="58">
        <v>1</v>
      </c>
      <c r="O17" s="74" t="s">
        <v>192</v>
      </c>
      <c r="P17" s="83">
        <f>IF(Q17=0,0,R17/Q17)</f>
        <v>-17</v>
      </c>
      <c r="Q17" s="77">
        <v>1</v>
      </c>
      <c r="R17" s="68">
        <v>-17</v>
      </c>
    </row>
    <row r="18" spans="1:18" x14ac:dyDescent="0.4">
      <c r="A18" s="18" t="s">
        <v>123</v>
      </c>
      <c r="B18" s="11">
        <f>B24</f>
        <v>1</v>
      </c>
      <c r="C18" s="5">
        <f>IF(B$16=0,0,B18/B$16)</f>
        <v>0.25</v>
      </c>
      <c r="E18" s="27" t="s">
        <v>77</v>
      </c>
      <c r="F18" s="24" t="s">
        <v>32</v>
      </c>
      <c r="G18" s="12">
        <v>0</v>
      </c>
      <c r="H18" s="88">
        <f t="shared" si="0"/>
        <v>0</v>
      </c>
      <c r="I18" s="58">
        <v>2</v>
      </c>
    </row>
    <row r="19" spans="1:18" x14ac:dyDescent="0.4">
      <c r="A19" s="18" t="s">
        <v>124</v>
      </c>
      <c r="B19" s="11">
        <f>B25</f>
        <v>2</v>
      </c>
      <c r="C19" s="5">
        <f>IF(B$17=0,0,B19/B$17)</f>
        <v>0.4</v>
      </c>
      <c r="E19" s="27" t="s">
        <v>79</v>
      </c>
      <c r="F19" s="24" t="s">
        <v>34</v>
      </c>
      <c r="G19" s="12">
        <v>0</v>
      </c>
      <c r="H19" s="88">
        <f t="shared" si="0"/>
        <v>0</v>
      </c>
      <c r="I19" s="58">
        <v>3</v>
      </c>
    </row>
    <row r="20" spans="1:18" x14ac:dyDescent="0.4">
      <c r="A20" s="18" t="s">
        <v>10</v>
      </c>
      <c r="B20" s="11">
        <f>B23+B22</f>
        <v>4</v>
      </c>
      <c r="C20" s="5">
        <f>IF(B$3=0,0,B20/B$3)</f>
        <v>0.22222222222222221</v>
      </c>
      <c r="E20" s="27" t="s">
        <v>80</v>
      </c>
      <c r="F20" s="24" t="s">
        <v>35</v>
      </c>
      <c r="G20" s="12">
        <v>0</v>
      </c>
      <c r="H20" s="88">
        <f t="shared" si="0"/>
        <v>0</v>
      </c>
      <c r="I20" s="58">
        <v>1</v>
      </c>
    </row>
    <row r="21" spans="1:18" x14ac:dyDescent="0.4">
      <c r="A21" s="19" t="s">
        <v>13</v>
      </c>
      <c r="B21" s="12">
        <v>3</v>
      </c>
      <c r="C21" s="6">
        <f>IF(B$3=0,0,B21/B$3)</f>
        <v>0.16666666666666666</v>
      </c>
      <c r="E21" s="27" t="s">
        <v>81</v>
      </c>
      <c r="F21" s="24" t="s">
        <v>36</v>
      </c>
      <c r="G21" s="12">
        <v>0</v>
      </c>
      <c r="H21" s="88">
        <f t="shared" si="0"/>
        <v>0</v>
      </c>
      <c r="I21" s="58">
        <v>4</v>
      </c>
    </row>
    <row r="22" spans="1:18" x14ac:dyDescent="0.4">
      <c r="A22" s="19" t="s">
        <v>12</v>
      </c>
      <c r="B22" s="12">
        <v>4</v>
      </c>
      <c r="C22" s="6">
        <f>IF(B$20=0,0,B22/B$20)</f>
        <v>1</v>
      </c>
      <c r="E22" s="27" t="s">
        <v>82</v>
      </c>
      <c r="F22" s="24" t="s">
        <v>37</v>
      </c>
      <c r="G22" s="12">
        <v>0</v>
      </c>
      <c r="H22" s="88">
        <f t="shared" si="0"/>
        <v>0</v>
      </c>
      <c r="I22" s="58">
        <v>1</v>
      </c>
    </row>
    <row r="23" spans="1:18" x14ac:dyDescent="0.4">
      <c r="A23" s="19" t="s">
        <v>11</v>
      </c>
      <c r="B23" s="12">
        <v>0</v>
      </c>
      <c r="C23" s="6">
        <f>IF(B$20=0,0,B23/B$20)</f>
        <v>0</v>
      </c>
      <c r="E23" s="27" t="s">
        <v>83</v>
      </c>
      <c r="F23" s="24" t="s">
        <v>38</v>
      </c>
      <c r="G23" s="12">
        <v>0</v>
      </c>
      <c r="H23" s="88">
        <f t="shared" si="0"/>
        <v>0</v>
      </c>
      <c r="I23" s="58">
        <v>5</v>
      </c>
    </row>
    <row r="24" spans="1:18" x14ac:dyDescent="0.4">
      <c r="A24" s="19" t="s">
        <v>183</v>
      </c>
      <c r="B24" s="12">
        <v>1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 t="shared" si="0"/>
        <v>0</v>
      </c>
      <c r="I24" s="58">
        <v>1</v>
      </c>
    </row>
    <row r="25" spans="1:18" x14ac:dyDescent="0.4">
      <c r="A25" s="19" t="s">
        <v>181</v>
      </c>
      <c r="B25" s="12">
        <v>2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 t="shared" si="0"/>
        <v>0</v>
      </c>
      <c r="I25" s="58">
        <v>2</v>
      </c>
    </row>
    <row r="26" spans="1:18" x14ac:dyDescent="0.4">
      <c r="A26" s="19" t="s">
        <v>182</v>
      </c>
      <c r="B26" s="12">
        <v>1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 t="shared" si="0"/>
        <v>0</v>
      </c>
      <c r="I26" s="58">
        <v>7</v>
      </c>
    </row>
    <row r="27" spans="1:18" x14ac:dyDescent="0.4">
      <c r="A27" s="19" t="s">
        <v>5</v>
      </c>
      <c r="B27" s="16">
        <f>IF(B$20=0,0,C27/B$20)</f>
        <v>10925</v>
      </c>
      <c r="C27" s="8">
        <v>43700</v>
      </c>
      <c r="E27" s="27" t="s">
        <v>87</v>
      </c>
      <c r="F27" s="24" t="s">
        <v>42</v>
      </c>
      <c r="G27" s="12">
        <v>0</v>
      </c>
      <c r="H27" s="88">
        <f t="shared" si="0"/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9850</v>
      </c>
      <c r="C28" s="96">
        <v>19700</v>
      </c>
      <c r="E28" s="27" t="s">
        <v>88</v>
      </c>
      <c r="F28" s="24" t="s">
        <v>43</v>
      </c>
      <c r="G28" s="12">
        <v>0</v>
      </c>
      <c r="H28" s="88">
        <f t="shared" si="0"/>
        <v>0</v>
      </c>
      <c r="I28" s="58">
        <v>1</v>
      </c>
    </row>
    <row r="29" spans="1:18" x14ac:dyDescent="0.4">
      <c r="A29" s="20" t="s">
        <v>166</v>
      </c>
      <c r="B29" s="95">
        <f>IF(B$19=0,0,C29/B$19)</f>
        <v>12000</v>
      </c>
      <c r="C29" s="96">
        <v>24000</v>
      </c>
      <c r="E29" s="27" t="s">
        <v>90</v>
      </c>
      <c r="F29" s="24" t="s">
        <v>45</v>
      </c>
      <c r="G29" s="12">
        <v>0</v>
      </c>
      <c r="H29" s="88">
        <f t="shared" si="0"/>
        <v>0</v>
      </c>
      <c r="I29" s="58">
        <v>1</v>
      </c>
    </row>
    <row r="30" spans="1:18" x14ac:dyDescent="0.4">
      <c r="A30" s="20" t="s">
        <v>164</v>
      </c>
      <c r="B30" s="95">
        <f>IF(B$21=0,0,C30/B$21)</f>
        <v>-10300</v>
      </c>
      <c r="C30" s="96">
        <v>-30900</v>
      </c>
      <c r="E30" s="27" t="s">
        <v>91</v>
      </c>
      <c r="F30" s="24" t="s">
        <v>46</v>
      </c>
      <c r="G30" s="12">
        <v>0</v>
      </c>
      <c r="H30" s="88">
        <f t="shared" si="0"/>
        <v>0</v>
      </c>
      <c r="I30" s="58">
        <v>3</v>
      </c>
    </row>
    <row r="31" spans="1:18" x14ac:dyDescent="0.4">
      <c r="A31" s="19" t="s">
        <v>157</v>
      </c>
      <c r="B31" s="12">
        <v>2</v>
      </c>
      <c r="C31" s="90">
        <v>1</v>
      </c>
      <c r="E31" s="27" t="s">
        <v>92</v>
      </c>
      <c r="F31" s="24" t="s">
        <v>47</v>
      </c>
      <c r="G31" s="12">
        <v>0</v>
      </c>
      <c r="H31" s="88">
        <f t="shared" si="0"/>
        <v>0</v>
      </c>
      <c r="I31" s="58">
        <v>2</v>
      </c>
    </row>
    <row r="32" spans="1:18" x14ac:dyDescent="0.4">
      <c r="A32" s="19" t="s">
        <v>158</v>
      </c>
      <c r="B32" s="12">
        <v>5</v>
      </c>
      <c r="C32" s="90">
        <v>3</v>
      </c>
      <c r="E32" s="27" t="s">
        <v>93</v>
      </c>
      <c r="F32" s="24" t="s">
        <v>48</v>
      </c>
      <c r="G32" s="12">
        <v>0</v>
      </c>
      <c r="H32" s="88">
        <f t="shared" si="0"/>
        <v>0</v>
      </c>
      <c r="I32" s="58">
        <v>1</v>
      </c>
    </row>
    <row r="33" spans="1:9" x14ac:dyDescent="0.4">
      <c r="A33" s="54" t="s">
        <v>136</v>
      </c>
      <c r="B33" s="127">
        <v>3</v>
      </c>
      <c r="C33" s="128"/>
      <c r="E33" s="27" t="s">
        <v>94</v>
      </c>
      <c r="F33" s="24" t="s">
        <v>49</v>
      </c>
      <c r="G33" s="12">
        <v>0</v>
      </c>
      <c r="H33" s="88">
        <f t="shared" si="0"/>
        <v>0</v>
      </c>
      <c r="I33" s="58">
        <v>1</v>
      </c>
    </row>
    <row r="34" spans="1:9" x14ac:dyDescent="0.4">
      <c r="A34" s="22" t="s">
        <v>180</v>
      </c>
      <c r="B34" s="129">
        <v>39000</v>
      </c>
      <c r="C34" s="130"/>
      <c r="E34" s="27" t="s">
        <v>95</v>
      </c>
      <c r="F34" s="24" t="s">
        <v>50</v>
      </c>
      <c r="G34" s="12">
        <v>0</v>
      </c>
      <c r="H34" s="88">
        <f t="shared" ref="H34:H52" si="3"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 t="shared" si="3"/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 t="shared" si="3"/>
        <v>0</v>
      </c>
      <c r="I36" s="58">
        <v>1</v>
      </c>
    </row>
    <row r="37" spans="1:9" x14ac:dyDescent="0.4">
      <c r="A37" s="54" t="s">
        <v>171</v>
      </c>
      <c r="B37" s="123">
        <v>0</v>
      </c>
      <c r="C37" s="98">
        <f t="shared" ref="C37:C49" si="4">IF(B$20=0,0,B37/B$20)</f>
        <v>0</v>
      </c>
      <c r="E37" s="27" t="s">
        <v>98</v>
      </c>
      <c r="F37" s="24" t="s">
        <v>53</v>
      </c>
      <c r="G37" s="12">
        <v>0</v>
      </c>
      <c r="H37" s="88">
        <f t="shared" si="3"/>
        <v>0</v>
      </c>
      <c r="I37" s="58">
        <v>1</v>
      </c>
    </row>
    <row r="38" spans="1:9" x14ac:dyDescent="0.4">
      <c r="A38" s="19" t="s">
        <v>167</v>
      </c>
      <c r="B38" s="12">
        <v>0</v>
      </c>
      <c r="C38" s="6">
        <f t="shared" si="4"/>
        <v>0</v>
      </c>
      <c r="E38" s="27" t="s">
        <v>99</v>
      </c>
      <c r="F38" s="24" t="s">
        <v>54</v>
      </c>
      <c r="G38" s="12">
        <v>0</v>
      </c>
      <c r="H38" s="88">
        <f t="shared" si="3"/>
        <v>0</v>
      </c>
      <c r="I38" s="58">
        <v>1</v>
      </c>
    </row>
    <row r="39" spans="1:9" x14ac:dyDescent="0.4">
      <c r="A39" s="19" t="s">
        <v>168</v>
      </c>
      <c r="B39" s="124">
        <v>0</v>
      </c>
      <c r="C39" s="6">
        <f t="shared" si="4"/>
        <v>0</v>
      </c>
      <c r="E39" s="27" t="s">
        <v>100</v>
      </c>
      <c r="F39" s="24" t="s">
        <v>55</v>
      </c>
      <c r="G39" s="12">
        <v>0</v>
      </c>
      <c r="H39" s="88">
        <f t="shared" si="3"/>
        <v>0</v>
      </c>
      <c r="I39" s="58">
        <v>1</v>
      </c>
    </row>
    <row r="40" spans="1:9" x14ac:dyDescent="0.4">
      <c r="A40" s="19" t="s">
        <v>169</v>
      </c>
      <c r="B40" s="124">
        <v>2</v>
      </c>
      <c r="C40" s="6">
        <f t="shared" si="4"/>
        <v>0.5</v>
      </c>
      <c r="E40" s="27" t="s">
        <v>101</v>
      </c>
      <c r="F40" s="24" t="s">
        <v>56</v>
      </c>
      <c r="G40" s="12">
        <v>0</v>
      </c>
      <c r="H40" s="88">
        <f t="shared" si="3"/>
        <v>0</v>
      </c>
      <c r="I40" s="58">
        <v>1</v>
      </c>
    </row>
    <row r="41" spans="1:9" x14ac:dyDescent="0.4">
      <c r="A41" s="19" t="s">
        <v>170</v>
      </c>
      <c r="B41" s="124">
        <v>0</v>
      </c>
      <c r="C41" s="6">
        <f t="shared" si="4"/>
        <v>0</v>
      </c>
      <c r="E41" s="27" t="s">
        <v>102</v>
      </c>
      <c r="F41" s="24" t="s">
        <v>57</v>
      </c>
      <c r="G41" s="12">
        <v>0</v>
      </c>
      <c r="H41" s="88">
        <f t="shared" si="3"/>
        <v>0</v>
      </c>
      <c r="I41" s="58">
        <v>1</v>
      </c>
    </row>
    <row r="42" spans="1:9" x14ac:dyDescent="0.4">
      <c r="A42" s="19" t="s">
        <v>172</v>
      </c>
      <c r="B42" s="124">
        <v>2</v>
      </c>
      <c r="C42" s="6">
        <f t="shared" si="4"/>
        <v>0.5</v>
      </c>
      <c r="E42" s="27" t="s">
        <v>103</v>
      </c>
      <c r="F42" s="24" t="s">
        <v>58</v>
      </c>
      <c r="G42" s="12">
        <v>0</v>
      </c>
      <c r="H42" s="88">
        <f t="shared" si="3"/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4"/>
        <v>0</v>
      </c>
      <c r="E43" s="27" t="s">
        <v>104</v>
      </c>
      <c r="F43" s="24" t="s">
        <v>59</v>
      </c>
      <c r="G43" s="12">
        <v>0</v>
      </c>
      <c r="H43" s="88">
        <f t="shared" si="3"/>
        <v>0</v>
      </c>
      <c r="I43" s="58">
        <v>1</v>
      </c>
    </row>
    <row r="44" spans="1:9" x14ac:dyDescent="0.4">
      <c r="A44" s="19" t="s">
        <v>174</v>
      </c>
      <c r="B44" s="124">
        <v>0</v>
      </c>
      <c r="C44" s="6">
        <f t="shared" si="4"/>
        <v>0</v>
      </c>
      <c r="E44" s="27" t="s">
        <v>105</v>
      </c>
      <c r="F44" s="24" t="s">
        <v>112</v>
      </c>
      <c r="G44" s="12">
        <v>0</v>
      </c>
      <c r="H44" s="88">
        <f t="shared" si="3"/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4"/>
        <v>0</v>
      </c>
      <c r="E45" s="27" t="s">
        <v>106</v>
      </c>
      <c r="F45" s="24" t="s">
        <v>113</v>
      </c>
      <c r="G45" s="12">
        <v>0</v>
      </c>
      <c r="H45" s="88">
        <f t="shared" si="3"/>
        <v>0</v>
      </c>
      <c r="I45" s="58">
        <v>1</v>
      </c>
    </row>
    <row r="46" spans="1:9" x14ac:dyDescent="0.4">
      <c r="A46" s="19" t="s">
        <v>176</v>
      </c>
      <c r="B46" s="124">
        <v>0</v>
      </c>
      <c r="C46" s="6">
        <f t="shared" si="4"/>
        <v>0</v>
      </c>
      <c r="E46" s="27" t="s">
        <v>107</v>
      </c>
      <c r="F46" s="24" t="s">
        <v>114</v>
      </c>
      <c r="G46" s="12">
        <v>0</v>
      </c>
      <c r="H46" s="88">
        <f t="shared" si="3"/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4"/>
        <v>0</v>
      </c>
      <c r="E47" s="27" t="s">
        <v>108</v>
      </c>
      <c r="F47" s="24" t="s">
        <v>60</v>
      </c>
      <c r="G47" s="12">
        <v>0</v>
      </c>
      <c r="H47" s="88">
        <f t="shared" si="3"/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4"/>
        <v>0</v>
      </c>
      <c r="E48" s="27" t="s">
        <v>109</v>
      </c>
      <c r="F48" s="24" t="s">
        <v>61</v>
      </c>
      <c r="G48" s="12">
        <v>0</v>
      </c>
      <c r="H48" s="88">
        <f t="shared" si="3"/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4"/>
        <v>0</v>
      </c>
      <c r="E49" s="27" t="s">
        <v>110</v>
      </c>
      <c r="F49" s="24" t="s">
        <v>62</v>
      </c>
      <c r="G49" s="12">
        <v>0</v>
      </c>
      <c r="H49" s="88">
        <f t="shared" si="3"/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 t="shared" si="3"/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 t="shared" si="3"/>
        <v>0</v>
      </c>
      <c r="I51" s="94">
        <v>3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>
        <v>1</v>
      </c>
    </row>
  </sheetData>
  <sortState xmlns:xlrd2="http://schemas.microsoft.com/office/spreadsheetml/2017/richdata2" ref="O15:R17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8A980-FA13-4B78-A007-821A31FFBB1B}">
  <sheetPr codeName="Sheet26"/>
  <dimension ref="A1:Q5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221</v>
      </c>
      <c r="B1" s="34" t="s">
        <v>221</v>
      </c>
      <c r="C1" s="34" t="s">
        <v>221</v>
      </c>
      <c r="D1" s="35" t="s">
        <v>221</v>
      </c>
      <c r="E1" s="34" t="s">
        <v>221</v>
      </c>
      <c r="F1" s="34" t="s">
        <v>221</v>
      </c>
      <c r="G1" s="34" t="s">
        <v>221</v>
      </c>
      <c r="H1" s="34" t="s">
        <v>221</v>
      </c>
      <c r="I1" s="34" t="s">
        <v>221</v>
      </c>
      <c r="J1" s="34" t="s">
        <v>221</v>
      </c>
      <c r="K1" s="34" t="s">
        <v>221</v>
      </c>
      <c r="L1" s="34" t="s">
        <v>221</v>
      </c>
      <c r="M1" s="34" t="s">
        <v>221</v>
      </c>
      <c r="N1" s="34" t="s">
        <v>221</v>
      </c>
      <c r="O1" s="34" t="s">
        <v>221</v>
      </c>
      <c r="P1" s="34" t="s">
        <v>221</v>
      </c>
      <c r="Q1" s="34" t="s">
        <v>221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4</v>
      </c>
      <c r="C4" s="30">
        <v>4</v>
      </c>
      <c r="D4" s="35">
        <v>2</v>
      </c>
      <c r="E4" s="31">
        <v>0</v>
      </c>
      <c r="F4" s="31">
        <v>0</v>
      </c>
      <c r="G4" s="31">
        <v>0.3</v>
      </c>
      <c r="H4" s="31">
        <v>0.2</v>
      </c>
      <c r="I4" s="32">
        <v>10566.666666666666</v>
      </c>
      <c r="J4" s="32">
        <v>-12850</v>
      </c>
      <c r="K4" s="31">
        <v>0</v>
      </c>
      <c r="L4" s="31">
        <v>0.3</v>
      </c>
      <c r="M4" s="31">
        <v>0.3</v>
      </c>
      <c r="N4" s="31">
        <v>0.33333333333333331</v>
      </c>
      <c r="O4" s="31">
        <v>0.33333333333333331</v>
      </c>
      <c r="P4" s="31">
        <v>1</v>
      </c>
    </row>
    <row r="5" spans="1:17" x14ac:dyDescent="0.4">
      <c r="A5" s="33">
        <v>2</v>
      </c>
      <c r="B5" s="30">
        <v>-13.5</v>
      </c>
      <c r="C5" s="30">
        <v>-6.75</v>
      </c>
      <c r="D5" s="35">
        <v>2.5</v>
      </c>
      <c r="E5" s="31">
        <v>0</v>
      </c>
      <c r="F5" s="31">
        <v>0.5</v>
      </c>
      <c r="G5" s="31">
        <v>0.22222222222222221</v>
      </c>
      <c r="H5" s="31">
        <v>0.16666666666666666</v>
      </c>
      <c r="I5" s="32">
        <v>10925</v>
      </c>
      <c r="J5" s="32">
        <v>-10300</v>
      </c>
      <c r="K5" s="31">
        <v>0</v>
      </c>
      <c r="L5" s="31">
        <v>0.22222222222222221</v>
      </c>
      <c r="M5" s="31">
        <v>0.27777777777777779</v>
      </c>
      <c r="N5" s="31">
        <v>0.25</v>
      </c>
      <c r="O5" s="31">
        <v>0.4</v>
      </c>
      <c r="P5" s="31">
        <v>1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09363-50DE-4E8C-B600-2171ACDBCB12}">
  <sheetPr codeName="Sheet24"/>
  <dimension ref="A1:Q7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195</v>
      </c>
      <c r="B1" s="34" t="s">
        <v>195</v>
      </c>
      <c r="C1" s="34" t="s">
        <v>195</v>
      </c>
      <c r="D1" s="35" t="s">
        <v>195</v>
      </c>
      <c r="E1" s="34" t="s">
        <v>195</v>
      </c>
      <c r="F1" s="34" t="s">
        <v>195</v>
      </c>
      <c r="G1" s="34" t="s">
        <v>195</v>
      </c>
      <c r="H1" s="34" t="s">
        <v>195</v>
      </c>
      <c r="I1" s="34" t="s">
        <v>195</v>
      </c>
      <c r="J1" s="34" t="s">
        <v>195</v>
      </c>
      <c r="K1" s="34" t="s">
        <v>195</v>
      </c>
      <c r="L1" s="34" t="s">
        <v>195</v>
      </c>
      <c r="M1" s="34" t="s">
        <v>195</v>
      </c>
      <c r="N1" s="34" t="s">
        <v>195</v>
      </c>
      <c r="O1" s="34" t="s">
        <v>195</v>
      </c>
      <c r="P1" s="34" t="s">
        <v>195</v>
      </c>
      <c r="Q1" s="34" t="s">
        <v>195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-24.2</v>
      </c>
      <c r="C4" s="30">
        <v>-24.2</v>
      </c>
      <c r="D4" s="35">
        <v>3</v>
      </c>
      <c r="E4" s="31">
        <v>0</v>
      </c>
      <c r="F4" s="31">
        <v>1</v>
      </c>
      <c r="G4" s="31">
        <v>0.2</v>
      </c>
      <c r="H4" s="31">
        <v>0.1</v>
      </c>
      <c r="I4" s="32">
        <v>4400</v>
      </c>
      <c r="J4" s="32">
        <v>-1300</v>
      </c>
      <c r="K4" s="31">
        <v>0</v>
      </c>
      <c r="L4" s="31">
        <v>0.1</v>
      </c>
      <c r="M4" s="31">
        <v>0</v>
      </c>
      <c r="N4" s="31">
        <v>1</v>
      </c>
      <c r="O4" s="31">
        <v>0</v>
      </c>
      <c r="P4" s="31">
        <v>1</v>
      </c>
    </row>
    <row r="5" spans="1:17" x14ac:dyDescent="0.4">
      <c r="A5" s="33">
        <v>2</v>
      </c>
      <c r="B5" s="30">
        <v>-6.1999999999999993</v>
      </c>
      <c r="C5" s="30">
        <v>-3.0999999999999996</v>
      </c>
      <c r="D5" s="35">
        <v>2</v>
      </c>
      <c r="E5" s="31">
        <v>0.5</v>
      </c>
      <c r="F5" s="31">
        <v>0.5</v>
      </c>
      <c r="G5" s="31">
        <v>0.27777777777777779</v>
      </c>
      <c r="H5" s="31">
        <v>0.16666666666666666</v>
      </c>
      <c r="I5" s="32">
        <v>7460</v>
      </c>
      <c r="J5" s="32">
        <v>-5766.666666666667</v>
      </c>
      <c r="K5" s="31">
        <v>0</v>
      </c>
      <c r="L5" s="31">
        <v>0.22222222222222221</v>
      </c>
      <c r="M5" s="31">
        <v>0</v>
      </c>
      <c r="N5" s="31">
        <v>1</v>
      </c>
      <c r="O5" s="31">
        <v>0</v>
      </c>
      <c r="P5" s="31">
        <v>0.8</v>
      </c>
    </row>
    <row r="6" spans="1:17" x14ac:dyDescent="0.4">
      <c r="A6" s="33">
        <v>3</v>
      </c>
      <c r="B6" s="30">
        <v>18.100000000000001</v>
      </c>
      <c r="C6" s="30">
        <v>6.0333333333333341</v>
      </c>
      <c r="D6" s="35">
        <v>1.6666666666666667</v>
      </c>
      <c r="E6" s="31">
        <v>0.66666666666666663</v>
      </c>
      <c r="F6" s="31">
        <v>0.33333333333333331</v>
      </c>
      <c r="G6" s="31">
        <v>0.29166666666666669</v>
      </c>
      <c r="H6" s="31">
        <v>0.20833333333333334</v>
      </c>
      <c r="I6" s="32">
        <v>9314.2857142857138</v>
      </c>
      <c r="J6" s="32">
        <v>-6380</v>
      </c>
      <c r="K6" s="31">
        <v>0</v>
      </c>
      <c r="L6" s="31">
        <v>0.25</v>
      </c>
      <c r="M6" s="31">
        <v>8.3333333333333329E-2</v>
      </c>
      <c r="N6" s="31">
        <v>0.83333333333333337</v>
      </c>
      <c r="O6" s="31">
        <v>0.5</v>
      </c>
      <c r="P6" s="31">
        <v>0.7142857142857143</v>
      </c>
    </row>
    <row r="7" spans="1:17" x14ac:dyDescent="0.4">
      <c r="A7" s="33">
        <v>4</v>
      </c>
      <c r="B7" s="30">
        <v>-14.699999999999996</v>
      </c>
      <c r="C7" s="30">
        <v>-3.6749999999999989</v>
      </c>
      <c r="D7" s="35">
        <v>2</v>
      </c>
      <c r="E7" s="31">
        <v>0.5</v>
      </c>
      <c r="F7" s="31">
        <v>0.5</v>
      </c>
      <c r="G7" s="31">
        <v>0.25</v>
      </c>
      <c r="H7" s="31">
        <v>0.1388888888888889</v>
      </c>
      <c r="I7" s="32">
        <v>9022.2222222222226</v>
      </c>
      <c r="J7" s="32">
        <v>-6380</v>
      </c>
      <c r="K7" s="31">
        <v>0</v>
      </c>
      <c r="L7" s="31">
        <v>0.25</v>
      </c>
      <c r="M7" s="31">
        <v>5.5555555555555552E-2</v>
      </c>
      <c r="N7" s="31">
        <v>0.77777777777777779</v>
      </c>
      <c r="O7" s="31">
        <v>0.5</v>
      </c>
      <c r="P7" s="31">
        <v>0.77777777777777779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1496C-455E-47CC-849A-2353F60A9E3C}">
  <sheetPr codeName="Sheet22"/>
  <dimension ref="A1:Q7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193</v>
      </c>
      <c r="B1" s="34" t="s">
        <v>193</v>
      </c>
      <c r="C1" s="34" t="s">
        <v>193</v>
      </c>
      <c r="D1" s="35" t="s">
        <v>193</v>
      </c>
      <c r="E1" s="34" t="s">
        <v>193</v>
      </c>
      <c r="F1" s="34" t="s">
        <v>193</v>
      </c>
      <c r="G1" s="34" t="s">
        <v>193</v>
      </c>
      <c r="H1" s="34" t="s">
        <v>193</v>
      </c>
      <c r="I1" s="34" t="s">
        <v>193</v>
      </c>
      <c r="J1" s="34" t="s">
        <v>193</v>
      </c>
      <c r="K1" s="34" t="s">
        <v>193</v>
      </c>
      <c r="L1" s="34" t="s">
        <v>193</v>
      </c>
      <c r="M1" s="34" t="s">
        <v>193</v>
      </c>
      <c r="N1" s="34" t="s">
        <v>193</v>
      </c>
      <c r="O1" s="34" t="s">
        <v>193</v>
      </c>
      <c r="P1" s="34" t="s">
        <v>193</v>
      </c>
      <c r="Q1" s="34" t="s">
        <v>193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-38</v>
      </c>
      <c r="C4" s="30">
        <v>-38</v>
      </c>
      <c r="D4" s="35">
        <v>3</v>
      </c>
      <c r="E4" s="31">
        <v>0</v>
      </c>
      <c r="F4" s="31">
        <v>1</v>
      </c>
      <c r="G4" s="31">
        <v>7.1428571428571425E-2</v>
      </c>
      <c r="H4" s="31">
        <v>0.21428571428571427</v>
      </c>
      <c r="I4" s="32">
        <v>4800</v>
      </c>
      <c r="J4" s="32">
        <v>-6600</v>
      </c>
      <c r="K4" s="31">
        <v>0</v>
      </c>
      <c r="L4" s="31">
        <v>0.2857142857142857</v>
      </c>
      <c r="M4" s="31">
        <v>0.14285714285714285</v>
      </c>
      <c r="N4" s="31">
        <v>0.25</v>
      </c>
      <c r="O4" s="31">
        <v>0</v>
      </c>
      <c r="P4" s="31">
        <v>0</v>
      </c>
    </row>
    <row r="5" spans="1:17" x14ac:dyDescent="0.4">
      <c r="A5" s="33">
        <v>2</v>
      </c>
      <c r="B5" s="30">
        <v>-18</v>
      </c>
      <c r="C5" s="30">
        <v>-9</v>
      </c>
      <c r="D5" s="35">
        <v>2</v>
      </c>
      <c r="E5" s="31">
        <v>0.5</v>
      </c>
      <c r="F5" s="31">
        <v>0.5</v>
      </c>
      <c r="G5" s="31">
        <v>0.17647058823529413</v>
      </c>
      <c r="H5" s="31">
        <v>0.23529411764705882</v>
      </c>
      <c r="I5" s="32">
        <v>7266.666666666667</v>
      </c>
      <c r="J5" s="32">
        <v>-6950</v>
      </c>
      <c r="K5" s="31">
        <v>0</v>
      </c>
      <c r="L5" s="31">
        <v>0.23529411764705882</v>
      </c>
      <c r="M5" s="31">
        <v>0.23529411764705882</v>
      </c>
      <c r="N5" s="31">
        <v>0.25</v>
      </c>
      <c r="O5" s="31">
        <v>0.5</v>
      </c>
      <c r="P5" s="31">
        <v>0</v>
      </c>
    </row>
    <row r="6" spans="1:17" x14ac:dyDescent="0.4">
      <c r="A6" s="33">
        <v>3</v>
      </c>
      <c r="B6" s="30">
        <v>-14.9</v>
      </c>
      <c r="C6" s="30">
        <v>-4.9666666666666668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0.17857142857142858</v>
      </c>
      <c r="I6" s="32">
        <v>7671.4285714285716</v>
      </c>
      <c r="J6" s="32">
        <v>-9160</v>
      </c>
      <c r="K6" s="31">
        <v>0</v>
      </c>
      <c r="L6" s="31">
        <v>0.25</v>
      </c>
      <c r="M6" s="31">
        <v>0.2857142857142857</v>
      </c>
      <c r="N6" s="31">
        <v>0.14285714285714285</v>
      </c>
      <c r="O6" s="31">
        <v>0.5</v>
      </c>
      <c r="P6" s="31">
        <v>0.14285714285714285</v>
      </c>
    </row>
    <row r="7" spans="1:17" x14ac:dyDescent="0.4">
      <c r="A7" s="33">
        <v>4</v>
      </c>
      <c r="B7" s="30">
        <v>-51.699999999999996</v>
      </c>
      <c r="C7" s="30">
        <v>-12.924999999999999</v>
      </c>
      <c r="D7" s="35">
        <v>2.25</v>
      </c>
      <c r="E7" s="31">
        <v>0.25</v>
      </c>
      <c r="F7" s="31">
        <v>0.5</v>
      </c>
      <c r="G7" s="31">
        <v>0.22857142857142856</v>
      </c>
      <c r="H7" s="31">
        <v>0.22857142857142856</v>
      </c>
      <c r="I7" s="32">
        <v>8212.5</v>
      </c>
      <c r="J7" s="32">
        <v>-9387.5</v>
      </c>
      <c r="K7" s="31">
        <v>0</v>
      </c>
      <c r="L7" s="31">
        <v>0.25714285714285712</v>
      </c>
      <c r="M7" s="31">
        <v>0.2857142857142857</v>
      </c>
      <c r="N7" s="31">
        <v>0.22222222222222221</v>
      </c>
      <c r="O7" s="31">
        <v>0.4</v>
      </c>
      <c r="P7" s="31">
        <v>0.25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C21DBB-0BCF-4B8F-B8D6-6CFF10D632B0}">
  <sheetPr codeName="Sheet20"/>
  <dimension ref="A1:Q1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216</v>
      </c>
      <c r="B1" s="34" t="s">
        <v>216</v>
      </c>
      <c r="C1" s="34" t="s">
        <v>216</v>
      </c>
      <c r="D1" s="35" t="s">
        <v>216</v>
      </c>
      <c r="E1" s="34" t="s">
        <v>216</v>
      </c>
      <c r="F1" s="34" t="s">
        <v>216</v>
      </c>
      <c r="G1" s="34" t="s">
        <v>216</v>
      </c>
      <c r="H1" s="34" t="s">
        <v>216</v>
      </c>
      <c r="I1" s="34" t="s">
        <v>216</v>
      </c>
      <c r="J1" s="34" t="s">
        <v>216</v>
      </c>
      <c r="K1" s="34" t="s">
        <v>216</v>
      </c>
      <c r="L1" s="34" t="s">
        <v>216</v>
      </c>
      <c r="M1" s="34" t="s">
        <v>216</v>
      </c>
      <c r="N1" s="34" t="s">
        <v>216</v>
      </c>
      <c r="O1" s="34" t="s">
        <v>216</v>
      </c>
      <c r="P1" s="34" t="s">
        <v>216</v>
      </c>
      <c r="Q1" s="34" t="s">
        <v>216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42.4</v>
      </c>
      <c r="C4" s="30">
        <v>42.4</v>
      </c>
      <c r="D4" s="35">
        <v>1</v>
      </c>
      <c r="E4" s="31">
        <v>1</v>
      </c>
      <c r="F4" s="31">
        <v>0</v>
      </c>
      <c r="G4" s="31">
        <v>0.35714285714285715</v>
      </c>
      <c r="H4" s="31">
        <v>7.1428571428571425E-2</v>
      </c>
      <c r="I4" s="32">
        <v>8980</v>
      </c>
      <c r="J4" s="32">
        <v>-12000</v>
      </c>
      <c r="K4" s="31">
        <v>0</v>
      </c>
      <c r="L4" s="31">
        <v>0.42857142857142855</v>
      </c>
      <c r="M4" s="31">
        <v>0.21428571428571427</v>
      </c>
      <c r="N4" s="31">
        <v>0.33333333333333331</v>
      </c>
      <c r="O4" s="31">
        <v>1</v>
      </c>
      <c r="P4" s="31">
        <v>0.2</v>
      </c>
    </row>
    <row r="5" spans="1:17" x14ac:dyDescent="0.4">
      <c r="A5" s="33">
        <v>2</v>
      </c>
      <c r="B5" s="30">
        <v>50.4</v>
      </c>
      <c r="C5" s="30">
        <v>25.2</v>
      </c>
      <c r="D5" s="35">
        <v>1.5</v>
      </c>
      <c r="E5" s="31">
        <v>0.5</v>
      </c>
      <c r="F5" s="31">
        <v>0</v>
      </c>
      <c r="G5" s="31">
        <v>0.35294117647058826</v>
      </c>
      <c r="H5" s="31">
        <v>5.8823529411764705E-2</v>
      </c>
      <c r="I5" s="32">
        <v>8816.6666666666661</v>
      </c>
      <c r="J5" s="32">
        <v>-12000</v>
      </c>
      <c r="K5" s="31">
        <v>0</v>
      </c>
      <c r="L5" s="31">
        <v>0.41176470588235292</v>
      </c>
      <c r="M5" s="31">
        <v>0.17647058823529413</v>
      </c>
      <c r="N5" s="31">
        <v>0.42857142857142855</v>
      </c>
      <c r="O5" s="31">
        <v>1</v>
      </c>
      <c r="P5" s="31">
        <v>0.16666666666666666</v>
      </c>
    </row>
    <row r="6" spans="1:17" x14ac:dyDescent="0.4">
      <c r="A6" s="33">
        <v>3</v>
      </c>
      <c r="B6" s="30">
        <v>10.399999999999999</v>
      </c>
      <c r="C6" s="30">
        <v>3.4666666666666663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0.10714285714285714</v>
      </c>
      <c r="I6" s="32">
        <v>7857.1428571428569</v>
      </c>
      <c r="J6" s="32">
        <v>-9933.3333333333339</v>
      </c>
      <c r="K6" s="31">
        <v>0</v>
      </c>
      <c r="L6" s="31">
        <v>0.39285714285714285</v>
      </c>
      <c r="M6" s="31">
        <v>0.25</v>
      </c>
      <c r="N6" s="31">
        <v>0.27272727272727271</v>
      </c>
      <c r="O6" s="31">
        <v>0.5714285714285714</v>
      </c>
      <c r="P6" s="31">
        <v>0.2857142857142857</v>
      </c>
    </row>
    <row r="7" spans="1:17" x14ac:dyDescent="0.4">
      <c r="A7" s="33">
        <v>4</v>
      </c>
      <c r="B7" s="30">
        <v>60</v>
      </c>
      <c r="C7" s="30">
        <v>15</v>
      </c>
      <c r="D7" s="35">
        <v>1.75</v>
      </c>
      <c r="E7" s="31">
        <v>0.5</v>
      </c>
      <c r="F7" s="31">
        <v>0.25</v>
      </c>
      <c r="G7" s="31">
        <v>0.34285714285714286</v>
      </c>
      <c r="H7" s="31">
        <v>0.11428571428571428</v>
      </c>
      <c r="I7" s="32">
        <v>8625</v>
      </c>
      <c r="J7" s="32">
        <v>-8425</v>
      </c>
      <c r="K7" s="31">
        <v>0</v>
      </c>
      <c r="L7" s="31">
        <v>0.4</v>
      </c>
      <c r="M7" s="31">
        <v>0.22857142857142856</v>
      </c>
      <c r="N7" s="31">
        <v>0.42857142857142855</v>
      </c>
      <c r="O7" s="31">
        <v>0.625</v>
      </c>
      <c r="P7" s="31">
        <v>0.33333333333333331</v>
      </c>
    </row>
    <row r="8" spans="1:17" x14ac:dyDescent="0.4">
      <c r="A8" s="33">
        <v>5</v>
      </c>
      <c r="B8" s="30">
        <v>6.2000000000000028</v>
      </c>
      <c r="C8" s="30">
        <v>1.2400000000000007</v>
      </c>
      <c r="D8" s="35">
        <v>2</v>
      </c>
      <c r="E8" s="31">
        <v>0.4</v>
      </c>
      <c r="F8" s="31">
        <v>0.4</v>
      </c>
      <c r="G8" s="31">
        <v>0.27272727272727271</v>
      </c>
      <c r="H8" s="31">
        <v>0.18181818181818182</v>
      </c>
      <c r="I8" s="32">
        <v>8625</v>
      </c>
      <c r="J8" s="32">
        <v>-8400</v>
      </c>
      <c r="K8" s="31">
        <v>0.2</v>
      </c>
      <c r="L8" s="31">
        <v>0.36363636363636365</v>
      </c>
      <c r="M8" s="31">
        <v>0.18181818181818182</v>
      </c>
      <c r="N8" s="31">
        <v>0.375</v>
      </c>
      <c r="O8" s="31">
        <v>0.625</v>
      </c>
      <c r="P8" s="31">
        <v>0.33333333333333331</v>
      </c>
    </row>
    <row r="9" spans="1:17" x14ac:dyDescent="0.4">
      <c r="A9" s="33">
        <v>6</v>
      </c>
      <c r="B9" s="30">
        <v>30.000000000000004</v>
      </c>
      <c r="C9" s="30">
        <v>5.0000000000000009</v>
      </c>
      <c r="D9" s="35">
        <v>1.8333333333333333</v>
      </c>
      <c r="E9" s="31">
        <v>0.5</v>
      </c>
      <c r="F9" s="31">
        <v>0.33333333333333331</v>
      </c>
      <c r="G9" s="31">
        <v>0.3</v>
      </c>
      <c r="H9" s="31">
        <v>0.16</v>
      </c>
      <c r="I9" s="32">
        <v>7693.333333333333</v>
      </c>
      <c r="J9" s="32">
        <v>-8400</v>
      </c>
      <c r="K9" s="31">
        <v>0.16666666666666666</v>
      </c>
      <c r="L9" s="31">
        <v>0.34</v>
      </c>
      <c r="M9" s="31">
        <v>0.18</v>
      </c>
      <c r="N9" s="31">
        <v>0.41176470588235292</v>
      </c>
      <c r="O9" s="31">
        <v>0.66666666666666663</v>
      </c>
      <c r="P9" s="31">
        <v>0.4</v>
      </c>
    </row>
    <row r="10" spans="1:17" x14ac:dyDescent="0.4">
      <c r="A10" s="33">
        <v>7</v>
      </c>
      <c r="B10" s="30">
        <v>1.2000000000000028</v>
      </c>
      <c r="C10" s="30">
        <v>0.17142857142857185</v>
      </c>
      <c r="D10" s="35">
        <v>2</v>
      </c>
      <c r="E10" s="31">
        <v>0.42857142857142855</v>
      </c>
      <c r="F10" s="31">
        <v>0.42857142857142855</v>
      </c>
      <c r="G10" s="31">
        <v>0.25862068965517243</v>
      </c>
      <c r="H10" s="31">
        <v>0.17241379310344829</v>
      </c>
      <c r="I10" s="32">
        <v>7693.333333333333</v>
      </c>
      <c r="J10" s="32">
        <v>-7820</v>
      </c>
      <c r="K10" s="31">
        <v>0.14285714285714285</v>
      </c>
      <c r="L10" s="31">
        <v>0.29310344827586204</v>
      </c>
      <c r="M10" s="31">
        <v>0.18965517241379309</v>
      </c>
      <c r="N10" s="31">
        <v>0.41176470588235292</v>
      </c>
      <c r="O10" s="31">
        <v>0.54545454545454541</v>
      </c>
      <c r="P10" s="31">
        <v>0.4</v>
      </c>
    </row>
    <row r="11" spans="1:17" x14ac:dyDescent="0.4">
      <c r="A11" s="33">
        <v>8</v>
      </c>
      <c r="B11" s="30">
        <v>40.900000000000006</v>
      </c>
      <c r="C11" s="30">
        <v>5.1125000000000007</v>
      </c>
      <c r="D11" s="35">
        <v>1.875</v>
      </c>
      <c r="E11" s="31">
        <v>0.5</v>
      </c>
      <c r="F11" s="31">
        <v>0.375</v>
      </c>
      <c r="G11" s="31">
        <v>0.27692307692307694</v>
      </c>
      <c r="H11" s="31">
        <v>0.16923076923076924</v>
      </c>
      <c r="I11" s="32">
        <v>7905.5555555555557</v>
      </c>
      <c r="J11" s="32">
        <v>-7227.272727272727</v>
      </c>
      <c r="K11" s="31">
        <v>0.125</v>
      </c>
      <c r="L11" s="31">
        <v>0.27692307692307694</v>
      </c>
      <c r="M11" s="31">
        <v>0.2</v>
      </c>
      <c r="N11" s="31">
        <v>0.44444444444444442</v>
      </c>
      <c r="O11" s="31">
        <v>0.46153846153846156</v>
      </c>
      <c r="P11" s="31">
        <v>0.5</v>
      </c>
    </row>
    <row r="12" spans="1:17" x14ac:dyDescent="0.4">
      <c r="A12" s="33">
        <v>9</v>
      </c>
      <c r="B12" s="30">
        <v>21.100000000000005</v>
      </c>
      <c r="C12" s="30">
        <v>2.344444444444445</v>
      </c>
      <c r="D12" s="35">
        <v>1.8888888888888888</v>
      </c>
      <c r="E12" s="31">
        <v>0.44444444444444442</v>
      </c>
      <c r="F12" s="31">
        <v>0.33333333333333331</v>
      </c>
      <c r="G12" s="31">
        <v>0.25</v>
      </c>
      <c r="H12" s="31">
        <v>0.18055555555555555</v>
      </c>
      <c r="I12" s="32">
        <v>7905.5555555555557</v>
      </c>
      <c r="J12" s="32">
        <v>-6907.6923076923076</v>
      </c>
      <c r="K12" s="31">
        <v>0.1111111111111111</v>
      </c>
      <c r="L12" s="31">
        <v>0.25</v>
      </c>
      <c r="M12" s="31">
        <v>0.20833333333333334</v>
      </c>
      <c r="N12" s="31">
        <v>0.44444444444444442</v>
      </c>
      <c r="O12" s="31">
        <v>0.4</v>
      </c>
      <c r="P12" s="31">
        <v>0.5</v>
      </c>
    </row>
    <row r="13" spans="1:17" x14ac:dyDescent="0.4">
      <c r="A13" s="33">
        <v>10</v>
      </c>
      <c r="B13" s="30">
        <v>14.100000000000005</v>
      </c>
      <c r="C13" s="30">
        <v>1.4100000000000006</v>
      </c>
      <c r="D13" s="35">
        <v>1.9</v>
      </c>
      <c r="E13" s="31">
        <v>0.4</v>
      </c>
      <c r="F13" s="31">
        <v>0.3</v>
      </c>
      <c r="G13" s="31">
        <v>0.24358974358974358</v>
      </c>
      <c r="H13" s="31">
        <v>0.16666666666666666</v>
      </c>
      <c r="I13" s="32">
        <v>7557.894736842105</v>
      </c>
      <c r="J13" s="32">
        <v>-6907.6923076923076</v>
      </c>
      <c r="K13" s="31">
        <v>0.1</v>
      </c>
      <c r="L13" s="31">
        <v>0.26923076923076922</v>
      </c>
      <c r="M13" s="31">
        <v>0.21794871794871795</v>
      </c>
      <c r="N13" s="31">
        <v>0.42857142857142855</v>
      </c>
      <c r="O13" s="31">
        <v>0.35294117647058826</v>
      </c>
      <c r="P13" s="31">
        <v>0.47368421052631576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1DE2CD-8A07-455E-B7CD-B34A5BCEDBA7}">
  <sheetPr codeName="Sheet18"/>
  <dimension ref="A1:Q12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192</v>
      </c>
      <c r="B1" s="34" t="s">
        <v>192</v>
      </c>
      <c r="C1" s="34" t="s">
        <v>192</v>
      </c>
      <c r="D1" s="35" t="s">
        <v>192</v>
      </c>
      <c r="E1" s="34" t="s">
        <v>192</v>
      </c>
      <c r="F1" s="34" t="s">
        <v>192</v>
      </c>
      <c r="G1" s="34" t="s">
        <v>192</v>
      </c>
      <c r="H1" s="34" t="s">
        <v>192</v>
      </c>
      <c r="I1" s="34" t="s">
        <v>192</v>
      </c>
      <c r="J1" s="34" t="s">
        <v>192</v>
      </c>
      <c r="K1" s="34" t="s">
        <v>192</v>
      </c>
      <c r="L1" s="34" t="s">
        <v>192</v>
      </c>
      <c r="M1" s="34" t="s">
        <v>192</v>
      </c>
      <c r="N1" s="34" t="s">
        <v>192</v>
      </c>
      <c r="O1" s="34" t="s">
        <v>192</v>
      </c>
      <c r="P1" s="34" t="s">
        <v>192</v>
      </c>
      <c r="Q1" s="34" t="s">
        <v>192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11.6</v>
      </c>
      <c r="C4" s="30">
        <v>11.6</v>
      </c>
      <c r="D4" s="35">
        <v>1</v>
      </c>
      <c r="E4" s="31">
        <v>1</v>
      </c>
      <c r="F4" s="31">
        <v>0</v>
      </c>
      <c r="G4" s="31">
        <v>0.25</v>
      </c>
      <c r="H4" s="31">
        <v>0</v>
      </c>
      <c r="I4" s="32">
        <v>1800</v>
      </c>
      <c r="J4" s="32">
        <v>0</v>
      </c>
      <c r="K4" s="31">
        <v>0</v>
      </c>
      <c r="L4" s="31">
        <v>0</v>
      </c>
      <c r="M4" s="31">
        <v>0.25</v>
      </c>
      <c r="N4" s="31">
        <v>0</v>
      </c>
      <c r="O4" s="31">
        <v>0.5</v>
      </c>
      <c r="P4" s="31">
        <v>0</v>
      </c>
    </row>
    <row r="5" spans="1:17" x14ac:dyDescent="0.4">
      <c r="A5" s="33">
        <v>2</v>
      </c>
      <c r="B5" s="30">
        <v>42.9</v>
      </c>
      <c r="C5" s="30">
        <v>21.45</v>
      </c>
      <c r="D5" s="35">
        <v>1</v>
      </c>
      <c r="E5" s="31">
        <v>1</v>
      </c>
      <c r="F5" s="31">
        <v>0</v>
      </c>
      <c r="G5" s="31">
        <v>0.36842105263157893</v>
      </c>
      <c r="H5" s="31">
        <v>5.2631578947368418E-2</v>
      </c>
      <c r="I5" s="32">
        <v>6028.5714285714284</v>
      </c>
      <c r="J5" s="32">
        <v>-12000</v>
      </c>
      <c r="K5" s="31">
        <v>0</v>
      </c>
      <c r="L5" s="31">
        <v>0.26315789473684209</v>
      </c>
      <c r="M5" s="31">
        <v>0.15789473684210525</v>
      </c>
      <c r="N5" s="31">
        <v>0.6</v>
      </c>
      <c r="O5" s="31">
        <v>0.66666666666666663</v>
      </c>
      <c r="P5" s="31">
        <v>0.42857142857142855</v>
      </c>
    </row>
    <row r="6" spans="1:17" x14ac:dyDescent="0.4">
      <c r="A6" s="33">
        <v>3</v>
      </c>
      <c r="B6" s="30">
        <v>49.199999999999996</v>
      </c>
      <c r="C6" s="30">
        <v>16.399999999999999</v>
      </c>
      <c r="D6" s="35">
        <v>1.3333333333333333</v>
      </c>
      <c r="E6" s="31">
        <v>0.66666666666666663</v>
      </c>
      <c r="F6" s="31">
        <v>0</v>
      </c>
      <c r="G6" s="31">
        <v>0.37037037037037035</v>
      </c>
      <c r="H6" s="31">
        <v>0.1111111111111111</v>
      </c>
      <c r="I6" s="32">
        <v>6210</v>
      </c>
      <c r="J6" s="32">
        <v>-8866.6666666666661</v>
      </c>
      <c r="K6" s="31">
        <v>0</v>
      </c>
      <c r="L6" s="31">
        <v>0.25925925925925924</v>
      </c>
      <c r="M6" s="31">
        <v>0.14814814814814814</v>
      </c>
      <c r="N6" s="31">
        <v>0.7142857142857143</v>
      </c>
      <c r="O6" s="31">
        <v>0.75</v>
      </c>
      <c r="P6" s="31">
        <v>0.5</v>
      </c>
    </row>
    <row r="7" spans="1:17" x14ac:dyDescent="0.4">
      <c r="A7" s="33">
        <v>4</v>
      </c>
      <c r="B7" s="30">
        <v>75.8</v>
      </c>
      <c r="C7" s="30">
        <v>18.95</v>
      </c>
      <c r="D7" s="35">
        <v>1.25</v>
      </c>
      <c r="E7" s="31">
        <v>0.75</v>
      </c>
      <c r="F7" s="31">
        <v>0</v>
      </c>
      <c r="G7" s="31">
        <v>0.375</v>
      </c>
      <c r="H7" s="31">
        <v>0.1</v>
      </c>
      <c r="I7" s="32">
        <v>6126.666666666667</v>
      </c>
      <c r="J7" s="32">
        <v>-7625</v>
      </c>
      <c r="K7" s="31">
        <v>0</v>
      </c>
      <c r="L7" s="31">
        <v>0.25</v>
      </c>
      <c r="M7" s="31">
        <v>0.17499999999999999</v>
      </c>
      <c r="N7" s="31">
        <v>0.8</v>
      </c>
      <c r="O7" s="31">
        <v>0.5714285714285714</v>
      </c>
      <c r="P7" s="31">
        <v>0.4</v>
      </c>
    </row>
    <row r="8" spans="1:17" x14ac:dyDescent="0.4">
      <c r="A8" s="33">
        <v>5</v>
      </c>
      <c r="B8" s="30">
        <v>47.8</v>
      </c>
      <c r="C8" s="30">
        <v>9.5599999999999987</v>
      </c>
      <c r="D8" s="35">
        <v>1.4</v>
      </c>
      <c r="E8" s="31">
        <v>0.6</v>
      </c>
      <c r="F8" s="31">
        <v>0</v>
      </c>
      <c r="G8" s="31">
        <v>0.32608695652173914</v>
      </c>
      <c r="H8" s="31">
        <v>0.10869565217391304</v>
      </c>
      <c r="I8" s="32">
        <v>6126.666666666667</v>
      </c>
      <c r="J8" s="32">
        <v>-8500</v>
      </c>
      <c r="K8" s="31">
        <v>0</v>
      </c>
      <c r="L8" s="31">
        <v>0.21739130434782608</v>
      </c>
      <c r="M8" s="31">
        <v>0.17391304347826086</v>
      </c>
      <c r="N8" s="31">
        <v>0.8</v>
      </c>
      <c r="O8" s="31">
        <v>0.5</v>
      </c>
      <c r="P8" s="31">
        <v>0.4</v>
      </c>
    </row>
    <row r="9" spans="1:17" x14ac:dyDescent="0.4">
      <c r="A9" s="33">
        <v>6</v>
      </c>
      <c r="B9" s="30">
        <v>26.4</v>
      </c>
      <c r="C9" s="30">
        <v>4.3999999999999995</v>
      </c>
      <c r="D9" s="35">
        <v>1.6666666666666667</v>
      </c>
      <c r="E9" s="31">
        <v>0.5</v>
      </c>
      <c r="F9" s="31">
        <v>0.16666666666666666</v>
      </c>
      <c r="G9" s="31">
        <v>0.30357142857142855</v>
      </c>
      <c r="H9" s="31">
        <v>0.10714285714285714</v>
      </c>
      <c r="I9" s="32">
        <v>6288.2352941176468</v>
      </c>
      <c r="J9" s="32">
        <v>-7733.333333333333</v>
      </c>
      <c r="K9" s="31">
        <v>0</v>
      </c>
      <c r="L9" s="31">
        <v>0.25</v>
      </c>
      <c r="M9" s="31">
        <v>0.21428571428571427</v>
      </c>
      <c r="N9" s="31">
        <v>0.6428571428571429</v>
      </c>
      <c r="O9" s="31">
        <v>0.41666666666666669</v>
      </c>
      <c r="P9" s="31">
        <v>0.41176470588235292</v>
      </c>
    </row>
    <row r="10" spans="1:17" x14ac:dyDescent="0.4">
      <c r="A10" s="33">
        <v>7</v>
      </c>
      <c r="B10" s="30">
        <v>25.9</v>
      </c>
      <c r="C10" s="30">
        <v>3.6999999999999997</v>
      </c>
      <c r="D10" s="35">
        <v>1.7142857142857142</v>
      </c>
      <c r="E10" s="31">
        <v>0.42857142857142855</v>
      </c>
      <c r="F10" s="31">
        <v>0.14285714285714285</v>
      </c>
      <c r="G10" s="31">
        <v>0.3125</v>
      </c>
      <c r="H10" s="31">
        <v>0.109375</v>
      </c>
      <c r="I10" s="32">
        <v>6405</v>
      </c>
      <c r="J10" s="32">
        <v>-7371.4285714285716</v>
      </c>
      <c r="K10" s="31">
        <v>0</v>
      </c>
      <c r="L10" s="31">
        <v>0.25</v>
      </c>
      <c r="M10" s="31">
        <v>0.203125</v>
      </c>
      <c r="N10" s="31">
        <v>0.625</v>
      </c>
      <c r="O10" s="31">
        <v>0.46153846153846156</v>
      </c>
      <c r="P10" s="31">
        <v>0.35</v>
      </c>
    </row>
    <row r="11" spans="1:17" x14ac:dyDescent="0.4">
      <c r="A11" s="33">
        <v>8</v>
      </c>
      <c r="B11" s="30">
        <v>1.5</v>
      </c>
      <c r="C11" s="30">
        <v>0.1875</v>
      </c>
      <c r="D11" s="35">
        <v>1.875</v>
      </c>
      <c r="E11" s="31">
        <v>0.375</v>
      </c>
      <c r="F11" s="31">
        <v>0.25</v>
      </c>
      <c r="G11" s="31">
        <v>0.31428571428571428</v>
      </c>
      <c r="H11" s="31">
        <v>0.11428571428571428</v>
      </c>
      <c r="I11" s="32">
        <v>6031.818181818182</v>
      </c>
      <c r="J11" s="32">
        <v>-7450</v>
      </c>
      <c r="K11" s="31">
        <v>0</v>
      </c>
      <c r="L11" s="31">
        <v>0.25714285714285712</v>
      </c>
      <c r="M11" s="31">
        <v>0.2</v>
      </c>
      <c r="N11" s="31">
        <v>0.61111111111111116</v>
      </c>
      <c r="O11" s="31">
        <v>0.5</v>
      </c>
      <c r="P11" s="31">
        <v>0.31818181818181818</v>
      </c>
    </row>
    <row r="12" spans="1:17" x14ac:dyDescent="0.4">
      <c r="A12" s="33">
        <v>9</v>
      </c>
      <c r="B12" s="30">
        <v>9.6999999999999993</v>
      </c>
      <c r="C12" s="30">
        <v>1.0777777777777777</v>
      </c>
      <c r="D12" s="35">
        <v>1.8888888888888888</v>
      </c>
      <c r="E12" s="31">
        <v>0.33333333333333331</v>
      </c>
      <c r="F12" s="31">
        <v>0.22222222222222221</v>
      </c>
      <c r="G12" s="31">
        <v>0.32926829268292684</v>
      </c>
      <c r="H12" s="31">
        <v>0.10975609756097561</v>
      </c>
      <c r="I12" s="32">
        <v>6414.8148148148148</v>
      </c>
      <c r="J12" s="32">
        <v>-7955.5555555555557</v>
      </c>
      <c r="K12" s="31">
        <v>0</v>
      </c>
      <c r="L12" s="31">
        <v>0.24390243902439024</v>
      </c>
      <c r="M12" s="31">
        <v>0.1951219512195122</v>
      </c>
      <c r="N12" s="31">
        <v>0.6</v>
      </c>
      <c r="O12" s="31">
        <v>0.5</v>
      </c>
      <c r="P12" s="31">
        <v>0.40740740740740738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A7DE3-D427-4E49-B25E-C3BE01A83655}">
  <sheetPr codeName="Sheet16"/>
  <dimension ref="A1:Q16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211</v>
      </c>
      <c r="B1" s="34" t="s">
        <v>211</v>
      </c>
      <c r="C1" s="34" t="s">
        <v>211</v>
      </c>
      <c r="D1" s="35" t="s">
        <v>211</v>
      </c>
      <c r="E1" s="34" t="s">
        <v>211</v>
      </c>
      <c r="F1" s="34" t="s">
        <v>211</v>
      </c>
      <c r="G1" s="34" t="s">
        <v>211</v>
      </c>
      <c r="H1" s="34" t="s">
        <v>211</v>
      </c>
      <c r="I1" s="34" t="s">
        <v>211</v>
      </c>
      <c r="J1" s="34" t="s">
        <v>211</v>
      </c>
      <c r="K1" s="34" t="s">
        <v>211</v>
      </c>
      <c r="L1" s="34" t="s">
        <v>211</v>
      </c>
      <c r="M1" s="34" t="s">
        <v>211</v>
      </c>
      <c r="N1" s="34" t="s">
        <v>211</v>
      </c>
      <c r="O1" s="34" t="s">
        <v>211</v>
      </c>
      <c r="P1" s="34" t="s">
        <v>211</v>
      </c>
      <c r="Q1" s="34" t="s">
        <v>211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55.6</v>
      </c>
      <c r="C4" s="30">
        <v>55.6</v>
      </c>
      <c r="D4" s="35">
        <v>1</v>
      </c>
      <c r="E4" s="31">
        <v>1</v>
      </c>
      <c r="F4" s="31">
        <v>0</v>
      </c>
      <c r="G4" s="31">
        <v>0.5</v>
      </c>
      <c r="H4" s="31">
        <v>0.1</v>
      </c>
      <c r="I4" s="32">
        <v>9000</v>
      </c>
      <c r="J4" s="32">
        <v>-7700</v>
      </c>
      <c r="K4" s="31">
        <v>0</v>
      </c>
      <c r="L4" s="31">
        <v>0.5</v>
      </c>
      <c r="M4" s="31">
        <v>0.3</v>
      </c>
      <c r="N4" s="31">
        <v>0.6</v>
      </c>
      <c r="O4" s="31">
        <v>0.66666666666666663</v>
      </c>
      <c r="P4" s="31">
        <v>0.8</v>
      </c>
    </row>
    <row r="5" spans="1:17" x14ac:dyDescent="0.4">
      <c r="A5" s="33">
        <v>2</v>
      </c>
      <c r="B5" s="30">
        <v>24.900000000000002</v>
      </c>
      <c r="C5" s="30">
        <v>12.450000000000001</v>
      </c>
      <c r="D5" s="35">
        <v>2</v>
      </c>
      <c r="E5" s="31">
        <v>0.5</v>
      </c>
      <c r="F5" s="31">
        <v>0.5</v>
      </c>
      <c r="G5" s="31">
        <v>0.3125</v>
      </c>
      <c r="H5" s="31">
        <v>0.125</v>
      </c>
      <c r="I5" s="32">
        <v>9000</v>
      </c>
      <c r="J5" s="32">
        <v>-7700</v>
      </c>
      <c r="K5" s="31">
        <v>0</v>
      </c>
      <c r="L5" s="31">
        <v>0.375</v>
      </c>
      <c r="M5" s="31">
        <v>0.1875</v>
      </c>
      <c r="N5" s="31">
        <v>0.5</v>
      </c>
      <c r="O5" s="31">
        <v>0.66666666666666663</v>
      </c>
      <c r="P5" s="31">
        <v>0.8</v>
      </c>
    </row>
    <row r="6" spans="1:17" x14ac:dyDescent="0.4">
      <c r="A6" s="33">
        <v>3</v>
      </c>
      <c r="B6" s="30">
        <v>-20.599999999999998</v>
      </c>
      <c r="C6" s="30">
        <v>-6.8666666666666663</v>
      </c>
      <c r="D6" s="35">
        <v>2.3333333333333335</v>
      </c>
      <c r="E6" s="31">
        <v>0.33333333333333331</v>
      </c>
      <c r="F6" s="31">
        <v>0.66666666666666663</v>
      </c>
      <c r="G6" s="31">
        <v>0.23809523809523808</v>
      </c>
      <c r="H6" s="31">
        <v>0.19047619047619047</v>
      </c>
      <c r="I6" s="32">
        <v>9000</v>
      </c>
      <c r="J6" s="32">
        <v>-9850</v>
      </c>
      <c r="K6" s="31">
        <v>0.33333333333333331</v>
      </c>
      <c r="L6" s="31">
        <v>0.33333333333333331</v>
      </c>
      <c r="M6" s="31">
        <v>0.19047619047619047</v>
      </c>
      <c r="N6" s="31">
        <v>0.42857142857142855</v>
      </c>
      <c r="O6" s="31">
        <v>0.5</v>
      </c>
      <c r="P6" s="31">
        <v>0.8</v>
      </c>
    </row>
    <row r="7" spans="1:17" x14ac:dyDescent="0.4">
      <c r="A7" s="33">
        <v>4</v>
      </c>
      <c r="B7" s="30">
        <v>-25</v>
      </c>
      <c r="C7" s="30">
        <v>-6.25</v>
      </c>
      <c r="D7" s="35">
        <v>2.25</v>
      </c>
      <c r="E7" s="31">
        <v>0.25</v>
      </c>
      <c r="F7" s="31">
        <v>0.5</v>
      </c>
      <c r="G7" s="31">
        <v>0.25714285714285712</v>
      </c>
      <c r="H7" s="31">
        <v>0.22857142857142856</v>
      </c>
      <c r="I7" s="32">
        <v>8533.3333333333339</v>
      </c>
      <c r="J7" s="32">
        <v>-8887.5</v>
      </c>
      <c r="K7" s="31">
        <v>0.25</v>
      </c>
      <c r="L7" s="31">
        <v>0.31428571428571428</v>
      </c>
      <c r="M7" s="31">
        <v>0.17142857142857143</v>
      </c>
      <c r="N7" s="31">
        <v>0.54545454545454541</v>
      </c>
      <c r="O7" s="31">
        <v>0.5</v>
      </c>
      <c r="P7" s="31">
        <v>0.55555555555555558</v>
      </c>
    </row>
    <row r="8" spans="1:17" x14ac:dyDescent="0.4">
      <c r="A8" s="33">
        <v>5</v>
      </c>
      <c r="B8" s="30">
        <v>-53</v>
      </c>
      <c r="C8" s="30">
        <v>-10.6</v>
      </c>
      <c r="D8" s="35">
        <v>2.4</v>
      </c>
      <c r="E8" s="31">
        <v>0.2</v>
      </c>
      <c r="F8" s="31">
        <v>0.6</v>
      </c>
      <c r="G8" s="31">
        <v>0.23684210526315788</v>
      </c>
      <c r="H8" s="31">
        <v>0.26315789473684209</v>
      </c>
      <c r="I8" s="32">
        <v>8533.3333333333339</v>
      </c>
      <c r="J8" s="32">
        <v>-8810</v>
      </c>
      <c r="K8" s="31">
        <v>0.2</v>
      </c>
      <c r="L8" s="31">
        <v>0.31578947368421051</v>
      </c>
      <c r="M8" s="31">
        <v>0.15789473684210525</v>
      </c>
      <c r="N8" s="31">
        <v>0.5</v>
      </c>
      <c r="O8" s="31">
        <v>0.5</v>
      </c>
      <c r="P8" s="31">
        <v>0.55555555555555558</v>
      </c>
    </row>
    <row r="9" spans="1:17" x14ac:dyDescent="0.4">
      <c r="A9" s="33">
        <v>6</v>
      </c>
      <c r="B9" s="30">
        <v>-32.799999999999997</v>
      </c>
      <c r="C9" s="30">
        <v>-5.4666666666666659</v>
      </c>
      <c r="D9" s="35">
        <v>2.3333333333333335</v>
      </c>
      <c r="E9" s="31">
        <v>0.16666666666666666</v>
      </c>
      <c r="F9" s="31">
        <v>0.5</v>
      </c>
      <c r="G9" s="31">
        <v>0.25531914893617019</v>
      </c>
      <c r="H9" s="31">
        <v>0.23404255319148937</v>
      </c>
      <c r="I9" s="32">
        <v>8708.3333333333339</v>
      </c>
      <c r="J9" s="32">
        <v>-8481.818181818182</v>
      </c>
      <c r="K9" s="31">
        <v>0.16666666666666666</v>
      </c>
      <c r="L9" s="31">
        <v>0.34042553191489361</v>
      </c>
      <c r="M9" s="31">
        <v>0.19148936170212766</v>
      </c>
      <c r="N9" s="31">
        <v>0.4375</v>
      </c>
      <c r="O9" s="31">
        <v>0.55555555555555558</v>
      </c>
      <c r="P9" s="31">
        <v>0.41666666666666669</v>
      </c>
    </row>
    <row r="10" spans="1:17" x14ac:dyDescent="0.4">
      <c r="A10" s="33">
        <v>7</v>
      </c>
      <c r="B10" s="30">
        <v>-22.199999999999996</v>
      </c>
      <c r="C10" s="30">
        <v>-3.1714285714285708</v>
      </c>
      <c r="D10" s="35">
        <v>2.2857142857142856</v>
      </c>
      <c r="E10" s="31">
        <v>0.14285714285714285</v>
      </c>
      <c r="F10" s="31">
        <v>0.42857142857142855</v>
      </c>
      <c r="G10" s="31">
        <v>0.28301886792452829</v>
      </c>
      <c r="H10" s="31">
        <v>0.20754716981132076</v>
      </c>
      <c r="I10" s="32">
        <v>7480</v>
      </c>
      <c r="J10" s="32">
        <v>-8481.818181818182</v>
      </c>
      <c r="K10" s="31">
        <v>0.14285714285714285</v>
      </c>
      <c r="L10" s="31">
        <v>0.33962264150943394</v>
      </c>
      <c r="M10" s="31">
        <v>0.18867924528301888</v>
      </c>
      <c r="N10" s="31">
        <v>0.5</v>
      </c>
      <c r="O10" s="31">
        <v>0.6</v>
      </c>
      <c r="P10" s="31">
        <v>0.53333333333333333</v>
      </c>
    </row>
    <row r="11" spans="1:17" x14ac:dyDescent="0.4">
      <c r="A11" s="33">
        <v>8</v>
      </c>
      <c r="B11" s="30">
        <v>0.30000000000000426</v>
      </c>
      <c r="C11" s="30">
        <v>3.7500000000000533E-2</v>
      </c>
      <c r="D11" s="35">
        <v>2.125</v>
      </c>
      <c r="E11" s="31">
        <v>0.25</v>
      </c>
      <c r="F11" s="31">
        <v>0.375</v>
      </c>
      <c r="G11" s="31">
        <v>0.29508196721311475</v>
      </c>
      <c r="H11" s="31">
        <v>0.18032786885245902</v>
      </c>
      <c r="I11" s="32">
        <v>7333.333333333333</v>
      </c>
      <c r="J11" s="32">
        <v>-8481.818181818182</v>
      </c>
      <c r="K11" s="31">
        <v>0.125</v>
      </c>
      <c r="L11" s="31">
        <v>0.31147540983606559</v>
      </c>
      <c r="M11" s="31">
        <v>0.19672131147540983</v>
      </c>
      <c r="N11" s="31">
        <v>0.52631578947368418</v>
      </c>
      <c r="O11" s="31">
        <v>0.58333333333333337</v>
      </c>
      <c r="P11" s="31">
        <v>0.44444444444444442</v>
      </c>
    </row>
    <row r="12" spans="1:17" x14ac:dyDescent="0.4">
      <c r="A12" s="33">
        <v>9</v>
      </c>
      <c r="B12" s="30">
        <v>20.500000000000004</v>
      </c>
      <c r="C12" s="30">
        <v>2.2777777777777781</v>
      </c>
      <c r="D12" s="35">
        <v>2</v>
      </c>
      <c r="E12" s="31">
        <v>0.33333333333333331</v>
      </c>
      <c r="F12" s="31">
        <v>0.33333333333333331</v>
      </c>
      <c r="G12" s="31">
        <v>0.30985915492957744</v>
      </c>
      <c r="H12" s="31">
        <v>0.15492957746478872</v>
      </c>
      <c r="I12" s="32">
        <v>7322.727272727273</v>
      </c>
      <c r="J12" s="32">
        <v>-8481.818181818182</v>
      </c>
      <c r="K12" s="31">
        <v>0.1111111111111111</v>
      </c>
      <c r="L12" s="31">
        <v>0.30985915492957744</v>
      </c>
      <c r="M12" s="31">
        <v>0.18309859154929578</v>
      </c>
      <c r="N12" s="31">
        <v>0.54545454545454541</v>
      </c>
      <c r="O12" s="31">
        <v>0.61538461538461542</v>
      </c>
      <c r="P12" s="31">
        <v>0.40909090909090912</v>
      </c>
    </row>
    <row r="13" spans="1:17" x14ac:dyDescent="0.4">
      <c r="A13" s="33">
        <v>10</v>
      </c>
      <c r="B13" s="30">
        <v>6.9000000000000039</v>
      </c>
      <c r="C13" s="30">
        <v>0.69000000000000039</v>
      </c>
      <c r="D13" s="35">
        <v>2.1</v>
      </c>
      <c r="E13" s="31">
        <v>0.3</v>
      </c>
      <c r="F13" s="31">
        <v>0.4</v>
      </c>
      <c r="G13" s="31">
        <v>0.30769230769230771</v>
      </c>
      <c r="H13" s="31">
        <v>0.15384615384615385</v>
      </c>
      <c r="I13" s="32">
        <v>7366.666666666667</v>
      </c>
      <c r="J13" s="32">
        <v>-8416.6666666666661</v>
      </c>
      <c r="K13" s="31">
        <v>0.1</v>
      </c>
      <c r="L13" s="31">
        <v>0.29487179487179488</v>
      </c>
      <c r="M13" s="31">
        <v>0.20512820512820512</v>
      </c>
      <c r="N13" s="31">
        <v>0.56521739130434778</v>
      </c>
      <c r="O13" s="31">
        <v>0.5625</v>
      </c>
      <c r="P13" s="31">
        <v>0.41666666666666669</v>
      </c>
    </row>
    <row r="14" spans="1:17" x14ac:dyDescent="0.4">
      <c r="A14" s="33">
        <v>11</v>
      </c>
      <c r="B14" s="30">
        <v>-18.799999999999997</v>
      </c>
      <c r="C14" s="30">
        <v>-1.7090909090909088</v>
      </c>
      <c r="D14" s="35">
        <v>2.1818181818181817</v>
      </c>
      <c r="E14" s="31">
        <v>0.27272727272727271</v>
      </c>
      <c r="F14" s="31">
        <v>0.45454545454545453</v>
      </c>
      <c r="G14" s="31">
        <v>0.30588235294117649</v>
      </c>
      <c r="H14" s="31">
        <v>0.15294117647058825</v>
      </c>
      <c r="I14" s="32">
        <v>7150</v>
      </c>
      <c r="J14" s="32">
        <v>-7953.8461538461543</v>
      </c>
      <c r="K14" s="31">
        <v>9.0909090909090912E-2</v>
      </c>
      <c r="L14" s="31">
        <v>0.28235294117647058</v>
      </c>
      <c r="M14" s="31">
        <v>0.18823529411764706</v>
      </c>
      <c r="N14" s="31">
        <v>0.58333333333333337</v>
      </c>
      <c r="O14" s="31">
        <v>0.5625</v>
      </c>
      <c r="P14" s="31">
        <v>0.42307692307692307</v>
      </c>
    </row>
    <row r="15" spans="1:17" x14ac:dyDescent="0.4">
      <c r="A15" s="33">
        <v>12</v>
      </c>
      <c r="B15" s="30">
        <v>32.1</v>
      </c>
      <c r="C15" s="30">
        <v>2.6750000000000003</v>
      </c>
      <c r="D15" s="35">
        <v>2.0833333333333335</v>
      </c>
      <c r="E15" s="31">
        <v>0.33333333333333331</v>
      </c>
      <c r="F15" s="31">
        <v>0.41666666666666669</v>
      </c>
      <c r="G15" s="31">
        <v>0.31521739130434784</v>
      </c>
      <c r="H15" s="31">
        <v>0.16304347826086957</v>
      </c>
      <c r="I15" s="32">
        <v>8065.5172413793107</v>
      </c>
      <c r="J15" s="32">
        <v>-7500</v>
      </c>
      <c r="K15" s="31">
        <v>8.3333333333333329E-2</v>
      </c>
      <c r="L15" s="31">
        <v>0.2608695652173913</v>
      </c>
      <c r="M15" s="31">
        <v>0.19565217391304349</v>
      </c>
      <c r="N15" s="31">
        <v>0.58333333333333337</v>
      </c>
      <c r="O15" s="31">
        <v>0.55555555555555558</v>
      </c>
      <c r="P15" s="31">
        <v>0.44827586206896552</v>
      </c>
    </row>
    <row r="16" spans="1:17" x14ac:dyDescent="0.4">
      <c r="A16" s="33">
        <v>13</v>
      </c>
      <c r="B16" s="30">
        <v>65.800000000000011</v>
      </c>
      <c r="C16" s="30">
        <v>5.0615384615384622</v>
      </c>
      <c r="D16" s="35">
        <v>2</v>
      </c>
      <c r="E16" s="31">
        <v>0.38461538461538464</v>
      </c>
      <c r="F16" s="31">
        <v>0.38461538461538464</v>
      </c>
      <c r="G16" s="31">
        <v>0.32653061224489793</v>
      </c>
      <c r="H16" s="31">
        <v>0.16326530612244897</v>
      </c>
      <c r="I16" s="32">
        <v>8165.625</v>
      </c>
      <c r="J16" s="32">
        <v>-7356.25</v>
      </c>
      <c r="K16" s="31">
        <v>7.6923076923076927E-2</v>
      </c>
      <c r="L16" s="31">
        <v>0.25510204081632654</v>
      </c>
      <c r="M16" s="31">
        <v>0.22448979591836735</v>
      </c>
      <c r="N16" s="31">
        <v>0.6</v>
      </c>
      <c r="O16" s="31">
        <v>0.54545454545454541</v>
      </c>
      <c r="P16" s="31">
        <v>0.46875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CB2814-64F3-484B-AC95-CD37EA03D424}">
  <sheetPr codeName="Sheet14"/>
  <dimension ref="A1:Q6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190</v>
      </c>
      <c r="B1" s="34" t="s">
        <v>190</v>
      </c>
      <c r="C1" s="34" t="s">
        <v>190</v>
      </c>
      <c r="D1" s="35" t="s">
        <v>190</v>
      </c>
      <c r="E1" s="34" t="s">
        <v>190</v>
      </c>
      <c r="F1" s="34" t="s">
        <v>190</v>
      </c>
      <c r="G1" s="34" t="s">
        <v>190</v>
      </c>
      <c r="H1" s="34" t="s">
        <v>190</v>
      </c>
      <c r="I1" s="34" t="s">
        <v>190</v>
      </c>
      <c r="J1" s="34" t="s">
        <v>190</v>
      </c>
      <c r="K1" s="34" t="s">
        <v>190</v>
      </c>
      <c r="L1" s="34" t="s">
        <v>190</v>
      </c>
      <c r="M1" s="34" t="s">
        <v>190</v>
      </c>
      <c r="N1" s="34" t="s">
        <v>190</v>
      </c>
      <c r="O1" s="34" t="s">
        <v>190</v>
      </c>
      <c r="P1" s="34" t="s">
        <v>190</v>
      </c>
      <c r="Q1" s="34" t="s">
        <v>190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-33.6</v>
      </c>
      <c r="C4" s="30">
        <v>-33.6</v>
      </c>
      <c r="D4" s="35">
        <v>3</v>
      </c>
      <c r="E4" s="31">
        <v>0</v>
      </c>
      <c r="F4" s="31">
        <v>1</v>
      </c>
      <c r="G4" s="31">
        <v>0.1</v>
      </c>
      <c r="H4" s="31">
        <v>0.1</v>
      </c>
      <c r="I4" s="32">
        <v>7700</v>
      </c>
      <c r="J4" s="32">
        <v>-3900</v>
      </c>
      <c r="K4" s="31">
        <v>0</v>
      </c>
      <c r="L4" s="31">
        <v>0.1</v>
      </c>
      <c r="M4" s="31">
        <v>0.2</v>
      </c>
      <c r="N4" s="31">
        <v>0</v>
      </c>
      <c r="O4" s="31">
        <v>0.5</v>
      </c>
      <c r="P4" s="31">
        <v>0</v>
      </c>
    </row>
    <row r="5" spans="1:17" x14ac:dyDescent="0.4">
      <c r="A5" s="33">
        <v>2</v>
      </c>
      <c r="B5" s="30">
        <v>-36.9</v>
      </c>
      <c r="C5" s="30">
        <v>-18.45</v>
      </c>
      <c r="D5" s="35">
        <v>2.5</v>
      </c>
      <c r="E5" s="31">
        <v>0</v>
      </c>
      <c r="F5" s="31">
        <v>0.5</v>
      </c>
      <c r="G5" s="31">
        <v>0.1875</v>
      </c>
      <c r="H5" s="31">
        <v>6.25E-2</v>
      </c>
      <c r="I5" s="32">
        <v>5800</v>
      </c>
      <c r="J5" s="32">
        <v>-3900</v>
      </c>
      <c r="K5" s="31">
        <v>0</v>
      </c>
      <c r="L5" s="31">
        <v>0.125</v>
      </c>
      <c r="M5" s="31">
        <v>0.1875</v>
      </c>
      <c r="N5" s="31">
        <v>0.5</v>
      </c>
      <c r="O5" s="31">
        <v>0.33333333333333331</v>
      </c>
      <c r="P5" s="31">
        <v>0</v>
      </c>
    </row>
    <row r="6" spans="1:17" x14ac:dyDescent="0.4">
      <c r="A6" s="33">
        <v>3</v>
      </c>
      <c r="B6" s="30">
        <v>-40.4</v>
      </c>
      <c r="C6" s="30">
        <v>-13.466666666666667</v>
      </c>
      <c r="D6" s="35">
        <v>2.3333333333333335</v>
      </c>
      <c r="E6" s="31">
        <v>0</v>
      </c>
      <c r="F6" s="31">
        <v>0.33333333333333331</v>
      </c>
      <c r="G6" s="31">
        <v>0.14285714285714285</v>
      </c>
      <c r="H6" s="31">
        <v>4.7619047619047616E-2</v>
      </c>
      <c r="I6" s="32">
        <v>5800</v>
      </c>
      <c r="J6" s="32">
        <v>-3900</v>
      </c>
      <c r="K6" s="31">
        <v>0</v>
      </c>
      <c r="L6" s="31">
        <v>9.5238095238095233E-2</v>
      </c>
      <c r="M6" s="31">
        <v>0.23809523809523808</v>
      </c>
      <c r="N6" s="31">
        <v>0.5</v>
      </c>
      <c r="O6" s="31">
        <v>0.2</v>
      </c>
      <c r="P6" s="31">
        <v>0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39065-431B-4FEB-8C58-235009254B7F}">
  <sheetPr codeName="Sheet12"/>
  <dimension ref="A1:Q9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189</v>
      </c>
      <c r="B1" s="34" t="s">
        <v>189</v>
      </c>
      <c r="C1" s="34" t="s">
        <v>189</v>
      </c>
      <c r="D1" s="35" t="s">
        <v>189</v>
      </c>
      <c r="E1" s="34" t="s">
        <v>189</v>
      </c>
      <c r="F1" s="34" t="s">
        <v>189</v>
      </c>
      <c r="G1" s="34" t="s">
        <v>189</v>
      </c>
      <c r="H1" s="34" t="s">
        <v>189</v>
      </c>
      <c r="I1" s="34" t="s">
        <v>189</v>
      </c>
      <c r="J1" s="34" t="s">
        <v>189</v>
      </c>
      <c r="K1" s="34" t="s">
        <v>189</v>
      </c>
      <c r="L1" s="34" t="s">
        <v>189</v>
      </c>
      <c r="M1" s="34" t="s">
        <v>189</v>
      </c>
      <c r="N1" s="34" t="s">
        <v>189</v>
      </c>
      <c r="O1" s="34" t="s">
        <v>189</v>
      </c>
      <c r="P1" s="34" t="s">
        <v>189</v>
      </c>
      <c r="Q1" s="34" t="s">
        <v>189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10.1</v>
      </c>
      <c r="C4" s="30">
        <v>10.1</v>
      </c>
      <c r="D4" s="35">
        <v>2</v>
      </c>
      <c r="E4" s="31">
        <v>0</v>
      </c>
      <c r="F4" s="31">
        <v>0</v>
      </c>
      <c r="G4" s="31">
        <v>0.44444444444444442</v>
      </c>
      <c r="H4" s="31">
        <v>0.1111111111111111</v>
      </c>
      <c r="I4" s="32">
        <v>8400</v>
      </c>
      <c r="J4" s="32">
        <v>-8000</v>
      </c>
      <c r="K4" s="31">
        <v>0</v>
      </c>
      <c r="L4" s="31">
        <v>0.22222222222222221</v>
      </c>
      <c r="M4" s="31">
        <v>0.55555555555555558</v>
      </c>
      <c r="N4" s="31">
        <v>0.5</v>
      </c>
      <c r="O4" s="31">
        <v>0.6</v>
      </c>
      <c r="P4" s="31">
        <v>0.75</v>
      </c>
    </row>
    <row r="5" spans="1:17" x14ac:dyDescent="0.4">
      <c r="A5" s="33">
        <v>2</v>
      </c>
      <c r="B5" s="30">
        <v>36.4</v>
      </c>
      <c r="C5" s="30">
        <v>18.2</v>
      </c>
      <c r="D5" s="35">
        <v>2</v>
      </c>
      <c r="E5" s="31">
        <v>0</v>
      </c>
      <c r="F5" s="31">
        <v>0</v>
      </c>
      <c r="G5" s="31">
        <v>0.41176470588235292</v>
      </c>
      <c r="H5" s="31">
        <v>5.8823529411764705E-2</v>
      </c>
      <c r="I5" s="32">
        <v>9028.5714285714294</v>
      </c>
      <c r="J5" s="32">
        <v>-8000</v>
      </c>
      <c r="K5" s="31">
        <v>0</v>
      </c>
      <c r="L5" s="31">
        <v>0.29411764705882354</v>
      </c>
      <c r="M5" s="31">
        <v>0.47058823529411764</v>
      </c>
      <c r="N5" s="31">
        <v>0.4</v>
      </c>
      <c r="O5" s="31">
        <v>0.625</v>
      </c>
      <c r="P5" s="31">
        <v>0.5714285714285714</v>
      </c>
    </row>
    <row r="6" spans="1:17" x14ac:dyDescent="0.4">
      <c r="A6" s="33">
        <v>3</v>
      </c>
      <c r="B6" s="30">
        <v>36.4</v>
      </c>
      <c r="C6" s="30">
        <v>12.133333333333333</v>
      </c>
      <c r="D6" s="35">
        <v>2</v>
      </c>
      <c r="E6" s="31">
        <v>0</v>
      </c>
      <c r="F6" s="31">
        <v>0</v>
      </c>
      <c r="G6" s="31">
        <v>0.4</v>
      </c>
      <c r="H6" s="31">
        <v>0.12</v>
      </c>
      <c r="I6" s="32">
        <v>7780</v>
      </c>
      <c r="J6" s="32">
        <v>-6200</v>
      </c>
      <c r="K6" s="31">
        <v>0</v>
      </c>
      <c r="L6" s="31">
        <v>0.24</v>
      </c>
      <c r="M6" s="31">
        <v>0.52</v>
      </c>
      <c r="N6" s="31">
        <v>0.33333333333333331</v>
      </c>
      <c r="O6" s="31">
        <v>0.53846153846153844</v>
      </c>
      <c r="P6" s="31">
        <v>0.5</v>
      </c>
    </row>
    <row r="7" spans="1:17" x14ac:dyDescent="0.4">
      <c r="A7" s="33">
        <v>4</v>
      </c>
      <c r="B7" s="30">
        <v>13.299999999999997</v>
      </c>
      <c r="C7" s="30">
        <v>3.3249999999999993</v>
      </c>
      <c r="D7" s="35">
        <v>2.25</v>
      </c>
      <c r="E7" s="31">
        <v>0</v>
      </c>
      <c r="F7" s="31">
        <v>0.25</v>
      </c>
      <c r="G7" s="31">
        <v>0.33333333333333331</v>
      </c>
      <c r="H7" s="31">
        <v>0.1111111111111111</v>
      </c>
      <c r="I7" s="32">
        <v>7983.333333333333</v>
      </c>
      <c r="J7" s="32">
        <v>-6575</v>
      </c>
      <c r="K7" s="31">
        <v>0</v>
      </c>
      <c r="L7" s="31">
        <v>0.27777777777777779</v>
      </c>
      <c r="M7" s="31">
        <v>0.44444444444444442</v>
      </c>
      <c r="N7" s="31">
        <v>0.4</v>
      </c>
      <c r="O7" s="31">
        <v>0.4375</v>
      </c>
      <c r="P7" s="31">
        <v>0.5</v>
      </c>
    </row>
    <row r="8" spans="1:17" x14ac:dyDescent="0.4">
      <c r="A8" s="33">
        <v>5</v>
      </c>
      <c r="B8" s="30">
        <v>8.0999999999999979</v>
      </c>
      <c r="C8" s="30">
        <v>1.6199999999999997</v>
      </c>
      <c r="D8" s="35">
        <v>2.2000000000000002</v>
      </c>
      <c r="E8" s="31">
        <v>0</v>
      </c>
      <c r="F8" s="31">
        <v>0.2</v>
      </c>
      <c r="G8" s="31">
        <v>0.32608695652173914</v>
      </c>
      <c r="H8" s="31">
        <v>0.13043478260869565</v>
      </c>
      <c r="I8" s="32">
        <v>8240</v>
      </c>
      <c r="J8" s="32">
        <v>-7550</v>
      </c>
      <c r="K8" s="31">
        <v>0</v>
      </c>
      <c r="L8" s="31">
        <v>0.2608695652173913</v>
      </c>
      <c r="M8" s="31">
        <v>0.43478260869565216</v>
      </c>
      <c r="N8" s="31">
        <v>0.41666666666666669</v>
      </c>
      <c r="O8" s="31">
        <v>0.4</v>
      </c>
      <c r="P8" s="31">
        <v>0.53333333333333333</v>
      </c>
    </row>
    <row r="9" spans="1:17" x14ac:dyDescent="0.4">
      <c r="A9" s="33">
        <v>6</v>
      </c>
      <c r="B9" s="30">
        <v>24.7</v>
      </c>
      <c r="C9" s="30">
        <v>4.1166666666666663</v>
      </c>
      <c r="D9" s="35">
        <v>2</v>
      </c>
      <c r="E9" s="31">
        <v>0.16666666666666666</v>
      </c>
      <c r="F9" s="31">
        <v>0.16666666666666666</v>
      </c>
      <c r="G9" s="31">
        <v>0.33962264150943394</v>
      </c>
      <c r="H9" s="31">
        <v>0.13207547169811321</v>
      </c>
      <c r="I9" s="32">
        <v>8355.5555555555547</v>
      </c>
      <c r="J9" s="32">
        <v>-7571.4285714285716</v>
      </c>
      <c r="K9" s="31">
        <v>0</v>
      </c>
      <c r="L9" s="31">
        <v>0.28301886792452829</v>
      </c>
      <c r="M9" s="31">
        <v>0.43396226415094341</v>
      </c>
      <c r="N9" s="31">
        <v>0.46666666666666667</v>
      </c>
      <c r="O9" s="31">
        <v>0.39130434782608697</v>
      </c>
      <c r="P9" s="31">
        <v>0.55555555555555558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B5B74-3187-415F-8890-0825C8ECB029}">
  <sheetPr codeName="Sheet10"/>
  <dimension ref="A1:Q9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163</v>
      </c>
      <c r="B1" s="34" t="s">
        <v>163</v>
      </c>
      <c r="C1" s="34" t="s">
        <v>163</v>
      </c>
      <c r="D1" s="35" t="s">
        <v>163</v>
      </c>
      <c r="E1" s="34" t="s">
        <v>163</v>
      </c>
      <c r="F1" s="34" t="s">
        <v>163</v>
      </c>
      <c r="G1" s="34" t="s">
        <v>163</v>
      </c>
      <c r="H1" s="34" t="s">
        <v>163</v>
      </c>
      <c r="I1" s="34" t="s">
        <v>163</v>
      </c>
      <c r="J1" s="34" t="s">
        <v>163</v>
      </c>
      <c r="K1" s="34" t="s">
        <v>163</v>
      </c>
      <c r="L1" s="34" t="s">
        <v>163</v>
      </c>
      <c r="M1" s="34" t="s">
        <v>163</v>
      </c>
      <c r="N1" s="34" t="s">
        <v>163</v>
      </c>
      <c r="O1" s="34" t="s">
        <v>163</v>
      </c>
      <c r="P1" s="34" t="s">
        <v>163</v>
      </c>
      <c r="Q1" s="34" t="s">
        <v>163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-31</v>
      </c>
      <c r="C4" s="30">
        <v>-31</v>
      </c>
      <c r="D4" s="35">
        <v>3</v>
      </c>
      <c r="E4" s="31">
        <v>0</v>
      </c>
      <c r="F4" s="31">
        <v>1</v>
      </c>
      <c r="G4" s="31">
        <v>0.22222222222222221</v>
      </c>
      <c r="H4" s="31">
        <v>0.1111111111111111</v>
      </c>
      <c r="I4" s="32">
        <v>7950</v>
      </c>
      <c r="J4" s="32">
        <v>-12000</v>
      </c>
      <c r="K4" s="31">
        <v>0</v>
      </c>
      <c r="L4" s="31">
        <v>0.22222222222222221</v>
      </c>
      <c r="M4" s="31">
        <v>0.1111111111111111</v>
      </c>
      <c r="N4" s="31">
        <v>0.5</v>
      </c>
      <c r="O4" s="31">
        <v>1</v>
      </c>
      <c r="P4" s="31">
        <v>0.5</v>
      </c>
    </row>
    <row r="5" spans="1:17" x14ac:dyDescent="0.4">
      <c r="A5" s="33">
        <v>2</v>
      </c>
      <c r="B5" s="30">
        <v>-98.9</v>
      </c>
      <c r="C5" s="30">
        <v>-49.45</v>
      </c>
      <c r="D5" s="35">
        <v>3</v>
      </c>
      <c r="E5" s="31">
        <v>0</v>
      </c>
      <c r="F5" s="31">
        <v>1</v>
      </c>
      <c r="G5" s="31">
        <v>0.17647058823529413</v>
      </c>
      <c r="H5" s="31">
        <v>0.17647058823529413</v>
      </c>
      <c r="I5" s="32">
        <v>9300</v>
      </c>
      <c r="J5" s="32">
        <v>-23866.666666666668</v>
      </c>
      <c r="K5" s="31">
        <v>0.5</v>
      </c>
      <c r="L5" s="31">
        <v>0.29411764705882354</v>
      </c>
      <c r="M5" s="31">
        <v>0.11764705882352941</v>
      </c>
      <c r="N5" s="31">
        <v>0.4</v>
      </c>
      <c r="O5" s="31">
        <v>0.5</v>
      </c>
      <c r="P5" s="31">
        <v>0.33333333333333331</v>
      </c>
    </row>
    <row r="6" spans="1:17" x14ac:dyDescent="0.4">
      <c r="A6" s="33">
        <v>3</v>
      </c>
      <c r="B6" s="30">
        <v>-65.300000000000011</v>
      </c>
      <c r="C6" s="30">
        <v>-21.766666666666669</v>
      </c>
      <c r="D6" s="35">
        <v>2.3333333333333335</v>
      </c>
      <c r="E6" s="31">
        <v>0.33333333333333331</v>
      </c>
      <c r="F6" s="31">
        <v>0.66666666666666663</v>
      </c>
      <c r="G6" s="31">
        <v>0.30769230769230771</v>
      </c>
      <c r="H6" s="31">
        <v>0.15384615384615385</v>
      </c>
      <c r="I6" s="32">
        <v>7312.5</v>
      </c>
      <c r="J6" s="32">
        <v>-20900</v>
      </c>
      <c r="K6" s="31">
        <v>0.33333333333333331</v>
      </c>
      <c r="L6" s="31">
        <v>0.19230769230769232</v>
      </c>
      <c r="M6" s="31">
        <v>0.23076923076923078</v>
      </c>
      <c r="N6" s="31">
        <v>0.4</v>
      </c>
      <c r="O6" s="31">
        <v>0.5</v>
      </c>
      <c r="P6" s="31">
        <v>0.375</v>
      </c>
    </row>
    <row r="7" spans="1:17" x14ac:dyDescent="0.4">
      <c r="A7" s="33">
        <v>4</v>
      </c>
      <c r="B7" s="30">
        <v>-99.700000000000017</v>
      </c>
      <c r="C7" s="30">
        <v>-24.925000000000004</v>
      </c>
      <c r="D7" s="35">
        <v>2.5</v>
      </c>
      <c r="E7" s="31">
        <v>0.25</v>
      </c>
      <c r="F7" s="31">
        <v>0.75</v>
      </c>
      <c r="G7" s="31">
        <v>0.25</v>
      </c>
      <c r="H7" s="31">
        <v>0.15625</v>
      </c>
      <c r="I7" s="32">
        <v>7312.5</v>
      </c>
      <c r="J7" s="32">
        <v>-18260</v>
      </c>
      <c r="K7" s="31">
        <v>0.25</v>
      </c>
      <c r="L7" s="31">
        <v>0.15625</v>
      </c>
      <c r="M7" s="31">
        <v>0.28125</v>
      </c>
      <c r="N7" s="31">
        <v>0.4</v>
      </c>
      <c r="O7" s="31">
        <v>0.33333333333333331</v>
      </c>
      <c r="P7" s="31">
        <v>0.375</v>
      </c>
    </row>
    <row r="8" spans="1:17" x14ac:dyDescent="0.4">
      <c r="A8" s="33">
        <v>5</v>
      </c>
      <c r="B8" s="30">
        <v>-132.90000000000003</v>
      </c>
      <c r="C8" s="30">
        <v>-26.580000000000005</v>
      </c>
      <c r="D8" s="35">
        <v>2.6</v>
      </c>
      <c r="E8" s="31">
        <v>0.2</v>
      </c>
      <c r="F8" s="31">
        <v>0.8</v>
      </c>
      <c r="G8" s="31">
        <v>0.22222222222222221</v>
      </c>
      <c r="H8" s="31">
        <v>0.2</v>
      </c>
      <c r="I8" s="32">
        <v>7340</v>
      </c>
      <c r="J8" s="32">
        <v>-12566.666666666666</v>
      </c>
      <c r="K8" s="31">
        <v>0.2</v>
      </c>
      <c r="L8" s="31">
        <v>0.22222222222222221</v>
      </c>
      <c r="M8" s="31">
        <v>0.28888888888888886</v>
      </c>
      <c r="N8" s="31">
        <v>0.3</v>
      </c>
      <c r="O8" s="31">
        <v>0.30769230769230771</v>
      </c>
      <c r="P8" s="31">
        <v>0.3</v>
      </c>
    </row>
    <row r="9" spans="1:17" x14ac:dyDescent="0.4">
      <c r="A9" s="33">
        <v>6</v>
      </c>
      <c r="B9" s="30">
        <v>-182.90000000000003</v>
      </c>
      <c r="C9" s="30">
        <v>-30.483333333333338</v>
      </c>
      <c r="D9" s="35">
        <v>2.6666666666666665</v>
      </c>
      <c r="E9" s="31">
        <v>0.16666666666666666</v>
      </c>
      <c r="F9" s="31">
        <v>0.83333333333333337</v>
      </c>
      <c r="G9" s="31">
        <v>0.19607843137254902</v>
      </c>
      <c r="H9" s="31">
        <v>0.21568627450980393</v>
      </c>
      <c r="I9" s="32">
        <v>7340</v>
      </c>
      <c r="J9" s="32">
        <v>-12463.636363636364</v>
      </c>
      <c r="K9" s="31">
        <v>0.33333333333333331</v>
      </c>
      <c r="L9" s="31">
        <v>0.21568627450980393</v>
      </c>
      <c r="M9" s="31">
        <v>0.25490196078431371</v>
      </c>
      <c r="N9" s="31">
        <v>0.27272727272727271</v>
      </c>
      <c r="O9" s="31">
        <v>0.30769230769230771</v>
      </c>
      <c r="P9" s="31">
        <v>0.3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A0D8B-1F2E-4ACF-9CCF-C0DBD9FA8A32}">
  <sheetPr codeName="Sheet8"/>
  <dimension ref="A1:Q21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126</v>
      </c>
      <c r="B1" s="34" t="s">
        <v>126</v>
      </c>
      <c r="C1" s="34" t="s">
        <v>126</v>
      </c>
      <c r="D1" s="35" t="s">
        <v>126</v>
      </c>
      <c r="E1" s="34" t="s">
        <v>126</v>
      </c>
      <c r="F1" s="34" t="s">
        <v>126</v>
      </c>
      <c r="G1" s="34" t="s">
        <v>126</v>
      </c>
      <c r="H1" s="34" t="s">
        <v>126</v>
      </c>
      <c r="I1" s="34" t="s">
        <v>126</v>
      </c>
      <c r="J1" s="34" t="s">
        <v>126</v>
      </c>
      <c r="K1" s="34" t="s">
        <v>126</v>
      </c>
      <c r="L1" s="34" t="s">
        <v>126</v>
      </c>
      <c r="M1" s="34" t="s">
        <v>126</v>
      </c>
      <c r="N1" s="34" t="s">
        <v>126</v>
      </c>
      <c r="O1" s="34" t="s">
        <v>126</v>
      </c>
      <c r="P1" s="34" t="s">
        <v>126</v>
      </c>
      <c r="Q1" s="34" t="s">
        <v>126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20.9</v>
      </c>
      <c r="C4" s="30">
        <v>20.9</v>
      </c>
      <c r="D4" s="35">
        <v>1</v>
      </c>
      <c r="E4" s="31">
        <v>1</v>
      </c>
      <c r="F4" s="31">
        <v>0</v>
      </c>
      <c r="G4" s="31">
        <v>0.33333333333333331</v>
      </c>
      <c r="H4" s="31">
        <v>0.1111111111111111</v>
      </c>
      <c r="I4" s="32">
        <v>10666.666666666666</v>
      </c>
      <c r="J4" s="32">
        <v>-3900</v>
      </c>
      <c r="K4" s="31">
        <v>0</v>
      </c>
      <c r="L4" s="31">
        <v>0.22222222222222221</v>
      </c>
      <c r="M4" s="31">
        <v>0.22222222222222221</v>
      </c>
      <c r="N4" s="31">
        <v>0.5</v>
      </c>
      <c r="O4" s="31">
        <v>0.5</v>
      </c>
      <c r="P4" s="31">
        <v>0.66666666666666663</v>
      </c>
    </row>
    <row r="5" spans="1:17" x14ac:dyDescent="0.4">
      <c r="A5" s="33">
        <v>2</v>
      </c>
      <c r="B5" s="30">
        <v>62.5</v>
      </c>
      <c r="C5" s="30">
        <v>31.25</v>
      </c>
      <c r="D5" s="35">
        <v>1</v>
      </c>
      <c r="E5" s="31">
        <v>1</v>
      </c>
      <c r="F5" s="31">
        <v>0</v>
      </c>
      <c r="G5" s="31">
        <v>0.35294117647058826</v>
      </c>
      <c r="H5" s="31">
        <v>0.17647058823529413</v>
      </c>
      <c r="I5" s="32">
        <v>14266.666666666666</v>
      </c>
      <c r="J5" s="32">
        <v>-5966.666666666667</v>
      </c>
      <c r="K5" s="31">
        <v>0</v>
      </c>
      <c r="L5" s="31">
        <v>0.17647058823529413</v>
      </c>
      <c r="M5" s="31">
        <v>0.35294117647058826</v>
      </c>
      <c r="N5" s="31">
        <v>0.33333333333333331</v>
      </c>
      <c r="O5" s="31">
        <v>0.5</v>
      </c>
      <c r="P5" s="31">
        <v>0.66666666666666663</v>
      </c>
    </row>
    <row r="6" spans="1:17" x14ac:dyDescent="0.4">
      <c r="A6" s="33">
        <v>3</v>
      </c>
      <c r="B6" s="30">
        <v>40.5</v>
      </c>
      <c r="C6" s="30">
        <v>13.5</v>
      </c>
      <c r="D6" s="35">
        <v>1.3333333333333333</v>
      </c>
      <c r="E6" s="31">
        <v>0.66666666666666663</v>
      </c>
      <c r="F6" s="31">
        <v>0</v>
      </c>
      <c r="G6" s="31">
        <v>0.25925925925925924</v>
      </c>
      <c r="H6" s="31">
        <v>0.1111111111111111</v>
      </c>
      <c r="I6" s="32">
        <v>12628.571428571429</v>
      </c>
      <c r="J6" s="32">
        <v>-5966.666666666667</v>
      </c>
      <c r="K6" s="31">
        <v>0</v>
      </c>
      <c r="L6" s="31">
        <v>0.25925925925925924</v>
      </c>
      <c r="M6" s="31">
        <v>0.22222222222222221</v>
      </c>
      <c r="N6" s="31">
        <v>0.2857142857142857</v>
      </c>
      <c r="O6" s="31">
        <v>0.5</v>
      </c>
      <c r="P6" s="31">
        <v>0.7142857142857143</v>
      </c>
    </row>
    <row r="7" spans="1:17" x14ac:dyDescent="0.4">
      <c r="A7" s="33">
        <v>4</v>
      </c>
      <c r="B7" s="30">
        <v>74.5</v>
      </c>
      <c r="C7" s="30">
        <v>18.625</v>
      </c>
      <c r="D7" s="35">
        <v>1.25</v>
      </c>
      <c r="E7" s="31">
        <v>0.75</v>
      </c>
      <c r="F7" s="31">
        <v>0</v>
      </c>
      <c r="G7" s="31">
        <v>0.30303030303030304</v>
      </c>
      <c r="H7" s="31">
        <v>0.12121212121212122</v>
      </c>
      <c r="I7" s="32">
        <v>11640</v>
      </c>
      <c r="J7" s="32">
        <v>-4975</v>
      </c>
      <c r="K7" s="31">
        <v>0</v>
      </c>
      <c r="L7" s="31">
        <v>0.27272727272727271</v>
      </c>
      <c r="M7" s="31">
        <v>0.21212121212121213</v>
      </c>
      <c r="N7" s="31">
        <v>0.44444444444444442</v>
      </c>
      <c r="O7" s="31">
        <v>0.42857142857142855</v>
      </c>
      <c r="P7" s="31">
        <v>0.8</v>
      </c>
    </row>
    <row r="8" spans="1:17" x14ac:dyDescent="0.4">
      <c r="A8" s="33">
        <v>5</v>
      </c>
      <c r="B8" s="30">
        <v>123.5</v>
      </c>
      <c r="C8" s="30">
        <v>24.7</v>
      </c>
      <c r="D8" s="35">
        <v>1.2</v>
      </c>
      <c r="E8" s="31">
        <v>0.8</v>
      </c>
      <c r="F8" s="31">
        <v>0</v>
      </c>
      <c r="G8" s="31">
        <v>0.34210526315789475</v>
      </c>
      <c r="H8" s="31">
        <v>0.10526315789473684</v>
      </c>
      <c r="I8" s="32">
        <v>11723.076923076924</v>
      </c>
      <c r="J8" s="32">
        <v>-4975</v>
      </c>
      <c r="K8" s="31">
        <v>0</v>
      </c>
      <c r="L8" s="31">
        <v>0.23684210526315788</v>
      </c>
      <c r="M8" s="31">
        <v>0.23684210526315788</v>
      </c>
      <c r="N8" s="31">
        <v>0.44444444444444442</v>
      </c>
      <c r="O8" s="31">
        <v>0.55555555555555558</v>
      </c>
      <c r="P8" s="31">
        <v>0.69230769230769229</v>
      </c>
    </row>
    <row r="9" spans="1:17" x14ac:dyDescent="0.4">
      <c r="A9" s="33">
        <v>6</v>
      </c>
      <c r="B9" s="30">
        <v>111.9</v>
      </c>
      <c r="C9" s="30">
        <v>18.650000000000002</v>
      </c>
      <c r="D9" s="35">
        <v>1.5</v>
      </c>
      <c r="E9" s="31">
        <v>0.66666666666666663</v>
      </c>
      <c r="F9" s="31">
        <v>0.16666666666666666</v>
      </c>
      <c r="G9" s="31">
        <v>0.30434782608695654</v>
      </c>
      <c r="H9" s="31">
        <v>0.15217391304347827</v>
      </c>
      <c r="I9" s="32">
        <v>11457.142857142857</v>
      </c>
      <c r="J9" s="32">
        <v>-4642.8571428571431</v>
      </c>
      <c r="K9" s="31">
        <v>0</v>
      </c>
      <c r="L9" s="31">
        <v>0.2391304347826087</v>
      </c>
      <c r="M9" s="31">
        <v>0.2391304347826087</v>
      </c>
      <c r="N9" s="31">
        <v>0.36363636363636365</v>
      </c>
      <c r="O9" s="31">
        <v>0.54545454545454541</v>
      </c>
      <c r="P9" s="31">
        <v>0.6428571428571429</v>
      </c>
    </row>
    <row r="10" spans="1:17" x14ac:dyDescent="0.4">
      <c r="A10" s="33">
        <v>7</v>
      </c>
      <c r="B10" s="30">
        <v>103.7</v>
      </c>
      <c r="C10" s="30">
        <v>14.814285714285715</v>
      </c>
      <c r="D10" s="35">
        <v>1.5714285714285714</v>
      </c>
      <c r="E10" s="31">
        <v>0.5714285714285714</v>
      </c>
      <c r="F10" s="31">
        <v>0.14285714285714285</v>
      </c>
      <c r="G10" s="31">
        <v>0.2982456140350877</v>
      </c>
      <c r="H10" s="31">
        <v>0.14035087719298245</v>
      </c>
      <c r="I10" s="32">
        <v>10476.470588235294</v>
      </c>
      <c r="J10" s="32">
        <v>-4550</v>
      </c>
      <c r="K10" s="31">
        <v>0</v>
      </c>
      <c r="L10" s="31">
        <v>0.22807017543859648</v>
      </c>
      <c r="M10" s="31">
        <v>0.22807017543859648</v>
      </c>
      <c r="N10" s="31">
        <v>0.38461538461538464</v>
      </c>
      <c r="O10" s="31">
        <v>0.61538461538461542</v>
      </c>
      <c r="P10" s="31">
        <v>0.70588235294117652</v>
      </c>
    </row>
    <row r="11" spans="1:17" x14ac:dyDescent="0.4">
      <c r="A11" s="33">
        <v>8</v>
      </c>
      <c r="B11" s="30">
        <v>140.6</v>
      </c>
      <c r="C11" s="30">
        <v>17.574999999999999</v>
      </c>
      <c r="D11" s="35">
        <v>1.5</v>
      </c>
      <c r="E11" s="31">
        <v>0.625</v>
      </c>
      <c r="F11" s="31">
        <v>0.125</v>
      </c>
      <c r="G11" s="31">
        <v>0.29411764705882354</v>
      </c>
      <c r="H11" s="31">
        <v>0.13235294117647059</v>
      </c>
      <c r="I11" s="32">
        <v>11005</v>
      </c>
      <c r="J11" s="32">
        <v>-5377.7777777777774</v>
      </c>
      <c r="K11" s="31">
        <v>0</v>
      </c>
      <c r="L11" s="31">
        <v>0.22058823529411764</v>
      </c>
      <c r="M11" s="31">
        <v>0.23529411764705882</v>
      </c>
      <c r="N11" s="31">
        <v>0.4</v>
      </c>
      <c r="O11" s="31">
        <v>0.5625</v>
      </c>
      <c r="P11" s="31">
        <v>0.7</v>
      </c>
    </row>
    <row r="12" spans="1:17" x14ac:dyDescent="0.4">
      <c r="A12" s="33">
        <v>9</v>
      </c>
      <c r="B12" s="30">
        <v>127.8</v>
      </c>
      <c r="C12" s="30">
        <v>14.2</v>
      </c>
      <c r="D12" s="35">
        <v>1.5555555555555556</v>
      </c>
      <c r="E12" s="31">
        <v>0.55555555555555558</v>
      </c>
      <c r="F12" s="31">
        <v>0.1111111111111111</v>
      </c>
      <c r="G12" s="31">
        <v>0.28000000000000003</v>
      </c>
      <c r="H12" s="31">
        <v>0.12</v>
      </c>
      <c r="I12" s="32">
        <v>10666.666666666666</v>
      </c>
      <c r="J12" s="32">
        <v>-5377.7777777777774</v>
      </c>
      <c r="K12" s="31">
        <v>0</v>
      </c>
      <c r="L12" s="31">
        <v>0.22666666666666666</v>
      </c>
      <c r="M12" s="31">
        <v>0.22666666666666666</v>
      </c>
      <c r="N12" s="31">
        <v>0.35294117647058826</v>
      </c>
      <c r="O12" s="31">
        <v>0.52941176470588236</v>
      </c>
      <c r="P12" s="31">
        <v>0.66666666666666663</v>
      </c>
    </row>
    <row r="13" spans="1:17" x14ac:dyDescent="0.4">
      <c r="A13" s="33">
        <v>10</v>
      </c>
      <c r="B13" s="30">
        <v>134.4</v>
      </c>
      <c r="C13" s="30">
        <v>13.440000000000001</v>
      </c>
      <c r="D13" s="35">
        <v>1.6</v>
      </c>
      <c r="E13" s="31">
        <v>0.5</v>
      </c>
      <c r="F13" s="31">
        <v>0.1</v>
      </c>
      <c r="G13" s="31">
        <v>0.28409090909090912</v>
      </c>
      <c r="H13" s="31">
        <v>0.125</v>
      </c>
      <c r="I13" s="32">
        <v>10080</v>
      </c>
      <c r="J13" s="32">
        <v>-5754.545454545455</v>
      </c>
      <c r="K13" s="31">
        <v>0</v>
      </c>
      <c r="L13" s="31">
        <v>0.22727272727272727</v>
      </c>
      <c r="M13" s="31">
        <v>0.25</v>
      </c>
      <c r="N13" s="31">
        <v>0.4</v>
      </c>
      <c r="O13" s="31">
        <v>0.5</v>
      </c>
      <c r="P13" s="31">
        <v>0.68</v>
      </c>
    </row>
    <row r="14" spans="1:17" x14ac:dyDescent="0.4">
      <c r="A14" s="33">
        <v>11</v>
      </c>
      <c r="B14" s="30">
        <v>212.4</v>
      </c>
      <c r="C14" s="30">
        <v>19.309090909090909</v>
      </c>
      <c r="D14" s="35">
        <v>1.5454545454545454</v>
      </c>
      <c r="E14" s="31">
        <v>0.54545454545454541</v>
      </c>
      <c r="F14" s="31">
        <v>9.0909090909090912E-2</v>
      </c>
      <c r="G14" s="31">
        <v>0.32978723404255317</v>
      </c>
      <c r="H14" s="31">
        <v>0.11702127659574468</v>
      </c>
      <c r="I14" s="32">
        <v>9967.7419354838712</v>
      </c>
      <c r="J14" s="32">
        <v>-5754.545454545455</v>
      </c>
      <c r="K14" s="31">
        <v>0</v>
      </c>
      <c r="L14" s="31">
        <v>0.24468085106382978</v>
      </c>
      <c r="M14" s="31">
        <v>0.25531914893617019</v>
      </c>
      <c r="N14" s="31">
        <v>0.47826086956521741</v>
      </c>
      <c r="O14" s="31">
        <v>0.54166666666666663</v>
      </c>
      <c r="P14" s="31">
        <v>0.64516129032258063</v>
      </c>
    </row>
    <row r="15" spans="1:17" x14ac:dyDescent="0.4">
      <c r="A15" s="33">
        <v>12</v>
      </c>
      <c r="B15" s="30">
        <v>239</v>
      </c>
      <c r="C15" s="30">
        <v>19.916666666666668</v>
      </c>
      <c r="D15" s="35">
        <v>1.5</v>
      </c>
      <c r="E15" s="31">
        <v>0.58333333333333337</v>
      </c>
      <c r="F15" s="31">
        <v>8.3333333333333329E-2</v>
      </c>
      <c r="G15" s="31">
        <v>0.34615384615384615</v>
      </c>
      <c r="H15" s="31">
        <v>0.125</v>
      </c>
      <c r="I15" s="32">
        <v>9775</v>
      </c>
      <c r="J15" s="32">
        <v>-6238.4615384615381</v>
      </c>
      <c r="K15" s="31">
        <v>0</v>
      </c>
      <c r="L15" s="31">
        <v>0.24038461538461539</v>
      </c>
      <c r="M15" s="31">
        <v>0.25961538461538464</v>
      </c>
      <c r="N15" s="31">
        <v>0.48</v>
      </c>
      <c r="O15" s="31">
        <v>0.55555555555555558</v>
      </c>
      <c r="P15" s="31">
        <v>0.61111111111111116</v>
      </c>
    </row>
    <row r="16" spans="1:17" x14ac:dyDescent="0.4">
      <c r="A16" s="33">
        <v>13</v>
      </c>
      <c r="B16" s="30">
        <v>236</v>
      </c>
      <c r="C16" s="30">
        <v>18.153846153846153</v>
      </c>
      <c r="D16" s="35">
        <v>1.5384615384615385</v>
      </c>
      <c r="E16" s="31">
        <v>0.53846153846153844</v>
      </c>
      <c r="F16" s="31">
        <v>7.6923076923076927E-2</v>
      </c>
      <c r="G16" s="31">
        <v>0.34234234234234234</v>
      </c>
      <c r="H16" s="31">
        <v>0.12612612612612611</v>
      </c>
      <c r="I16" s="32">
        <v>9778.9473684210534</v>
      </c>
      <c r="J16" s="32">
        <v>-6364.2857142857147</v>
      </c>
      <c r="K16" s="31">
        <v>0</v>
      </c>
      <c r="L16" s="31">
        <v>0.24324324324324326</v>
      </c>
      <c r="M16" s="31">
        <v>0.26126126126126126</v>
      </c>
      <c r="N16" s="31">
        <v>0.48148148148148145</v>
      </c>
      <c r="O16" s="31">
        <v>0.55172413793103448</v>
      </c>
      <c r="P16" s="31">
        <v>0.60526315789473684</v>
      </c>
    </row>
    <row r="17" spans="1:16" x14ac:dyDescent="0.4">
      <c r="A17" s="33">
        <v>14</v>
      </c>
      <c r="B17" s="30">
        <v>222</v>
      </c>
      <c r="C17" s="30">
        <v>15.857142857142858</v>
      </c>
      <c r="D17" s="35">
        <v>1.5714285714285714</v>
      </c>
      <c r="E17" s="31">
        <v>0.5</v>
      </c>
      <c r="F17" s="31">
        <v>7.1428571428571425E-2</v>
      </c>
      <c r="G17" s="31">
        <v>0.33050847457627119</v>
      </c>
      <c r="H17" s="31">
        <v>0.11864406779661017</v>
      </c>
      <c r="I17" s="32">
        <v>9589.7435897435898</v>
      </c>
      <c r="J17" s="32">
        <v>-6364.2857142857147</v>
      </c>
      <c r="K17" s="31">
        <v>0</v>
      </c>
      <c r="L17" s="31">
        <v>0.23728813559322035</v>
      </c>
      <c r="M17" s="31">
        <v>0.25423728813559321</v>
      </c>
      <c r="N17" s="31">
        <v>0.5</v>
      </c>
      <c r="O17" s="31">
        <v>0.53333333333333333</v>
      </c>
      <c r="P17" s="31">
        <v>0.58974358974358976</v>
      </c>
    </row>
    <row r="18" spans="1:16" x14ac:dyDescent="0.4">
      <c r="A18" s="33">
        <v>15</v>
      </c>
      <c r="B18" s="30">
        <v>190.9</v>
      </c>
      <c r="C18" s="30">
        <v>12.726666666666667</v>
      </c>
      <c r="D18" s="35">
        <v>1.6666666666666667</v>
      </c>
      <c r="E18" s="31">
        <v>0.46666666666666667</v>
      </c>
      <c r="F18" s="31">
        <v>0.13333333333333333</v>
      </c>
      <c r="G18" s="31">
        <v>0.34399999999999997</v>
      </c>
      <c r="H18" s="31">
        <v>0.12</v>
      </c>
      <c r="I18" s="32">
        <v>9148.8372093023263</v>
      </c>
      <c r="J18" s="32">
        <v>-7540</v>
      </c>
      <c r="K18" s="31">
        <v>0</v>
      </c>
      <c r="L18" s="31">
        <v>0.25600000000000001</v>
      </c>
      <c r="M18" s="31">
        <v>0.24</v>
      </c>
      <c r="N18" s="31">
        <v>0.53125</v>
      </c>
      <c r="O18" s="31">
        <v>0.53333333333333333</v>
      </c>
      <c r="P18" s="31">
        <v>0.53488372093023251</v>
      </c>
    </row>
    <row r="19" spans="1:16" x14ac:dyDescent="0.4">
      <c r="A19" s="33">
        <v>16</v>
      </c>
      <c r="B19" s="30">
        <v>164.20000000000002</v>
      </c>
      <c r="C19" s="30">
        <v>10.262500000000001</v>
      </c>
      <c r="D19" s="35">
        <v>1.75</v>
      </c>
      <c r="E19" s="31">
        <v>0.4375</v>
      </c>
      <c r="F19" s="31">
        <v>0.1875</v>
      </c>
      <c r="G19" s="31">
        <v>0.33587786259541985</v>
      </c>
      <c r="H19" s="31">
        <v>0.12977099236641221</v>
      </c>
      <c r="I19" s="32">
        <v>9059.0909090909099</v>
      </c>
      <c r="J19" s="32">
        <v>-7182.3529411764703</v>
      </c>
      <c r="K19" s="31">
        <v>0</v>
      </c>
      <c r="L19" s="31">
        <v>0.24427480916030533</v>
      </c>
      <c r="M19" s="31">
        <v>0.23664122137404581</v>
      </c>
      <c r="N19" s="31">
        <v>0.53125</v>
      </c>
      <c r="O19" s="31">
        <v>0.54838709677419351</v>
      </c>
      <c r="P19" s="31">
        <v>0.52272727272727271</v>
      </c>
    </row>
    <row r="20" spans="1:16" x14ac:dyDescent="0.4">
      <c r="A20" s="33">
        <v>17</v>
      </c>
      <c r="B20" s="30">
        <v>164.3</v>
      </c>
      <c r="C20" s="30">
        <v>9.6647058823529424</v>
      </c>
      <c r="D20" s="35">
        <v>1.7647058823529411</v>
      </c>
      <c r="E20" s="31">
        <v>0.41176470588235292</v>
      </c>
      <c r="F20" s="31">
        <v>0.17647058823529413</v>
      </c>
      <c r="G20" s="31">
        <v>0.33576642335766421</v>
      </c>
      <c r="H20" s="31">
        <v>0.13868613138686131</v>
      </c>
      <c r="I20" s="32">
        <v>9100</v>
      </c>
      <c r="J20" s="32">
        <v>-6736.8421052631575</v>
      </c>
      <c r="K20" s="31">
        <v>0</v>
      </c>
      <c r="L20" s="31">
        <v>0.25547445255474455</v>
      </c>
      <c r="M20" s="31">
        <v>0.23357664233576642</v>
      </c>
      <c r="N20" s="31">
        <v>0.51428571428571423</v>
      </c>
      <c r="O20" s="31">
        <v>0.53125</v>
      </c>
      <c r="P20" s="31">
        <v>0.5</v>
      </c>
    </row>
    <row r="21" spans="1:16" x14ac:dyDescent="0.4">
      <c r="A21" s="33">
        <v>18</v>
      </c>
      <c r="B21" s="30">
        <v>188.9</v>
      </c>
      <c r="C21" s="30">
        <v>10.494444444444445</v>
      </c>
      <c r="D21" s="35">
        <v>1.7222222222222223</v>
      </c>
      <c r="E21" s="31">
        <v>0.44444444444444442</v>
      </c>
      <c r="F21" s="31">
        <v>0.16666666666666666</v>
      </c>
      <c r="G21" s="31">
        <v>0.34228187919463088</v>
      </c>
      <c r="H21" s="31">
        <v>0.13422818791946309</v>
      </c>
      <c r="I21" s="32">
        <v>9135.2941176470595</v>
      </c>
      <c r="J21" s="32">
        <v>-6545</v>
      </c>
      <c r="K21" s="31">
        <v>0</v>
      </c>
      <c r="L21" s="31">
        <v>0.26845637583892618</v>
      </c>
      <c r="M21" s="31">
        <v>0.2348993288590604</v>
      </c>
      <c r="N21" s="31">
        <v>0.5</v>
      </c>
      <c r="O21" s="31">
        <v>0.54285714285714282</v>
      </c>
      <c r="P21" s="31">
        <v>0.52941176470588236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5B668-1D74-4511-92EC-30E1EA065876}">
  <sheetPr codeName="Sheet6"/>
  <dimension ref="A1:Q28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139</v>
      </c>
      <c r="B1" s="34" t="s">
        <v>139</v>
      </c>
      <c r="C1" s="34" t="s">
        <v>139</v>
      </c>
      <c r="D1" s="35" t="s">
        <v>139</v>
      </c>
      <c r="E1" s="34" t="s">
        <v>139</v>
      </c>
      <c r="F1" s="34" t="s">
        <v>139</v>
      </c>
      <c r="G1" s="34" t="s">
        <v>139</v>
      </c>
      <c r="H1" s="34" t="s">
        <v>139</v>
      </c>
      <c r="I1" s="34" t="s">
        <v>139</v>
      </c>
      <c r="J1" s="34" t="s">
        <v>139</v>
      </c>
      <c r="K1" s="34" t="s">
        <v>139</v>
      </c>
      <c r="L1" s="34" t="s">
        <v>139</v>
      </c>
      <c r="M1" s="34" t="s">
        <v>139</v>
      </c>
      <c r="N1" s="34" t="s">
        <v>139</v>
      </c>
      <c r="O1" s="34" t="s">
        <v>139</v>
      </c>
      <c r="P1" s="34" t="s">
        <v>139</v>
      </c>
      <c r="Q1" s="34" t="s">
        <v>139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-1.7763568394002505E-15</v>
      </c>
      <c r="C4" s="30">
        <v>-5.9211894646675012E-16</v>
      </c>
      <c r="D4" s="35">
        <v>2</v>
      </c>
      <c r="E4" s="31">
        <v>0.33333333333333331</v>
      </c>
      <c r="F4" s="31">
        <v>0.33333333333333331</v>
      </c>
      <c r="G4" s="31">
        <v>0.33333333333333331</v>
      </c>
      <c r="H4" s="31">
        <v>0.1111111111111111</v>
      </c>
      <c r="I4" s="32">
        <v>9055.5555555555547</v>
      </c>
      <c r="J4" s="32">
        <v>-7966.666666666667</v>
      </c>
      <c r="K4" s="31">
        <v>0</v>
      </c>
      <c r="L4" s="31">
        <v>0.22222222222222221</v>
      </c>
      <c r="M4" s="31">
        <v>0.29629629629629628</v>
      </c>
      <c r="N4" s="31">
        <v>0.5</v>
      </c>
      <c r="O4" s="31">
        <v>0.625</v>
      </c>
      <c r="P4" s="31">
        <v>0.66666666666666663</v>
      </c>
    </row>
    <row r="5" spans="1:17" x14ac:dyDescent="0.4">
      <c r="A5" s="33">
        <v>2</v>
      </c>
      <c r="B5" s="30">
        <v>-7.1054273576010019E-15</v>
      </c>
      <c r="C5" s="30">
        <v>-1.1842378929335002E-15</v>
      </c>
      <c r="D5" s="35">
        <v>2</v>
      </c>
      <c r="E5" s="31">
        <v>0.33333333333333331</v>
      </c>
      <c r="F5" s="31">
        <v>0.33333333333333331</v>
      </c>
      <c r="G5" s="31">
        <v>0.31372549019607843</v>
      </c>
      <c r="H5" s="31">
        <v>0.13725490196078433</v>
      </c>
      <c r="I5" s="32">
        <v>11043.75</v>
      </c>
      <c r="J5" s="32">
        <v>-13928.571428571429</v>
      </c>
      <c r="K5" s="31">
        <v>0.16666666666666666</v>
      </c>
      <c r="L5" s="31">
        <v>0.25490196078431371</v>
      </c>
      <c r="M5" s="31">
        <v>0.31372549019607843</v>
      </c>
      <c r="N5" s="31">
        <v>0.38461538461538464</v>
      </c>
      <c r="O5" s="31">
        <v>0.5625</v>
      </c>
      <c r="P5" s="31">
        <v>0.5625</v>
      </c>
    </row>
    <row r="6" spans="1:17" x14ac:dyDescent="0.4">
      <c r="A6" s="33">
        <v>3</v>
      </c>
      <c r="B6" s="30">
        <v>-7.1054273576010019E-15</v>
      </c>
      <c r="C6" s="30">
        <v>-7.894919286223335E-16</v>
      </c>
      <c r="D6" s="35">
        <v>2</v>
      </c>
      <c r="E6" s="31">
        <v>0.33333333333333331</v>
      </c>
      <c r="F6" s="31">
        <v>0.33333333333333331</v>
      </c>
      <c r="G6" s="31">
        <v>0.2839506172839506</v>
      </c>
      <c r="H6" s="31">
        <v>0.1111111111111111</v>
      </c>
      <c r="I6" s="32">
        <v>10095.652173913044</v>
      </c>
      <c r="J6" s="32">
        <v>-12122.222222222223</v>
      </c>
      <c r="K6" s="31">
        <v>0.1111111111111111</v>
      </c>
      <c r="L6" s="31">
        <v>0.2839506172839506</v>
      </c>
      <c r="M6" s="31">
        <v>0.25925925925925924</v>
      </c>
      <c r="N6" s="31">
        <v>0.39130434782608697</v>
      </c>
      <c r="O6" s="31">
        <v>0.5714285714285714</v>
      </c>
      <c r="P6" s="31">
        <v>0.60869565217391308</v>
      </c>
    </row>
    <row r="7" spans="1:17" x14ac:dyDescent="0.4">
      <c r="A7" s="33">
        <v>4</v>
      </c>
      <c r="B7" s="30">
        <v>-7.1054273576010019E-15</v>
      </c>
      <c r="C7" s="30">
        <v>-5.9211894646675012E-16</v>
      </c>
      <c r="D7" s="35">
        <v>2</v>
      </c>
      <c r="E7" s="31">
        <v>0.33333333333333331</v>
      </c>
      <c r="F7" s="31">
        <v>0.33333333333333331</v>
      </c>
      <c r="G7" s="31">
        <v>0.28282828282828282</v>
      </c>
      <c r="H7" s="31">
        <v>0.1111111111111111</v>
      </c>
      <c r="I7" s="32">
        <v>9639.2857142857138</v>
      </c>
      <c r="J7" s="32">
        <v>-10800</v>
      </c>
      <c r="K7" s="31">
        <v>8.3333333333333329E-2</v>
      </c>
      <c r="L7" s="31">
        <v>0.27272727272727271</v>
      </c>
      <c r="M7" s="31">
        <v>0.23232323232323232</v>
      </c>
      <c r="N7" s="31">
        <v>0.44444444444444442</v>
      </c>
      <c r="O7" s="31">
        <v>0.52173913043478259</v>
      </c>
      <c r="P7" s="31">
        <v>0.6071428571428571</v>
      </c>
    </row>
    <row r="8" spans="1:17" x14ac:dyDescent="0.4">
      <c r="A8" s="33">
        <v>5</v>
      </c>
      <c r="B8" s="30">
        <v>-7.1054273576010019E-15</v>
      </c>
      <c r="C8" s="30">
        <v>-4.7369515717340012E-16</v>
      </c>
      <c r="D8" s="35">
        <v>2</v>
      </c>
      <c r="E8" s="31">
        <v>0.33333333333333331</v>
      </c>
      <c r="F8" s="31">
        <v>0.33333333333333331</v>
      </c>
      <c r="G8" s="31">
        <v>0.27192982456140352</v>
      </c>
      <c r="H8" s="31">
        <v>0.11403508771929824</v>
      </c>
      <c r="I8" s="32">
        <v>9867.7419354838712</v>
      </c>
      <c r="J8" s="32">
        <v>-10984.615384615385</v>
      </c>
      <c r="K8" s="31">
        <v>0.13333333333333333</v>
      </c>
      <c r="L8" s="31">
        <v>0.24561403508771928</v>
      </c>
      <c r="M8" s="31">
        <v>0.24561403508771928</v>
      </c>
      <c r="N8" s="31">
        <v>0.42857142857142855</v>
      </c>
      <c r="O8" s="31">
        <v>0.5</v>
      </c>
      <c r="P8" s="31">
        <v>0.58064516129032262</v>
      </c>
    </row>
    <row r="9" spans="1:17" x14ac:dyDescent="0.4">
      <c r="A9" s="33">
        <v>6</v>
      </c>
      <c r="B9" s="30">
        <v>-7.1054273576010019E-15</v>
      </c>
      <c r="C9" s="30">
        <v>-3.9474596431116675E-16</v>
      </c>
      <c r="D9" s="35">
        <v>2</v>
      </c>
      <c r="E9" s="31">
        <v>0.33333333333333331</v>
      </c>
      <c r="F9" s="31">
        <v>0.33333333333333331</v>
      </c>
      <c r="G9" s="31">
        <v>0.26811594202898553</v>
      </c>
      <c r="H9" s="31">
        <v>0.13043478260869565</v>
      </c>
      <c r="I9" s="32">
        <v>8975.6756756756749</v>
      </c>
      <c r="J9" s="32">
        <v>-9222.2222222222226</v>
      </c>
      <c r="K9" s="31">
        <v>0.1111111111111111</v>
      </c>
      <c r="L9" s="31">
        <v>0.22463768115942029</v>
      </c>
      <c r="M9" s="31">
        <v>0.26811594202898553</v>
      </c>
      <c r="N9" s="31">
        <v>0.38709677419354838</v>
      </c>
      <c r="O9" s="31">
        <v>0.48648648648648651</v>
      </c>
      <c r="P9" s="31">
        <v>0.51351351351351349</v>
      </c>
    </row>
    <row r="10" spans="1:17" x14ac:dyDescent="0.4">
      <c r="A10" s="33">
        <v>7</v>
      </c>
      <c r="B10" s="30">
        <v>-7.1054273576010019E-15</v>
      </c>
      <c r="C10" s="30">
        <v>-3.3835368369528578E-16</v>
      </c>
      <c r="D10" s="35">
        <v>2</v>
      </c>
      <c r="E10" s="31">
        <v>0.33333333333333331</v>
      </c>
      <c r="F10" s="31">
        <v>0.33333333333333331</v>
      </c>
      <c r="G10" s="31">
        <v>0.27485380116959063</v>
      </c>
      <c r="H10" s="31">
        <v>0.12280701754385964</v>
      </c>
      <c r="I10" s="32">
        <v>8646.8085106382987</v>
      </c>
      <c r="J10" s="32">
        <v>-9028.5714285714294</v>
      </c>
      <c r="K10" s="31">
        <v>9.5238095238095233E-2</v>
      </c>
      <c r="L10" s="31">
        <v>0.24561403508771928</v>
      </c>
      <c r="M10" s="31">
        <v>0.25146198830409355</v>
      </c>
      <c r="N10" s="31">
        <v>0.42857142857142855</v>
      </c>
      <c r="O10" s="31">
        <v>0.48837209302325579</v>
      </c>
      <c r="P10" s="31">
        <v>0.55319148936170215</v>
      </c>
    </row>
    <row r="11" spans="1:17" x14ac:dyDescent="0.4">
      <c r="A11" s="33">
        <v>8</v>
      </c>
      <c r="B11" s="30">
        <v>-7.1054273576010019E-15</v>
      </c>
      <c r="C11" s="30">
        <v>-2.9605947323337506E-16</v>
      </c>
      <c r="D11" s="35">
        <v>2</v>
      </c>
      <c r="E11" s="31">
        <v>0.33333333333333331</v>
      </c>
      <c r="F11" s="31">
        <v>0.33333333333333331</v>
      </c>
      <c r="G11" s="31">
        <v>0.26760563380281688</v>
      </c>
      <c r="H11" s="31">
        <v>0.13615023474178403</v>
      </c>
      <c r="I11" s="32">
        <v>8559.6491228070172</v>
      </c>
      <c r="J11" s="32">
        <v>-8727.5862068965525</v>
      </c>
      <c r="K11" s="31">
        <v>8.3333333333333329E-2</v>
      </c>
      <c r="L11" s="31">
        <v>0.26291079812206575</v>
      </c>
      <c r="M11" s="31">
        <v>0.23474178403755869</v>
      </c>
      <c r="N11" s="31">
        <v>0.42857142857142855</v>
      </c>
      <c r="O11" s="31">
        <v>0.5</v>
      </c>
      <c r="P11" s="31">
        <v>0.49122807017543857</v>
      </c>
    </row>
    <row r="12" spans="1:17" x14ac:dyDescent="0.4">
      <c r="A12" s="33">
        <v>9</v>
      </c>
      <c r="B12" s="30">
        <v>-7.1054273576010019E-15</v>
      </c>
      <c r="C12" s="30">
        <v>-2.631639762074445E-16</v>
      </c>
      <c r="D12" s="35">
        <v>2</v>
      </c>
      <c r="E12" s="31">
        <v>0.33333333333333331</v>
      </c>
      <c r="F12" s="31">
        <v>0.33333333333333331</v>
      </c>
      <c r="G12" s="31">
        <v>0.27027027027027029</v>
      </c>
      <c r="H12" s="31">
        <v>0.14414414414414414</v>
      </c>
      <c r="I12" s="32">
        <v>8548.3333333333339</v>
      </c>
      <c r="J12" s="32">
        <v>-8690.625</v>
      </c>
      <c r="K12" s="31">
        <v>7.407407407407407E-2</v>
      </c>
      <c r="L12" s="31">
        <v>0.26126126126126126</v>
      </c>
      <c r="M12" s="31">
        <v>0.23423423423423423</v>
      </c>
      <c r="N12" s="31">
        <v>0.43103448275862066</v>
      </c>
      <c r="O12" s="31">
        <v>0.51923076923076927</v>
      </c>
      <c r="P12" s="31">
        <v>0.46666666666666667</v>
      </c>
    </row>
    <row r="13" spans="1:17" x14ac:dyDescent="0.4">
      <c r="A13" s="33">
        <v>10</v>
      </c>
      <c r="B13" s="30">
        <v>-8.4376949871511897E-15</v>
      </c>
      <c r="C13" s="30">
        <v>-2.8125649957170631E-16</v>
      </c>
      <c r="D13" s="35">
        <v>2</v>
      </c>
      <c r="E13" s="31">
        <v>0.33333333333333331</v>
      </c>
      <c r="F13" s="31">
        <v>0.33333333333333331</v>
      </c>
      <c r="G13" s="31">
        <v>0.26666666666666666</v>
      </c>
      <c r="H13" s="31">
        <v>0.14117647058823529</v>
      </c>
      <c r="I13" s="32">
        <v>8660.2941176470595</v>
      </c>
      <c r="J13" s="32">
        <v>-9052.7777777777774</v>
      </c>
      <c r="K13" s="31">
        <v>6.6666666666666666E-2</v>
      </c>
      <c r="L13" s="31">
        <v>0.2627450980392157</v>
      </c>
      <c r="M13" s="31">
        <v>0.24705882352941178</v>
      </c>
      <c r="N13" s="31">
        <v>0.38805970149253732</v>
      </c>
      <c r="O13" s="31">
        <v>0.49206349206349204</v>
      </c>
      <c r="P13" s="31">
        <v>0.47058823529411764</v>
      </c>
    </row>
    <row r="14" spans="1:17" x14ac:dyDescent="0.4">
      <c r="A14" s="33">
        <v>11</v>
      </c>
      <c r="B14" s="30">
        <v>0</v>
      </c>
      <c r="C14" s="30">
        <v>0</v>
      </c>
      <c r="D14" s="35">
        <v>2</v>
      </c>
      <c r="E14" s="31">
        <v>0.33333333333333331</v>
      </c>
      <c r="F14" s="31">
        <v>0.33333333333333331</v>
      </c>
      <c r="G14" s="31">
        <v>0.27173913043478259</v>
      </c>
      <c r="H14" s="31">
        <v>0.14492753623188406</v>
      </c>
      <c r="I14" s="32">
        <v>8710.6666666666661</v>
      </c>
      <c r="J14" s="32">
        <v>-8977.5</v>
      </c>
      <c r="K14" s="31">
        <v>6.0606060606060608E-2</v>
      </c>
      <c r="L14" s="31">
        <v>0.26811594202898553</v>
      </c>
      <c r="M14" s="31">
        <v>0.24275362318840579</v>
      </c>
      <c r="N14" s="31">
        <v>0.40540540540540543</v>
      </c>
      <c r="O14" s="31">
        <v>0.47761194029850745</v>
      </c>
      <c r="P14" s="31">
        <v>0.46666666666666667</v>
      </c>
    </row>
    <row r="15" spans="1:17" x14ac:dyDescent="0.4">
      <c r="A15" s="33">
        <v>12</v>
      </c>
      <c r="B15" s="30">
        <v>3.5527136788005009E-15</v>
      </c>
      <c r="C15" s="30">
        <v>9.8686491077791687E-17</v>
      </c>
      <c r="D15" s="35">
        <v>2</v>
      </c>
      <c r="E15" s="31">
        <v>0.33333333333333331</v>
      </c>
      <c r="F15" s="31">
        <v>0.33333333333333331</v>
      </c>
      <c r="G15" s="31">
        <v>0.27392739273927391</v>
      </c>
      <c r="H15" s="31">
        <v>0.15181518151815182</v>
      </c>
      <c r="I15" s="32">
        <v>8573.4939759036151</v>
      </c>
      <c r="J15" s="32">
        <v>-8908.6956521739139</v>
      </c>
      <c r="K15" s="31">
        <v>8.3333333333333329E-2</v>
      </c>
      <c r="L15" s="31">
        <v>0.264026402640264</v>
      </c>
      <c r="M15" s="31">
        <v>0.24422442244224424</v>
      </c>
      <c r="N15" s="31">
        <v>0.38750000000000001</v>
      </c>
      <c r="O15" s="31">
        <v>0.48648648648648651</v>
      </c>
      <c r="P15" s="31">
        <v>0.44578313253012047</v>
      </c>
    </row>
    <row r="16" spans="1:17" x14ac:dyDescent="0.4">
      <c r="A16" s="33">
        <v>13</v>
      </c>
      <c r="B16" s="30">
        <v>1.0658141036401503E-14</v>
      </c>
      <c r="C16" s="30">
        <v>2.7328566760003855E-16</v>
      </c>
      <c r="D16" s="35">
        <v>2</v>
      </c>
      <c r="E16" s="31">
        <v>0.33333333333333331</v>
      </c>
      <c r="F16" s="31">
        <v>0.33333333333333331</v>
      </c>
      <c r="G16" s="31">
        <v>0.27725856697819312</v>
      </c>
      <c r="H16" s="31">
        <v>0.14641744548286603</v>
      </c>
      <c r="I16" s="32">
        <v>8215.7303370786522</v>
      </c>
      <c r="J16" s="32">
        <v>-8882.978723404256</v>
      </c>
      <c r="K16" s="31">
        <v>7.6923076923076927E-2</v>
      </c>
      <c r="L16" s="31">
        <v>0.25856697819314639</v>
      </c>
      <c r="M16" s="31">
        <v>0.24610591900311526</v>
      </c>
      <c r="N16" s="31">
        <v>0.40963855421686746</v>
      </c>
      <c r="O16" s="31">
        <v>0.48101265822784811</v>
      </c>
      <c r="P16" s="31">
        <v>0.47191011235955055</v>
      </c>
    </row>
    <row r="17" spans="1:16" x14ac:dyDescent="0.4">
      <c r="A17" s="33">
        <v>14</v>
      </c>
      <c r="B17" s="30">
        <v>1.0658141036401503E-14</v>
      </c>
      <c r="C17" s="30">
        <v>2.5376526277146434E-16</v>
      </c>
      <c r="D17" s="35">
        <v>2</v>
      </c>
      <c r="E17" s="31">
        <v>0.33333333333333331</v>
      </c>
      <c r="F17" s="31">
        <v>0.33333333333333331</v>
      </c>
      <c r="G17" s="31">
        <v>0.27536231884057971</v>
      </c>
      <c r="H17" s="31">
        <v>0.14782608695652175</v>
      </c>
      <c r="I17" s="32">
        <v>8114.7368421052633</v>
      </c>
      <c r="J17" s="32">
        <v>-8688.2352941176468</v>
      </c>
      <c r="K17" s="31">
        <v>7.1428571428571425E-2</v>
      </c>
      <c r="L17" s="31">
        <v>0.24927536231884059</v>
      </c>
      <c r="M17" s="31">
        <v>0.24347826086956523</v>
      </c>
      <c r="N17" s="31">
        <v>0.43023255813953487</v>
      </c>
      <c r="O17" s="31">
        <v>0.47619047619047616</v>
      </c>
      <c r="P17" s="31">
        <v>0.4631578947368421</v>
      </c>
    </row>
    <row r="18" spans="1:16" x14ac:dyDescent="0.4">
      <c r="A18" s="33">
        <v>15</v>
      </c>
      <c r="B18" s="30">
        <v>8.8817841970012523E-15</v>
      </c>
      <c r="C18" s="30">
        <v>1.9737298215558337E-16</v>
      </c>
      <c r="D18" s="35">
        <v>2</v>
      </c>
      <c r="E18" s="31">
        <v>0.33333333333333331</v>
      </c>
      <c r="F18" s="31">
        <v>0.33333333333333331</v>
      </c>
      <c r="G18" s="31">
        <v>0.27604166666666669</v>
      </c>
      <c r="H18" s="31">
        <v>0.15104166666666666</v>
      </c>
      <c r="I18" s="32">
        <v>7958.4905660377362</v>
      </c>
      <c r="J18" s="32">
        <v>-8339.6551724137935</v>
      </c>
      <c r="K18" s="31">
        <v>6.6666666666666666E-2</v>
      </c>
      <c r="L18" s="31">
        <v>0.25260416666666669</v>
      </c>
      <c r="M18" s="31">
        <v>0.25</v>
      </c>
      <c r="N18" s="31">
        <v>0.44329896907216493</v>
      </c>
      <c r="O18" s="31">
        <v>0.45833333333333331</v>
      </c>
      <c r="P18" s="31">
        <v>0.45283018867924529</v>
      </c>
    </row>
    <row r="19" spans="1:16" x14ac:dyDescent="0.4">
      <c r="A19" s="33">
        <v>16</v>
      </c>
      <c r="B19" s="30">
        <v>7.1054273576010019E-15</v>
      </c>
      <c r="C19" s="30">
        <v>1.4802973661668753E-16</v>
      </c>
      <c r="D19" s="35">
        <v>2</v>
      </c>
      <c r="E19" s="31">
        <v>0.33333333333333331</v>
      </c>
      <c r="F19" s="31">
        <v>0.33333333333333331</v>
      </c>
      <c r="G19" s="31">
        <v>0.27860696517412936</v>
      </c>
      <c r="H19" s="31">
        <v>0.15174129353233831</v>
      </c>
      <c r="I19" s="32">
        <v>8041.0714285714284</v>
      </c>
      <c r="J19" s="32">
        <v>-8519.6721311475412</v>
      </c>
      <c r="K19" s="31">
        <v>8.3333333333333329E-2</v>
      </c>
      <c r="L19" s="31">
        <v>0.25124378109452739</v>
      </c>
      <c r="M19" s="31">
        <v>0.2462686567164179</v>
      </c>
      <c r="N19" s="31">
        <v>0.45544554455445546</v>
      </c>
      <c r="O19" s="31">
        <v>0.46464646464646464</v>
      </c>
      <c r="P19" s="31">
        <v>0.45535714285714285</v>
      </c>
    </row>
    <row r="20" spans="1:16" x14ac:dyDescent="0.4">
      <c r="A20" s="33">
        <v>17</v>
      </c>
      <c r="B20" s="30">
        <v>1.0658141036401503E-14</v>
      </c>
      <c r="C20" s="30">
        <v>2.0898315757650005E-16</v>
      </c>
      <c r="D20" s="35">
        <v>2</v>
      </c>
      <c r="E20" s="31">
        <v>0.33333333333333331</v>
      </c>
      <c r="F20" s="31">
        <v>0.33333333333333331</v>
      </c>
      <c r="G20" s="31">
        <v>0.28240740740740738</v>
      </c>
      <c r="H20" s="31">
        <v>0.15277777777777779</v>
      </c>
      <c r="I20" s="32">
        <v>8084.4262295081971</v>
      </c>
      <c r="J20" s="32">
        <v>-8490.9090909090901</v>
      </c>
      <c r="K20" s="31">
        <v>7.8431372549019607E-2</v>
      </c>
      <c r="L20" s="31">
        <v>0.25231481481481483</v>
      </c>
      <c r="M20" s="31">
        <v>0.25462962962962965</v>
      </c>
      <c r="N20" s="31">
        <v>0.44954128440366975</v>
      </c>
      <c r="O20" s="31">
        <v>0.45454545454545453</v>
      </c>
      <c r="P20" s="31">
        <v>0.45901639344262296</v>
      </c>
    </row>
    <row r="21" spans="1:16" x14ac:dyDescent="0.4">
      <c r="A21" s="33">
        <v>18</v>
      </c>
      <c r="B21" s="30">
        <v>1.0658141036401503E-14</v>
      </c>
      <c r="C21" s="30">
        <v>1.9737298215558337E-16</v>
      </c>
      <c r="D21" s="35">
        <v>2</v>
      </c>
      <c r="E21" s="31">
        <v>0.33333333333333331</v>
      </c>
      <c r="F21" s="31">
        <v>0.33333333333333331</v>
      </c>
      <c r="G21" s="31">
        <v>0.28354978354978355</v>
      </c>
      <c r="H21" s="31">
        <v>0.14935064935064934</v>
      </c>
      <c r="I21" s="32">
        <v>8060.3053435114507</v>
      </c>
      <c r="J21" s="32">
        <v>-8513.04347826087</v>
      </c>
      <c r="K21" s="31">
        <v>7.407407407407407E-2</v>
      </c>
      <c r="L21" s="31">
        <v>0.25108225108225107</v>
      </c>
      <c r="M21" s="31">
        <v>0.24675324675324675</v>
      </c>
      <c r="N21" s="31">
        <v>0.45689655172413796</v>
      </c>
      <c r="O21" s="31">
        <v>0.45614035087719296</v>
      </c>
      <c r="P21" s="31">
        <v>0.47328244274809161</v>
      </c>
    </row>
    <row r="22" spans="1:16" x14ac:dyDescent="0.4">
      <c r="A22" s="33">
        <v>19</v>
      </c>
      <c r="B22" s="30">
        <v>1.0658141036401503E-14</v>
      </c>
      <c r="C22" s="30">
        <v>1.8698493046318425E-16</v>
      </c>
      <c r="D22" s="35">
        <v>2</v>
      </c>
      <c r="E22" s="31">
        <v>0.33333333333333331</v>
      </c>
      <c r="F22" s="31">
        <v>0.33333333333333331</v>
      </c>
      <c r="G22" s="31">
        <v>0.2839506172839506</v>
      </c>
      <c r="H22" s="31">
        <v>0.15020576131687244</v>
      </c>
      <c r="I22" s="32">
        <v>8098.550724637681</v>
      </c>
      <c r="J22" s="32">
        <v>-8408.2191780821922</v>
      </c>
      <c r="K22" s="31">
        <v>7.0175438596491224E-2</v>
      </c>
      <c r="L22" s="31">
        <v>0.25102880658436216</v>
      </c>
      <c r="M22" s="31">
        <v>0.24074074074074073</v>
      </c>
      <c r="N22" s="31">
        <v>0.46721311475409838</v>
      </c>
      <c r="O22" s="31">
        <v>0.46153846153846156</v>
      </c>
      <c r="P22" s="31">
        <v>0.47101449275362317</v>
      </c>
    </row>
    <row r="23" spans="1:16" x14ac:dyDescent="0.4">
      <c r="A23" s="33">
        <v>20</v>
      </c>
      <c r="B23" s="30">
        <v>1.2434497875801753E-14</v>
      </c>
      <c r="C23" s="30">
        <v>2.0724163126336256E-16</v>
      </c>
      <c r="D23" s="35">
        <v>2</v>
      </c>
      <c r="E23" s="31">
        <v>0.33333333333333331</v>
      </c>
      <c r="F23" s="31">
        <v>0.33333333333333331</v>
      </c>
      <c r="G23" s="31">
        <v>0.28599605522682447</v>
      </c>
      <c r="H23" s="31">
        <v>0.14990138067061143</v>
      </c>
      <c r="I23" s="32">
        <v>8136.5517241379312</v>
      </c>
      <c r="J23" s="32">
        <v>-8384.21052631579</v>
      </c>
      <c r="K23" s="31">
        <v>6.6666666666666666E-2</v>
      </c>
      <c r="L23" s="31">
        <v>0.25246548323471402</v>
      </c>
      <c r="M23" s="31">
        <v>0.2465483234714004</v>
      </c>
      <c r="N23" s="31">
        <v>0.4765625</v>
      </c>
      <c r="O23" s="31">
        <v>0.45600000000000002</v>
      </c>
      <c r="P23" s="31">
        <v>0.47586206896551725</v>
      </c>
    </row>
    <row r="24" spans="1:16" x14ac:dyDescent="0.4">
      <c r="A24" s="33">
        <v>21</v>
      </c>
      <c r="B24" s="30">
        <v>1.4210854715202004E-14</v>
      </c>
      <c r="C24" s="30">
        <v>2.2556912246352386E-16</v>
      </c>
      <c r="D24" s="35">
        <v>2</v>
      </c>
      <c r="E24" s="31">
        <v>0.33333333333333331</v>
      </c>
      <c r="F24" s="31">
        <v>0.33333333333333331</v>
      </c>
      <c r="G24" s="31">
        <v>0.28598484848484851</v>
      </c>
      <c r="H24" s="31">
        <v>0.14772727272727273</v>
      </c>
      <c r="I24" s="32">
        <v>8067.5496688741723</v>
      </c>
      <c r="J24" s="32">
        <v>-8216.6666666666661</v>
      </c>
      <c r="K24" s="31">
        <v>6.3492063492063489E-2</v>
      </c>
      <c r="L24" s="31">
        <v>0.24810606060606061</v>
      </c>
      <c r="M24" s="31">
        <v>0.24242424242424243</v>
      </c>
      <c r="N24" s="31">
        <v>0.48854961832061067</v>
      </c>
      <c r="O24" s="31">
        <v>0.4453125</v>
      </c>
      <c r="P24" s="31">
        <v>0.48344370860927155</v>
      </c>
    </row>
    <row r="25" spans="1:16" x14ac:dyDescent="0.4">
      <c r="A25" s="33">
        <v>22</v>
      </c>
      <c r="B25" s="30">
        <v>7.1054273576010019E-15</v>
      </c>
      <c r="C25" s="30">
        <v>1.0765799026668185E-16</v>
      </c>
      <c r="D25" s="35">
        <v>2</v>
      </c>
      <c r="E25" s="31">
        <v>0.33333333333333331</v>
      </c>
      <c r="F25" s="31">
        <v>0.33333333333333331</v>
      </c>
      <c r="G25" s="31">
        <v>0.28779599271402551</v>
      </c>
      <c r="H25" s="31">
        <v>0.151183970856102</v>
      </c>
      <c r="I25" s="32">
        <v>8136.7088607594933</v>
      </c>
      <c r="J25" s="32">
        <v>-8244.5783132530123</v>
      </c>
      <c r="K25" s="31">
        <v>6.0606060606060608E-2</v>
      </c>
      <c r="L25" s="31">
        <v>0.24590163934426229</v>
      </c>
      <c r="M25" s="31">
        <v>0.24043715846994534</v>
      </c>
      <c r="N25" s="31">
        <v>0.49629629629629629</v>
      </c>
      <c r="O25" s="31">
        <v>0.43939393939393939</v>
      </c>
      <c r="P25" s="31">
        <v>0.47468354430379744</v>
      </c>
    </row>
    <row r="26" spans="1:16" x14ac:dyDescent="0.4">
      <c r="A26" s="33">
        <v>23</v>
      </c>
      <c r="B26" s="30">
        <v>1.0658141036401503E-14</v>
      </c>
      <c r="C26" s="30">
        <v>1.5446581212176091E-16</v>
      </c>
      <c r="D26" s="35">
        <v>2</v>
      </c>
      <c r="E26" s="31">
        <v>0.33333333333333331</v>
      </c>
      <c r="F26" s="31">
        <v>0.33333333333333331</v>
      </c>
      <c r="G26" s="31">
        <v>0.2874779541446208</v>
      </c>
      <c r="H26" s="31">
        <v>0.15167548500881833</v>
      </c>
      <c r="I26" s="32">
        <v>8095.0920245398775</v>
      </c>
      <c r="J26" s="32">
        <v>-8122.0930232558139</v>
      </c>
      <c r="K26" s="31">
        <v>5.7971014492753624E-2</v>
      </c>
      <c r="L26" s="31">
        <v>0.24514991181657847</v>
      </c>
      <c r="M26" s="31">
        <v>0.24514991181657847</v>
      </c>
      <c r="N26" s="31">
        <v>0.49640287769784175</v>
      </c>
      <c r="O26" s="31">
        <v>0.43884892086330934</v>
      </c>
      <c r="P26" s="31">
        <v>0.47239263803680981</v>
      </c>
    </row>
    <row r="27" spans="1:16" x14ac:dyDescent="0.4">
      <c r="A27" s="33">
        <v>24</v>
      </c>
      <c r="B27" s="30">
        <v>1.4210854715202004E-14</v>
      </c>
      <c r="C27" s="30">
        <v>1.9737298215558337E-16</v>
      </c>
      <c r="D27" s="35">
        <v>2</v>
      </c>
      <c r="E27" s="31">
        <v>0.33333333333333331</v>
      </c>
      <c r="F27" s="31">
        <v>0.33333333333333331</v>
      </c>
      <c r="G27" s="31">
        <v>0.28888888888888886</v>
      </c>
      <c r="H27" s="31">
        <v>0.15555555555555556</v>
      </c>
      <c r="I27" s="32">
        <v>8118.3431952662722</v>
      </c>
      <c r="J27" s="32">
        <v>-7989.0109890109889</v>
      </c>
      <c r="K27" s="31">
        <v>5.5555555555555552E-2</v>
      </c>
      <c r="L27" s="31">
        <v>0.24957264957264957</v>
      </c>
      <c r="M27" s="31">
        <v>0.24444444444444444</v>
      </c>
      <c r="N27" s="31">
        <v>0.49315068493150682</v>
      </c>
      <c r="O27" s="31">
        <v>0.44055944055944057</v>
      </c>
      <c r="P27" s="31">
        <v>0.46153846153846156</v>
      </c>
    </row>
    <row r="28" spans="1:16" x14ac:dyDescent="0.4">
      <c r="A28" s="33">
        <v>25</v>
      </c>
      <c r="B28" s="30">
        <v>1.4210854715202004E-14</v>
      </c>
      <c r="C28" s="30">
        <v>1.8947806286936006E-16</v>
      </c>
      <c r="D28" s="35">
        <v>2</v>
      </c>
      <c r="E28" s="31">
        <v>0.33333333333333331</v>
      </c>
      <c r="F28" s="31">
        <v>0.33333333333333331</v>
      </c>
      <c r="G28" s="31">
        <v>0.29146537842190018</v>
      </c>
      <c r="H28" s="31">
        <v>0.14975845410628019</v>
      </c>
      <c r="I28" s="32">
        <v>8153.5911602209944</v>
      </c>
      <c r="J28" s="32">
        <v>-7977.4193548387093</v>
      </c>
      <c r="K28" s="31">
        <v>5.3333333333333337E-2</v>
      </c>
      <c r="L28" s="31">
        <v>0.25120772946859904</v>
      </c>
      <c r="M28" s="31">
        <v>0.23832528180354268</v>
      </c>
      <c r="N28" s="31">
        <v>0.49358974358974361</v>
      </c>
      <c r="O28" s="31">
        <v>0.44594594594594594</v>
      </c>
      <c r="P28" s="31">
        <v>0.48618784530386738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756</vt:i4>
      </vt:variant>
    </vt:vector>
  </HeadingPairs>
  <TitlesOfParts>
    <vt:vector size="798" baseType="lpstr">
      <vt:lpstr>Cache</vt:lpstr>
      <vt:lpstr>Template2</vt:lpstr>
      <vt:lpstr>Players</vt:lpstr>
      <vt:lpstr>Template1</vt:lpstr>
      <vt:lpstr>ランキング</vt:lpstr>
      <vt:lpstr>全体</vt:lpstr>
      <vt:lpstr>だいち</vt:lpstr>
      <vt:lpstr>れんたろう</vt:lpstr>
      <vt:lpstr>たかの</vt:lpstr>
      <vt:lpstr>まっつん</vt:lpstr>
      <vt:lpstr>いちかわ</vt:lpstr>
      <vt:lpstr>ただ</vt:lpstr>
      <vt:lpstr>たか</vt:lpstr>
      <vt:lpstr>のり</vt:lpstr>
      <vt:lpstr>りくと</vt:lpstr>
      <vt:lpstr>わさび</vt:lpstr>
      <vt:lpstr>わさび2</vt:lpstr>
      <vt:lpstr>りくと2</vt:lpstr>
      <vt:lpstr>のり2</vt:lpstr>
      <vt:lpstr>たか2</vt:lpstr>
      <vt:lpstr>ただ2</vt:lpstr>
      <vt:lpstr>いちかわ2</vt:lpstr>
      <vt:lpstr>まっつん2</vt:lpstr>
      <vt:lpstr>たかの2</vt:lpstr>
      <vt:lpstr>れんたろう2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いちかわ!アガリ数</vt:lpstr>
      <vt:lpstr>だいち!アガリ数</vt:lpstr>
      <vt:lpstr>たか!アガリ数</vt:lpstr>
      <vt:lpstr>たかの!アガリ数</vt:lpstr>
      <vt:lpstr>ただ!アガリ数</vt:lpstr>
      <vt:lpstr>のり!アガリ数</vt:lpstr>
      <vt:lpstr>まっつん!アガリ数</vt:lpstr>
      <vt:lpstr>りくと!アガリ数</vt:lpstr>
      <vt:lpstr>れんたろう!アガリ数</vt:lpstr>
      <vt:lpstr>わさび!アガリ数</vt:lpstr>
      <vt:lpstr>全体!アガリ数</vt:lpstr>
      <vt:lpstr>Template1!アガリ率</vt:lpstr>
      <vt:lpstr>いちかわ!アガリ率</vt:lpstr>
      <vt:lpstr>だいち!アガリ率</vt:lpstr>
      <vt:lpstr>たか!アガリ率</vt:lpstr>
      <vt:lpstr>たかの!アガリ率</vt:lpstr>
      <vt:lpstr>ただ!アガリ率</vt:lpstr>
      <vt:lpstr>のり!アガリ率</vt:lpstr>
      <vt:lpstr>まっつん!アガリ率</vt:lpstr>
      <vt:lpstr>りくと!アガリ率</vt:lpstr>
      <vt:lpstr>れんたろう!アガリ率</vt:lpstr>
      <vt:lpstr>わさび!アガリ率</vt:lpstr>
      <vt:lpstr>全体!アガリ率</vt:lpstr>
      <vt:lpstr>Template1!ダマアガリ数</vt:lpstr>
      <vt:lpstr>いちかわ!ダマアガリ数</vt:lpstr>
      <vt:lpstr>だいち!ダマアガリ数</vt:lpstr>
      <vt:lpstr>たか!ダマアガリ数</vt:lpstr>
      <vt:lpstr>たかの!ダマアガリ数</vt:lpstr>
      <vt:lpstr>ただ!ダマアガリ数</vt:lpstr>
      <vt:lpstr>のり!ダマアガリ数</vt:lpstr>
      <vt:lpstr>まっつん!ダマアガリ数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Template1!ダマアガリ率</vt:lpstr>
      <vt:lpstr>いちかわ!ダマアガリ率</vt:lpstr>
      <vt:lpstr>だいち!ダマアガリ率</vt:lpstr>
      <vt:lpstr>たか!ダマアガリ率</vt:lpstr>
      <vt:lpstr>たかの!ダマアガリ率</vt:lpstr>
      <vt:lpstr>ただ!ダマアガリ率</vt:lpstr>
      <vt:lpstr>のり!ダマアガリ率</vt:lpstr>
      <vt:lpstr>まっつん!ダマアガリ率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Template1!チョンボ数</vt:lpstr>
      <vt:lpstr>いちかわ!チョンボ数</vt:lpstr>
      <vt:lpstr>だいち!チョンボ数</vt:lpstr>
      <vt:lpstr>たか!チョンボ数</vt:lpstr>
      <vt:lpstr>たかの!チョンボ数</vt:lpstr>
      <vt:lpstr>ただ!チョンボ数</vt:lpstr>
      <vt:lpstr>のり!チョンボ数</vt:lpstr>
      <vt:lpstr>まっつん!チョンボ数</vt:lpstr>
      <vt:lpstr>りくと!チョンボ数</vt:lpstr>
      <vt:lpstr>れんたろう!チョンボ数</vt:lpstr>
      <vt:lpstr>わさび!チョンボ数</vt:lpstr>
      <vt:lpstr>全体!チョンボ数</vt:lpstr>
      <vt:lpstr>Template1!チョンボ率</vt:lpstr>
      <vt:lpstr>いちかわ!チョンボ率</vt:lpstr>
      <vt:lpstr>だいち!チョンボ率</vt:lpstr>
      <vt:lpstr>たか!チョンボ率</vt:lpstr>
      <vt:lpstr>たかの!チョンボ率</vt:lpstr>
      <vt:lpstr>ただ!チョンボ率</vt:lpstr>
      <vt:lpstr>のり!チョンボ率</vt:lpstr>
      <vt:lpstr>まっつん!チョンボ率</vt:lpstr>
      <vt:lpstr>りくと!チョンボ率</vt:lpstr>
      <vt:lpstr>れんたろう!チョンボ率</vt:lpstr>
      <vt:lpstr>わさび!チョンボ率</vt:lpstr>
      <vt:lpstr>全体!チョンボ率</vt:lpstr>
      <vt:lpstr>Template1!ツモ数</vt:lpstr>
      <vt:lpstr>いちかわ!ツモ数</vt:lpstr>
      <vt:lpstr>だいち!ツモ数</vt:lpstr>
      <vt:lpstr>たか!ツモ数</vt:lpstr>
      <vt:lpstr>たかの!ツモ数</vt:lpstr>
      <vt:lpstr>ただ!ツモ数</vt:lpstr>
      <vt:lpstr>のり!ツモ数</vt:lpstr>
      <vt:lpstr>まっつん!ツモ数</vt:lpstr>
      <vt:lpstr>りくと!ツモ数</vt:lpstr>
      <vt:lpstr>れんたろう!ツモ数</vt:lpstr>
      <vt:lpstr>わさび!ツモ数</vt:lpstr>
      <vt:lpstr>全体!ツモ数</vt:lpstr>
      <vt:lpstr>Template1!ツモ率</vt:lpstr>
      <vt:lpstr>いちかわ!ツモ率</vt:lpstr>
      <vt:lpstr>だいち!ツモ率</vt:lpstr>
      <vt:lpstr>たか!ツモ率</vt:lpstr>
      <vt:lpstr>たかの!ツモ率</vt:lpstr>
      <vt:lpstr>ただ!ツモ率</vt:lpstr>
      <vt:lpstr>のり!ツモ率</vt:lpstr>
      <vt:lpstr>まっつん!ツモ率</vt:lpstr>
      <vt:lpstr>りくと!ツモ率</vt:lpstr>
      <vt:lpstr>れんたろう!ツモ率</vt:lpstr>
      <vt:lpstr>わさび!ツモ率</vt:lpstr>
      <vt:lpstr>全体!ツモ率</vt:lpstr>
      <vt:lpstr>Template1!トップ数</vt:lpstr>
      <vt:lpstr>いちかわ!トップ数</vt:lpstr>
      <vt:lpstr>だいち!トップ数</vt:lpstr>
      <vt:lpstr>たか!トップ数</vt:lpstr>
      <vt:lpstr>たかの!トップ数</vt:lpstr>
      <vt:lpstr>ただ!トップ数</vt:lpstr>
      <vt:lpstr>のり!トップ数</vt:lpstr>
      <vt:lpstr>まっつん!トップ数</vt:lpstr>
      <vt:lpstr>りくと!トップ数</vt:lpstr>
      <vt:lpstr>れんたろう!トップ数</vt:lpstr>
      <vt:lpstr>わさび!トップ数</vt:lpstr>
      <vt:lpstr>全体!トップ数</vt:lpstr>
      <vt:lpstr>Template1!トップ率</vt:lpstr>
      <vt:lpstr>いちかわ!トップ率</vt:lpstr>
      <vt:lpstr>だいち!トップ率</vt:lpstr>
      <vt:lpstr>たか!トップ率</vt:lpstr>
      <vt:lpstr>たかの!トップ率</vt:lpstr>
      <vt:lpstr>ただ!トップ率</vt:lpstr>
      <vt:lpstr>のり!トップ率</vt:lpstr>
      <vt:lpstr>まっつん!トップ率</vt:lpstr>
      <vt:lpstr>りくと!トップ率</vt:lpstr>
      <vt:lpstr>れんたろう!トップ率</vt:lpstr>
      <vt:lpstr>わさび!トップ率</vt:lpstr>
      <vt:lpstr>全体!トップ率</vt:lpstr>
      <vt:lpstr>いちかわ!バランス</vt:lpstr>
      <vt:lpstr>だいち!バランス</vt:lpstr>
      <vt:lpstr>たか!バランス</vt:lpstr>
      <vt:lpstr>たかの!バランス</vt:lpstr>
      <vt:lpstr>ただ!バランス</vt:lpstr>
      <vt:lpstr>のり!バランス</vt:lpstr>
      <vt:lpstr>まっつん!バランス</vt:lpstr>
      <vt:lpstr>りくと!バランス</vt:lpstr>
      <vt:lpstr>れんたろう!バランス</vt:lpstr>
      <vt:lpstr>わさび!バランス</vt:lpstr>
      <vt:lpstr>全体!バランス</vt:lpstr>
      <vt:lpstr>バランス</vt:lpstr>
      <vt:lpstr>Template1!ふっとび数</vt:lpstr>
      <vt:lpstr>いちかわ!ふっとび数</vt:lpstr>
      <vt:lpstr>だいち!ふっとび数</vt:lpstr>
      <vt:lpstr>たか!ふっとび数</vt:lpstr>
      <vt:lpstr>たかの!ふっとび数</vt:lpstr>
      <vt:lpstr>ただ!ふっとび数</vt:lpstr>
      <vt:lpstr>のり!ふっとび数</vt:lpstr>
      <vt:lpstr>まっつん!ふっとび数</vt:lpstr>
      <vt:lpstr>りくと!ふっとび数</vt:lpstr>
      <vt:lpstr>れんたろう!ふっとび数</vt:lpstr>
      <vt:lpstr>わさび!ふっとび数</vt:lpstr>
      <vt:lpstr>全体!ふっとび数</vt:lpstr>
      <vt:lpstr>Template1!ふっとび率</vt:lpstr>
      <vt:lpstr>いちかわ!ふっとび率</vt:lpstr>
      <vt:lpstr>だいち!ふっとび率</vt:lpstr>
      <vt:lpstr>たか!ふっとび率</vt:lpstr>
      <vt:lpstr>たかの!ふっとび率</vt:lpstr>
      <vt:lpstr>ただ!ふっとび率</vt:lpstr>
      <vt:lpstr>のり!ふっとび率</vt:lpstr>
      <vt:lpstr>まっつん!ふっとび率</vt:lpstr>
      <vt:lpstr>りくと!ふっとび率</vt:lpstr>
      <vt:lpstr>れんたろう!ふっとび率</vt:lpstr>
      <vt:lpstr>わさび!ふっとび率</vt:lpstr>
      <vt:lpstr>全体!ふっとび率</vt:lpstr>
      <vt:lpstr>Template1!ラス数</vt:lpstr>
      <vt:lpstr>いちかわ!ラス数</vt:lpstr>
      <vt:lpstr>だいち!ラス数</vt:lpstr>
      <vt:lpstr>たか!ラス数</vt:lpstr>
      <vt:lpstr>たかの!ラス数</vt:lpstr>
      <vt:lpstr>ただ!ラス数</vt:lpstr>
      <vt:lpstr>のり!ラス数</vt:lpstr>
      <vt:lpstr>まっつん!ラス数</vt:lpstr>
      <vt:lpstr>りくと!ラス数</vt:lpstr>
      <vt:lpstr>れんたろう!ラス数</vt:lpstr>
      <vt:lpstr>わさび!ラス数</vt:lpstr>
      <vt:lpstr>全体!ラス数</vt:lpstr>
      <vt:lpstr>Template1!ラス率</vt:lpstr>
      <vt:lpstr>いちかわ!ラス率</vt:lpstr>
      <vt:lpstr>だいち!ラス率</vt:lpstr>
      <vt:lpstr>たか!ラス率</vt:lpstr>
      <vt:lpstr>たかの!ラス率</vt:lpstr>
      <vt:lpstr>ただ!ラス率</vt:lpstr>
      <vt:lpstr>のり!ラス率</vt:lpstr>
      <vt:lpstr>まっつん!ラス率</vt:lpstr>
      <vt:lpstr>りくと!ラス率</vt:lpstr>
      <vt:lpstr>れんたろう!ラス率</vt:lpstr>
      <vt:lpstr>わさび!ラス率</vt:lpstr>
      <vt:lpstr>全体!ラス率</vt:lpstr>
      <vt:lpstr>Template1!リーチアガリ数</vt:lpstr>
      <vt:lpstr>いちかわ!リーチアガリ数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のり!リーチアガリ数</vt:lpstr>
      <vt:lpstr>まっつん!リーチアガリ数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Template1!リーチアガリ率</vt:lpstr>
      <vt:lpstr>いちかわ!リーチアガリ率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のり!リーチアガリ率</vt:lpstr>
      <vt:lpstr>まっつん!リーチアガリ率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Template1!リーチ数</vt:lpstr>
      <vt:lpstr>いちかわ!リーチ数</vt:lpstr>
      <vt:lpstr>だいち!リーチ数</vt:lpstr>
      <vt:lpstr>たか!リーチ数</vt:lpstr>
      <vt:lpstr>たかの!リーチ数</vt:lpstr>
      <vt:lpstr>ただ!リーチ数</vt:lpstr>
      <vt:lpstr>のり!リーチ数</vt:lpstr>
      <vt:lpstr>まっつん!リーチ数</vt:lpstr>
      <vt:lpstr>りくと!リーチ数</vt:lpstr>
      <vt:lpstr>れんたろう!リーチ数</vt:lpstr>
      <vt:lpstr>わさび!リーチ数</vt:lpstr>
      <vt:lpstr>全体!リーチ数</vt:lpstr>
      <vt:lpstr>Template1!リーチ成功数</vt:lpstr>
      <vt:lpstr>いちかわ!リーチ成功数</vt:lpstr>
      <vt:lpstr>だいち!リーチ成功数</vt:lpstr>
      <vt:lpstr>たか!リーチ成功数</vt:lpstr>
      <vt:lpstr>たかの!リーチ成功数</vt:lpstr>
      <vt:lpstr>ただ!リーチ成功数</vt:lpstr>
      <vt:lpstr>のり!リーチ成功数</vt:lpstr>
      <vt:lpstr>まっつん!リーチ成功数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Template1!リーチ成功率</vt:lpstr>
      <vt:lpstr>いちかわ!リーチ成功率</vt:lpstr>
      <vt:lpstr>だいち!リーチ成功率</vt:lpstr>
      <vt:lpstr>たか!リーチ成功率</vt:lpstr>
      <vt:lpstr>たかの!リーチ成功率</vt:lpstr>
      <vt:lpstr>ただ!リーチ成功率</vt:lpstr>
      <vt:lpstr>のり!リーチ成功率</vt:lpstr>
      <vt:lpstr>まっつん!リーチ成功率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Template1!リーチ率</vt:lpstr>
      <vt:lpstr>いちかわ!リーチ率</vt:lpstr>
      <vt:lpstr>だいち!リーチ率</vt:lpstr>
      <vt:lpstr>たか!リーチ率</vt:lpstr>
      <vt:lpstr>たかの!リーチ率</vt:lpstr>
      <vt:lpstr>ただ!リーチ率</vt:lpstr>
      <vt:lpstr>のり!リーチ率</vt:lpstr>
      <vt:lpstr>まっつん!リーチ率</vt:lpstr>
      <vt:lpstr>りくと!リーチ率</vt:lpstr>
      <vt:lpstr>れんたろう!リーチ率</vt:lpstr>
      <vt:lpstr>わさび!リーチ率</vt:lpstr>
      <vt:lpstr>全体!リーチ率</vt:lpstr>
      <vt:lpstr>いちかわ!レーティング</vt:lpstr>
      <vt:lpstr>だいち!レーティング</vt:lpstr>
      <vt:lpstr>たか!レーティング</vt:lpstr>
      <vt:lpstr>たかの!レーティング</vt:lpstr>
      <vt:lpstr>ただ!レーティング</vt:lpstr>
      <vt:lpstr>のり!レーティング</vt:lpstr>
      <vt:lpstr>まっつん!レーティング</vt:lpstr>
      <vt:lpstr>りくと!レーティング</vt:lpstr>
      <vt:lpstr>れんたろう!レーティング</vt:lpstr>
      <vt:lpstr>わさび!レーティング</vt:lpstr>
      <vt:lpstr>全体!レーティング</vt:lpstr>
      <vt:lpstr>レーティング</vt:lpstr>
      <vt:lpstr>Template1!ロン数</vt:lpstr>
      <vt:lpstr>いちかわ!ロン数</vt:lpstr>
      <vt:lpstr>だいち!ロン数</vt:lpstr>
      <vt:lpstr>たか!ロン数</vt:lpstr>
      <vt:lpstr>たかの!ロン数</vt:lpstr>
      <vt:lpstr>ただ!ロン数</vt:lpstr>
      <vt:lpstr>のり!ロン数</vt:lpstr>
      <vt:lpstr>まっつん!ロン数</vt:lpstr>
      <vt:lpstr>りくと!ロン数</vt:lpstr>
      <vt:lpstr>れんたろう!ロン数</vt:lpstr>
      <vt:lpstr>わさび!ロン数</vt:lpstr>
      <vt:lpstr>全体!ロン数</vt:lpstr>
      <vt:lpstr>Template1!ロン率</vt:lpstr>
      <vt:lpstr>いちかわ!ロン率</vt:lpstr>
      <vt:lpstr>だいち!ロン率</vt:lpstr>
      <vt:lpstr>たか!ロン率</vt:lpstr>
      <vt:lpstr>たかの!ロン率</vt:lpstr>
      <vt:lpstr>ただ!ロン率</vt:lpstr>
      <vt:lpstr>のり!ロン率</vt:lpstr>
      <vt:lpstr>まっつん!ロン率</vt:lpstr>
      <vt:lpstr>りくと!ロン率</vt:lpstr>
      <vt:lpstr>れんたろう!ロン率</vt:lpstr>
      <vt:lpstr>わさび!ロン率</vt:lpstr>
      <vt:lpstr>全体!ロン率</vt:lpstr>
      <vt:lpstr>いちかわ!一位スコア</vt:lpstr>
      <vt:lpstr>だいち!一位スコア</vt:lpstr>
      <vt:lpstr>たか!一位スコア</vt:lpstr>
      <vt:lpstr>たかの!一位スコア</vt:lpstr>
      <vt:lpstr>ただ!一位スコア</vt:lpstr>
      <vt:lpstr>のり!一位スコア</vt:lpstr>
      <vt:lpstr>まっつん!一位スコア</vt:lpstr>
      <vt:lpstr>りくと!一位スコア</vt:lpstr>
      <vt:lpstr>れんたろう!一位スコア</vt:lpstr>
      <vt:lpstr>わさび!一位スコア</vt:lpstr>
      <vt:lpstr>全体!一位スコア</vt:lpstr>
      <vt:lpstr>一位スコア</vt:lpstr>
      <vt:lpstr>いちかわ!一位通算スコア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のり!一位通算スコア</vt:lpstr>
      <vt:lpstr>まっつん!一位通算スコア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一位通算スコア</vt:lpstr>
      <vt:lpstr>いちかわ!一翻数</vt:lpstr>
      <vt:lpstr>だいち!一翻数</vt:lpstr>
      <vt:lpstr>たか!一翻数</vt:lpstr>
      <vt:lpstr>たかの!一翻数</vt:lpstr>
      <vt:lpstr>ただ!一翻数</vt:lpstr>
      <vt:lpstr>のり!一翻数</vt:lpstr>
      <vt:lpstr>まっつん!一翻数</vt:lpstr>
      <vt:lpstr>りくと!一翻数</vt:lpstr>
      <vt:lpstr>れんたろう!一翻数</vt:lpstr>
      <vt:lpstr>わさび!一翻数</vt:lpstr>
      <vt:lpstr>全体!一翻数</vt:lpstr>
      <vt:lpstr>一翻数</vt:lpstr>
      <vt:lpstr>いちかわ!一翻率</vt:lpstr>
      <vt:lpstr>だいち!一翻率</vt:lpstr>
      <vt:lpstr>たか!一翻率</vt:lpstr>
      <vt:lpstr>たかの!一翻率</vt:lpstr>
      <vt:lpstr>ただ!一翻率</vt:lpstr>
      <vt:lpstr>のり!一翻率</vt:lpstr>
      <vt:lpstr>まっつん!一翻率</vt:lpstr>
      <vt:lpstr>りくと!一翻率</vt:lpstr>
      <vt:lpstr>れんたろう!一翻率</vt:lpstr>
      <vt:lpstr>わさび!一翻率</vt:lpstr>
      <vt:lpstr>全体!一翻率</vt:lpstr>
      <vt:lpstr>一翻率</vt:lpstr>
      <vt:lpstr>Template1!現行連続アガリ</vt:lpstr>
      <vt:lpstr>いちかわ!現行連続アガリ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のり!現行連続アガリ</vt:lpstr>
      <vt:lpstr>まっつん!現行連続アガリ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Template1!現行連続無放銃</vt:lpstr>
      <vt:lpstr>いちかわ!現行連続無放銃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のり!現行連続無放銃</vt:lpstr>
      <vt:lpstr>まっつん!現行連続無放銃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Template1!最高点</vt:lpstr>
      <vt:lpstr>いちかわ!最高点</vt:lpstr>
      <vt:lpstr>だいち!最高点</vt:lpstr>
      <vt:lpstr>たか!最高点</vt:lpstr>
      <vt:lpstr>たかの!最高点</vt:lpstr>
      <vt:lpstr>ただ!最高点</vt:lpstr>
      <vt:lpstr>のり!最高点</vt:lpstr>
      <vt:lpstr>まっつん!最高点</vt:lpstr>
      <vt:lpstr>りくと!最高点</vt:lpstr>
      <vt:lpstr>れんたろう!最高点</vt:lpstr>
      <vt:lpstr>わさび!最高点</vt:lpstr>
      <vt:lpstr>全体!最高点</vt:lpstr>
      <vt:lpstr>Template1!最大ドラ数</vt:lpstr>
      <vt:lpstr>いちかわ!最大ドラ数</vt:lpstr>
      <vt:lpstr>だいち!最大ドラ数</vt:lpstr>
      <vt:lpstr>たか!最大ドラ数</vt:lpstr>
      <vt:lpstr>たかの!最大ドラ数</vt:lpstr>
      <vt:lpstr>ただ!最大ドラ数</vt:lpstr>
      <vt:lpstr>のり!最大ドラ数</vt:lpstr>
      <vt:lpstr>まっつん!最大ドラ数</vt:lpstr>
      <vt:lpstr>りくと!最大ドラ数</vt:lpstr>
      <vt:lpstr>れんたろう!最大ドラ数</vt:lpstr>
      <vt:lpstr>わさび!最大ドラ数</vt:lpstr>
      <vt:lpstr>全体!最大ドラ数</vt:lpstr>
      <vt:lpstr>Template1!最大点数</vt:lpstr>
      <vt:lpstr>いちかわ!最大点数</vt:lpstr>
      <vt:lpstr>だいち!最大点数</vt:lpstr>
      <vt:lpstr>たか!最大点数</vt:lpstr>
      <vt:lpstr>たかの!最大点数</vt:lpstr>
      <vt:lpstr>ただ!最大点数</vt:lpstr>
      <vt:lpstr>のり!最大点数</vt:lpstr>
      <vt:lpstr>まっつん!最大点数</vt:lpstr>
      <vt:lpstr>りくと!最大点数</vt:lpstr>
      <vt:lpstr>れんたろう!最大点数</vt:lpstr>
      <vt:lpstr>わさび!最大点数</vt:lpstr>
      <vt:lpstr>全体!最大点数</vt:lpstr>
      <vt:lpstr>いちかわ!三位スコア</vt:lpstr>
      <vt:lpstr>だいち!三位スコア</vt:lpstr>
      <vt:lpstr>たか!三位スコア</vt:lpstr>
      <vt:lpstr>たかの!三位スコア</vt:lpstr>
      <vt:lpstr>ただ!三位スコア</vt:lpstr>
      <vt:lpstr>のり!三位スコア</vt:lpstr>
      <vt:lpstr>まっつん!三位スコア</vt:lpstr>
      <vt:lpstr>りくと!三位スコア</vt:lpstr>
      <vt:lpstr>れんたろう!三位スコア</vt:lpstr>
      <vt:lpstr>わさび!三位スコア</vt:lpstr>
      <vt:lpstr>全体!三位スコア</vt:lpstr>
      <vt:lpstr>三位スコア</vt:lpstr>
      <vt:lpstr>いちかわ!三位通算スコア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のり!三位通算スコア</vt:lpstr>
      <vt:lpstr>まっつん!三位通算スコア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三位通算スコア</vt:lpstr>
      <vt:lpstr>Template1!総局数</vt:lpstr>
      <vt:lpstr>いちかわ!総局数</vt:lpstr>
      <vt:lpstr>だいち!総局数</vt:lpstr>
      <vt:lpstr>たか!総局数</vt:lpstr>
      <vt:lpstr>たかの!総局数</vt:lpstr>
      <vt:lpstr>ただ!総局数</vt:lpstr>
      <vt:lpstr>のり!総局数</vt:lpstr>
      <vt:lpstr>まっつん!総局数</vt:lpstr>
      <vt:lpstr>りくと!総局数</vt:lpstr>
      <vt:lpstr>れんたろう!総局数</vt:lpstr>
      <vt:lpstr>わさび!総局数</vt:lpstr>
      <vt:lpstr>全体!総局数</vt:lpstr>
      <vt:lpstr>Template1!対戦数</vt:lpstr>
      <vt:lpstr>いちかわ!対戦数</vt:lpstr>
      <vt:lpstr>だいち!対戦数</vt:lpstr>
      <vt:lpstr>たか!対戦数</vt:lpstr>
      <vt:lpstr>たかの!対戦数</vt:lpstr>
      <vt:lpstr>ただ!対戦数</vt:lpstr>
      <vt:lpstr>のり!対戦数</vt:lpstr>
      <vt:lpstr>まっつん!対戦数</vt:lpstr>
      <vt:lpstr>りくと!対戦数</vt:lpstr>
      <vt:lpstr>れんたろう!対戦数</vt:lpstr>
      <vt:lpstr>わさび!対戦数</vt:lpstr>
      <vt:lpstr>全体!対戦数</vt:lpstr>
      <vt:lpstr>Template1!通算アガリ点</vt:lpstr>
      <vt:lpstr>いちかわ!通算アガリ点</vt:lpstr>
      <vt:lpstr>だいち!通算アガリ点</vt:lpstr>
      <vt:lpstr>たか!通算アガリ点</vt:lpstr>
      <vt:lpstr>たかの!通算アガリ点</vt:lpstr>
      <vt:lpstr>ただ!通算アガリ点</vt:lpstr>
      <vt:lpstr>のり!通算アガリ点</vt:lpstr>
      <vt:lpstr>まっつん!通算アガリ点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Template1!通算スコア</vt:lpstr>
      <vt:lpstr>いちかわ!通算スコア</vt:lpstr>
      <vt:lpstr>だいち!通算スコア</vt:lpstr>
      <vt:lpstr>たか!通算スコア</vt:lpstr>
      <vt:lpstr>たかの!通算スコア</vt:lpstr>
      <vt:lpstr>ただ!通算スコア</vt:lpstr>
      <vt:lpstr>のり!通算スコア</vt:lpstr>
      <vt:lpstr>まっつん!通算スコア</vt:lpstr>
      <vt:lpstr>りくと!通算スコア</vt:lpstr>
      <vt:lpstr>れんたろう!通算スコア</vt:lpstr>
      <vt:lpstr>わさび!通算スコア</vt:lpstr>
      <vt:lpstr>全体!通算スコア</vt:lpstr>
      <vt:lpstr>Template1!通算副露アガリ点</vt:lpstr>
      <vt:lpstr>いちかわ!通算副露アガリ点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のり!通算副露アガリ点</vt:lpstr>
      <vt:lpstr>まっつん!通算副露アガリ点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Template1!通算放銃点</vt:lpstr>
      <vt:lpstr>いちかわ!通算放銃点</vt:lpstr>
      <vt:lpstr>だいち!通算放銃点</vt:lpstr>
      <vt:lpstr>たか!通算放銃点</vt:lpstr>
      <vt:lpstr>たかの!通算放銃点</vt:lpstr>
      <vt:lpstr>ただ!通算放銃点</vt:lpstr>
      <vt:lpstr>のり!通算放銃点</vt:lpstr>
      <vt:lpstr>まっつん!通算放銃点</vt:lpstr>
      <vt:lpstr>りくと!通算放銃点</vt:lpstr>
      <vt:lpstr>れんたろう!通算放銃点</vt:lpstr>
      <vt:lpstr>わさび!通算放銃点</vt:lpstr>
      <vt:lpstr>全体!通算放銃点</vt:lpstr>
      <vt:lpstr>Template1!通算門前アガリ点</vt:lpstr>
      <vt:lpstr>いちかわ!通算門前アガリ点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のり!通算門前アガリ点</vt:lpstr>
      <vt:lpstr>まっつん!通算門前アガリ点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いちかわ!二位スコア</vt:lpstr>
      <vt:lpstr>だいち!二位スコア</vt:lpstr>
      <vt:lpstr>たか!二位スコア</vt:lpstr>
      <vt:lpstr>たかの!二位スコア</vt:lpstr>
      <vt:lpstr>ただ!二位スコア</vt:lpstr>
      <vt:lpstr>のり!二位スコア</vt:lpstr>
      <vt:lpstr>まっつん!二位スコア</vt:lpstr>
      <vt:lpstr>りくと!二位スコア</vt:lpstr>
      <vt:lpstr>れんたろう!二位スコア</vt:lpstr>
      <vt:lpstr>わさび!二位スコア</vt:lpstr>
      <vt:lpstr>全体!二位スコア</vt:lpstr>
      <vt:lpstr>二位スコア</vt:lpstr>
      <vt:lpstr>Template1!二位数</vt:lpstr>
      <vt:lpstr>いちかわ!二位数</vt:lpstr>
      <vt:lpstr>だいち!二位数</vt:lpstr>
      <vt:lpstr>たか!二位数</vt:lpstr>
      <vt:lpstr>たかの!二位数</vt:lpstr>
      <vt:lpstr>ただ!二位数</vt:lpstr>
      <vt:lpstr>のり!二位数</vt:lpstr>
      <vt:lpstr>まっつん!二位数</vt:lpstr>
      <vt:lpstr>りくと!二位数</vt:lpstr>
      <vt:lpstr>れんたろう!二位数</vt:lpstr>
      <vt:lpstr>わさび!二位数</vt:lpstr>
      <vt:lpstr>全体!二位数</vt:lpstr>
      <vt:lpstr>いちかわ!二位通算スコア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のり!二位通算スコア</vt:lpstr>
      <vt:lpstr>まっつん!二位通算スコア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二位通算スコア</vt:lpstr>
      <vt:lpstr>Template1!二位率</vt:lpstr>
      <vt:lpstr>いちかわ!二位率</vt:lpstr>
      <vt:lpstr>だいち!二位率</vt:lpstr>
      <vt:lpstr>たか!二位率</vt:lpstr>
      <vt:lpstr>たかの!二位率</vt:lpstr>
      <vt:lpstr>ただ!二位率</vt:lpstr>
      <vt:lpstr>のり!二位率</vt:lpstr>
      <vt:lpstr>まっつん!二位率</vt:lpstr>
      <vt:lpstr>りくと!二位率</vt:lpstr>
      <vt:lpstr>れんたろう!二位率</vt:lpstr>
      <vt:lpstr>わさび!二位率</vt:lpstr>
      <vt:lpstr>全体!二位率</vt:lpstr>
      <vt:lpstr>Template1!副露アガリ数</vt:lpstr>
      <vt:lpstr>いちかわ!副露アガリ数</vt:lpstr>
      <vt:lpstr>だいち!副露アガリ数</vt:lpstr>
      <vt:lpstr>たか!副露アガリ数</vt:lpstr>
      <vt:lpstr>たかの!副露アガリ数</vt:lpstr>
      <vt:lpstr>ただ!副露アガリ数</vt:lpstr>
      <vt:lpstr>のり!副露アガリ数</vt:lpstr>
      <vt:lpstr>まっつん!副露アガリ数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Template1!副露アガリ点</vt:lpstr>
      <vt:lpstr>いちかわ!副露アガリ点</vt:lpstr>
      <vt:lpstr>だいち!副露アガリ点</vt:lpstr>
      <vt:lpstr>たか!副露アガリ点</vt:lpstr>
      <vt:lpstr>たかの!副露アガリ点</vt:lpstr>
      <vt:lpstr>ただ!副露アガリ点</vt:lpstr>
      <vt:lpstr>のり!副露アガリ点</vt:lpstr>
      <vt:lpstr>まっつん!副露アガリ点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Template1!副露アガリ率</vt:lpstr>
      <vt:lpstr>いちかわ!副露アガリ率</vt:lpstr>
      <vt:lpstr>だいち!副露アガリ率</vt:lpstr>
      <vt:lpstr>たか!副露アガリ率</vt:lpstr>
      <vt:lpstr>たかの!副露アガリ率</vt:lpstr>
      <vt:lpstr>ただ!副露アガリ率</vt:lpstr>
      <vt:lpstr>のり!副露アガリ率</vt:lpstr>
      <vt:lpstr>まっつん!副露アガリ率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Template1!副露数</vt:lpstr>
      <vt:lpstr>いちかわ!副露数</vt:lpstr>
      <vt:lpstr>だいち!副露数</vt:lpstr>
      <vt:lpstr>たか!副露数</vt:lpstr>
      <vt:lpstr>たかの!副露数</vt:lpstr>
      <vt:lpstr>ただ!副露数</vt:lpstr>
      <vt:lpstr>のり!副露数</vt:lpstr>
      <vt:lpstr>まっつん!副露数</vt:lpstr>
      <vt:lpstr>りくと!副露数</vt:lpstr>
      <vt:lpstr>れんたろう!副露数</vt:lpstr>
      <vt:lpstr>わさび!副露数</vt:lpstr>
      <vt:lpstr>全体!副露数</vt:lpstr>
      <vt:lpstr>Template1!副露成功数</vt:lpstr>
      <vt:lpstr>いちかわ!副露成功数</vt:lpstr>
      <vt:lpstr>だいち!副露成功数</vt:lpstr>
      <vt:lpstr>たか!副露成功数</vt:lpstr>
      <vt:lpstr>たかの!副露成功数</vt:lpstr>
      <vt:lpstr>ただ!副露成功数</vt:lpstr>
      <vt:lpstr>のり!副露成功数</vt:lpstr>
      <vt:lpstr>まっつん!副露成功数</vt:lpstr>
      <vt:lpstr>りくと!副露成功数</vt:lpstr>
      <vt:lpstr>れんたろう!副露成功数</vt:lpstr>
      <vt:lpstr>わさび!副露成功数</vt:lpstr>
      <vt:lpstr>全体!副露成功数</vt:lpstr>
      <vt:lpstr>Template1!副露成功率</vt:lpstr>
      <vt:lpstr>いちかわ!副露成功率</vt:lpstr>
      <vt:lpstr>だいち!副露成功率</vt:lpstr>
      <vt:lpstr>たか!副露成功率</vt:lpstr>
      <vt:lpstr>たかの!副露成功率</vt:lpstr>
      <vt:lpstr>ただ!副露成功率</vt:lpstr>
      <vt:lpstr>のり!副露成功率</vt:lpstr>
      <vt:lpstr>まっつん!副露成功率</vt:lpstr>
      <vt:lpstr>りくと!副露成功率</vt:lpstr>
      <vt:lpstr>れんたろう!副露成功率</vt:lpstr>
      <vt:lpstr>わさび!副露成功率</vt:lpstr>
      <vt:lpstr>全体!副露成功率</vt:lpstr>
      <vt:lpstr>Template1!副露率</vt:lpstr>
      <vt:lpstr>いちかわ!副露率</vt:lpstr>
      <vt:lpstr>だいち!副露率</vt:lpstr>
      <vt:lpstr>たか!副露率</vt:lpstr>
      <vt:lpstr>たかの!副露率</vt:lpstr>
      <vt:lpstr>ただ!副露率</vt:lpstr>
      <vt:lpstr>のり!副露率</vt:lpstr>
      <vt:lpstr>まっつん!副露率</vt:lpstr>
      <vt:lpstr>りくと!副露率</vt:lpstr>
      <vt:lpstr>れんたろう!副露率</vt:lpstr>
      <vt:lpstr>わさび!副露率</vt:lpstr>
      <vt:lpstr>全体!副露率</vt:lpstr>
      <vt:lpstr>Template1!平均アガリ点</vt:lpstr>
      <vt:lpstr>いちかわ!平均アガリ点</vt:lpstr>
      <vt:lpstr>だいち!平均アガリ点</vt:lpstr>
      <vt:lpstr>たか!平均アガリ点</vt:lpstr>
      <vt:lpstr>たかの!平均アガリ点</vt:lpstr>
      <vt:lpstr>ただ!平均アガリ点</vt:lpstr>
      <vt:lpstr>のり!平均アガリ点</vt:lpstr>
      <vt:lpstr>まっつん!平均アガリ点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Template1!平均スコア</vt:lpstr>
      <vt:lpstr>いちかわ!平均スコア</vt:lpstr>
      <vt:lpstr>だいち!平均スコア</vt:lpstr>
      <vt:lpstr>たか!平均スコア</vt:lpstr>
      <vt:lpstr>たかの!平均スコア</vt:lpstr>
      <vt:lpstr>ただ!平均スコア</vt:lpstr>
      <vt:lpstr>のり!平均スコア</vt:lpstr>
      <vt:lpstr>まっつん!平均スコア</vt:lpstr>
      <vt:lpstr>りくと!平均スコア</vt:lpstr>
      <vt:lpstr>れんたろう!平均スコア</vt:lpstr>
      <vt:lpstr>わさび!平均スコア</vt:lpstr>
      <vt:lpstr>全体!平均スコア</vt:lpstr>
      <vt:lpstr>Template1!平均順位</vt:lpstr>
      <vt:lpstr>いちかわ!平均順位</vt:lpstr>
      <vt:lpstr>だいち!平均順位</vt:lpstr>
      <vt:lpstr>たか!平均順位</vt:lpstr>
      <vt:lpstr>たかの!平均順位</vt:lpstr>
      <vt:lpstr>ただ!平均順位</vt:lpstr>
      <vt:lpstr>のり!平均順位</vt:lpstr>
      <vt:lpstr>まっつん!平均順位</vt:lpstr>
      <vt:lpstr>りくと!平均順位</vt:lpstr>
      <vt:lpstr>れんたろう!平均順位</vt:lpstr>
      <vt:lpstr>わさび!平均順位</vt:lpstr>
      <vt:lpstr>全体!平均順位</vt:lpstr>
      <vt:lpstr>Template1!平均放銃点</vt:lpstr>
      <vt:lpstr>いちかわ!平均放銃点</vt:lpstr>
      <vt:lpstr>だいち!平均放銃点</vt:lpstr>
      <vt:lpstr>たか!平均放銃点</vt:lpstr>
      <vt:lpstr>たかの!平均放銃点</vt:lpstr>
      <vt:lpstr>ただ!平均放銃点</vt:lpstr>
      <vt:lpstr>のり!平均放銃点</vt:lpstr>
      <vt:lpstr>まっつん!平均放銃点</vt:lpstr>
      <vt:lpstr>りくと!平均放銃点</vt:lpstr>
      <vt:lpstr>れんたろう!平均放銃点</vt:lpstr>
      <vt:lpstr>わさび!平均放銃点</vt:lpstr>
      <vt:lpstr>全体!平均放銃点</vt:lpstr>
      <vt:lpstr>Template1!放銃数</vt:lpstr>
      <vt:lpstr>いちかわ!放銃数</vt:lpstr>
      <vt:lpstr>だいち!放銃数</vt:lpstr>
      <vt:lpstr>たか!放銃数</vt:lpstr>
      <vt:lpstr>たかの!放銃数</vt:lpstr>
      <vt:lpstr>ただ!放銃数</vt:lpstr>
      <vt:lpstr>のり!放銃数</vt:lpstr>
      <vt:lpstr>まっつん!放銃数</vt:lpstr>
      <vt:lpstr>りくと!放銃数</vt:lpstr>
      <vt:lpstr>れんたろう!放銃数</vt:lpstr>
      <vt:lpstr>わさび!放銃数</vt:lpstr>
      <vt:lpstr>全体!放銃数</vt:lpstr>
      <vt:lpstr>Template1!放銃率</vt:lpstr>
      <vt:lpstr>いちかわ!放銃率</vt:lpstr>
      <vt:lpstr>だいち!放銃率</vt:lpstr>
      <vt:lpstr>たか!放銃率</vt:lpstr>
      <vt:lpstr>たかの!放銃率</vt:lpstr>
      <vt:lpstr>ただ!放銃率</vt:lpstr>
      <vt:lpstr>のり!放銃率</vt:lpstr>
      <vt:lpstr>まっつん!放銃率</vt:lpstr>
      <vt:lpstr>りくと!放銃率</vt:lpstr>
      <vt:lpstr>れんたろう!放銃率</vt:lpstr>
      <vt:lpstr>わさび!放銃率</vt:lpstr>
      <vt:lpstr>全体!放銃率</vt:lpstr>
      <vt:lpstr>Template1!名前</vt:lpstr>
      <vt:lpstr>いちかわ!名前</vt:lpstr>
      <vt:lpstr>だいち!名前</vt:lpstr>
      <vt:lpstr>たか!名前</vt:lpstr>
      <vt:lpstr>たかの!名前</vt:lpstr>
      <vt:lpstr>ただ!名前</vt:lpstr>
      <vt:lpstr>のり!名前</vt:lpstr>
      <vt:lpstr>まっつん!名前</vt:lpstr>
      <vt:lpstr>りくと!名前</vt:lpstr>
      <vt:lpstr>れんたろう!名前</vt:lpstr>
      <vt:lpstr>わさび!名前</vt:lpstr>
      <vt:lpstr>全体!名前</vt:lpstr>
      <vt:lpstr>Template1!門前アガリ点</vt:lpstr>
      <vt:lpstr>いちかわ!門前アガリ点</vt:lpstr>
      <vt:lpstr>だいち!門前アガリ点</vt:lpstr>
      <vt:lpstr>たか!門前アガリ点</vt:lpstr>
      <vt:lpstr>たかの!門前アガリ点</vt:lpstr>
      <vt:lpstr>ただ!門前アガリ点</vt:lpstr>
      <vt:lpstr>のり!門前アガリ点</vt:lpstr>
      <vt:lpstr>まっつん!門前アガリ点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Template1!連続アガリ</vt:lpstr>
      <vt:lpstr>いちかわ!連続アガリ</vt:lpstr>
      <vt:lpstr>だいち!連続アガリ</vt:lpstr>
      <vt:lpstr>たか!連続アガリ</vt:lpstr>
      <vt:lpstr>たかの!連続アガリ</vt:lpstr>
      <vt:lpstr>ただ!連続アガリ</vt:lpstr>
      <vt:lpstr>のり!連続アガリ</vt:lpstr>
      <vt:lpstr>まっつん!連続アガリ</vt:lpstr>
      <vt:lpstr>りくと!連続アガリ</vt:lpstr>
      <vt:lpstr>れんたろう!連続アガリ</vt:lpstr>
      <vt:lpstr>わさび!連続アガリ</vt:lpstr>
      <vt:lpstr>全体!連続アガリ</vt:lpstr>
      <vt:lpstr>Template1!連続無放銃</vt:lpstr>
      <vt:lpstr>いちかわ!連続無放銃</vt:lpstr>
      <vt:lpstr>だいち!連続無放銃</vt:lpstr>
      <vt:lpstr>たか!連続無放銃</vt:lpstr>
      <vt:lpstr>たかの!連続無放銃</vt:lpstr>
      <vt:lpstr>ただ!連続無放銃</vt:lpstr>
      <vt:lpstr>のり!連続無放銃</vt:lpstr>
      <vt:lpstr>まっつん!連続無放銃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2020-10-12T17:22:20Z</dcterms:modified>
</cp:coreProperties>
</file>