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D4B3F47-02CD-4A10-A673-F9F24609760E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5" i="6854"/>
  <c r="P16" i="6866" l="1"/>
  <c r="P15" i="6850"/>
  <c r="P21" i="6858" l="1"/>
  <c r="P19" i="6854"/>
  <c r="P15" i="6860" l="1"/>
  <c r="P18" i="6860"/>
  <c r="P17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8" i="6852" l="1"/>
  <c r="P19" i="6860"/>
  <c r="P16" i="6858"/>
  <c r="P16" i="6860"/>
  <c r="P22" i="6860"/>
  <c r="P18" i="6862"/>
  <c r="P20" i="6858"/>
  <c r="P20" i="6862"/>
  <c r="P16" i="6852"/>
  <c r="P15" i="6852"/>
  <c r="P17" i="6864" l="1"/>
  <c r="P16" i="6862"/>
  <c r="P16" i="6850"/>
  <c r="P18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6" i="6848"/>
  <c r="P17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3" i="6860"/>
  <c r="C47" i="6860"/>
  <c r="H12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6" i="6860"/>
  <c r="B28" i="6860"/>
  <c r="H38" i="6860"/>
  <c r="H44" i="6860"/>
  <c r="C49" i="6860"/>
  <c r="C25" i="6860"/>
  <c r="H31" i="6860"/>
  <c r="H10" i="6860"/>
  <c r="H17" i="6860"/>
  <c r="H7" i="6860"/>
  <c r="H8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5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20" i="6850" l="1"/>
  <c r="P17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5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8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4" i="6858"/>
  <c r="H22" i="6858"/>
  <c r="C23" i="6858"/>
  <c r="H30" i="6858"/>
  <c r="H39" i="6858"/>
  <c r="H45" i="6858"/>
  <c r="H52" i="6858"/>
  <c r="H24" i="6858"/>
  <c r="H16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9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7" i="6852"/>
  <c r="P19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1" i="6850"/>
  <c r="P19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4" i="6850"/>
  <c r="C19" i="6850"/>
  <c r="B14" i="6848"/>
  <c r="C19" i="6854"/>
  <c r="H30" i="6854"/>
  <c r="H6" i="6854"/>
  <c r="H10" i="6854"/>
  <c r="C20" i="6854"/>
  <c r="H16" i="6854"/>
  <c r="H17" i="6854"/>
  <c r="H37" i="6854"/>
  <c r="C41" i="6854"/>
  <c r="H46" i="6854"/>
  <c r="H52" i="6854"/>
  <c r="H26" i="6854"/>
  <c r="C25" i="6854"/>
  <c r="C37" i="6854"/>
  <c r="H42" i="6854"/>
  <c r="H47" i="6854"/>
  <c r="H20" i="6854"/>
  <c r="H23" i="6854"/>
  <c r="H29" i="6854"/>
  <c r="H31" i="6854"/>
  <c r="H38" i="6854"/>
  <c r="H43" i="6854"/>
  <c r="C47" i="6854"/>
  <c r="C24" i="6854"/>
  <c r="H41" i="6854"/>
  <c r="H22" i="6854"/>
  <c r="H7" i="6854"/>
  <c r="C26" i="6854"/>
  <c r="C43" i="6854"/>
  <c r="H4" i="6854"/>
  <c r="H24" i="6854"/>
  <c r="C22" i="6854"/>
  <c r="H19" i="6854"/>
  <c r="H34" i="6854"/>
  <c r="C39" i="6854"/>
  <c r="H44" i="6854"/>
  <c r="C48" i="6854"/>
  <c r="H3" i="6854"/>
  <c r="H36" i="6854"/>
  <c r="C45" i="6854"/>
  <c r="H2" i="6854"/>
  <c r="H15" i="6854"/>
  <c r="H9" i="6854"/>
  <c r="H25" i="6854"/>
  <c r="H13" i="6854"/>
  <c r="H32" i="6854"/>
  <c r="H39" i="6854"/>
  <c r="H48" i="6854"/>
  <c r="H5" i="6854"/>
  <c r="H12" i="6854"/>
  <c r="H21" i="6854"/>
  <c r="H27" i="6854"/>
  <c r="B27" i="6854"/>
  <c r="H35" i="6854"/>
  <c r="H40" i="6854"/>
  <c r="C44" i="6854"/>
  <c r="H49" i="6854"/>
  <c r="H11" i="6854"/>
  <c r="H18" i="6854"/>
  <c r="H14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1" i="6852"/>
  <c r="H37" i="6852"/>
  <c r="H42" i="6852"/>
  <c r="H48" i="6852"/>
  <c r="H18" i="6852"/>
  <c r="H10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5" i="6852"/>
  <c r="H25" i="6852"/>
  <c r="C22" i="6852"/>
  <c r="H20" i="6852"/>
  <c r="H35" i="6852"/>
  <c r="C39" i="6852"/>
  <c r="C44" i="6852"/>
  <c r="C49" i="6852"/>
  <c r="C24" i="6852"/>
  <c r="H31" i="6852"/>
  <c r="H27" i="6852"/>
  <c r="H40" i="6852"/>
  <c r="H4" i="6852"/>
  <c r="H28" i="6852"/>
  <c r="B27" i="6852"/>
  <c r="H36" i="6852"/>
  <c r="H41" i="6852"/>
  <c r="H46" i="6852"/>
  <c r="H5" i="6852"/>
  <c r="H3" i="6852"/>
  <c r="C41" i="6852"/>
  <c r="H2" i="6852"/>
  <c r="H14" i="6852"/>
  <c r="H45" i="6852"/>
  <c r="H6" i="6852"/>
  <c r="H16" i="6852"/>
  <c r="H22" i="6852"/>
  <c r="H13" i="6852"/>
  <c r="H12" i="6852"/>
  <c r="C23" i="6852"/>
  <c r="B28" i="6852"/>
  <c r="C40" i="6852"/>
  <c r="C45" i="6852"/>
  <c r="H52" i="6852"/>
  <c r="H43" i="6852"/>
  <c r="H47" i="6852"/>
  <c r="H51" i="6852"/>
  <c r="H19" i="6852"/>
  <c r="H8" i="6852"/>
  <c r="H34" i="6852"/>
  <c r="C38" i="6852"/>
  <c r="C42" i="6852"/>
  <c r="C46" i="6852"/>
  <c r="C19" i="6848"/>
  <c r="H14" i="6850"/>
  <c r="H6" i="6850"/>
  <c r="H46" i="6850"/>
  <c r="H11" i="6850"/>
  <c r="H23" i="6850"/>
  <c r="H21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2" i="6850"/>
  <c r="C45" i="6850"/>
  <c r="H28" i="6850"/>
  <c r="H20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5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2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0" i="6848"/>
  <c r="H13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4" i="6848"/>
  <c r="H32" i="6848"/>
  <c r="H17" i="6848"/>
  <c r="H38" i="6848"/>
  <c r="C40" i="6848"/>
  <c r="C44" i="6848"/>
  <c r="C48" i="6848"/>
  <c r="H4" i="6848"/>
  <c r="H24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<sst xmlns="http://schemas.openxmlformats.org/spreadsheetml/2006/main" count="2937" uniqueCount="241">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</sst>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全体!$K$2:$K$203</c:f>
              <c:numCache>
                <c:formatCode>General</c:formatCode>
                <c:ptCount val="2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</c:numCache>
            </c:numRef>
          </c:xVal>
          <c:yVal>
            <c:numRef>
              <c:f>全体!$L$2:$L$203</c:f>
              <c:numCache>
                <c:formatCode>\+0.0;\-0.0;\±0</c:formatCode>
                <c:ptCount val="20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-44.776119402985074</c:v>
                </c:pt>
                <c:pt idx="1">
                  <c:v>46.153846153846153</c:v>
                </c:pt>
                <c:pt idx="2">
                  <c:v>-30.303030303030305</c:v>
                </c:pt>
                <c:pt idx="3">
                  <c:v>10.928961748633879</c:v>
                </c:pt>
                <c:pt idx="4">
                  <c:v>6.0606060606060606</c:v>
                </c:pt>
                <c:pt idx="5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103</c:v>
                </c:pt>
                <c:pt idx="2">
                  <c:v>93</c:v>
                </c:pt>
                <c:pt idx="3">
                  <c:v>84</c:v>
                </c:pt>
                <c:pt idx="4">
                  <c:v>65</c:v>
                </c:pt>
                <c:pt idx="5">
                  <c:v>45</c:v>
                </c:pt>
                <c:pt idx="6">
                  <c:v>26</c:v>
                </c:pt>
                <c:pt idx="7">
                  <c:v>15</c:v>
                </c:pt>
                <c:pt idx="8">
                  <c:v>10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全体!$K$2:$K$203</c:f>
              <c:numCache>
                <c:formatCode>General</c:formatCode>
                <c:ptCount val="2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</c:numCache>
            </c:numRef>
          </c:xVal>
          <c:yVal>
            <c:numRef>
              <c:f>全体!$M$2:$M$203</c:f>
              <c:numCache>
                <c:formatCode>0</c:formatCode>
                <c:ptCount val="20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だいち!$L$2:$L$55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1011.3207547169811</c:v>
                </c:pt>
                <c:pt idx="1">
                  <c:v>-931.37254901960785</c:v>
                </c:pt>
                <c:pt idx="2">
                  <c:v>-234.61538461538461</c:v>
                </c:pt>
                <c:pt idx="3">
                  <c:v>212.24489795918367</c:v>
                </c:pt>
                <c:pt idx="4">
                  <c:v>104.54545454545455</c:v>
                </c:pt>
                <c:pt idx="5">
                  <c:v>-702.94117647058829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19</c:v>
                </c:pt>
                <c:pt idx="4">
                  <c:v>21</c:v>
                </c:pt>
                <c:pt idx="5">
                  <c:v>17</c:v>
                </c:pt>
                <c:pt idx="6">
                  <c:v>8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だいち!$M$2:$M$55</c:f>
              <c:numCache>
                <c:formatCode>0</c:formatCode>
                <c:ptCount val="54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2183.3333333333335</c:v>
                </c:pt>
                <c:pt idx="1">
                  <c:v>-1760.8695652173913</c:v>
                </c:pt>
                <c:pt idx="2">
                  <c:v>-1117.391304347826</c:v>
                </c:pt>
                <c:pt idx="3">
                  <c:v>1059.090909090909</c:v>
                </c:pt>
                <c:pt idx="4">
                  <c:v>273.68421052631578</c:v>
                </c:pt>
                <c:pt idx="5">
                  <c:v>-450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8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れんたろう!$M$2:$M$26</c:f>
              <c:numCache>
                <c:formatCode>0</c:formatCode>
                <c:ptCount val="2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146.15384615384616</c:v>
                </c:pt>
                <c:pt idx="1">
                  <c:v>546.15384615384619</c:v>
                </c:pt>
                <c:pt idx="2">
                  <c:v>-15.384615384615385</c:v>
                </c:pt>
                <c:pt idx="3">
                  <c:v>230.76923076923077</c:v>
                </c:pt>
                <c:pt idx="4">
                  <c:v>-1546.1538461538462</c:v>
                </c:pt>
                <c:pt idx="5">
                  <c:v>1261.1111111111111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たかの!$M$2:$M$28</c:f>
              <c:numCache>
                <c:formatCode>0</c:formatCode>
                <c:ptCount val="2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-992.30769230769226</c:v>
                </c:pt>
                <c:pt idx="1">
                  <c:v>826.92307692307691</c:v>
                </c:pt>
                <c:pt idx="2">
                  <c:v>2288.4615384615386</c:v>
                </c:pt>
                <c:pt idx="3">
                  <c:v>108.69565217391305</c:v>
                </c:pt>
                <c:pt idx="4">
                  <c:v>1405.2631578947369</c:v>
                </c:pt>
                <c:pt idx="5">
                  <c:v>1672.2222222222222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いちかわ!$M$2:$M$28</c:f>
              <c:numCache>
                <c:formatCode>0</c:formatCode>
                <c:ptCount val="27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-143.75</c:v>
                </c:pt>
                <c:pt idx="1">
                  <c:v>1933.3333333333333</c:v>
                </c:pt>
                <c:pt idx="2">
                  <c:v>800</c:v>
                </c:pt>
                <c:pt idx="3">
                  <c:v>960.71428571428567</c:v>
                </c:pt>
                <c:pt idx="4">
                  <c:v>1553.8461538461538</c:v>
                </c:pt>
                <c:pt idx="5">
                  <c:v>-90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21</c:v>
                </c:pt>
                <c:pt idx="3">
                  <c:v>15</c:v>
                </c:pt>
                <c:pt idx="4">
                  <c:v>13</c:v>
                </c:pt>
                <c:pt idx="5">
                  <c:v>3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ただ!$M$2:$M$34</c:f>
              <c:numCache>
                <c:formatCode>0</c:formatCode>
                <c:ptCount val="33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たか2!$C$3:$C$21</c:f>
              <c:numCache>
                <c:formatCode>\+0.0;\-0.0;\±0</c:formatCode>
                <c:ptCount val="19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  <c:pt idx="17">
                  <c:v>-8.8235294117647065</c:v>
                </c:pt>
                <c:pt idx="18">
                  <c:v>-10.016666666666667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0511545910597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2.1764705882352939</c:v>
                </c:pt>
                <c:pt idx="18">
                  <c:v>2.2222222222222223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024875621890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3084577114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たか2!$G$3:$G$21</c:f>
              <c:numCache>
                <c:formatCode>0.0%</c:formatCode>
                <c:ptCount val="19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0.22900763358778625</c:v>
                </c:pt>
                <c:pt idx="18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8621908127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たか2!$H$3:$H$21</c:f>
              <c:numCache>
                <c:formatCode>0.0%</c:formatCode>
                <c:ptCount val="19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  <c:pt idx="17">
                  <c:v>0.21374045801526717</c:v>
                </c:pt>
                <c:pt idx="18">
                  <c:v>0.20714285714285716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310954063604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たか2!$I$3:$I$21</c:f>
              <c:numCache>
                <c:formatCode>0</c:formatCode>
                <c:ptCount val="19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  <c:pt idx="17">
                  <c:v>7183.333333333333</c:v>
                </c:pt>
                <c:pt idx="18">
                  <c:v>7183.333333333333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18.87550200803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たか2!$J$3:$J$21</c:f>
              <c:numCache>
                <c:formatCode>0</c:formatCode>
                <c:ptCount val="19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  <c:pt idx="17">
                  <c:v>-8132.1428571428569</c:v>
                </c:pt>
                <c:pt idx="18">
                  <c:v>-7886.2068965517237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94.98207885304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577114427860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たか2!$L$3:$L$21</c:f>
              <c:numCache>
                <c:formatCode>0.0%</c:formatCode>
                <c:ptCount val="19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  <c:pt idx="17">
                  <c:v>0.22900763358778625</c:v>
                </c:pt>
                <c:pt idx="18">
                  <c:v>0.22857142857142856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405182567726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たか2!$M$3:$M$21</c:f>
              <c:numCache>
                <c:formatCode>0.0%</c:formatCode>
                <c:ptCount val="19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  <c:pt idx="17">
                  <c:v>0.17557251908396945</c:v>
                </c:pt>
                <c:pt idx="18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44876325088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たか2!$N$3:$N$21</c:f>
              <c:numCache>
                <c:formatCode>0.0%</c:formatCode>
                <c:ptCount val="19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  <c:pt idx="17">
                  <c:v>0.46666666666666667</c:v>
                </c:pt>
                <c:pt idx="18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120481927710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  <c:pt idx="17">
                  <c:v>0.30434782608695654</c:v>
                </c:pt>
                <c:pt idx="18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65903307888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たか2!$P$3:$P$21</c:f>
              <c:numCache>
                <c:formatCode>0.0%</c:formatCode>
                <c:ptCount val="19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  <c:pt idx="17">
                  <c:v>0.43333333333333335</c:v>
                </c:pt>
                <c:pt idx="18">
                  <c:v>0.43333333333333335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74297188755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6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44144.803888888891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53</v>
      </c>
      <c r="C2" s="120">
        <v>1842.3339395535957</v>
      </c>
    </row>
    <row r="3" spans="1:3" x14ac:dyDescent="0.45">
      <c r="A3" t="s">
        <v>163</v>
      </c>
      <c r="B3" s="120">
        <v>24</v>
      </c>
      <c r="C3" s="120">
        <v>1653.1699313523677</v>
      </c>
    </row>
    <row r="4" spans="1:3" x14ac:dyDescent="0.45">
      <c r="A4" t="s">
        <v>139</v>
      </c>
      <c r="B4" s="120">
        <v>201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32</v>
      </c>
      <c r="C6" s="120">
        <v>1517.1288342047803</v>
      </c>
    </row>
    <row r="7" spans="1:3" x14ac:dyDescent="0.45">
      <c r="A7" t="s">
        <v>211</v>
      </c>
      <c r="B7" s="120">
        <v>26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26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0.80344429914953996</v>
      </c>
      <c r="C2" s="144"/>
      <c r="D2" s="143">
        <v>0.20480819428113023</v>
      </c>
      <c r="E2" s="144"/>
      <c r="F2" s="143">
        <v>0.2303706939351822</v>
      </c>
      <c r="G2" s="144"/>
      <c r="H2" s="145"/>
      <c r="I2" s="146"/>
      <c r="J2" s="143">
        <v>8.1198036731233048E-2</v>
      </c>
      <c r="K2" s="144"/>
      <c r="L2" s="143">
        <v>4.0277833609610965E-2</v>
      </c>
      <c r="M2" s="144"/>
      <c r="N2" s="143">
        <v>0.1303266308766651</v>
      </c>
      <c r="O2" s="144"/>
      <c r="P2" s="143">
        <v>0.27807436603889579</v>
      </c>
      <c r="Q2" s="144"/>
      <c r="R2" s="143">
        <v>-0.15046711636411048</v>
      </c>
      <c r="S2" s="144"/>
      <c r="T2" s="143">
        <v>0.74294687741039389</v>
      </c>
      <c r="U2" s="144"/>
      <c r="V2" s="143">
        <v>-5.0007556277935003E-2</v>
      </c>
      <c r="W2" s="144"/>
      <c r="X2" s="143">
        <v>-0.29068921347508869</v>
      </c>
      <c r="Y2" s="144"/>
      <c r="Z2" s="143">
        <v>0.20007447111532883</v>
      </c>
      <c r="AA2" s="144"/>
      <c r="AB2" s="143">
        <v>-0.14748495871036155</v>
      </c>
      <c r="AC2" s="144"/>
      <c r="AD2" s="143">
        <v>0.3092035224389022</v>
      </c>
      <c r="AE2" s="144"/>
      <c r="AF2" s="143">
        <v>0.17683267313278425</v>
      </c>
      <c r="AG2" s="144"/>
      <c r="AH2" s="143">
        <v>0.1572508908686068</v>
      </c>
      <c r="AI2" s="144"/>
      <c r="AJ2" s="143">
        <v>0.89628488393170225</v>
      </c>
      <c r="AK2" s="144"/>
    </row>
    <row r="3" spans="1:37" x14ac:dyDescent="0.45">
      <c r="A3" s="38">
        <v>1</v>
      </c>
      <c r="B3" s="41" t="s">
        <v>139</v>
      </c>
      <c r="C3" s="113">
        <v>67</v>
      </c>
      <c r="D3" s="39" t="s">
        <v>192</v>
      </c>
      <c r="E3" s="40">
        <v>293.89999999999998</v>
      </c>
      <c r="F3" s="41" t="s">
        <v>192</v>
      </c>
      <c r="G3" s="60">
        <v>9.1843749999999993</v>
      </c>
      <c r="H3" s="41" t="s">
        <v>126</v>
      </c>
      <c r="I3" s="45">
        <v>1784.28494472284</v>
      </c>
      <c r="J3" s="41" t="s">
        <v>192</v>
      </c>
      <c r="K3" s="42">
        <v>1.71875</v>
      </c>
      <c r="L3" s="41" t="s">
        <v>192</v>
      </c>
      <c r="M3" s="43">
        <v>0.5</v>
      </c>
      <c r="N3" s="41" t="s">
        <v>192</v>
      </c>
      <c r="O3" s="43">
        <v>0.21875</v>
      </c>
      <c r="P3" s="41" t="s">
        <v>192</v>
      </c>
      <c r="Q3" s="44">
        <v>0.34275618374558303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0.29707112970711297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53</v>
      </c>
      <c r="D4" s="47" t="s">
        <v>211</v>
      </c>
      <c r="E4" s="48">
        <v>123.09999999999998</v>
      </c>
      <c r="F4" s="49" t="s">
        <v>211</v>
      </c>
      <c r="G4" s="61">
        <v>4.7346153846153838</v>
      </c>
      <c r="H4" s="49" t="s">
        <v>163</v>
      </c>
      <c r="I4" s="53">
        <v>1637.2144623174072</v>
      </c>
      <c r="J4" s="49" t="s">
        <v>211</v>
      </c>
      <c r="K4" s="50">
        <v>1.8846153846153846</v>
      </c>
      <c r="L4" s="49" t="s">
        <v>211</v>
      </c>
      <c r="M4" s="51">
        <v>0.42307692307692307</v>
      </c>
      <c r="N4" s="49" t="s">
        <v>190</v>
      </c>
      <c r="O4" s="51">
        <v>0.3</v>
      </c>
      <c r="P4" s="49" t="s">
        <v>211</v>
      </c>
      <c r="Q4" s="52">
        <v>0.31862745098039214</v>
      </c>
      <c r="R4" s="49" t="s">
        <v>192</v>
      </c>
      <c r="S4" s="52">
        <v>0.13780918727915195</v>
      </c>
      <c r="T4" s="49" t="s">
        <v>163</v>
      </c>
      <c r="U4" s="53">
        <v>8941.0714285714294</v>
      </c>
      <c r="V4" s="49" t="s">
        <v>126</v>
      </c>
      <c r="W4" s="53">
        <v>-6626.9230769230771</v>
      </c>
      <c r="X4" s="49" t="s">
        <v>193</v>
      </c>
      <c r="Y4" s="51">
        <v>0</v>
      </c>
      <c r="Z4" s="49" t="s">
        <v>189</v>
      </c>
      <c r="AA4" s="52">
        <v>0.26359832635983266</v>
      </c>
      <c r="AB4" s="49" t="s">
        <v>193</v>
      </c>
      <c r="AC4" s="52">
        <v>0.2857142857142857</v>
      </c>
      <c r="AD4" s="49" t="s">
        <v>211</v>
      </c>
      <c r="AE4" s="52">
        <v>0.56818181818181823</v>
      </c>
      <c r="AF4" s="49" t="s">
        <v>211</v>
      </c>
      <c r="AG4" s="52">
        <v>0.51020408163265307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32</v>
      </c>
      <c r="D5" s="47" t="s">
        <v>126</v>
      </c>
      <c r="E5" s="48">
        <v>53.599999999999966</v>
      </c>
      <c r="F5" s="49" t="s">
        <v>126</v>
      </c>
      <c r="G5" s="61">
        <v>1.0113207547169805</v>
      </c>
      <c r="H5" s="49" t="s">
        <v>139</v>
      </c>
      <c r="I5" s="53">
        <v>1599.2944099490137</v>
      </c>
      <c r="J5" s="49" t="s">
        <v>189</v>
      </c>
      <c r="K5" s="50">
        <v>1.9230769230769231</v>
      </c>
      <c r="L5" s="49" t="s">
        <v>189</v>
      </c>
      <c r="M5" s="51">
        <v>0.38461538461538464</v>
      </c>
      <c r="N5" s="49" t="s">
        <v>211</v>
      </c>
      <c r="O5" s="51">
        <v>0.30769230769230771</v>
      </c>
      <c r="P5" s="49" t="s">
        <v>189</v>
      </c>
      <c r="Q5" s="52">
        <v>0.30543933054393307</v>
      </c>
      <c r="R5" s="49" t="s">
        <v>211</v>
      </c>
      <c r="S5" s="52">
        <v>0.14705882352941177</v>
      </c>
      <c r="T5" s="49" t="s">
        <v>126</v>
      </c>
      <c r="U5" s="53">
        <v>8557.0370370370365</v>
      </c>
      <c r="V5" s="49" t="s">
        <v>211</v>
      </c>
      <c r="W5" s="53">
        <v>-6940</v>
      </c>
      <c r="X5" s="49" t="s">
        <v>221</v>
      </c>
      <c r="Y5" s="51">
        <v>0</v>
      </c>
      <c r="Z5" s="49" t="s">
        <v>163</v>
      </c>
      <c r="AA5" s="52">
        <v>0.25961538461538464</v>
      </c>
      <c r="AB5" s="49" t="s">
        <v>221</v>
      </c>
      <c r="AC5" s="52">
        <v>0.27777777777777779</v>
      </c>
      <c r="AD5" s="49" t="s">
        <v>126</v>
      </c>
      <c r="AE5" s="52">
        <v>0.53913043478260869</v>
      </c>
      <c r="AF5" s="49" t="s">
        <v>192</v>
      </c>
      <c r="AG5" s="52">
        <v>0.49295774647887325</v>
      </c>
      <c r="AH5" s="49" t="s">
        <v>189</v>
      </c>
      <c r="AI5" s="52">
        <v>0.49315068493150682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26</v>
      </c>
      <c r="D6" s="47" t="s">
        <v>189</v>
      </c>
      <c r="E6" s="48">
        <v>25.599999999999987</v>
      </c>
      <c r="F6" s="49" t="s">
        <v>189</v>
      </c>
      <c r="G6" s="61">
        <v>0.98461538461538411</v>
      </c>
      <c r="H6" s="49" t="s">
        <v>192</v>
      </c>
      <c r="I6" s="53">
        <v>1582.0881180259935</v>
      </c>
      <c r="J6" s="49" t="s">
        <v>139</v>
      </c>
      <c r="K6" s="50">
        <v>1.9950248756218905</v>
      </c>
      <c r="L6" s="49" t="s">
        <v>139</v>
      </c>
      <c r="M6" s="51">
        <v>0.3383084577114428</v>
      </c>
      <c r="N6" s="49" t="s">
        <v>189</v>
      </c>
      <c r="O6" s="51">
        <v>0.30769230769230771</v>
      </c>
      <c r="P6" s="49" t="s">
        <v>126</v>
      </c>
      <c r="Q6" s="52">
        <v>0.30337078651685395</v>
      </c>
      <c r="R6" s="49" t="s">
        <v>139</v>
      </c>
      <c r="S6" s="52">
        <v>0.16431095406360424</v>
      </c>
      <c r="T6" s="49" t="s">
        <v>195</v>
      </c>
      <c r="U6" s="53">
        <v>8272.7272727272721</v>
      </c>
      <c r="V6" s="49" t="s">
        <v>139</v>
      </c>
      <c r="W6" s="53">
        <v>-7294.9820788530469</v>
      </c>
      <c r="X6" s="49" t="s">
        <v>189</v>
      </c>
      <c r="Y6" s="51">
        <v>3.8461538461538464E-2</v>
      </c>
      <c r="Z6" s="49" t="s">
        <v>126</v>
      </c>
      <c r="AA6" s="52">
        <v>0.25842696629213485</v>
      </c>
      <c r="AB6" s="49" t="s">
        <v>192</v>
      </c>
      <c r="AC6" s="52">
        <v>0.25088339222614842</v>
      </c>
      <c r="AD6" s="49" t="s">
        <v>190</v>
      </c>
      <c r="AE6" s="52">
        <v>0.52380952380952384</v>
      </c>
      <c r="AF6" s="49" t="s">
        <v>126</v>
      </c>
      <c r="AG6" s="52">
        <v>0.44791666666666669</v>
      </c>
      <c r="AH6" s="49" t="s">
        <v>163</v>
      </c>
      <c r="AI6" s="52">
        <v>0.44642857142857145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26</v>
      </c>
      <c r="D7" s="47" t="s">
        <v>139</v>
      </c>
      <c r="E7" s="48">
        <v>2.1316282072803006E-14</v>
      </c>
      <c r="F7" s="49" t="s">
        <v>139</v>
      </c>
      <c r="G7" s="61">
        <v>1.0605115459105973E-16</v>
      </c>
      <c r="H7" s="49" t="s">
        <v>211</v>
      </c>
      <c r="I7" s="53">
        <v>1522.6913378373931</v>
      </c>
      <c r="J7" s="49" t="s">
        <v>126</v>
      </c>
      <c r="K7" s="50">
        <v>2.0377358490566038</v>
      </c>
      <c r="L7" s="49" t="s">
        <v>163</v>
      </c>
      <c r="M7" s="51">
        <v>0.33333333333333331</v>
      </c>
      <c r="N7" s="49" t="s">
        <v>126</v>
      </c>
      <c r="O7" s="51">
        <v>0.32075471698113206</v>
      </c>
      <c r="P7" s="49" t="s">
        <v>139</v>
      </c>
      <c r="Q7" s="52">
        <v>0.29328621908127206</v>
      </c>
      <c r="R7" s="49" t="s">
        <v>221</v>
      </c>
      <c r="S7" s="52">
        <v>0.16666666666666666</v>
      </c>
      <c r="T7" s="49" t="s">
        <v>193</v>
      </c>
      <c r="U7" s="53">
        <v>8212.5</v>
      </c>
      <c r="V7" s="49" t="s">
        <v>189</v>
      </c>
      <c r="W7" s="53">
        <v>-7370</v>
      </c>
      <c r="X7" s="49" t="s">
        <v>192</v>
      </c>
      <c r="Y7" s="51">
        <v>6.25E-2</v>
      </c>
      <c r="Z7" s="49" t="s">
        <v>193</v>
      </c>
      <c r="AA7" s="52">
        <v>0.25714285714285712</v>
      </c>
      <c r="AB7" s="49" t="s">
        <v>211</v>
      </c>
      <c r="AC7" s="52">
        <v>0.24019607843137256</v>
      </c>
      <c r="AD7" s="49" t="s">
        <v>192</v>
      </c>
      <c r="AE7" s="52">
        <v>0.52380952380952384</v>
      </c>
      <c r="AF7" s="49" t="s">
        <v>139</v>
      </c>
      <c r="AG7" s="52">
        <v>0.43765903307888043</v>
      </c>
      <c r="AH7" s="49" t="s">
        <v>126</v>
      </c>
      <c r="AI7" s="52">
        <v>0.44444444444444442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24</v>
      </c>
      <c r="D8" s="47" t="s">
        <v>221</v>
      </c>
      <c r="E8" s="48">
        <v>-13.5</v>
      </c>
      <c r="F8" s="49" t="s">
        <v>163</v>
      </c>
      <c r="G8" s="61">
        <v>-3.2250000000000001</v>
      </c>
      <c r="H8" s="49" t="s">
        <v>190</v>
      </c>
      <c r="I8" s="53">
        <v>1519.2183815819624</v>
      </c>
      <c r="J8" s="49" t="s">
        <v>163</v>
      </c>
      <c r="K8" s="50">
        <v>2.0416666666666665</v>
      </c>
      <c r="L8" s="49" t="s">
        <v>195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0.26923076923076922</v>
      </c>
      <c r="R8" s="49" t="s">
        <v>189</v>
      </c>
      <c r="S8" s="52">
        <v>0.16736401673640167</v>
      </c>
      <c r="T8" s="49" t="s">
        <v>139</v>
      </c>
      <c r="U8" s="53">
        <v>8018.8755020080325</v>
      </c>
      <c r="V8" s="49" t="s">
        <v>192</v>
      </c>
      <c r="W8" s="53">
        <v>-7448.7179487179483</v>
      </c>
      <c r="X8" s="49" t="s">
        <v>126</v>
      </c>
      <c r="Y8" s="51">
        <v>7.5471698113207544E-2</v>
      </c>
      <c r="Z8" s="49" t="s">
        <v>139</v>
      </c>
      <c r="AA8" s="52">
        <v>0.24440518256772673</v>
      </c>
      <c r="AB8" s="49" t="s">
        <v>139</v>
      </c>
      <c r="AC8" s="52">
        <v>0.2314487632508834</v>
      </c>
      <c r="AD8" s="49" t="s">
        <v>139</v>
      </c>
      <c r="AE8" s="52">
        <v>0.50120481927710847</v>
      </c>
      <c r="AF8" s="49" t="s">
        <v>190</v>
      </c>
      <c r="AG8" s="52">
        <v>0.4375</v>
      </c>
      <c r="AH8" s="49" t="s">
        <v>139</v>
      </c>
      <c r="AI8" s="52">
        <v>0.43574297188755018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193</v>
      </c>
      <c r="E9" s="48">
        <v>-51.699999999999996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190</v>
      </c>
      <c r="K9" s="50">
        <v>2.2000000000000002</v>
      </c>
      <c r="L9" s="49" t="s">
        <v>126</v>
      </c>
      <c r="M9" s="51">
        <v>0.28301886792452829</v>
      </c>
      <c r="N9" s="49" t="s">
        <v>163</v>
      </c>
      <c r="O9" s="51">
        <v>0.375</v>
      </c>
      <c r="P9" s="49" t="s">
        <v>190</v>
      </c>
      <c r="Q9" s="52">
        <v>0.24675324675324675</v>
      </c>
      <c r="R9" s="49" t="s">
        <v>126</v>
      </c>
      <c r="S9" s="52">
        <v>0.1752808988764045</v>
      </c>
      <c r="T9" s="49" t="s">
        <v>211</v>
      </c>
      <c r="U9" s="53">
        <v>8015.3846153846152</v>
      </c>
      <c r="V9" s="49" t="s">
        <v>195</v>
      </c>
      <c r="W9" s="53">
        <v>-7666.666666666667</v>
      </c>
      <c r="X9" s="49" t="s">
        <v>211</v>
      </c>
      <c r="Y9" s="51">
        <v>7.6923076923076927E-2</v>
      </c>
      <c r="Z9" s="49" t="s">
        <v>216</v>
      </c>
      <c r="AA9" s="52">
        <v>0.22857142857142856</v>
      </c>
      <c r="AB9" s="49" t="s">
        <v>163</v>
      </c>
      <c r="AC9" s="52">
        <v>0.23076923076923078</v>
      </c>
      <c r="AD9" s="49" t="s">
        <v>189</v>
      </c>
      <c r="AE9" s="52">
        <v>0.46031746031746029</v>
      </c>
      <c r="AF9" s="49" t="s">
        <v>189</v>
      </c>
      <c r="AG9" s="52">
        <v>0.42253521126760563</v>
      </c>
      <c r="AH9" s="49" t="s">
        <v>216</v>
      </c>
      <c r="AI9" s="52">
        <v>0.43333333333333335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221</v>
      </c>
      <c r="G10" s="61">
        <v>-6.75</v>
      </c>
      <c r="H10" s="49" t="s">
        <v>216</v>
      </c>
      <c r="I10" s="53">
        <v>1475.2783888604056</v>
      </c>
      <c r="J10" s="49" t="s">
        <v>216</v>
      </c>
      <c r="K10" s="50">
        <v>2.2222222222222223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0.18269230769230768</v>
      </c>
      <c r="T10" s="49" t="s">
        <v>192</v>
      </c>
      <c r="U10" s="53">
        <v>7967.0103092783502</v>
      </c>
      <c r="V10" s="49" t="s">
        <v>216</v>
      </c>
      <c r="W10" s="53">
        <v>-7886.2068965517237</v>
      </c>
      <c r="X10" s="49" t="s">
        <v>139</v>
      </c>
      <c r="Y10" s="51">
        <v>8.45771144278607E-2</v>
      </c>
      <c r="Z10" s="49" t="s">
        <v>192</v>
      </c>
      <c r="AA10" s="52">
        <v>0.22261484098939929</v>
      </c>
      <c r="AB10" s="49" t="s">
        <v>126</v>
      </c>
      <c r="AC10" s="52">
        <v>0.21573033707865169</v>
      </c>
      <c r="AD10" s="49" t="s">
        <v>163</v>
      </c>
      <c r="AE10" s="52">
        <v>0.44444444444444442</v>
      </c>
      <c r="AF10" s="49" t="s">
        <v>193</v>
      </c>
      <c r="AG10" s="52">
        <v>0.4</v>
      </c>
      <c r="AH10" s="49" t="s">
        <v>192</v>
      </c>
      <c r="AI10" s="52">
        <v>0.41237113402061853</v>
      </c>
      <c r="AJ10" s="49" t="s">
        <v>189</v>
      </c>
      <c r="AK10" s="56">
        <v>68900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163</v>
      </c>
      <c r="E11" s="48">
        <v>-77.400000000000006</v>
      </c>
      <c r="F11" s="49" t="s">
        <v>216</v>
      </c>
      <c r="G11" s="61">
        <v>-10.016666666666667</v>
      </c>
      <c r="H11" s="49" t="s">
        <v>189</v>
      </c>
      <c r="I11" s="53">
        <v>1460.4745271436907</v>
      </c>
      <c r="J11" s="49" t="s">
        <v>193</v>
      </c>
      <c r="K11" s="50">
        <v>2.25</v>
      </c>
      <c r="L11" s="49" t="s">
        <v>216</v>
      </c>
      <c r="M11" s="51">
        <v>0.22222222222222221</v>
      </c>
      <c r="N11" s="49" t="s">
        <v>193</v>
      </c>
      <c r="O11" s="51">
        <v>0.5</v>
      </c>
      <c r="P11" s="49" t="s">
        <v>195</v>
      </c>
      <c r="Q11" s="52">
        <v>0.22448979591836735</v>
      </c>
      <c r="R11" s="49" t="s">
        <v>195</v>
      </c>
      <c r="S11" s="52">
        <v>0.18367346938775511</v>
      </c>
      <c r="T11" s="49" t="s">
        <v>216</v>
      </c>
      <c r="U11" s="53">
        <v>7183.333333333333</v>
      </c>
      <c r="V11" s="49" t="s">
        <v>163</v>
      </c>
      <c r="W11" s="53">
        <v>-8007.894736842105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216</v>
      </c>
      <c r="AE11" s="52">
        <v>0.4375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195</v>
      </c>
      <c r="E12" s="48">
        <v>-118.3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6920.5479452054797</v>
      </c>
      <c r="V12" s="49" t="s">
        <v>193</v>
      </c>
      <c r="W12" s="53">
        <v>-9387.5</v>
      </c>
      <c r="X12" s="49" t="s">
        <v>163</v>
      </c>
      <c r="Y12" s="51">
        <v>0.16666666666666666</v>
      </c>
      <c r="Z12" s="49" t="s">
        <v>211</v>
      </c>
      <c r="AA12" s="52">
        <v>0.21568627450980393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0.35416666666666669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0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201</v>
      </c>
      <c r="C2" s="134"/>
      <c r="E2" s="26" t="s">
        <v>66</v>
      </c>
      <c r="F2" s="23" t="s">
        <v>22</v>
      </c>
      <c r="G2" s="11">
        <v>388</v>
      </c>
      <c r="H2" s="87">
        <f>IF(B$20=0,0,G2/B$20)</f>
        <v>0.77911646586345384</v>
      </c>
      <c r="I2" s="57">
        <v>4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-44.776119402985074</v>
      </c>
      <c r="Q2" s="76">
        <v>201</v>
      </c>
      <c r="R2" s="63">
        <v>-9000</v>
      </c>
    </row>
    <row r="3" spans="1:18" x14ac:dyDescent="0.45">
      <c r="A3" s="19" t="s">
        <v>8</v>
      </c>
      <c r="B3" s="135">
        <v>1698</v>
      </c>
      <c r="C3" s="136"/>
      <c r="E3" s="27" t="s">
        <v>72</v>
      </c>
      <c r="F3" s="24" t="s">
        <v>27</v>
      </c>
      <c r="G3" s="12">
        <v>308</v>
      </c>
      <c r="H3" s="88">
        <f>IF(B$20=0,0,G3/B$20)</f>
        <v>0.61847389558232935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46.153846153846153</v>
      </c>
      <c r="Q3" s="77">
        <v>195</v>
      </c>
      <c r="R3" s="64">
        <v>9000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199</v>
      </c>
      <c r="H4" s="88">
        <f>IF(B$20=0,0,G4/B$20)</f>
        <v>0.39959839357429716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-30.303030303030305</v>
      </c>
      <c r="Q4" s="77">
        <v>198</v>
      </c>
      <c r="R4" s="64">
        <v>-6000</v>
      </c>
    </row>
    <row r="5" spans="1:18" x14ac:dyDescent="0.45">
      <c r="A5" s="19" t="s">
        <v>7</v>
      </c>
      <c r="B5" s="125">
        <f>IF(B$2=0,0,B$4/B$2)</f>
        <v>1.0605115459105973E-16</v>
      </c>
      <c r="C5" s="126"/>
      <c r="E5" s="27" t="s">
        <v>159</v>
      </c>
      <c r="F5" s="24" t="s">
        <v>160</v>
      </c>
      <c r="G5" s="12">
        <v>184</v>
      </c>
      <c r="H5" s="88">
        <f>IF(B$20=0,0,G5/B$20)</f>
        <v>0.36947791164658633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10.928961748633879</v>
      </c>
      <c r="Q5" s="77">
        <v>183</v>
      </c>
      <c r="R5" s="64">
        <v>2000</v>
      </c>
    </row>
    <row r="6" spans="1:18" x14ac:dyDescent="0.45">
      <c r="A6" s="19" t="s">
        <v>196</v>
      </c>
      <c r="B6" s="129">
        <v>1599.2944099490137</v>
      </c>
      <c r="C6" s="130"/>
      <c r="E6" s="27" t="s">
        <v>68</v>
      </c>
      <c r="F6" s="24" t="s">
        <v>12</v>
      </c>
      <c r="G6" s="12">
        <v>148</v>
      </c>
      <c r="H6" s="88">
        <f>IF(B$20=0,0,G6/B$20)</f>
        <v>0.2971887550200803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6.0606060606060606</v>
      </c>
      <c r="Q6" s="77">
        <v>165</v>
      </c>
      <c r="R6" s="64">
        <v>1000</v>
      </c>
    </row>
    <row r="7" spans="1:18" x14ac:dyDescent="0.45">
      <c r="A7" s="19" t="s">
        <v>1</v>
      </c>
      <c r="B7" s="139">
        <f>IF(B$2=0,0,(B$8*1+B$9*2+B$10*3)/B$2)</f>
        <v>1.9950248756218905</v>
      </c>
      <c r="C7" s="140"/>
      <c r="E7" s="27" t="s">
        <v>67</v>
      </c>
      <c r="F7" s="24" t="s">
        <v>23</v>
      </c>
      <c r="G7" s="12">
        <v>100</v>
      </c>
      <c r="H7" s="88">
        <f>IF(B$20=0,0,G7/B$20)</f>
        <v>0.20080321285140562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22.727272727272727</v>
      </c>
      <c r="Q7" s="78">
        <v>132</v>
      </c>
      <c r="R7" s="65">
        <v>3000</v>
      </c>
    </row>
    <row r="8" spans="1:18" x14ac:dyDescent="0.45">
      <c r="A8" s="19" t="s">
        <v>2</v>
      </c>
      <c r="B8" s="12">
        <v>68</v>
      </c>
      <c r="C8" s="6">
        <f t="shared" ref="C8:C15" si="1">IF(B$2=0,0,B8/B$2)</f>
        <v>0.3383084577114428</v>
      </c>
      <c r="E8" s="27" t="s">
        <v>89</v>
      </c>
      <c r="F8" s="24" t="s">
        <v>44</v>
      </c>
      <c r="G8" s="12">
        <v>72</v>
      </c>
      <c r="H8" s="88">
        <f>IF(B$20=0,0,G8/B$20)</f>
        <v>0.14457831325301204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66</v>
      </c>
      <c r="C9" s="6">
        <f t="shared" si="1"/>
        <v>0.32835820895522388</v>
      </c>
      <c r="E9" s="27" t="s">
        <v>69</v>
      </c>
      <c r="F9" s="24" t="s">
        <v>24</v>
      </c>
      <c r="G9" s="12">
        <v>61</v>
      </c>
      <c r="H9" s="88">
        <f>IF(B$20=0,0,G9/B$20)</f>
        <v>0.12248995983935743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67</v>
      </c>
      <c r="C10" s="7">
        <f t="shared" si="1"/>
        <v>0.33333333333333331</v>
      </c>
      <c r="E10" s="27" t="s">
        <v>70</v>
      </c>
      <c r="F10" s="24" t="s">
        <v>25</v>
      </c>
      <c r="G10" s="12">
        <v>54</v>
      </c>
      <c r="H10" s="88">
        <f>IF(B$20=0,0,G10/B$20)</f>
        <v>0.10843373493975904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3.0746268656716418</v>
      </c>
      <c r="Q10" s="76">
        <v>67</v>
      </c>
      <c r="R10" s="67">
        <v>206</v>
      </c>
    </row>
    <row r="11" spans="1:18" x14ac:dyDescent="0.45">
      <c r="A11" s="20" t="s">
        <v>184</v>
      </c>
      <c r="B11" s="109">
        <f>IF(B8=0,0,C11/B8)</f>
        <v>34.636764705882342</v>
      </c>
      <c r="C11" s="110">
        <v>2355.2999999999993</v>
      </c>
      <c r="E11" s="27" t="s">
        <v>65</v>
      </c>
      <c r="F11" s="24" t="s">
        <v>21</v>
      </c>
      <c r="G11" s="12">
        <v>39</v>
      </c>
      <c r="H11" s="88">
        <f>IF(B$20=0,0,G11/B$20)</f>
        <v>7.8313253012048195E-2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-6.5328358208955226</v>
      </c>
      <c r="Q11" s="77">
        <v>67</v>
      </c>
      <c r="R11" s="68">
        <v>-437.7</v>
      </c>
    </row>
    <row r="12" spans="1:18" x14ac:dyDescent="0.45">
      <c r="A12" s="20" t="s">
        <v>185</v>
      </c>
      <c r="B12" s="109">
        <f>IF(B9=0,0,C12/B9)</f>
        <v>-0.82121212121212095</v>
      </c>
      <c r="C12" s="110">
        <v>-54.199999999999982</v>
      </c>
      <c r="E12" s="27" t="s">
        <v>71</v>
      </c>
      <c r="F12" s="24" t="s">
        <v>26</v>
      </c>
      <c r="G12" s="12">
        <v>28</v>
      </c>
      <c r="H12" s="88">
        <f>IF(B$20=0,0,G12/B$20)</f>
        <v>5.6224899598393573E-2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3.4582089552238813</v>
      </c>
      <c r="Q12" s="78">
        <v>67</v>
      </c>
      <c r="R12" s="69">
        <v>231.70000000000005</v>
      </c>
    </row>
    <row r="13" spans="1:18" x14ac:dyDescent="0.45">
      <c r="A13" s="20" t="s">
        <v>186</v>
      </c>
      <c r="B13" s="109">
        <f>IF(B10=0,0,C13/B10)</f>
        <v>-34.344776119402994</v>
      </c>
      <c r="C13" s="110">
        <v>-2301.1000000000004</v>
      </c>
      <c r="E13" s="27" t="s">
        <v>86</v>
      </c>
      <c r="F13" s="24" t="s">
        <v>41</v>
      </c>
      <c r="G13" s="12">
        <v>27</v>
      </c>
      <c r="H13" s="88">
        <f>IF(B$20=0,0,G13/B$20)</f>
        <v>5.4216867469879519E-2</v>
      </c>
      <c r="I13" s="58">
        <v>4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-0.17640784491092396</v>
      </c>
      <c r="C14" s="126"/>
      <c r="E14" s="27" t="s">
        <v>83</v>
      </c>
      <c r="F14" s="24" t="s">
        <v>38</v>
      </c>
      <c r="G14" s="12">
        <v>20</v>
      </c>
      <c r="H14" s="88">
        <f>IF(B$20=0,0,G14/B$20)</f>
        <v>4.0160642570281124E-2</v>
      </c>
      <c r="I14" s="58">
        <v>7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17</v>
      </c>
      <c r="C15" s="9">
        <f t="shared" si="1"/>
        <v>8.45771144278607E-2</v>
      </c>
      <c r="E15" s="27" t="s">
        <v>81</v>
      </c>
      <c r="F15" s="24" t="s">
        <v>36</v>
      </c>
      <c r="G15" s="12">
        <v>18</v>
      </c>
      <c r="H15" s="88">
        <f>IF(B$20=0,0,G15/B$20)</f>
        <v>3.614457831325301E-2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415</v>
      </c>
      <c r="C16" s="10">
        <f>IF(B$3=0,0,B16/B$3)</f>
        <v>0.24440518256772673</v>
      </c>
      <c r="E16" s="27" t="s">
        <v>78</v>
      </c>
      <c r="F16" s="24" t="s">
        <v>33</v>
      </c>
      <c r="G16" s="12">
        <v>14</v>
      </c>
      <c r="H16" s="88">
        <f>IF(B$20=0,0,G16/B$20)</f>
        <v>2.8112449799196786E-2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393</v>
      </c>
      <c r="C17" s="6">
        <f>IF(B$3=0,0,B17/B$3)</f>
        <v>0.2314487632508834</v>
      </c>
      <c r="E17" s="27" t="s">
        <v>91</v>
      </c>
      <c r="F17" s="24" t="s">
        <v>46</v>
      </c>
      <c r="G17" s="12">
        <v>11</v>
      </c>
      <c r="H17" s="88">
        <f>IF(B$20=0,0,G17/B$20)</f>
        <v>2.2088353413654619E-2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5">
      <c r="A18" s="18" t="s">
        <v>123</v>
      </c>
      <c r="B18" s="11">
        <f>B24</f>
        <v>208</v>
      </c>
      <c r="C18" s="5">
        <f>IF(B$16=0,0,B18/B$16)</f>
        <v>0.50120481927710847</v>
      </c>
      <c r="E18" s="27" t="s">
        <v>155</v>
      </c>
      <c r="F18" s="24" t="s">
        <v>156</v>
      </c>
      <c r="G18" s="12">
        <v>10</v>
      </c>
      <c r="H18" s="88">
        <f>IF(B$20=0,0,G18/B$20)</f>
        <v>2.0080321285140562E-2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172</v>
      </c>
      <c r="C19" s="5">
        <f>IF(B$17=0,0,B19/B$17)</f>
        <v>0.43765903307888043</v>
      </c>
      <c r="E19" s="27" t="s">
        <v>79</v>
      </c>
      <c r="F19" s="24" t="s">
        <v>34</v>
      </c>
      <c r="G19" s="12">
        <v>8</v>
      </c>
      <c r="H19" s="88">
        <f>IF(B$20=0,0,G19/B$20)</f>
        <v>1.6064257028112448E-2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498</v>
      </c>
      <c r="C20" s="5">
        <f>IF(B$3=0,0,B20/B$3)</f>
        <v>0.29328621908127206</v>
      </c>
      <c r="E20" s="27" t="s">
        <v>73</v>
      </c>
      <c r="F20" s="24" t="s">
        <v>28</v>
      </c>
      <c r="G20" s="12">
        <v>4</v>
      </c>
      <c r="H20" s="88">
        <f>IF(B$20=0,0,G20/B$20)</f>
        <v>8.0321285140562242E-3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4.8375000000000039</v>
      </c>
      <c r="Q20" s="77">
        <v>48</v>
      </c>
      <c r="R20" s="68">
        <v>232.20000000000019</v>
      </c>
    </row>
    <row r="21" spans="1:18" x14ac:dyDescent="0.45">
      <c r="A21" s="19" t="s">
        <v>13</v>
      </c>
      <c r="B21" s="12">
        <v>279</v>
      </c>
      <c r="C21" s="6">
        <f>IF(B$3=0,0,B21/B$3)</f>
        <v>0.16431095406360424</v>
      </c>
      <c r="E21" s="27" t="s">
        <v>85</v>
      </c>
      <c r="F21" s="24" t="s">
        <v>40</v>
      </c>
      <c r="G21" s="12">
        <v>3</v>
      </c>
      <c r="H21" s="88">
        <f>IF(B$20=0,0,G21/B$20)</f>
        <v>6.024096385542169E-3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-1.4769230769230755</v>
      </c>
      <c r="Q21" s="77">
        <v>52</v>
      </c>
      <c r="R21" s="68">
        <v>-76.799999999999926</v>
      </c>
    </row>
    <row r="22" spans="1:18" x14ac:dyDescent="0.45">
      <c r="A22" s="19" t="s">
        <v>12</v>
      </c>
      <c r="B22" s="12">
        <v>217</v>
      </c>
      <c r="C22" s="6">
        <f>IF(B$20=0,0,B22/B$20)</f>
        <v>0.43574297188755018</v>
      </c>
      <c r="E22" s="27" t="s">
        <v>88</v>
      </c>
      <c r="F22" s="24" t="s">
        <v>43</v>
      </c>
      <c r="G22" s="12">
        <v>3</v>
      </c>
      <c r="H22" s="88">
        <f>IF(B$20=0,0,G22/B$20)</f>
        <v>6.024096385542169E-3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-1.516981132075468</v>
      </c>
      <c r="Q22" s="77">
        <v>106</v>
      </c>
      <c r="R22" s="68">
        <v>-160.79999999999961</v>
      </c>
    </row>
    <row r="23" spans="1:18" x14ac:dyDescent="0.45">
      <c r="A23" s="19" t="s">
        <v>11</v>
      </c>
      <c r="B23" s="12">
        <v>281</v>
      </c>
      <c r="C23" s="6">
        <f>IF(B$20=0,0,B23/B$20)</f>
        <v>0.56425702811244982</v>
      </c>
      <c r="E23" s="27" t="s">
        <v>75</v>
      </c>
      <c r="F23" s="24" t="s">
        <v>30</v>
      </c>
      <c r="G23" s="12">
        <v>2</v>
      </c>
      <c r="H23" s="88">
        <f>IF(B$20=0,0,G23/B$20)</f>
        <v>4.0160642570281121E-3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-7.1019230769230779</v>
      </c>
      <c r="Q23" s="77">
        <v>52</v>
      </c>
      <c r="R23" s="68">
        <v>-369.30000000000007</v>
      </c>
    </row>
    <row r="24" spans="1:18" x14ac:dyDescent="0.45">
      <c r="A24" s="19" t="s">
        <v>183</v>
      </c>
      <c r="B24" s="12">
        <v>208</v>
      </c>
      <c r="C24" s="6">
        <f>IF(B$20=0,0,B24/B$20)</f>
        <v>0.41767068273092367</v>
      </c>
      <c r="E24" s="27" t="s">
        <v>77</v>
      </c>
      <c r="F24" s="24" t="s">
        <v>32</v>
      </c>
      <c r="G24" s="12">
        <v>2</v>
      </c>
      <c r="H24" s="88">
        <f>IF(B$20=0,0,G24/B$20)</f>
        <v>4.0160642570281121E-3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-13.776562500000002</v>
      </c>
      <c r="Q24" s="77">
        <v>64</v>
      </c>
      <c r="R24" s="68">
        <v>-881.70000000000016</v>
      </c>
    </row>
    <row r="25" spans="1:18" x14ac:dyDescent="0.45">
      <c r="A25" s="19" t="s">
        <v>181</v>
      </c>
      <c r="B25" s="12">
        <v>172</v>
      </c>
      <c r="C25" s="6">
        <f>IF(B$20=0,0,B25/B$20)</f>
        <v>0.34538152610441769</v>
      </c>
      <c r="E25" s="27" t="s">
        <v>92</v>
      </c>
      <c r="F25" s="24" t="s">
        <v>47</v>
      </c>
      <c r="G25" s="12">
        <v>2</v>
      </c>
      <c r="H25" s="88">
        <f>IF(B$20=0,0,G25/B$20)</f>
        <v>4.0160642570281121E-3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118</v>
      </c>
      <c r="C26" s="6">
        <f>IF(B$20=0,0,B26/B$20)</f>
        <v>0.23694779116465864</v>
      </c>
      <c r="E26" s="27" t="s">
        <v>102</v>
      </c>
      <c r="F26" s="24" t="s">
        <v>57</v>
      </c>
      <c r="G26" s="12">
        <v>1</v>
      </c>
      <c r="H26" s="88">
        <f>IF(B$20=0,0,G26/B$20)</f>
        <v>2.008032128514056E-3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8018.8755020080325</v>
      </c>
      <c r="C27" s="8">
        <v>3993400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8746.3190184049072</v>
      </c>
      <c r="C28" s="96">
        <v>2851300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6640.1162790697672</v>
      </c>
      <c r="C29" s="96">
        <v>1142100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-7294.9820788530469</v>
      </c>
      <c r="C30" s="96">
        <v>-2035300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13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2.9446407538280331E-3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45</v>
      </c>
      <c r="C37" s="98">
        <f t="shared" ref="C37:C49" si="2">IF(B$20=0,0,B37/B$20)</f>
        <v>9.036144578313253E-2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103</v>
      </c>
      <c r="C38" s="6">
        <f t="shared" si="2"/>
        <v>0.20682730923694778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93</v>
      </c>
      <c r="C39" s="6">
        <f t="shared" si="2"/>
        <v>0.18674698795180722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84</v>
      </c>
      <c r="C40" s="6">
        <f t="shared" si="2"/>
        <v>0.16867469879518071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65</v>
      </c>
      <c r="C41" s="6">
        <f t="shared" si="2"/>
        <v>0.13052208835341367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45</v>
      </c>
      <c r="C42" s="6">
        <f t="shared" si="2"/>
        <v>9.036144578313253E-2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26</v>
      </c>
      <c r="C43" s="6">
        <f t="shared" si="2"/>
        <v>5.2208835341365459E-2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15</v>
      </c>
      <c r="C44" s="6">
        <f t="shared" si="2"/>
        <v>3.0120481927710843E-2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10</v>
      </c>
      <c r="C45" s="6">
        <f t="shared" si="2"/>
        <v>2.0080321285140562E-2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1.4056224899598393E-2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4.0160642570281121E-3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3</v>
      </c>
      <c r="C49" s="9">
        <f t="shared" si="2"/>
        <v>6.024096385542169E-3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53</v>
      </c>
      <c r="C2" s="134"/>
      <c r="E2" s="26" t="s">
        <v>66</v>
      </c>
      <c r="F2" s="23" t="s">
        <v>22</v>
      </c>
      <c r="G2" s="11">
        <v>104</v>
      </c>
      <c r="H2" s="87">
        <f>IF(B$20=0,0,G2/B$20)</f>
        <v>0.77037037037037037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1011.3207547169811</v>
      </c>
      <c r="Q2" s="76">
        <v>53</v>
      </c>
      <c r="R2" s="63">
        <v>53600</v>
      </c>
    </row>
    <row r="3" spans="1:18" x14ac:dyDescent="0.45">
      <c r="A3" s="19" t="s">
        <v>8</v>
      </c>
      <c r="B3" s="135">
        <v>445</v>
      </c>
      <c r="C3" s="136"/>
      <c r="E3" s="27" t="s">
        <v>72</v>
      </c>
      <c r="F3" s="24" t="s">
        <v>27</v>
      </c>
      <c r="G3" s="12">
        <v>86</v>
      </c>
      <c r="H3" s="88">
        <f>IF(B$20=0,0,G3/B$20)</f>
        <v>0.63703703703703707</v>
      </c>
      <c r="I3" s="58">
        <v>5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-931.37254901960785</v>
      </c>
      <c r="Q3" s="77">
        <v>51</v>
      </c>
      <c r="R3" s="64">
        <v>-47500</v>
      </c>
    </row>
    <row r="4" spans="1:18" x14ac:dyDescent="0.45">
      <c r="A4" s="19" t="s">
        <v>6</v>
      </c>
      <c r="B4" s="137">
        <v>53.599999999999966</v>
      </c>
      <c r="C4" s="138"/>
      <c r="E4" s="27" t="s">
        <v>64</v>
      </c>
      <c r="F4" s="24" t="s">
        <v>20</v>
      </c>
      <c r="G4" s="12">
        <v>56</v>
      </c>
      <c r="H4" s="88">
        <f>IF(B$20=0,0,G4/B$20)</f>
        <v>0.4148148148148148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-234.61538461538461</v>
      </c>
      <c r="Q4" s="77">
        <v>52</v>
      </c>
      <c r="R4" s="64">
        <v>-12200</v>
      </c>
    </row>
    <row r="5" spans="1:18" x14ac:dyDescent="0.45">
      <c r="A5" s="19" t="s">
        <v>7</v>
      </c>
      <c r="B5" s="125">
        <f>IF(B$2=0,0,B$4/B$2)</f>
        <v>1.0113207547169805</v>
      </c>
      <c r="C5" s="126"/>
      <c r="E5" s="27" t="s">
        <v>159</v>
      </c>
      <c r="F5" s="24" t="s">
        <v>160</v>
      </c>
      <c r="G5" s="12">
        <v>48</v>
      </c>
      <c r="H5" s="88">
        <f>IF(B$20=0,0,G5/B$20)</f>
        <v>0.35555555555555557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212.24489795918367</v>
      </c>
      <c r="Q5" s="77">
        <v>49</v>
      </c>
      <c r="R5" s="64">
        <v>10400</v>
      </c>
    </row>
    <row r="6" spans="1:18" x14ac:dyDescent="0.45">
      <c r="A6" s="19" t="s">
        <v>196</v>
      </c>
      <c r="B6" s="129">
        <v>1784.28494472284</v>
      </c>
      <c r="C6" s="130"/>
      <c r="E6" s="27" t="s">
        <v>68</v>
      </c>
      <c r="F6" s="24" t="s">
        <v>12</v>
      </c>
      <c r="G6" s="12">
        <v>40</v>
      </c>
      <c r="H6" s="88">
        <f>IF(B$20=0,0,G6/B$20)</f>
        <v>0.29629629629629628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104.54545454545455</v>
      </c>
      <c r="Q6" s="77">
        <v>44</v>
      </c>
      <c r="R6" s="64">
        <v>4600</v>
      </c>
    </row>
    <row r="7" spans="1:18" x14ac:dyDescent="0.45">
      <c r="A7" s="19" t="s">
        <v>1</v>
      </c>
      <c r="B7" s="139">
        <f>IF(B$2=0,0,(B$8*1+B$9*2+B$10*3)/B$2)</f>
        <v>2.0377358490566038</v>
      </c>
      <c r="C7" s="140"/>
      <c r="E7" s="27" t="s">
        <v>67</v>
      </c>
      <c r="F7" s="24" t="s">
        <v>23</v>
      </c>
      <c r="G7" s="12">
        <v>26</v>
      </c>
      <c r="H7" s="88">
        <f>IF(B$20=0,0,G7/B$20)</f>
        <v>0.19259259259259259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-702.94117647058829</v>
      </c>
      <c r="Q7" s="78">
        <v>34</v>
      </c>
      <c r="R7" s="65">
        <v>-23900</v>
      </c>
    </row>
    <row r="8" spans="1:18" x14ac:dyDescent="0.45">
      <c r="A8" s="19" t="s">
        <v>2</v>
      </c>
      <c r="B8" s="12">
        <v>15</v>
      </c>
      <c r="C8" s="6">
        <f t="shared" ref="C8:C15" si="1">IF(B$2=0,0,B8/B$2)</f>
        <v>0.28301886792452829</v>
      </c>
      <c r="E8" s="27" t="s">
        <v>69</v>
      </c>
      <c r="F8" s="24" t="s">
        <v>24</v>
      </c>
      <c r="G8" s="12">
        <v>24</v>
      </c>
      <c r="H8" s="88">
        <f>IF(B$20=0,0,G8/B$20)</f>
        <v>0.17777777777777778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21</v>
      </c>
      <c r="C9" s="6">
        <f t="shared" si="1"/>
        <v>0.39622641509433965</v>
      </c>
      <c r="E9" s="27" t="s">
        <v>70</v>
      </c>
      <c r="F9" s="24" t="s">
        <v>25</v>
      </c>
      <c r="G9" s="12">
        <v>22</v>
      </c>
      <c r="H9" s="88">
        <f>IF(B$20=0,0,G9/B$20)</f>
        <v>0.16296296296296298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17</v>
      </c>
      <c r="C10" s="7">
        <f t="shared" si="1"/>
        <v>0.32075471698113206</v>
      </c>
      <c r="E10" s="27" t="s">
        <v>89</v>
      </c>
      <c r="F10" s="24" t="s">
        <v>44</v>
      </c>
      <c r="G10" s="12">
        <v>20</v>
      </c>
      <c r="H10" s="88">
        <f>IF(B$20=0,0,G10/B$20)</f>
        <v>0.14814814814814814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7.6499999999999977</v>
      </c>
      <c r="Q10" s="76">
        <v>18</v>
      </c>
      <c r="R10" s="67">
        <v>137.69999999999996</v>
      </c>
    </row>
    <row r="11" spans="1:18" x14ac:dyDescent="0.45">
      <c r="A11" s="20" t="s">
        <v>184</v>
      </c>
      <c r="B11" s="109">
        <f>IF(B8=0,0,C11/B8)</f>
        <v>40.006666666666668</v>
      </c>
      <c r="C11" s="110">
        <v>600.1</v>
      </c>
      <c r="E11" s="27" t="s">
        <v>65</v>
      </c>
      <c r="F11" s="24" t="s">
        <v>21</v>
      </c>
      <c r="G11" s="12">
        <v>13</v>
      </c>
      <c r="H11" s="88">
        <f>IF(B$20=0,0,G11/B$20)</f>
        <v>9.6296296296296297E-2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-8.65</v>
      </c>
      <c r="Q11" s="77">
        <v>20</v>
      </c>
      <c r="R11" s="68">
        <v>-173</v>
      </c>
    </row>
    <row r="12" spans="1:18" x14ac:dyDescent="0.45">
      <c r="A12" s="20" t="s">
        <v>185</v>
      </c>
      <c r="B12" s="109">
        <f>IF(B9=0,0,C12/B9)</f>
        <v>-2.7047619047619045</v>
      </c>
      <c r="C12" s="110">
        <v>-56.8</v>
      </c>
      <c r="E12" s="27" t="s">
        <v>86</v>
      </c>
      <c r="F12" s="24" t="s">
        <v>41</v>
      </c>
      <c r="G12" s="12">
        <v>7</v>
      </c>
      <c r="H12" s="88">
        <f>IF(B$20=0,0,G12/B$20)</f>
        <v>5.185185185185185E-2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5.9266666666666667</v>
      </c>
      <c r="Q12" s="78">
        <v>15</v>
      </c>
      <c r="R12" s="69">
        <v>88.9</v>
      </c>
    </row>
    <row r="13" spans="1:18" x14ac:dyDescent="0.45">
      <c r="A13" s="20" t="s">
        <v>186</v>
      </c>
      <c r="B13" s="109">
        <f>IF(B10=0,0,C13/B10)</f>
        <v>-28.805882352941175</v>
      </c>
      <c r="C13" s="110">
        <v>-489.7</v>
      </c>
      <c r="E13" s="27" t="s">
        <v>155</v>
      </c>
      <c r="F13" s="24" t="s">
        <v>156</v>
      </c>
      <c r="G13" s="12">
        <v>7</v>
      </c>
      <c r="H13" s="88">
        <f>IF(B$20=0,0,G13/B$20)</f>
        <v>5.185185185185185E-2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2.8320074696545299</v>
      </c>
      <c r="C14" s="126"/>
      <c r="E14" s="27" t="s">
        <v>71</v>
      </c>
      <c r="F14" s="24" t="s">
        <v>26</v>
      </c>
      <c r="G14" s="12">
        <v>6</v>
      </c>
      <c r="H14" s="88">
        <f>IF(B$20=0,0,G14/B$20)</f>
        <v>4.4444444444444446E-2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7.5471698113207544E-2</v>
      </c>
      <c r="E15" s="27" t="s">
        <v>83</v>
      </c>
      <c r="F15" s="24" t="s">
        <v>38</v>
      </c>
      <c r="G15" s="12">
        <v>6</v>
      </c>
      <c r="H15" s="88">
        <f>IF(B$20=0,0,G15/B$20)</f>
        <v>4.4444444444444446E-2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115</v>
      </c>
      <c r="C16" s="10">
        <f>IF(B$3=0,0,B16/B$3)</f>
        <v>0.25842696629213485</v>
      </c>
      <c r="E16" s="27" t="s">
        <v>81</v>
      </c>
      <c r="F16" s="24" t="s">
        <v>36</v>
      </c>
      <c r="G16" s="12">
        <v>4</v>
      </c>
      <c r="H16" s="88">
        <f>IF(B$20=0,0,G16/B$20)</f>
        <v>2.9629629629629631E-2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96</v>
      </c>
      <c r="C17" s="6">
        <f>IF(B$3=0,0,B17/B$3)</f>
        <v>0.21573033707865169</v>
      </c>
      <c r="E17" s="27" t="s">
        <v>91</v>
      </c>
      <c r="F17" s="24" t="s">
        <v>46</v>
      </c>
      <c r="G17" s="12">
        <v>4</v>
      </c>
      <c r="H17" s="88">
        <f>IF(B$20=0,0,G17/B$20)</f>
        <v>2.9629629629629631E-2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190</v>
      </c>
      <c r="P17" s="83">
        <f>IF(Q17=0,0,R17/Q17)</f>
        <v>12.162499999999998</v>
      </c>
      <c r="Q17" s="77">
        <v>8</v>
      </c>
      <c r="R17" s="68">
        <v>97.299999999999983</v>
      </c>
    </row>
    <row r="18" spans="1:18" x14ac:dyDescent="0.45">
      <c r="A18" s="18" t="s">
        <v>123</v>
      </c>
      <c r="B18" s="11">
        <f>B24</f>
        <v>62</v>
      </c>
      <c r="C18" s="5">
        <f>IF(B$16=0,0,B18/B$16)</f>
        <v>0.53913043478260869</v>
      </c>
      <c r="E18" s="27" t="s">
        <v>78</v>
      </c>
      <c r="F18" s="24" t="s">
        <v>33</v>
      </c>
      <c r="G18" s="12">
        <v>3</v>
      </c>
      <c r="H18" s="88">
        <f>IF(B$20=0,0,G18/B$20)</f>
        <v>2.2222222222222223E-2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5">
      <c r="A19" s="18" t="s">
        <v>124</v>
      </c>
      <c r="B19" s="11">
        <f>B25</f>
        <v>43</v>
      </c>
      <c r="C19" s="5">
        <f>IF(B$17=0,0,B19/B$17)</f>
        <v>0.44791666666666669</v>
      </c>
      <c r="E19" s="27" t="s">
        <v>73</v>
      </c>
      <c r="F19" s="24" t="s">
        <v>28</v>
      </c>
      <c r="G19" s="12">
        <v>1</v>
      </c>
      <c r="H19" s="88">
        <f>IF(B$20=0,0,G19/B$20)</f>
        <v>7.4074074074074077E-3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10.516666666666667</v>
      </c>
      <c r="Q19" s="77">
        <v>18</v>
      </c>
      <c r="R19" s="68">
        <v>189.3</v>
      </c>
    </row>
    <row r="20" spans="1:18" x14ac:dyDescent="0.45">
      <c r="A20" s="18" t="s">
        <v>10</v>
      </c>
      <c r="B20" s="11">
        <f>B23+B22</f>
        <v>135</v>
      </c>
      <c r="C20" s="5">
        <f>IF(B$3=0,0,B20/B$3)</f>
        <v>0.30337078651685395</v>
      </c>
      <c r="E20" s="27" t="s">
        <v>75</v>
      </c>
      <c r="F20" s="24" t="s">
        <v>30</v>
      </c>
      <c r="G20" s="12">
        <v>1</v>
      </c>
      <c r="H20" s="88">
        <f>IF(B$20=0,0,G20/B$20)</f>
        <v>7.4074074074074077E-3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4.7666666666666666</v>
      </c>
      <c r="Q20" s="77">
        <v>15</v>
      </c>
      <c r="R20" s="68">
        <v>71.5</v>
      </c>
    </row>
    <row r="21" spans="1:18" x14ac:dyDescent="0.45">
      <c r="A21" s="19" t="s">
        <v>13</v>
      </c>
      <c r="B21" s="12">
        <v>78</v>
      </c>
      <c r="C21" s="6">
        <f>IF(B$3=0,0,B21/B$3)</f>
        <v>0.1752808988764045</v>
      </c>
      <c r="E21" s="27" t="s">
        <v>79</v>
      </c>
      <c r="F21" s="24" t="s">
        <v>34</v>
      </c>
      <c r="G21" s="12">
        <v>1</v>
      </c>
      <c r="H21" s="88">
        <f>IF(B$20=0,0,G21/B$20)</f>
        <v>7.4074074074074077E-3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-6.5</v>
      </c>
      <c r="Q21" s="77">
        <v>23</v>
      </c>
      <c r="R21" s="68">
        <v>-149.5</v>
      </c>
    </row>
    <row r="22" spans="1:18" x14ac:dyDescent="0.45">
      <c r="A22" s="19" t="s">
        <v>12</v>
      </c>
      <c r="B22" s="12">
        <v>60</v>
      </c>
      <c r="C22" s="6">
        <f>IF(B$20=0,0,B22/B$20)</f>
        <v>0.44444444444444442</v>
      </c>
      <c r="E22" s="27" t="s">
        <v>85</v>
      </c>
      <c r="F22" s="24" t="s">
        <v>40</v>
      </c>
      <c r="G22" s="12">
        <v>1</v>
      </c>
      <c r="H22" s="88">
        <f>IF(B$20=0,0,G22/B$20)</f>
        <v>7.4074074074074077E-3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-13.838461538461541</v>
      </c>
      <c r="Q22" s="77">
        <v>26</v>
      </c>
      <c r="R22" s="68">
        <v>-359.80000000000007</v>
      </c>
    </row>
    <row r="23" spans="1:18" x14ac:dyDescent="0.45">
      <c r="A23" s="19" t="s">
        <v>11</v>
      </c>
      <c r="B23" s="12">
        <v>75</v>
      </c>
      <c r="C23" s="6">
        <f>IF(B$20=0,0,B23/B$20)</f>
        <v>0.55555555555555558</v>
      </c>
      <c r="E23" s="27" t="s">
        <v>92</v>
      </c>
      <c r="F23" s="24" t="s">
        <v>47</v>
      </c>
      <c r="G23" s="12">
        <v>1</v>
      </c>
      <c r="H23" s="88">
        <f>IF(B$20=0,0,G23/B$20)</f>
        <v>7.4074074074074077E-3</v>
      </c>
      <c r="I23" s="58">
        <v>2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62</v>
      </c>
      <c r="C24" s="6">
        <f>IF(B$20=0,0,B24/B$20)</f>
        <v>0.45925925925925926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43</v>
      </c>
      <c r="C25" s="6">
        <f>IF(B$20=0,0,B25/B$20)</f>
        <v>0.31851851851851853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30</v>
      </c>
      <c r="C26" s="6">
        <f>IF(B$20=0,0,B26/B$20)</f>
        <v>0.22222222222222221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8557.0370370370365</v>
      </c>
      <c r="C27" s="8">
        <v>1155200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9046.7391304347821</v>
      </c>
      <c r="C28" s="96">
        <v>832300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7509.3023255813951</v>
      </c>
      <c r="C29" s="96">
        <v>322900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-6626.9230769230771</v>
      </c>
      <c r="C30" s="96">
        <v>-516900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2.2471910112359553E-3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5.185185185185185E-2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23</v>
      </c>
      <c r="C38" s="6">
        <f t="shared" si="2"/>
        <v>0.17037037037037037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32</v>
      </c>
      <c r="C39" s="6">
        <f t="shared" si="2"/>
        <v>0.23703703703703705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19</v>
      </c>
      <c r="C40" s="6">
        <f t="shared" si="2"/>
        <v>0.14074074074074075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21</v>
      </c>
      <c r="C41" s="6">
        <f t="shared" si="2"/>
        <v>0.15555555555555556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17</v>
      </c>
      <c r="C42" s="6">
        <f t="shared" si="2"/>
        <v>0.12592592592592591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5.9259259259259262E-2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7.4074074074074077E-3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2.9629629629629631E-2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7.4074074074074077E-3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7.4074074074074077E-3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7.4074074074074077E-3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</sheetData>
  <sortState xmlns:xlrd2="http://schemas.microsoft.com/office/spreadsheetml/2017/richdata2" ref="E2:I56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57</v>
      </c>
      <c r="H2" s="87">
        <f>IF(B$20=0,0,G2/B$20)</f>
        <v>1.0178571428571428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2183.3333333333335</v>
      </c>
      <c r="Q2" s="76">
        <v>24</v>
      </c>
      <c r="R2" s="63">
        <v>52400</v>
      </c>
    </row>
    <row r="3" spans="1:18" x14ac:dyDescent="0.45">
      <c r="A3" s="19" t="s">
        <v>8</v>
      </c>
      <c r="B3" s="135">
        <v>208</v>
      </c>
      <c r="C3" s="136"/>
      <c r="E3" s="27" t="s">
        <v>72</v>
      </c>
      <c r="F3" s="24" t="s">
        <v>27</v>
      </c>
      <c r="G3" s="12">
        <v>31</v>
      </c>
      <c r="H3" s="88">
        <f>IF(B$20=0,0,G3/B$20)</f>
        <v>0.5535714285714286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-1760.8695652173913</v>
      </c>
      <c r="Q3" s="77">
        <v>23</v>
      </c>
      <c r="R3" s="64">
        <v>-40500</v>
      </c>
    </row>
    <row r="4" spans="1:18" x14ac:dyDescent="0.45">
      <c r="A4" s="19" t="s">
        <v>6</v>
      </c>
      <c r="B4" s="137">
        <v>-77.400000000000006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0.4107142857142857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-1117.391304347826</v>
      </c>
      <c r="Q4" s="77">
        <v>23</v>
      </c>
      <c r="R4" s="64">
        <v>-25700</v>
      </c>
    </row>
    <row r="5" spans="1:18" x14ac:dyDescent="0.45">
      <c r="A5" s="19" t="s">
        <v>7</v>
      </c>
      <c r="B5" s="125">
        <f>IF(B$2=0,0,B$4/B$2)</f>
        <v>-3.2250000000000001</v>
      </c>
      <c r="C5" s="126"/>
      <c r="E5" s="27" t="s">
        <v>159</v>
      </c>
      <c r="F5" s="24" t="s">
        <v>160</v>
      </c>
      <c r="G5" s="12">
        <v>23</v>
      </c>
      <c r="H5" s="88">
        <f>IF(B$20=0,0,G5/B$20)</f>
        <v>0.4107142857142857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1059.090909090909</v>
      </c>
      <c r="Q5" s="77">
        <v>22</v>
      </c>
      <c r="R5" s="64">
        <v>23300</v>
      </c>
    </row>
    <row r="6" spans="1:18" x14ac:dyDescent="0.45">
      <c r="A6" s="19" t="s">
        <v>196</v>
      </c>
      <c r="B6" s="129">
        <v>1637.2144623174072</v>
      </c>
      <c r="C6" s="130"/>
      <c r="E6" s="27" t="s">
        <v>68</v>
      </c>
      <c r="F6" s="24" t="s">
        <v>12</v>
      </c>
      <c r="G6" s="12">
        <v>19</v>
      </c>
      <c r="H6" s="88">
        <f>IF(B$20=0,0,G6/B$20)</f>
        <v>0.3392857142857143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273.68421052631578</v>
      </c>
      <c r="Q6" s="77">
        <v>19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2.0416666666666665</v>
      </c>
      <c r="C7" s="140"/>
      <c r="E7" s="27" t="s">
        <v>67</v>
      </c>
      <c r="F7" s="24" t="s">
        <v>23</v>
      </c>
      <c r="G7" s="12">
        <v>11</v>
      </c>
      <c r="H7" s="88">
        <f>IF(B$20=0,0,G7/B$20)</f>
        <v>0.19642857142857142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-450</v>
      </c>
      <c r="Q7" s="78">
        <v>14</v>
      </c>
      <c r="R7" s="65">
        <v>-6300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10</v>
      </c>
      <c r="H8" s="88">
        <f>IF(B$20=0,0,G8/B$20)</f>
        <v>0.17857142857142858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0.29166666666666669</v>
      </c>
      <c r="E9" s="27" t="s">
        <v>69</v>
      </c>
      <c r="F9" s="24" t="s">
        <v>24</v>
      </c>
      <c r="G9" s="12">
        <v>5</v>
      </c>
      <c r="H9" s="88">
        <f>IF(B$20=0,0,G9/B$20)</f>
        <v>8.9285714285714288E-2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0.375</v>
      </c>
      <c r="E10" s="27" t="s">
        <v>86</v>
      </c>
      <c r="F10" s="24" t="s">
        <v>41</v>
      </c>
      <c r="G10" s="12">
        <v>5</v>
      </c>
      <c r="H10" s="88">
        <f>IF(B$20=0,0,G10/B$20)</f>
        <v>8.9285714285714288E-2</v>
      </c>
      <c r="I10" s="58">
        <v>3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-5.79</v>
      </c>
      <c r="Q10" s="76">
        <v>10</v>
      </c>
      <c r="R10" s="67">
        <v>-57.9</v>
      </c>
    </row>
    <row r="11" spans="1:18" x14ac:dyDescent="0.45">
      <c r="A11" s="20" t="s">
        <v>184</v>
      </c>
      <c r="B11" s="109">
        <f>IF(B8=0,0,C11/B8)</f>
        <v>35.949999999999996</v>
      </c>
      <c r="C11" s="110">
        <v>287.59999999999997</v>
      </c>
      <c r="E11" s="27" t="s">
        <v>65</v>
      </c>
      <c r="F11" s="24" t="s">
        <v>21</v>
      </c>
      <c r="G11" s="12">
        <v>4</v>
      </c>
      <c r="H11" s="88">
        <f>IF(B$20=0,0,G11/B$20)</f>
        <v>7.1428571428571425E-2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-5.7285714285714322</v>
      </c>
      <c r="Q11" s="77">
        <v>7</v>
      </c>
      <c r="R11" s="68">
        <v>-40.100000000000023</v>
      </c>
    </row>
    <row r="12" spans="1:18" x14ac:dyDescent="0.45">
      <c r="A12" s="20" t="s">
        <v>185</v>
      </c>
      <c r="B12" s="109">
        <f>IF(B9=0,0,C12/B9)</f>
        <v>3.1999999999999997</v>
      </c>
      <c r="C12" s="110">
        <v>22.4</v>
      </c>
      <c r="E12" s="27" t="s">
        <v>81</v>
      </c>
      <c r="F12" s="24" t="s">
        <v>36</v>
      </c>
      <c r="G12" s="12">
        <v>4</v>
      </c>
      <c r="H12" s="88">
        <f>IF(B$20=0,0,G12/B$20)</f>
        <v>7.1428571428571425E-2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2.9428571428571426</v>
      </c>
      <c r="Q12" s="78">
        <v>7</v>
      </c>
      <c r="R12" s="69">
        <v>20.599999999999998</v>
      </c>
    </row>
    <row r="13" spans="1:18" x14ac:dyDescent="0.45">
      <c r="A13" s="20" t="s">
        <v>186</v>
      </c>
      <c r="B13" s="109">
        <f>IF(B10=0,0,C13/B10)</f>
        <v>-43.044444444444444</v>
      </c>
      <c r="C13" s="110">
        <v>-387.4</v>
      </c>
      <c r="E13" s="27" t="s">
        <v>78</v>
      </c>
      <c r="F13" s="24" t="s">
        <v>33</v>
      </c>
      <c r="G13" s="12">
        <v>3</v>
      </c>
      <c r="H13" s="88">
        <f>IF(B$20=0,0,G13/B$20)</f>
        <v>5.3571428571428568E-2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-1.2981481481481485</v>
      </c>
      <c r="C14" s="126"/>
      <c r="E14" s="27" t="s">
        <v>83</v>
      </c>
      <c r="F14" s="24" t="s">
        <v>38</v>
      </c>
      <c r="G14" s="12">
        <v>3</v>
      </c>
      <c r="H14" s="88">
        <f>IF(B$20=0,0,G14/B$20)</f>
        <v>5.3571428571428568E-2</v>
      </c>
      <c r="I14" s="58">
        <v>3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0.16666666666666666</v>
      </c>
      <c r="E15" s="27" t="s">
        <v>70</v>
      </c>
      <c r="F15" s="24" t="s">
        <v>25</v>
      </c>
      <c r="G15" s="12">
        <v>2</v>
      </c>
      <c r="H15" s="88">
        <f>IF(B$20=0,0,G15/B$20)</f>
        <v>3.5714285714285712E-2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54</v>
      </c>
      <c r="C16" s="10">
        <f>IF(B$3=0,0,B16/B$3)</f>
        <v>0.25961538461538464</v>
      </c>
      <c r="E16" s="27" t="s">
        <v>71</v>
      </c>
      <c r="F16" s="24" t="s">
        <v>26</v>
      </c>
      <c r="G16" s="12">
        <v>2</v>
      </c>
      <c r="H16" s="88">
        <f>IF(B$20=0,0,G16/B$20)</f>
        <v>3.5714285714285712E-2</v>
      </c>
      <c r="I16" s="58">
        <v>7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-6.5750000000000011</v>
      </c>
      <c r="Q16" s="77">
        <v>8</v>
      </c>
      <c r="R16" s="68">
        <v>-52.600000000000009</v>
      </c>
    </row>
    <row r="17" spans="1:18" x14ac:dyDescent="0.45">
      <c r="A17" s="19" t="s">
        <v>118</v>
      </c>
      <c r="B17" s="12">
        <v>48</v>
      </c>
      <c r="C17" s="6">
        <f>IF(B$3=0,0,B17/B$3)</f>
        <v>0.23076923076923078</v>
      </c>
      <c r="E17" s="27" t="s">
        <v>155</v>
      </c>
      <c r="F17" s="24" t="s">
        <v>156</v>
      </c>
      <c r="G17" s="12">
        <v>2</v>
      </c>
      <c r="H17" s="88">
        <f>IF(B$20=0,0,G17/B$20)</f>
        <v>3.5714285714285712E-2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126</v>
      </c>
      <c r="P17" s="83">
        <f>IF(Q17=0,0,R17/Q17)</f>
        <v>-10.516666666666673</v>
      </c>
      <c r="Q17" s="77">
        <v>18</v>
      </c>
      <c r="R17" s="68">
        <v>-189.3000000000001</v>
      </c>
    </row>
    <row r="18" spans="1:18" x14ac:dyDescent="0.45">
      <c r="A18" s="18" t="s">
        <v>123</v>
      </c>
      <c r="B18" s="11">
        <f>B24</f>
        <v>24</v>
      </c>
      <c r="C18" s="5">
        <f>IF(B$16=0,0,B18/B$16)</f>
        <v>0.44444444444444442</v>
      </c>
      <c r="E18" s="27" t="s">
        <v>79</v>
      </c>
      <c r="F18" s="24" t="s">
        <v>34</v>
      </c>
      <c r="G18" s="12">
        <v>1</v>
      </c>
      <c r="H18" s="88">
        <f>IF(B$20=0,0,G18/B$20)</f>
        <v>1.7857142857142856E-2</v>
      </c>
      <c r="I18" s="58">
        <v>4</v>
      </c>
      <c r="K18" s="74">
        <v>16</v>
      </c>
      <c r="L18" s="119">
        <v>-95.40000000000002</v>
      </c>
      <c r="M18" s="117">
        <v>1635.5699351120093</v>
      </c>
      <c r="O18" s="74" t="s">
        <v>192</v>
      </c>
      <c r="P18" s="83">
        <f>IF(Q18=0,0,R18/Q18)</f>
        <v>-14.78571428571429</v>
      </c>
      <c r="Q18" s="77">
        <v>7</v>
      </c>
      <c r="R18" s="68">
        <v>-103.50000000000003</v>
      </c>
    </row>
    <row r="19" spans="1:18" x14ac:dyDescent="0.45">
      <c r="A19" s="18" t="s">
        <v>124</v>
      </c>
      <c r="B19" s="11">
        <f>B25</f>
        <v>17</v>
      </c>
      <c r="C19" s="5">
        <f>IF(B$17=0,0,B19/B$17)</f>
        <v>0.35416666666666669</v>
      </c>
      <c r="E19" s="27" t="s">
        <v>85</v>
      </c>
      <c r="F19" s="24" t="s">
        <v>40</v>
      </c>
      <c r="G19" s="12">
        <v>1</v>
      </c>
      <c r="H19" s="88">
        <f>IF(B$20=0,0,G19/B$20)</f>
        <v>1.7857142857142856E-2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-17.012499999999999</v>
      </c>
      <c r="Q19" s="77">
        <v>8</v>
      </c>
      <c r="R19" s="68">
        <v>-136.1</v>
      </c>
    </row>
    <row r="20" spans="1:18" x14ac:dyDescent="0.45">
      <c r="A20" s="18" t="s">
        <v>10</v>
      </c>
      <c r="B20" s="11">
        <f>B23+B22</f>
        <v>56</v>
      </c>
      <c r="C20" s="5">
        <f>IF(B$3=0,0,B20/B$3)</f>
        <v>0.26923076923076922</v>
      </c>
      <c r="E20" s="27" t="s">
        <v>88</v>
      </c>
      <c r="F20" s="24" t="s">
        <v>43</v>
      </c>
      <c r="G20" s="12">
        <v>1</v>
      </c>
      <c r="H20" s="88">
        <f>IF(B$20=0,0,G20/B$20)</f>
        <v>1.7857142857142856E-2</v>
      </c>
      <c r="I20" s="58">
        <v>1</v>
      </c>
      <c r="K20" s="74">
        <v>18</v>
      </c>
      <c r="L20" s="119">
        <v>-91.000000000000014</v>
      </c>
      <c r="M20" s="117">
        <v>1635.974524408329</v>
      </c>
    </row>
    <row r="21" spans="1:18" x14ac:dyDescent="0.45">
      <c r="A21" s="19" t="s">
        <v>13</v>
      </c>
      <c r="B21" s="12">
        <v>38</v>
      </c>
      <c r="C21" s="6">
        <f>IF(B$3=0,0,B21/B$3)</f>
        <v>0.18269230769230768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-143.4</v>
      </c>
      <c r="M21" s="117">
        <v>1626.518677261879</v>
      </c>
    </row>
    <row r="22" spans="1:18" x14ac:dyDescent="0.45">
      <c r="A22" s="19" t="s">
        <v>12</v>
      </c>
      <c r="B22" s="12">
        <v>25</v>
      </c>
      <c r="C22" s="6">
        <f>IF(B$20=0,0,B22/B$20)</f>
        <v>0.44642857142857145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31</v>
      </c>
      <c r="C23" s="6">
        <f>IF(B$20=0,0,B23/B$20)</f>
        <v>0.5535714285714286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24</v>
      </c>
      <c r="C24" s="6">
        <f>IF(B$20=0,0,B24/B$20)</f>
        <v>0.42857142857142855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17</v>
      </c>
      <c r="C25" s="6">
        <f>IF(B$20=0,0,B25/B$20)</f>
        <v>0.30357142857142855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15</v>
      </c>
      <c r="C26" s="6">
        <f>IF(B$20=0,0,B26/B$20)</f>
        <v>0.26785714285714285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8941.0714285714294</v>
      </c>
      <c r="C27" s="8">
        <v>500700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9120.5128205128203</v>
      </c>
      <c r="C28" s="96">
        <v>355700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8529.4117647058829</v>
      </c>
      <c r="C29" s="96">
        <v>145000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-8007.894736842105</v>
      </c>
      <c r="C30" s="96">
        <v>-304300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4.807692307692308E-3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8.9285714285714288E-2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8.9285714285714288E-2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0.16071428571428573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0.19642857142857142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13</v>
      </c>
      <c r="C41" s="6">
        <f t="shared" si="2"/>
        <v>0.23214285714285715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8</v>
      </c>
      <c r="C42" s="6">
        <f t="shared" si="2"/>
        <v>0.14285714285714285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3.5714285714285712E-2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3.5714285714285712E-2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1.7857142857142856E-2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topLeftCell="A24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49</v>
      </c>
      <c r="H2" s="87">
        <f>IF(B$20=0,0,G2/B$20)</f>
        <v>0.67123287671232879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146.15384615384616</v>
      </c>
      <c r="Q2" s="76">
        <v>26</v>
      </c>
      <c r="R2" s="63">
        <v>3800</v>
      </c>
    </row>
    <row r="3" spans="1:18" x14ac:dyDescent="0.45">
      <c r="A3" s="19" t="s">
        <v>8</v>
      </c>
      <c r="B3" s="135">
        <v>239</v>
      </c>
      <c r="C3" s="136"/>
      <c r="E3" s="27" t="s">
        <v>72</v>
      </c>
      <c r="F3" s="24" t="s">
        <v>27</v>
      </c>
      <c r="G3" s="12">
        <v>49</v>
      </c>
      <c r="H3" s="88">
        <f>IF(B$20=0,0,G3/B$20)</f>
        <v>0.67123287671232879</v>
      </c>
      <c r="I3" s="58">
        <v>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546.15384615384619</v>
      </c>
      <c r="Q3" s="77">
        <v>26</v>
      </c>
      <c r="R3" s="64">
        <v>14200</v>
      </c>
    </row>
    <row r="4" spans="1:18" x14ac:dyDescent="0.45">
      <c r="A4" s="19" t="s">
        <v>6</v>
      </c>
      <c r="B4" s="137">
        <v>25.599999999999987</v>
      </c>
      <c r="C4" s="138"/>
      <c r="E4" s="27" t="s">
        <v>64</v>
      </c>
      <c r="F4" s="24" t="s">
        <v>20</v>
      </c>
      <c r="G4" s="12">
        <v>29</v>
      </c>
      <c r="H4" s="88">
        <f>IF(B$20=0,0,G4/B$20)</f>
        <v>0.39726027397260272</v>
      </c>
      <c r="I4" s="58">
        <v>7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-15.384615384615385</v>
      </c>
      <c r="Q4" s="77">
        <v>26</v>
      </c>
      <c r="R4" s="64">
        <v>-400</v>
      </c>
    </row>
    <row r="5" spans="1:18" x14ac:dyDescent="0.45">
      <c r="A5" s="19" t="s">
        <v>7</v>
      </c>
      <c r="B5" s="125">
        <f>IF(B$2=0,0,B$4/B$2)</f>
        <v>0.98461538461538411</v>
      </c>
      <c r="C5" s="126"/>
      <c r="E5" s="27" t="s">
        <v>68</v>
      </c>
      <c r="F5" s="24" t="s">
        <v>12</v>
      </c>
      <c r="G5" s="12">
        <v>23</v>
      </c>
      <c r="H5" s="88">
        <f>IF(B$20=0,0,G5/B$20)</f>
        <v>0.31506849315068491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230.76923076923077</v>
      </c>
      <c r="Q5" s="77">
        <v>26</v>
      </c>
      <c r="R5" s="64">
        <v>6000</v>
      </c>
    </row>
    <row r="6" spans="1:18" x14ac:dyDescent="0.45">
      <c r="A6" s="19" t="s">
        <v>196</v>
      </c>
      <c r="B6" s="129">
        <v>1460.4745271436907</v>
      </c>
      <c r="C6" s="130"/>
      <c r="E6" s="27" t="s">
        <v>159</v>
      </c>
      <c r="F6" s="24" t="s">
        <v>160</v>
      </c>
      <c r="G6" s="12">
        <v>22</v>
      </c>
      <c r="H6" s="88">
        <f>IF(B$20=0,0,G6/B$20)</f>
        <v>0.30136986301369861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-1546.1538461538462</v>
      </c>
      <c r="Q6" s="77">
        <v>26</v>
      </c>
      <c r="R6" s="64">
        <v>-40200</v>
      </c>
    </row>
    <row r="7" spans="1:18" x14ac:dyDescent="0.45">
      <c r="A7" s="19" t="s">
        <v>1</v>
      </c>
      <c r="B7" s="139">
        <f>IF(B$2=0,0,(B$8*1+B$9*2+B$10*3)/B$2)</f>
        <v>1.9230769230769231</v>
      </c>
      <c r="C7" s="140"/>
      <c r="E7" s="27" t="s">
        <v>67</v>
      </c>
      <c r="F7" s="24" t="s">
        <v>23</v>
      </c>
      <c r="G7" s="12">
        <v>15</v>
      </c>
      <c r="H7" s="88">
        <f>IF(B$20=0,0,G7/B$20)</f>
        <v>0.20547945205479451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1261.1111111111111</v>
      </c>
      <c r="Q7" s="78">
        <v>18</v>
      </c>
      <c r="R7" s="65">
        <v>22700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9</v>
      </c>
      <c r="H8" s="88">
        <f>IF(B$20=0,0,G8/B$20)</f>
        <v>0.12328767123287671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0.30769230769230771</v>
      </c>
      <c r="E9" s="27" t="s">
        <v>70</v>
      </c>
      <c r="F9" s="24" t="s">
        <v>25</v>
      </c>
      <c r="G9" s="12">
        <v>8</v>
      </c>
      <c r="H9" s="88">
        <f>IF(B$20=0,0,G9/B$20)</f>
        <v>0.1095890410958904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0.30769230769230771</v>
      </c>
      <c r="E10" s="27" t="s">
        <v>69</v>
      </c>
      <c r="F10" s="24" t="s">
        <v>24</v>
      </c>
      <c r="G10" s="12">
        <v>7</v>
      </c>
      <c r="H10" s="88">
        <f>IF(B$20=0,0,G10/B$20)</f>
        <v>9.5890410958904104E-2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8.3142857142857149</v>
      </c>
      <c r="Q10" s="76">
        <v>7</v>
      </c>
      <c r="R10" s="67">
        <v>58.2</v>
      </c>
    </row>
    <row r="11" spans="1:18" x14ac:dyDescent="0.45">
      <c r="A11" s="20" t="s">
        <v>184</v>
      </c>
      <c r="B11" s="109">
        <f>IF(B8=0,0,C11/B8)</f>
        <v>24.7</v>
      </c>
      <c r="C11" s="110">
        <v>247</v>
      </c>
      <c r="E11" s="27" t="s">
        <v>65</v>
      </c>
      <c r="F11" s="24" t="s">
        <v>21</v>
      </c>
      <c r="G11" s="12">
        <v>5</v>
      </c>
      <c r="H11" s="88">
        <f>IF(B$20=0,0,G11/B$20)</f>
        <v>6.8493150684931503E-2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-0.32500000000000018</v>
      </c>
      <c r="Q11" s="77">
        <v>8</v>
      </c>
      <c r="R11" s="68">
        <v>-2.6000000000000014</v>
      </c>
    </row>
    <row r="12" spans="1:18" x14ac:dyDescent="0.45">
      <c r="A12" s="20" t="s">
        <v>185</v>
      </c>
      <c r="B12" s="109">
        <f>IF(B9=0,0,C12/B9)</f>
        <v>6.4249999999999998</v>
      </c>
      <c r="C12" s="110">
        <v>51.4</v>
      </c>
      <c r="E12" s="27" t="s">
        <v>71</v>
      </c>
      <c r="F12" s="24" t="s">
        <v>26</v>
      </c>
      <c r="G12" s="12">
        <v>4</v>
      </c>
      <c r="H12" s="88">
        <f>IF(B$20=0,0,G12/B$20)</f>
        <v>5.4794520547945202E-2</v>
      </c>
      <c r="I12" s="58">
        <v>5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-2.7272727272727288</v>
      </c>
      <c r="Q12" s="78">
        <v>11</v>
      </c>
      <c r="R12" s="69">
        <v>-30.000000000000018</v>
      </c>
    </row>
    <row r="13" spans="1:18" x14ac:dyDescent="0.45">
      <c r="A13" s="20" t="s">
        <v>186</v>
      </c>
      <c r="B13" s="109">
        <f>IF(B10=0,0,C13/B10)</f>
        <v>-34.1</v>
      </c>
      <c r="C13" s="110">
        <v>-272.8</v>
      </c>
      <c r="E13" s="27" t="s">
        <v>83</v>
      </c>
      <c r="F13" s="24" t="s">
        <v>38</v>
      </c>
      <c r="G13" s="12">
        <v>4</v>
      </c>
      <c r="H13" s="88">
        <f>IF(B$20=0,0,G13/B$20)</f>
        <v>5.4794520547945202E-2</v>
      </c>
      <c r="I13" s="58">
        <v>2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-0.99166666666666714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4.1095890410958902E-2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3.8461538461538464E-2</v>
      </c>
      <c r="E15" s="27" t="s">
        <v>79</v>
      </c>
      <c r="F15" s="24" t="s">
        <v>34</v>
      </c>
      <c r="G15" s="12">
        <v>2</v>
      </c>
      <c r="H15" s="88">
        <f>IF(B$20=0,0,G15/B$20)</f>
        <v>2.7397260273972601E-2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63</v>
      </c>
      <c r="C16" s="10">
        <f>IF(B$3=0,0,B16/B$3)</f>
        <v>0.26359832635983266</v>
      </c>
      <c r="E16" s="27" t="s">
        <v>86</v>
      </c>
      <c r="F16" s="24" t="s">
        <v>41</v>
      </c>
      <c r="G16" s="12">
        <v>2</v>
      </c>
      <c r="H16" s="88">
        <f>IF(B$20=0,0,G16/B$20)</f>
        <v>2.7397260273972601E-2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>IF(Q16=0,0,R16/Q16)</f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71</v>
      </c>
      <c r="C17" s="6">
        <f>IF(B$3=0,0,B17/B$3)</f>
        <v>0.29707112970711297</v>
      </c>
      <c r="E17" s="27" t="s">
        <v>91</v>
      </c>
      <c r="F17" s="24" t="s">
        <v>46</v>
      </c>
      <c r="G17" s="12">
        <v>2</v>
      </c>
      <c r="H17" s="88">
        <f>IF(B$20=0,0,G17/B$20)</f>
        <v>2.7397260273972601E-2</v>
      </c>
      <c r="I17" s="58">
        <v>3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29</v>
      </c>
      <c r="C18" s="5">
        <f>IF(B$16=0,0,B18/B$16)</f>
        <v>0.46031746031746029</v>
      </c>
      <c r="E18" s="27" t="s">
        <v>78</v>
      </c>
      <c r="F18" s="24" t="s">
        <v>33</v>
      </c>
      <c r="G18" s="12">
        <v>1</v>
      </c>
      <c r="H18" s="88">
        <f>IF(B$20=0,0,G18/B$20)</f>
        <v>1.3698630136986301E-2</v>
      </c>
      <c r="I18" s="58">
        <v>7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6.4999999999999991</v>
      </c>
      <c r="Q18" s="77">
        <v>23</v>
      </c>
      <c r="R18" s="68">
        <v>149.49999999999997</v>
      </c>
    </row>
    <row r="19" spans="1:18" x14ac:dyDescent="0.45">
      <c r="A19" s="18" t="s">
        <v>124</v>
      </c>
      <c r="B19" s="11">
        <f>B25</f>
        <v>30</v>
      </c>
      <c r="C19" s="5">
        <f>IF(B$17=0,0,B19/B$17)</f>
        <v>0.42253521126760563</v>
      </c>
      <c r="E19" s="27" t="s">
        <v>88</v>
      </c>
      <c r="F19" s="24" t="s">
        <v>43</v>
      </c>
      <c r="G19" s="12">
        <v>1</v>
      </c>
      <c r="H19" s="88">
        <f>IF(B$20=0,0,G19/B$20)</f>
        <v>1.3698630136986301E-2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73</v>
      </c>
      <c r="C20" s="5">
        <f>IF(B$3=0,0,B20/B$3)</f>
        <v>0.30543933054393307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-21.35384615384616</v>
      </c>
      <c r="Q20" s="77">
        <v>13</v>
      </c>
      <c r="R20" s="68">
        <v>-277.60000000000008</v>
      </c>
    </row>
    <row r="21" spans="1:18" x14ac:dyDescent="0.45">
      <c r="A21" s="19" t="s">
        <v>13</v>
      </c>
      <c r="B21" s="12">
        <v>40</v>
      </c>
      <c r="C21" s="6">
        <f>IF(B$3=0,0,B21/B$3)</f>
        <v>0.16736401673640167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36</v>
      </c>
      <c r="C22" s="6">
        <f>IF(B$20=0,0,B22/B$20)</f>
        <v>0.49315068493150682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37</v>
      </c>
      <c r="C23" s="6">
        <f>IF(B$20=0,0,B23/B$20)</f>
        <v>0.50684931506849318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29</v>
      </c>
      <c r="C24" s="6">
        <f>IF(B$20=0,0,B24/B$20)</f>
        <v>0.39726027397260272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30</v>
      </c>
      <c r="C25" s="6">
        <f>IF(B$20=0,0,B25/B$20)</f>
        <v>0.41095890410958902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0.19178082191780821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6920.5479452054797</v>
      </c>
      <c r="C27" s="8">
        <v>505200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8116.2790697674418</v>
      </c>
      <c r="C28" s="96">
        <v>349000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5206.666666666667</v>
      </c>
      <c r="C29" s="96">
        <v>156200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-7370</v>
      </c>
      <c r="C30" s="96">
        <v>-294800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21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68900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4.1841004184100415E-3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2">IF(B$20=0,0,B37/B$20)</f>
        <v>0.13698630136986301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2"/>
        <v>0.28767123287671231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2"/>
        <v>0.15068493150684931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15</v>
      </c>
      <c r="C40" s="6">
        <f t="shared" si="2"/>
        <v>0.20547945205479451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4.1095890410958902E-2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2.7397260273972601E-2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2.7397260273972601E-2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2.7397260273972601E-2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5.4794520547945202E-2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2"/>
        <v>4.1095890410958902E-2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8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3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0.81538461538461537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-992.30769230769226</v>
      </c>
      <c r="Q2" s="76">
        <v>26</v>
      </c>
      <c r="R2" s="63">
        <v>-25800</v>
      </c>
    </row>
    <row r="3" spans="1:18" x14ac:dyDescent="0.45">
      <c r="A3" s="19" t="s">
        <v>8</v>
      </c>
      <c r="B3" s="135">
        <v>204</v>
      </c>
      <c r="C3" s="136"/>
      <c r="E3" s="27" t="s">
        <v>72</v>
      </c>
      <c r="F3" s="24" t="s">
        <v>27</v>
      </c>
      <c r="G3" s="12">
        <v>41</v>
      </c>
      <c r="H3" s="88">
        <f>IF(B$20=0,0,G3/B$20)</f>
        <v>0.63076923076923075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826.92307692307691</v>
      </c>
      <c r="Q3" s="77">
        <v>26</v>
      </c>
      <c r="R3" s="64">
        <v>21500</v>
      </c>
    </row>
    <row r="4" spans="1:18" x14ac:dyDescent="0.45">
      <c r="A4" s="19" t="s">
        <v>6</v>
      </c>
      <c r="B4" s="137">
        <v>123.09999999999998</v>
      </c>
      <c r="C4" s="138"/>
      <c r="E4" s="27" t="s">
        <v>64</v>
      </c>
      <c r="F4" s="24" t="s">
        <v>20</v>
      </c>
      <c r="G4" s="12">
        <v>25</v>
      </c>
      <c r="H4" s="88">
        <f>IF(B$20=0,0,G4/B$20)</f>
        <v>0.38461538461538464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2288.4615384615386</v>
      </c>
      <c r="Q4" s="77">
        <v>26</v>
      </c>
      <c r="R4" s="64">
        <v>59500</v>
      </c>
    </row>
    <row r="5" spans="1:18" x14ac:dyDescent="0.45">
      <c r="A5" s="19" t="s">
        <v>7</v>
      </c>
      <c r="B5" s="125">
        <f>IF(B$2=0,0,B$4/B$2)</f>
        <v>4.7346153846153838</v>
      </c>
      <c r="C5" s="126"/>
      <c r="E5" s="27" t="s">
        <v>67</v>
      </c>
      <c r="F5" s="24" t="s">
        <v>23</v>
      </c>
      <c r="G5" s="12">
        <v>17</v>
      </c>
      <c r="H5" s="88">
        <f>IF(B$20=0,0,G5/B$20)</f>
        <v>0.26153846153846155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108.69565217391305</v>
      </c>
      <c r="Q5" s="77">
        <v>23</v>
      </c>
      <c r="R5" s="64">
        <v>2500</v>
      </c>
    </row>
    <row r="6" spans="1:18" x14ac:dyDescent="0.45">
      <c r="A6" s="19" t="s">
        <v>196</v>
      </c>
      <c r="B6" s="129">
        <v>1522.6913378373931</v>
      </c>
      <c r="C6" s="130"/>
      <c r="E6" s="27" t="s">
        <v>159</v>
      </c>
      <c r="F6" s="24" t="s">
        <v>160</v>
      </c>
      <c r="G6" s="12">
        <v>16</v>
      </c>
      <c r="H6" s="88">
        <f>IF(B$20=0,0,G6/B$20)</f>
        <v>0.24615384615384617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1405.2631578947369</v>
      </c>
      <c r="Q6" s="77">
        <v>19</v>
      </c>
      <c r="R6" s="64">
        <v>26700</v>
      </c>
    </row>
    <row r="7" spans="1:18" x14ac:dyDescent="0.45">
      <c r="A7" s="19" t="s">
        <v>1</v>
      </c>
      <c r="B7" s="139">
        <f>IF(B$2=0,0,(B$8*1+B$9*2+B$10*3)/B$2)</f>
        <v>1.8846153846153846</v>
      </c>
      <c r="C7" s="140"/>
      <c r="E7" s="27" t="s">
        <v>68</v>
      </c>
      <c r="F7" s="24" t="s">
        <v>12</v>
      </c>
      <c r="G7" s="12">
        <v>15</v>
      </c>
      <c r="H7" s="88">
        <f>IF(B$20=0,0,G7/B$20)</f>
        <v>0.23076923076923078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1672.2222222222222</v>
      </c>
      <c r="Q7" s="78">
        <v>18</v>
      </c>
      <c r="R7" s="65">
        <v>30100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0.42307692307692307</v>
      </c>
      <c r="E8" s="27" t="s">
        <v>69</v>
      </c>
      <c r="F8" s="24" t="s">
        <v>24</v>
      </c>
      <c r="G8" s="12">
        <v>10</v>
      </c>
      <c r="H8" s="88">
        <f>IF(B$20=0,0,G8/B$20)</f>
        <v>0.15384615384615385</v>
      </c>
      <c r="I8" s="58">
        <v>3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0.26923076923076922</v>
      </c>
      <c r="E9" s="27" t="s">
        <v>89</v>
      </c>
      <c r="F9" s="24" t="s">
        <v>44</v>
      </c>
      <c r="G9" s="12">
        <v>10</v>
      </c>
      <c r="H9" s="88">
        <f>IF(B$20=0,0,G9/B$20)</f>
        <v>0.15384615384615385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0.30769230769230771</v>
      </c>
      <c r="E10" s="27" t="s">
        <v>71</v>
      </c>
      <c r="F10" s="24" t="s">
        <v>26</v>
      </c>
      <c r="G10" s="12">
        <v>6</v>
      </c>
      <c r="H10" s="88">
        <f>IF(B$20=0,0,G10/B$20)</f>
        <v>9.2307692307692313E-2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-4.583333333333333</v>
      </c>
      <c r="Q10" s="76">
        <v>6</v>
      </c>
      <c r="R10" s="67">
        <v>-27.5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86</v>
      </c>
      <c r="F11" s="24" t="s">
        <v>41</v>
      </c>
      <c r="G11" s="12">
        <v>6</v>
      </c>
      <c r="H11" s="88">
        <f>IF(B$20=0,0,G11/B$20)</f>
        <v>9.2307692307692313E-2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7.6923076923076927E-2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11.908333333333333</v>
      </c>
      <c r="Q12" s="78">
        <v>12</v>
      </c>
      <c r="R12" s="69">
        <v>142.9</v>
      </c>
    </row>
    <row r="13" spans="1:18" x14ac:dyDescent="0.45">
      <c r="A13" s="20" t="s">
        <v>186</v>
      </c>
      <c r="B13" s="109">
        <f>IF(B10=0,0,C13/B10)</f>
        <v>-29.825000000000003</v>
      </c>
      <c r="C13" s="110">
        <v>-238.60000000000002</v>
      </c>
      <c r="E13" s="27" t="s">
        <v>65</v>
      </c>
      <c r="F13" s="24" t="s">
        <v>21</v>
      </c>
      <c r="G13" s="12">
        <v>3</v>
      </c>
      <c r="H13" s="88">
        <f>IF(B$20=0,0,G13/B$20)</f>
        <v>4.6153846153846156E-2</v>
      </c>
      <c r="I13" s="58">
        <v>9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1.0968614718614706</v>
      </c>
      <c r="C14" s="126"/>
      <c r="E14" s="27" t="s">
        <v>70</v>
      </c>
      <c r="F14" s="24" t="s">
        <v>25</v>
      </c>
      <c r="G14" s="12">
        <v>3</v>
      </c>
      <c r="H14" s="88">
        <f>IF(B$20=0,0,G14/B$20)</f>
        <v>4.6153846153846156E-2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7.6923076923076927E-2</v>
      </c>
      <c r="E15" s="27" t="s">
        <v>81</v>
      </c>
      <c r="F15" s="24" t="s">
        <v>36</v>
      </c>
      <c r="G15" s="12">
        <v>3</v>
      </c>
      <c r="H15" s="88">
        <f>IF(B$20=0,0,G15/B$20)</f>
        <v>4.6153846153846156E-2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44</v>
      </c>
      <c r="C16" s="10">
        <f>IF(B$3=0,0,B16/B$3)</f>
        <v>0.21568627450980393</v>
      </c>
      <c r="E16" s="27" t="s">
        <v>83</v>
      </c>
      <c r="F16" s="24" t="s">
        <v>38</v>
      </c>
      <c r="G16" s="12">
        <v>3</v>
      </c>
      <c r="H16" s="88">
        <f>IF(B$20=0,0,G16/B$20)</f>
        <v>4.6153846153846156E-2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49</v>
      </c>
      <c r="C17" s="6">
        <f>IF(B$3=0,0,B17/B$3)</f>
        <v>0.24019607843137256</v>
      </c>
      <c r="E17" s="27" t="s">
        <v>73</v>
      </c>
      <c r="F17" s="24" t="s">
        <v>28</v>
      </c>
      <c r="G17" s="12">
        <v>2</v>
      </c>
      <c r="H17" s="88">
        <f>IF(B$20=0,0,G17/B$20)</f>
        <v>3.0769230769230771E-2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>IF(Q17=0,0,R17/Q17)</f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25</v>
      </c>
      <c r="C18" s="5">
        <f>IF(B$16=0,0,B18/B$16)</f>
        <v>0.56818181818181823</v>
      </c>
      <c r="E18" s="27" t="s">
        <v>78</v>
      </c>
      <c r="F18" s="24" t="s">
        <v>33</v>
      </c>
      <c r="G18" s="12">
        <v>2</v>
      </c>
      <c r="H18" s="88">
        <f>IF(B$20=0,0,G18/B$20)</f>
        <v>3.0769230769230771E-2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>IF(Q18=0,0,R18/Q18)</f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25</v>
      </c>
      <c r="C19" s="5">
        <f>IF(B$17=0,0,B19/B$17)</f>
        <v>0.51020408163265307</v>
      </c>
      <c r="E19" s="27" t="s">
        <v>75</v>
      </c>
      <c r="F19" s="24" t="s">
        <v>30</v>
      </c>
      <c r="G19" s="12">
        <v>1</v>
      </c>
      <c r="H19" s="88">
        <f>IF(B$20=0,0,G19/B$20)</f>
        <v>1.5384615384615385E-2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>IF(Q19=0,0,R19/Q19)</f>
        <v>6.5999999999999988</v>
      </c>
      <c r="Q19" s="77">
        <v>3</v>
      </c>
      <c r="R19" s="68">
        <v>19.799999999999997</v>
      </c>
    </row>
    <row r="20" spans="1:18" x14ac:dyDescent="0.45">
      <c r="A20" s="18" t="s">
        <v>10</v>
      </c>
      <c r="B20" s="11">
        <f>B23+B22</f>
        <v>65</v>
      </c>
      <c r="C20" s="5">
        <f>IF(B$3=0,0,B20/B$3)</f>
        <v>0.31862745098039214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>IF(Q20=0,0,R20/Q20)</f>
        <v>6.5750000000000002</v>
      </c>
      <c r="Q20" s="77">
        <v>8</v>
      </c>
      <c r="R20" s="68">
        <v>52.6</v>
      </c>
    </row>
    <row r="21" spans="1:18" x14ac:dyDescent="0.45">
      <c r="A21" s="19" t="s">
        <v>13</v>
      </c>
      <c r="B21" s="12">
        <v>30</v>
      </c>
      <c r="C21" s="6">
        <f>IF(B$3=0,0,B21/B$3)</f>
        <v>0.14705882352941177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>IF(Q21=0,0,R21/Q21)</f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26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>IF(Q22=0,0,R22/Q22)</f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39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25</v>
      </c>
      <c r="C24" s="6">
        <f>IF(B$20=0,0,B24/B$20)</f>
        <v>0.38461538461538464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25</v>
      </c>
      <c r="C25" s="6">
        <f>IF(B$20=0,0,B25/B$20)</f>
        <v>0.38461538461538464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15</v>
      </c>
      <c r="C26" s="6">
        <f>IF(B$20=0,0,B26/B$20)</f>
        <v>0.23076923076923078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8015.3846153846152</v>
      </c>
      <c r="C27" s="8">
        <v>521000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8512.5</v>
      </c>
      <c r="C28" s="96">
        <v>340500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7220</v>
      </c>
      <c r="C29" s="96">
        <v>180500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-6940</v>
      </c>
      <c r="C30" s="96">
        <v>-208200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4.9019607843137254E-3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7.6923076923076927E-2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16</v>
      </c>
      <c r="C38" s="6">
        <f t="shared" si="2"/>
        <v>0.24615384615384617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0.15384615384615385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0.13846153846153847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7</v>
      </c>
      <c r="C41" s="6">
        <f t="shared" si="2"/>
        <v>0.1076923076923077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2"/>
        <v>0.1076923076923077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4.6153846153846156E-2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1.5384615384615385E-2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1.5384615384615385E-2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1.5384615384615385E-2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32</v>
      </c>
      <c r="C2" s="134"/>
      <c r="E2" s="26" t="s">
        <v>66</v>
      </c>
      <c r="F2" s="23" t="s">
        <v>22</v>
      </c>
      <c r="G2" s="11">
        <v>75</v>
      </c>
      <c r="H2" s="87">
        <f>IF(B$20=0,0,G2/B$20)</f>
        <v>0.77319587628865982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-143.75</v>
      </c>
      <c r="Q2" s="76">
        <v>32</v>
      </c>
      <c r="R2" s="63">
        <v>-4600</v>
      </c>
    </row>
    <row r="3" spans="1:18" x14ac:dyDescent="0.45">
      <c r="A3" s="19" t="s">
        <v>8</v>
      </c>
      <c r="B3" s="135">
        <v>283</v>
      </c>
      <c r="C3" s="136"/>
      <c r="E3" s="27" t="s">
        <v>72</v>
      </c>
      <c r="F3" s="24" t="s">
        <v>27</v>
      </c>
      <c r="G3" s="12">
        <v>62</v>
      </c>
      <c r="H3" s="88">
        <f>IF(B$20=0,0,G3/B$20)</f>
        <v>0.63917525773195871</v>
      </c>
      <c r="I3" s="58">
        <v>4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1933.3333333333333</v>
      </c>
      <c r="Q3" s="77">
        <v>30</v>
      </c>
      <c r="R3" s="64">
        <v>58000</v>
      </c>
    </row>
    <row r="4" spans="1:18" x14ac:dyDescent="0.45">
      <c r="A4" s="19" t="s">
        <v>6</v>
      </c>
      <c r="B4" s="137">
        <v>293.89999999999998</v>
      </c>
      <c r="C4" s="138"/>
      <c r="E4" s="27" t="s">
        <v>159</v>
      </c>
      <c r="F4" s="24" t="s">
        <v>160</v>
      </c>
      <c r="G4" s="12">
        <v>47</v>
      </c>
      <c r="H4" s="88">
        <f>IF(B$20=0,0,G4/B$20)</f>
        <v>0.4845360824742268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800</v>
      </c>
      <c r="Q4" s="77">
        <v>31</v>
      </c>
      <c r="R4" s="64">
        <v>24800</v>
      </c>
    </row>
    <row r="5" spans="1:18" x14ac:dyDescent="0.45">
      <c r="A5" s="19" t="s">
        <v>7</v>
      </c>
      <c r="B5" s="125">
        <f>IF(B$2=0,0,B$4/B$2)</f>
        <v>9.1843749999999993</v>
      </c>
      <c r="C5" s="126"/>
      <c r="E5" s="27" t="s">
        <v>64</v>
      </c>
      <c r="F5" s="24" t="s">
        <v>20</v>
      </c>
      <c r="G5" s="12">
        <v>32</v>
      </c>
      <c r="H5" s="88">
        <f>IF(B$20=0,0,G5/B$20)</f>
        <v>0.32989690721649484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960.71428571428567</v>
      </c>
      <c r="Q5" s="77">
        <v>28</v>
      </c>
      <c r="R5" s="64">
        <v>26900</v>
      </c>
    </row>
    <row r="6" spans="1:18" x14ac:dyDescent="0.45">
      <c r="A6" s="19" t="s">
        <v>196</v>
      </c>
      <c r="B6" s="129">
        <v>1582.0881180259935</v>
      </c>
      <c r="C6" s="130"/>
      <c r="E6" s="27" t="s">
        <v>68</v>
      </c>
      <c r="F6" s="24" t="s">
        <v>12</v>
      </c>
      <c r="G6" s="12">
        <v>27</v>
      </c>
      <c r="H6" s="88">
        <f>IF(B$20=0,0,G6/B$20)</f>
        <v>0.27835051546391754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1553.8461538461538</v>
      </c>
      <c r="Q6" s="77">
        <v>26</v>
      </c>
      <c r="R6" s="64">
        <v>40400</v>
      </c>
    </row>
    <row r="7" spans="1:18" x14ac:dyDescent="0.45">
      <c r="A7" s="19" t="s">
        <v>1</v>
      </c>
      <c r="B7" s="139">
        <f>IF(B$2=0,0,(B$8*1+B$9*2+B$10*3)/B$2)</f>
        <v>1.71875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0.14432989690721648</v>
      </c>
      <c r="I7" s="58">
        <v>9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-90</v>
      </c>
      <c r="Q7" s="78">
        <v>20</v>
      </c>
      <c r="R7" s="65">
        <v>-1800</v>
      </c>
    </row>
    <row r="8" spans="1:18" x14ac:dyDescent="0.45">
      <c r="A8" s="19" t="s">
        <v>2</v>
      </c>
      <c r="B8" s="12">
        <v>16</v>
      </c>
      <c r="C8" s="6">
        <f t="shared" ref="C8:C15" si="1">IF(B$2=0,0,B8/B$2)</f>
        <v>0.5</v>
      </c>
      <c r="E8" s="27" t="s">
        <v>70</v>
      </c>
      <c r="F8" s="24" t="s">
        <v>25</v>
      </c>
      <c r="G8" s="12">
        <v>14</v>
      </c>
      <c r="H8" s="88">
        <f>IF(B$20=0,0,G8/B$20)</f>
        <v>0.14432989690721648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0.28125</v>
      </c>
      <c r="E9" s="27" t="s">
        <v>89</v>
      </c>
      <c r="F9" s="24" t="s">
        <v>44</v>
      </c>
      <c r="G9" s="12">
        <v>11</v>
      </c>
      <c r="H9" s="88">
        <f>IF(B$20=0,0,G9/B$20)</f>
        <v>0.1134020618556701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0.21875</v>
      </c>
      <c r="E10" s="27" t="s">
        <v>69</v>
      </c>
      <c r="F10" s="24" t="s">
        <v>24</v>
      </c>
      <c r="G10" s="12">
        <v>8</v>
      </c>
      <c r="H10" s="88">
        <f>IF(B$20=0,0,G10/B$20)</f>
        <v>8.247422680412371E-2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36.912500000000001</v>
      </c>
      <c r="C11" s="110">
        <v>590.6</v>
      </c>
      <c r="E11" s="27" t="s">
        <v>71</v>
      </c>
      <c r="F11" s="24" t="s">
        <v>26</v>
      </c>
      <c r="G11" s="12">
        <v>8</v>
      </c>
      <c r="H11" s="88">
        <f>IF(B$20=0,0,G11/B$20)</f>
        <v>8.247422680412371E-2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-3.8916666666666662</v>
      </c>
      <c r="Q11" s="77">
        <v>12</v>
      </c>
      <c r="R11" s="68">
        <v>-46.699999999999996</v>
      </c>
    </row>
    <row r="12" spans="1:18" x14ac:dyDescent="0.45">
      <c r="A12" s="20" t="s">
        <v>185</v>
      </c>
      <c r="B12" s="109">
        <f>IF(B9=0,0,C12/B9)</f>
        <v>-5.4222222222222216</v>
      </c>
      <c r="C12" s="110">
        <v>-48.8</v>
      </c>
      <c r="E12" s="27" t="s">
        <v>78</v>
      </c>
      <c r="F12" s="24" t="s">
        <v>33</v>
      </c>
      <c r="G12" s="12">
        <v>4</v>
      </c>
      <c r="H12" s="88">
        <f>IF(B$20=0,0,G12/B$20)</f>
        <v>4.1237113402061855E-2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13.219999999999999</v>
      </c>
      <c r="Q12" s="78">
        <v>5</v>
      </c>
      <c r="R12" s="69">
        <v>66.099999999999994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65</v>
      </c>
      <c r="F13" s="24" t="s">
        <v>21</v>
      </c>
      <c r="G13" s="12">
        <v>3</v>
      </c>
      <c r="H13" s="88">
        <f>IF(B$20=0,0,G13/B$20)</f>
        <v>3.0927835051546393E-2</v>
      </c>
      <c r="I13" s="58">
        <v>10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-1.3080026455026459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3.0927835051546393E-2</v>
      </c>
      <c r="I14" s="58">
        <v>2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6.25E-2</v>
      </c>
      <c r="E15" s="27" t="s">
        <v>86</v>
      </c>
      <c r="F15" s="24" t="s">
        <v>41</v>
      </c>
      <c r="G15" s="12">
        <v>3</v>
      </c>
      <c r="H15" s="88">
        <f>IF(B$20=0,0,G15/B$20)</f>
        <v>3.0927835051546393E-2</v>
      </c>
      <c r="I15" s="58">
        <v>7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63</v>
      </c>
      <c r="C16" s="10">
        <f>IF(B$3=0,0,B16/B$3)</f>
        <v>0.22261484098939929</v>
      </c>
      <c r="E16" s="27" t="s">
        <v>83</v>
      </c>
      <c r="F16" s="24" t="s">
        <v>38</v>
      </c>
      <c r="G16" s="12">
        <v>2</v>
      </c>
      <c r="H16" s="88">
        <f>IF(B$20=0,0,G16/B$20)</f>
        <v>2.0618556701030927E-2</v>
      </c>
      <c r="I16" s="58">
        <v>8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71</v>
      </c>
      <c r="C17" s="6">
        <f>IF(B$3=0,0,B17/B$3)</f>
        <v>0.25088339222614842</v>
      </c>
      <c r="E17" s="27" t="s">
        <v>73</v>
      </c>
      <c r="F17" s="24" t="s">
        <v>28</v>
      </c>
      <c r="G17" s="12">
        <v>1</v>
      </c>
      <c r="H17" s="88">
        <f>IF(B$20=0,0,G17/B$20)</f>
        <v>1.0309278350515464E-2</v>
      </c>
      <c r="I17" s="58">
        <v>2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21.353846153846156</v>
      </c>
      <c r="Q17" s="77">
        <v>13</v>
      </c>
      <c r="R17" s="68">
        <v>277.60000000000002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0.52380952380952384</v>
      </c>
      <c r="E18" s="27" t="s">
        <v>81</v>
      </c>
      <c r="F18" s="24" t="s">
        <v>36</v>
      </c>
      <c r="G18" s="12">
        <v>1</v>
      </c>
      <c r="H18" s="88">
        <f>IF(B$20=0,0,G18/B$20)</f>
        <v>1.0309278350515464E-2</v>
      </c>
      <c r="I18" s="58">
        <v>9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35</v>
      </c>
      <c r="C19" s="5">
        <f>IF(B$17=0,0,B19/B$17)</f>
        <v>0.49295774647887325</v>
      </c>
      <c r="E19" s="27" t="s">
        <v>88</v>
      </c>
      <c r="F19" s="24" t="s">
        <v>43</v>
      </c>
      <c r="G19" s="12">
        <v>1</v>
      </c>
      <c r="H19" s="88">
        <f>IF(B$20=0,0,G19/B$20)</f>
        <v>1.0309278350515464E-2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97</v>
      </c>
      <c r="C20" s="5">
        <f>IF(B$3=0,0,B20/B$3)</f>
        <v>0.34275618374558303</v>
      </c>
      <c r="E20" s="27" t="s">
        <v>92</v>
      </c>
      <c r="F20" s="24" t="s">
        <v>47</v>
      </c>
      <c r="G20" s="12">
        <v>1</v>
      </c>
      <c r="H20" s="88">
        <f>IF(B$20=0,0,G20/B$20)</f>
        <v>1.0309278350515464E-2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13.838461538461537</v>
      </c>
      <c r="Q20" s="77">
        <v>26</v>
      </c>
      <c r="R20" s="68">
        <v>359.79999999999995</v>
      </c>
    </row>
    <row r="21" spans="1:18" x14ac:dyDescent="0.45">
      <c r="A21" s="19" t="s">
        <v>13</v>
      </c>
      <c r="B21" s="12">
        <v>39</v>
      </c>
      <c r="C21" s="6">
        <f>IF(B$3=0,0,B21/B$3)</f>
        <v>0.13780918727915195</v>
      </c>
      <c r="E21" s="27" t="s">
        <v>102</v>
      </c>
      <c r="F21" s="24" t="s">
        <v>57</v>
      </c>
      <c r="G21" s="12">
        <v>1</v>
      </c>
      <c r="H21" s="88">
        <f>IF(B$20=0,0,G21/B$20)</f>
        <v>1.0309278350515464E-2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40</v>
      </c>
      <c r="C22" s="6">
        <f>IF(B$20=0,0,B22/B$20)</f>
        <v>0.41237113402061853</v>
      </c>
      <c r="E22" s="27" t="s">
        <v>155</v>
      </c>
      <c r="F22" s="24" t="s">
        <v>156</v>
      </c>
      <c r="G22" s="12">
        <v>1</v>
      </c>
      <c r="H22" s="88">
        <f>IF(B$20=0,0,G22/B$20)</f>
        <v>1.0309278350515464E-2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57</v>
      </c>
      <c r="C23" s="6">
        <f>IF(B$20=0,0,B23/B$20)</f>
        <v>0.58762886597938147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33</v>
      </c>
      <c r="C24" s="6">
        <f>IF(B$20=0,0,B24/B$20)</f>
        <v>0.34020618556701032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35</v>
      </c>
      <c r="C25" s="6">
        <f>IF(B$20=0,0,B25/B$20)</f>
        <v>0.36082474226804123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29</v>
      </c>
      <c r="C26" s="6">
        <f>IF(B$20=0,0,B26/B$20)</f>
        <v>0.29896907216494845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7967.0103092783502</v>
      </c>
      <c r="C27" s="8">
        <v>772800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9470.967741935483</v>
      </c>
      <c r="C28" s="96">
        <v>587200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5302.8571428571431</v>
      </c>
      <c r="C29" s="96">
        <v>185600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30</v>
      </c>
      <c r="C32" s="90">
        <v>22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0.10309278350515463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22</v>
      </c>
      <c r="C38" s="6">
        <f t="shared" si="3"/>
        <v>0.22680412371134021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21</v>
      </c>
      <c r="C39" s="6">
        <f t="shared" si="3"/>
        <v>0.21649484536082475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15</v>
      </c>
      <c r="C40" s="6">
        <f t="shared" si="3"/>
        <v>0.15463917525773196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13</v>
      </c>
      <c r="C41" s="6">
        <f t="shared" si="3"/>
        <v>0.13402061855670103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3.0927835051546393E-2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7</v>
      </c>
      <c r="C43" s="6">
        <f t="shared" si="3"/>
        <v>7.2164948453608241E-2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2.0618556701030927E-2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1.0309278350515464E-2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1.0309278350515464E-2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2.0618556701030927E-2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>IF(Q20=0,0,R20/Q20)</f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7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8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10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10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5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7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2020-11-09T10:51:44Z</dcterms:modified>
</cp:coreProperties>
</file>