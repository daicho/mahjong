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57BCE6B2-AC36-4DE8-AD75-443CC58FF787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6" i="6998" l="1"/>
  <c r="P19" i="6988"/>
  <c r="P21" i="6984" l="1"/>
  <c r="P16" i="6988"/>
  <c r="P15" i="6998" l="1"/>
  <c r="P24" i="6984"/>
  <c r="P17" i="6986" l="1"/>
  <c r="P20" i="6988"/>
  <c r="P22" i="6992"/>
  <c r="P15" i="6988"/>
  <c r="P19" i="6994" l="1"/>
  <c r="P16" i="6986"/>
  <c r="P17" i="6998" l="1"/>
  <c r="P24" i="6982"/>
  <c r="P23" i="6990" l="1"/>
  <c r="P18" i="6986"/>
  <c r="P15" i="6992" l="1"/>
  <c r="P19" i="6992"/>
  <c r="P20" i="6998"/>
  <c r="P17" i="7000"/>
  <c r="P17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20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2" i="6984" l="1"/>
  <c r="P20" i="6992"/>
  <c r="P15" i="6990"/>
  <c r="P16" i="6992"/>
  <c r="P23" i="6992"/>
  <c r="P18" i="6994"/>
  <c r="P18" i="6990"/>
  <c r="P20" i="6994"/>
  <c r="P23" i="6984"/>
  <c r="P15" i="6984"/>
  <c r="P18" i="6996" l="1"/>
  <c r="P16" i="6994"/>
  <c r="P17" i="6982"/>
  <c r="P18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6" i="6990"/>
  <c r="P17" i="6980"/>
  <c r="P18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3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1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3" i="6980"/>
  <c r="P18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6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0" i="6990"/>
  <c r="H22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1" i="6990"/>
  <c r="H38" i="6990"/>
  <c r="H42" i="6990"/>
  <c r="H46" i="6990"/>
  <c r="C20" i="6988"/>
  <c r="H3" i="6988"/>
  <c r="H27" i="6988"/>
  <c r="H33" i="6988"/>
  <c r="C42" i="6988"/>
  <c r="H51" i="6988"/>
  <c r="H2" i="6988"/>
  <c r="H9" i="6988"/>
  <c r="H22" i="6988"/>
  <c r="H15" i="6988"/>
  <c r="C24" i="6988"/>
  <c r="B28" i="6988"/>
  <c r="H34" i="6988"/>
  <c r="H39" i="6988"/>
  <c r="H43" i="6988"/>
  <c r="H47" i="6988"/>
  <c r="H5" i="6988"/>
  <c r="H25" i="6988"/>
  <c r="H11" i="6988"/>
  <c r="H30" i="6988"/>
  <c r="H35" i="6988"/>
  <c r="C39" i="6988"/>
  <c r="C43" i="6988"/>
  <c r="C47" i="6988"/>
  <c r="H52" i="6988"/>
  <c r="H20" i="6988"/>
  <c r="H23" i="6988"/>
  <c r="C25" i="6988"/>
  <c r="H40" i="6988"/>
  <c r="H44" i="6988"/>
  <c r="H48" i="6988"/>
  <c r="H10" i="6988"/>
  <c r="C38" i="6988"/>
  <c r="C46" i="6988"/>
  <c r="H7" i="6988"/>
  <c r="H12" i="6988"/>
  <c r="H24" i="6988"/>
  <c r="H13" i="6988"/>
  <c r="H28" i="6988"/>
  <c r="H19" i="6988"/>
  <c r="H36" i="6988"/>
  <c r="C40" i="6988"/>
  <c r="C44" i="6988"/>
  <c r="C48" i="6988"/>
  <c r="H4" i="6988"/>
  <c r="H17" i="6988"/>
  <c r="C22" i="6988"/>
  <c r="C26" i="6988"/>
  <c r="H37" i="6988"/>
  <c r="H41" i="6988"/>
  <c r="H45" i="6988"/>
  <c r="H49" i="6988"/>
  <c r="H6" i="6988"/>
  <c r="H14" i="6988"/>
  <c r="H21" i="6988"/>
  <c r="H26" i="6988"/>
  <c r="H29" i="6988"/>
  <c r="H31" i="6988"/>
  <c r="C37" i="6988"/>
  <c r="C41" i="6988"/>
  <c r="C45" i="6988"/>
  <c r="C49" i="6988"/>
  <c r="H8" i="6988"/>
  <c r="H18" i="6988"/>
  <c r="H16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4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8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9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8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9" i="6984"/>
  <c r="H37" i="6984"/>
  <c r="C40" i="6984"/>
  <c r="C44" i="6984"/>
  <c r="C48" i="6984"/>
  <c r="H38" i="6984"/>
  <c r="H42" i="6984"/>
  <c r="H46" i="6984"/>
  <c r="H50" i="6984"/>
  <c r="H17" i="6984"/>
  <c r="H15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6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6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7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8" i="6980"/>
  <c r="C39" i="6980"/>
  <c r="C45" i="6980"/>
  <c r="H33" i="6980"/>
  <c r="H8" i="6980"/>
  <c r="H2" i="6980"/>
  <c r="H10" i="6980"/>
  <c r="H46" i="6980"/>
  <c r="H7" i="6980"/>
  <c r="H13" i="6980"/>
  <c r="H21" i="6980"/>
  <c r="H29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7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6" i="6980"/>
  <c r="H41" i="6980"/>
  <c r="H44" i="6980"/>
  <c r="H47" i="6980"/>
  <c r="H51" i="6980"/>
  <c r="H23" i="6980"/>
  <c r="H9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<sst xmlns="http://schemas.openxmlformats.org/spreadsheetml/2006/main" count="3508" uniqueCount="266">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</sst>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全体!$K$2:$K$395</c:f>
              <c:numCache>
                <c:formatCode>General</c:formatCode>
                <c:ptCount val="3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</c:numCache>
            </c:numRef>
          </c:xVal>
          <c:yVal>
            <c:numRef>
              <c:f>全体!$L$2:$L$395</c:f>
              <c:numCache>
                <c:formatCode>\+0.0;\-0.0;\±0</c:formatCode>
                <c:ptCount val="394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-38.167938931297712</c:v>
                </c:pt>
                <c:pt idx="1">
                  <c:v>18.229166666666668</c:v>
                </c:pt>
                <c:pt idx="2">
                  <c:v>0</c:v>
                </c:pt>
                <c:pt idx="3">
                  <c:v>-2.7548209366391183</c:v>
                </c:pt>
                <c:pt idx="4">
                  <c:v>12.012012012012011</c:v>
                </c:pt>
                <c:pt idx="5">
                  <c:v>17.361111111111111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74</c:v>
                </c:pt>
                <c:pt idx="1">
                  <c:v>186</c:v>
                </c:pt>
                <c:pt idx="2">
                  <c:v>199</c:v>
                </c:pt>
                <c:pt idx="3">
                  <c:v>193</c:v>
                </c:pt>
                <c:pt idx="4">
                  <c:v>138</c:v>
                </c:pt>
                <c:pt idx="5">
                  <c:v>91</c:v>
                </c:pt>
                <c:pt idx="6">
                  <c:v>41</c:v>
                </c:pt>
                <c:pt idx="7">
                  <c:v>30</c:v>
                </c:pt>
                <c:pt idx="8">
                  <c:v>16</c:v>
                </c:pt>
                <c:pt idx="9">
                  <c:v>11</c:v>
                </c:pt>
                <c:pt idx="10">
                  <c:v>2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全体!$K$2:$K$395</c:f>
              <c:numCache>
                <c:formatCode>General</c:formatCode>
                <c:ptCount val="3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</c:numCache>
            </c:numRef>
          </c:xVal>
          <c:yVal>
            <c:numRef>
              <c:f>全体!$M$2:$M$395</c:f>
              <c:numCache>
                <c:formatCode>0</c:formatCode>
                <c:ptCount val="394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だいち!$L$2:$L$109</c:f>
              <c:numCache>
                <c:formatCode>\+0.0;\-0.0;\±0</c:formatCode>
                <c:ptCount val="108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991.58878504672896</c:v>
                </c:pt>
                <c:pt idx="1">
                  <c:v>-716.34615384615381</c:v>
                </c:pt>
                <c:pt idx="2">
                  <c:v>-914.42307692307691</c:v>
                </c:pt>
                <c:pt idx="3">
                  <c:v>1342.4242424242425</c:v>
                </c:pt>
                <c:pt idx="4">
                  <c:v>153.33333333333334</c:v>
                </c:pt>
                <c:pt idx="5">
                  <c:v>-52.564102564102562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</c:v>
                </c:pt>
                <c:pt idx="1">
                  <c:v>56</c:v>
                </c:pt>
                <c:pt idx="2">
                  <c:v>59</c:v>
                </c:pt>
                <c:pt idx="3">
                  <c:v>55</c:v>
                </c:pt>
                <c:pt idx="4">
                  <c:v>42</c:v>
                </c:pt>
                <c:pt idx="5">
                  <c:v>35</c:v>
                </c:pt>
                <c:pt idx="6">
                  <c:v>10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だいち!$K$2:$K$109</c:f>
              <c:numCache>
                <c:formatCode>General</c:formatCode>
                <c:ptCount val="1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</c:numCache>
            </c:numRef>
          </c:xVal>
          <c:yVal>
            <c:numRef>
              <c:f>だいち!$M$2:$M$109</c:f>
              <c:numCache>
                <c:formatCode>0</c:formatCode>
                <c:ptCount val="108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れんたろう!$L$2:$L$72</c:f>
              <c:numCache>
                <c:formatCode>\+0.0;\-0.0;\±0</c:formatCode>
                <c:ptCount val="71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958.57142857142856</c:v>
                </c:pt>
                <c:pt idx="1">
                  <c:v>117.64705882352941</c:v>
                </c:pt>
                <c:pt idx="2">
                  <c:v>-672.05882352941171</c:v>
                </c:pt>
                <c:pt idx="3">
                  <c:v>-667.69230769230774</c:v>
                </c:pt>
                <c:pt idx="4">
                  <c:v>116.94915254237289</c:v>
                </c:pt>
                <c:pt idx="5">
                  <c:v>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14</c:v>
                </c:pt>
                <c:pt idx="2">
                  <c:v>33</c:v>
                </c:pt>
                <c:pt idx="3">
                  <c:v>33</c:v>
                </c:pt>
                <c:pt idx="4">
                  <c:v>35</c:v>
                </c:pt>
                <c:pt idx="5">
                  <c:v>17</c:v>
                </c:pt>
                <c:pt idx="6">
                  <c:v>8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れんたろう!$K$2:$K$72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れんたろう!$M$2:$M$72</c:f>
              <c:numCache>
                <c:formatCode>0</c:formatCode>
                <c:ptCount val="71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-548.83720930232562</c:v>
                </c:pt>
                <c:pt idx="1">
                  <c:v>-927.90697674418607</c:v>
                </c:pt>
                <c:pt idx="2">
                  <c:v>314.28571428571428</c:v>
                </c:pt>
                <c:pt idx="3">
                  <c:v>-764.28571428571433</c:v>
                </c:pt>
                <c:pt idx="4">
                  <c:v>-1129.2682926829268</c:v>
                </c:pt>
                <c:pt idx="5">
                  <c:v>-414.70588235294116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27</c:v>
                </c:pt>
                <c:pt idx="2">
                  <c:v>22</c:v>
                </c:pt>
                <c:pt idx="3">
                  <c:v>20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たかの!$M$2:$M$45</c:f>
              <c:numCache>
                <c:formatCode>0</c:formatCode>
                <c:ptCount val="44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1285.2941176470588</c:v>
                </c:pt>
                <c:pt idx="1">
                  <c:v>682.35294117647061</c:v>
                </c:pt>
                <c:pt idx="2">
                  <c:v>1012.1212121212121</c:v>
                </c:pt>
                <c:pt idx="3">
                  <c:v>-2565.5172413793102</c:v>
                </c:pt>
                <c:pt idx="4">
                  <c:v>2296.1538461538462</c:v>
                </c:pt>
                <c:pt idx="5">
                  <c:v>-890.90909090909088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</c:v>
                </c:pt>
                <c:pt idx="1">
                  <c:v>13</c:v>
                </c:pt>
                <c:pt idx="2">
                  <c:v>18</c:v>
                </c:pt>
                <c:pt idx="3">
                  <c:v>22</c:v>
                </c:pt>
                <c:pt idx="4">
                  <c:v>9</c:v>
                </c:pt>
                <c:pt idx="5">
                  <c:v>6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まっつん!$M$2:$M$36</c:f>
              <c:numCache>
                <c:formatCode>0</c:formatCode>
                <c:ptCount val="35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-564.44444444444446</c:v>
                </c:pt>
                <c:pt idx="1">
                  <c:v>786.66666666666663</c:v>
                </c:pt>
                <c:pt idx="2">
                  <c:v>1477.7777777777778</c:v>
                </c:pt>
                <c:pt idx="3">
                  <c:v>-152.38095238095238</c:v>
                </c:pt>
                <c:pt idx="4">
                  <c:v>402.63157894736844</c:v>
                </c:pt>
                <c:pt idx="5">
                  <c:v>1491.6666666666667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26</c:v>
                </c:pt>
                <c:pt idx="2">
                  <c:v>23</c:v>
                </c:pt>
                <c:pt idx="3">
                  <c:v>19</c:v>
                </c:pt>
                <c:pt idx="4">
                  <c:v>15</c:v>
                </c:pt>
                <c:pt idx="5">
                  <c:v>13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いちかわ!$M$2:$M$47</c:f>
              <c:numCache>
                <c:formatCode>0</c:formatCode>
                <c:ptCount val="46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-334.69387755102042</c:v>
                </c:pt>
                <c:pt idx="1">
                  <c:v>676.08695652173913</c:v>
                </c:pt>
                <c:pt idx="2">
                  <c:v>985.10638297872345</c:v>
                </c:pt>
                <c:pt idx="3">
                  <c:v>2222.7272727272725</c:v>
                </c:pt>
                <c:pt idx="4">
                  <c:v>163.41463414634146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36</c:v>
                </c:pt>
                <c:pt idx="2">
                  <c:v>32</c:v>
                </c:pt>
                <c:pt idx="3">
                  <c:v>20</c:v>
                </c:pt>
                <c:pt idx="4">
                  <c:v>21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ただ!$M$2:$M$51</c:f>
              <c:numCache>
                <c:formatCode>0</c:formatCode>
                <c:ptCount val="5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いちかわ2!$B$3:$B$48</c:f>
              <c:numCache>
                <c:formatCode>\+0.0;\-0.0;\±0</c:formatCode>
                <c:ptCount val="46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618527782440651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いちかわ2!$C$3:$C$48</c:f>
              <c:numCache>
                <c:formatCode>\+0.0;\-0.0;\±0</c:formatCode>
                <c:ptCount val="46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  <c:pt idx="11">
                  <c:v>-1.7090909090909088</c:v>
                </c:pt>
                <c:pt idx="12">
                  <c:v>2.6750000000000003</c:v>
                </c:pt>
                <c:pt idx="13">
                  <c:v>5.0615384615384622</c:v>
                </c:pt>
                <c:pt idx="14">
                  <c:v>7.0928571428571434</c:v>
                </c:pt>
                <c:pt idx="15">
                  <c:v>5.0133333333333345</c:v>
                </c:pt>
                <c:pt idx="16">
                  <c:v>5.1875000000000009</c:v>
                </c:pt>
                <c:pt idx="17">
                  <c:v>4.8000000000000007</c:v>
                </c:pt>
                <c:pt idx="18">
                  <c:v>4.6222222222222227</c:v>
                </c:pt>
                <c:pt idx="19">
                  <c:v>6.6736842105263161</c:v>
                </c:pt>
                <c:pt idx="20">
                  <c:v>8.15</c:v>
                </c:pt>
                <c:pt idx="21">
                  <c:v>5.5571428571428569</c:v>
                </c:pt>
                <c:pt idx="22">
                  <c:v>6.2363636363636354</c:v>
                </c:pt>
                <c:pt idx="23">
                  <c:v>6.052173913043478</c:v>
                </c:pt>
                <c:pt idx="24">
                  <c:v>4.5333333333333323</c:v>
                </c:pt>
                <c:pt idx="25">
                  <c:v>3.6159999999999992</c:v>
                </c:pt>
                <c:pt idx="26">
                  <c:v>4.7346153846153838</c:v>
                </c:pt>
                <c:pt idx="27">
                  <c:v>4.6222222222222218</c:v>
                </c:pt>
                <c:pt idx="28">
                  <c:v>3.7999999999999994</c:v>
                </c:pt>
                <c:pt idx="29">
                  <c:v>4.4103448275862061</c:v>
                </c:pt>
                <c:pt idx="30">
                  <c:v>5.4799999999999995</c:v>
                </c:pt>
                <c:pt idx="31">
                  <c:v>3.8645161290322574</c:v>
                </c:pt>
                <c:pt idx="32">
                  <c:v>3.1562499999999996</c:v>
                </c:pt>
                <c:pt idx="33">
                  <c:v>3.1090909090909085</c:v>
                </c:pt>
                <c:pt idx="34">
                  <c:v>1.9294117647058817</c:v>
                </c:pt>
                <c:pt idx="35">
                  <c:v>1.2999999999999994</c:v>
                </c:pt>
                <c:pt idx="36">
                  <c:v>1.1305555555555551</c:v>
                </c:pt>
                <c:pt idx="37">
                  <c:v>0.4621621621621616</c:v>
                </c:pt>
                <c:pt idx="38">
                  <c:v>2.0736842105263151</c:v>
                </c:pt>
                <c:pt idx="39">
                  <c:v>2.6051282051282048</c:v>
                </c:pt>
                <c:pt idx="40">
                  <c:v>3.5199999999999996</c:v>
                </c:pt>
                <c:pt idx="41">
                  <c:v>3.014634146341463</c:v>
                </c:pt>
                <c:pt idx="42">
                  <c:v>3.0190476190476185</c:v>
                </c:pt>
                <c:pt idx="43">
                  <c:v>3.4488372093023254</c:v>
                </c:pt>
                <c:pt idx="44">
                  <c:v>3.2545454545454544</c:v>
                </c:pt>
                <c:pt idx="45">
                  <c:v>3.5044444444444443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75197909017977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いちかわ2!$D$3:$D$48</c:f>
              <c:numCache>
                <c:formatCode>0.00\ "位"</c:formatCode>
                <c:ptCount val="46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1.8823529411764706</c:v>
                </c:pt>
                <c:pt idx="18">
                  <c:v>1.8888888888888888</c:v>
                </c:pt>
                <c:pt idx="19">
                  <c:v>1.8421052631578947</c:v>
                </c:pt>
                <c:pt idx="20">
                  <c:v>1.8</c:v>
                </c:pt>
                <c:pt idx="21">
                  <c:v>1.8571428571428572</c:v>
                </c:pt>
                <c:pt idx="22">
                  <c:v>1.8181818181818181</c:v>
                </c:pt>
                <c:pt idx="23">
                  <c:v>1.826086956521739</c:v>
                </c:pt>
                <c:pt idx="24">
                  <c:v>1.875</c:v>
                </c:pt>
                <c:pt idx="25">
                  <c:v>1.92</c:v>
                </c:pt>
                <c:pt idx="26">
                  <c:v>1.8846153846153846</c:v>
                </c:pt>
                <c:pt idx="27">
                  <c:v>1.8888888888888888</c:v>
                </c:pt>
                <c:pt idx="28">
                  <c:v>1.9285714285714286</c:v>
                </c:pt>
                <c:pt idx="29">
                  <c:v>1.896551724137931</c:v>
                </c:pt>
                <c:pt idx="30">
                  <c:v>1.8666666666666667</c:v>
                </c:pt>
                <c:pt idx="31">
                  <c:v>1.903225806451613</c:v>
                </c:pt>
                <c:pt idx="32">
                  <c:v>1.9375</c:v>
                </c:pt>
                <c:pt idx="33">
                  <c:v>1.9393939393939394</c:v>
                </c:pt>
                <c:pt idx="34">
                  <c:v>1.9705882352941178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1.925</c:v>
                </c:pt>
                <c:pt idx="41">
                  <c:v>1.9512195121951219</c:v>
                </c:pt>
                <c:pt idx="42">
                  <c:v>1.9523809523809523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455470737913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いちかわ2!$E$3:$E$48</c:f>
              <c:numCache>
                <c:formatCode>0.0%</c:formatCode>
                <c:ptCount val="4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0.40625</c:v>
                </c:pt>
                <c:pt idx="33">
                  <c:v>0.39393939393939392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0.38095238095238093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877862595419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いちかわ2!$F$3:$F$48</c:f>
              <c:numCache>
                <c:formatCode>0.0%</c:formatCode>
                <c:ptCount val="46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いちかわ2!$G$3:$G$48</c:f>
              <c:numCache>
                <c:formatCode>0.0%</c:formatCode>
                <c:ptCount val="46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  <c:pt idx="11">
                  <c:v>0.30588235294117649</c:v>
                </c:pt>
                <c:pt idx="12">
                  <c:v>0.31521739130434784</c:v>
                </c:pt>
                <c:pt idx="13">
                  <c:v>0.32653061224489793</c:v>
                </c:pt>
                <c:pt idx="14">
                  <c:v>0.35238095238095241</c:v>
                </c:pt>
                <c:pt idx="15">
                  <c:v>0.35652173913043478</c:v>
                </c:pt>
                <c:pt idx="16">
                  <c:v>0.34959349593495936</c:v>
                </c:pt>
                <c:pt idx="17">
                  <c:v>0.33834586466165412</c:v>
                </c:pt>
                <c:pt idx="18">
                  <c:v>0.33098591549295775</c:v>
                </c:pt>
                <c:pt idx="19">
                  <c:v>0.33774834437086093</c:v>
                </c:pt>
                <c:pt idx="20">
                  <c:v>0.34177215189873417</c:v>
                </c:pt>
                <c:pt idx="21">
                  <c:v>0.32727272727272727</c:v>
                </c:pt>
                <c:pt idx="22">
                  <c:v>0.32571428571428573</c:v>
                </c:pt>
                <c:pt idx="23">
                  <c:v>0.32402234636871508</c:v>
                </c:pt>
                <c:pt idx="24">
                  <c:v>0.31914893617021278</c:v>
                </c:pt>
                <c:pt idx="25">
                  <c:v>0.31282051282051282</c:v>
                </c:pt>
                <c:pt idx="26">
                  <c:v>0.31862745098039214</c:v>
                </c:pt>
                <c:pt idx="27">
                  <c:v>0.32863849765258218</c:v>
                </c:pt>
                <c:pt idx="28">
                  <c:v>0.32126696832579188</c:v>
                </c:pt>
                <c:pt idx="29">
                  <c:v>0.32327586206896552</c:v>
                </c:pt>
                <c:pt idx="30">
                  <c:v>0.33054393305439328</c:v>
                </c:pt>
                <c:pt idx="31">
                  <c:v>0.31872509960159362</c:v>
                </c:pt>
                <c:pt idx="32">
                  <c:v>0.31417624521072796</c:v>
                </c:pt>
                <c:pt idx="33">
                  <c:v>0.31343283582089554</c:v>
                </c:pt>
                <c:pt idx="34">
                  <c:v>0.30685920577617326</c:v>
                </c:pt>
                <c:pt idx="35">
                  <c:v>0.30555555555555558</c:v>
                </c:pt>
                <c:pt idx="36">
                  <c:v>0.30405405405405406</c:v>
                </c:pt>
                <c:pt idx="37">
                  <c:v>0.29773462783171523</c:v>
                </c:pt>
                <c:pt idx="38">
                  <c:v>0.3048780487804878</c:v>
                </c:pt>
                <c:pt idx="39">
                  <c:v>0.30473372781065089</c:v>
                </c:pt>
                <c:pt idx="40">
                  <c:v>0.30434782608695654</c:v>
                </c:pt>
                <c:pt idx="41">
                  <c:v>0.30113636363636365</c:v>
                </c:pt>
                <c:pt idx="42">
                  <c:v>0.30362116991643456</c:v>
                </c:pt>
                <c:pt idx="43">
                  <c:v>0.3024523160762943</c:v>
                </c:pt>
                <c:pt idx="44">
                  <c:v>0.30158730158730157</c:v>
                </c:pt>
                <c:pt idx="45">
                  <c:v>0.30569948186528495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3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いちかわ2!$H$3:$H$48</c:f>
              <c:numCache>
                <c:formatCode>0.0%</c:formatCode>
                <c:ptCount val="46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  <c:pt idx="11">
                  <c:v>0.15294117647058825</c:v>
                </c:pt>
                <c:pt idx="12">
                  <c:v>0.16304347826086957</c:v>
                </c:pt>
                <c:pt idx="13">
                  <c:v>0.16326530612244897</c:v>
                </c:pt>
                <c:pt idx="14">
                  <c:v>0.16190476190476191</c:v>
                </c:pt>
                <c:pt idx="15">
                  <c:v>0.16521739130434782</c:v>
                </c:pt>
                <c:pt idx="16">
                  <c:v>0.15447154471544716</c:v>
                </c:pt>
                <c:pt idx="17">
                  <c:v>0.15789473684210525</c:v>
                </c:pt>
                <c:pt idx="18">
                  <c:v>0.15492957746478872</c:v>
                </c:pt>
                <c:pt idx="19">
                  <c:v>0.15231788079470199</c:v>
                </c:pt>
                <c:pt idx="20">
                  <c:v>0.14556962025316456</c:v>
                </c:pt>
                <c:pt idx="21">
                  <c:v>0.14545454545454545</c:v>
                </c:pt>
                <c:pt idx="22">
                  <c:v>0.14285714285714285</c:v>
                </c:pt>
                <c:pt idx="23">
                  <c:v>0.13966480446927373</c:v>
                </c:pt>
                <c:pt idx="24">
                  <c:v>0.14893617021276595</c:v>
                </c:pt>
                <c:pt idx="25">
                  <c:v>0.15384615384615385</c:v>
                </c:pt>
                <c:pt idx="26">
                  <c:v>0.14705882352941177</c:v>
                </c:pt>
                <c:pt idx="27">
                  <c:v>0.14553990610328638</c:v>
                </c:pt>
                <c:pt idx="28">
                  <c:v>0.14479638009049775</c:v>
                </c:pt>
                <c:pt idx="29">
                  <c:v>0.14655172413793102</c:v>
                </c:pt>
                <c:pt idx="30">
                  <c:v>0.14225941422594143</c:v>
                </c:pt>
                <c:pt idx="31">
                  <c:v>0.1394422310756972</c:v>
                </c:pt>
                <c:pt idx="32">
                  <c:v>0.13793103448275862</c:v>
                </c:pt>
                <c:pt idx="33">
                  <c:v>0.13805970149253732</c:v>
                </c:pt>
                <c:pt idx="34">
                  <c:v>0.13357400722021662</c:v>
                </c:pt>
                <c:pt idx="35">
                  <c:v>0.13541666666666666</c:v>
                </c:pt>
                <c:pt idx="36">
                  <c:v>0.13175675675675674</c:v>
                </c:pt>
                <c:pt idx="37">
                  <c:v>0.13915857605177995</c:v>
                </c:pt>
                <c:pt idx="38">
                  <c:v>0.13719512195121952</c:v>
                </c:pt>
                <c:pt idx="39">
                  <c:v>0.13313609467455623</c:v>
                </c:pt>
                <c:pt idx="40">
                  <c:v>0.13623188405797101</c:v>
                </c:pt>
                <c:pt idx="41">
                  <c:v>0.13636363636363635</c:v>
                </c:pt>
                <c:pt idx="42">
                  <c:v>0.13370473537604458</c:v>
                </c:pt>
                <c:pt idx="43">
                  <c:v>0.13079019073569481</c:v>
                </c:pt>
                <c:pt idx="44">
                  <c:v>0.13492063492063491</c:v>
                </c:pt>
                <c:pt idx="45">
                  <c:v>0.13730569948186527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1481481481481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いちかわ2!$I$3:$I$48</c:f>
              <c:numCache>
                <c:formatCode>0</c:formatCode>
                <c:ptCount val="46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  <c:pt idx="11">
                  <c:v>7150</c:v>
                </c:pt>
                <c:pt idx="12">
                  <c:v>8065.5172413793107</c:v>
                </c:pt>
                <c:pt idx="13">
                  <c:v>8165.625</c:v>
                </c:pt>
                <c:pt idx="14">
                  <c:v>7913.5135135135133</c:v>
                </c:pt>
                <c:pt idx="15">
                  <c:v>7495.1219512195121</c:v>
                </c:pt>
                <c:pt idx="16">
                  <c:v>7474.4186046511632</c:v>
                </c:pt>
                <c:pt idx="17">
                  <c:v>7453.333333333333</c:v>
                </c:pt>
                <c:pt idx="18">
                  <c:v>7531.9148936170213</c:v>
                </c:pt>
                <c:pt idx="19">
                  <c:v>8115.6862745098042</c:v>
                </c:pt>
                <c:pt idx="20">
                  <c:v>8168.5185185185182</c:v>
                </c:pt>
                <c:pt idx="21">
                  <c:v>8168.5185185185182</c:v>
                </c:pt>
                <c:pt idx="22">
                  <c:v>8285.9649122807023</c:v>
                </c:pt>
                <c:pt idx="23">
                  <c:v>8281.0344827586214</c:v>
                </c:pt>
                <c:pt idx="24">
                  <c:v>8231.6666666666661</c:v>
                </c:pt>
                <c:pt idx="25">
                  <c:v>8293.442622950819</c:v>
                </c:pt>
                <c:pt idx="26">
                  <c:v>8015.3846153846152</c:v>
                </c:pt>
                <c:pt idx="27">
                  <c:v>7895.7142857142853</c:v>
                </c:pt>
                <c:pt idx="28">
                  <c:v>7802.8169014084506</c:v>
                </c:pt>
                <c:pt idx="29">
                  <c:v>7929.333333333333</c:v>
                </c:pt>
                <c:pt idx="30">
                  <c:v>7898.7341772151894</c:v>
                </c:pt>
                <c:pt idx="31">
                  <c:v>7840</c:v>
                </c:pt>
                <c:pt idx="32">
                  <c:v>7892.6829268292686</c:v>
                </c:pt>
                <c:pt idx="33">
                  <c:v>7891.666666666667</c:v>
                </c:pt>
                <c:pt idx="34">
                  <c:v>7845.8823529411766</c:v>
                </c:pt>
                <c:pt idx="35">
                  <c:v>7815.909090909091</c:v>
                </c:pt>
                <c:pt idx="36">
                  <c:v>7733.333333333333</c:v>
                </c:pt>
                <c:pt idx="37">
                  <c:v>7730.434782608696</c:v>
                </c:pt>
                <c:pt idx="38">
                  <c:v>7812</c:v>
                </c:pt>
                <c:pt idx="39">
                  <c:v>7706.7961165048546</c:v>
                </c:pt>
                <c:pt idx="40">
                  <c:v>7938.0952380952385</c:v>
                </c:pt>
                <c:pt idx="41">
                  <c:v>7935.8490566037735</c:v>
                </c:pt>
                <c:pt idx="42">
                  <c:v>7887.1559633027518</c:v>
                </c:pt>
                <c:pt idx="43">
                  <c:v>7886.4864864864867</c:v>
                </c:pt>
                <c:pt idx="44">
                  <c:v>7921.9298245614036</c:v>
                </c:pt>
                <c:pt idx="45">
                  <c:v>7850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75.55555555555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いちかわ2!$J$3:$J$48</c:f>
              <c:numCache>
                <c:formatCode>0</c:formatCode>
                <c:ptCount val="46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  <c:pt idx="11">
                  <c:v>-7953.8461538461543</c:v>
                </c:pt>
                <c:pt idx="12">
                  <c:v>-7500</c:v>
                </c:pt>
                <c:pt idx="13">
                  <c:v>-7356.25</c:v>
                </c:pt>
                <c:pt idx="14">
                  <c:v>-7394.1176470588234</c:v>
                </c:pt>
                <c:pt idx="15">
                  <c:v>-7921.0526315789475</c:v>
                </c:pt>
                <c:pt idx="16">
                  <c:v>-7921.0526315789475</c:v>
                </c:pt>
                <c:pt idx="17">
                  <c:v>-7447.6190476190477</c:v>
                </c:pt>
                <c:pt idx="18">
                  <c:v>-7154.545454545455</c:v>
                </c:pt>
                <c:pt idx="19">
                  <c:v>-7365.217391304348</c:v>
                </c:pt>
                <c:pt idx="20">
                  <c:v>-7365.217391304348</c:v>
                </c:pt>
                <c:pt idx="21">
                  <c:v>-7141.666666666667</c:v>
                </c:pt>
                <c:pt idx="22">
                  <c:v>-7012</c:v>
                </c:pt>
                <c:pt idx="23">
                  <c:v>-7012</c:v>
                </c:pt>
                <c:pt idx="24">
                  <c:v>-6732.1428571428569</c:v>
                </c:pt>
                <c:pt idx="25">
                  <c:v>-6940</c:v>
                </c:pt>
                <c:pt idx="26">
                  <c:v>-6940</c:v>
                </c:pt>
                <c:pt idx="27">
                  <c:v>-7103.2258064516127</c:v>
                </c:pt>
                <c:pt idx="28">
                  <c:v>-6971.875</c:v>
                </c:pt>
                <c:pt idx="29">
                  <c:v>-6911.7647058823532</c:v>
                </c:pt>
                <c:pt idx="30">
                  <c:v>-6911.7647058823532</c:v>
                </c:pt>
                <c:pt idx="31">
                  <c:v>-6771.4285714285716</c:v>
                </c:pt>
                <c:pt idx="32">
                  <c:v>-6805.5555555555557</c:v>
                </c:pt>
                <c:pt idx="33">
                  <c:v>-6691.8918918918916</c:v>
                </c:pt>
                <c:pt idx="34">
                  <c:v>-6691.8918918918916</c:v>
                </c:pt>
                <c:pt idx="35">
                  <c:v>-6751.2820512820517</c:v>
                </c:pt>
                <c:pt idx="36">
                  <c:v>-6751.2820512820517</c:v>
                </c:pt>
                <c:pt idx="37">
                  <c:v>-6369.7674418604647</c:v>
                </c:pt>
                <c:pt idx="38">
                  <c:v>-6708.8888888888887</c:v>
                </c:pt>
                <c:pt idx="39">
                  <c:v>-6708.8888888888887</c:v>
                </c:pt>
                <c:pt idx="40">
                  <c:v>-6636.1702127659573</c:v>
                </c:pt>
                <c:pt idx="41">
                  <c:v>-6579.166666666667</c:v>
                </c:pt>
                <c:pt idx="42">
                  <c:v>-6579.166666666667</c:v>
                </c:pt>
                <c:pt idx="43">
                  <c:v>-6579.166666666667</c:v>
                </c:pt>
                <c:pt idx="44">
                  <c:v>-6609.8039215686276</c:v>
                </c:pt>
                <c:pt idx="45">
                  <c:v>-6656.6037735849059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16.6972477064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いちかわ2!$K$3:$K$48</c:f>
              <c:numCache>
                <c:formatCode>0.0%</c:formatCode>
                <c:ptCount val="4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058524173027995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いちかわ2!$L$3:$L$48</c:f>
              <c:numCache>
                <c:formatCode>0.0%</c:formatCode>
                <c:ptCount val="46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  <c:pt idx="11">
                  <c:v>0.28235294117647058</c:v>
                </c:pt>
                <c:pt idx="12">
                  <c:v>0.2608695652173913</c:v>
                </c:pt>
                <c:pt idx="13">
                  <c:v>0.25510204081632654</c:v>
                </c:pt>
                <c:pt idx="14">
                  <c:v>0.24761904761904763</c:v>
                </c:pt>
                <c:pt idx="15">
                  <c:v>0.23478260869565218</c:v>
                </c:pt>
                <c:pt idx="16">
                  <c:v>0.22764227642276422</c:v>
                </c:pt>
                <c:pt idx="17">
                  <c:v>0.21804511278195488</c:v>
                </c:pt>
                <c:pt idx="18">
                  <c:v>0.22535211267605634</c:v>
                </c:pt>
                <c:pt idx="19">
                  <c:v>0.2185430463576159</c:v>
                </c:pt>
                <c:pt idx="20">
                  <c:v>0.22151898734177214</c:v>
                </c:pt>
                <c:pt idx="21">
                  <c:v>0.21818181818181817</c:v>
                </c:pt>
                <c:pt idx="22">
                  <c:v>0.22285714285714286</c:v>
                </c:pt>
                <c:pt idx="23">
                  <c:v>0.21787709497206703</c:v>
                </c:pt>
                <c:pt idx="24">
                  <c:v>0.21808510638297873</c:v>
                </c:pt>
                <c:pt idx="25">
                  <c:v>0.2153846153846154</c:v>
                </c:pt>
                <c:pt idx="26">
                  <c:v>0.21568627450980393</c:v>
                </c:pt>
                <c:pt idx="27">
                  <c:v>0.20657276995305165</c:v>
                </c:pt>
                <c:pt idx="28">
                  <c:v>0.20361990950226244</c:v>
                </c:pt>
                <c:pt idx="29">
                  <c:v>0.20258620689655171</c:v>
                </c:pt>
                <c:pt idx="30">
                  <c:v>0.20083682008368201</c:v>
                </c:pt>
                <c:pt idx="31">
                  <c:v>0.20717131474103587</c:v>
                </c:pt>
                <c:pt idx="32">
                  <c:v>0.20306513409961685</c:v>
                </c:pt>
                <c:pt idx="33">
                  <c:v>0.20522388059701493</c:v>
                </c:pt>
                <c:pt idx="34">
                  <c:v>0.20577617328519857</c:v>
                </c:pt>
                <c:pt idx="35">
                  <c:v>0.2048611111111111</c:v>
                </c:pt>
                <c:pt idx="36">
                  <c:v>0.20270270270270271</c:v>
                </c:pt>
                <c:pt idx="37">
                  <c:v>0.20388349514563106</c:v>
                </c:pt>
                <c:pt idx="38">
                  <c:v>0.21341463414634146</c:v>
                </c:pt>
                <c:pt idx="39">
                  <c:v>0.21597633136094674</c:v>
                </c:pt>
                <c:pt idx="40">
                  <c:v>0.2144927536231884</c:v>
                </c:pt>
                <c:pt idx="41">
                  <c:v>0.21022727272727273</c:v>
                </c:pt>
                <c:pt idx="42">
                  <c:v>0.20891364902506965</c:v>
                </c:pt>
                <c:pt idx="43">
                  <c:v>0.21253405994550409</c:v>
                </c:pt>
                <c:pt idx="44">
                  <c:v>0.21164021164021163</c:v>
                </c:pt>
                <c:pt idx="45">
                  <c:v>0.21761658031088082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414814814814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いちかわ2!$M$3:$M$48</c:f>
              <c:numCache>
                <c:formatCode>0.0%</c:formatCode>
                <c:ptCount val="46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  <c:pt idx="11">
                  <c:v>0.18823529411764706</c:v>
                </c:pt>
                <c:pt idx="12">
                  <c:v>0.19565217391304349</c:v>
                </c:pt>
                <c:pt idx="13">
                  <c:v>0.22448979591836735</c:v>
                </c:pt>
                <c:pt idx="14">
                  <c:v>0.25714285714285712</c:v>
                </c:pt>
                <c:pt idx="15">
                  <c:v>0.25217391304347825</c:v>
                </c:pt>
                <c:pt idx="16">
                  <c:v>0.26016260162601629</c:v>
                </c:pt>
                <c:pt idx="17">
                  <c:v>0.26315789473684209</c:v>
                </c:pt>
                <c:pt idx="18">
                  <c:v>0.25352112676056338</c:v>
                </c:pt>
                <c:pt idx="19">
                  <c:v>0.25827814569536423</c:v>
                </c:pt>
                <c:pt idx="20">
                  <c:v>0.25316455696202533</c:v>
                </c:pt>
                <c:pt idx="21">
                  <c:v>0.24242424242424243</c:v>
                </c:pt>
                <c:pt idx="22">
                  <c:v>0.22857142857142856</c:v>
                </c:pt>
                <c:pt idx="23">
                  <c:v>0.23463687150837989</c:v>
                </c:pt>
                <c:pt idx="24">
                  <c:v>0.23936170212765959</c:v>
                </c:pt>
                <c:pt idx="25">
                  <c:v>0.23589743589743589</c:v>
                </c:pt>
                <c:pt idx="26">
                  <c:v>0.24019607843137256</c:v>
                </c:pt>
                <c:pt idx="27">
                  <c:v>0.23943661971830985</c:v>
                </c:pt>
                <c:pt idx="28">
                  <c:v>0.23981900452488689</c:v>
                </c:pt>
                <c:pt idx="29">
                  <c:v>0.23706896551724138</c:v>
                </c:pt>
                <c:pt idx="30">
                  <c:v>0.24267782426778242</c:v>
                </c:pt>
                <c:pt idx="31">
                  <c:v>0.23904382470119523</c:v>
                </c:pt>
                <c:pt idx="32">
                  <c:v>0.23754789272030652</c:v>
                </c:pt>
                <c:pt idx="33">
                  <c:v>0.24253731343283583</c:v>
                </c:pt>
                <c:pt idx="34">
                  <c:v>0.23465703971119134</c:v>
                </c:pt>
                <c:pt idx="35">
                  <c:v>0.22916666666666666</c:v>
                </c:pt>
                <c:pt idx="36">
                  <c:v>0.22297297297297297</c:v>
                </c:pt>
                <c:pt idx="37">
                  <c:v>0.2168284789644013</c:v>
                </c:pt>
                <c:pt idx="38">
                  <c:v>0.21036585365853658</c:v>
                </c:pt>
                <c:pt idx="39">
                  <c:v>0.20710059171597633</c:v>
                </c:pt>
                <c:pt idx="40">
                  <c:v>0.20869565217391303</c:v>
                </c:pt>
                <c:pt idx="41">
                  <c:v>0.20738636363636365</c:v>
                </c:pt>
                <c:pt idx="42">
                  <c:v>0.20891364902506965</c:v>
                </c:pt>
                <c:pt idx="43">
                  <c:v>0.20435967302452315</c:v>
                </c:pt>
                <c:pt idx="44">
                  <c:v>0.20899470899470898</c:v>
                </c:pt>
                <c:pt idx="45">
                  <c:v>0.21502590673575128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555555555555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いちかわ2!$N$3:$N$48</c:f>
              <c:numCache>
                <c:formatCode>0.0%</c:formatCode>
                <c:ptCount val="46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  <c:pt idx="11">
                  <c:v>0.58333333333333337</c:v>
                </c:pt>
                <c:pt idx="12">
                  <c:v>0.58333333333333337</c:v>
                </c:pt>
                <c:pt idx="13">
                  <c:v>0.6</c:v>
                </c:pt>
                <c:pt idx="14">
                  <c:v>0.61538461538461542</c:v>
                </c:pt>
                <c:pt idx="15">
                  <c:v>0.59259259259259256</c:v>
                </c:pt>
                <c:pt idx="16">
                  <c:v>0.6071428571428571</c:v>
                </c:pt>
                <c:pt idx="17">
                  <c:v>0.62068965517241381</c:v>
                </c:pt>
                <c:pt idx="18">
                  <c:v>0.5625</c:v>
                </c:pt>
                <c:pt idx="19">
                  <c:v>0.54545454545454541</c:v>
                </c:pt>
                <c:pt idx="20">
                  <c:v>0.5714285714285714</c:v>
                </c:pt>
                <c:pt idx="21">
                  <c:v>0.55555555555555558</c:v>
                </c:pt>
                <c:pt idx="22">
                  <c:v>0.5641025641025641</c:v>
                </c:pt>
                <c:pt idx="23">
                  <c:v>0.5641025641025641</c:v>
                </c:pt>
                <c:pt idx="24">
                  <c:v>0.56097560975609762</c:v>
                </c:pt>
                <c:pt idx="25">
                  <c:v>0.5714285714285714</c:v>
                </c:pt>
                <c:pt idx="26">
                  <c:v>0.56818181818181823</c:v>
                </c:pt>
                <c:pt idx="27">
                  <c:v>0.56818181818181823</c:v>
                </c:pt>
                <c:pt idx="28">
                  <c:v>0.57777777777777772</c:v>
                </c:pt>
                <c:pt idx="29">
                  <c:v>0.5957446808510638</c:v>
                </c:pt>
                <c:pt idx="30">
                  <c:v>0.60416666666666663</c:v>
                </c:pt>
                <c:pt idx="31">
                  <c:v>0.57692307692307687</c:v>
                </c:pt>
                <c:pt idx="32">
                  <c:v>0.58490566037735847</c:v>
                </c:pt>
                <c:pt idx="33">
                  <c:v>0.58181818181818179</c:v>
                </c:pt>
                <c:pt idx="34">
                  <c:v>0.57894736842105265</c:v>
                </c:pt>
                <c:pt idx="35">
                  <c:v>0.55932203389830504</c:v>
                </c:pt>
                <c:pt idx="36">
                  <c:v>0.56666666666666665</c:v>
                </c:pt>
                <c:pt idx="37">
                  <c:v>0.55555555555555558</c:v>
                </c:pt>
                <c:pt idx="38">
                  <c:v>0.5714285714285714</c:v>
                </c:pt>
                <c:pt idx="39">
                  <c:v>0.57534246575342463</c:v>
                </c:pt>
                <c:pt idx="40">
                  <c:v>0.58108108108108103</c:v>
                </c:pt>
                <c:pt idx="41">
                  <c:v>0.58108108108108103</c:v>
                </c:pt>
                <c:pt idx="42">
                  <c:v>0.58666666666666667</c:v>
                </c:pt>
                <c:pt idx="43">
                  <c:v>0.58974358974358976</c:v>
                </c:pt>
                <c:pt idx="44">
                  <c:v>0.58750000000000002</c:v>
                </c:pt>
                <c:pt idx="45">
                  <c:v>0.59523809523809523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63106796116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いちかわ2!$O$3:$O$48</c:f>
              <c:numCache>
                <c:formatCode>0.0%</c:formatCode>
                <c:ptCount val="46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  <c:pt idx="11">
                  <c:v>0.5625</c:v>
                </c:pt>
                <c:pt idx="12">
                  <c:v>0.55555555555555558</c:v>
                </c:pt>
                <c:pt idx="13">
                  <c:v>0.54545454545454541</c:v>
                </c:pt>
                <c:pt idx="14">
                  <c:v>0.59259259259259256</c:v>
                </c:pt>
                <c:pt idx="15">
                  <c:v>0.62068965517241381</c:v>
                </c:pt>
                <c:pt idx="16">
                  <c:v>0.59375</c:v>
                </c:pt>
                <c:pt idx="17">
                  <c:v>0.5714285714285714</c:v>
                </c:pt>
                <c:pt idx="18">
                  <c:v>0.58333333333333337</c:v>
                </c:pt>
                <c:pt idx="19">
                  <c:v>0.58974358974358976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  <c:pt idx="23">
                  <c:v>0.5714285714285714</c:v>
                </c:pt>
                <c:pt idx="24">
                  <c:v>0.53333333333333333</c:v>
                </c:pt>
                <c:pt idx="25">
                  <c:v>0.52173913043478259</c:v>
                </c:pt>
                <c:pt idx="26">
                  <c:v>0.51020408163265307</c:v>
                </c:pt>
                <c:pt idx="27">
                  <c:v>0.52941176470588236</c:v>
                </c:pt>
                <c:pt idx="28">
                  <c:v>0.50943396226415094</c:v>
                </c:pt>
                <c:pt idx="29">
                  <c:v>0.52727272727272723</c:v>
                </c:pt>
                <c:pt idx="30">
                  <c:v>0.53448275862068961</c:v>
                </c:pt>
                <c:pt idx="31">
                  <c:v>0.51666666666666672</c:v>
                </c:pt>
                <c:pt idx="32">
                  <c:v>0.5</c:v>
                </c:pt>
                <c:pt idx="33">
                  <c:v>0.49230769230769234</c:v>
                </c:pt>
                <c:pt idx="34">
                  <c:v>0.49230769230769234</c:v>
                </c:pt>
                <c:pt idx="35">
                  <c:v>0.48484848484848486</c:v>
                </c:pt>
                <c:pt idx="36">
                  <c:v>0.48484848484848486</c:v>
                </c:pt>
                <c:pt idx="37">
                  <c:v>0.47761194029850745</c:v>
                </c:pt>
                <c:pt idx="38">
                  <c:v>0.47826086956521741</c:v>
                </c:pt>
                <c:pt idx="39">
                  <c:v>0.48571428571428571</c:v>
                </c:pt>
                <c:pt idx="40">
                  <c:v>0.4861111111111111</c:v>
                </c:pt>
                <c:pt idx="41">
                  <c:v>0.49315068493150682</c:v>
                </c:pt>
                <c:pt idx="42">
                  <c:v>0.49333333333333335</c:v>
                </c:pt>
                <c:pt idx="43">
                  <c:v>0.49333333333333335</c:v>
                </c:pt>
                <c:pt idx="44">
                  <c:v>0.49367088607594939</c:v>
                </c:pt>
                <c:pt idx="45">
                  <c:v>0.48192771084337349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6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いちかわ2!$A$3:$A$48</c:f>
              <c:numCache>
                <c:formatCode>0\ "回"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いちかわ2!$P$3:$P$48</c:f>
              <c:numCache>
                <c:formatCode>0.0%</c:formatCode>
                <c:ptCount val="46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  <c:pt idx="11">
                  <c:v>0.42307692307692307</c:v>
                </c:pt>
                <c:pt idx="12">
                  <c:v>0.44827586206896552</c:v>
                </c:pt>
                <c:pt idx="13">
                  <c:v>0.46875</c:v>
                </c:pt>
                <c:pt idx="14">
                  <c:v>0.40540540540540543</c:v>
                </c:pt>
                <c:pt idx="15">
                  <c:v>0.36585365853658536</c:v>
                </c:pt>
                <c:pt idx="16">
                  <c:v>0.39534883720930231</c:v>
                </c:pt>
                <c:pt idx="17">
                  <c:v>0.37777777777777777</c:v>
                </c:pt>
                <c:pt idx="18">
                  <c:v>0.36170212765957449</c:v>
                </c:pt>
                <c:pt idx="19">
                  <c:v>0.39215686274509803</c:v>
                </c:pt>
                <c:pt idx="20">
                  <c:v>0.3888888888888889</c:v>
                </c:pt>
                <c:pt idx="21">
                  <c:v>0.3888888888888889</c:v>
                </c:pt>
                <c:pt idx="22">
                  <c:v>0.40350877192982454</c:v>
                </c:pt>
                <c:pt idx="23">
                  <c:v>0.39655172413793105</c:v>
                </c:pt>
                <c:pt idx="24">
                  <c:v>0.4</c:v>
                </c:pt>
                <c:pt idx="25">
                  <c:v>0.39344262295081966</c:v>
                </c:pt>
                <c:pt idx="26">
                  <c:v>0.4</c:v>
                </c:pt>
                <c:pt idx="27">
                  <c:v>0.38571428571428573</c:v>
                </c:pt>
                <c:pt idx="28">
                  <c:v>0.38028169014084506</c:v>
                </c:pt>
                <c:pt idx="29">
                  <c:v>0.4</c:v>
                </c:pt>
                <c:pt idx="30">
                  <c:v>0.4050632911392405</c:v>
                </c:pt>
                <c:pt idx="31">
                  <c:v>0.4</c:v>
                </c:pt>
                <c:pt idx="32">
                  <c:v>0.40243902439024393</c:v>
                </c:pt>
                <c:pt idx="33">
                  <c:v>0.40476190476190477</c:v>
                </c:pt>
                <c:pt idx="34">
                  <c:v>0.41176470588235292</c:v>
                </c:pt>
                <c:pt idx="35">
                  <c:v>0.40909090909090912</c:v>
                </c:pt>
                <c:pt idx="36">
                  <c:v>0.41111111111111109</c:v>
                </c:pt>
                <c:pt idx="37">
                  <c:v>0.41304347826086957</c:v>
                </c:pt>
                <c:pt idx="38">
                  <c:v>0.43</c:v>
                </c:pt>
                <c:pt idx="39">
                  <c:v>0.42718446601941745</c:v>
                </c:pt>
                <c:pt idx="40">
                  <c:v>0.43809523809523809</c:v>
                </c:pt>
                <c:pt idx="41">
                  <c:v>0.43396226415094341</c:v>
                </c:pt>
                <c:pt idx="42">
                  <c:v>0.44036697247706424</c:v>
                </c:pt>
                <c:pt idx="43">
                  <c:v>0.43243243243243246</c:v>
                </c:pt>
                <c:pt idx="44">
                  <c:v>0.42982456140350878</c:v>
                </c:pt>
                <c:pt idx="45">
                  <c:v>0.43220338983050849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2424242424242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8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44175.711134259262</v>
      </c>
      <c r="C48" s="2" t="s">
        <v>127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107</v>
      </c>
      <c r="C2" s="120">
        <v>1842.3339395535957</v>
      </c>
    </row>
    <row r="3" spans="1:3" x14ac:dyDescent="0.4">
      <c r="A3" t="s">
        <v>163</v>
      </c>
      <c r="B3" s="120">
        <v>70</v>
      </c>
      <c r="C3" s="120">
        <v>1653.1699313523677</v>
      </c>
    </row>
    <row r="4" spans="1:3" x14ac:dyDescent="0.4">
      <c r="A4" t="s">
        <v>139</v>
      </c>
      <c r="B4" s="120">
        <v>393</v>
      </c>
      <c r="C4" s="120">
        <v>1594.5463045050694</v>
      </c>
    </row>
    <row r="5" spans="1:3" x14ac:dyDescent="0.4">
      <c r="A5" t="s">
        <v>190</v>
      </c>
      <c r="B5" s="120">
        <v>34</v>
      </c>
      <c r="C5" s="120">
        <v>1524.3778689305989</v>
      </c>
    </row>
    <row r="6" spans="1:3" x14ac:dyDescent="0.4">
      <c r="A6" t="s">
        <v>192</v>
      </c>
      <c r="B6" s="120">
        <v>49</v>
      </c>
      <c r="C6" s="120">
        <v>1517.1288342047803</v>
      </c>
    </row>
    <row r="7" spans="1:3" x14ac:dyDescent="0.4">
      <c r="A7" t="s">
        <v>211</v>
      </c>
      <c r="B7" s="120">
        <v>45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43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3" t="s">
        <v>9</v>
      </c>
      <c r="C1" s="154"/>
      <c r="D1" s="151" t="s">
        <v>6</v>
      </c>
      <c r="E1" s="152"/>
      <c r="F1" s="151" t="s">
        <v>7</v>
      </c>
      <c r="G1" s="152"/>
      <c r="H1" s="153" t="s">
        <v>196</v>
      </c>
      <c r="I1" s="154"/>
      <c r="J1" s="151" t="s">
        <v>15</v>
      </c>
      <c r="K1" s="152"/>
      <c r="L1" s="151" t="s">
        <v>14</v>
      </c>
      <c r="M1" s="152"/>
      <c r="N1" s="151" t="s">
        <v>149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180</v>
      </c>
      <c r="AK1" s="152"/>
    </row>
    <row r="2" spans="1:37" x14ac:dyDescent="0.4">
      <c r="A2" s="36" t="s">
        <v>208</v>
      </c>
      <c r="B2" s="149">
        <v>0.9337619151242269</v>
      </c>
      <c r="C2" s="150"/>
      <c r="D2" s="149">
        <v>0.54231999810926845</v>
      </c>
      <c r="E2" s="150"/>
      <c r="F2" s="149">
        <v>0.4835132253190087</v>
      </c>
      <c r="G2" s="150"/>
      <c r="H2" s="155"/>
      <c r="I2" s="156"/>
      <c r="J2" s="149">
        <v>0.10407160317528324</v>
      </c>
      <c r="K2" s="150"/>
      <c r="L2" s="149">
        <v>-0.26782722756802746</v>
      </c>
      <c r="M2" s="150"/>
      <c r="N2" s="149">
        <v>0.42259867892655745</v>
      </c>
      <c r="O2" s="150"/>
      <c r="P2" s="149">
        <v>0.43505843975763886</v>
      </c>
      <c r="Q2" s="150"/>
      <c r="R2" s="149">
        <v>2.1745051369867395E-2</v>
      </c>
      <c r="S2" s="150"/>
      <c r="T2" s="149">
        <v>0.23063576878615183</v>
      </c>
      <c r="U2" s="150"/>
      <c r="V2" s="149">
        <v>0.23806592411916835</v>
      </c>
      <c r="W2" s="150"/>
      <c r="X2" s="149">
        <v>0.36990773410804462</v>
      </c>
      <c r="Y2" s="150"/>
      <c r="Z2" s="149">
        <v>0.25584226437257496</v>
      </c>
      <c r="AA2" s="150"/>
      <c r="AB2" s="149">
        <v>0.20024611949639262</v>
      </c>
      <c r="AC2" s="150"/>
      <c r="AD2" s="149">
        <v>-5.8278476721396175E-2</v>
      </c>
      <c r="AE2" s="150"/>
      <c r="AF2" s="149">
        <v>0.38936712827221986</v>
      </c>
      <c r="AG2" s="150"/>
      <c r="AH2" s="149">
        <v>-0.25507631737385167</v>
      </c>
      <c r="AI2" s="150"/>
      <c r="AJ2" s="149">
        <v>0.82857051673527737</v>
      </c>
      <c r="AK2" s="150"/>
    </row>
    <row r="3" spans="1:37" x14ac:dyDescent="0.4">
      <c r="A3" s="38">
        <v>1</v>
      </c>
      <c r="B3" s="41" t="s">
        <v>139</v>
      </c>
      <c r="C3" s="113">
        <v>131</v>
      </c>
      <c r="D3" s="39" t="s">
        <v>192</v>
      </c>
      <c r="E3" s="40">
        <v>248.19999999999993</v>
      </c>
      <c r="F3" s="41" t="s">
        <v>192</v>
      </c>
      <c r="G3" s="60">
        <v>5.0653061224489786</v>
      </c>
      <c r="H3" s="41" t="s">
        <v>126</v>
      </c>
      <c r="I3" s="45">
        <v>1769.3217685021916</v>
      </c>
      <c r="J3" s="41" t="s">
        <v>192</v>
      </c>
      <c r="K3" s="42">
        <v>1.8367346938775511</v>
      </c>
      <c r="L3" s="41" t="s">
        <v>195</v>
      </c>
      <c r="M3" s="43">
        <v>0.5</v>
      </c>
      <c r="N3" s="41" t="s">
        <v>190</v>
      </c>
      <c r="O3" s="43">
        <v>0.20588235294117646</v>
      </c>
      <c r="P3" s="41" t="s">
        <v>192</v>
      </c>
      <c r="Q3" s="44">
        <v>0.33412322274881517</v>
      </c>
      <c r="R3" s="41" t="s">
        <v>190</v>
      </c>
      <c r="S3" s="44">
        <v>9.1216216216216214E-2</v>
      </c>
      <c r="T3" s="41" t="s">
        <v>221</v>
      </c>
      <c r="U3" s="45">
        <v>10925</v>
      </c>
      <c r="V3" s="41" t="s">
        <v>190</v>
      </c>
      <c r="W3" s="45">
        <v>-6151.8518518518522</v>
      </c>
      <c r="X3" s="41" t="s">
        <v>193</v>
      </c>
      <c r="Y3" s="43">
        <v>0</v>
      </c>
      <c r="Z3" s="41" t="s">
        <v>163</v>
      </c>
      <c r="AA3" s="44">
        <v>0.28292682926829266</v>
      </c>
      <c r="AB3" s="41" t="s">
        <v>189</v>
      </c>
      <c r="AC3" s="44">
        <v>0.30026109660574413</v>
      </c>
      <c r="AD3" s="41" t="s">
        <v>195</v>
      </c>
      <c r="AE3" s="44">
        <v>0.69565217391304346</v>
      </c>
      <c r="AF3" s="41" t="s">
        <v>211</v>
      </c>
      <c r="AG3" s="44">
        <v>0.48192771084337349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107</v>
      </c>
      <c r="D4" s="47" t="s">
        <v>126</v>
      </c>
      <c r="E4" s="48">
        <v>218.2999999999999</v>
      </c>
      <c r="F4" s="49" t="s">
        <v>211</v>
      </c>
      <c r="G4" s="61">
        <v>3.5044444444444443</v>
      </c>
      <c r="H4" s="49" t="s">
        <v>163</v>
      </c>
      <c r="I4" s="53">
        <v>1624.9025722678316</v>
      </c>
      <c r="J4" s="49" t="s">
        <v>211</v>
      </c>
      <c r="K4" s="50">
        <v>1.9111111111111112</v>
      </c>
      <c r="L4" s="49" t="s">
        <v>192</v>
      </c>
      <c r="M4" s="51">
        <v>0.40816326530612246</v>
      </c>
      <c r="N4" s="49" t="s">
        <v>192</v>
      </c>
      <c r="O4" s="51">
        <v>0.24489795918367346</v>
      </c>
      <c r="P4" s="49" t="s">
        <v>126</v>
      </c>
      <c r="Q4" s="52">
        <v>0.32218506131549612</v>
      </c>
      <c r="R4" s="49" t="s">
        <v>192</v>
      </c>
      <c r="S4" s="52">
        <v>0.11611374407582939</v>
      </c>
      <c r="T4" s="49" t="s">
        <v>163</v>
      </c>
      <c r="U4" s="53">
        <v>9251.8292682926822</v>
      </c>
      <c r="V4" s="49" t="s">
        <v>211</v>
      </c>
      <c r="W4" s="53">
        <v>-6656.6037735849059</v>
      </c>
      <c r="X4" s="49" t="s">
        <v>221</v>
      </c>
      <c r="Y4" s="51">
        <v>0</v>
      </c>
      <c r="Z4" s="49" t="s">
        <v>190</v>
      </c>
      <c r="AA4" s="52">
        <v>0.26351351351351349</v>
      </c>
      <c r="AB4" s="49" t="s">
        <v>221</v>
      </c>
      <c r="AC4" s="52">
        <v>0.27777777777777779</v>
      </c>
      <c r="AD4" s="49" t="s">
        <v>201</v>
      </c>
      <c r="AE4" s="52">
        <v>0.66666666666666663</v>
      </c>
      <c r="AF4" s="49" t="s">
        <v>126</v>
      </c>
      <c r="AG4" s="52">
        <v>0.45263157894736844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70</v>
      </c>
      <c r="D5" s="47" t="s">
        <v>211</v>
      </c>
      <c r="E5" s="48">
        <v>157.69999999999999</v>
      </c>
      <c r="F5" s="49" t="s">
        <v>126</v>
      </c>
      <c r="G5" s="61">
        <v>2.0401869158878494</v>
      </c>
      <c r="H5" s="49" t="s">
        <v>139</v>
      </c>
      <c r="I5" s="53">
        <v>1608.5647175479548</v>
      </c>
      <c r="J5" s="49" t="s">
        <v>190</v>
      </c>
      <c r="K5" s="50">
        <v>1.911764705882353</v>
      </c>
      <c r="L5" s="49" t="s">
        <v>211</v>
      </c>
      <c r="M5" s="51">
        <v>0.4</v>
      </c>
      <c r="N5" s="49" t="s">
        <v>211</v>
      </c>
      <c r="O5" s="51">
        <v>0.31111111111111112</v>
      </c>
      <c r="P5" s="49" t="s">
        <v>211</v>
      </c>
      <c r="Q5" s="52">
        <v>0.30569948186528495</v>
      </c>
      <c r="R5" s="49" t="s">
        <v>211</v>
      </c>
      <c r="S5" s="52">
        <v>0.13730569948186527</v>
      </c>
      <c r="T5" s="49" t="s">
        <v>195</v>
      </c>
      <c r="U5" s="53">
        <v>8606.8965517241377</v>
      </c>
      <c r="V5" s="49" t="s">
        <v>126</v>
      </c>
      <c r="W5" s="53">
        <v>-7301.2738853503188</v>
      </c>
      <c r="X5" s="49" t="s">
        <v>259</v>
      </c>
      <c r="Y5" s="51">
        <v>0</v>
      </c>
      <c r="Z5" s="49" t="s">
        <v>189</v>
      </c>
      <c r="AA5" s="52">
        <v>0.26109660574412535</v>
      </c>
      <c r="AB5" s="49" t="s">
        <v>192</v>
      </c>
      <c r="AC5" s="52">
        <v>0.27488151658767773</v>
      </c>
      <c r="AD5" s="49" t="s">
        <v>259</v>
      </c>
      <c r="AE5" s="52">
        <v>0.66666666666666663</v>
      </c>
      <c r="AF5" s="49" t="s">
        <v>193</v>
      </c>
      <c r="AG5" s="52">
        <v>0.41666666666666669</v>
      </c>
      <c r="AH5" s="49" t="s">
        <v>195</v>
      </c>
      <c r="AI5" s="52">
        <v>0.55172413793103448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49</v>
      </c>
      <c r="D6" s="47" t="s">
        <v>190</v>
      </c>
      <c r="E6" s="48">
        <v>59.89999999999997</v>
      </c>
      <c r="F6" s="49" t="s">
        <v>190</v>
      </c>
      <c r="G6" s="61">
        <v>1.761764705882352</v>
      </c>
      <c r="H6" s="49" t="s">
        <v>192</v>
      </c>
      <c r="I6" s="53">
        <v>1578.1244171430706</v>
      </c>
      <c r="J6" s="49" t="s">
        <v>195</v>
      </c>
      <c r="K6" s="50">
        <v>1.9166666666666667</v>
      </c>
      <c r="L6" s="49" t="s">
        <v>189</v>
      </c>
      <c r="M6" s="51">
        <v>0.34883720930232559</v>
      </c>
      <c r="N6" s="49" t="s">
        <v>139</v>
      </c>
      <c r="O6" s="51">
        <v>0.33333333333333331</v>
      </c>
      <c r="P6" s="49" t="s">
        <v>139</v>
      </c>
      <c r="Q6" s="52">
        <v>0.29333333333333333</v>
      </c>
      <c r="R6" s="49" t="s">
        <v>139</v>
      </c>
      <c r="S6" s="52">
        <v>0.16148148148148148</v>
      </c>
      <c r="T6" s="49" t="s">
        <v>126</v>
      </c>
      <c r="U6" s="53">
        <v>8177.1626297577859</v>
      </c>
      <c r="V6" s="49" t="s">
        <v>201</v>
      </c>
      <c r="W6" s="53">
        <v>-7370</v>
      </c>
      <c r="X6" s="49" t="s">
        <v>211</v>
      </c>
      <c r="Y6" s="51">
        <v>4.4444444444444446E-2</v>
      </c>
      <c r="Z6" s="49" t="s">
        <v>126</v>
      </c>
      <c r="AA6" s="52">
        <v>0.24860646599777034</v>
      </c>
      <c r="AB6" s="49" t="s">
        <v>139</v>
      </c>
      <c r="AC6" s="52">
        <v>0.22755555555555557</v>
      </c>
      <c r="AD6" s="49" t="s">
        <v>211</v>
      </c>
      <c r="AE6" s="52">
        <v>0.59523809523809523</v>
      </c>
      <c r="AF6" s="49" t="s">
        <v>192</v>
      </c>
      <c r="AG6" s="52">
        <v>0.41379310344827586</v>
      </c>
      <c r="AH6" s="49" t="s">
        <v>259</v>
      </c>
      <c r="AI6" s="52">
        <v>0.5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45</v>
      </c>
      <c r="D7" s="47" t="s">
        <v>139</v>
      </c>
      <c r="E7" s="48">
        <v>4.6185277824406512E-14</v>
      </c>
      <c r="F7" s="49" t="s">
        <v>139</v>
      </c>
      <c r="G7" s="61">
        <v>1.1751979090179773E-16</v>
      </c>
      <c r="H7" s="49" t="s">
        <v>190</v>
      </c>
      <c r="I7" s="53">
        <v>1552.0582707777592</v>
      </c>
      <c r="J7" s="49" t="s">
        <v>139</v>
      </c>
      <c r="K7" s="50">
        <v>1.9974554707379135</v>
      </c>
      <c r="L7" s="49" t="s">
        <v>126</v>
      </c>
      <c r="M7" s="51">
        <v>0.3364485981308411</v>
      </c>
      <c r="N7" s="49" t="s">
        <v>126</v>
      </c>
      <c r="O7" s="51">
        <v>0.3364485981308411</v>
      </c>
      <c r="P7" s="49" t="s">
        <v>189</v>
      </c>
      <c r="Q7" s="52">
        <v>0.28720626631853785</v>
      </c>
      <c r="R7" s="49" t="s">
        <v>195</v>
      </c>
      <c r="S7" s="52">
        <v>0.1650485436893204</v>
      </c>
      <c r="T7" s="49" t="s">
        <v>139</v>
      </c>
      <c r="U7" s="53">
        <v>8075.5555555555557</v>
      </c>
      <c r="V7" s="49" t="s">
        <v>139</v>
      </c>
      <c r="W7" s="53">
        <v>-7616.6972477064219</v>
      </c>
      <c r="X7" s="49" t="s">
        <v>190</v>
      </c>
      <c r="Y7" s="51">
        <v>5.8823529411764705E-2</v>
      </c>
      <c r="Z7" s="49" t="s">
        <v>139</v>
      </c>
      <c r="AA7" s="52">
        <v>0.24414814814814814</v>
      </c>
      <c r="AB7" s="49" t="s">
        <v>163</v>
      </c>
      <c r="AC7" s="52">
        <v>0.22601626016260162</v>
      </c>
      <c r="AD7" s="49" t="s">
        <v>126</v>
      </c>
      <c r="AE7" s="52">
        <v>0.57399103139013452</v>
      </c>
      <c r="AF7" s="49" t="s">
        <v>189</v>
      </c>
      <c r="AG7" s="52">
        <v>0.40869565217391307</v>
      </c>
      <c r="AH7" s="49" t="s">
        <v>189</v>
      </c>
      <c r="AI7" s="52">
        <v>0.47272727272727272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43</v>
      </c>
      <c r="D8" s="47" t="s">
        <v>221</v>
      </c>
      <c r="E8" s="48">
        <v>-13.5</v>
      </c>
      <c r="F8" s="49" t="s">
        <v>163</v>
      </c>
      <c r="G8" s="61">
        <v>-1.9257142857142855</v>
      </c>
      <c r="H8" s="49" t="s">
        <v>211</v>
      </c>
      <c r="I8" s="53">
        <v>1534.3633776946201</v>
      </c>
      <c r="J8" s="49" t="s">
        <v>126</v>
      </c>
      <c r="K8" s="50">
        <v>2</v>
      </c>
      <c r="L8" s="49" t="s">
        <v>139</v>
      </c>
      <c r="M8" s="51">
        <v>0.33587786259541985</v>
      </c>
      <c r="N8" s="49" t="s">
        <v>163</v>
      </c>
      <c r="O8" s="51">
        <v>0.34285714285714286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7982.0512820512822</v>
      </c>
      <c r="V8" s="49" t="s">
        <v>195</v>
      </c>
      <c r="W8" s="53">
        <v>-7629.411764705882</v>
      </c>
      <c r="X8" s="49" t="s">
        <v>126</v>
      </c>
      <c r="Y8" s="51">
        <v>7.476635514018691E-2</v>
      </c>
      <c r="Z8" s="49" t="s">
        <v>259</v>
      </c>
      <c r="AA8" s="52">
        <v>0.24</v>
      </c>
      <c r="AB8" s="49" t="s">
        <v>193</v>
      </c>
      <c r="AC8" s="52">
        <v>0.22222222222222221</v>
      </c>
      <c r="AD8" s="49" t="s">
        <v>192</v>
      </c>
      <c r="AE8" s="52">
        <v>0.52941176470588236</v>
      </c>
      <c r="AF8" s="49" t="s">
        <v>139</v>
      </c>
      <c r="AG8" s="52">
        <v>0.40625</v>
      </c>
      <c r="AH8" s="49" t="s">
        <v>126</v>
      </c>
      <c r="AI8" s="52">
        <v>0.47058823529411764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34</v>
      </c>
      <c r="D9" s="47" t="s">
        <v>195</v>
      </c>
      <c r="E9" s="48">
        <v>-39.5</v>
      </c>
      <c r="F9" s="49" t="s">
        <v>189</v>
      </c>
      <c r="G9" s="61">
        <v>-2.5604651162790697</v>
      </c>
      <c r="H9" s="49" t="s">
        <v>221</v>
      </c>
      <c r="I9" s="53">
        <v>1497.379788</v>
      </c>
      <c r="J9" s="49" t="s">
        <v>163</v>
      </c>
      <c r="K9" s="50">
        <v>2.0285714285714285</v>
      </c>
      <c r="L9" s="49" t="s">
        <v>163</v>
      </c>
      <c r="M9" s="51">
        <v>0.31428571428571428</v>
      </c>
      <c r="N9" s="49" t="s">
        <v>189</v>
      </c>
      <c r="O9" s="51">
        <v>0.39534883720930231</v>
      </c>
      <c r="P9" s="49" t="s">
        <v>163</v>
      </c>
      <c r="Q9" s="52">
        <v>0.26666666666666666</v>
      </c>
      <c r="R9" s="49" t="s">
        <v>189</v>
      </c>
      <c r="S9" s="52">
        <v>0.16971279373368145</v>
      </c>
      <c r="T9" s="49" t="s">
        <v>193</v>
      </c>
      <c r="U9" s="53">
        <v>7866.666666666667</v>
      </c>
      <c r="V9" s="49" t="s">
        <v>192</v>
      </c>
      <c r="W9" s="53">
        <v>-7693.8775510204077</v>
      </c>
      <c r="X9" s="49" t="s">
        <v>192</v>
      </c>
      <c r="Y9" s="51">
        <v>8.1632653061224483E-2</v>
      </c>
      <c r="Z9" s="49" t="s">
        <v>216</v>
      </c>
      <c r="AA9" s="52">
        <v>0.22857142857142856</v>
      </c>
      <c r="AB9" s="49" t="s">
        <v>201</v>
      </c>
      <c r="AC9" s="52">
        <v>0.22222222222222221</v>
      </c>
      <c r="AD9" s="49" t="s">
        <v>139</v>
      </c>
      <c r="AE9" s="52">
        <v>0.52063106796116509</v>
      </c>
      <c r="AF9" s="49" t="s">
        <v>221</v>
      </c>
      <c r="AG9" s="52">
        <v>0.4</v>
      </c>
      <c r="AH9" s="49" t="s">
        <v>163</v>
      </c>
      <c r="AI9" s="52">
        <v>0.45121951219512196</v>
      </c>
      <c r="AJ9" s="49" t="s">
        <v>190</v>
      </c>
      <c r="AK9" s="56">
        <v>85000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259</v>
      </c>
      <c r="E10" s="48">
        <v>-50</v>
      </c>
      <c r="F10" s="49" t="s">
        <v>195</v>
      </c>
      <c r="G10" s="61">
        <v>-3.2916666666666665</v>
      </c>
      <c r="H10" s="49" t="s">
        <v>259</v>
      </c>
      <c r="I10" s="53">
        <v>1493.0891304000002</v>
      </c>
      <c r="J10" s="49" t="s">
        <v>189</v>
      </c>
      <c r="K10" s="50">
        <v>2.0465116279069768</v>
      </c>
      <c r="L10" s="49" t="s">
        <v>190</v>
      </c>
      <c r="M10" s="51">
        <v>0.29411764705882354</v>
      </c>
      <c r="N10" s="49" t="s">
        <v>195</v>
      </c>
      <c r="O10" s="51">
        <v>0.41666666666666669</v>
      </c>
      <c r="P10" s="49" t="s">
        <v>190</v>
      </c>
      <c r="Q10" s="52">
        <v>0.26351351351351349</v>
      </c>
      <c r="R10" s="49" t="s">
        <v>126</v>
      </c>
      <c r="S10" s="52">
        <v>0.17502787068004461</v>
      </c>
      <c r="T10" s="49" t="s">
        <v>211</v>
      </c>
      <c r="U10" s="53">
        <v>7850</v>
      </c>
      <c r="V10" s="49" t="s">
        <v>216</v>
      </c>
      <c r="W10" s="53">
        <v>-7886.2068965517237</v>
      </c>
      <c r="X10" s="49" t="s">
        <v>139</v>
      </c>
      <c r="Y10" s="51">
        <v>8.9058524173027995E-2</v>
      </c>
      <c r="Z10" s="49" t="s">
        <v>195</v>
      </c>
      <c r="AA10" s="52">
        <v>0.22330097087378642</v>
      </c>
      <c r="AB10" s="49" t="s">
        <v>211</v>
      </c>
      <c r="AC10" s="52">
        <v>0.21502590673575128</v>
      </c>
      <c r="AD10" s="49" t="s">
        <v>190</v>
      </c>
      <c r="AE10" s="52">
        <v>0.51282051282051277</v>
      </c>
      <c r="AF10" s="49" t="s">
        <v>190</v>
      </c>
      <c r="AG10" s="52">
        <v>0.37931034482758619</v>
      </c>
      <c r="AH10" s="49" t="s">
        <v>139</v>
      </c>
      <c r="AI10" s="52">
        <v>0.44242424242424244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201</v>
      </c>
      <c r="E11" s="48">
        <v>-77.699999999999989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201</v>
      </c>
      <c r="Q11" s="52">
        <v>0.25</v>
      </c>
      <c r="R11" s="49" t="s">
        <v>163</v>
      </c>
      <c r="S11" s="52">
        <v>0.19186991869918699</v>
      </c>
      <c r="T11" s="49" t="s">
        <v>189</v>
      </c>
      <c r="U11" s="53">
        <v>7535.454545454545</v>
      </c>
      <c r="V11" s="49" t="s">
        <v>163</v>
      </c>
      <c r="W11" s="53">
        <v>-7953.3898305084749</v>
      </c>
      <c r="X11" s="49" t="s">
        <v>189</v>
      </c>
      <c r="Y11" s="51">
        <v>9.3023255813953487E-2</v>
      </c>
      <c r="Z11" s="49" t="s">
        <v>221</v>
      </c>
      <c r="AA11" s="52">
        <v>0.22222222222222221</v>
      </c>
      <c r="AB11" s="49" t="s">
        <v>126</v>
      </c>
      <c r="AC11" s="52">
        <v>0.21181716833890746</v>
      </c>
      <c r="AD11" s="49" t="s">
        <v>163</v>
      </c>
      <c r="AE11" s="52">
        <v>0.47126436781609193</v>
      </c>
      <c r="AF11" s="49" t="s">
        <v>195</v>
      </c>
      <c r="AG11" s="52">
        <v>0.35714285714285715</v>
      </c>
      <c r="AH11" s="49" t="s">
        <v>216</v>
      </c>
      <c r="AI11" s="52">
        <v>0.43333333333333335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193</v>
      </c>
      <c r="E12" s="48">
        <v>-78.199999999999989</v>
      </c>
      <c r="F12" s="49" t="s">
        <v>216</v>
      </c>
      <c r="G12" s="61">
        <v>-10.016666666666667</v>
      </c>
      <c r="H12" s="49" t="s">
        <v>216</v>
      </c>
      <c r="I12" s="53">
        <v>1475.2783888604056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192</v>
      </c>
      <c r="U12" s="53">
        <v>7300</v>
      </c>
      <c r="V12" s="49" t="s">
        <v>189</v>
      </c>
      <c r="W12" s="53">
        <v>-8520</v>
      </c>
      <c r="X12" s="49" t="s">
        <v>216</v>
      </c>
      <c r="Y12" s="51">
        <v>0.1111111111111111</v>
      </c>
      <c r="Z12" s="49" t="s">
        <v>211</v>
      </c>
      <c r="AA12" s="52">
        <v>0.21761658031088082</v>
      </c>
      <c r="AB12" s="49" t="s">
        <v>190</v>
      </c>
      <c r="AC12" s="52">
        <v>0.19594594594594594</v>
      </c>
      <c r="AD12" s="49" t="s">
        <v>216</v>
      </c>
      <c r="AE12" s="52">
        <v>0.4375</v>
      </c>
      <c r="AF12" s="49" t="s">
        <v>163</v>
      </c>
      <c r="AG12" s="52">
        <v>0.33812949640287771</v>
      </c>
      <c r="AH12" s="49" t="s">
        <v>211</v>
      </c>
      <c r="AI12" s="52">
        <v>0.43220338983050849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189</v>
      </c>
      <c r="E13" s="48">
        <v>-110.1</v>
      </c>
      <c r="F13" s="49" t="s">
        <v>193</v>
      </c>
      <c r="G13" s="61">
        <v>-13.033333333333331</v>
      </c>
      <c r="H13" s="49" t="s">
        <v>189</v>
      </c>
      <c r="I13" s="53">
        <v>1448.7493412538377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193</v>
      </c>
      <c r="Q13" s="52">
        <v>0.22222222222222221</v>
      </c>
      <c r="R13" s="49" t="s">
        <v>216</v>
      </c>
      <c r="S13" s="52">
        <v>0.20714285714285716</v>
      </c>
      <c r="T13" s="49" t="s">
        <v>259</v>
      </c>
      <c r="U13" s="53">
        <v>7216.666666666667</v>
      </c>
      <c r="V13" s="49" t="s">
        <v>193</v>
      </c>
      <c r="W13" s="53">
        <v>-8875</v>
      </c>
      <c r="X13" s="49" t="s">
        <v>163</v>
      </c>
      <c r="Y13" s="51">
        <v>0.14285714285714285</v>
      </c>
      <c r="Z13" s="49" t="s">
        <v>192</v>
      </c>
      <c r="AA13" s="52">
        <v>0.2014218009478673</v>
      </c>
      <c r="AB13" s="49" t="s">
        <v>216</v>
      </c>
      <c r="AC13" s="52">
        <v>0.17142857142857143</v>
      </c>
      <c r="AD13" s="49" t="s">
        <v>189</v>
      </c>
      <c r="AE13" s="52">
        <v>0.43</v>
      </c>
      <c r="AF13" s="49" t="s">
        <v>216</v>
      </c>
      <c r="AG13" s="52">
        <v>0.29166666666666669</v>
      </c>
      <c r="AH13" s="49" t="s">
        <v>192</v>
      </c>
      <c r="AI13" s="52">
        <v>0.3971631205673759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-134.79999999999998</v>
      </c>
      <c r="F14" s="49" t="s">
        <v>259</v>
      </c>
      <c r="G14" s="61">
        <v>-16.666666666666668</v>
      </c>
      <c r="H14" s="49" t="s">
        <v>195</v>
      </c>
      <c r="I14" s="53">
        <v>1396.3170423346389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221</v>
      </c>
      <c r="Q14" s="52">
        <v>0.22222222222222221</v>
      </c>
      <c r="R14" s="49" t="s">
        <v>193</v>
      </c>
      <c r="S14" s="52">
        <v>0.22222222222222221</v>
      </c>
      <c r="T14" s="49" t="s">
        <v>216</v>
      </c>
      <c r="U14" s="53">
        <v>7183.333333333333</v>
      </c>
      <c r="V14" s="49" t="s">
        <v>259</v>
      </c>
      <c r="W14" s="53">
        <v>-9420</v>
      </c>
      <c r="X14" s="49" t="s">
        <v>195</v>
      </c>
      <c r="Y14" s="51">
        <v>0.16666666666666666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0.32051282051282054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216</v>
      </c>
      <c r="E15" s="48">
        <v>-180.3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216</v>
      </c>
      <c r="Q15" s="52">
        <v>0.21428571428571427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0.13592233009708737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9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393</v>
      </c>
      <c r="C2" s="142"/>
      <c r="E2" s="26" t="s">
        <v>66</v>
      </c>
      <c r="F2" s="23" t="s">
        <v>22</v>
      </c>
      <c r="G2" s="11">
        <v>766</v>
      </c>
      <c r="H2" s="87">
        <f>IF(B$20=0,0,G2/B$20)</f>
        <v>0.77373737373737372</v>
      </c>
      <c r="I2" s="57">
        <v>7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-38.167938931297712</v>
      </c>
      <c r="Q2" s="76">
        <v>393</v>
      </c>
      <c r="R2" s="63">
        <v>-15000</v>
      </c>
    </row>
    <row r="3" spans="1:18" x14ac:dyDescent="0.4">
      <c r="A3" s="19" t="s">
        <v>8</v>
      </c>
      <c r="B3" s="143">
        <v>3375</v>
      </c>
      <c r="C3" s="144"/>
      <c r="E3" s="27" t="s">
        <v>72</v>
      </c>
      <c r="F3" s="24" t="s">
        <v>27</v>
      </c>
      <c r="G3" s="12">
        <v>595</v>
      </c>
      <c r="H3" s="88">
        <f>IF(B$20=0,0,G3/B$20)</f>
        <v>0.60101010101010099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18.229166666666668</v>
      </c>
      <c r="Q3" s="77">
        <v>384</v>
      </c>
      <c r="R3" s="64">
        <v>7000</v>
      </c>
    </row>
    <row r="4" spans="1:18" x14ac:dyDescent="0.4">
      <c r="A4" s="19" t="s">
        <v>6</v>
      </c>
      <c r="B4" s="145">
        <v>4.6185277824406512E-14</v>
      </c>
      <c r="C4" s="146"/>
      <c r="E4" s="27" t="s">
        <v>64</v>
      </c>
      <c r="F4" s="24" t="s">
        <v>20</v>
      </c>
      <c r="G4" s="12">
        <v>414</v>
      </c>
      <c r="H4" s="88">
        <f>IF(B$20=0,0,G4/B$20)</f>
        <v>0.41818181818181815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384</v>
      </c>
      <c r="R4" s="64">
        <v>0</v>
      </c>
    </row>
    <row r="5" spans="1:18" x14ac:dyDescent="0.4">
      <c r="A5" s="19" t="s">
        <v>7</v>
      </c>
      <c r="B5" s="133">
        <f>IF(B$2=0,0,B$4/B$2)</f>
        <v>1.1751979090179773E-16</v>
      </c>
      <c r="C5" s="134"/>
      <c r="E5" s="27" t="s">
        <v>159</v>
      </c>
      <c r="F5" s="24" t="s">
        <v>160</v>
      </c>
      <c r="G5" s="12">
        <v>397</v>
      </c>
      <c r="H5" s="88">
        <f>IF(B$20=0,0,G5/B$20)</f>
        <v>0.40101010101010098</v>
      </c>
      <c r="I5" s="58">
        <v>7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-2.7548209366391183</v>
      </c>
      <c r="Q5" s="77">
        <v>363</v>
      </c>
      <c r="R5" s="64">
        <v>-1000</v>
      </c>
    </row>
    <row r="6" spans="1:18" x14ac:dyDescent="0.4">
      <c r="A6" s="19" t="s">
        <v>196</v>
      </c>
      <c r="B6" s="137">
        <v>1608.5647175479548</v>
      </c>
      <c r="C6" s="138"/>
      <c r="E6" s="27" t="s">
        <v>68</v>
      </c>
      <c r="F6" s="24" t="s">
        <v>12</v>
      </c>
      <c r="G6" s="12">
        <v>298</v>
      </c>
      <c r="H6" s="88">
        <f>IF(B$20=0,0,G6/B$20)</f>
        <v>0.30101010101010101</v>
      </c>
      <c r="I6" s="58">
        <v>7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12.012012012012011</v>
      </c>
      <c r="Q6" s="77">
        <v>333</v>
      </c>
      <c r="R6" s="64">
        <v>4000</v>
      </c>
    </row>
    <row r="7" spans="1:18" x14ac:dyDescent="0.4">
      <c r="A7" s="19" t="s">
        <v>1</v>
      </c>
      <c r="B7" s="147">
        <f>IF(B$2=0,0,(B$8*1+B$9*2+B$10*3)/B$2)</f>
        <v>1.9974554707379135</v>
      </c>
      <c r="C7" s="148"/>
      <c r="E7" s="27" t="s">
        <v>67</v>
      </c>
      <c r="F7" s="24" t="s">
        <v>23</v>
      </c>
      <c r="G7" s="12">
        <v>213</v>
      </c>
      <c r="H7" s="88">
        <f>IF(B$20=0,0,G7/B$20)</f>
        <v>0.21515151515151515</v>
      </c>
      <c r="I7" s="58">
        <v>9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17.361111111111111</v>
      </c>
      <c r="Q7" s="78">
        <v>288</v>
      </c>
      <c r="R7" s="65">
        <v>5000</v>
      </c>
    </row>
    <row r="8" spans="1:18" x14ac:dyDescent="0.4">
      <c r="A8" s="19" t="s">
        <v>2</v>
      </c>
      <c r="B8" s="12">
        <v>132</v>
      </c>
      <c r="C8" s="6">
        <f t="shared" ref="C8:C15" si="1">IF(B$2=0,0,B8/B$2)</f>
        <v>0.33587786259541985</v>
      </c>
      <c r="E8" s="27" t="s">
        <v>69</v>
      </c>
      <c r="F8" s="24" t="s">
        <v>24</v>
      </c>
      <c r="G8" s="12">
        <v>132</v>
      </c>
      <c r="H8" s="88">
        <f>IF(B$20=0,0,G8/B$20)</f>
        <v>0.13333333333333333</v>
      </c>
      <c r="I8" s="58">
        <v>5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130</v>
      </c>
      <c r="C9" s="6">
        <f t="shared" si="1"/>
        <v>0.33078880407124683</v>
      </c>
      <c r="E9" s="27" t="s">
        <v>89</v>
      </c>
      <c r="F9" s="24" t="s">
        <v>44</v>
      </c>
      <c r="G9" s="12">
        <v>132</v>
      </c>
      <c r="H9" s="88">
        <f>IF(B$20=0,0,G9/B$20)</f>
        <v>0.13333333333333333</v>
      </c>
      <c r="I9" s="58">
        <v>6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131</v>
      </c>
      <c r="C10" s="7">
        <f t="shared" si="1"/>
        <v>0.33333333333333331</v>
      </c>
      <c r="E10" s="27" t="s">
        <v>70</v>
      </c>
      <c r="F10" s="24" t="s">
        <v>25</v>
      </c>
      <c r="G10" s="12">
        <v>99</v>
      </c>
      <c r="H10" s="88">
        <f>IF(B$20=0,0,G10/B$20)</f>
        <v>0.1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2.9282442748091606</v>
      </c>
      <c r="Q10" s="76">
        <v>131</v>
      </c>
      <c r="R10" s="67">
        <v>383.6</v>
      </c>
    </row>
    <row r="11" spans="1:18" x14ac:dyDescent="0.4">
      <c r="A11" s="20" t="s">
        <v>184</v>
      </c>
      <c r="B11" s="109">
        <f>IF(B8=0,0,C11/B8)</f>
        <v>34.372727272727261</v>
      </c>
      <c r="C11" s="110">
        <v>4537.199999999998</v>
      </c>
      <c r="E11" s="27" t="s">
        <v>65</v>
      </c>
      <c r="F11" s="24" t="s">
        <v>21</v>
      </c>
      <c r="G11" s="12">
        <v>91</v>
      </c>
      <c r="H11" s="88">
        <f>IF(B$20=0,0,G11/B$20)</f>
        <v>9.1919191919191914E-2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-2.8007633587786249</v>
      </c>
      <c r="Q11" s="77">
        <v>131</v>
      </c>
      <c r="R11" s="68">
        <v>-366.89999999999986</v>
      </c>
    </row>
    <row r="12" spans="1:18" x14ac:dyDescent="0.4">
      <c r="A12" s="20" t="s">
        <v>185</v>
      </c>
      <c r="B12" s="109">
        <f>IF(B9=0,0,C12/B9)</f>
        <v>-0.75538461538461543</v>
      </c>
      <c r="C12" s="110">
        <v>-98.2</v>
      </c>
      <c r="E12" s="27" t="s">
        <v>71</v>
      </c>
      <c r="F12" s="24" t="s">
        <v>26</v>
      </c>
      <c r="G12" s="12">
        <v>61</v>
      </c>
      <c r="H12" s="88">
        <f>IF(B$20=0,0,G12/B$20)</f>
        <v>6.1616161616161617E-2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-0.12748091603053413</v>
      </c>
      <c r="Q12" s="78">
        <v>131</v>
      </c>
      <c r="R12" s="69">
        <v>-16.699999999999971</v>
      </c>
    </row>
    <row r="13" spans="1:18" x14ac:dyDescent="0.4">
      <c r="A13" s="20" t="s">
        <v>186</v>
      </c>
      <c r="B13" s="109">
        <f>IF(B10=0,0,C13/B10)</f>
        <v>-33.885496183206101</v>
      </c>
      <c r="C13" s="110">
        <v>-4438.9999999999991</v>
      </c>
      <c r="E13" s="27" t="s">
        <v>86</v>
      </c>
      <c r="F13" s="24" t="s">
        <v>41</v>
      </c>
      <c r="G13" s="12">
        <v>51</v>
      </c>
      <c r="H13" s="88">
        <f>IF(B$20=0,0,G13/B$20)</f>
        <v>5.1515151515151514E-2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-8.9384508621151326E-2</v>
      </c>
      <c r="C14" s="134"/>
      <c r="E14" s="27" t="s">
        <v>83</v>
      </c>
      <c r="F14" s="24" t="s">
        <v>38</v>
      </c>
      <c r="G14" s="12">
        <v>43</v>
      </c>
      <c r="H14" s="88">
        <f>IF(B$20=0,0,G14/B$20)</f>
        <v>4.3434343434343436E-2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35</v>
      </c>
      <c r="C15" s="9">
        <f t="shared" si="1"/>
        <v>8.9058524173027995E-2</v>
      </c>
      <c r="E15" s="27" t="s">
        <v>81</v>
      </c>
      <c r="F15" s="24" t="s">
        <v>36</v>
      </c>
      <c r="G15" s="12">
        <v>30</v>
      </c>
      <c r="H15" s="88">
        <f>IF(B$20=0,0,G15/B$20)</f>
        <v>3.0303030303030304E-2</v>
      </c>
      <c r="I15" s="58">
        <v>9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824</v>
      </c>
      <c r="C16" s="10">
        <f>IF(B$3=0,0,B16/B$3)</f>
        <v>0.24414814814814814</v>
      </c>
      <c r="E16" s="27" t="s">
        <v>78</v>
      </c>
      <c r="F16" s="24" t="s">
        <v>33</v>
      </c>
      <c r="G16" s="12">
        <v>27</v>
      </c>
      <c r="H16" s="88">
        <f>IF(B$20=0,0,G16/B$20)</f>
        <v>2.7272727272727271E-2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768</v>
      </c>
      <c r="C17" s="6">
        <f>IF(B$3=0,0,B17/B$3)</f>
        <v>0.22755555555555557</v>
      </c>
      <c r="E17" s="27" t="s">
        <v>91</v>
      </c>
      <c r="F17" s="24" t="s">
        <v>46</v>
      </c>
      <c r="G17" s="12">
        <v>18</v>
      </c>
      <c r="H17" s="88">
        <f>IF(B$20=0,0,G17/B$20)</f>
        <v>1.8181818181818181E-2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429</v>
      </c>
      <c r="C18" s="5">
        <f>IF(B$16=0,0,B18/B$16)</f>
        <v>0.52063106796116509</v>
      </c>
      <c r="E18" s="27" t="s">
        <v>155</v>
      </c>
      <c r="F18" s="24" t="s">
        <v>156</v>
      </c>
      <c r="G18" s="12">
        <v>18</v>
      </c>
      <c r="H18" s="88">
        <f>IF(B$20=0,0,G18/B$20)</f>
        <v>1.8181818181818181E-2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216</v>
      </c>
      <c r="P18" s="83">
        <f>IF(Q18=0,0,R18/Q18)</f>
        <v>15.025000000000002</v>
      </c>
      <c r="Q18" s="77">
        <v>36</v>
      </c>
      <c r="R18" s="68">
        <v>540.90000000000009</v>
      </c>
    </row>
    <row r="19" spans="1:18" x14ac:dyDescent="0.4">
      <c r="A19" s="18" t="s">
        <v>124</v>
      </c>
      <c r="B19" s="11">
        <f>B25</f>
        <v>312</v>
      </c>
      <c r="C19" s="5">
        <f>IF(B$17=0,0,B19/B$17)</f>
        <v>0.40625</v>
      </c>
      <c r="E19" s="27" t="s">
        <v>79</v>
      </c>
      <c r="F19" s="24" t="s">
        <v>34</v>
      </c>
      <c r="G19" s="12">
        <v>15</v>
      </c>
      <c r="H19" s="88">
        <f>IF(B$20=0,0,G19/B$20)</f>
        <v>1.5151515151515152E-2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990</v>
      </c>
      <c r="C20" s="5">
        <f>IF(B$3=0,0,B20/B$3)</f>
        <v>0.29333333333333333</v>
      </c>
      <c r="E20" s="27" t="s">
        <v>73</v>
      </c>
      <c r="F20" s="24" t="s">
        <v>28</v>
      </c>
      <c r="G20" s="12">
        <v>9</v>
      </c>
      <c r="H20" s="88">
        <f>IF(B$20=0,0,G20/B$20)</f>
        <v>9.0909090909090905E-3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195</v>
      </c>
      <c r="P20" s="83">
        <f>IF(Q20=0,0,R20/Q20)</f>
        <v>4.9375000000000036</v>
      </c>
      <c r="Q20" s="77">
        <v>24</v>
      </c>
      <c r="R20" s="68">
        <v>118.50000000000009</v>
      </c>
    </row>
    <row r="21" spans="1:18" x14ac:dyDescent="0.4">
      <c r="A21" s="19" t="s">
        <v>13</v>
      </c>
      <c r="B21" s="12">
        <v>545</v>
      </c>
      <c r="C21" s="6">
        <f>IF(B$3=0,0,B21/B$3)</f>
        <v>0.16148148148148148</v>
      </c>
      <c r="E21" s="27" t="s">
        <v>75</v>
      </c>
      <c r="F21" s="24" t="s">
        <v>30</v>
      </c>
      <c r="G21" s="12">
        <v>4</v>
      </c>
      <c r="H21" s="88">
        <f>IF(B$20=0,0,G21/B$20)</f>
        <v>4.0404040404040404E-3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3.8406976744186054</v>
      </c>
      <c r="Q21" s="77">
        <v>86</v>
      </c>
      <c r="R21" s="68">
        <v>330.30000000000007</v>
      </c>
    </row>
    <row r="22" spans="1:18" x14ac:dyDescent="0.4">
      <c r="A22" s="19" t="s">
        <v>12</v>
      </c>
      <c r="B22" s="12">
        <v>438</v>
      </c>
      <c r="C22" s="6">
        <f>IF(B$20=0,0,B22/B$20)</f>
        <v>0.44242424242424244</v>
      </c>
      <c r="E22" s="27" t="s">
        <v>77</v>
      </c>
      <c r="F22" s="24" t="s">
        <v>32</v>
      </c>
      <c r="G22" s="12">
        <v>4</v>
      </c>
      <c r="H22" s="88">
        <f>IF(B$20=0,0,G22/B$20)</f>
        <v>4.0404040404040404E-3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2.8885714285714288</v>
      </c>
      <c r="Q22" s="77">
        <v>140</v>
      </c>
      <c r="R22" s="68">
        <v>404.40000000000003</v>
      </c>
    </row>
    <row r="23" spans="1:18" x14ac:dyDescent="0.4">
      <c r="A23" s="19" t="s">
        <v>11</v>
      </c>
      <c r="B23" s="12">
        <v>552</v>
      </c>
      <c r="C23" s="6">
        <f>IF(B$20=0,0,B23/B$20)</f>
        <v>0.55757575757575761</v>
      </c>
      <c r="E23" s="27" t="s">
        <v>85</v>
      </c>
      <c r="F23" s="24" t="s">
        <v>40</v>
      </c>
      <c r="G23" s="12">
        <v>4</v>
      </c>
      <c r="H23" s="88">
        <f>IF(B$20=0,0,G23/B$20)</f>
        <v>4.0404040404040404E-3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190</v>
      </c>
      <c r="P23" s="83">
        <f>IF(Q23=0,0,R23/Q23)</f>
        <v>-2.6426470588235293</v>
      </c>
      <c r="Q23" s="77">
        <v>68</v>
      </c>
      <c r="R23" s="68">
        <v>-179.7</v>
      </c>
    </row>
    <row r="24" spans="1:18" x14ac:dyDescent="0.4">
      <c r="A24" s="19" t="s">
        <v>183</v>
      </c>
      <c r="B24" s="12">
        <v>429</v>
      </c>
      <c r="C24" s="6">
        <f>IF(B$20=0,0,B24/B$20)</f>
        <v>0.43333333333333335</v>
      </c>
      <c r="E24" s="27" t="s">
        <v>88</v>
      </c>
      <c r="F24" s="24" t="s">
        <v>43</v>
      </c>
      <c r="G24" s="12">
        <v>4</v>
      </c>
      <c r="H24" s="88">
        <f>IF(B$20=0,0,G24/B$20)</f>
        <v>4.0404040404040404E-3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-3.0602803738317754</v>
      </c>
      <c r="Q24" s="77">
        <v>214</v>
      </c>
      <c r="R24" s="68">
        <v>-654.9</v>
      </c>
    </row>
    <row r="25" spans="1:18" x14ac:dyDescent="0.4">
      <c r="A25" s="19" t="s">
        <v>181</v>
      </c>
      <c r="B25" s="12">
        <v>312</v>
      </c>
      <c r="C25" s="6">
        <f>IF(B$20=0,0,B25/B$20)</f>
        <v>0.31515151515151513</v>
      </c>
      <c r="E25" s="27" t="s">
        <v>92</v>
      </c>
      <c r="F25" s="24" t="s">
        <v>47</v>
      </c>
      <c r="G25" s="12">
        <v>3</v>
      </c>
      <c r="H25" s="88">
        <f>IF(B$20=0,0,G25/B$20)</f>
        <v>3.0303030303030303E-3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-5.2566666666666668</v>
      </c>
      <c r="Q25" s="77">
        <v>90</v>
      </c>
      <c r="R25" s="68">
        <v>-473.1</v>
      </c>
    </row>
    <row r="26" spans="1:18" x14ac:dyDescent="0.4">
      <c r="A26" s="19" t="s">
        <v>182</v>
      </c>
      <c r="B26" s="12">
        <v>249</v>
      </c>
      <c r="C26" s="6">
        <f>IF(B$20=0,0,B26/B$20)</f>
        <v>0.25151515151515152</v>
      </c>
      <c r="E26" s="27" t="s">
        <v>93</v>
      </c>
      <c r="F26" s="24" t="s">
        <v>48</v>
      </c>
      <c r="G26" s="12">
        <v>2</v>
      </c>
      <c r="H26" s="88">
        <f>IF(B$20=0,0,G26/B$20)</f>
        <v>2.0202020202020202E-3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-7.5979591836734732</v>
      </c>
      <c r="Q26" s="77">
        <v>98</v>
      </c>
      <c r="R26" s="68">
        <v>-744.60000000000036</v>
      </c>
    </row>
    <row r="27" spans="1:18" x14ac:dyDescent="0.4">
      <c r="A27" s="19" t="s">
        <v>5</v>
      </c>
      <c r="B27" s="16">
        <f>IF(B$20=0,0,C27/B$20)</f>
        <v>8075.5555555555557</v>
      </c>
      <c r="C27" s="8">
        <v>7994800</v>
      </c>
      <c r="E27" s="27" t="s">
        <v>80</v>
      </c>
      <c r="F27" s="24" t="s">
        <v>35</v>
      </c>
      <c r="G27" s="12">
        <v>1</v>
      </c>
      <c r="H27" s="88">
        <f>IF(B$20=0,0,G27/B$20)</f>
        <v>1.0101010101010101E-3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8645.2802359882007</v>
      </c>
      <c r="C28" s="96">
        <v>5861500</v>
      </c>
      <c r="E28" s="27" t="s">
        <v>84</v>
      </c>
      <c r="F28" s="24" t="s">
        <v>39</v>
      </c>
      <c r="G28" s="12">
        <v>1</v>
      </c>
      <c r="H28" s="88">
        <f>IF(B$20=0,0,G28/B$20)</f>
        <v>1.0101010101010101E-3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6837.5</v>
      </c>
      <c r="C29" s="96">
        <v>2133300</v>
      </c>
      <c r="E29" s="27" t="s">
        <v>90</v>
      </c>
      <c r="F29" s="24" t="s">
        <v>45</v>
      </c>
      <c r="G29" s="12">
        <v>1</v>
      </c>
      <c r="H29" s="88">
        <f>IF(B$20=0,0,G29/B$20)</f>
        <v>1.0101010101010101E-3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-7616.6972477064219</v>
      </c>
      <c r="C30" s="96">
        <v>-4151100</v>
      </c>
      <c r="E30" s="27" t="s">
        <v>102</v>
      </c>
      <c r="F30" s="24" t="s">
        <v>57</v>
      </c>
      <c r="G30" s="12">
        <v>1</v>
      </c>
      <c r="H30" s="88">
        <f>IF(B$20=0,0,G30/B$20)</f>
        <v>1.0101010101010101E-3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1.0101010101010101E-3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3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2.0740740740740741E-3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74</v>
      </c>
      <c r="C37" s="98">
        <f t="shared" ref="C37:C49" si="2">IF(B$20=0,0,B37/B$20)</f>
        <v>7.4747474747474743E-2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186</v>
      </c>
      <c r="C38" s="6">
        <f t="shared" si="2"/>
        <v>0.18787878787878787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199</v>
      </c>
      <c r="C39" s="6">
        <f t="shared" si="2"/>
        <v>0.201010101010101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193</v>
      </c>
      <c r="C40" s="6">
        <f t="shared" si="2"/>
        <v>0.19494949494949496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138</v>
      </c>
      <c r="C41" s="6">
        <f t="shared" si="2"/>
        <v>0.1393939393939394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91</v>
      </c>
      <c r="C42" s="6">
        <f t="shared" si="2"/>
        <v>9.1919191919191914E-2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41</v>
      </c>
      <c r="C43" s="6">
        <f t="shared" si="2"/>
        <v>4.1414141414141417E-2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30</v>
      </c>
      <c r="C44" s="6">
        <f t="shared" si="2"/>
        <v>3.0303030303030304E-2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16</v>
      </c>
      <c r="C45" s="6">
        <f t="shared" si="2"/>
        <v>1.6161616161616162E-2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1.1111111111111112E-2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2.0202020202020202E-3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1.0101010101010101E-3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8.0808080808080808E-3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0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107</v>
      </c>
      <c r="C2" s="142"/>
      <c r="E2" s="26" t="s">
        <v>66</v>
      </c>
      <c r="F2" s="23" t="s">
        <v>22</v>
      </c>
      <c r="G2" s="11">
        <v>218</v>
      </c>
      <c r="H2" s="87">
        <f>IF(B$20=0,0,G2/B$20)</f>
        <v>0.75432525951557095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991.58878504672896</v>
      </c>
      <c r="Q2" s="76">
        <v>107</v>
      </c>
      <c r="R2" s="63">
        <v>106100</v>
      </c>
    </row>
    <row r="3" spans="1:18" x14ac:dyDescent="0.4">
      <c r="A3" s="19" t="s">
        <v>8</v>
      </c>
      <c r="B3" s="143">
        <v>897</v>
      </c>
      <c r="C3" s="144"/>
      <c r="E3" s="27" t="s">
        <v>72</v>
      </c>
      <c r="F3" s="24" t="s">
        <v>27</v>
      </c>
      <c r="G3" s="12">
        <v>155</v>
      </c>
      <c r="H3" s="88">
        <f>IF(B$20=0,0,G3/B$20)</f>
        <v>0.53633217993079585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-716.34615384615381</v>
      </c>
      <c r="Q3" s="77">
        <v>104</v>
      </c>
      <c r="R3" s="64">
        <v>-74500</v>
      </c>
    </row>
    <row r="4" spans="1:18" x14ac:dyDescent="0.4">
      <c r="A4" s="19" t="s">
        <v>6</v>
      </c>
      <c r="B4" s="145">
        <v>218.2999999999999</v>
      </c>
      <c r="C4" s="146"/>
      <c r="E4" s="27" t="s">
        <v>64</v>
      </c>
      <c r="F4" s="24" t="s">
        <v>20</v>
      </c>
      <c r="G4" s="12">
        <v>119</v>
      </c>
      <c r="H4" s="88">
        <f>IF(B$20=0,0,G4/B$20)</f>
        <v>0.41176470588235292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-914.42307692307691</v>
      </c>
      <c r="Q4" s="77">
        <v>104</v>
      </c>
      <c r="R4" s="64">
        <v>-95100</v>
      </c>
    </row>
    <row r="5" spans="1:18" x14ac:dyDescent="0.4">
      <c r="A5" s="19" t="s">
        <v>7</v>
      </c>
      <c r="B5" s="133">
        <f>IF(B$2=0,0,B$4/B$2)</f>
        <v>2.0401869158878494</v>
      </c>
      <c r="C5" s="134"/>
      <c r="E5" s="27" t="s">
        <v>159</v>
      </c>
      <c r="F5" s="24" t="s">
        <v>160</v>
      </c>
      <c r="G5" s="12">
        <v>108</v>
      </c>
      <c r="H5" s="88">
        <f>IF(B$20=0,0,G5/B$20)</f>
        <v>0.37370242214532873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1342.4242424242425</v>
      </c>
      <c r="Q5" s="77">
        <v>99</v>
      </c>
      <c r="R5" s="64">
        <v>132900</v>
      </c>
    </row>
    <row r="6" spans="1:18" x14ac:dyDescent="0.4">
      <c r="A6" s="19" t="s">
        <v>196</v>
      </c>
      <c r="B6" s="137">
        <v>1769.3217685021916</v>
      </c>
      <c r="C6" s="138"/>
      <c r="E6" s="27" t="s">
        <v>68</v>
      </c>
      <c r="F6" s="24" t="s">
        <v>12</v>
      </c>
      <c r="G6" s="12">
        <v>91</v>
      </c>
      <c r="H6" s="88">
        <f>IF(B$20=0,0,G6/B$20)</f>
        <v>0.31487889273356401</v>
      </c>
      <c r="I6" s="58">
        <v>6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153.33333333333334</v>
      </c>
      <c r="Q6" s="77">
        <v>90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</v>
      </c>
      <c r="C7" s="148"/>
      <c r="E7" s="27" t="s">
        <v>67</v>
      </c>
      <c r="F7" s="24" t="s">
        <v>23</v>
      </c>
      <c r="G7" s="12">
        <v>58</v>
      </c>
      <c r="H7" s="88">
        <f>IF(B$20=0,0,G7/B$20)</f>
        <v>0.20069204152249134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-52.564102564102562</v>
      </c>
      <c r="Q7" s="78">
        <v>78</v>
      </c>
      <c r="R7" s="65">
        <v>-4100</v>
      </c>
    </row>
    <row r="8" spans="1:18" x14ac:dyDescent="0.4">
      <c r="A8" s="19" t="s">
        <v>2</v>
      </c>
      <c r="B8" s="12">
        <v>36</v>
      </c>
      <c r="C8" s="6">
        <f t="shared" ref="C8:C15" si="1">IF(B$2=0,0,B8/B$2)</f>
        <v>0.3364485981308411</v>
      </c>
      <c r="E8" s="27" t="s">
        <v>69</v>
      </c>
      <c r="F8" s="24" t="s">
        <v>24</v>
      </c>
      <c r="G8" s="12">
        <v>48</v>
      </c>
      <c r="H8" s="88">
        <f>IF(B$20=0,0,G8/B$20)</f>
        <v>0.16608996539792387</v>
      </c>
      <c r="I8" s="58">
        <v>3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35</v>
      </c>
      <c r="C9" s="6">
        <f t="shared" si="1"/>
        <v>0.32710280373831774</v>
      </c>
      <c r="E9" s="27" t="s">
        <v>70</v>
      </c>
      <c r="F9" s="24" t="s">
        <v>25</v>
      </c>
      <c r="G9" s="12">
        <v>38</v>
      </c>
      <c r="H9" s="88">
        <f>IF(B$20=0,0,G9/B$20)</f>
        <v>0.13148788927335639</v>
      </c>
      <c r="I9" s="58">
        <v>2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36</v>
      </c>
      <c r="C10" s="7">
        <f t="shared" si="1"/>
        <v>0.3364485981308411</v>
      </c>
      <c r="E10" s="27" t="s">
        <v>89</v>
      </c>
      <c r="F10" s="24" t="s">
        <v>44</v>
      </c>
      <c r="G10" s="12">
        <v>37</v>
      </c>
      <c r="H10" s="88">
        <f>IF(B$20=0,0,G10/B$20)</f>
        <v>0.12802768166089964</v>
      </c>
      <c r="I10" s="58">
        <v>7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8.6054054054054046</v>
      </c>
      <c r="Q10" s="76">
        <v>37</v>
      </c>
      <c r="R10" s="67">
        <v>318.39999999999998</v>
      </c>
    </row>
    <row r="11" spans="1:18" x14ac:dyDescent="0.4">
      <c r="A11" s="20" t="s">
        <v>184</v>
      </c>
      <c r="B11" s="109">
        <f>IF(B8=0,0,C11/B8)</f>
        <v>37.866666666666674</v>
      </c>
      <c r="C11" s="110">
        <v>1363.2000000000003</v>
      </c>
      <c r="E11" s="27" t="s">
        <v>65</v>
      </c>
      <c r="F11" s="24" t="s">
        <v>21</v>
      </c>
      <c r="G11" s="12">
        <v>26</v>
      </c>
      <c r="H11" s="88">
        <f>IF(B$20=0,0,G11/B$20)</f>
        <v>8.9965397923875437E-2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-4.5351351351351354</v>
      </c>
      <c r="Q11" s="77">
        <v>37</v>
      </c>
      <c r="R11" s="68">
        <v>-167.8</v>
      </c>
    </row>
    <row r="12" spans="1:18" x14ac:dyDescent="0.4">
      <c r="A12" s="20" t="s">
        <v>185</v>
      </c>
      <c r="B12" s="109">
        <f>IF(B9=0,0,C12/B9)</f>
        <v>-1.3685714285714283</v>
      </c>
      <c r="C12" s="110">
        <v>-47.899999999999991</v>
      </c>
      <c r="E12" s="27" t="s">
        <v>86</v>
      </c>
      <c r="F12" s="24" t="s">
        <v>41</v>
      </c>
      <c r="G12" s="12">
        <v>18</v>
      </c>
      <c r="H12" s="88">
        <f>IF(B$20=0,0,G12/B$20)</f>
        <v>6.228373702422145E-2</v>
      </c>
      <c r="I12" s="58">
        <v>3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2.0515151515151526</v>
      </c>
      <c r="Q12" s="78">
        <v>33</v>
      </c>
      <c r="R12" s="69">
        <v>67.700000000000031</v>
      </c>
    </row>
    <row r="13" spans="1:18" x14ac:dyDescent="0.4">
      <c r="A13" s="20" t="s">
        <v>186</v>
      </c>
      <c r="B13" s="109">
        <f>IF(B10=0,0,C13/B10)</f>
        <v>-30.472222222222229</v>
      </c>
      <c r="C13" s="110">
        <v>-1097.0000000000002</v>
      </c>
      <c r="E13" s="27" t="s">
        <v>83</v>
      </c>
      <c r="F13" s="24" t="s">
        <v>38</v>
      </c>
      <c r="G13" s="12">
        <v>14</v>
      </c>
      <c r="H13" s="88">
        <f>IF(B$20=0,0,G13/B$20)</f>
        <v>4.8442906574394463E-2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2.008624338624339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4.4982698961937718E-2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8</v>
      </c>
      <c r="C15" s="9">
        <f t="shared" si="1"/>
        <v>7.476635514018691E-2</v>
      </c>
      <c r="E15" s="27" t="s">
        <v>155</v>
      </c>
      <c r="F15" s="24" t="s">
        <v>156</v>
      </c>
      <c r="G15" s="12">
        <v>12</v>
      </c>
      <c r="H15" s="88">
        <f>IF(B$20=0,0,G15/B$20)</f>
        <v>4.1522491349480967E-2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223</v>
      </c>
      <c r="C16" s="10">
        <f>IF(B$3=0,0,B16/B$3)</f>
        <v>0.24860646599777034</v>
      </c>
      <c r="E16" s="27" t="s">
        <v>91</v>
      </c>
      <c r="F16" s="24" t="s">
        <v>46</v>
      </c>
      <c r="G16" s="12">
        <v>8</v>
      </c>
      <c r="H16" s="88">
        <f>IF(B$20=0,0,G16/B$20)</f>
        <v>2.768166089965398E-2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190</v>
      </c>
      <c r="C17" s="6">
        <f>IF(B$3=0,0,B17/B$3)</f>
        <v>0.21181716833890746</v>
      </c>
      <c r="E17" s="27" t="s">
        <v>78</v>
      </c>
      <c r="F17" s="24" t="s">
        <v>33</v>
      </c>
      <c r="G17" s="12">
        <v>7</v>
      </c>
      <c r="H17" s="88">
        <f>IF(B$20=0,0,G17/B$20)</f>
        <v>2.4221453287197232E-2</v>
      </c>
      <c r="I17" s="58">
        <v>9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128</v>
      </c>
      <c r="C18" s="5">
        <f>IF(B$16=0,0,B18/B$16)</f>
        <v>0.57399103139013452</v>
      </c>
      <c r="E18" s="27" t="s">
        <v>79</v>
      </c>
      <c r="F18" s="24" t="s">
        <v>34</v>
      </c>
      <c r="G18" s="12">
        <v>5</v>
      </c>
      <c r="H18" s="88">
        <f>IF(B$20=0,0,G18/B$20)</f>
        <v>1.7301038062283738E-2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216</v>
      </c>
      <c r="P18" s="83">
        <f>IF(Q18=0,0,R18/Q18)</f>
        <v>11.879999999999999</v>
      </c>
      <c r="Q18" s="77">
        <v>10</v>
      </c>
      <c r="R18" s="68">
        <v>118.79999999999998</v>
      </c>
    </row>
    <row r="19" spans="1:18" x14ac:dyDescent="0.4">
      <c r="A19" s="18" t="s">
        <v>124</v>
      </c>
      <c r="B19" s="11">
        <f>B25</f>
        <v>86</v>
      </c>
      <c r="C19" s="5">
        <f>IF(B$17=0,0,B19/B$17)</f>
        <v>0.45263157894736844</v>
      </c>
      <c r="E19" s="27" t="s">
        <v>81</v>
      </c>
      <c r="F19" s="24" t="s">
        <v>36</v>
      </c>
      <c r="G19" s="12">
        <v>5</v>
      </c>
      <c r="H19" s="88">
        <f>IF(B$20=0,0,G19/B$20)</f>
        <v>1.7301038062283738E-2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5.5362068965517253</v>
      </c>
      <c r="Q19" s="77">
        <v>58</v>
      </c>
      <c r="R19" s="68">
        <v>321.10000000000008</v>
      </c>
    </row>
    <row r="20" spans="1:18" x14ac:dyDescent="0.4">
      <c r="A20" s="18" t="s">
        <v>10</v>
      </c>
      <c r="B20" s="11">
        <f>B23+B22</f>
        <v>289</v>
      </c>
      <c r="C20" s="5">
        <f>IF(B$3=0,0,B20/B$3)</f>
        <v>0.32218506131549612</v>
      </c>
      <c r="E20" s="27" t="s">
        <v>73</v>
      </c>
      <c r="F20" s="24" t="s">
        <v>28</v>
      </c>
      <c r="G20" s="12">
        <v>3</v>
      </c>
      <c r="H20" s="88">
        <f>IF(B$20=0,0,G20/B$20)</f>
        <v>1.0380622837370242E-2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1.813513513513513</v>
      </c>
      <c r="Q20" s="77">
        <v>37</v>
      </c>
      <c r="R20" s="68">
        <v>67.09999999999998</v>
      </c>
    </row>
    <row r="21" spans="1:18" x14ac:dyDescent="0.4">
      <c r="A21" s="19" t="s">
        <v>13</v>
      </c>
      <c r="B21" s="12">
        <v>157</v>
      </c>
      <c r="C21" s="6">
        <f>IF(B$3=0,0,B21/B$3)</f>
        <v>0.17502787068004461</v>
      </c>
      <c r="E21" s="27" t="s">
        <v>75</v>
      </c>
      <c r="F21" s="24" t="s">
        <v>30</v>
      </c>
      <c r="G21" s="12">
        <v>2</v>
      </c>
      <c r="H21" s="88">
        <f>IF(B$20=0,0,G21/B$20)</f>
        <v>6.920415224913495E-3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211</v>
      </c>
      <c r="P21" s="83">
        <f>IF(Q21=0,0,R21/Q21)</f>
        <v>1.04</v>
      </c>
      <c r="Q21" s="77">
        <v>25</v>
      </c>
      <c r="R21" s="68">
        <v>26</v>
      </c>
    </row>
    <row r="22" spans="1:18" x14ac:dyDescent="0.4">
      <c r="A22" s="19" t="s">
        <v>12</v>
      </c>
      <c r="B22" s="12">
        <v>136</v>
      </c>
      <c r="C22" s="6">
        <f>IF(B$20=0,0,B22/B$20)</f>
        <v>0.47058823529411764</v>
      </c>
      <c r="E22" s="27" t="s">
        <v>85</v>
      </c>
      <c r="F22" s="24" t="s">
        <v>40</v>
      </c>
      <c r="G22" s="12">
        <v>2</v>
      </c>
      <c r="H22" s="88">
        <f>IF(B$20=0,0,G22/B$20)</f>
        <v>6.920415224913495E-3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-0.33928571428571352</v>
      </c>
      <c r="Q22" s="77">
        <v>28</v>
      </c>
      <c r="R22" s="68">
        <v>-9.4999999999999787</v>
      </c>
    </row>
    <row r="23" spans="1:18" x14ac:dyDescent="0.4">
      <c r="A23" s="19" t="s">
        <v>11</v>
      </c>
      <c r="B23" s="12">
        <v>153</v>
      </c>
      <c r="C23" s="6">
        <f>IF(B$20=0,0,B23/B$20)</f>
        <v>0.52941176470588236</v>
      </c>
      <c r="E23" s="27" t="s">
        <v>80</v>
      </c>
      <c r="F23" s="24" t="s">
        <v>35</v>
      </c>
      <c r="G23" s="12">
        <v>1</v>
      </c>
      <c r="H23" s="88">
        <f>IF(B$20=0,0,G23/B$20)</f>
        <v>3.4602076124567475E-3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192</v>
      </c>
      <c r="P23" s="83">
        <f>IF(Q23=0,0,R23/Q23)</f>
        <v>-3.7341463414634157</v>
      </c>
      <c r="Q23" s="77">
        <v>41</v>
      </c>
      <c r="R23" s="68">
        <v>-153.10000000000005</v>
      </c>
    </row>
    <row r="24" spans="1:18" x14ac:dyDescent="0.4">
      <c r="A24" s="19" t="s">
        <v>183</v>
      </c>
      <c r="B24" s="12">
        <v>128</v>
      </c>
      <c r="C24" s="6">
        <f>IF(B$20=0,0,B24/B$20)</f>
        <v>0.44290657439446368</v>
      </c>
      <c r="E24" s="27" t="s">
        <v>84</v>
      </c>
      <c r="F24" s="24" t="s">
        <v>39</v>
      </c>
      <c r="G24" s="12">
        <v>1</v>
      </c>
      <c r="H24" s="88">
        <f>IF(B$20=0,0,G24/B$20)</f>
        <v>3.4602076124567475E-3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195</v>
      </c>
      <c r="P24" s="83">
        <f>IF(Q24=0,0,R24/Q24)</f>
        <v>-4.8999999999999986</v>
      </c>
      <c r="Q24" s="77">
        <v>7</v>
      </c>
      <c r="R24" s="68">
        <v>-34.29999999999999</v>
      </c>
    </row>
    <row r="25" spans="1:18" x14ac:dyDescent="0.4">
      <c r="A25" s="19" t="s">
        <v>181</v>
      </c>
      <c r="B25" s="12">
        <v>86</v>
      </c>
      <c r="C25" s="6">
        <f>IF(B$20=0,0,B25/B$20)</f>
        <v>0.29757785467128028</v>
      </c>
      <c r="E25" s="27" t="s">
        <v>88</v>
      </c>
      <c r="F25" s="24" t="s">
        <v>43</v>
      </c>
      <c r="G25" s="12">
        <v>1</v>
      </c>
      <c r="H25" s="88">
        <f>IF(B$20=0,0,G25/B$20)</f>
        <v>3.4602076124567475E-3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75</v>
      </c>
      <c r="C26" s="6">
        <f>IF(B$20=0,0,B26/B$20)</f>
        <v>0.25951557093425603</v>
      </c>
      <c r="E26" s="27" t="s">
        <v>90</v>
      </c>
      <c r="F26" s="24" t="s">
        <v>45</v>
      </c>
      <c r="G26" s="12">
        <v>1</v>
      </c>
      <c r="H26" s="88">
        <f>IF(B$20=0,0,G26/B$20)</f>
        <v>3.4602076124567475E-3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8177.1626297577859</v>
      </c>
      <c r="C27" s="8">
        <v>2363200</v>
      </c>
      <c r="E27" s="27" t="s">
        <v>92</v>
      </c>
      <c r="F27" s="24" t="s">
        <v>47</v>
      </c>
      <c r="G27" s="12">
        <v>1</v>
      </c>
      <c r="H27" s="88">
        <f>IF(B$20=0,0,G27/B$20)</f>
        <v>3.4602076124567475E-3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8448.2758620689656</v>
      </c>
      <c r="C28" s="96">
        <v>1715000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7537.2093023255811</v>
      </c>
      <c r="C29" s="96">
        <v>648200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-7301.2738853503188</v>
      </c>
      <c r="C30" s="96">
        <v>-1146300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6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1.1148272017837235E-3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17</v>
      </c>
      <c r="C37" s="98">
        <f t="shared" ref="C37:C49" si="2">IF(B$20=0,0,B37/B$20)</f>
        <v>5.8823529411764705E-2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56</v>
      </c>
      <c r="C38" s="6">
        <f t="shared" si="2"/>
        <v>0.19377162629757785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59</v>
      </c>
      <c r="C39" s="6">
        <f t="shared" si="2"/>
        <v>0.20415224913494809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55</v>
      </c>
      <c r="C40" s="6">
        <f t="shared" si="2"/>
        <v>0.19031141868512111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42</v>
      </c>
      <c r="C41" s="6">
        <f t="shared" si="2"/>
        <v>0.1453287197231834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35</v>
      </c>
      <c r="C42" s="6">
        <f t="shared" si="2"/>
        <v>0.12110726643598616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10</v>
      </c>
      <c r="C43" s="6">
        <f t="shared" si="2"/>
        <v>3.4602076124567477E-2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1.7301038062283738E-2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1.7301038062283738E-2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6.920415224913495E-3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3.4602076124567475E-3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3.4602076124567475E-3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3.4602076124567475E-3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70</v>
      </c>
      <c r="C2" s="142"/>
      <c r="E2" s="26" t="s">
        <v>66</v>
      </c>
      <c r="F2" s="23" t="s">
        <v>22</v>
      </c>
      <c r="G2" s="11">
        <v>155</v>
      </c>
      <c r="H2" s="87">
        <f>IF(B$20=0,0,G2/B$20)</f>
        <v>0.94512195121951215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958.57142857142856</v>
      </c>
      <c r="Q2" s="76">
        <v>70</v>
      </c>
      <c r="R2" s="63">
        <v>67100</v>
      </c>
    </row>
    <row r="3" spans="1:18" x14ac:dyDescent="0.4">
      <c r="A3" s="19" t="s">
        <v>8</v>
      </c>
      <c r="B3" s="143">
        <v>615</v>
      </c>
      <c r="C3" s="144"/>
      <c r="E3" s="27" t="s">
        <v>72</v>
      </c>
      <c r="F3" s="24" t="s">
        <v>27</v>
      </c>
      <c r="G3" s="12">
        <v>110</v>
      </c>
      <c r="H3" s="88">
        <f>IF(B$20=0,0,G3/B$20)</f>
        <v>0.67073170731707321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117.64705882352941</v>
      </c>
      <c r="Q3" s="77">
        <v>68</v>
      </c>
      <c r="R3" s="64">
        <v>8000</v>
      </c>
    </row>
    <row r="4" spans="1:18" x14ac:dyDescent="0.4">
      <c r="A4" s="19" t="s">
        <v>6</v>
      </c>
      <c r="B4" s="145">
        <v>-134.79999999999998</v>
      </c>
      <c r="C4" s="146"/>
      <c r="E4" s="27" t="s">
        <v>64</v>
      </c>
      <c r="F4" s="24" t="s">
        <v>20</v>
      </c>
      <c r="G4" s="12">
        <v>77</v>
      </c>
      <c r="H4" s="88">
        <f>IF(B$20=0,0,G4/B$20)</f>
        <v>0.46951219512195119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-672.05882352941171</v>
      </c>
      <c r="Q4" s="77">
        <v>68</v>
      </c>
      <c r="R4" s="64">
        <v>-45700</v>
      </c>
    </row>
    <row r="5" spans="1:18" x14ac:dyDescent="0.4">
      <c r="A5" s="19" t="s">
        <v>7</v>
      </c>
      <c r="B5" s="133">
        <f>IF(B$2=0,0,B$4/B$2)</f>
        <v>-1.9257142857142855</v>
      </c>
      <c r="C5" s="134"/>
      <c r="E5" s="27" t="s">
        <v>159</v>
      </c>
      <c r="F5" s="24" t="s">
        <v>160</v>
      </c>
      <c r="G5" s="12">
        <v>68</v>
      </c>
      <c r="H5" s="88">
        <f>IF(B$20=0,0,G5/B$20)</f>
        <v>0.41463414634146339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-667.69230769230774</v>
      </c>
      <c r="Q5" s="77">
        <v>65</v>
      </c>
      <c r="R5" s="64">
        <v>-43400</v>
      </c>
    </row>
    <row r="6" spans="1:18" x14ac:dyDescent="0.4">
      <c r="A6" s="19" t="s">
        <v>196</v>
      </c>
      <c r="B6" s="137">
        <v>1624.9025722678316</v>
      </c>
      <c r="C6" s="138"/>
      <c r="E6" s="27" t="s">
        <v>68</v>
      </c>
      <c r="F6" s="24" t="s">
        <v>12</v>
      </c>
      <c r="G6" s="12">
        <v>57</v>
      </c>
      <c r="H6" s="88">
        <f>IF(B$20=0,0,G6/B$20)</f>
        <v>0.34756097560975607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116.94915254237289</v>
      </c>
      <c r="Q6" s="77">
        <v>59</v>
      </c>
      <c r="R6" s="64">
        <v>6900</v>
      </c>
    </row>
    <row r="7" spans="1:18" x14ac:dyDescent="0.4">
      <c r="A7" s="19" t="s">
        <v>1</v>
      </c>
      <c r="B7" s="147">
        <f>IF(B$2=0,0,(B$8*1+B$9*2+B$10*3)/B$2)</f>
        <v>2.0285714285714285</v>
      </c>
      <c r="C7" s="148"/>
      <c r="E7" s="27" t="s">
        <v>67</v>
      </c>
      <c r="F7" s="24" t="s">
        <v>23</v>
      </c>
      <c r="G7" s="12">
        <v>41</v>
      </c>
      <c r="H7" s="88">
        <f>IF(B$20=0,0,G7/B$20)</f>
        <v>0.25</v>
      </c>
      <c r="I7" s="58">
        <v>6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352</v>
      </c>
      <c r="Q7" s="78">
        <v>50</v>
      </c>
      <c r="R7" s="65">
        <v>17600</v>
      </c>
    </row>
    <row r="8" spans="1:18" x14ac:dyDescent="0.4">
      <c r="A8" s="19" t="s">
        <v>2</v>
      </c>
      <c r="B8" s="12">
        <v>22</v>
      </c>
      <c r="C8" s="6">
        <f t="shared" ref="C8:C15" si="1">IF(B$2=0,0,B8/B$2)</f>
        <v>0.31428571428571428</v>
      </c>
      <c r="E8" s="27" t="s">
        <v>89</v>
      </c>
      <c r="F8" s="24" t="s">
        <v>44</v>
      </c>
      <c r="G8" s="12">
        <v>26</v>
      </c>
      <c r="H8" s="88">
        <f>IF(B$20=0,0,G8/B$20)</f>
        <v>0.15853658536585366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24</v>
      </c>
      <c r="C9" s="6">
        <f t="shared" si="1"/>
        <v>0.34285714285714286</v>
      </c>
      <c r="E9" s="27" t="s">
        <v>69</v>
      </c>
      <c r="F9" s="24" t="s">
        <v>24</v>
      </c>
      <c r="G9" s="12">
        <v>20</v>
      </c>
      <c r="H9" s="88">
        <f>IF(B$20=0,0,G9/B$20)</f>
        <v>0.12195121951219512</v>
      </c>
      <c r="I9" s="58">
        <v>6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24</v>
      </c>
      <c r="C10" s="7">
        <f t="shared" si="1"/>
        <v>0.34285714285714286</v>
      </c>
      <c r="E10" s="27" t="s">
        <v>65</v>
      </c>
      <c r="F10" s="24" t="s">
        <v>21</v>
      </c>
      <c r="G10" s="12">
        <v>19</v>
      </c>
      <c r="H10" s="88">
        <f>IF(B$20=0,0,G10/B$20)</f>
        <v>0.11585365853658537</v>
      </c>
      <c r="I10" s="58">
        <v>4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-2.0466666666666664</v>
      </c>
      <c r="Q10" s="76">
        <v>30</v>
      </c>
      <c r="R10" s="67">
        <v>-61.399999999999991</v>
      </c>
    </row>
    <row r="11" spans="1:18" x14ac:dyDescent="0.4">
      <c r="A11" s="20" t="s">
        <v>184</v>
      </c>
      <c r="B11" s="109">
        <f>IF(B8=0,0,C11/B8)</f>
        <v>34.640909090909091</v>
      </c>
      <c r="C11" s="110">
        <v>762.1</v>
      </c>
      <c r="E11" s="27" t="s">
        <v>70</v>
      </c>
      <c r="F11" s="24" t="s">
        <v>25</v>
      </c>
      <c r="G11" s="12">
        <v>15</v>
      </c>
      <c r="H11" s="88">
        <f>IF(B$20=0,0,G11/B$20)</f>
        <v>9.1463414634146339E-2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2.214999999999999</v>
      </c>
      <c r="Q11" s="77">
        <v>20</v>
      </c>
      <c r="R11" s="68">
        <v>44.299999999999983</v>
      </c>
    </row>
    <row r="12" spans="1:18" x14ac:dyDescent="0.4">
      <c r="A12" s="20" t="s">
        <v>185</v>
      </c>
      <c r="B12" s="109">
        <f>IF(B9=0,0,C12/B9)</f>
        <v>1.3041666666666667</v>
      </c>
      <c r="C12" s="110">
        <v>31.3</v>
      </c>
      <c r="E12" s="27" t="s">
        <v>71</v>
      </c>
      <c r="F12" s="24" t="s">
        <v>26</v>
      </c>
      <c r="G12" s="12">
        <v>12</v>
      </c>
      <c r="H12" s="88">
        <f>IF(B$20=0,0,G12/B$20)</f>
        <v>7.3170731707317069E-2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-5.8849999999999998</v>
      </c>
      <c r="Q12" s="78">
        <v>20</v>
      </c>
      <c r="R12" s="69">
        <v>-117.7</v>
      </c>
    </row>
    <row r="13" spans="1:18" x14ac:dyDescent="0.4">
      <c r="A13" s="20" t="s">
        <v>186</v>
      </c>
      <c r="B13" s="109">
        <f>IF(B10=0,0,C13/B10)</f>
        <v>-38.675000000000004</v>
      </c>
      <c r="C13" s="110">
        <v>-928.20000000000016</v>
      </c>
      <c r="E13" s="27" t="s">
        <v>86</v>
      </c>
      <c r="F13" s="24" t="s">
        <v>41</v>
      </c>
      <c r="G13" s="12">
        <v>9</v>
      </c>
      <c r="H13" s="88">
        <f>IF(B$20=0,0,G13/B$20)</f>
        <v>5.4878048780487805E-2</v>
      </c>
      <c r="I13" s="58">
        <v>5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-0.90997474747474882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3.6585365853658534E-2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0.14285714285714285</v>
      </c>
      <c r="E15" s="27" t="s">
        <v>81</v>
      </c>
      <c r="F15" s="24" t="s">
        <v>36</v>
      </c>
      <c r="G15" s="12">
        <v>5</v>
      </c>
      <c r="H15" s="88">
        <f>IF(B$20=0,0,G15/B$20)</f>
        <v>3.048780487804878E-2</v>
      </c>
      <c r="I15" s="58">
        <v>8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174</v>
      </c>
      <c r="C16" s="10">
        <f>IF(B$3=0,0,B16/B$3)</f>
        <v>0.28292682926829266</v>
      </c>
      <c r="E16" s="27" t="s">
        <v>155</v>
      </c>
      <c r="F16" s="24" t="s">
        <v>156</v>
      </c>
      <c r="G16" s="12">
        <v>5</v>
      </c>
      <c r="H16" s="88">
        <f>IF(B$20=0,0,G16/B$20)</f>
        <v>3.048780487804878E-2</v>
      </c>
      <c r="I16" s="58">
        <v>2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139</v>
      </c>
      <c r="C17" s="6">
        <f>IF(B$3=0,0,B17/B$3)</f>
        <v>0.22601626016260162</v>
      </c>
      <c r="E17" s="27" t="s">
        <v>78</v>
      </c>
      <c r="F17" s="24" t="s">
        <v>33</v>
      </c>
      <c r="G17" s="12">
        <v>4</v>
      </c>
      <c r="H17" s="88">
        <f>IF(B$20=0,0,G17/B$20)</f>
        <v>2.4390243902439025E-2</v>
      </c>
      <c r="I17" s="58">
        <v>8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82</v>
      </c>
      <c r="C18" s="5">
        <f>IF(B$16=0,0,B18/B$16)</f>
        <v>0.47126436781609193</v>
      </c>
      <c r="E18" s="27" t="s">
        <v>73</v>
      </c>
      <c r="F18" s="24" t="s">
        <v>28</v>
      </c>
      <c r="G18" s="12">
        <v>3</v>
      </c>
      <c r="H18" s="88">
        <f>IF(B$20=0,0,G18/B$20)</f>
        <v>1.8292682926829267E-2</v>
      </c>
      <c r="I18" s="58">
        <v>1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7.9</v>
      </c>
      <c r="Q18" s="77">
        <v>16</v>
      </c>
      <c r="R18" s="68">
        <v>126.4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0.33812949640287771</v>
      </c>
      <c r="E19" s="27" t="s">
        <v>91</v>
      </c>
      <c r="F19" s="24" t="s">
        <v>46</v>
      </c>
      <c r="G19" s="12">
        <v>2</v>
      </c>
      <c r="H19" s="88">
        <f>IF(B$20=0,0,G19/B$20)</f>
        <v>1.2195121951219513E-2</v>
      </c>
      <c r="I19" s="58">
        <v>6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164</v>
      </c>
      <c r="C20" s="5">
        <f>IF(B$3=0,0,B20/B$3)</f>
        <v>0.26666666666666666</v>
      </c>
      <c r="E20" s="27" t="s">
        <v>77</v>
      </c>
      <c r="F20" s="24" t="s">
        <v>32</v>
      </c>
      <c r="G20" s="12">
        <v>1</v>
      </c>
      <c r="H20" s="88">
        <f>IF(B$20=0,0,G20/B$20)</f>
        <v>6.0975609756097563E-3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 t="shared" si="2"/>
        <v>-5.5362068965517235</v>
      </c>
      <c r="Q20" s="77">
        <v>58</v>
      </c>
      <c r="R20" s="68">
        <v>-321.09999999999997</v>
      </c>
    </row>
    <row r="21" spans="1:18" x14ac:dyDescent="0.4">
      <c r="A21" s="19" t="s">
        <v>13</v>
      </c>
      <c r="B21" s="12">
        <v>118</v>
      </c>
      <c r="C21" s="6">
        <f>IF(B$3=0,0,B21/B$3)</f>
        <v>0.19186991869918699</v>
      </c>
      <c r="E21" s="27" t="s">
        <v>79</v>
      </c>
      <c r="F21" s="24" t="s">
        <v>34</v>
      </c>
      <c r="G21" s="12">
        <v>1</v>
      </c>
      <c r="H21" s="88">
        <f>IF(B$20=0,0,G21/B$20)</f>
        <v>6.0975609756097563E-3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 t="shared" si="2"/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74</v>
      </c>
      <c r="C22" s="6">
        <f>IF(B$20=0,0,B22/B$20)</f>
        <v>0.45121951219512196</v>
      </c>
      <c r="E22" s="27" t="s">
        <v>85</v>
      </c>
      <c r="F22" s="24" t="s">
        <v>40</v>
      </c>
      <c r="G22" s="12">
        <v>1</v>
      </c>
      <c r="H22" s="88">
        <f>IF(B$20=0,0,G22/B$20)</f>
        <v>6.0975609756097563E-3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 t="shared" si="2"/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90</v>
      </c>
      <c r="C23" s="6">
        <f>IF(B$20=0,0,B23/B$20)</f>
        <v>0.54878048780487809</v>
      </c>
      <c r="E23" s="27" t="s">
        <v>88</v>
      </c>
      <c r="F23" s="24" t="s">
        <v>43</v>
      </c>
      <c r="G23" s="12">
        <v>1</v>
      </c>
      <c r="H23" s="88">
        <f>IF(B$20=0,0,G23/B$20)</f>
        <v>6.0975609756097563E-3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 t="shared" si="2"/>
        <v>-11.568421052631582</v>
      </c>
      <c r="Q23" s="77">
        <v>19</v>
      </c>
      <c r="R23" s="68">
        <v>-219.80000000000004</v>
      </c>
    </row>
    <row r="24" spans="1:18" x14ac:dyDescent="0.4">
      <c r="A24" s="19" t="s">
        <v>183</v>
      </c>
      <c r="B24" s="12">
        <v>82</v>
      </c>
      <c r="C24" s="6">
        <f>IF(B$20=0,0,B24/B$20)</f>
        <v>0.5</v>
      </c>
      <c r="E24" s="27" t="s">
        <v>92</v>
      </c>
      <c r="F24" s="24" t="s">
        <v>47</v>
      </c>
      <c r="G24" s="12">
        <v>1</v>
      </c>
      <c r="H24" s="88">
        <f>IF(B$20=0,0,G24/B$20)</f>
        <v>6.0975609756097563E-3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 t="shared" si="2"/>
        <v>-39.85</v>
      </c>
      <c r="Q24" s="77">
        <v>2</v>
      </c>
      <c r="R24" s="68">
        <v>-79.7</v>
      </c>
    </row>
    <row r="25" spans="1:18" x14ac:dyDescent="0.4">
      <c r="A25" s="19" t="s">
        <v>181</v>
      </c>
      <c r="B25" s="12">
        <v>47</v>
      </c>
      <c r="C25" s="6">
        <f>IF(B$20=0,0,B25/B$20)</f>
        <v>0.28658536585365851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35</v>
      </c>
      <c r="C26" s="6">
        <f>IF(B$20=0,0,B26/B$20)</f>
        <v>0.21341463414634146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9251.8292682926822</v>
      </c>
      <c r="C27" s="8">
        <v>1517300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9988.8888888888887</v>
      </c>
      <c r="C28" s="96">
        <v>1168700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7417.0212765957449</v>
      </c>
      <c r="C29" s="96">
        <v>348600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-7953.3898305084749</v>
      </c>
      <c r="C30" s="96">
        <v>-938500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1.6260162601626016E-3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6.097560975609756E-2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14</v>
      </c>
      <c r="C38" s="6">
        <f t="shared" si="3"/>
        <v>8.5365853658536592E-2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3"/>
        <v>0.20121951219512196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33</v>
      </c>
      <c r="C40" s="6">
        <f t="shared" si="3"/>
        <v>0.20121951219512196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35</v>
      </c>
      <c r="C41" s="6">
        <f t="shared" si="3"/>
        <v>0.21341463414634146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17</v>
      </c>
      <c r="C42" s="6">
        <f t="shared" si="3"/>
        <v>0.10365853658536585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8</v>
      </c>
      <c r="C43" s="6">
        <f t="shared" si="3"/>
        <v>4.878048780487805E-2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7</v>
      </c>
      <c r="C44" s="6">
        <f t="shared" si="3"/>
        <v>4.2682926829268296E-2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3"/>
        <v>1.8292682926829267E-2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1.2195121951219513E-2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1.2195121951219513E-2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</sheetData>
  <sortState xmlns:xlrd2="http://schemas.microsoft.com/office/spreadsheetml/2017/richdata2" ref="E2:I7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43</v>
      </c>
      <c r="C2" s="142"/>
      <c r="E2" s="26" t="s">
        <v>72</v>
      </c>
      <c r="F2" s="23" t="s">
        <v>27</v>
      </c>
      <c r="G2" s="11">
        <v>78</v>
      </c>
      <c r="H2" s="87">
        <f>IF(B$20=0,0,G2/B$20)</f>
        <v>0.70909090909090911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-548.83720930232562</v>
      </c>
      <c r="Q2" s="76">
        <v>43</v>
      </c>
      <c r="R2" s="63">
        <v>-23600</v>
      </c>
    </row>
    <row r="3" spans="1:18" x14ac:dyDescent="0.4">
      <c r="A3" s="19" t="s">
        <v>8</v>
      </c>
      <c r="B3" s="143">
        <v>383</v>
      </c>
      <c r="C3" s="144"/>
      <c r="E3" s="27" t="s">
        <v>66</v>
      </c>
      <c r="F3" s="24" t="s">
        <v>22</v>
      </c>
      <c r="G3" s="12">
        <v>69</v>
      </c>
      <c r="H3" s="88">
        <f>IF(B$20=0,0,G3/B$20)</f>
        <v>0.62727272727272732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-927.90697674418607</v>
      </c>
      <c r="Q3" s="77">
        <v>43</v>
      </c>
      <c r="R3" s="64">
        <v>-39900</v>
      </c>
    </row>
    <row r="4" spans="1:18" x14ac:dyDescent="0.4">
      <c r="A4" s="19" t="s">
        <v>6</v>
      </c>
      <c r="B4" s="145">
        <v>-110.1</v>
      </c>
      <c r="C4" s="146"/>
      <c r="E4" s="27" t="s">
        <v>64</v>
      </c>
      <c r="F4" s="24" t="s">
        <v>20</v>
      </c>
      <c r="G4" s="12">
        <v>43</v>
      </c>
      <c r="H4" s="88">
        <f>IF(B$20=0,0,G4/B$20)</f>
        <v>0.39090909090909093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314.28571428571428</v>
      </c>
      <c r="Q4" s="77">
        <v>42</v>
      </c>
      <c r="R4" s="64">
        <v>13200</v>
      </c>
    </row>
    <row r="5" spans="1:18" x14ac:dyDescent="0.4">
      <c r="A5" s="19" t="s">
        <v>7</v>
      </c>
      <c r="B5" s="133">
        <f>IF(B$2=0,0,B$4/B$2)</f>
        <v>-2.5604651162790697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0.34545454545454546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-764.28571428571433</v>
      </c>
      <c r="Q5" s="77">
        <v>42</v>
      </c>
      <c r="R5" s="64">
        <v>-32100</v>
      </c>
    </row>
    <row r="6" spans="1:18" x14ac:dyDescent="0.4">
      <c r="A6" s="19" t="s">
        <v>196</v>
      </c>
      <c r="B6" s="137">
        <v>1448.7493412538377</v>
      </c>
      <c r="C6" s="138"/>
      <c r="E6" s="27" t="s">
        <v>68</v>
      </c>
      <c r="F6" s="24" t="s">
        <v>12</v>
      </c>
      <c r="G6" s="12">
        <v>29</v>
      </c>
      <c r="H6" s="88">
        <f>IF(B$20=0,0,G6/B$20)</f>
        <v>0.26363636363636361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-1129.2682926829268</v>
      </c>
      <c r="Q6" s="77">
        <v>41</v>
      </c>
      <c r="R6" s="64">
        <v>-46300</v>
      </c>
    </row>
    <row r="7" spans="1:18" x14ac:dyDescent="0.4">
      <c r="A7" s="19" t="s">
        <v>1</v>
      </c>
      <c r="B7" s="147">
        <f>IF(B$2=0,0,(B$8*1+B$9*2+B$10*3)/B$2)</f>
        <v>2.0465116279069768</v>
      </c>
      <c r="C7" s="148"/>
      <c r="E7" s="27" t="s">
        <v>67</v>
      </c>
      <c r="F7" s="24" t="s">
        <v>23</v>
      </c>
      <c r="G7" s="12">
        <v>28</v>
      </c>
      <c r="H7" s="88">
        <f>IF(B$20=0,0,G7/B$20)</f>
        <v>0.25454545454545452</v>
      </c>
      <c r="I7" s="58">
        <v>5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-414.70588235294116</v>
      </c>
      <c r="Q7" s="78">
        <v>34</v>
      </c>
      <c r="R7" s="65">
        <v>-14100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0.34883720930232559</v>
      </c>
      <c r="E8" s="27" t="s">
        <v>70</v>
      </c>
      <c r="F8" s="24" t="s">
        <v>25</v>
      </c>
      <c r="G8" s="12">
        <v>11</v>
      </c>
      <c r="H8" s="88">
        <f>IF(B$20=0,0,G8/B$20)</f>
        <v>0.1</v>
      </c>
      <c r="I8" s="58">
        <v>4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0.2558139534883721</v>
      </c>
      <c r="E9" s="27" t="s">
        <v>89</v>
      </c>
      <c r="F9" s="24" t="s">
        <v>44</v>
      </c>
      <c r="G9" s="12">
        <v>11</v>
      </c>
      <c r="H9" s="88">
        <f>IF(B$20=0,0,G9/B$20)</f>
        <v>0.1</v>
      </c>
      <c r="I9" s="58">
        <v>10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0.39534883720930231</v>
      </c>
      <c r="E10" s="27" t="s">
        <v>65</v>
      </c>
      <c r="F10" s="24" t="s">
        <v>21</v>
      </c>
      <c r="G10" s="12">
        <v>9</v>
      </c>
      <c r="H10" s="88">
        <f>IF(B$20=0,0,G10/B$20)</f>
        <v>8.1818181818181818E-2</v>
      </c>
      <c r="I10" s="58">
        <v>9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9</v>
      </c>
      <c r="H11" s="88">
        <f>IF(B$20=0,0,G11/B$20)</f>
        <v>8.1818181818181818E-2</v>
      </c>
      <c r="I11" s="58">
        <v>9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-6.2600000000000007</v>
      </c>
      <c r="Q11" s="77">
        <v>15</v>
      </c>
      <c r="R11" s="68">
        <v>-93.9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6.363636363636363E-2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-4.382352941176471</v>
      </c>
      <c r="Q12" s="78">
        <v>17</v>
      </c>
      <c r="R12" s="69">
        <v>-74.500000000000014</v>
      </c>
    </row>
    <row r="13" spans="1:18" x14ac:dyDescent="0.4">
      <c r="A13" s="20" t="s">
        <v>186</v>
      </c>
      <c r="B13" s="109">
        <f>IF(B10=0,0,C13/B10)</f>
        <v>-35.258823529411764</v>
      </c>
      <c r="C13" s="110">
        <v>-599.4</v>
      </c>
      <c r="E13" s="27" t="s">
        <v>71</v>
      </c>
      <c r="F13" s="24" t="s">
        <v>26</v>
      </c>
      <c r="G13" s="12">
        <v>5</v>
      </c>
      <c r="H13" s="88">
        <f>IF(B$20=0,0,G13/B$20)</f>
        <v>4.5454545454545456E-2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-0.44243612596553561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3.6363636363636362E-2</v>
      </c>
      <c r="I14" s="58">
        <v>3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81</v>
      </c>
      <c r="F15" s="24" t="s">
        <v>36</v>
      </c>
      <c r="G15" s="12">
        <v>4</v>
      </c>
      <c r="H15" s="88">
        <f>IF(B$20=0,0,G15/B$20)</f>
        <v>3.6363636363636362E-2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100</v>
      </c>
      <c r="C16" s="10">
        <f>IF(B$3=0,0,B16/B$3)</f>
        <v>0.26109660574412535</v>
      </c>
      <c r="E16" s="27" t="s">
        <v>79</v>
      </c>
      <c r="F16" s="24" t="s">
        <v>34</v>
      </c>
      <c r="G16" s="12">
        <v>3</v>
      </c>
      <c r="H16" s="88">
        <f>IF(B$20=0,0,G16/B$20)</f>
        <v>2.7272727272727271E-2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115</v>
      </c>
      <c r="C17" s="6">
        <f>IF(B$3=0,0,B17/B$3)</f>
        <v>0.30026109660574413</v>
      </c>
      <c r="E17" s="27" t="s">
        <v>86</v>
      </c>
      <c r="F17" s="24" t="s">
        <v>41</v>
      </c>
      <c r="G17" s="12">
        <v>2</v>
      </c>
      <c r="H17" s="88">
        <f>IF(B$20=0,0,G17/B$20)</f>
        <v>1.8181818181818181E-2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0.43</v>
      </c>
      <c r="E18" s="27" t="s">
        <v>91</v>
      </c>
      <c r="F18" s="24" t="s">
        <v>46</v>
      </c>
      <c r="G18" s="12">
        <v>2</v>
      </c>
      <c r="H18" s="88">
        <f>IF(B$20=0,0,G18/B$20)</f>
        <v>1.8181818181818181E-2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47</v>
      </c>
      <c r="C19" s="5">
        <f>IF(B$17=0,0,B19/B$17)</f>
        <v>0.40869565217391307</v>
      </c>
      <c r="E19" s="27" t="s">
        <v>88</v>
      </c>
      <c r="F19" s="24" t="s">
        <v>43</v>
      </c>
      <c r="G19" s="12">
        <v>1</v>
      </c>
      <c r="H19" s="88">
        <f>IF(B$20=0,0,G19/B$20)</f>
        <v>9.0909090909090905E-3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-1.8135135135135136</v>
      </c>
      <c r="Q19" s="77">
        <v>37</v>
      </c>
      <c r="R19" s="68">
        <v>-67.100000000000009</v>
      </c>
    </row>
    <row r="20" spans="1:18" x14ac:dyDescent="0.4">
      <c r="A20" s="18" t="s">
        <v>10</v>
      </c>
      <c r="B20" s="11">
        <f>B23+B22</f>
        <v>110</v>
      </c>
      <c r="C20" s="5">
        <f>IF(B$3=0,0,B20/B$3)</f>
        <v>0.28720626631853785</v>
      </c>
      <c r="E20" s="27" t="s">
        <v>93</v>
      </c>
      <c r="F20" s="24" t="s">
        <v>48</v>
      </c>
      <c r="G20" s="12">
        <v>1</v>
      </c>
      <c r="H20" s="88">
        <f>IF(B$20=0,0,G20/B$20)</f>
        <v>9.0909090909090905E-3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-7.8999999999999977</v>
      </c>
      <c r="Q20" s="77">
        <v>16</v>
      </c>
      <c r="R20" s="68">
        <v>-126.39999999999996</v>
      </c>
    </row>
    <row r="21" spans="1:18" x14ac:dyDescent="0.4">
      <c r="A21" s="19" t="s">
        <v>13</v>
      </c>
      <c r="B21" s="12">
        <v>65</v>
      </c>
      <c r="C21" s="6">
        <f>IF(B$3=0,0,B21/B$3)</f>
        <v>0.16971279373368145</v>
      </c>
      <c r="E21" s="27" t="s">
        <v>106</v>
      </c>
      <c r="F21" s="24" t="s">
        <v>113</v>
      </c>
      <c r="G21" s="12">
        <v>1</v>
      </c>
      <c r="H21" s="88">
        <f>IF(B$20=0,0,G21/B$20)</f>
        <v>9.0909090909090905E-3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52</v>
      </c>
      <c r="C22" s="6">
        <f>IF(B$20=0,0,B22/B$20)</f>
        <v>0.47272727272727272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58</v>
      </c>
      <c r="C23" s="6">
        <f>IF(B$20=0,0,B23/B$20)</f>
        <v>0.52727272727272723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43</v>
      </c>
      <c r="C24" s="6">
        <f>IF(B$20=0,0,B24/B$20)</f>
        <v>0.39090909090909093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47</v>
      </c>
      <c r="C25" s="6">
        <f>IF(B$20=0,0,B25/B$20)</f>
        <v>0.42727272727272725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0.18181818181818182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7535.454545454545</v>
      </c>
      <c r="C27" s="8">
        <v>828900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9374.6031746031749</v>
      </c>
      <c r="C28" s="96">
        <v>590600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5070.2127659574471</v>
      </c>
      <c r="C29" s="96">
        <v>238300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-8520</v>
      </c>
      <c r="C30" s="96">
        <v>-553800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2.6109660574412533E-3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0.12727272727272726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0.24545454545454545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22</v>
      </c>
      <c r="C39" s="6">
        <f t="shared" si="3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0.18181818181818182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4.5454545454545456E-2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4.5454545454545456E-2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4.5454545454545456E-2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1.8181818181818181E-2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3.6363636363636362E-2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3.6363636363636362E-2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1.8181818181818181E-2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34</v>
      </c>
      <c r="C2" s="142"/>
      <c r="E2" s="26" t="s">
        <v>66</v>
      </c>
      <c r="F2" s="23" t="s">
        <v>22</v>
      </c>
      <c r="G2" s="11">
        <v>68</v>
      </c>
      <c r="H2" s="87">
        <f>IF(B$20=0,0,G2/B$20)</f>
        <v>0.87179487179487181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1285.2941176470588</v>
      </c>
      <c r="Q2" s="76">
        <v>34</v>
      </c>
      <c r="R2" s="63">
        <v>43700</v>
      </c>
    </row>
    <row r="3" spans="1:18" x14ac:dyDescent="0.4">
      <c r="A3" s="19" t="s">
        <v>8</v>
      </c>
      <c r="B3" s="143">
        <v>296</v>
      </c>
      <c r="C3" s="144"/>
      <c r="E3" s="27" t="s">
        <v>72</v>
      </c>
      <c r="F3" s="24" t="s">
        <v>27</v>
      </c>
      <c r="G3" s="12">
        <v>45</v>
      </c>
      <c r="H3" s="88">
        <f>IF(B$20=0,0,G3/B$20)</f>
        <v>0.57692307692307687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682.35294117647061</v>
      </c>
      <c r="Q3" s="77">
        <v>34</v>
      </c>
      <c r="R3" s="64">
        <v>23200</v>
      </c>
    </row>
    <row r="4" spans="1:18" x14ac:dyDescent="0.4">
      <c r="A4" s="19" t="s">
        <v>6</v>
      </c>
      <c r="B4" s="145">
        <v>59.89999999999997</v>
      </c>
      <c r="C4" s="146"/>
      <c r="E4" s="27" t="s">
        <v>64</v>
      </c>
      <c r="F4" s="24" t="s">
        <v>20</v>
      </c>
      <c r="G4" s="12">
        <v>38</v>
      </c>
      <c r="H4" s="88">
        <f>IF(B$20=0,0,G4/B$20)</f>
        <v>0.48717948717948717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1012.1212121212121</v>
      </c>
      <c r="Q4" s="77">
        <v>33</v>
      </c>
      <c r="R4" s="64">
        <v>33400</v>
      </c>
    </row>
    <row r="5" spans="1:18" x14ac:dyDescent="0.4">
      <c r="A5" s="19" t="s">
        <v>7</v>
      </c>
      <c r="B5" s="133">
        <f>IF(B$2=0,0,B$4/B$2)</f>
        <v>1.761764705882352</v>
      </c>
      <c r="C5" s="134"/>
      <c r="E5" s="27" t="s">
        <v>159</v>
      </c>
      <c r="F5" s="24" t="s">
        <v>160</v>
      </c>
      <c r="G5" s="12">
        <v>35</v>
      </c>
      <c r="H5" s="88">
        <f>IF(B$20=0,0,G5/B$20)</f>
        <v>0.44871794871794873</v>
      </c>
      <c r="I5" s="58">
        <v>4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-2565.5172413793102</v>
      </c>
      <c r="Q5" s="77">
        <v>29</v>
      </c>
      <c r="R5" s="64">
        <v>-74400</v>
      </c>
    </row>
    <row r="6" spans="1:18" x14ac:dyDescent="0.4">
      <c r="A6" s="19" t="s">
        <v>196</v>
      </c>
      <c r="B6" s="137">
        <v>1552.0582707777592</v>
      </c>
      <c r="C6" s="138"/>
      <c r="E6" s="27" t="s">
        <v>68</v>
      </c>
      <c r="F6" s="24" t="s">
        <v>12</v>
      </c>
      <c r="G6" s="12">
        <v>20</v>
      </c>
      <c r="H6" s="88">
        <f>IF(B$20=0,0,G6/B$20)</f>
        <v>0.25641025641025639</v>
      </c>
      <c r="I6" s="58">
        <v>11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2296.1538461538462</v>
      </c>
      <c r="Q6" s="77">
        <v>26</v>
      </c>
      <c r="R6" s="64">
        <v>59700</v>
      </c>
    </row>
    <row r="7" spans="1:18" x14ac:dyDescent="0.4">
      <c r="A7" s="19" t="s">
        <v>1</v>
      </c>
      <c r="B7" s="147">
        <f>IF(B$2=0,0,(B$8*1+B$9*2+B$10*3)/B$2)</f>
        <v>1.911764705882353</v>
      </c>
      <c r="C7" s="148"/>
      <c r="E7" s="27" t="s">
        <v>67</v>
      </c>
      <c r="F7" s="24" t="s">
        <v>23</v>
      </c>
      <c r="G7" s="12">
        <v>17</v>
      </c>
      <c r="H7" s="88">
        <f>IF(B$20=0,0,G7/B$20)</f>
        <v>0.21794871794871795</v>
      </c>
      <c r="I7" s="58">
        <v>8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-890.90909090909088</v>
      </c>
      <c r="Q7" s="78">
        <v>22</v>
      </c>
      <c r="R7" s="65">
        <v>-19600</v>
      </c>
    </row>
    <row r="8" spans="1:18" x14ac:dyDescent="0.4">
      <c r="A8" s="19" t="s">
        <v>2</v>
      </c>
      <c r="B8" s="12">
        <v>10</v>
      </c>
      <c r="C8" s="6">
        <f t="shared" ref="C8:C15" si="1">IF(B$2=0,0,B8/B$2)</f>
        <v>0.29411764705882354</v>
      </c>
      <c r="E8" s="27" t="s">
        <v>65</v>
      </c>
      <c r="F8" s="24" t="s">
        <v>21</v>
      </c>
      <c r="G8" s="12">
        <v>14</v>
      </c>
      <c r="H8" s="88">
        <f>IF(B$20=0,0,G8/B$20)</f>
        <v>0.17948717948717949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0.5</v>
      </c>
      <c r="E9" s="27" t="s">
        <v>69</v>
      </c>
      <c r="F9" s="24" t="s">
        <v>24</v>
      </c>
      <c r="G9" s="12">
        <v>13</v>
      </c>
      <c r="H9" s="88">
        <f>IF(B$20=0,0,G9/B$20)</f>
        <v>0.16666666666666666</v>
      </c>
      <c r="I9" s="58">
        <v>2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0.20588235294117646</v>
      </c>
      <c r="E10" s="27" t="s">
        <v>89</v>
      </c>
      <c r="F10" s="24" t="s">
        <v>44</v>
      </c>
      <c r="G10" s="12">
        <v>8</v>
      </c>
      <c r="H10" s="88">
        <f>IF(B$20=0,0,G10/B$20)</f>
        <v>0.10256410256410256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34.799999999999997</v>
      </c>
      <c r="C11" s="110">
        <v>348</v>
      </c>
      <c r="E11" s="27" t="s">
        <v>86</v>
      </c>
      <c r="F11" s="24" t="s">
        <v>41</v>
      </c>
      <c r="G11" s="12">
        <v>7</v>
      </c>
      <c r="H11" s="88">
        <f>IF(B$20=0,0,G11/B$20)</f>
        <v>8.9743589743589744E-2</v>
      </c>
      <c r="I11" s="58">
        <v>2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-3.35</v>
      </c>
      <c r="Q11" s="77">
        <v>14</v>
      </c>
      <c r="R11" s="68">
        <v>-46.9</v>
      </c>
    </row>
    <row r="12" spans="1:18" x14ac:dyDescent="0.4">
      <c r="A12" s="20" t="s">
        <v>185</v>
      </c>
      <c r="B12" s="109">
        <f>IF(B9=0,0,C12/B9)</f>
        <v>-1.9941176470588236</v>
      </c>
      <c r="C12" s="110">
        <v>-33.9</v>
      </c>
      <c r="E12" s="27" t="s">
        <v>70</v>
      </c>
      <c r="F12" s="24" t="s">
        <v>25</v>
      </c>
      <c r="G12" s="12">
        <v>6</v>
      </c>
      <c r="H12" s="88">
        <f>IF(B$20=0,0,G12/B$20)</f>
        <v>7.6923076923076927E-2</v>
      </c>
      <c r="I12" s="58">
        <v>7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14.919999999999998</v>
      </c>
      <c r="Q12" s="78">
        <v>10</v>
      </c>
      <c r="R12" s="69">
        <v>149.19999999999999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4</v>
      </c>
      <c r="H13" s="88">
        <f>IF(B$20=0,0,G13/B$20)</f>
        <v>5.128205128205128E-2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-1.1694677871148471</v>
      </c>
      <c r="C14" s="134"/>
      <c r="E14" s="27" t="s">
        <v>71</v>
      </c>
      <c r="F14" s="24" t="s">
        <v>26</v>
      </c>
      <c r="G14" s="12">
        <v>2</v>
      </c>
      <c r="H14" s="88">
        <f>IF(B$20=0,0,G14/B$20)</f>
        <v>2.564102564102564E-2</v>
      </c>
      <c r="I14" s="58">
        <v>10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5.8823529411764705E-2</v>
      </c>
      <c r="E15" s="27" t="s">
        <v>79</v>
      </c>
      <c r="F15" s="24" t="s">
        <v>34</v>
      </c>
      <c r="G15" s="12">
        <v>2</v>
      </c>
      <c r="H15" s="88">
        <f>IF(B$20=0,0,G15/B$20)</f>
        <v>2.564102564102564E-2</v>
      </c>
      <c r="I15" s="58">
        <v>2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78</v>
      </c>
      <c r="C16" s="10">
        <f>IF(B$3=0,0,B16/B$3)</f>
        <v>0.26351351351351349</v>
      </c>
      <c r="E16" s="27" t="s">
        <v>81</v>
      </c>
      <c r="F16" s="24" t="s">
        <v>36</v>
      </c>
      <c r="G16" s="12">
        <v>2</v>
      </c>
      <c r="H16" s="88">
        <f>IF(B$20=0,0,G16/B$20)</f>
        <v>2.564102564102564E-2</v>
      </c>
      <c r="I16" s="58">
        <v>10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58</v>
      </c>
      <c r="C17" s="6">
        <f>IF(B$3=0,0,B17/B$3)</f>
        <v>0.19594594594594594</v>
      </c>
      <c r="E17" s="27" t="s">
        <v>77</v>
      </c>
      <c r="F17" s="24" t="s">
        <v>32</v>
      </c>
      <c r="G17" s="12">
        <v>1</v>
      </c>
      <c r="H17" s="88">
        <f>IF(B$20=0,0,G17/B$20)</f>
        <v>1.282051282051282E-2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0.51282051282051277</v>
      </c>
      <c r="E18" s="27" t="s">
        <v>78</v>
      </c>
      <c r="F18" s="24" t="s">
        <v>33</v>
      </c>
      <c r="G18" s="12">
        <v>1</v>
      </c>
      <c r="H18" s="88">
        <f>IF(B$20=0,0,G18/B$20)</f>
        <v>1.282051282051282E-2</v>
      </c>
      <c r="I18" s="58">
        <v>10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0.33928571428571352</v>
      </c>
      <c r="Q18" s="77">
        <v>28</v>
      </c>
      <c r="R18" s="68">
        <v>9.4999999999999787</v>
      </c>
    </row>
    <row r="19" spans="1:18" x14ac:dyDescent="0.4">
      <c r="A19" s="18" t="s">
        <v>124</v>
      </c>
      <c r="B19" s="11">
        <f>B25</f>
        <v>22</v>
      </c>
      <c r="C19" s="5">
        <f>IF(B$17=0,0,B19/B$17)</f>
        <v>0.37931034482758619</v>
      </c>
      <c r="E19" s="27" t="s">
        <v>91</v>
      </c>
      <c r="F19" s="24" t="s">
        <v>46</v>
      </c>
      <c r="G19" s="12">
        <v>1</v>
      </c>
      <c r="H19" s="88">
        <f>IF(B$20=0,0,G19/B$20)</f>
        <v>1.282051282051282E-2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78</v>
      </c>
      <c r="C20" s="5">
        <f>IF(B$3=0,0,B20/B$3)</f>
        <v>0.26351351351351349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27</v>
      </c>
      <c r="C21" s="6">
        <f>IF(B$3=0,0,B21/B$3)</f>
        <v>9.1216216216216214E-2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25</v>
      </c>
      <c r="C22" s="6">
        <f>IF(B$20=0,0,B22/B$20)</f>
        <v>0.32051282051282054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5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53</v>
      </c>
      <c r="C23" s="6">
        <f>IF(B$20=0,0,B23/B$20)</f>
        <v>0.67948717948717952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40</v>
      </c>
      <c r="C24" s="6">
        <f>IF(B$20=0,0,B24/B$20)</f>
        <v>0.51282051282051277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22</v>
      </c>
      <c r="C25" s="6">
        <f>IF(B$20=0,0,B25/B$20)</f>
        <v>0.28205128205128205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16</v>
      </c>
      <c r="C26" s="6">
        <f>IF(B$20=0,0,B26/B$20)</f>
        <v>0.20512820512820512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7982.0512820512822</v>
      </c>
      <c r="C27" s="8">
        <v>622600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7742.8571428571431</v>
      </c>
      <c r="C28" s="96">
        <v>433600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8590.9090909090901</v>
      </c>
      <c r="C29" s="96">
        <v>189000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-6151.8518518518522</v>
      </c>
      <c r="C30" s="96">
        <v>-166100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13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2</v>
      </c>
      <c r="C37" s="98">
        <f t="shared" ref="C37:C49" si="3">IF(B$20=0,0,B37/B$20)</f>
        <v>2.564102564102564E-2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13</v>
      </c>
      <c r="C38" s="6">
        <f t="shared" si="3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13" x14ac:dyDescent="0.4">
      <c r="A39" s="19" t="s">
        <v>168</v>
      </c>
      <c r="B39" s="124">
        <v>18</v>
      </c>
      <c r="C39" s="6">
        <f t="shared" si="3"/>
        <v>0.23076923076923078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22</v>
      </c>
      <c r="C40" s="6">
        <f t="shared" si="3"/>
        <v>0.28205128205128205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3"/>
        <v>0.11538461538461539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6</v>
      </c>
      <c r="C42" s="6">
        <f t="shared" si="3"/>
        <v>7.6923076923076927E-2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3.8461538461538464E-2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3"/>
        <v>5.128205128205128E-2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1.282051282051282E-2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45</v>
      </c>
      <c r="C2" s="142"/>
      <c r="E2" s="26" t="s">
        <v>66</v>
      </c>
      <c r="F2" s="23" t="s">
        <v>22</v>
      </c>
      <c r="G2" s="11">
        <v>84</v>
      </c>
      <c r="H2" s="87">
        <f>IF(B$20=0,0,G2/B$20)</f>
        <v>0.71186440677966101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-564.44444444444446</v>
      </c>
      <c r="Q2" s="76">
        <v>45</v>
      </c>
      <c r="R2" s="63">
        <v>-25400</v>
      </c>
    </row>
    <row r="3" spans="1:18" x14ac:dyDescent="0.4">
      <c r="A3" s="19" t="s">
        <v>8</v>
      </c>
      <c r="B3" s="143">
        <v>386</v>
      </c>
      <c r="C3" s="144"/>
      <c r="E3" s="27" t="s">
        <v>72</v>
      </c>
      <c r="F3" s="24" t="s">
        <v>27</v>
      </c>
      <c r="G3" s="12">
        <v>70</v>
      </c>
      <c r="H3" s="88">
        <f>IF(B$20=0,0,G3/B$20)</f>
        <v>0.59322033898305082</v>
      </c>
      <c r="I3" s="58">
        <v>7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786.66666666666663</v>
      </c>
      <c r="Q3" s="77">
        <v>45</v>
      </c>
      <c r="R3" s="64">
        <v>35400</v>
      </c>
    </row>
    <row r="4" spans="1:18" x14ac:dyDescent="0.4">
      <c r="A4" s="19" t="s">
        <v>6</v>
      </c>
      <c r="B4" s="145">
        <v>157.69999999999999</v>
      </c>
      <c r="C4" s="146"/>
      <c r="E4" s="27" t="s">
        <v>64</v>
      </c>
      <c r="F4" s="24" t="s">
        <v>20</v>
      </c>
      <c r="G4" s="12">
        <v>51</v>
      </c>
      <c r="H4" s="88">
        <f>IF(B$20=0,0,G4/B$20)</f>
        <v>0.43220338983050849</v>
      </c>
      <c r="I4" s="58">
        <v>7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1477.7777777777778</v>
      </c>
      <c r="Q4" s="77">
        <v>45</v>
      </c>
      <c r="R4" s="64">
        <v>66500</v>
      </c>
    </row>
    <row r="5" spans="1:18" x14ac:dyDescent="0.4">
      <c r="A5" s="19" t="s">
        <v>7</v>
      </c>
      <c r="B5" s="133">
        <f>IF(B$2=0,0,B$4/B$2)</f>
        <v>3.5044444444444443</v>
      </c>
      <c r="C5" s="134"/>
      <c r="E5" s="27" t="s">
        <v>159</v>
      </c>
      <c r="F5" s="24" t="s">
        <v>160</v>
      </c>
      <c r="G5" s="12">
        <v>38</v>
      </c>
      <c r="H5" s="88">
        <f>IF(B$20=0,0,G5/B$20)</f>
        <v>0.32203389830508472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-152.38095238095238</v>
      </c>
      <c r="Q5" s="77">
        <v>42</v>
      </c>
      <c r="R5" s="64">
        <v>-6400</v>
      </c>
    </row>
    <row r="6" spans="1:18" x14ac:dyDescent="0.4">
      <c r="A6" s="19" t="s">
        <v>196</v>
      </c>
      <c r="B6" s="137">
        <v>1534.3633776946201</v>
      </c>
      <c r="C6" s="138"/>
      <c r="E6" s="27" t="s">
        <v>67</v>
      </c>
      <c r="F6" s="24" t="s">
        <v>23</v>
      </c>
      <c r="G6" s="12">
        <v>31</v>
      </c>
      <c r="H6" s="88">
        <f>IF(B$20=0,0,G6/B$20)</f>
        <v>0.26271186440677968</v>
      </c>
      <c r="I6" s="58">
        <v>4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402.63157894736844</v>
      </c>
      <c r="Q6" s="77">
        <v>38</v>
      </c>
      <c r="R6" s="64">
        <v>15300</v>
      </c>
    </row>
    <row r="7" spans="1:18" x14ac:dyDescent="0.4">
      <c r="A7" s="19" t="s">
        <v>1</v>
      </c>
      <c r="B7" s="147">
        <f>IF(B$2=0,0,(B$8*1+B$9*2+B$10*3)/B$2)</f>
        <v>1.9111111111111112</v>
      </c>
      <c r="C7" s="148"/>
      <c r="E7" s="27" t="s">
        <v>68</v>
      </c>
      <c r="F7" s="24" t="s">
        <v>12</v>
      </c>
      <c r="G7" s="12">
        <v>31</v>
      </c>
      <c r="H7" s="88">
        <f>IF(B$20=0,0,G7/B$20)</f>
        <v>0.26271186440677968</v>
      </c>
      <c r="I7" s="58">
        <v>10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1491.6666666666667</v>
      </c>
      <c r="Q7" s="78">
        <v>36</v>
      </c>
      <c r="R7" s="65">
        <v>53700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0.4</v>
      </c>
      <c r="E8" s="27" t="s">
        <v>89</v>
      </c>
      <c r="F8" s="24" t="s">
        <v>44</v>
      </c>
      <c r="G8" s="12">
        <v>20</v>
      </c>
      <c r="H8" s="88">
        <f>IF(B$20=0,0,G8/B$20)</f>
        <v>0.16949152542372881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13</v>
      </c>
      <c r="C9" s="6">
        <f t="shared" si="1"/>
        <v>0.28888888888888886</v>
      </c>
      <c r="E9" s="27" t="s">
        <v>69</v>
      </c>
      <c r="F9" s="24" t="s">
        <v>24</v>
      </c>
      <c r="G9" s="12">
        <v>17</v>
      </c>
      <c r="H9" s="88">
        <f>IF(B$20=0,0,G9/B$20)</f>
        <v>0.1440677966101695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0.31111111111111112</v>
      </c>
      <c r="E10" s="27" t="s">
        <v>71</v>
      </c>
      <c r="F10" s="24" t="s">
        <v>26</v>
      </c>
      <c r="G10" s="12">
        <v>9</v>
      </c>
      <c r="H10" s="88">
        <f>IF(B$20=0,0,G10/B$20)</f>
        <v>7.6271186440677971E-2</v>
      </c>
      <c r="I10" s="58">
        <v>4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-1.4499999999999995</v>
      </c>
      <c r="Q10" s="76">
        <v>12</v>
      </c>
      <c r="R10" s="67">
        <v>-17.399999999999995</v>
      </c>
    </row>
    <row r="11" spans="1:18" x14ac:dyDescent="0.4">
      <c r="A11" s="20" t="s">
        <v>184</v>
      </c>
      <c r="B11" s="109">
        <f>IF(B8=0,0,C11/B8)</f>
        <v>31.938888888888886</v>
      </c>
      <c r="C11" s="110">
        <v>574.9</v>
      </c>
      <c r="E11" s="27" t="s">
        <v>65</v>
      </c>
      <c r="F11" s="24" t="s">
        <v>21</v>
      </c>
      <c r="G11" s="12">
        <v>8</v>
      </c>
      <c r="H11" s="88">
        <f>IF(B$20=0,0,G11/B$20)</f>
        <v>6.7796610169491525E-2</v>
      </c>
      <c r="I11" s="58">
        <v>10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0.66875000000000095</v>
      </c>
      <c r="Q11" s="77">
        <v>16</v>
      </c>
      <c r="R11" s="68">
        <v>10.700000000000015</v>
      </c>
    </row>
    <row r="12" spans="1:18" x14ac:dyDescent="0.4">
      <c r="A12" s="20" t="s">
        <v>185</v>
      </c>
      <c r="B12" s="109">
        <f>IF(B9=0,0,C12/B9)</f>
        <v>-1.4615384615384621</v>
      </c>
      <c r="C12" s="110">
        <v>-19.000000000000007</v>
      </c>
      <c r="E12" s="27" t="s">
        <v>86</v>
      </c>
      <c r="F12" s="24" t="s">
        <v>41</v>
      </c>
      <c r="G12" s="12">
        <v>7</v>
      </c>
      <c r="H12" s="88">
        <f>IF(B$20=0,0,G12/B$20)</f>
        <v>5.9322033898305086E-2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5.0847457627118647E-2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0.67816442816442546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4.2372881355932202E-2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4.4444444444444446E-2</v>
      </c>
      <c r="E15" s="27" t="s">
        <v>81</v>
      </c>
      <c r="F15" s="24" t="s">
        <v>36</v>
      </c>
      <c r="G15" s="12">
        <v>5</v>
      </c>
      <c r="H15" s="88">
        <f>IF(B$20=0,0,G15/B$20)</f>
        <v>4.2372881355932202E-2</v>
      </c>
      <c r="I15" s="58">
        <v>4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25.683333333333337</v>
      </c>
      <c r="Q15" s="76">
        <v>6</v>
      </c>
      <c r="R15" s="67">
        <v>154.10000000000002</v>
      </c>
    </row>
    <row r="16" spans="1:18" x14ac:dyDescent="0.4">
      <c r="A16" s="22" t="s">
        <v>121</v>
      </c>
      <c r="B16" s="15">
        <v>84</v>
      </c>
      <c r="C16" s="10">
        <f>IF(B$3=0,0,B16/B$3)</f>
        <v>0.21761658031088082</v>
      </c>
      <c r="E16" s="27" t="s">
        <v>91</v>
      </c>
      <c r="F16" s="24" t="s">
        <v>46</v>
      </c>
      <c r="G16" s="12">
        <v>5</v>
      </c>
      <c r="H16" s="88">
        <f>IF(B$20=0,0,G16/B$20)</f>
        <v>4.2372881355932202E-2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83</v>
      </c>
      <c r="C17" s="6">
        <f>IF(B$3=0,0,B17/B$3)</f>
        <v>0.21502590673575128</v>
      </c>
      <c r="E17" s="27" t="s">
        <v>78</v>
      </c>
      <c r="F17" s="24" t="s">
        <v>33</v>
      </c>
      <c r="G17" s="12">
        <v>4</v>
      </c>
      <c r="H17" s="88">
        <f>IF(B$20=0,0,G17/B$20)</f>
        <v>3.3898305084745763E-2</v>
      </c>
      <c r="I17" s="58">
        <v>5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50</v>
      </c>
      <c r="C18" s="5">
        <f>IF(B$16=0,0,B18/B$16)</f>
        <v>0.59523809523809523</v>
      </c>
      <c r="E18" s="27" t="s">
        <v>73</v>
      </c>
      <c r="F18" s="24" t="s">
        <v>28</v>
      </c>
      <c r="G18" s="12">
        <v>2</v>
      </c>
      <c r="H18" s="88">
        <f>IF(B$20=0,0,G18/B$20)</f>
        <v>1.6949152542372881E-2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11.56842105263158</v>
      </c>
      <c r="Q18" s="77">
        <v>19</v>
      </c>
      <c r="R18" s="68">
        <v>219.8</v>
      </c>
    </row>
    <row r="19" spans="1:18" x14ac:dyDescent="0.4">
      <c r="A19" s="18" t="s">
        <v>124</v>
      </c>
      <c r="B19" s="11">
        <f>B25</f>
        <v>40</v>
      </c>
      <c r="C19" s="5">
        <f>IF(B$17=0,0,B19/B$17)</f>
        <v>0.48192771084337349</v>
      </c>
      <c r="E19" s="27" t="s">
        <v>75</v>
      </c>
      <c r="F19" s="24" t="s">
        <v>30</v>
      </c>
      <c r="G19" s="12">
        <v>1</v>
      </c>
      <c r="H19" s="88">
        <f>IF(B$20=0,0,G19/B$20)</f>
        <v>8.4745762711864406E-3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>IF(Q19=0,0,R19/Q19)</f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118</v>
      </c>
      <c r="C20" s="5">
        <f>IF(B$3=0,0,B20/B$3)</f>
        <v>0.30569948186528495</v>
      </c>
      <c r="E20" s="27" t="s">
        <v>79</v>
      </c>
      <c r="F20" s="24" t="s">
        <v>34</v>
      </c>
      <c r="G20" s="12">
        <v>1</v>
      </c>
      <c r="H20" s="88">
        <f>IF(B$20=0,0,G20/B$20)</f>
        <v>8.4745762711864406E-3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-1.0399999999999996</v>
      </c>
      <c r="Q20" s="77">
        <v>25</v>
      </c>
      <c r="R20" s="68">
        <v>-25.999999999999989</v>
      </c>
    </row>
    <row r="21" spans="1:18" x14ac:dyDescent="0.4">
      <c r="A21" s="19" t="s">
        <v>13</v>
      </c>
      <c r="B21" s="12">
        <v>53</v>
      </c>
      <c r="C21" s="6">
        <f>IF(B$3=0,0,B21/B$3)</f>
        <v>0.13730569948186527</v>
      </c>
      <c r="E21" s="27" t="s">
        <v>93</v>
      </c>
      <c r="F21" s="24" t="s">
        <v>48</v>
      </c>
      <c r="G21" s="12">
        <v>1</v>
      </c>
      <c r="H21" s="88">
        <f>IF(B$20=0,0,G21/B$20)</f>
        <v>8.4745762711864406E-3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>IF(Q21=0,0,R21/Q21)</f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51</v>
      </c>
      <c r="C22" s="6">
        <f>IF(B$20=0,0,B22/B$20)</f>
        <v>0.43220338983050849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>IF(Q22=0,0,R22/Q22)</f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67</v>
      </c>
      <c r="C23" s="6">
        <f>IF(B$20=0,0,B23/B$20)</f>
        <v>0.56779661016949157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>IF(Q23=0,0,R23/Q23)</f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50</v>
      </c>
      <c r="C24" s="6">
        <f>IF(B$20=0,0,B24/B$20)</f>
        <v>0.42372881355932202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40</v>
      </c>
      <c r="C25" s="6">
        <f>IF(B$20=0,0,B25/B$20)</f>
        <v>0.33898305084745761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0.23728813559322035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7850</v>
      </c>
      <c r="C27" s="8">
        <v>926300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8225.6410256410254</v>
      </c>
      <c r="C28" s="96">
        <v>641600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7117.5</v>
      </c>
      <c r="C29" s="96">
        <v>284700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-6656.6037735849059</v>
      </c>
      <c r="C30" s="96">
        <v>-352800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2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86700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7.7720207253886009E-3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6.7796610169491525E-2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26</v>
      </c>
      <c r="C38" s="6">
        <f t="shared" si="2"/>
        <v>0.22033898305084745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23</v>
      </c>
      <c r="C39" s="6">
        <f t="shared" si="2"/>
        <v>0.19491525423728814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2"/>
        <v>0.16101694915254236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15</v>
      </c>
      <c r="C41" s="6">
        <f t="shared" si="2"/>
        <v>0.1271186440677966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13</v>
      </c>
      <c r="C42" s="6">
        <f t="shared" si="2"/>
        <v>0.11016949152542373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2"/>
        <v>4.2372881355932202E-2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2"/>
        <v>3.3898305084745763E-2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2"/>
        <v>8.4745762711864406E-3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2"/>
        <v>1.6949152542372881E-2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1</v>
      </c>
      <c r="C47" s="6">
        <f t="shared" si="2"/>
        <v>8.4745762711864406E-3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8.4745762711864406E-3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49</v>
      </c>
      <c r="C2" s="142"/>
      <c r="E2" s="26" t="s">
        <v>66</v>
      </c>
      <c r="F2" s="23" t="s">
        <v>22</v>
      </c>
      <c r="G2" s="11">
        <v>105</v>
      </c>
      <c r="H2" s="87">
        <f>IF(B$20=0,0,G2/B$20)</f>
        <v>0.74468085106382975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-334.69387755102042</v>
      </c>
      <c r="Q2" s="76">
        <v>49</v>
      </c>
      <c r="R2" s="63">
        <v>-16400</v>
      </c>
    </row>
    <row r="3" spans="1:18" x14ac:dyDescent="0.4">
      <c r="A3" s="19" t="s">
        <v>8</v>
      </c>
      <c r="B3" s="143">
        <v>422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0.63120567375886527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676.08695652173913</v>
      </c>
      <c r="Q3" s="77">
        <v>46</v>
      </c>
      <c r="R3" s="64">
        <v>31100</v>
      </c>
    </row>
    <row r="4" spans="1:18" x14ac:dyDescent="0.4">
      <c r="A4" s="19" t="s">
        <v>6</v>
      </c>
      <c r="B4" s="145">
        <v>248.19999999999993</v>
      </c>
      <c r="C4" s="146"/>
      <c r="E4" s="27" t="s">
        <v>159</v>
      </c>
      <c r="F4" s="24" t="s">
        <v>160</v>
      </c>
      <c r="G4" s="12">
        <v>67</v>
      </c>
      <c r="H4" s="88">
        <f>IF(B$20=0,0,G4/B$20)</f>
        <v>0.47517730496453903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985.10638297872345</v>
      </c>
      <c r="Q4" s="77">
        <v>47</v>
      </c>
      <c r="R4" s="64">
        <v>46300</v>
      </c>
    </row>
    <row r="5" spans="1:18" x14ac:dyDescent="0.4">
      <c r="A5" s="19" t="s">
        <v>7</v>
      </c>
      <c r="B5" s="133">
        <f>IF(B$2=0,0,B$4/B$2)</f>
        <v>5.0653061224489786</v>
      </c>
      <c r="C5" s="134"/>
      <c r="E5" s="27" t="s">
        <v>64</v>
      </c>
      <c r="F5" s="24" t="s">
        <v>20</v>
      </c>
      <c r="G5" s="12">
        <v>45</v>
      </c>
      <c r="H5" s="88">
        <f>IF(B$20=0,0,G5/B$20)</f>
        <v>0.31914893617021278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2222.7272727272725</v>
      </c>
      <c r="Q5" s="77">
        <v>44</v>
      </c>
      <c r="R5" s="64">
        <v>97800</v>
      </c>
    </row>
    <row r="6" spans="1:18" x14ac:dyDescent="0.4">
      <c r="A6" s="19" t="s">
        <v>196</v>
      </c>
      <c r="B6" s="137">
        <v>1578.1244171430706</v>
      </c>
      <c r="C6" s="138"/>
      <c r="E6" s="27" t="s">
        <v>68</v>
      </c>
      <c r="F6" s="24" t="s">
        <v>12</v>
      </c>
      <c r="G6" s="12">
        <v>34</v>
      </c>
      <c r="H6" s="88">
        <f>IF(B$20=0,0,G6/B$20)</f>
        <v>0.24113475177304963</v>
      </c>
      <c r="I6" s="58">
        <v>13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163.41463414634146</v>
      </c>
      <c r="Q6" s="77">
        <v>41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1.8367346938775511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0.1276595744680851</v>
      </c>
      <c r="I7" s="58">
        <v>12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20</v>
      </c>
      <c r="C8" s="6">
        <f t="shared" ref="C8:C15" si="1">IF(B$2=0,0,B8/B$2)</f>
        <v>0.40816326530612246</v>
      </c>
      <c r="E8" s="27" t="s">
        <v>70</v>
      </c>
      <c r="F8" s="24" t="s">
        <v>25</v>
      </c>
      <c r="G8" s="12">
        <v>18</v>
      </c>
      <c r="H8" s="88">
        <f>IF(B$20=0,0,G8/B$20)</f>
        <v>0.1276595744680851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0.34693877551020408</v>
      </c>
      <c r="E9" s="27" t="s">
        <v>89</v>
      </c>
      <c r="F9" s="24" t="s">
        <v>44</v>
      </c>
      <c r="G9" s="12">
        <v>18</v>
      </c>
      <c r="H9" s="88">
        <f>IF(B$20=0,0,G9/B$20)</f>
        <v>0.1276595744680851</v>
      </c>
      <c r="I9" s="58">
        <v>8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0.24489795918367346</v>
      </c>
      <c r="E10" s="27" t="s">
        <v>71</v>
      </c>
      <c r="F10" s="24" t="s">
        <v>26</v>
      </c>
      <c r="G10" s="12">
        <v>15</v>
      </c>
      <c r="H10" s="88">
        <f>IF(B$20=0,0,G10/B$20)</f>
        <v>0.10638297872340426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36.200000000000003</v>
      </c>
      <c r="C11" s="110">
        <v>724</v>
      </c>
      <c r="E11" s="27" t="s">
        <v>69</v>
      </c>
      <c r="F11" s="24" t="s">
        <v>24</v>
      </c>
      <c r="G11" s="12">
        <v>13</v>
      </c>
      <c r="H11" s="88">
        <f>IF(B$20=0,0,G11/B$20)</f>
        <v>9.2198581560283682E-2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-3.8117647058823527</v>
      </c>
      <c r="C12" s="110">
        <v>-64.8</v>
      </c>
      <c r="E12" s="27" t="s">
        <v>65</v>
      </c>
      <c r="F12" s="24" t="s">
        <v>21</v>
      </c>
      <c r="G12" s="12">
        <v>5</v>
      </c>
      <c r="H12" s="88">
        <f>IF(B$20=0,0,G12/B$20)</f>
        <v>3.5460992907801421E-2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0.16428571428571384</v>
      </c>
      <c r="Q12" s="78">
        <v>14</v>
      </c>
      <c r="R12" s="69">
        <v>2.2999999999999936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3.5460992907801421E-2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-0.62058823529411689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2.8368794326241134E-2</v>
      </c>
      <c r="I14" s="58">
        <v>6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8.1632653061224483E-2</v>
      </c>
      <c r="E15" s="27" t="s">
        <v>79</v>
      </c>
      <c r="F15" s="24" t="s">
        <v>34</v>
      </c>
      <c r="G15" s="12">
        <v>3</v>
      </c>
      <c r="H15" s="88">
        <f>IF(B$20=0,0,G15/B$20)</f>
        <v>2.1276595744680851E-2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85</v>
      </c>
      <c r="C16" s="10">
        <f>IF(B$3=0,0,B16/B$3)</f>
        <v>0.2014218009478673</v>
      </c>
      <c r="E16" s="27" t="s">
        <v>81</v>
      </c>
      <c r="F16" s="24" t="s">
        <v>36</v>
      </c>
      <c r="G16" s="12">
        <v>3</v>
      </c>
      <c r="H16" s="88">
        <f>IF(B$20=0,0,G16/B$20)</f>
        <v>2.1276595744680851E-2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116</v>
      </c>
      <c r="C17" s="6">
        <f>IF(B$3=0,0,B17/B$3)</f>
        <v>0.27488151658767773</v>
      </c>
      <c r="E17" s="27" t="s">
        <v>83</v>
      </c>
      <c r="F17" s="24" t="s">
        <v>38</v>
      </c>
      <c r="G17" s="12">
        <v>3</v>
      </c>
      <c r="H17" s="88">
        <f>IF(B$20=0,0,G17/B$20)</f>
        <v>2.1276595744680851E-2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45</v>
      </c>
      <c r="C18" s="5">
        <f>IF(B$16=0,0,B18/B$16)</f>
        <v>0.52941176470588236</v>
      </c>
      <c r="E18" s="27" t="s">
        <v>73</v>
      </c>
      <c r="F18" s="24" t="s">
        <v>28</v>
      </c>
      <c r="G18" s="12">
        <v>1</v>
      </c>
      <c r="H18" s="88">
        <f>IF(B$20=0,0,G18/B$20)</f>
        <v>7.0921985815602835E-3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0.41379310344827586</v>
      </c>
      <c r="E19" s="27" t="s">
        <v>88</v>
      </c>
      <c r="F19" s="24" t="s">
        <v>43</v>
      </c>
      <c r="G19" s="12">
        <v>1</v>
      </c>
      <c r="H19" s="88">
        <f>IF(B$20=0,0,G19/B$20)</f>
        <v>7.0921985815602835E-3</v>
      </c>
      <c r="I19" s="58">
        <v>2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141</v>
      </c>
      <c r="C20" s="5">
        <f>IF(B$3=0,0,B20/B$3)</f>
        <v>0.33412322274881517</v>
      </c>
      <c r="E20" s="27" t="s">
        <v>92</v>
      </c>
      <c r="F20" s="24" t="s">
        <v>47</v>
      </c>
      <c r="G20" s="12">
        <v>1</v>
      </c>
      <c r="H20" s="88">
        <f>IF(B$20=0,0,G20/B$20)</f>
        <v>7.0921985815602835E-3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49</v>
      </c>
      <c r="C21" s="6">
        <f>IF(B$3=0,0,B21/B$3)</f>
        <v>0.11611374407582939</v>
      </c>
      <c r="E21" s="27" t="s">
        <v>102</v>
      </c>
      <c r="F21" s="24" t="s">
        <v>57</v>
      </c>
      <c r="G21" s="12">
        <v>1</v>
      </c>
      <c r="H21" s="88">
        <f>IF(B$20=0,0,G21/B$20)</f>
        <v>7.0921985815602835E-3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3.7341463414634126</v>
      </c>
      <c r="Q21" s="77">
        <v>41</v>
      </c>
      <c r="R21" s="68">
        <v>153.09999999999991</v>
      </c>
    </row>
    <row r="22" spans="1:18" x14ac:dyDescent="0.4">
      <c r="A22" s="19" t="s">
        <v>12</v>
      </c>
      <c r="B22" s="12">
        <v>56</v>
      </c>
      <c r="C22" s="6">
        <f>IF(B$20=0,0,B22/B$20)</f>
        <v>0.3971631205673759</v>
      </c>
      <c r="E22" s="27" t="s">
        <v>155</v>
      </c>
      <c r="F22" s="24" t="s">
        <v>156</v>
      </c>
      <c r="G22" s="12">
        <v>1</v>
      </c>
      <c r="H22" s="88">
        <f>IF(B$20=0,0,G22/B$20)</f>
        <v>7.0921985815602835E-3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85</v>
      </c>
      <c r="C23" s="6">
        <f>IF(B$20=0,0,B23/B$20)</f>
        <v>0.6028368794326241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-25.683333333333334</v>
      </c>
      <c r="Q23" s="77">
        <v>6</v>
      </c>
      <c r="R23" s="68">
        <v>-154.1</v>
      </c>
    </row>
    <row r="24" spans="1:18" x14ac:dyDescent="0.4">
      <c r="A24" s="19" t="s">
        <v>183</v>
      </c>
      <c r="B24" s="12">
        <v>45</v>
      </c>
      <c r="C24" s="6">
        <f>IF(B$20=0,0,B24/B$20)</f>
        <v>0.31914893617021278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0.34042553191489361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48</v>
      </c>
      <c r="C26" s="6">
        <f>IF(B$20=0,0,B26/B$20)</f>
        <v>0.34042553191489361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7300</v>
      </c>
      <c r="C27" s="8">
        <v>1029300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8174.1935483870966</v>
      </c>
      <c r="C28" s="96">
        <v>760200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-7693.8775510204077</v>
      </c>
      <c r="C30" s="96">
        <v>-377000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13</v>
      </c>
      <c r="C37" s="98">
        <f t="shared" ref="C37:C49" si="2">IF(B$20=0,0,B37/B$20)</f>
        <v>9.2198581560283682E-2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2"/>
        <v>0.25531914893617019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2"/>
        <v>0.22695035460992907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2"/>
        <v>0.14184397163120568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21</v>
      </c>
      <c r="C41" s="6">
        <f t="shared" si="2"/>
        <v>0.14893617021276595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2.8368794326241134E-2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2"/>
        <v>5.6737588652482268E-2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1.4184397163120567E-2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2"/>
        <v>1.4184397163120567E-2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2"/>
        <v>7.0921985815602835E-3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1.4184397163120567E-2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18</v>
      </c>
      <c r="C2" s="142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140</v>
      </c>
      <c r="C3" s="144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-180.3</v>
      </c>
      <c r="C4" s="146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6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-10.016666666666667</v>
      </c>
      <c r="C5" s="134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8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1475.2783888604056</v>
      </c>
      <c r="C6" s="138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8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2.2222222222222223</v>
      </c>
      <c r="C7" s="148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11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10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6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-1.3125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74600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12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8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12</v>
      </c>
      <c r="C2" s="142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43">
        <v>103</v>
      </c>
      <c r="C3" s="144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45">
        <v>-39.5</v>
      </c>
      <c r="C4" s="146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33">
        <f>IF(B$2=0,0,B$4/B$2)</f>
        <v>-3.2916666666666665</v>
      </c>
      <c r="C5" s="134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37">
        <v>1396.3170423346389</v>
      </c>
      <c r="C6" s="138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47">
        <f>IF(B$2=0,0,(B$8*1+B$9*2+B$10*3)/B$2)</f>
        <v>1.9166666666666667</v>
      </c>
      <c r="C7" s="148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3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4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-6.7477777777777765</v>
      </c>
      <c r="C14" s="134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11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2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2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6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5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3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2020-12-10T08:06:53Z</dcterms:modified>
</cp:coreProperties>
</file>