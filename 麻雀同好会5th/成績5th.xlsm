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1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4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6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7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0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3C21C665-B8ED-49E5-9AFC-F461075BA2A4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いっしー" sheetId="7004" r:id="rId18"/>
    <sheet name="いっしー2" sheetId="7005" state="hidden" r:id="rId19"/>
    <sheet name="やなぎ2" sheetId="7003" state="hidden" r:id="rId20"/>
    <sheet name="わさび2" sheetId="7001" state="hidden" r:id="rId21"/>
    <sheet name="りくと2" sheetId="6999" state="hidden" r:id="rId22"/>
    <sheet name="のり2" sheetId="6997" state="hidden" r:id="rId23"/>
    <sheet name="たか2" sheetId="6995" state="hidden" r:id="rId24"/>
    <sheet name="ただ2" sheetId="6993" state="hidden" r:id="rId25"/>
    <sheet name="いちかわ2" sheetId="6991" state="hidden" r:id="rId26"/>
    <sheet name="まっつん2" sheetId="6989" state="hidden" r:id="rId27"/>
    <sheet name="たかの2" sheetId="6987" state="hidden" r:id="rId28"/>
    <sheet name="れんたろう2" sheetId="6985" state="hidden" r:id="rId29"/>
    <sheet name="だいち2" sheetId="6983" state="hidden" r:id="rId30"/>
    <sheet name="全体2" sheetId="698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リーチ率" sheetId="3524" state="hidden" r:id="rId42"/>
    <sheet name="副露率" sheetId="3525" state="hidden" r:id="rId43"/>
    <sheet name="リーチ成功率" sheetId="4841" state="hidden" r:id="rId44"/>
    <sheet name="副露成功率" sheetId="3527" state="hidden" r:id="rId45"/>
    <sheet name="ツモ率" sheetId="3528" state="hidden" r:id="rId46"/>
  </sheets>
  <definedNames>
    <definedName name="アガリ数" localSheetId="3">Template1!$B$20</definedName>
    <definedName name="アガリ数" localSheetId="10">いちかわ!$B$20</definedName>
    <definedName name="アガリ数" localSheetId="17">いっしー!$B$20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17">いっしー!$C$20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17">いっしー!$B$26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17">いっしー!$C$26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17">いっしー!$B$35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17">いっしー!$C$35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17">いっしー!$B$22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17">いっしー!$C$22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17">いっしー!$B$8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17">いっしー!$C$8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17">いっしー!$B$14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17">いっしー!$B$15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17">いっしー!$C$15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17">いっしー!$B$10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17">いっしー!$C$10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17">いっしー!$B$24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17">いっしー!$C$24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17">いっしー!$B$16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17">いっしー!$B$18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17">いっしー!$C$18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17">いっしー!$C$16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17">いっしー!$B$6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17">いっしー!$B$23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17">いっしー!$C$23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17">いっしー!$B$11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17">いっしー!$C$11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17">いっしー!$B$37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17">いっしー!$C$37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17">いっしー!$C$31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17">いっしー!$C$32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17">いっしー!$B$34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17">いっしー!$B$33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17">いっしー!$B$34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17">いっしー!$B$13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17">いっしー!$C$13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17">いっしー!$B$3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17">いっしー!$B$2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17">いっしー!$C$27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17">いっしー!$B$4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17">いっしー!$C$29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17">いっしー!$C$30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17">いっしー!$C$28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17">いっしー!$B$12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17">いっしー!$B$9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17">いっしー!$C$12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17">いっしー!$C$9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17">いっしー!$B$25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17">いっしー!$B$29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17">いっしー!$C$25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17">いっしー!$B$17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17">いっしー!$B$19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17">いっしー!$C$19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17">いっしー!$C$17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17">いっしー!$B$27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17">いっしー!$B$5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17">いっしー!$B$7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17">いっしー!$B$30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17">いっしー!$B$21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17">いっしー!$C$21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17">いっしー!$B$1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17">いっしー!$B$28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17">いっしー!$B$31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17">いっしー!$B$32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982" l="1"/>
  <c r="P16" i="6984"/>
  <c r="P15" i="6980"/>
  <c r="P16" i="7004"/>
  <c r="P15" i="7004"/>
  <c r="C35" i="7004"/>
  <c r="B30" i="7004"/>
  <c r="C21" i="7004"/>
  <c r="B20" i="7004"/>
  <c r="H51" i="7004" s="1"/>
  <c r="B19" i="7004"/>
  <c r="B29" i="7004" s="1"/>
  <c r="B18" i="7004"/>
  <c r="C18" i="7004" s="1"/>
  <c r="C17" i="7004"/>
  <c r="C16" i="7004"/>
  <c r="C15" i="7004"/>
  <c r="B14" i="7004"/>
  <c r="B13" i="7004"/>
  <c r="P12" i="7004"/>
  <c r="B12" i="7004"/>
  <c r="P11" i="7004"/>
  <c r="B11" i="7004"/>
  <c r="P10" i="7004"/>
  <c r="C10" i="7004"/>
  <c r="C9" i="7004"/>
  <c r="C8" i="7004"/>
  <c r="P7" i="7004"/>
  <c r="B7" i="7004"/>
  <c r="P6" i="7004"/>
  <c r="P5" i="7004"/>
  <c r="B5" i="7004"/>
  <c r="P4" i="7004"/>
  <c r="P3" i="7004"/>
  <c r="P2" i="7004"/>
  <c r="C19" i="7004" l="1"/>
  <c r="H6" i="7004"/>
  <c r="H4" i="7004"/>
  <c r="H10" i="7004"/>
  <c r="H19" i="7004"/>
  <c r="C39" i="7004"/>
  <c r="H46" i="7004"/>
  <c r="H40" i="7004"/>
  <c r="H13" i="7004"/>
  <c r="H47" i="7004"/>
  <c r="H14" i="7004"/>
  <c r="H32" i="7004"/>
  <c r="C23" i="7004"/>
  <c r="H16" i="7004"/>
  <c r="C24" i="7004"/>
  <c r="H5" i="7004"/>
  <c r="H25" i="7004"/>
  <c r="C47" i="7004"/>
  <c r="H42" i="7004"/>
  <c r="H48" i="7004"/>
  <c r="H49" i="7004"/>
  <c r="H41" i="7004"/>
  <c r="H35" i="7004"/>
  <c r="H3" i="7004"/>
  <c r="C26" i="7004"/>
  <c r="H43" i="7004"/>
  <c r="H2" i="7004"/>
  <c r="H17" i="7004"/>
  <c r="H22" i="7004"/>
  <c r="C43" i="7004"/>
  <c r="H50" i="7004"/>
  <c r="H34" i="7004"/>
  <c r="H9" i="7004"/>
  <c r="H8" i="7004"/>
  <c r="H20" i="7004"/>
  <c r="B27" i="7004"/>
  <c r="H37" i="7004"/>
  <c r="H38" i="7004"/>
  <c r="H44" i="7004"/>
  <c r="H7" i="7004"/>
  <c r="H12" i="7004"/>
  <c r="C25" i="7004"/>
  <c r="C20" i="7004"/>
  <c r="B28" i="7004"/>
  <c r="H15" i="7004"/>
  <c r="H18" i="7004"/>
  <c r="C22" i="7004"/>
  <c r="H29" i="7004"/>
  <c r="H39" i="7004"/>
  <c r="H45" i="7004"/>
  <c r="H52" i="7004"/>
  <c r="H21" i="7004"/>
  <c r="H11" i="7004"/>
  <c r="H26" i="7004"/>
  <c r="H30" i="7004"/>
  <c r="H36" i="7004"/>
  <c r="C40" i="7004"/>
  <c r="C44" i="7004"/>
  <c r="C48" i="7004"/>
  <c r="H23" i="7004"/>
  <c r="H27" i="7004"/>
  <c r="H31" i="7004"/>
  <c r="C37" i="7004"/>
  <c r="C41" i="7004"/>
  <c r="C45" i="7004"/>
  <c r="C49" i="7004"/>
  <c r="H24" i="7004"/>
  <c r="H28" i="7004"/>
  <c r="H33" i="7004"/>
  <c r="C38" i="7004"/>
  <c r="C42" i="7004"/>
  <c r="C46" i="7004"/>
  <c r="P17" i="6992" l="1"/>
  <c r="P16" i="7002"/>
  <c r="P15" i="6982" l="1"/>
  <c r="P19" i="6984"/>
  <c r="P16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7" i="6984"/>
  <c r="P21" i="6998" l="1"/>
  <c r="P15" i="6986"/>
  <c r="P19" i="6998" l="1"/>
  <c r="P18" i="6988"/>
  <c r="P21" i="6984" l="1"/>
  <c r="P16" i="6988"/>
  <c r="P15" i="6998" l="1"/>
  <c r="P24" i="6984"/>
  <c r="P17" i="6986" l="1"/>
  <c r="P20" i="6988"/>
  <c r="P22" i="6992"/>
  <c r="P15" i="6988"/>
  <c r="P19" i="6994" l="1"/>
  <c r="P16" i="6986"/>
  <c r="P18" i="6998" l="1"/>
  <c r="P19" i="6982"/>
  <c r="P23" i="6990" l="1"/>
  <c r="P18" i="6986"/>
  <c r="P15" i="6992" l="1"/>
  <c r="P19" i="6992"/>
  <c r="P20" i="6998"/>
  <c r="P17" i="7000"/>
  <c r="P16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20" i="6980"/>
  <c r="P17" i="6998"/>
  <c r="P16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8" i="6980"/>
  <c r="C41" i="6998" l="1"/>
  <c r="C23" i="6998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2" i="6998"/>
  <c r="H17" i="6998"/>
  <c r="H15" i="6998"/>
  <c r="C24" i="6998"/>
  <c r="H38" i="6998"/>
  <c r="C43" i="6998"/>
  <c r="C49" i="6998"/>
  <c r="H26" i="6998"/>
  <c r="H39" i="6998"/>
  <c r="H44" i="6998"/>
  <c r="H50" i="6998"/>
  <c r="H14" i="6998"/>
  <c r="C20" i="6998"/>
  <c r="C25" i="6998"/>
  <c r="H32" i="6998"/>
  <c r="C39" i="6998"/>
  <c r="H45" i="6998"/>
  <c r="H3" i="6998"/>
  <c r="H31" i="6998"/>
  <c r="H6" i="6998"/>
  <c r="H2" i="6998"/>
  <c r="H8" i="6998"/>
  <c r="H13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1" i="6998"/>
  <c r="H33" i="6998"/>
  <c r="C38" i="6998"/>
  <c r="C42" i="6998"/>
  <c r="C46" i="6998"/>
  <c r="P22" i="6984" l="1"/>
  <c r="P20" i="6992"/>
  <c r="P15" i="6990"/>
  <c r="P16" i="6992"/>
  <c r="P23" i="6992"/>
  <c r="P18" i="6994"/>
  <c r="P17" i="6990"/>
  <c r="P20" i="6994"/>
  <c r="P23" i="6984"/>
  <c r="P15" i="6984"/>
  <c r="P18" i="6996" l="1"/>
  <c r="P16" i="6994"/>
  <c r="P17" i="6982"/>
  <c r="P22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8" i="6990"/>
  <c r="P17" i="6980"/>
  <c r="P19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3" i="6994"/>
  <c r="H19" i="6994"/>
  <c r="H22" i="6994"/>
  <c r="C24" i="6994"/>
  <c r="B28" i="6994"/>
  <c r="H34" i="6994"/>
  <c r="H39" i="6994"/>
  <c r="H43" i="6994"/>
  <c r="H47" i="6994"/>
  <c r="H5" i="6994"/>
  <c r="H24" i="6994"/>
  <c r="H12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1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4" i="6982"/>
  <c r="P26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3" i="6992"/>
  <c r="H32" i="6992"/>
  <c r="H37" i="6992"/>
  <c r="C39" i="6992"/>
  <c r="C43" i="6992"/>
  <c r="C47" i="6992"/>
  <c r="H52" i="6992"/>
  <c r="H18" i="6992"/>
  <c r="H25" i="6992"/>
  <c r="C25" i="6992"/>
  <c r="H42" i="6992"/>
  <c r="H45" i="6992"/>
  <c r="H49" i="6992"/>
  <c r="H9" i="6992"/>
  <c r="C42" i="6992"/>
  <c r="H22" i="6992"/>
  <c r="H7" i="6992"/>
  <c r="H8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1" i="6992"/>
  <c r="H46" i="6992"/>
  <c r="H50" i="6992"/>
  <c r="H6" i="6992"/>
  <c r="H10" i="6992"/>
  <c r="H23" i="6992"/>
  <c r="H29" i="6992"/>
  <c r="H19" i="6992"/>
  <c r="H20" i="6992"/>
  <c r="C37" i="6992"/>
  <c r="C41" i="6992"/>
  <c r="C45" i="6992"/>
  <c r="C49" i="6992"/>
  <c r="H12" i="6992"/>
  <c r="H14" i="6992"/>
  <c r="H16" i="6992"/>
  <c r="C23" i="6992"/>
  <c r="B27" i="6992"/>
  <c r="H34" i="6992"/>
  <c r="H40" i="6992"/>
  <c r="H43" i="6992"/>
  <c r="H47" i="6992"/>
  <c r="P23" i="6982" l="1"/>
  <c r="P21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4" i="6980"/>
  <c r="P19" i="6988"/>
  <c r="P17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5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0" i="6990"/>
  <c r="C24" i="6990"/>
  <c r="B28" i="6990"/>
  <c r="H34" i="6990"/>
  <c r="H39" i="6990"/>
  <c r="H43" i="6990"/>
  <c r="H47" i="6990"/>
  <c r="H5" i="6990"/>
  <c r="H26" i="6990"/>
  <c r="H12" i="6990"/>
  <c r="H31" i="6990"/>
  <c r="H35" i="6990"/>
  <c r="C39" i="6990"/>
  <c r="C43" i="6990"/>
  <c r="C47" i="6990"/>
  <c r="H52" i="6990"/>
  <c r="H18" i="6990"/>
  <c r="H23" i="6990"/>
  <c r="C25" i="6990"/>
  <c r="H40" i="6990"/>
  <c r="H44" i="6990"/>
  <c r="H48" i="6990"/>
  <c r="H33" i="6990"/>
  <c r="C42" i="6990"/>
  <c r="H51" i="6990"/>
  <c r="H2" i="6990"/>
  <c r="H6" i="6990"/>
  <c r="H14" i="6990"/>
  <c r="H25" i="6990"/>
  <c r="H13" i="6990"/>
  <c r="H29" i="6990"/>
  <c r="H16" i="6990"/>
  <c r="H36" i="6990"/>
  <c r="C40" i="6990"/>
  <c r="C44" i="6990"/>
  <c r="C48" i="6990"/>
  <c r="H4" i="6990"/>
  <c r="H24" i="6990"/>
  <c r="C22" i="6990"/>
  <c r="C26" i="6990"/>
  <c r="H37" i="6990"/>
  <c r="H41" i="6990"/>
  <c r="H45" i="6990"/>
  <c r="H49" i="6990"/>
  <c r="H7" i="6990"/>
  <c r="H11" i="6990"/>
  <c r="H22" i="6990"/>
  <c r="H27" i="6990"/>
  <c r="H30" i="6990"/>
  <c r="H32" i="6990"/>
  <c r="C37" i="6990"/>
  <c r="C41" i="6990"/>
  <c r="C45" i="6990"/>
  <c r="C49" i="6990"/>
  <c r="H10" i="6990"/>
  <c r="H17" i="6990"/>
  <c r="H15" i="6990"/>
  <c r="C23" i="6990"/>
  <c r="B27" i="6990"/>
  <c r="H21" i="6990"/>
  <c r="H38" i="6990"/>
  <c r="H42" i="6990"/>
  <c r="H46" i="6990"/>
  <c r="C20" i="6988"/>
  <c r="H3" i="6988"/>
  <c r="H28" i="6988"/>
  <c r="H33" i="6988"/>
  <c r="C42" i="6988"/>
  <c r="H51" i="6988"/>
  <c r="H2" i="6988"/>
  <c r="H9" i="6988"/>
  <c r="H23" i="6988"/>
  <c r="H17" i="6988"/>
  <c r="C24" i="6988"/>
  <c r="B28" i="6988"/>
  <c r="H34" i="6988"/>
  <c r="H39" i="6988"/>
  <c r="H43" i="6988"/>
  <c r="H47" i="6988"/>
  <c r="H5" i="6988"/>
  <c r="H26" i="6988"/>
  <c r="H10" i="6988"/>
  <c r="H19" i="6988"/>
  <c r="H35" i="6988"/>
  <c r="C39" i="6988"/>
  <c r="C43" i="6988"/>
  <c r="C47" i="6988"/>
  <c r="H52" i="6988"/>
  <c r="H21" i="6988"/>
  <c r="H24" i="6988"/>
  <c r="C25" i="6988"/>
  <c r="H40" i="6988"/>
  <c r="H44" i="6988"/>
  <c r="H48" i="6988"/>
  <c r="H11" i="6988"/>
  <c r="C38" i="6988"/>
  <c r="C46" i="6988"/>
  <c r="H7" i="6988"/>
  <c r="H12" i="6988"/>
  <c r="H25" i="6988"/>
  <c r="H13" i="6988"/>
  <c r="H29" i="6988"/>
  <c r="H20" i="6988"/>
  <c r="H36" i="6988"/>
  <c r="C40" i="6988"/>
  <c r="C44" i="6988"/>
  <c r="C48" i="6988"/>
  <c r="H4" i="6988"/>
  <c r="H18" i="6988"/>
  <c r="C22" i="6988"/>
  <c r="C26" i="6988"/>
  <c r="H37" i="6988"/>
  <c r="H41" i="6988"/>
  <c r="H45" i="6988"/>
  <c r="H49" i="6988"/>
  <c r="H6" i="6988"/>
  <c r="H15" i="6988"/>
  <c r="H22" i="6988"/>
  <c r="H27" i="6988"/>
  <c r="H30" i="6988"/>
  <c r="H31" i="6988"/>
  <c r="C37" i="6988"/>
  <c r="C41" i="6988"/>
  <c r="C45" i="6988"/>
  <c r="C49" i="6988"/>
  <c r="H8" i="6988"/>
  <c r="H16" i="6988"/>
  <c r="H14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0" i="6984"/>
  <c r="P18" i="6984"/>
  <c r="C43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3" i="6980"/>
  <c r="P20" i="6982"/>
  <c r="P18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1" i="6980"/>
  <c r="P22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B14" i="6984" l="1"/>
  <c r="H9" i="6984"/>
  <c r="C19" i="6984"/>
  <c r="H10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9" i="6984"/>
  <c r="H7" i="6984"/>
  <c r="H21" i="6984"/>
  <c r="C22" i="6984"/>
  <c r="H2" i="6984"/>
  <c r="H20" i="6984"/>
  <c r="H4" i="6984"/>
  <c r="H30" i="6984"/>
  <c r="C41" i="6984"/>
  <c r="C19" i="6986"/>
  <c r="C20" i="6986"/>
  <c r="H2" i="6986"/>
  <c r="H30" i="6986"/>
  <c r="H9" i="6986"/>
  <c r="H34" i="6986"/>
  <c r="C38" i="6986"/>
  <c r="C42" i="6986"/>
  <c r="C46" i="6986"/>
  <c r="H51" i="6986"/>
  <c r="H3" i="6986"/>
  <c r="H11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8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0" i="6986"/>
  <c r="H15" i="6986"/>
  <c r="H14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3" i="6984"/>
  <c r="C39" i="6984"/>
  <c r="C49" i="6984"/>
  <c r="H41" i="6984"/>
  <c r="H52" i="6984"/>
  <c r="H28" i="6984"/>
  <c r="H14" i="6984"/>
  <c r="H31" i="6984"/>
  <c r="H16" i="6984"/>
  <c r="H37" i="6984"/>
  <c r="C40" i="6984"/>
  <c r="C44" i="6984"/>
  <c r="C48" i="6984"/>
  <c r="H38" i="6984"/>
  <c r="H42" i="6984"/>
  <c r="H46" i="6984"/>
  <c r="H50" i="6984"/>
  <c r="H18" i="6984"/>
  <c r="H15" i="6984"/>
  <c r="C23" i="6984"/>
  <c r="B27" i="6984"/>
  <c r="H33" i="6984"/>
  <c r="H39" i="6984"/>
  <c r="H43" i="6984"/>
  <c r="H47" i="6984"/>
  <c r="H51" i="6984"/>
  <c r="H22" i="6984"/>
  <c r="H8" i="6984"/>
  <c r="H34" i="6984"/>
  <c r="C38" i="6984"/>
  <c r="C42" i="6984"/>
  <c r="C46" i="6984"/>
  <c r="H17" i="6984"/>
  <c r="C24" i="6984"/>
  <c r="B28" i="6984"/>
  <c r="H35" i="6984"/>
  <c r="H40" i="6984"/>
  <c r="H44" i="6984"/>
  <c r="H48" i="6984"/>
  <c r="C19" i="6980"/>
  <c r="C20" i="6982"/>
  <c r="H3" i="6982"/>
  <c r="H22" i="6982"/>
  <c r="H34" i="6982"/>
  <c r="C42" i="6982"/>
  <c r="H15" i="6982"/>
  <c r="H2" i="6982"/>
  <c r="H8" i="6982"/>
  <c r="H21" i="6982"/>
  <c r="H18" i="6982"/>
  <c r="C24" i="6982"/>
  <c r="B28" i="6982"/>
  <c r="H35" i="6982"/>
  <c r="H40" i="6982"/>
  <c r="H44" i="6982"/>
  <c r="H48" i="6982"/>
  <c r="H5" i="6982"/>
  <c r="H31" i="6982"/>
  <c r="H12" i="6982"/>
  <c r="H26" i="6982"/>
  <c r="H36" i="6982"/>
  <c r="C39" i="6982"/>
  <c r="C43" i="6982"/>
  <c r="C47" i="6982"/>
  <c r="H52" i="6982"/>
  <c r="H20" i="6982"/>
  <c r="H29" i="6982"/>
  <c r="C25" i="6982"/>
  <c r="H41" i="6982"/>
  <c r="H45" i="6982"/>
  <c r="H49" i="6982"/>
  <c r="H10" i="6982"/>
  <c r="C38" i="6982"/>
  <c r="C46" i="6982"/>
  <c r="H7" i="6982"/>
  <c r="H9" i="6982"/>
  <c r="H23" i="6982"/>
  <c r="H13" i="6982"/>
  <c r="H32" i="6982"/>
  <c r="H17" i="6982"/>
  <c r="H37" i="6982"/>
  <c r="C40" i="6982"/>
  <c r="C44" i="6982"/>
  <c r="C48" i="6982"/>
  <c r="H4" i="6982"/>
  <c r="H30" i="6982"/>
  <c r="C22" i="6982"/>
  <c r="C26" i="6982"/>
  <c r="H38" i="6982"/>
  <c r="H42" i="6982"/>
  <c r="H46" i="6982"/>
  <c r="H50" i="6982"/>
  <c r="H6" i="6982"/>
  <c r="H14" i="6982"/>
  <c r="H28" i="6982"/>
  <c r="H24" i="6982"/>
  <c r="H25" i="6982"/>
  <c r="H27" i="6982"/>
  <c r="C37" i="6982"/>
  <c r="C41" i="6982"/>
  <c r="C45" i="6982"/>
  <c r="C49" i="6982"/>
  <c r="H11" i="6982"/>
  <c r="H16" i="6982"/>
  <c r="H19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29" i="6980"/>
  <c r="C39" i="6980"/>
  <c r="C45" i="6980"/>
  <c r="H33" i="6980"/>
  <c r="H9" i="6980"/>
  <c r="H2" i="6980"/>
  <c r="H10" i="6980"/>
  <c r="H46" i="6980"/>
  <c r="H7" i="6980"/>
  <c r="H13" i="6980"/>
  <c r="H21" i="6980"/>
  <c r="H26" i="6980"/>
  <c r="H48" i="6980"/>
  <c r="H25" i="6980"/>
  <c r="H43" i="6980"/>
  <c r="C47" i="6980"/>
  <c r="H49" i="6980"/>
  <c r="H22" i="6980"/>
  <c r="C25" i="6980"/>
  <c r="H30" i="6980"/>
  <c r="H6" i="6980"/>
  <c r="H12" i="6980"/>
  <c r="H32" i="6980"/>
  <c r="C26" i="6980"/>
  <c r="C41" i="6980"/>
  <c r="C49" i="6980"/>
  <c r="C20" i="6980"/>
  <c r="H38" i="6980"/>
  <c r="H11" i="6980"/>
  <c r="H34" i="6980"/>
  <c r="H45" i="6980"/>
  <c r="H5" i="6980"/>
  <c r="H37" i="6980"/>
  <c r="H24" i="6980"/>
  <c r="H3" i="6980"/>
  <c r="H19" i="6980"/>
  <c r="B28" i="6980"/>
  <c r="H40" i="6980"/>
  <c r="C43" i="6980"/>
  <c r="H52" i="6980"/>
  <c r="H28" i="6980"/>
  <c r="H14" i="6980"/>
  <c r="H35" i="6980"/>
  <c r="H17" i="6980"/>
  <c r="H39" i="6980"/>
  <c r="C40" i="6980"/>
  <c r="C44" i="6980"/>
  <c r="C48" i="6980"/>
  <c r="H31" i="6980"/>
  <c r="H50" i="6980"/>
  <c r="H16" i="6980"/>
  <c r="H15" i="6980"/>
  <c r="C23" i="6980"/>
  <c r="B27" i="6980"/>
  <c r="H27" i="6980"/>
  <c r="H41" i="6980"/>
  <c r="H44" i="6980"/>
  <c r="H47" i="6980"/>
  <c r="H51" i="6980"/>
  <c r="H23" i="6980"/>
  <c r="H8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<sst xmlns="http://schemas.openxmlformats.org/spreadsheetml/2006/main" count="3519" uniqueCount="270">
  <si>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</si>
  <si>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</si>
  <si>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</si>
  <si>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</si>
  <si>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</si>
  <si>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</si>
  <si>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</si>
  <si>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</si>
  <si>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</si>
  <si>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</si>
  <si>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</si>
  <si>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</si>
  <si>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</si>
  <si>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</si>
  <si>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</si>
  <si>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</si>
  <si>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</si>
  <si>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</si>
  <si>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</si>
  <si>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</si>
  <si>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</si>
  <si>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</si>
  <si>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</si>
  <si>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</si>
  <si>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</si>
  <si>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</si>
  <si>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</si>
  <si>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</si>
  <si>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</si>
  <si>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</si>
  <si>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</si>
  <si>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</si>
  <si>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</si>
  <si>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</si>
  <si>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</si>
  <si>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</si>
  <si>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</si>
  <si>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</si>
  <si>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</si>
  <si>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</si>
  <si>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</si>
  <si>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</si>
  <si>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</si>
  <si>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</si>
  <si>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</si>
  <si>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</si>
  <si>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</si>
  <si>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</si>
  <si>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</si>
  <si>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</si>
  <si>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</si>
  <si>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</si>
  <si>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</si>
  <si>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</si>
  <si>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</si>
  <si>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</si>
  <si>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</si>
  <si>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</si>
  <si>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</si>
  <si>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</si>
  <si>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</si>
  <si>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</si>
  <si>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</si>
  <si>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</si>
  <si>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</si>
  <si>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</si>
  <si>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</si>
  <si>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</si>
  <si>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</si>
  <si>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</si>
  <si>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</si>
  <si>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</si>
  <si>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</si>
  <si>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</si>
  <si>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</si>
  <si>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</si>
  <si>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</si>
  <si>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</si>
  <si>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</si>
  <si>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</si>
  <si>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</si>
  <si>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</si>
  <si>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</si>
  <si>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</si>
  <si>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</si>
  <si>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</si>
  <si>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</si>
  <si>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</si>
  <si>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</si>
  <si>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</si>
  <si>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</si>
  <si>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</si>
  <si>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</si>
  <si>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</si>
  <si>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</si>
  <si>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</si>
  <si>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</si>
  <si>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</si>
  <si>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</si>
  <si>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</si>
  <si>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</si>
  <si>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</si>
  <si>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</si>
  <si>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</si>
  <si>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</si>
  <si>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</si>
  <si>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</si>
  <si>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</si>
  <si>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</si>
  <si>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</si>
  <si>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</si>
  <si>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</si>
  <si>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</si>
  <si>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</si>
  <si>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</si>
  <si>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</si>
  <si>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</si>
  <si>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</si>
  <si>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</si>
  <si>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</si>
  <si>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</si>
  <si>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</si>
  <si>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</si>
  <si>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</si>
  <si>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</si>
  <si>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</si>
  <si>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</si>
  <si>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</si>
  <si>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</si>
  <si>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</si>
  <si>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</si>
  <si>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</si>
  <si>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</si>
  <si>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</si>
  <si>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</si>
  <si>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</si>
  <si>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</si>
  <si>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</si>
  <si>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</si>
  <si>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</si>
  <si>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</si>
  <si>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</si>
  <si>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</si>
  <si>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</si>
  <si>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</si>
  <si>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</si>
  <si>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</si>
  <si>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</si>
  <si>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</si>
  <si>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</si>
  <si>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</si>
  <si>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</si>
  <si>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</si>
  <si>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</si>
  <si>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</si>
  <si>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</si>
  <si>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</si>
  <si>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</si>
  <si>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</si>
  <si>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</si>
  <si>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</si>
  <si>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</si>
  <si>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</si>
  <si>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</si>
  <si>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</si>
  <si>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</si>
  <si>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</si>
  <si>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</si>
  <si>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</si>
  <si>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</si>
  <si>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</si>
  <si>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</si>
  <si>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</si>
  <si>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</si>
  <si>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</si>
  <si>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</si>
  <si>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</si>
  <si>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</si>
  <si>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</si>
  <si>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</si>
  <si>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</si>
  <si>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</si>
  <si>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</si>
  <si>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</si>
  <si>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</si>
  <si>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</si>
  <si>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</si>
  <si>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</si>
  <si>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</si>
  <si>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</si>
  <si>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</si>
  <si>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</si>
  <si>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</si>
  <si>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</si>
  <si>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</si>
  <si>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</si>
  <si>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</si>
  <si>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</si>
  <si>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</si>
  <si>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</si>
  <si>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</si>
  <si>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</si>
  <si>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</si>
  <si>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</si>
  <si>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</si>
  <si>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</si>
  <si>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</si>
  <si>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</si>
  <si>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</si>
  <si>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</si>
  <si>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</si>
  <si>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</si>
  <si>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</si>
  <si>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</si>
  <si>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</si>
  <si>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</si>
  <si>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</si>
  <si>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</si>
  <si>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</si>
  <si>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</si>
  <si>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</si>
  <si>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</si>
  <si>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</si>
  <si>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</si>
  <si>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</si>
  <si>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</si>
  <si>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</si>
  <si>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</si>
  <si>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</si>
  <si>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</si>
  <si>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</si>
  <si>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</si>
  <si>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</si>
  <si>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</si>
  <si>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</si>
  <si>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</si>
  <si>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</si>
  <si>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</si>
  <si>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</si>
  <si>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</si>
  <si>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</si>
  <si>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</si>
  <si>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</si>
  <si>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</si>
  <si>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</si>
  <si>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</si>
  <si>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</si>
  <si>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</si>
  <si>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</si>
  <si>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</si>
  <si>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</si>
  <si>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</si>
  <si>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</si>
  <si>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</si>
  <si>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</si>
  <si>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</si>
  <si>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</si>
  <si>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</si>
  <si>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</si>
  <si>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</si>
  <si>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2020-12-01@0.xlsm</t>
  </si>
  <si>
    <t>2020-12-03@0.xlsm</t>
  </si>
  <si>
    <t>2020-12-08@0.xlsm</t>
  </si>
  <si>
    <t>いっしー</t>
    <phoneticPr fontId="1"/>
  </si>
  <si>
    <t>2020-12-09@0.xlsm</t>
  </si>
  <si>
    <t>2020-12-10@0.xlsm</t>
  </si>
  <si>
    <t>2020-12-11@0.xlsm</t>
  </si>
  <si>
    <t>2020-12-12@0.xlsm</t>
  </si>
  <si>
    <t>2020-12-14@0.xlsm</t>
  </si>
  <si>
    <t>2020-12-23@0.xlsm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</si>
</sst>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全体!$K$2:$K$416</c:f>
              <c:numCache>
                <c:formatCode>General</c:formatCode>
                <c:ptCount val="4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</c:numCache>
            </c:numRef>
          </c:xVal>
          <c:yVal>
            <c:numRef>
              <c:f>全体!$L$2:$L$416</c:f>
              <c:numCache>
                <c:formatCode>\+0.0;\-0.0;\±0</c:formatCode>
                <c:ptCount val="415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  <c:pt idx="361">
                  <c:v>16.000000000000036</c:v>
                </c:pt>
                <c:pt idx="362">
                  <c:v>48.000000000000036</c:v>
                </c:pt>
                <c:pt idx="363">
                  <c:v>3.5527136788005009E-14</c:v>
                </c:pt>
                <c:pt idx="364">
                  <c:v>-34.899999999999963</c:v>
                </c:pt>
                <c:pt idx="365">
                  <c:v>-8.8999999999999631</c:v>
                </c:pt>
                <c:pt idx="366">
                  <c:v>3.730349362740526E-14</c:v>
                </c:pt>
                <c:pt idx="367">
                  <c:v>-33.899999999999963</c:v>
                </c:pt>
                <c:pt idx="368">
                  <c:v>-32.299999999999962</c:v>
                </c:pt>
                <c:pt idx="369">
                  <c:v>3.5527136788005009E-14</c:v>
                </c:pt>
                <c:pt idx="370">
                  <c:v>-0.49999999999996447</c:v>
                </c:pt>
                <c:pt idx="371">
                  <c:v>-23.899999999999963</c:v>
                </c:pt>
                <c:pt idx="372">
                  <c:v>3.5527136788005009E-14</c:v>
                </c:pt>
                <c:pt idx="373">
                  <c:v>0.30000000000003552</c:v>
                </c:pt>
                <c:pt idx="374">
                  <c:v>37.400000000000034</c:v>
                </c:pt>
                <c:pt idx="375">
                  <c:v>3.5527136788005009E-14</c:v>
                </c:pt>
                <c:pt idx="376">
                  <c:v>-48.999999999999964</c:v>
                </c:pt>
                <c:pt idx="377">
                  <c:v>-59.999999999999964</c:v>
                </c:pt>
                <c:pt idx="378">
                  <c:v>3.5527136788005009E-14</c:v>
                </c:pt>
                <c:pt idx="379">
                  <c:v>-4.4999999999999645</c:v>
                </c:pt>
                <c:pt idx="380">
                  <c:v>24.200000000000035</c:v>
                </c:pt>
                <c:pt idx="381">
                  <c:v>3.5527136788005009E-14</c:v>
                </c:pt>
                <c:pt idx="382">
                  <c:v>49.400000000000034</c:v>
                </c:pt>
                <c:pt idx="383">
                  <c:v>50.500000000000036</c:v>
                </c:pt>
                <c:pt idx="384">
                  <c:v>3.5527136788005009E-14</c:v>
                </c:pt>
                <c:pt idx="385">
                  <c:v>40.600000000000037</c:v>
                </c:pt>
                <c:pt idx="386">
                  <c:v>51.80000000000004</c:v>
                </c:pt>
                <c:pt idx="387">
                  <c:v>4.2632564145606011E-14</c:v>
                </c:pt>
                <c:pt idx="388">
                  <c:v>-12.199999999999957</c:v>
                </c:pt>
                <c:pt idx="389">
                  <c:v>22.500000000000046</c:v>
                </c:pt>
                <c:pt idx="390">
                  <c:v>4.6185277824406512E-14</c:v>
                </c:pt>
                <c:pt idx="391">
                  <c:v>14.500000000000046</c:v>
                </c:pt>
                <c:pt idx="392">
                  <c:v>13.700000000000045</c:v>
                </c:pt>
                <c:pt idx="393">
                  <c:v>4.6185277824406512E-14</c:v>
                </c:pt>
                <c:pt idx="394">
                  <c:v>-8.6999999999999531</c:v>
                </c:pt>
                <c:pt idx="395">
                  <c:v>-32.599999999999952</c:v>
                </c:pt>
                <c:pt idx="396">
                  <c:v>4.9737991503207013E-14</c:v>
                </c:pt>
                <c:pt idx="397">
                  <c:v>14.50000000000005</c:v>
                </c:pt>
                <c:pt idx="398">
                  <c:v>1.8000000000000504</c:v>
                </c:pt>
                <c:pt idx="399">
                  <c:v>5.0404125317982107E-14</c:v>
                </c:pt>
                <c:pt idx="400">
                  <c:v>49.900000000000048</c:v>
                </c:pt>
                <c:pt idx="401">
                  <c:v>13.800000000000047</c:v>
                </c:pt>
                <c:pt idx="402">
                  <c:v>4.6185277824406512E-14</c:v>
                </c:pt>
                <c:pt idx="403">
                  <c:v>-24.599999999999955</c:v>
                </c:pt>
                <c:pt idx="404">
                  <c:v>-21.599999999999955</c:v>
                </c:pt>
                <c:pt idx="405">
                  <c:v>4.6185277824406512E-14</c:v>
                </c:pt>
                <c:pt idx="406">
                  <c:v>9.9000000000000465</c:v>
                </c:pt>
                <c:pt idx="407">
                  <c:v>-23.599999999999952</c:v>
                </c:pt>
                <c:pt idx="408">
                  <c:v>4.9737991503207013E-14</c:v>
                </c:pt>
                <c:pt idx="409">
                  <c:v>-2.8999999999999502</c:v>
                </c:pt>
                <c:pt idx="410">
                  <c:v>-24.899999999999949</c:v>
                </c:pt>
                <c:pt idx="411">
                  <c:v>4.9737991503207013E-14</c:v>
                </c:pt>
                <c:pt idx="412">
                  <c:v>72.000000000000057</c:v>
                </c:pt>
                <c:pt idx="413">
                  <c:v>48.000000000000057</c:v>
                </c:pt>
                <c:pt idx="414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-36.496350364963504</c:v>
                </c:pt>
                <c:pt idx="1">
                  <c:v>17.412935323383085</c:v>
                </c:pt>
                <c:pt idx="2">
                  <c:v>0</c:v>
                </c:pt>
                <c:pt idx="3">
                  <c:v>-5.2493438320209975</c:v>
                </c:pt>
                <c:pt idx="4">
                  <c:v>14.245014245014245</c:v>
                </c:pt>
                <c:pt idx="5">
                  <c:v>16.501650165016503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78</c:v>
                </c:pt>
                <c:pt idx="1">
                  <c:v>190</c:v>
                </c:pt>
                <c:pt idx="2">
                  <c:v>210</c:v>
                </c:pt>
                <c:pt idx="3">
                  <c:v>204</c:v>
                </c:pt>
                <c:pt idx="4">
                  <c:v>147</c:v>
                </c:pt>
                <c:pt idx="5">
                  <c:v>96</c:v>
                </c:pt>
                <c:pt idx="6">
                  <c:v>44</c:v>
                </c:pt>
                <c:pt idx="7">
                  <c:v>35</c:v>
                </c:pt>
                <c:pt idx="8">
                  <c:v>17</c:v>
                </c:pt>
                <c:pt idx="9">
                  <c:v>11</c:v>
                </c:pt>
                <c:pt idx="10">
                  <c:v>3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全体!$K$2:$K$416</c:f>
              <c:numCache>
                <c:formatCode>General</c:formatCode>
                <c:ptCount val="4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</c:numCache>
            </c:numRef>
          </c:xVal>
          <c:yVal>
            <c:numRef>
              <c:f>全体!$M$2:$M$416</c:f>
              <c:numCache>
                <c:formatCode>0</c:formatCode>
                <c:ptCount val="415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  <c:pt idx="361">
                  <c:v>1605.6157681627685</c:v>
                </c:pt>
                <c:pt idx="362">
                  <c:v>1611.612073553792</c:v>
                </c:pt>
                <c:pt idx="363">
                  <c:v>1603.1724011124693</c:v>
                </c:pt>
                <c:pt idx="364">
                  <c:v>1597.1413667057946</c:v>
                </c:pt>
                <c:pt idx="365">
                  <c:v>1602.1085185055597</c:v>
                </c:pt>
                <c:pt idx="366">
                  <c:v>1603.9678673945264</c:v>
                </c:pt>
                <c:pt idx="367">
                  <c:v>1598.1120601901591</c:v>
                </c:pt>
                <c:pt idx="368">
                  <c:v>1598.6813878290181</c:v>
                </c:pt>
                <c:pt idx="369">
                  <c:v>1604.773299502044</c:v>
                </c:pt>
                <c:pt idx="370">
                  <c:v>1604.9306597050318</c:v>
                </c:pt>
                <c:pt idx="371">
                  <c:v>1600.9650757468016</c:v>
                </c:pt>
                <c:pt idx="372">
                  <c:v>1605.5372852923208</c:v>
                </c:pt>
                <c:pt idx="373">
                  <c:v>1605.8340615805669</c:v>
                </c:pt>
                <c:pt idx="374">
                  <c:v>1612.7530572110834</c:v>
                </c:pt>
                <c:pt idx="375">
                  <c:v>1606.2205388678169</c:v>
                </c:pt>
                <c:pt idx="376">
                  <c:v>1597.63321563461</c:v>
                </c:pt>
                <c:pt idx="377">
                  <c:v>1595.9374163408024</c:v>
                </c:pt>
                <c:pt idx="378">
                  <c:v>1607.0317918427577</c:v>
                </c:pt>
                <c:pt idx="379">
                  <c:v>1606.3476010917011</c:v>
                </c:pt>
                <c:pt idx="380">
                  <c:v>1611.6435154851508</c:v>
                </c:pt>
                <c:pt idx="381">
                  <c:v>1607.38565439224</c:v>
                </c:pt>
                <c:pt idx="382">
                  <c:v>1616.4013404658865</c:v>
                </c:pt>
                <c:pt idx="383">
                  <c:v>1616.6689324230913</c:v>
                </c:pt>
                <c:pt idx="384">
                  <c:v>1607.6469188285528</c:v>
                </c:pt>
                <c:pt idx="385">
                  <c:v>1615.0770373155815</c:v>
                </c:pt>
                <c:pt idx="386">
                  <c:v>1617.1705750916881</c:v>
                </c:pt>
                <c:pt idx="387">
                  <c:v>1607.911551641138</c:v>
                </c:pt>
                <c:pt idx="388">
                  <c:v>1605.8360823312912</c:v>
                </c:pt>
                <c:pt idx="389">
                  <c:v>1612.2150658373034</c:v>
                </c:pt>
                <c:pt idx="390">
                  <c:v>1608.2597754422795</c:v>
                </c:pt>
                <c:pt idx="391">
                  <c:v>1610.9822167896259</c:v>
                </c:pt>
                <c:pt idx="392">
                  <c:v>1610.9343234888881</c:v>
                </c:pt>
                <c:pt idx="393">
                  <c:v>1608.5647175479548</c:v>
                </c:pt>
                <c:pt idx="394">
                  <c:v>1607.0313292426672</c:v>
                </c:pt>
                <c:pt idx="395">
                  <c:v>1602.7711412672113</c:v>
                </c:pt>
                <c:pt idx="396">
                  <c:v>1608.7065144196081</c:v>
                </c:pt>
                <c:pt idx="397">
                  <c:v>1611.3482753330904</c:v>
                </c:pt>
                <c:pt idx="398">
                  <c:v>1609.078185681092</c:v>
                </c:pt>
                <c:pt idx="399">
                  <c:v>1608.7837165670055</c:v>
                </c:pt>
                <c:pt idx="400">
                  <c:v>1617.5390142676035</c:v>
                </c:pt>
                <c:pt idx="401">
                  <c:v>1610.7617801819979</c:v>
                </c:pt>
                <c:pt idx="402">
                  <c:v>1608.0392095009058</c:v>
                </c:pt>
                <c:pt idx="403">
                  <c:v>1603.3889742439003</c:v>
                </c:pt>
                <c:pt idx="404">
                  <c:v>1603.7346403984368</c:v>
                </c:pt>
                <c:pt idx="405">
                  <c:v>1607.4262325560462</c:v>
                </c:pt>
                <c:pt idx="406">
                  <c:v>1609.43367516071</c:v>
                </c:pt>
                <c:pt idx="407">
                  <c:v>1603.6170731097457</c:v>
                </c:pt>
                <c:pt idx="408">
                  <c:v>1608.1133706710873</c:v>
                </c:pt>
                <c:pt idx="409">
                  <c:v>1607.8126904470607</c:v>
                </c:pt>
                <c:pt idx="410">
                  <c:v>1604.0758143043784</c:v>
                </c:pt>
                <c:pt idx="411">
                  <c:v>1608.8033594185522</c:v>
                </c:pt>
                <c:pt idx="412">
                  <c:v>1621.6685392620409</c:v>
                </c:pt>
                <c:pt idx="413">
                  <c:v>1617.1765280264688</c:v>
                </c:pt>
                <c:pt idx="414">
                  <c:v>1608.39146885831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だいち!$L$2:$L$116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  <c:pt idx="97">
                  <c:v>197.49999999999994</c:v>
                </c:pt>
                <c:pt idx="98">
                  <c:v>206.39999999999995</c:v>
                </c:pt>
                <c:pt idx="99">
                  <c:v>172.49999999999994</c:v>
                </c:pt>
                <c:pt idx="100">
                  <c:v>196.39999999999995</c:v>
                </c:pt>
                <c:pt idx="101">
                  <c:v>158.99999999999994</c:v>
                </c:pt>
                <c:pt idx="102">
                  <c:v>147.99999999999994</c:v>
                </c:pt>
                <c:pt idx="103">
                  <c:v>123.79999999999994</c:v>
                </c:pt>
                <c:pt idx="104">
                  <c:v>173.19999999999993</c:v>
                </c:pt>
                <c:pt idx="105">
                  <c:v>184.39999999999992</c:v>
                </c:pt>
                <c:pt idx="106">
                  <c:v>219.09999999999991</c:v>
                </c:pt>
                <c:pt idx="107">
                  <c:v>218.2999999999999</c:v>
                </c:pt>
                <c:pt idx="108">
                  <c:v>209.59999999999991</c:v>
                </c:pt>
                <c:pt idx="109">
                  <c:v>207.7999999999999</c:v>
                </c:pt>
                <c:pt idx="110">
                  <c:v>257.69999999999987</c:v>
                </c:pt>
                <c:pt idx="111">
                  <c:v>233.09999999999988</c:v>
                </c:pt>
                <c:pt idx="112">
                  <c:v>256.69999999999987</c:v>
                </c:pt>
                <c:pt idx="113">
                  <c:v>234.69999999999987</c:v>
                </c:pt>
                <c:pt idx="114">
                  <c:v>186.69999999999987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759.29203539823004</c:v>
                </c:pt>
                <c:pt idx="1">
                  <c:v>-627.27272727272725</c:v>
                </c:pt>
                <c:pt idx="2">
                  <c:v>-1156.3636363636363</c:v>
                </c:pt>
                <c:pt idx="3">
                  <c:v>1350.4761904761904</c:v>
                </c:pt>
                <c:pt idx="4">
                  <c:v>546.875</c:v>
                </c:pt>
                <c:pt idx="5">
                  <c:v>139.75903614457832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19</c:v>
                </c:pt>
                <c:pt idx="1">
                  <c:v>59</c:v>
                </c:pt>
                <c:pt idx="2">
                  <c:v>63</c:v>
                </c:pt>
                <c:pt idx="3">
                  <c:v>61</c:v>
                </c:pt>
                <c:pt idx="4">
                  <c:v>45</c:v>
                </c:pt>
                <c:pt idx="5">
                  <c:v>36</c:v>
                </c:pt>
                <c:pt idx="6">
                  <c:v>11</c:v>
                </c:pt>
                <c:pt idx="7">
                  <c:v>6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だいち!$M$2:$M$116</c:f>
              <c:numCache>
                <c:formatCode>0</c:formatCode>
                <c:ptCount val="115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  <c:pt idx="97">
                  <c:v>1773.3683367254721</c:v>
                </c:pt>
                <c:pt idx="98">
                  <c:v>1774.2001267051191</c:v>
                </c:pt>
                <c:pt idx="99">
                  <c:v>1767.3229259448885</c:v>
                </c:pt>
                <c:pt idx="100">
                  <c:v>1770.8969883892191</c:v>
                </c:pt>
                <c:pt idx="101">
                  <c:v>1763.4156064588838</c:v>
                </c:pt>
                <c:pt idx="102">
                  <c:v>1760.7251128201306</c:v>
                </c:pt>
                <c:pt idx="103">
                  <c:v>1755.5727621432097</c:v>
                </c:pt>
                <c:pt idx="104">
                  <c:v>1763.6993255703505</c:v>
                </c:pt>
                <c:pt idx="105">
                  <c:v>1764.9011296169285</c:v>
                </c:pt>
                <c:pt idx="106">
                  <c:v>1770.325722839227</c:v>
                </c:pt>
                <c:pt idx="107">
                  <c:v>1769.3217685021916</c:v>
                </c:pt>
                <c:pt idx="108">
                  <c:v>1766.8238378911785</c:v>
                </c:pt>
                <c:pt idx="109">
                  <c:v>1765.5828948638314</c:v>
                </c:pt>
                <c:pt idx="110">
                  <c:v>1773.3973974946484</c:v>
                </c:pt>
                <c:pt idx="111">
                  <c:v>1767.7550131096805</c:v>
                </c:pt>
                <c:pt idx="112">
                  <c:v>1771.2664830310223</c:v>
                </c:pt>
                <c:pt idx="113">
                  <c:v>1766.5488841328361</c:v>
                </c:pt>
                <c:pt idx="114">
                  <c:v>1756.8675908280391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れんたろう!$K$2:$K$76</c:f>
              <c:numCache>
                <c:formatCode>General</c:formatCode>
                <c:ptCount val="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</c:numCache>
            </c:numRef>
          </c:xVal>
          <c:yVal>
            <c:numRef>
              <c:f>れんたろう!$L$2:$L$76</c:f>
              <c:numCache>
                <c:formatCode>\+0.0;\-0.0;\±0</c:formatCode>
                <c:ptCount val="75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  <c:pt idx="61">
                  <c:v>-95.7</c:v>
                </c:pt>
                <c:pt idx="62">
                  <c:v>-130.6</c:v>
                </c:pt>
                <c:pt idx="63">
                  <c:v>-129</c:v>
                </c:pt>
                <c:pt idx="64">
                  <c:v>-129.5</c:v>
                </c:pt>
                <c:pt idx="65">
                  <c:v>-92.4</c:v>
                </c:pt>
                <c:pt idx="66">
                  <c:v>-141.4</c:v>
                </c:pt>
                <c:pt idx="67">
                  <c:v>-112.7</c:v>
                </c:pt>
                <c:pt idx="68">
                  <c:v>-163.19999999999999</c:v>
                </c:pt>
                <c:pt idx="69">
                  <c:v>-122.6</c:v>
                </c:pt>
                <c:pt idx="70">
                  <c:v>-134.79999999999998</c:v>
                </c:pt>
                <c:pt idx="71">
                  <c:v>-102.19999999999999</c:v>
                </c:pt>
                <c:pt idx="72">
                  <c:v>-87.699999999999989</c:v>
                </c:pt>
                <c:pt idx="73">
                  <c:v>-121.19999999999999</c:v>
                </c:pt>
                <c:pt idx="74">
                  <c:v>-96.299999999999983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1222.9729729729729</c:v>
                </c:pt>
                <c:pt idx="1">
                  <c:v>-151.38888888888889</c:v>
                </c:pt>
                <c:pt idx="2">
                  <c:v>-762.5</c:v>
                </c:pt>
                <c:pt idx="3">
                  <c:v>-2.8985507246376812</c:v>
                </c:pt>
                <c:pt idx="4">
                  <c:v>17.460317460317459</c:v>
                </c:pt>
                <c:pt idx="5">
                  <c:v>62.962962962962962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15</c:v>
                </c:pt>
                <c:pt idx="2">
                  <c:v>33</c:v>
                </c:pt>
                <c:pt idx="3">
                  <c:v>35</c:v>
                </c:pt>
                <c:pt idx="4">
                  <c:v>35</c:v>
                </c:pt>
                <c:pt idx="5">
                  <c:v>18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れんたろう!$K$2:$K$76</c:f>
              <c:numCache>
                <c:formatCode>General</c:formatCode>
                <c:ptCount val="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</c:numCache>
            </c:numRef>
          </c:xVal>
          <c:yVal>
            <c:numRef>
              <c:f>れんたろう!$M$2:$M$76</c:f>
              <c:numCache>
                <c:formatCode>0</c:formatCode>
                <c:ptCount val="75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  <c:pt idx="61">
                  <c:v>1631.3423509762833</c:v>
                </c:pt>
                <c:pt idx="62">
                  <c:v>1625.1422968704258</c:v>
                </c:pt>
                <c:pt idx="63">
                  <c:v>1625.5494430892031</c:v>
                </c:pt>
                <c:pt idx="64">
                  <c:v>1625.582146430668</c:v>
                </c:pt>
                <c:pt idx="65">
                  <c:v>1632.3826535520841</c:v>
                </c:pt>
                <c:pt idx="66">
                  <c:v>1623.6383576307717</c:v>
                </c:pt>
                <c:pt idx="67">
                  <c:v>1628.830527484987</c:v>
                </c:pt>
                <c:pt idx="68">
                  <c:v>1619.735544320077</c:v>
                </c:pt>
                <c:pt idx="69">
                  <c:v>1627.0931310541566</c:v>
                </c:pt>
                <c:pt idx="70">
                  <c:v>1624.9025722678316</c:v>
                </c:pt>
                <c:pt idx="71">
                  <c:v>1630.7051568342247</c:v>
                </c:pt>
                <c:pt idx="72">
                  <c:v>1633.2149258932193</c:v>
                </c:pt>
                <c:pt idx="73">
                  <c:v>1627.2556363378599</c:v>
                </c:pt>
                <c:pt idx="74">
                  <c:v>1631.8441025198326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  <c:pt idx="44">
                  <c:v>-134</c:v>
                </c:pt>
                <c:pt idx="45">
                  <c:v>-146.69999999999999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-597.77777777777783</c:v>
                </c:pt>
                <c:pt idx="1">
                  <c:v>-900</c:v>
                </c:pt>
                <c:pt idx="2">
                  <c:v>663.63636363636363</c:v>
                </c:pt>
                <c:pt idx="3">
                  <c:v>-1022.7272727272727</c:v>
                </c:pt>
                <c:pt idx="4">
                  <c:v>-1293.0232558139535</c:v>
                </c:pt>
                <c:pt idx="5">
                  <c:v>-572.22222222222217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15</c:v>
                </c:pt>
                <c:pt idx="1">
                  <c:v>27</c:v>
                </c:pt>
                <c:pt idx="2">
                  <c:v>24</c:v>
                </c:pt>
                <c:pt idx="3">
                  <c:v>22</c:v>
                </c:pt>
                <c:pt idx="4">
                  <c:v>6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たかの!$M$2:$M$47</c:f>
              <c:numCache>
                <c:formatCode>0</c:formatCode>
                <c:ptCount val="46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  <c:pt idx="44">
                  <c:v>1445.4388452063147</c:v>
                </c:pt>
                <c:pt idx="45">
                  <c:v>1444.1642121350767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  <c:pt idx="32">
                  <c:v>-0.400000000000027</c:v>
                </c:pt>
                <c:pt idx="33">
                  <c:v>-0.10000000000002701</c:v>
                </c:pt>
                <c:pt idx="34">
                  <c:v>59.89999999999997</c:v>
                </c:pt>
                <c:pt idx="35">
                  <c:v>46.099999999999966</c:v>
                </c:pt>
                <c:pt idx="36">
                  <c:v>67.69999999999996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975</c:v>
                </c:pt>
                <c:pt idx="1">
                  <c:v>644.44444444444446</c:v>
                </c:pt>
                <c:pt idx="2">
                  <c:v>1114.2857142857142</c:v>
                </c:pt>
                <c:pt idx="3">
                  <c:v>-2609.6774193548385</c:v>
                </c:pt>
                <c:pt idx="4">
                  <c:v>2142.8571428571427</c:v>
                </c:pt>
                <c:pt idx="5">
                  <c:v>-1069.5652173913043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3</c:v>
                </c:pt>
                <c:pt idx="1">
                  <c:v>13</c:v>
                </c:pt>
                <c:pt idx="2">
                  <c:v>19</c:v>
                </c:pt>
                <c:pt idx="3">
                  <c:v>22</c:v>
                </c:pt>
                <c:pt idx="4">
                  <c:v>12</c:v>
                </c:pt>
                <c:pt idx="5">
                  <c:v>6</c:v>
                </c:pt>
                <c:pt idx="6">
                  <c:v>3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まっつん!$M$2:$M$38</c:f>
              <c:numCache>
                <c:formatCode>0</c:formatCode>
                <c:ptCount val="37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  <c:pt idx="29">
                  <c:v>1531.7177178969628</c:v>
                </c:pt>
                <c:pt idx="30">
                  <c:v>1537.0774115895811</c:v>
                </c:pt>
                <c:pt idx="31">
                  <c:v>1543.5389471200435</c:v>
                </c:pt>
                <c:pt idx="32">
                  <c:v>1539.9417134373232</c:v>
                </c:pt>
                <c:pt idx="33">
                  <c:v>1540.6320631566994</c:v>
                </c:pt>
                <c:pt idx="34">
                  <c:v>1552.0582707777592</c:v>
                </c:pt>
                <c:pt idx="35">
                  <c:v>1549.6879211530927</c:v>
                </c:pt>
                <c:pt idx="36">
                  <c:v>1553.703793626174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いちかわ!$L$2:$L$50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  <c:pt idx="45">
                  <c:v>157.69999999999999</c:v>
                </c:pt>
                <c:pt idx="46">
                  <c:v>167.6</c:v>
                </c:pt>
                <c:pt idx="47">
                  <c:v>164.7</c:v>
                </c:pt>
                <c:pt idx="48">
                  <c:v>140.69999999999999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-587.23404255319144</c:v>
                </c:pt>
                <c:pt idx="1">
                  <c:v>1051.063829787234</c:v>
                </c:pt>
                <c:pt idx="2">
                  <c:v>1812.7659574468084</c:v>
                </c:pt>
                <c:pt idx="3">
                  <c:v>-690.90909090909088</c:v>
                </c:pt>
                <c:pt idx="4">
                  <c:v>70</c:v>
                </c:pt>
                <c:pt idx="5">
                  <c:v>1755.2631578947369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26</c:v>
                </c:pt>
                <c:pt idx="2">
                  <c:v>26</c:v>
                </c:pt>
                <c:pt idx="3">
                  <c:v>19</c:v>
                </c:pt>
                <c:pt idx="4">
                  <c:v>16</c:v>
                </c:pt>
                <c:pt idx="5">
                  <c:v>15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いちかわ!$M$2:$M$50</c:f>
              <c:numCache>
                <c:formatCode>0</c:formatCode>
                <c:ptCount val="49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  <c:pt idx="45">
                  <c:v>1534.3633776946201</c:v>
                </c:pt>
                <c:pt idx="46">
                  <c:v>1536.8091974284523</c:v>
                </c:pt>
                <c:pt idx="47">
                  <c:v>1536.9363422438817</c:v>
                </c:pt>
                <c:pt idx="48">
                  <c:v>1532.9527241904184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  <c:pt idx="49">
                  <c:v>248.19999999999993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-334.69387755102042</c:v>
                </c:pt>
                <c:pt idx="1">
                  <c:v>676.08695652173913</c:v>
                </c:pt>
                <c:pt idx="2">
                  <c:v>985.10638297872345</c:v>
                </c:pt>
                <c:pt idx="3">
                  <c:v>2222.7272727272725</c:v>
                </c:pt>
                <c:pt idx="4">
                  <c:v>163.41463414634146</c:v>
                </c:pt>
                <c:pt idx="5">
                  <c:v>-57.575757575757578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13</c:v>
                </c:pt>
                <c:pt idx="1">
                  <c:v>36</c:v>
                </c:pt>
                <c:pt idx="2">
                  <c:v>32</c:v>
                </c:pt>
                <c:pt idx="3">
                  <c:v>20</c:v>
                </c:pt>
                <c:pt idx="4">
                  <c:v>21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ただ!$M$2:$M$51</c:f>
              <c:numCache>
                <c:formatCode>0</c:formatCode>
                <c:ptCount val="50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  <c:pt idx="49">
                  <c:v>1578.1244171430706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  <c:pt idx="19">
                  <c:v>-108.30000000000001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7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たか!$M$2:$M$21</c:f>
              <c:numCache>
                <c:formatCode>0</c:formatCode>
                <c:ptCount val="20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  <c:pt idx="1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  <c:pt idx="13">
                  <c:v>-75.599999999999994</c:v>
                </c:pt>
                <c:pt idx="14">
                  <c:v>-72.599999999999994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-2878.5714285714284</c:v>
                </c:pt>
                <c:pt idx="1">
                  <c:v>4084.6153846153848</c:v>
                </c:pt>
                <c:pt idx="2">
                  <c:v>642.85714285714289</c:v>
                </c:pt>
                <c:pt idx="3">
                  <c:v>-3464.2857142857142</c:v>
                </c:pt>
                <c:pt idx="4">
                  <c:v>-1953.8461538461538</c:v>
                </c:pt>
                <c:pt idx="5">
                  <c:v>-708.33333333333337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りくと!$M$2:$M$16</c:f>
              <c:numCache>
                <c:formatCode>0</c:formatCode>
                <c:ptCount val="15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  <c:pt idx="13">
                  <c:v>1390.8671400806311</c:v>
                </c:pt>
                <c:pt idx="14">
                  <c:v>1392.4879372401474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3-47CE-A9C4-F06FBEC5B17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B3-47CE-A9C4-F06FBEC5B17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いっしー!$K$4:$L$4</c:f>
              <c:numCache>
                <c:formatCode>\+0.0;\-0.0;\±0</c:formatCode>
                <c:ptCount val="2"/>
                <c:pt idx="0" formatCode="General">
                  <c:v>2</c:v>
                </c:pt>
                <c:pt idx="1">
                  <c:v>-3.4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A-4D29-A808-9B6CE3D2E75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いっしー!$K$5:$L$5</c:f>
              <c:numCache>
                <c:formatCode>\+0.0;\-0.0;\±0</c:formatCode>
                <c:ptCount val="2"/>
                <c:pt idx="0" formatCode="General">
                  <c:v>3</c:v>
                </c:pt>
                <c:pt idx="1">
                  <c:v>-55.199999999999996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A-4D29-A808-9B6CE3D2E75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いっしー!$K$6:$L$6</c:f>
              <c:numCache>
                <c:formatCode>\+0.0;\-0.0;\±0</c:formatCode>
                <c:ptCount val="2"/>
                <c:pt idx="0" formatCode="General">
                  <c:v>4</c:v>
                </c:pt>
                <c:pt idx="1">
                  <c:v>-77.699999999999989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14-4890-917F-A78A44C1A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-4450</c:v>
                </c:pt>
                <c:pt idx="1">
                  <c:v>-3150</c:v>
                </c:pt>
                <c:pt idx="2">
                  <c:v>3475</c:v>
                </c:pt>
                <c:pt idx="3">
                  <c:v>-1966.6666666666667</c:v>
                </c:pt>
                <c:pt idx="4">
                  <c:v>-9400</c:v>
                </c:pt>
                <c:pt idx="5">
                  <c:v>-2366.6666666666665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D-4529-A134-432FE3794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8B7-9615-6C7DF2FB9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いっしー!$M$2:$M$6</c:f>
              <c:numCache>
                <c:formatCode>0</c:formatCode>
                <c:ptCount val="5"/>
                <c:pt idx="0">
                  <c:v>1500.437982464869</c:v>
                </c:pt>
                <c:pt idx="1">
                  <c:v>1500.3933545700797</c:v>
                </c:pt>
                <c:pt idx="2">
                  <c:v>1501.3569944426592</c:v>
                </c:pt>
                <c:pt idx="3">
                  <c:v>1492.7928524760032</c:v>
                </c:pt>
                <c:pt idx="4">
                  <c:v>1489.5540953611471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1-44C2-8B3D-8695D2C92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たか2!$B$1:$B$2</c:f>
              <c:strCache>
                <c:ptCount val="2"/>
                <c:pt idx="0">
                  <c:v>たか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たか2!$B$3:$B$22</c:f>
              <c:numCache>
                <c:formatCode>\+0.0;\-0.0;\±0</c:formatCode>
                <c:ptCount val="20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  <c:pt idx="19">
                  <c:v>-108.30000000000001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684341886080801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たか2!$C$1:$C$2</c:f>
              <c:strCache>
                <c:ptCount val="2"/>
                <c:pt idx="0">
                  <c:v>たか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たか2!$C$3:$C$22</c:f>
              <c:numCache>
                <c:formatCode>\+0.0;\-0.0;\±0</c:formatCode>
                <c:ptCount val="20"/>
                <c:pt idx="1">
                  <c:v>42.4</c:v>
                </c:pt>
                <c:pt idx="2">
                  <c:v>25.2</c:v>
                </c:pt>
                <c:pt idx="3">
                  <c:v>3.4666666666666663</c:v>
                </c:pt>
                <c:pt idx="4">
                  <c:v>15</c:v>
                </c:pt>
                <c:pt idx="5">
                  <c:v>1.2400000000000007</c:v>
                </c:pt>
                <c:pt idx="6">
                  <c:v>5.0000000000000009</c:v>
                </c:pt>
                <c:pt idx="7">
                  <c:v>0.17142857142857185</c:v>
                </c:pt>
                <c:pt idx="8">
                  <c:v>5.1125000000000007</c:v>
                </c:pt>
                <c:pt idx="9">
                  <c:v>2.344444444444445</c:v>
                </c:pt>
                <c:pt idx="10">
                  <c:v>1.4100000000000006</c:v>
                </c:pt>
                <c:pt idx="11">
                  <c:v>-1.8545454545454541</c:v>
                </c:pt>
                <c:pt idx="12">
                  <c:v>-1.3583333333333332</c:v>
                </c:pt>
                <c:pt idx="13">
                  <c:v>-4.1692307692307686</c:v>
                </c:pt>
                <c:pt idx="14">
                  <c:v>-6.8285714285714283</c:v>
                </c:pt>
                <c:pt idx="15">
                  <c:v>-9.6399999999999988</c:v>
                </c:pt>
                <c:pt idx="16">
                  <c:v>-9.2624999999999993</c:v>
                </c:pt>
                <c:pt idx="17">
                  <c:v>-8.8235294117647065</c:v>
                </c:pt>
                <c:pt idx="18">
                  <c:v>-10.016666666666667</c:v>
                </c:pt>
                <c:pt idx="19">
                  <c:v>-5.7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373029441082319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たか2!$D$1:$D$2</c:f>
              <c:strCache>
                <c:ptCount val="2"/>
                <c:pt idx="0">
                  <c:v>たか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たか2!$D$3:$D$22</c:f>
              <c:numCache>
                <c:formatCode>0.00\ "位"</c:formatCode>
                <c:ptCount val="20"/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  <c:pt idx="11">
                  <c:v>2</c:v>
                </c:pt>
                <c:pt idx="12">
                  <c:v>2</c:v>
                </c:pt>
                <c:pt idx="13">
                  <c:v>2.0769230769230771</c:v>
                </c:pt>
                <c:pt idx="14">
                  <c:v>2.1428571428571428</c:v>
                </c:pt>
                <c:pt idx="15">
                  <c:v>2.2000000000000002</c:v>
                </c:pt>
                <c:pt idx="16">
                  <c:v>2.1875</c:v>
                </c:pt>
                <c:pt idx="17">
                  <c:v>2.1764705882352939</c:v>
                </c:pt>
                <c:pt idx="18">
                  <c:v>2.2222222222222223</c:v>
                </c:pt>
                <c:pt idx="19">
                  <c:v>2.1578947368421053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5845410628019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たか2!$E$1:$E$2</c:f>
              <c:strCache>
                <c:ptCount val="2"/>
                <c:pt idx="0">
                  <c:v>たか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たか2!$E$3:$E$22</c:f>
              <c:numCache>
                <c:formatCode>0.0%</c:formatCode>
                <c:ptCount val="20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748792270531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たか2!$F$1:$F$2</c:f>
              <c:strCache>
                <c:ptCount val="2"/>
                <c:pt idx="0">
                  <c:v>たか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たか2!$F$3:$F$22</c:f>
              <c:numCache>
                <c:formatCode>0.0%</c:formatCode>
                <c:ptCount val="20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0.44444444444444442</c:v>
                </c:pt>
                <c:pt idx="19">
                  <c:v>0.42105263157894735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たか2!$G$1:$G$2</c:f>
              <c:strCache>
                <c:ptCount val="2"/>
                <c:pt idx="0">
                  <c:v>たか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たか2!$G$3:$G$22</c:f>
              <c:numCache>
                <c:formatCode>0.0%</c:formatCode>
                <c:ptCount val="20"/>
                <c:pt idx="1">
                  <c:v>0.35714285714285715</c:v>
                </c:pt>
                <c:pt idx="2">
                  <c:v>0.35294117647058826</c:v>
                </c:pt>
                <c:pt idx="3">
                  <c:v>0.25</c:v>
                </c:pt>
                <c:pt idx="4">
                  <c:v>0.34285714285714286</c:v>
                </c:pt>
                <c:pt idx="5">
                  <c:v>0.27272727272727271</c:v>
                </c:pt>
                <c:pt idx="6">
                  <c:v>0.3</c:v>
                </c:pt>
                <c:pt idx="7">
                  <c:v>0.25862068965517243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0.24358974358974358</c:v>
                </c:pt>
                <c:pt idx="11">
                  <c:v>0.23529411764705882</c:v>
                </c:pt>
                <c:pt idx="12">
                  <c:v>0.24468085106382978</c:v>
                </c:pt>
                <c:pt idx="13">
                  <c:v>0.23529411764705882</c:v>
                </c:pt>
                <c:pt idx="14">
                  <c:v>0.22522522522522523</c:v>
                </c:pt>
                <c:pt idx="15">
                  <c:v>0.21739130434782608</c:v>
                </c:pt>
                <c:pt idx="16">
                  <c:v>0.22580645161290322</c:v>
                </c:pt>
                <c:pt idx="17">
                  <c:v>0.22900763358778625</c:v>
                </c:pt>
                <c:pt idx="18">
                  <c:v>0.21428571428571427</c:v>
                </c:pt>
                <c:pt idx="19">
                  <c:v>0.2361111111111111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670886075949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たか2!$H$1:$H$2</c:f>
              <c:strCache>
                <c:ptCount val="2"/>
                <c:pt idx="0">
                  <c:v>たか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たか2!$H$3:$H$22</c:f>
              <c:numCache>
                <c:formatCode>0.0%</c:formatCode>
                <c:ptCount val="20"/>
                <c:pt idx="1">
                  <c:v>7.1428571428571425E-2</c:v>
                </c:pt>
                <c:pt idx="2">
                  <c:v>5.8823529411764705E-2</c:v>
                </c:pt>
                <c:pt idx="3">
                  <c:v>0.10714285714285714</c:v>
                </c:pt>
                <c:pt idx="4">
                  <c:v>0.11428571428571428</c:v>
                </c:pt>
                <c:pt idx="5">
                  <c:v>0.18181818181818182</c:v>
                </c:pt>
                <c:pt idx="6">
                  <c:v>0.16</c:v>
                </c:pt>
                <c:pt idx="7">
                  <c:v>0.17241379310344829</c:v>
                </c:pt>
                <c:pt idx="8">
                  <c:v>0.16923076923076924</c:v>
                </c:pt>
                <c:pt idx="9">
                  <c:v>0.18055555555555555</c:v>
                </c:pt>
                <c:pt idx="10">
                  <c:v>0.16666666666666666</c:v>
                </c:pt>
                <c:pt idx="11">
                  <c:v>0.21176470588235294</c:v>
                </c:pt>
                <c:pt idx="12">
                  <c:v>0.21276595744680851</c:v>
                </c:pt>
                <c:pt idx="13">
                  <c:v>0.21568627450980393</c:v>
                </c:pt>
                <c:pt idx="14">
                  <c:v>0.21621621621621623</c:v>
                </c:pt>
                <c:pt idx="15">
                  <c:v>0.23478260869565218</c:v>
                </c:pt>
                <c:pt idx="16">
                  <c:v>0.21774193548387097</c:v>
                </c:pt>
                <c:pt idx="17">
                  <c:v>0.21374045801526717</c:v>
                </c:pt>
                <c:pt idx="18">
                  <c:v>0.20714285714285716</c:v>
                </c:pt>
                <c:pt idx="19">
                  <c:v>0.2013888888888889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587904360056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たか2!$I$1:$I$2</c:f>
              <c:strCache>
                <c:ptCount val="2"/>
                <c:pt idx="0">
                  <c:v>たか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たか2!$I$3:$I$22</c:f>
              <c:numCache>
                <c:formatCode>0</c:formatCode>
                <c:ptCount val="20"/>
                <c:pt idx="1">
                  <c:v>8980</c:v>
                </c:pt>
                <c:pt idx="2">
                  <c:v>8816.6666666666661</c:v>
                </c:pt>
                <c:pt idx="3">
                  <c:v>7857.1428571428569</c:v>
                </c:pt>
                <c:pt idx="4">
                  <c:v>8625</c:v>
                </c:pt>
                <c:pt idx="5">
                  <c:v>8625</c:v>
                </c:pt>
                <c:pt idx="6">
                  <c:v>7693.333333333333</c:v>
                </c:pt>
                <c:pt idx="7">
                  <c:v>7693.333333333333</c:v>
                </c:pt>
                <c:pt idx="8">
                  <c:v>7905.5555555555557</c:v>
                </c:pt>
                <c:pt idx="9">
                  <c:v>7905.5555555555557</c:v>
                </c:pt>
                <c:pt idx="10">
                  <c:v>7557.894736842105</c:v>
                </c:pt>
                <c:pt idx="11">
                  <c:v>7580</c:v>
                </c:pt>
                <c:pt idx="12">
                  <c:v>7778.260869565217</c:v>
                </c:pt>
                <c:pt idx="13">
                  <c:v>7787.5</c:v>
                </c:pt>
                <c:pt idx="14">
                  <c:v>7796</c:v>
                </c:pt>
                <c:pt idx="15">
                  <c:v>7796</c:v>
                </c:pt>
                <c:pt idx="16">
                  <c:v>7367.8571428571431</c:v>
                </c:pt>
                <c:pt idx="17">
                  <c:v>7183.333333333333</c:v>
                </c:pt>
                <c:pt idx="18">
                  <c:v>7183.333333333333</c:v>
                </c:pt>
                <c:pt idx="19">
                  <c:v>7926.4705882352937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41.9540229885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たか2!$J$1:$J$2</c:f>
              <c:strCache>
                <c:ptCount val="2"/>
                <c:pt idx="0">
                  <c:v>たか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たか2!$J$3:$J$22</c:f>
              <c:numCache>
                <c:formatCode>0</c:formatCode>
                <c:ptCount val="20"/>
                <c:pt idx="1">
                  <c:v>-12000</c:v>
                </c:pt>
                <c:pt idx="2">
                  <c:v>-12000</c:v>
                </c:pt>
                <c:pt idx="3">
                  <c:v>-9933.3333333333339</c:v>
                </c:pt>
                <c:pt idx="4">
                  <c:v>-8425</c:v>
                </c:pt>
                <c:pt idx="5">
                  <c:v>-8400</c:v>
                </c:pt>
                <c:pt idx="6">
                  <c:v>-8400</c:v>
                </c:pt>
                <c:pt idx="7">
                  <c:v>-7820</c:v>
                </c:pt>
                <c:pt idx="8">
                  <c:v>-7227.272727272727</c:v>
                </c:pt>
                <c:pt idx="9">
                  <c:v>-6907.6923076923076</c:v>
                </c:pt>
                <c:pt idx="10">
                  <c:v>-6907.6923076923076</c:v>
                </c:pt>
                <c:pt idx="11">
                  <c:v>-6738.8888888888887</c:v>
                </c:pt>
                <c:pt idx="12">
                  <c:v>-6725</c:v>
                </c:pt>
                <c:pt idx="13">
                  <c:v>-7004.545454545455</c:v>
                </c:pt>
                <c:pt idx="14">
                  <c:v>-7654.166666666667</c:v>
                </c:pt>
                <c:pt idx="15">
                  <c:v>-7988.8888888888887</c:v>
                </c:pt>
                <c:pt idx="16">
                  <c:v>-7988.8888888888887</c:v>
                </c:pt>
                <c:pt idx="17">
                  <c:v>-8132.1428571428569</c:v>
                </c:pt>
                <c:pt idx="18">
                  <c:v>-7886.2068965517237</c:v>
                </c:pt>
                <c:pt idx="19">
                  <c:v>-7886.2068965517237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76.64359861591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たか2!$K$1:$K$2</c:f>
              <c:strCache>
                <c:ptCount val="2"/>
                <c:pt idx="0">
                  <c:v>たか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たか2!$K$3:$K$22</c:f>
              <c:numCache>
                <c:formatCode>0.0%</c:formatCode>
                <c:ptCount val="2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695652173913043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たか2!$L$1:$L$2</c:f>
              <c:strCache>
                <c:ptCount val="2"/>
                <c:pt idx="0">
                  <c:v>たか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たか2!$L$3:$L$22</c:f>
              <c:numCache>
                <c:formatCode>0.0%</c:formatCode>
                <c:ptCount val="20"/>
                <c:pt idx="1">
                  <c:v>0.42857142857142855</c:v>
                </c:pt>
                <c:pt idx="2">
                  <c:v>0.41176470588235292</c:v>
                </c:pt>
                <c:pt idx="3">
                  <c:v>0.39285714285714285</c:v>
                </c:pt>
                <c:pt idx="4">
                  <c:v>0.4</c:v>
                </c:pt>
                <c:pt idx="5">
                  <c:v>0.36363636363636365</c:v>
                </c:pt>
                <c:pt idx="6">
                  <c:v>0.34</c:v>
                </c:pt>
                <c:pt idx="7">
                  <c:v>0.29310344827586204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0.26923076923076922</c:v>
                </c:pt>
                <c:pt idx="11">
                  <c:v>0.24705882352941178</c:v>
                </c:pt>
                <c:pt idx="12">
                  <c:v>0.25531914893617019</c:v>
                </c:pt>
                <c:pt idx="13">
                  <c:v>0.24509803921568626</c:v>
                </c:pt>
                <c:pt idx="14">
                  <c:v>0.23423423423423423</c:v>
                </c:pt>
                <c:pt idx="15">
                  <c:v>0.23478260869565218</c:v>
                </c:pt>
                <c:pt idx="16">
                  <c:v>0.23387096774193547</c:v>
                </c:pt>
                <c:pt idx="17">
                  <c:v>0.22900763358778625</c:v>
                </c:pt>
                <c:pt idx="18">
                  <c:v>0.22857142857142856</c:v>
                </c:pt>
                <c:pt idx="19">
                  <c:v>0.2361111111111111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3037974683544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たか2!$M$1:$M$2</c:f>
              <c:strCache>
                <c:ptCount val="2"/>
                <c:pt idx="0">
                  <c:v>たか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たか2!$M$3:$M$22</c:f>
              <c:numCache>
                <c:formatCode>0.0%</c:formatCode>
                <c:ptCount val="20"/>
                <c:pt idx="1">
                  <c:v>0.21428571428571427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0.22857142857142856</c:v>
                </c:pt>
                <c:pt idx="5">
                  <c:v>0.18181818181818182</c:v>
                </c:pt>
                <c:pt idx="6">
                  <c:v>0.18</c:v>
                </c:pt>
                <c:pt idx="7">
                  <c:v>0.18965517241379309</c:v>
                </c:pt>
                <c:pt idx="8">
                  <c:v>0.2</c:v>
                </c:pt>
                <c:pt idx="9">
                  <c:v>0.20833333333333334</c:v>
                </c:pt>
                <c:pt idx="10">
                  <c:v>0.21794871794871795</c:v>
                </c:pt>
                <c:pt idx="11">
                  <c:v>0.23529411764705882</c:v>
                </c:pt>
                <c:pt idx="12">
                  <c:v>0.23404255319148937</c:v>
                </c:pt>
                <c:pt idx="13">
                  <c:v>0.21568627450980393</c:v>
                </c:pt>
                <c:pt idx="14">
                  <c:v>0.2072072072072072</c:v>
                </c:pt>
                <c:pt idx="15">
                  <c:v>0.2</c:v>
                </c:pt>
                <c:pt idx="16">
                  <c:v>0.18548387096774194</c:v>
                </c:pt>
                <c:pt idx="17">
                  <c:v>0.17557251908396945</c:v>
                </c:pt>
                <c:pt idx="18">
                  <c:v>0.17142857142857143</c:v>
                </c:pt>
                <c:pt idx="19">
                  <c:v>0.1736111111111111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7285513361462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たか2!$N$1:$N$2</c:f>
              <c:strCache>
                <c:ptCount val="2"/>
                <c:pt idx="0">
                  <c:v>たか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たか2!$N$3:$N$22</c:f>
              <c:numCache>
                <c:formatCode>0.0%</c:formatCode>
                <c:ptCount val="20"/>
                <c:pt idx="1">
                  <c:v>0.33333333333333331</c:v>
                </c:pt>
                <c:pt idx="2">
                  <c:v>0.42857142857142855</c:v>
                </c:pt>
                <c:pt idx="3">
                  <c:v>0.27272727272727271</c:v>
                </c:pt>
                <c:pt idx="4">
                  <c:v>0.42857142857142855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0.41176470588235292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0.42857142857142855</c:v>
                </c:pt>
                <c:pt idx="11">
                  <c:v>0.42857142857142855</c:v>
                </c:pt>
                <c:pt idx="12">
                  <c:v>0.5</c:v>
                </c:pt>
                <c:pt idx="13">
                  <c:v>0.48</c:v>
                </c:pt>
                <c:pt idx="14">
                  <c:v>0.46153846153846156</c:v>
                </c:pt>
                <c:pt idx="15">
                  <c:v>0.44444444444444442</c:v>
                </c:pt>
                <c:pt idx="16">
                  <c:v>0.48275862068965519</c:v>
                </c:pt>
                <c:pt idx="17">
                  <c:v>0.46666666666666667</c:v>
                </c:pt>
                <c:pt idx="18">
                  <c:v>0.4375</c:v>
                </c:pt>
                <c:pt idx="19">
                  <c:v>0.47058823529411764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4305555555555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たか2!$O$1:$O$2</c:f>
              <c:strCache>
                <c:ptCount val="2"/>
                <c:pt idx="0">
                  <c:v>たか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たか2!$O$3:$O$22</c:f>
              <c:numCache>
                <c:formatCode>0.0%</c:formatCode>
                <c:ptCount val="20"/>
                <c:pt idx="1">
                  <c:v>1</c:v>
                </c:pt>
                <c:pt idx="2">
                  <c:v>1</c:v>
                </c:pt>
                <c:pt idx="3">
                  <c:v>0.5714285714285714</c:v>
                </c:pt>
                <c:pt idx="4">
                  <c:v>0.625</c:v>
                </c:pt>
                <c:pt idx="5">
                  <c:v>0.625</c:v>
                </c:pt>
                <c:pt idx="6">
                  <c:v>0.66666666666666663</c:v>
                </c:pt>
                <c:pt idx="7">
                  <c:v>0.54545454545454541</c:v>
                </c:pt>
                <c:pt idx="8">
                  <c:v>0.46153846153846156</c:v>
                </c:pt>
                <c:pt idx="9">
                  <c:v>0.4</c:v>
                </c:pt>
                <c:pt idx="10">
                  <c:v>0.35294117647058826</c:v>
                </c:pt>
                <c:pt idx="11">
                  <c:v>0.35</c:v>
                </c:pt>
                <c:pt idx="12">
                  <c:v>0.31818181818181818</c:v>
                </c:pt>
                <c:pt idx="13">
                  <c:v>0.31818181818181818</c:v>
                </c:pt>
                <c:pt idx="14">
                  <c:v>0.30434782608695654</c:v>
                </c:pt>
                <c:pt idx="15">
                  <c:v>0.30434782608695654</c:v>
                </c:pt>
                <c:pt idx="16">
                  <c:v>0.30434782608695654</c:v>
                </c:pt>
                <c:pt idx="17">
                  <c:v>0.30434782608695654</c:v>
                </c:pt>
                <c:pt idx="18">
                  <c:v>0.29166666666666669</c:v>
                </c:pt>
                <c:pt idx="19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3465346534653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たか2!$P$1:$P$2</c:f>
              <c:strCache>
                <c:ptCount val="2"/>
                <c:pt idx="0">
                  <c:v>たか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たか2!$P$3:$P$22</c:f>
              <c:numCache>
                <c:formatCode>0.0%</c:formatCode>
                <c:ptCount val="20"/>
                <c:pt idx="1">
                  <c:v>0.2</c:v>
                </c:pt>
                <c:pt idx="2">
                  <c:v>0.16666666666666666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0.4</c:v>
                </c:pt>
                <c:pt idx="7">
                  <c:v>0.4</c:v>
                </c:pt>
                <c:pt idx="8">
                  <c:v>0.5</c:v>
                </c:pt>
                <c:pt idx="9">
                  <c:v>0.5</c:v>
                </c:pt>
                <c:pt idx="10">
                  <c:v>0.47368421052631576</c:v>
                </c:pt>
                <c:pt idx="11">
                  <c:v>0.45</c:v>
                </c:pt>
                <c:pt idx="12">
                  <c:v>0.47826086956521741</c:v>
                </c:pt>
                <c:pt idx="13">
                  <c:v>0.45833333333333331</c:v>
                </c:pt>
                <c:pt idx="14">
                  <c:v>0.44</c:v>
                </c:pt>
                <c:pt idx="15">
                  <c:v>0.44</c:v>
                </c:pt>
                <c:pt idx="16">
                  <c:v>0.42857142857142855</c:v>
                </c:pt>
                <c:pt idx="17">
                  <c:v>0.43333333333333335</c:v>
                </c:pt>
                <c:pt idx="18">
                  <c:v>0.43333333333333335</c:v>
                </c:pt>
                <c:pt idx="19">
                  <c:v>0.47058823529411764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65517241379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52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260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7" x14ac:dyDescent="0.4">
      <c r="A45" s="2" t="s">
        <v>261</v>
      </c>
      <c r="B45" s="3">
        <v>44168.706261574072</v>
      </c>
      <c r="C45" s="2" t="s">
        <v>127</v>
      </c>
      <c r="D45" s="2" t="s">
        <v>188</v>
      </c>
      <c r="E45" s="2" t="s">
        <v>191</v>
      </c>
    </row>
    <row r="46" spans="1:7" x14ac:dyDescent="0.4">
      <c r="A46" s="2" t="s">
        <v>262</v>
      </c>
      <c r="B46" s="3">
        <v>44173.827592592592</v>
      </c>
      <c r="C46" s="2" t="s">
        <v>127</v>
      </c>
      <c r="D46" s="2" t="s">
        <v>188</v>
      </c>
      <c r="E46" s="2" t="s">
        <v>191</v>
      </c>
      <c r="F46" s="2" t="s">
        <v>194</v>
      </c>
    </row>
    <row r="47" spans="1:7" x14ac:dyDescent="0.4">
      <c r="A47" s="2" t="s">
        <v>264</v>
      </c>
      <c r="B47" s="3">
        <v>44174.98369212963</v>
      </c>
      <c r="C47" s="2" t="s">
        <v>127</v>
      </c>
      <c r="D47" s="2" t="s">
        <v>188</v>
      </c>
      <c r="E47" s="2" t="s">
        <v>191</v>
      </c>
    </row>
    <row r="48" spans="1:7" x14ac:dyDescent="0.4">
      <c r="A48" s="2" t="s">
        <v>265</v>
      </c>
      <c r="B48" s="3">
        <v>44175.828553240739</v>
      </c>
      <c r="C48" s="2" t="s">
        <v>127</v>
      </c>
    </row>
    <row r="49" spans="1:4" x14ac:dyDescent="0.4">
      <c r="A49" s="2" t="s">
        <v>266</v>
      </c>
      <c r="B49" s="3">
        <v>44176.732916666668</v>
      </c>
      <c r="C49" s="2" t="s">
        <v>127</v>
      </c>
      <c r="D49" s="2" t="s">
        <v>188</v>
      </c>
    </row>
    <row r="50" spans="1:4" x14ac:dyDescent="0.4">
      <c r="A50" s="2" t="s">
        <v>267</v>
      </c>
      <c r="B50" s="3">
        <v>44177.783159722225</v>
      </c>
      <c r="C50" s="2" t="s">
        <v>127</v>
      </c>
      <c r="D50" s="2" t="s">
        <v>188</v>
      </c>
    </row>
    <row r="51" spans="1:4" x14ac:dyDescent="0.4">
      <c r="A51" s="2" t="s">
        <v>268</v>
      </c>
      <c r="B51" s="3">
        <v>44179.770092592589</v>
      </c>
      <c r="C51" s="2" t="s">
        <v>127</v>
      </c>
      <c r="D51" s="2" t="s">
        <v>188</v>
      </c>
    </row>
    <row r="52" spans="1:4" x14ac:dyDescent="0.4">
      <c r="A52" s="2" t="s">
        <v>269</v>
      </c>
      <c r="B52" s="3">
        <v>44188.877129629633</v>
      </c>
      <c r="C52" s="2" t="s">
        <v>127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263</v>
      </c>
    </row>
    <row r="2" spans="1:3" x14ac:dyDescent="0.4">
      <c r="A2" t="s">
        <v>126</v>
      </c>
      <c r="B2" s="120">
        <v>114</v>
      </c>
      <c r="C2" s="120">
        <v>1842.3339395535957</v>
      </c>
    </row>
    <row r="3" spans="1:3" x14ac:dyDescent="0.4">
      <c r="A3" t="s">
        <v>163</v>
      </c>
      <c r="B3" s="120">
        <v>74</v>
      </c>
      <c r="C3" s="120">
        <v>1653.1699313523677</v>
      </c>
    </row>
    <row r="4" spans="1:3" x14ac:dyDescent="0.4">
      <c r="A4" t="s">
        <v>139</v>
      </c>
      <c r="B4" s="120">
        <v>414</v>
      </c>
      <c r="C4" s="120">
        <v>1594.5463045050694</v>
      </c>
    </row>
    <row r="5" spans="1:3" x14ac:dyDescent="0.4">
      <c r="A5" t="s">
        <v>190</v>
      </c>
      <c r="B5" s="120">
        <v>36</v>
      </c>
      <c r="C5" s="120">
        <v>1524.3778689305989</v>
      </c>
    </row>
    <row r="6" spans="1:3" x14ac:dyDescent="0.4">
      <c r="A6" t="s">
        <v>192</v>
      </c>
      <c r="B6" s="120">
        <v>49</v>
      </c>
      <c r="C6" s="120">
        <v>1517.1288342047803</v>
      </c>
    </row>
    <row r="7" spans="1:3" x14ac:dyDescent="0.4">
      <c r="A7" t="s">
        <v>211</v>
      </c>
      <c r="B7" s="120">
        <v>48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45</v>
      </c>
      <c r="C10" s="120">
        <v>1433.30445236539</v>
      </c>
    </row>
    <row r="11" spans="1:3" x14ac:dyDescent="0.4">
      <c r="A11" t="s">
        <v>195</v>
      </c>
      <c r="B11" s="120">
        <v>14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B14" s="120">
        <v>4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19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/>
      <c r="C1" s="140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0</v>
      </c>
      <c r="C2" s="142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43">
        <v>0</v>
      </c>
      <c r="C3" s="144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5">
        <v>0</v>
      </c>
      <c r="C4" s="146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33">
        <f>IF(B$2=0,0,B$4/B$2)</f>
        <v>0</v>
      </c>
      <c r="C5" s="134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7">
        <v>1500</v>
      </c>
      <c r="C6" s="138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7">
        <f>IF(B$2=0,0,(B$8*1+B$9*2+B$10*3)/B$2)</f>
        <v>0</v>
      </c>
      <c r="C7" s="148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</v>
      </c>
      <c r="C14" s="134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5">
        <v>0</v>
      </c>
      <c r="C33" s="136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7">
        <v>-1000000</v>
      </c>
      <c r="C34" s="138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53" t="s">
        <v>9</v>
      </c>
      <c r="C1" s="154"/>
      <c r="D1" s="151" t="s">
        <v>6</v>
      </c>
      <c r="E1" s="152"/>
      <c r="F1" s="151" t="s">
        <v>7</v>
      </c>
      <c r="G1" s="152"/>
      <c r="H1" s="153" t="s">
        <v>196</v>
      </c>
      <c r="I1" s="154"/>
      <c r="J1" s="151" t="s">
        <v>15</v>
      </c>
      <c r="K1" s="152"/>
      <c r="L1" s="151" t="s">
        <v>14</v>
      </c>
      <c r="M1" s="152"/>
      <c r="N1" s="151" t="s">
        <v>149</v>
      </c>
      <c r="O1" s="152"/>
      <c r="P1" s="151" t="s">
        <v>143</v>
      </c>
      <c r="Q1" s="152"/>
      <c r="R1" s="151" t="s">
        <v>144</v>
      </c>
      <c r="S1" s="152"/>
      <c r="T1" s="151" t="s">
        <v>5</v>
      </c>
      <c r="U1" s="152"/>
      <c r="V1" s="151" t="s">
        <v>16</v>
      </c>
      <c r="W1" s="152"/>
      <c r="X1" s="151" t="s">
        <v>17</v>
      </c>
      <c r="Y1" s="152"/>
      <c r="Z1" s="151" t="s">
        <v>122</v>
      </c>
      <c r="AA1" s="152"/>
      <c r="AB1" s="151" t="s">
        <v>119</v>
      </c>
      <c r="AC1" s="152"/>
      <c r="AD1" s="151" t="s">
        <v>125</v>
      </c>
      <c r="AE1" s="152"/>
      <c r="AF1" s="151" t="s">
        <v>145</v>
      </c>
      <c r="AG1" s="152"/>
      <c r="AH1" s="151" t="s">
        <v>138</v>
      </c>
      <c r="AI1" s="152"/>
      <c r="AJ1" s="151" t="s">
        <v>180</v>
      </c>
      <c r="AK1" s="152"/>
    </row>
    <row r="2" spans="1:37" x14ac:dyDescent="0.4">
      <c r="A2" s="36" t="s">
        <v>208</v>
      </c>
      <c r="B2" s="149">
        <v>0.9147450313910217</v>
      </c>
      <c r="C2" s="150"/>
      <c r="D2" s="149">
        <v>0.57544014008694466</v>
      </c>
      <c r="E2" s="150"/>
      <c r="F2" s="149">
        <v>0.58052246767648619</v>
      </c>
      <c r="G2" s="150"/>
      <c r="H2" s="155"/>
      <c r="I2" s="156"/>
      <c r="J2" s="149">
        <v>0.2519784454169357</v>
      </c>
      <c r="K2" s="150"/>
      <c r="L2" s="149">
        <v>-0.20397046976850372</v>
      </c>
      <c r="M2" s="150"/>
      <c r="N2" s="149">
        <v>0.42893144732808663</v>
      </c>
      <c r="O2" s="150"/>
      <c r="P2" s="149">
        <v>0.53143000773501947</v>
      </c>
      <c r="Q2" s="150"/>
      <c r="R2" s="149">
        <v>5.1669305996125204E-3</v>
      </c>
      <c r="S2" s="150"/>
      <c r="T2" s="149">
        <v>7.3257127211627637E-2</v>
      </c>
      <c r="U2" s="150"/>
      <c r="V2" s="149">
        <v>0.36005668177388933</v>
      </c>
      <c r="W2" s="150"/>
      <c r="X2" s="149">
        <v>0.25753572282939374</v>
      </c>
      <c r="Y2" s="150"/>
      <c r="Z2" s="149">
        <v>0.23298725133703624</v>
      </c>
      <c r="AA2" s="150"/>
      <c r="AB2" s="149">
        <v>0.16522690934061002</v>
      </c>
      <c r="AC2" s="150"/>
      <c r="AD2" s="149">
        <v>-2.4545715938910737E-2</v>
      </c>
      <c r="AE2" s="150"/>
      <c r="AF2" s="149">
        <v>0.56268592364265035</v>
      </c>
      <c r="AG2" s="150"/>
      <c r="AH2" s="149">
        <v>-0.2272236189353353</v>
      </c>
      <c r="AI2" s="150"/>
      <c r="AJ2" s="149">
        <v>0.73365352116935523</v>
      </c>
      <c r="AK2" s="150"/>
    </row>
    <row r="3" spans="1:37" x14ac:dyDescent="0.4">
      <c r="A3" s="38">
        <v>1</v>
      </c>
      <c r="B3" s="41" t="s">
        <v>139</v>
      </c>
      <c r="C3" s="113">
        <v>138</v>
      </c>
      <c r="D3" s="39" t="s">
        <v>192</v>
      </c>
      <c r="E3" s="40">
        <v>248.19999999999993</v>
      </c>
      <c r="F3" s="41" t="s">
        <v>192</v>
      </c>
      <c r="G3" s="60">
        <v>5.0653061224489786</v>
      </c>
      <c r="H3" s="41" t="s">
        <v>126</v>
      </c>
      <c r="I3" s="45">
        <v>1756.8675908280391</v>
      </c>
      <c r="J3" s="41" t="s">
        <v>192</v>
      </c>
      <c r="K3" s="42">
        <v>1.8367346938775511</v>
      </c>
      <c r="L3" s="41" t="s">
        <v>195</v>
      </c>
      <c r="M3" s="43">
        <v>0.42857142857142855</v>
      </c>
      <c r="N3" s="41" t="s">
        <v>190</v>
      </c>
      <c r="O3" s="43">
        <v>0.19444444444444445</v>
      </c>
      <c r="P3" s="41" t="s">
        <v>192</v>
      </c>
      <c r="Q3" s="44">
        <v>0.33412322274881517</v>
      </c>
      <c r="R3" s="41" t="s">
        <v>190</v>
      </c>
      <c r="S3" s="44">
        <v>0.10191082802547771</v>
      </c>
      <c r="T3" s="41" t="s">
        <v>221</v>
      </c>
      <c r="U3" s="45">
        <v>10925</v>
      </c>
      <c r="V3" s="41" t="s">
        <v>190</v>
      </c>
      <c r="W3" s="45">
        <v>-6562.5</v>
      </c>
      <c r="X3" s="41" t="s">
        <v>193</v>
      </c>
      <c r="Y3" s="43">
        <v>0</v>
      </c>
      <c r="Z3" s="41" t="s">
        <v>163</v>
      </c>
      <c r="AA3" s="44">
        <v>0.28330781010719758</v>
      </c>
      <c r="AB3" s="41" t="s">
        <v>189</v>
      </c>
      <c r="AC3" s="44">
        <v>0.29749999999999999</v>
      </c>
      <c r="AD3" s="41" t="s">
        <v>201</v>
      </c>
      <c r="AE3" s="44">
        <v>0.66666666666666663</v>
      </c>
      <c r="AF3" s="41" t="s">
        <v>126</v>
      </c>
      <c r="AG3" s="44">
        <v>0.46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114</v>
      </c>
      <c r="D4" s="47" t="s">
        <v>126</v>
      </c>
      <c r="E4" s="48">
        <v>186.69999999999987</v>
      </c>
      <c r="F4" s="49" t="s">
        <v>211</v>
      </c>
      <c r="G4" s="61">
        <v>2.9312499999999999</v>
      </c>
      <c r="H4" s="49" t="s">
        <v>163</v>
      </c>
      <c r="I4" s="53">
        <v>1631.8441025198326</v>
      </c>
      <c r="J4" s="49" t="s">
        <v>190</v>
      </c>
      <c r="K4" s="50">
        <v>1.8888888888888888</v>
      </c>
      <c r="L4" s="49" t="s">
        <v>192</v>
      </c>
      <c r="M4" s="51">
        <v>0.40816326530612246</v>
      </c>
      <c r="N4" s="49" t="s">
        <v>192</v>
      </c>
      <c r="O4" s="51">
        <v>0.24489795918367346</v>
      </c>
      <c r="P4" s="49" t="s">
        <v>126</v>
      </c>
      <c r="Q4" s="52">
        <v>0.32392894461859978</v>
      </c>
      <c r="R4" s="49" t="s">
        <v>192</v>
      </c>
      <c r="S4" s="52">
        <v>0.11611374407582939</v>
      </c>
      <c r="T4" s="49" t="s">
        <v>163</v>
      </c>
      <c r="U4" s="53">
        <v>9475.7225433526019</v>
      </c>
      <c r="V4" s="49" t="s">
        <v>211</v>
      </c>
      <c r="W4" s="53">
        <v>-6833.9285714285716</v>
      </c>
      <c r="X4" s="49" t="s">
        <v>221</v>
      </c>
      <c r="Y4" s="51">
        <v>0</v>
      </c>
      <c r="Z4" s="49" t="s">
        <v>190</v>
      </c>
      <c r="AA4" s="52">
        <v>0.2643312101910828</v>
      </c>
      <c r="AB4" s="49" t="s">
        <v>221</v>
      </c>
      <c r="AC4" s="52">
        <v>0.27777777777777779</v>
      </c>
      <c r="AD4" s="49" t="s">
        <v>259</v>
      </c>
      <c r="AE4" s="52">
        <v>0.66666666666666663</v>
      </c>
      <c r="AF4" s="49" t="s">
        <v>211</v>
      </c>
      <c r="AG4" s="52">
        <v>0.45652173913043476</v>
      </c>
      <c r="AH4" s="49" t="s">
        <v>201</v>
      </c>
      <c r="AI4" s="52">
        <v>0.55555555555555558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74</v>
      </c>
      <c r="D5" s="47" t="s">
        <v>211</v>
      </c>
      <c r="E5" s="48">
        <v>140.69999999999999</v>
      </c>
      <c r="F5" s="49" t="s">
        <v>190</v>
      </c>
      <c r="G5" s="61">
        <v>1.8805555555555544</v>
      </c>
      <c r="H5" s="49" t="s">
        <v>139</v>
      </c>
      <c r="I5" s="53">
        <v>1608.39146885831</v>
      </c>
      <c r="J5" s="49" t="s">
        <v>211</v>
      </c>
      <c r="K5" s="50">
        <v>1.9166666666666667</v>
      </c>
      <c r="L5" s="49" t="s">
        <v>211</v>
      </c>
      <c r="M5" s="51">
        <v>0.375</v>
      </c>
      <c r="N5" s="49" t="s">
        <v>211</v>
      </c>
      <c r="O5" s="51">
        <v>0.29166666666666669</v>
      </c>
      <c r="P5" s="49" t="s">
        <v>211</v>
      </c>
      <c r="Q5" s="52">
        <v>0.30170316301703165</v>
      </c>
      <c r="R5" s="49" t="s">
        <v>211</v>
      </c>
      <c r="S5" s="52">
        <v>0.13625304136253041</v>
      </c>
      <c r="T5" s="49" t="s">
        <v>195</v>
      </c>
      <c r="U5" s="53">
        <v>8954.8387096774186</v>
      </c>
      <c r="V5" s="49" t="s">
        <v>201</v>
      </c>
      <c r="W5" s="53">
        <v>-7370</v>
      </c>
      <c r="X5" s="49" t="s">
        <v>259</v>
      </c>
      <c r="Y5" s="51">
        <v>0</v>
      </c>
      <c r="Z5" s="49" t="s">
        <v>189</v>
      </c>
      <c r="AA5" s="52">
        <v>0.26250000000000001</v>
      </c>
      <c r="AB5" s="49" t="s">
        <v>192</v>
      </c>
      <c r="AC5" s="52">
        <v>0.27488151658767773</v>
      </c>
      <c r="AD5" s="49" t="s">
        <v>195</v>
      </c>
      <c r="AE5" s="52">
        <v>0.65384615384615385</v>
      </c>
      <c r="AF5" s="49" t="s">
        <v>193</v>
      </c>
      <c r="AG5" s="52">
        <v>0.41666666666666669</v>
      </c>
      <c r="AH5" s="49" t="s">
        <v>195</v>
      </c>
      <c r="AI5" s="52">
        <v>0.5161290322580645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49</v>
      </c>
      <c r="D6" s="47" t="s">
        <v>190</v>
      </c>
      <c r="E6" s="48">
        <v>67.69999999999996</v>
      </c>
      <c r="F6" s="49" t="s">
        <v>126</v>
      </c>
      <c r="G6" s="61">
        <v>1.637719298245613</v>
      </c>
      <c r="H6" s="49" t="s">
        <v>192</v>
      </c>
      <c r="I6" s="53">
        <v>1578.1244171430706</v>
      </c>
      <c r="J6" s="49" t="s">
        <v>139</v>
      </c>
      <c r="K6" s="50">
        <v>1.9975845410628019</v>
      </c>
      <c r="L6" s="49" t="s">
        <v>163</v>
      </c>
      <c r="M6" s="51">
        <v>0.33783783783783783</v>
      </c>
      <c r="N6" s="49" t="s">
        <v>139</v>
      </c>
      <c r="O6" s="51">
        <v>0.33333333333333331</v>
      </c>
      <c r="P6" s="49" t="s">
        <v>139</v>
      </c>
      <c r="Q6" s="52">
        <v>0.29367088607594938</v>
      </c>
      <c r="R6" s="49" t="s">
        <v>139</v>
      </c>
      <c r="S6" s="52">
        <v>0.16258790436005627</v>
      </c>
      <c r="T6" s="49" t="s">
        <v>139</v>
      </c>
      <c r="U6" s="53">
        <v>8141.954022988506</v>
      </c>
      <c r="V6" s="49" t="s">
        <v>126</v>
      </c>
      <c r="W6" s="53">
        <v>-7386.3905325443784</v>
      </c>
      <c r="X6" s="49" t="s">
        <v>211</v>
      </c>
      <c r="Y6" s="51">
        <v>4.1666666666666664E-2</v>
      </c>
      <c r="Z6" s="49" t="s">
        <v>139</v>
      </c>
      <c r="AA6" s="52">
        <v>0.24303797468354429</v>
      </c>
      <c r="AB6" s="49" t="s">
        <v>139</v>
      </c>
      <c r="AC6" s="52">
        <v>0.22728551336146272</v>
      </c>
      <c r="AD6" s="49" t="s">
        <v>211</v>
      </c>
      <c r="AE6" s="52">
        <v>0.5955056179775281</v>
      </c>
      <c r="AF6" s="49" t="s">
        <v>192</v>
      </c>
      <c r="AG6" s="52">
        <v>0.41379310344827586</v>
      </c>
      <c r="AH6" s="49" t="s">
        <v>259</v>
      </c>
      <c r="AI6" s="52">
        <v>0.5</v>
      </c>
      <c r="AJ6" s="49" t="s">
        <v>216</v>
      </c>
      <c r="AK6" s="56">
        <v>97000</v>
      </c>
    </row>
    <row r="7" spans="1:37" x14ac:dyDescent="0.4">
      <c r="A7" s="46">
        <v>5</v>
      </c>
      <c r="B7" s="49" t="s">
        <v>211</v>
      </c>
      <c r="C7" s="114">
        <v>48</v>
      </c>
      <c r="D7" s="47" t="s">
        <v>139</v>
      </c>
      <c r="E7" s="48">
        <v>5.6843418860808015E-14</v>
      </c>
      <c r="F7" s="49" t="s">
        <v>139</v>
      </c>
      <c r="G7" s="61">
        <v>1.3730294410823191E-16</v>
      </c>
      <c r="H7" s="49" t="s">
        <v>190</v>
      </c>
      <c r="I7" s="53">
        <v>1553.703793626174</v>
      </c>
      <c r="J7" s="49" t="s">
        <v>163</v>
      </c>
      <c r="K7" s="50">
        <v>2</v>
      </c>
      <c r="L7" s="49" t="s">
        <v>139</v>
      </c>
      <c r="M7" s="51">
        <v>0.33574879227053139</v>
      </c>
      <c r="N7" s="49" t="s">
        <v>163</v>
      </c>
      <c r="O7" s="51">
        <v>0.33783783783783783</v>
      </c>
      <c r="P7" s="49" t="s">
        <v>189</v>
      </c>
      <c r="Q7" s="52">
        <v>0.28999999999999998</v>
      </c>
      <c r="R7" s="49" t="s">
        <v>189</v>
      </c>
      <c r="S7" s="52">
        <v>0.16500000000000001</v>
      </c>
      <c r="T7" s="49" t="s">
        <v>126</v>
      </c>
      <c r="U7" s="53">
        <v>8141.9354838709678</v>
      </c>
      <c r="V7" s="49" t="s">
        <v>139</v>
      </c>
      <c r="W7" s="53">
        <v>-7676.6435986159167</v>
      </c>
      <c r="X7" s="49" t="s">
        <v>190</v>
      </c>
      <c r="Y7" s="51">
        <v>5.5555555555555552E-2</v>
      </c>
      <c r="Z7" s="49" t="s">
        <v>126</v>
      </c>
      <c r="AA7" s="52">
        <v>0.24242424242424243</v>
      </c>
      <c r="AB7" s="49" t="s">
        <v>163</v>
      </c>
      <c r="AC7" s="52">
        <v>0.22511485451761101</v>
      </c>
      <c r="AD7" s="49" t="s">
        <v>126</v>
      </c>
      <c r="AE7" s="52">
        <v>0.5818965517241379</v>
      </c>
      <c r="AF7" s="49" t="s">
        <v>139</v>
      </c>
      <c r="AG7" s="52">
        <v>0.40346534653465349</v>
      </c>
      <c r="AH7" s="49" t="s">
        <v>216</v>
      </c>
      <c r="AI7" s="52">
        <v>0.47058823529411764</v>
      </c>
      <c r="AJ7" s="49" t="s">
        <v>163</v>
      </c>
      <c r="AK7" s="56">
        <v>94700</v>
      </c>
    </row>
    <row r="8" spans="1:37" x14ac:dyDescent="0.4">
      <c r="A8" s="46">
        <v>6</v>
      </c>
      <c r="B8" s="49" t="s">
        <v>189</v>
      </c>
      <c r="C8" s="114">
        <v>45</v>
      </c>
      <c r="D8" s="47" t="s">
        <v>221</v>
      </c>
      <c r="E8" s="48">
        <v>-13.5</v>
      </c>
      <c r="F8" s="49" t="s">
        <v>163</v>
      </c>
      <c r="G8" s="61">
        <v>-1.301351351351351</v>
      </c>
      <c r="H8" s="49" t="s">
        <v>211</v>
      </c>
      <c r="I8" s="53">
        <v>1532.9527241904184</v>
      </c>
      <c r="J8" s="49" t="s">
        <v>195</v>
      </c>
      <c r="K8" s="50">
        <v>2</v>
      </c>
      <c r="L8" s="49" t="s">
        <v>126</v>
      </c>
      <c r="M8" s="51">
        <v>0.33333333333333331</v>
      </c>
      <c r="N8" s="49" t="s">
        <v>126</v>
      </c>
      <c r="O8" s="51">
        <v>0.34210526315789475</v>
      </c>
      <c r="P8" s="49" t="s">
        <v>190</v>
      </c>
      <c r="Q8" s="52">
        <v>0.26751592356687898</v>
      </c>
      <c r="R8" s="49" t="s">
        <v>221</v>
      </c>
      <c r="S8" s="52">
        <v>0.16666666666666666</v>
      </c>
      <c r="T8" s="49" t="s">
        <v>190</v>
      </c>
      <c r="U8" s="53">
        <v>8045.2380952380954</v>
      </c>
      <c r="V8" s="49" t="s">
        <v>192</v>
      </c>
      <c r="W8" s="53">
        <v>-7693.8775510204077</v>
      </c>
      <c r="X8" s="49" t="s">
        <v>126</v>
      </c>
      <c r="Y8" s="51">
        <v>7.8947368421052627E-2</v>
      </c>
      <c r="Z8" s="49" t="s">
        <v>259</v>
      </c>
      <c r="AA8" s="52">
        <v>0.24</v>
      </c>
      <c r="AB8" s="49" t="s">
        <v>211</v>
      </c>
      <c r="AC8" s="52">
        <v>0.22384428223844283</v>
      </c>
      <c r="AD8" s="49" t="s">
        <v>192</v>
      </c>
      <c r="AE8" s="52">
        <v>0.52941176470588236</v>
      </c>
      <c r="AF8" s="49" t="s">
        <v>189</v>
      </c>
      <c r="AG8" s="52">
        <v>0.40336134453781514</v>
      </c>
      <c r="AH8" s="49" t="s">
        <v>189</v>
      </c>
      <c r="AI8" s="52">
        <v>0.46551724137931033</v>
      </c>
      <c r="AJ8" s="49" t="s">
        <v>189</v>
      </c>
      <c r="AK8" s="56">
        <v>89900</v>
      </c>
    </row>
    <row r="9" spans="1:37" x14ac:dyDescent="0.4">
      <c r="A9" s="46">
        <v>7</v>
      </c>
      <c r="B9" s="49" t="s">
        <v>190</v>
      </c>
      <c r="C9" s="114">
        <v>36</v>
      </c>
      <c r="D9" s="47" t="s">
        <v>259</v>
      </c>
      <c r="E9" s="48">
        <v>-50</v>
      </c>
      <c r="F9" s="49" t="s">
        <v>189</v>
      </c>
      <c r="G9" s="61">
        <v>-3.26</v>
      </c>
      <c r="H9" s="49" t="s">
        <v>221</v>
      </c>
      <c r="I9" s="53">
        <v>1497.379788</v>
      </c>
      <c r="J9" s="49" t="s">
        <v>126</v>
      </c>
      <c r="K9" s="50">
        <v>2.0087719298245612</v>
      </c>
      <c r="L9" s="49" t="s">
        <v>189</v>
      </c>
      <c r="M9" s="51">
        <v>0.33333333333333331</v>
      </c>
      <c r="N9" s="49" t="s">
        <v>216</v>
      </c>
      <c r="O9" s="51">
        <v>0.42105263157894735</v>
      </c>
      <c r="P9" s="49" t="s">
        <v>163</v>
      </c>
      <c r="Q9" s="52">
        <v>0.26493108728943338</v>
      </c>
      <c r="R9" s="49" t="s">
        <v>195</v>
      </c>
      <c r="S9" s="52">
        <v>0.17355371900826447</v>
      </c>
      <c r="T9" s="49" t="s">
        <v>216</v>
      </c>
      <c r="U9" s="53">
        <v>7926.4705882352937</v>
      </c>
      <c r="V9" s="49" t="s">
        <v>216</v>
      </c>
      <c r="W9" s="53">
        <v>-7886.2068965517237</v>
      </c>
      <c r="X9" s="49" t="s">
        <v>192</v>
      </c>
      <c r="Y9" s="51">
        <v>8.1632653061224483E-2</v>
      </c>
      <c r="Z9" s="49" t="s">
        <v>216</v>
      </c>
      <c r="AA9" s="52">
        <v>0.2361111111111111</v>
      </c>
      <c r="AB9" s="49" t="s">
        <v>193</v>
      </c>
      <c r="AC9" s="52">
        <v>0.22222222222222221</v>
      </c>
      <c r="AD9" s="49" t="s">
        <v>139</v>
      </c>
      <c r="AE9" s="52">
        <v>0.52430555555555558</v>
      </c>
      <c r="AF9" s="49" t="s">
        <v>221</v>
      </c>
      <c r="AG9" s="52">
        <v>0.4</v>
      </c>
      <c r="AH9" s="49" t="s">
        <v>126</v>
      </c>
      <c r="AI9" s="52">
        <v>0.46451612903225808</v>
      </c>
      <c r="AJ9" s="49" t="s">
        <v>211</v>
      </c>
      <c r="AK9" s="56">
        <v>86700</v>
      </c>
    </row>
    <row r="10" spans="1:37" x14ac:dyDescent="0.4">
      <c r="A10" s="46">
        <v>8</v>
      </c>
      <c r="B10" s="49" t="s">
        <v>216</v>
      </c>
      <c r="C10" s="114">
        <v>19</v>
      </c>
      <c r="D10" s="47" t="s">
        <v>195</v>
      </c>
      <c r="E10" s="48">
        <v>-72.599999999999994</v>
      </c>
      <c r="F10" s="49" t="s">
        <v>195</v>
      </c>
      <c r="G10" s="61">
        <v>-5.1857142857142851</v>
      </c>
      <c r="H10" s="49" t="s">
        <v>259</v>
      </c>
      <c r="I10" s="53">
        <v>1493.0891304000002</v>
      </c>
      <c r="J10" s="49" t="s">
        <v>189</v>
      </c>
      <c r="K10" s="50">
        <v>2.088888888888889</v>
      </c>
      <c r="L10" s="49" t="s">
        <v>190</v>
      </c>
      <c r="M10" s="51">
        <v>0.30555555555555558</v>
      </c>
      <c r="N10" s="49" t="s">
        <v>189</v>
      </c>
      <c r="O10" s="51">
        <v>0.42222222222222222</v>
      </c>
      <c r="P10" s="49" t="s">
        <v>195</v>
      </c>
      <c r="Q10" s="52">
        <v>0.256198347107438</v>
      </c>
      <c r="R10" s="49" t="s">
        <v>126</v>
      </c>
      <c r="S10" s="52">
        <v>0.17659352142110762</v>
      </c>
      <c r="T10" s="49" t="s">
        <v>193</v>
      </c>
      <c r="U10" s="53">
        <v>7866.666666666667</v>
      </c>
      <c r="V10" s="49" t="s">
        <v>163</v>
      </c>
      <c r="W10" s="53">
        <v>-7925.3968253968251</v>
      </c>
      <c r="X10" s="49" t="s">
        <v>139</v>
      </c>
      <c r="Y10" s="51">
        <v>8.6956521739130432E-2</v>
      </c>
      <c r="Z10" s="49" t="s">
        <v>221</v>
      </c>
      <c r="AA10" s="52">
        <v>0.22222222222222221</v>
      </c>
      <c r="AB10" s="49" t="s">
        <v>201</v>
      </c>
      <c r="AC10" s="52">
        <v>0.22222222222222221</v>
      </c>
      <c r="AD10" s="49" t="s">
        <v>190</v>
      </c>
      <c r="AE10" s="52">
        <v>0.51807228915662651</v>
      </c>
      <c r="AF10" s="49" t="s">
        <v>190</v>
      </c>
      <c r="AG10" s="52">
        <v>0.36507936507936506</v>
      </c>
      <c r="AH10" s="49" t="s">
        <v>163</v>
      </c>
      <c r="AI10" s="52">
        <v>0.46242774566473988</v>
      </c>
      <c r="AJ10" s="49" t="s">
        <v>190</v>
      </c>
      <c r="AK10" s="56">
        <v>85000</v>
      </c>
    </row>
    <row r="11" spans="1:37" x14ac:dyDescent="0.4">
      <c r="A11" s="46">
        <v>9</v>
      </c>
      <c r="B11" s="49" t="s">
        <v>195</v>
      </c>
      <c r="C11" s="114">
        <v>14</v>
      </c>
      <c r="D11" s="47" t="s">
        <v>201</v>
      </c>
      <c r="E11" s="48">
        <v>-77.699999999999989</v>
      </c>
      <c r="F11" s="49" t="s">
        <v>216</v>
      </c>
      <c r="G11" s="61">
        <v>-5.7</v>
      </c>
      <c r="H11" s="49" t="s">
        <v>201</v>
      </c>
      <c r="I11" s="53">
        <v>1489.5540953611471</v>
      </c>
      <c r="J11" s="49" t="s">
        <v>216</v>
      </c>
      <c r="K11" s="50">
        <v>2.1578947368421053</v>
      </c>
      <c r="L11" s="49" t="s">
        <v>216</v>
      </c>
      <c r="M11" s="51">
        <v>0.26315789473684209</v>
      </c>
      <c r="N11" s="49" t="s">
        <v>195</v>
      </c>
      <c r="O11" s="51">
        <v>0.42857142857142855</v>
      </c>
      <c r="P11" s="49" t="s">
        <v>201</v>
      </c>
      <c r="Q11" s="52">
        <v>0.25</v>
      </c>
      <c r="R11" s="49" t="s">
        <v>163</v>
      </c>
      <c r="S11" s="52">
        <v>0.19295558958652373</v>
      </c>
      <c r="T11" s="49" t="s">
        <v>211</v>
      </c>
      <c r="U11" s="53">
        <v>7832.2580645161288</v>
      </c>
      <c r="V11" s="49" t="s">
        <v>195</v>
      </c>
      <c r="W11" s="53">
        <v>-7990.4761904761908</v>
      </c>
      <c r="X11" s="49" t="s">
        <v>189</v>
      </c>
      <c r="Y11" s="51">
        <v>8.8888888888888892E-2</v>
      </c>
      <c r="Z11" s="49" t="s">
        <v>211</v>
      </c>
      <c r="AA11" s="52">
        <v>0.21654501216545013</v>
      </c>
      <c r="AB11" s="49" t="s">
        <v>126</v>
      </c>
      <c r="AC11" s="52">
        <v>0.2089864158829676</v>
      </c>
      <c r="AD11" s="49" t="s">
        <v>216</v>
      </c>
      <c r="AE11" s="52">
        <v>0.47058823529411764</v>
      </c>
      <c r="AF11" s="49" t="s">
        <v>163</v>
      </c>
      <c r="AG11" s="52">
        <v>0.3401360544217687</v>
      </c>
      <c r="AH11" s="49" t="s">
        <v>139</v>
      </c>
      <c r="AI11" s="52">
        <v>0.43965517241379309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193</v>
      </c>
      <c r="E12" s="48">
        <v>-78.199999999999989</v>
      </c>
      <c r="F12" s="49" t="s">
        <v>221</v>
      </c>
      <c r="G12" s="61">
        <v>-6.75</v>
      </c>
      <c r="H12" s="49" t="s">
        <v>216</v>
      </c>
      <c r="I12" s="53">
        <v>1488.9447185272431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193</v>
      </c>
      <c r="O12" s="51">
        <v>0.5</v>
      </c>
      <c r="P12" s="49" t="s">
        <v>259</v>
      </c>
      <c r="Q12" s="52">
        <v>0.24</v>
      </c>
      <c r="R12" s="49" t="s">
        <v>259</v>
      </c>
      <c r="S12" s="52">
        <v>0.2</v>
      </c>
      <c r="T12" s="49" t="s">
        <v>189</v>
      </c>
      <c r="U12" s="53">
        <v>7512.0689655172409</v>
      </c>
      <c r="V12" s="49" t="s">
        <v>189</v>
      </c>
      <c r="W12" s="53">
        <v>-8572.7272727272721</v>
      </c>
      <c r="X12" s="49" t="s">
        <v>216</v>
      </c>
      <c r="Y12" s="51">
        <v>0.10526315789473684</v>
      </c>
      <c r="Z12" s="49" t="s">
        <v>195</v>
      </c>
      <c r="AA12" s="52">
        <v>0.21487603305785125</v>
      </c>
      <c r="AB12" s="49" t="s">
        <v>190</v>
      </c>
      <c r="AC12" s="52">
        <v>0.20063694267515925</v>
      </c>
      <c r="AD12" s="49" t="s">
        <v>163</v>
      </c>
      <c r="AE12" s="52">
        <v>0.4702702702702703</v>
      </c>
      <c r="AF12" s="49" t="s">
        <v>216</v>
      </c>
      <c r="AG12" s="52">
        <v>0.32</v>
      </c>
      <c r="AH12" s="49" t="s">
        <v>211</v>
      </c>
      <c r="AI12" s="52">
        <v>0.41129032258064518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201</v>
      </c>
      <c r="C13" s="114">
        <v>4</v>
      </c>
      <c r="D13" s="47" t="s">
        <v>163</v>
      </c>
      <c r="E13" s="48">
        <v>-96.299999999999983</v>
      </c>
      <c r="F13" s="49" t="s">
        <v>193</v>
      </c>
      <c r="G13" s="61">
        <v>-13.033333333333331</v>
      </c>
      <c r="H13" s="49" t="s">
        <v>189</v>
      </c>
      <c r="I13" s="53">
        <v>1444.1642121350767</v>
      </c>
      <c r="J13" s="49" t="s">
        <v>201</v>
      </c>
      <c r="K13" s="50">
        <v>2.5</v>
      </c>
      <c r="L13" s="49" t="s">
        <v>201</v>
      </c>
      <c r="M13" s="51">
        <v>0</v>
      </c>
      <c r="N13" s="49" t="s">
        <v>201</v>
      </c>
      <c r="O13" s="51">
        <v>0.5</v>
      </c>
      <c r="P13" s="49" t="s">
        <v>216</v>
      </c>
      <c r="Q13" s="52">
        <v>0.2361111111111111</v>
      </c>
      <c r="R13" s="49" t="s">
        <v>216</v>
      </c>
      <c r="S13" s="52">
        <v>0.2013888888888889</v>
      </c>
      <c r="T13" s="49" t="s">
        <v>192</v>
      </c>
      <c r="U13" s="53">
        <v>7300</v>
      </c>
      <c r="V13" s="49" t="s">
        <v>193</v>
      </c>
      <c r="W13" s="53">
        <v>-8875</v>
      </c>
      <c r="X13" s="49" t="s">
        <v>163</v>
      </c>
      <c r="Y13" s="51">
        <v>0.13513513513513514</v>
      </c>
      <c r="Z13" s="49" t="s">
        <v>192</v>
      </c>
      <c r="AA13" s="52">
        <v>0.2014218009478673</v>
      </c>
      <c r="AB13" s="49" t="s">
        <v>216</v>
      </c>
      <c r="AC13" s="52">
        <v>0.1736111111111111</v>
      </c>
      <c r="AD13" s="49" t="s">
        <v>189</v>
      </c>
      <c r="AE13" s="52">
        <v>0.43809523809523809</v>
      </c>
      <c r="AF13" s="49" t="s">
        <v>195</v>
      </c>
      <c r="AG13" s="52">
        <v>0.29411764705882354</v>
      </c>
      <c r="AH13" s="49" t="s">
        <v>192</v>
      </c>
      <c r="AI13" s="52">
        <v>0.3971631205673759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259</v>
      </c>
      <c r="C14" s="114">
        <v>3</v>
      </c>
      <c r="D14" s="47" t="s">
        <v>216</v>
      </c>
      <c r="E14" s="48">
        <v>-108.30000000000001</v>
      </c>
      <c r="F14" s="49" t="s">
        <v>259</v>
      </c>
      <c r="G14" s="61">
        <v>-16.666666666666668</v>
      </c>
      <c r="H14" s="49" t="s">
        <v>195</v>
      </c>
      <c r="I14" s="53">
        <v>1392.4879372401474</v>
      </c>
      <c r="J14" s="49" t="s">
        <v>221</v>
      </c>
      <c r="K14" s="50">
        <v>2.5</v>
      </c>
      <c r="L14" s="49" t="s">
        <v>221</v>
      </c>
      <c r="M14" s="51">
        <v>0</v>
      </c>
      <c r="N14" s="49" t="s">
        <v>221</v>
      </c>
      <c r="O14" s="51">
        <v>0.5</v>
      </c>
      <c r="P14" s="49" t="s">
        <v>193</v>
      </c>
      <c r="Q14" s="52">
        <v>0.22222222222222221</v>
      </c>
      <c r="R14" s="49" t="s">
        <v>193</v>
      </c>
      <c r="S14" s="52">
        <v>0.22222222222222221</v>
      </c>
      <c r="T14" s="49" t="s">
        <v>259</v>
      </c>
      <c r="U14" s="53">
        <v>7216.666666666667</v>
      </c>
      <c r="V14" s="49" t="s">
        <v>259</v>
      </c>
      <c r="W14" s="53">
        <v>-9420</v>
      </c>
      <c r="X14" s="49" t="s">
        <v>195</v>
      </c>
      <c r="Y14" s="51">
        <v>0.14285714285714285</v>
      </c>
      <c r="Z14" s="49" t="s">
        <v>193</v>
      </c>
      <c r="AA14" s="52">
        <v>0.16666666666666666</v>
      </c>
      <c r="AB14" s="49" t="s">
        <v>259</v>
      </c>
      <c r="AC14" s="52">
        <v>0.16</v>
      </c>
      <c r="AD14" s="49" t="s">
        <v>221</v>
      </c>
      <c r="AE14" s="52">
        <v>0.25</v>
      </c>
      <c r="AF14" s="49" t="s">
        <v>201</v>
      </c>
      <c r="AG14" s="52">
        <v>0.25</v>
      </c>
      <c r="AH14" s="49" t="s">
        <v>190</v>
      </c>
      <c r="AI14" s="52">
        <v>0.32142857142857145</v>
      </c>
      <c r="AJ14" s="49" t="s">
        <v>221</v>
      </c>
      <c r="AK14" s="56">
        <v>39000</v>
      </c>
    </row>
    <row r="15" spans="1:37" x14ac:dyDescent="0.4">
      <c r="A15" s="46">
        <v>13</v>
      </c>
      <c r="B15" s="49" t="s">
        <v>221</v>
      </c>
      <c r="C15" s="114">
        <v>2</v>
      </c>
      <c r="D15" s="47" t="s">
        <v>189</v>
      </c>
      <c r="E15" s="48">
        <v>-146.69999999999999</v>
      </c>
      <c r="F15" s="49" t="s">
        <v>201</v>
      </c>
      <c r="G15" s="61">
        <v>-19.424999999999997</v>
      </c>
      <c r="H15" s="49" t="s">
        <v>193</v>
      </c>
      <c r="I15" s="53">
        <v>1340.228259602879</v>
      </c>
      <c r="J15" s="49" t="s">
        <v>259</v>
      </c>
      <c r="K15" s="50">
        <v>2.6666666666666665</v>
      </c>
      <c r="L15" s="49" t="s">
        <v>259</v>
      </c>
      <c r="M15" s="51">
        <v>0</v>
      </c>
      <c r="N15" s="49" t="s">
        <v>259</v>
      </c>
      <c r="O15" s="51">
        <v>0.66666666666666663</v>
      </c>
      <c r="P15" s="49" t="s">
        <v>221</v>
      </c>
      <c r="Q15" s="52">
        <v>0.22222222222222221</v>
      </c>
      <c r="R15" s="49" t="s">
        <v>201</v>
      </c>
      <c r="S15" s="52">
        <v>0.27777777777777779</v>
      </c>
      <c r="T15" s="49" t="s">
        <v>201</v>
      </c>
      <c r="U15" s="53">
        <v>6744.4444444444443</v>
      </c>
      <c r="V15" s="49" t="s">
        <v>221</v>
      </c>
      <c r="W15" s="53">
        <v>-10300</v>
      </c>
      <c r="X15" s="49" t="s">
        <v>201</v>
      </c>
      <c r="Y15" s="51">
        <v>0.25</v>
      </c>
      <c r="Z15" s="49" t="s">
        <v>201</v>
      </c>
      <c r="AA15" s="52">
        <v>0.16666666666666666</v>
      </c>
      <c r="AB15" s="49" t="s">
        <v>195</v>
      </c>
      <c r="AC15" s="52">
        <v>0.14049586776859505</v>
      </c>
      <c r="AD15" s="49" t="s">
        <v>193</v>
      </c>
      <c r="AE15" s="52">
        <v>0.22222222222222221</v>
      </c>
      <c r="AF15" s="49" t="s">
        <v>259</v>
      </c>
      <c r="AG15" s="52">
        <v>0.25</v>
      </c>
      <c r="AH15" s="49" t="s">
        <v>193</v>
      </c>
      <c r="AI15" s="52">
        <v>0.25</v>
      </c>
      <c r="AJ15" s="49" t="s">
        <v>201</v>
      </c>
      <c r="AK15" s="56">
        <v>36100</v>
      </c>
    </row>
  </sheetData>
  <sortState xmlns:xlrd2="http://schemas.microsoft.com/office/spreadsheetml/2017/richdata2" ref="AJ3:AK69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41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139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414</v>
      </c>
      <c r="C2" s="142"/>
      <c r="E2" s="26" t="s">
        <v>66</v>
      </c>
      <c r="F2" s="23" t="s">
        <v>22</v>
      </c>
      <c r="G2" s="11">
        <v>818</v>
      </c>
      <c r="H2" s="87">
        <f>IF(B$20=0,0,G2/B$20)</f>
        <v>0.78352490421455934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-36.496350364963504</v>
      </c>
      <c r="Q2" s="76">
        <v>411</v>
      </c>
      <c r="R2" s="63">
        <v>-15000</v>
      </c>
    </row>
    <row r="3" spans="1:18" x14ac:dyDescent="0.4">
      <c r="A3" s="19" t="s">
        <v>8</v>
      </c>
      <c r="B3" s="143">
        <v>3555</v>
      </c>
      <c r="C3" s="144"/>
      <c r="E3" s="27" t="s">
        <v>72</v>
      </c>
      <c r="F3" s="24" t="s">
        <v>27</v>
      </c>
      <c r="G3" s="12">
        <v>621</v>
      </c>
      <c r="H3" s="88">
        <f>IF(B$20=0,0,G3/B$20)</f>
        <v>0.59482758620689657</v>
      </c>
      <c r="I3" s="58">
        <v>7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17.412935323383085</v>
      </c>
      <c r="Q3" s="77">
        <v>402</v>
      </c>
      <c r="R3" s="64">
        <v>7000</v>
      </c>
    </row>
    <row r="4" spans="1:18" x14ac:dyDescent="0.4">
      <c r="A4" s="19" t="s">
        <v>6</v>
      </c>
      <c r="B4" s="145">
        <v>5.6843418860808015E-14</v>
      </c>
      <c r="C4" s="146"/>
      <c r="E4" s="27" t="s">
        <v>64</v>
      </c>
      <c r="F4" s="24" t="s">
        <v>20</v>
      </c>
      <c r="G4" s="12">
        <v>438</v>
      </c>
      <c r="H4" s="88">
        <f>IF(B$20=0,0,G4/B$20)</f>
        <v>0.41954022988505746</v>
      </c>
      <c r="I4" s="58">
        <v>8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0</v>
      </c>
      <c r="Q4" s="77">
        <v>402</v>
      </c>
      <c r="R4" s="64">
        <v>0</v>
      </c>
    </row>
    <row r="5" spans="1:18" x14ac:dyDescent="0.4">
      <c r="A5" s="19" t="s">
        <v>7</v>
      </c>
      <c r="B5" s="133">
        <f>IF(B$2=0,0,B$4/B$2)</f>
        <v>1.3730294410823191E-16</v>
      </c>
      <c r="C5" s="134"/>
      <c r="E5" s="27" t="s">
        <v>159</v>
      </c>
      <c r="F5" s="24" t="s">
        <v>160</v>
      </c>
      <c r="G5" s="12">
        <v>420</v>
      </c>
      <c r="H5" s="88">
        <f>IF(B$20=0,0,G5/B$20)</f>
        <v>0.40229885057471265</v>
      </c>
      <c r="I5" s="58">
        <v>8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-5.2493438320209975</v>
      </c>
      <c r="Q5" s="77">
        <v>381</v>
      </c>
      <c r="R5" s="64">
        <v>-2000</v>
      </c>
    </row>
    <row r="6" spans="1:18" x14ac:dyDescent="0.4">
      <c r="A6" s="19" t="s">
        <v>196</v>
      </c>
      <c r="B6" s="137">
        <v>1608.39146885831</v>
      </c>
      <c r="C6" s="138"/>
      <c r="E6" s="27" t="s">
        <v>68</v>
      </c>
      <c r="F6" s="24" t="s">
        <v>12</v>
      </c>
      <c r="G6" s="12">
        <v>312</v>
      </c>
      <c r="H6" s="88">
        <f>IF(B$20=0,0,G6/B$20)</f>
        <v>0.2988505747126437</v>
      </c>
      <c r="I6" s="58">
        <v>8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14.245014245014245</v>
      </c>
      <c r="Q6" s="77">
        <v>351</v>
      </c>
      <c r="R6" s="64">
        <v>5000</v>
      </c>
    </row>
    <row r="7" spans="1:18" x14ac:dyDescent="0.4">
      <c r="A7" s="19" t="s">
        <v>1</v>
      </c>
      <c r="B7" s="147">
        <f>IF(B$2=0,0,(B$8*1+B$9*2+B$10*3)/B$2)</f>
        <v>1.9975845410628019</v>
      </c>
      <c r="C7" s="148"/>
      <c r="E7" s="27" t="s">
        <v>67</v>
      </c>
      <c r="F7" s="24" t="s">
        <v>23</v>
      </c>
      <c r="G7" s="12">
        <v>228</v>
      </c>
      <c r="H7" s="88">
        <f>IF(B$20=0,0,G7/B$20)</f>
        <v>0.21839080459770116</v>
      </c>
      <c r="I7" s="58">
        <v>8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16.501650165016503</v>
      </c>
      <c r="Q7" s="78">
        <v>303</v>
      </c>
      <c r="R7" s="65">
        <v>5000</v>
      </c>
    </row>
    <row r="8" spans="1:18" x14ac:dyDescent="0.4">
      <c r="A8" s="19" t="s">
        <v>2</v>
      </c>
      <c r="B8" s="12">
        <v>139</v>
      </c>
      <c r="C8" s="6">
        <f t="shared" ref="C8:C15" si="1">IF(B$2=0,0,B8/B$2)</f>
        <v>0.33574879227053139</v>
      </c>
      <c r="E8" s="27" t="s">
        <v>89</v>
      </c>
      <c r="F8" s="24" t="s">
        <v>44</v>
      </c>
      <c r="G8" s="12">
        <v>140</v>
      </c>
      <c r="H8" s="88">
        <f>IF(B$20=0,0,G8/B$20)</f>
        <v>0.13409961685823754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137</v>
      </c>
      <c r="C9" s="6">
        <f t="shared" si="1"/>
        <v>0.33091787439613529</v>
      </c>
      <c r="E9" s="27" t="s">
        <v>69</v>
      </c>
      <c r="F9" s="24" t="s">
        <v>24</v>
      </c>
      <c r="G9" s="12">
        <v>137</v>
      </c>
      <c r="H9" s="88">
        <f>IF(B$20=0,0,G9/B$20)</f>
        <v>0.13122605363984674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138</v>
      </c>
      <c r="C10" s="7">
        <f t="shared" si="1"/>
        <v>0.33333333333333331</v>
      </c>
      <c r="E10" s="27" t="s">
        <v>70</v>
      </c>
      <c r="F10" s="24" t="s">
        <v>25</v>
      </c>
      <c r="G10" s="12">
        <v>105</v>
      </c>
      <c r="H10" s="88">
        <f>IF(B$20=0,0,G10/B$20)</f>
        <v>0.10057471264367816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3.577536231884058</v>
      </c>
      <c r="Q10" s="76">
        <v>138</v>
      </c>
      <c r="R10" s="67">
        <v>493.7</v>
      </c>
    </row>
    <row r="11" spans="1:18" x14ac:dyDescent="0.4">
      <c r="A11" s="20" t="s">
        <v>184</v>
      </c>
      <c r="B11" s="109">
        <f>IF(B8=0,0,C11/B8)</f>
        <v>34.36187050359711</v>
      </c>
      <c r="C11" s="110">
        <v>4776.2999999999984</v>
      </c>
      <c r="E11" s="27" t="s">
        <v>65</v>
      </c>
      <c r="F11" s="24" t="s">
        <v>21</v>
      </c>
      <c r="G11" s="12">
        <v>96</v>
      </c>
      <c r="H11" s="88">
        <f>IF(B$20=0,0,G11/B$20)</f>
        <v>9.1954022988505746E-2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-3.7398550724637674</v>
      </c>
      <c r="Q11" s="77">
        <v>138</v>
      </c>
      <c r="R11" s="68">
        <v>-516.09999999999991</v>
      </c>
    </row>
    <row r="12" spans="1:18" x14ac:dyDescent="0.4">
      <c r="A12" s="20" t="s">
        <v>185</v>
      </c>
      <c r="B12" s="109">
        <f>IF(B9=0,0,C12/B9)</f>
        <v>-0.9963503649635036</v>
      </c>
      <c r="C12" s="110">
        <v>-136.5</v>
      </c>
      <c r="E12" s="27" t="s">
        <v>71</v>
      </c>
      <c r="F12" s="24" t="s">
        <v>26</v>
      </c>
      <c r="G12" s="12">
        <v>65</v>
      </c>
      <c r="H12" s="88">
        <f>IF(B$20=0,0,G12/B$20)</f>
        <v>6.2260536398467431E-2</v>
      </c>
      <c r="I12" s="58">
        <v>7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0.16231884057971038</v>
      </c>
      <c r="Q12" s="78">
        <v>138</v>
      </c>
      <c r="R12" s="69">
        <v>22.400000000000034</v>
      </c>
    </row>
    <row r="13" spans="1:18" x14ac:dyDescent="0.4">
      <c r="A13" s="20" t="s">
        <v>186</v>
      </c>
      <c r="B13" s="109">
        <f>IF(B10=0,0,C13/B10)</f>
        <v>-33.621739130434776</v>
      </c>
      <c r="C13" s="110">
        <v>-4639.7999999999993</v>
      </c>
      <c r="E13" s="27" t="s">
        <v>86</v>
      </c>
      <c r="F13" s="24" t="s">
        <v>41</v>
      </c>
      <c r="G13" s="12">
        <v>59</v>
      </c>
      <c r="H13" s="88">
        <f>IF(B$20=0,0,G13/B$20)</f>
        <v>5.6513409961685822E-2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-8.5406330600389893E-2</v>
      </c>
      <c r="C14" s="134"/>
      <c r="E14" s="27" t="s">
        <v>83</v>
      </c>
      <c r="F14" s="24" t="s">
        <v>38</v>
      </c>
      <c r="G14" s="12">
        <v>45</v>
      </c>
      <c r="H14" s="88">
        <f>IF(B$20=0,0,G14/B$20)</f>
        <v>4.3103448275862072E-2</v>
      </c>
      <c r="I14" s="58">
        <v>8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36</v>
      </c>
      <c r="C15" s="9">
        <f t="shared" si="1"/>
        <v>8.6956521739130432E-2</v>
      </c>
      <c r="E15" s="27" t="s">
        <v>81</v>
      </c>
      <c r="F15" s="24" t="s">
        <v>36</v>
      </c>
      <c r="G15" s="12">
        <v>33</v>
      </c>
      <c r="H15" s="88">
        <f>IF(B$20=0,0,G15/B$20)</f>
        <v>3.1609195402298854E-2</v>
      </c>
      <c r="I15" s="58">
        <v>9</v>
      </c>
      <c r="K15" s="74">
        <v>13</v>
      </c>
      <c r="L15" s="119">
        <v>48.999999999999993</v>
      </c>
      <c r="M15" s="117">
        <v>1603.6953056015411</v>
      </c>
      <c r="O15" s="73" t="s">
        <v>201</v>
      </c>
      <c r="P15" s="82">
        <f>IF(Q15=0,0,R15/Q15)</f>
        <v>29.137500000000003</v>
      </c>
      <c r="Q15" s="76">
        <v>8</v>
      </c>
      <c r="R15" s="67">
        <v>233.10000000000002</v>
      </c>
    </row>
    <row r="16" spans="1:18" x14ac:dyDescent="0.4">
      <c r="A16" s="22" t="s">
        <v>121</v>
      </c>
      <c r="B16" s="15">
        <v>864</v>
      </c>
      <c r="C16" s="10">
        <f>IF(B$3=0,0,B16/B$3)</f>
        <v>0.24303797468354429</v>
      </c>
      <c r="E16" s="27" t="s">
        <v>78</v>
      </c>
      <c r="F16" s="24" t="s">
        <v>33</v>
      </c>
      <c r="G16" s="12">
        <v>29</v>
      </c>
      <c r="H16" s="88">
        <f>IF(B$20=0,0,G16/B$20)</f>
        <v>2.7777777777777776E-2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259</v>
      </c>
      <c r="P16" s="83">
        <f>IF(Q16=0,0,R16/Q16)</f>
        <v>24.999999999999996</v>
      </c>
      <c r="Q16" s="77">
        <v>6</v>
      </c>
      <c r="R16" s="68">
        <v>149.99999999999997</v>
      </c>
    </row>
    <row r="17" spans="1:18" x14ac:dyDescent="0.4">
      <c r="A17" s="19" t="s">
        <v>118</v>
      </c>
      <c r="B17" s="12">
        <v>808</v>
      </c>
      <c r="C17" s="6">
        <f>IF(B$3=0,0,B17/B$3)</f>
        <v>0.22728551336146272</v>
      </c>
      <c r="E17" s="27" t="s">
        <v>91</v>
      </c>
      <c r="F17" s="24" t="s">
        <v>46</v>
      </c>
      <c r="G17" s="12">
        <v>21</v>
      </c>
      <c r="H17" s="88">
        <f>IF(B$20=0,0,G17/B$20)</f>
        <v>2.0114942528735632E-2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19.550000000000004</v>
      </c>
      <c r="Q17" s="77">
        <v>12</v>
      </c>
      <c r="R17" s="68">
        <v>234.60000000000005</v>
      </c>
    </row>
    <row r="18" spans="1:18" x14ac:dyDescent="0.4">
      <c r="A18" s="18" t="s">
        <v>123</v>
      </c>
      <c r="B18" s="11">
        <f>B24</f>
        <v>453</v>
      </c>
      <c r="C18" s="5">
        <f>IF(B$16=0,0,B18/B$16)</f>
        <v>0.52430555555555558</v>
      </c>
      <c r="E18" s="27" t="s">
        <v>155</v>
      </c>
      <c r="F18" s="24" t="s">
        <v>156</v>
      </c>
      <c r="G18" s="12">
        <v>18</v>
      </c>
      <c r="H18" s="88">
        <f>IF(B$20=0,0,G18/B$20)</f>
        <v>1.7241379310344827E-2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221</v>
      </c>
      <c r="P18" s="83">
        <f>IF(Q18=0,0,R18/Q18)</f>
        <v>10.125</v>
      </c>
      <c r="Q18" s="77">
        <v>4</v>
      </c>
      <c r="R18" s="68">
        <v>40.5</v>
      </c>
    </row>
    <row r="19" spans="1:18" x14ac:dyDescent="0.4">
      <c r="A19" s="18" t="s">
        <v>124</v>
      </c>
      <c r="B19" s="11">
        <f>B25</f>
        <v>326</v>
      </c>
      <c r="C19" s="5">
        <f>IF(B$17=0,0,B19/B$17)</f>
        <v>0.40346534653465349</v>
      </c>
      <c r="E19" s="27" t="s">
        <v>79</v>
      </c>
      <c r="F19" s="24" t="s">
        <v>34</v>
      </c>
      <c r="G19" s="12">
        <v>15</v>
      </c>
      <c r="H19" s="88">
        <f>IF(B$20=0,0,G19/B$20)</f>
        <v>1.4367816091954023E-2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216</v>
      </c>
      <c r="P19" s="83">
        <f>IF(Q19=0,0,R19/Q19)</f>
        <v>8.5500000000000025</v>
      </c>
      <c r="Q19" s="77">
        <v>38</v>
      </c>
      <c r="R19" s="68">
        <v>324.90000000000009</v>
      </c>
    </row>
    <row r="20" spans="1:18" x14ac:dyDescent="0.4">
      <c r="A20" s="18" t="s">
        <v>10</v>
      </c>
      <c r="B20" s="11">
        <f>B23+B22</f>
        <v>1044</v>
      </c>
      <c r="C20" s="5">
        <f>IF(B$3=0,0,B20/B$3)</f>
        <v>0.29367088607594938</v>
      </c>
      <c r="E20" s="27" t="s">
        <v>73</v>
      </c>
      <c r="F20" s="24" t="s">
        <v>28</v>
      </c>
      <c r="G20" s="12">
        <v>9</v>
      </c>
      <c r="H20" s="88">
        <f>IF(B$20=0,0,G20/B$20)</f>
        <v>8.6206896551724137E-3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195</v>
      </c>
      <c r="P20" s="83">
        <f>IF(Q20=0,0,R20/Q20)</f>
        <v>7.7785714285714311</v>
      </c>
      <c r="Q20" s="77">
        <v>28</v>
      </c>
      <c r="R20" s="68">
        <v>217.80000000000007</v>
      </c>
    </row>
    <row r="21" spans="1:18" x14ac:dyDescent="0.4">
      <c r="A21" s="19" t="s">
        <v>13</v>
      </c>
      <c r="B21" s="12">
        <v>578</v>
      </c>
      <c r="C21" s="6">
        <f>IF(B$3=0,0,B21/B$3)</f>
        <v>0.16258790436005627</v>
      </c>
      <c r="E21" s="27" t="s">
        <v>75</v>
      </c>
      <c r="F21" s="24" t="s">
        <v>30</v>
      </c>
      <c r="G21" s="12">
        <v>4</v>
      </c>
      <c r="H21" s="88">
        <f>IF(B$20=0,0,G21/B$20)</f>
        <v>3.8314176245210726E-3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4.8900000000000006</v>
      </c>
      <c r="Q21" s="77">
        <v>90</v>
      </c>
      <c r="R21" s="68">
        <v>440.1</v>
      </c>
    </row>
    <row r="22" spans="1:18" x14ac:dyDescent="0.4">
      <c r="A22" s="19" t="s">
        <v>12</v>
      </c>
      <c r="B22" s="12">
        <v>459</v>
      </c>
      <c r="C22" s="6">
        <f>IF(B$20=0,0,B22/B$20)</f>
        <v>0.43965517241379309</v>
      </c>
      <c r="E22" s="27" t="s">
        <v>77</v>
      </c>
      <c r="F22" s="24" t="s">
        <v>32</v>
      </c>
      <c r="G22" s="12">
        <v>4</v>
      </c>
      <c r="H22" s="88">
        <f>IF(B$20=0,0,G22/B$20)</f>
        <v>3.8314176245210726E-3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163</v>
      </c>
      <c r="P22" s="83">
        <f>IF(Q22=0,0,R22/Q22)</f>
        <v>1.9520270270270277</v>
      </c>
      <c r="Q22" s="77">
        <v>148</v>
      </c>
      <c r="R22" s="68">
        <v>288.90000000000009</v>
      </c>
    </row>
    <row r="23" spans="1:18" x14ac:dyDescent="0.4">
      <c r="A23" s="19" t="s">
        <v>11</v>
      </c>
      <c r="B23" s="12">
        <v>585</v>
      </c>
      <c r="C23" s="6">
        <f>IF(B$20=0,0,B23/B$20)</f>
        <v>0.56034482758620685</v>
      </c>
      <c r="E23" s="27" t="s">
        <v>85</v>
      </c>
      <c r="F23" s="24" t="s">
        <v>40</v>
      </c>
      <c r="G23" s="12">
        <v>4</v>
      </c>
      <c r="H23" s="88">
        <f>IF(B$20=0,0,G23/B$20)</f>
        <v>3.8314176245210726E-3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-2.4565789473684205</v>
      </c>
      <c r="Q23" s="77">
        <v>228</v>
      </c>
      <c r="R23" s="68">
        <v>-560.09999999999991</v>
      </c>
    </row>
    <row r="24" spans="1:18" x14ac:dyDescent="0.4">
      <c r="A24" s="19" t="s">
        <v>183</v>
      </c>
      <c r="B24" s="12">
        <v>453</v>
      </c>
      <c r="C24" s="6">
        <f>IF(B$20=0,0,B24/B$20)</f>
        <v>0.43390804597701149</v>
      </c>
      <c r="E24" s="27" t="s">
        <v>88</v>
      </c>
      <c r="F24" s="24" t="s">
        <v>43</v>
      </c>
      <c r="G24" s="12">
        <v>4</v>
      </c>
      <c r="H24" s="88">
        <f>IF(B$20=0,0,G24/B$20)</f>
        <v>3.8314176245210726E-3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190</v>
      </c>
      <c r="P24" s="83">
        <f>IF(Q24=0,0,R24/Q24)</f>
        <v>-2.8208333333333329</v>
      </c>
      <c r="Q24" s="77">
        <v>72</v>
      </c>
      <c r="R24" s="68">
        <v>-203.09999999999997</v>
      </c>
    </row>
    <row r="25" spans="1:18" x14ac:dyDescent="0.4">
      <c r="A25" s="19" t="s">
        <v>181</v>
      </c>
      <c r="B25" s="12">
        <v>326</v>
      </c>
      <c r="C25" s="6">
        <f>IF(B$20=0,0,B25/B$20)</f>
        <v>0.31226053639846746</v>
      </c>
      <c r="E25" s="27" t="s">
        <v>92</v>
      </c>
      <c r="F25" s="24" t="s">
        <v>47</v>
      </c>
      <c r="G25" s="12">
        <v>3</v>
      </c>
      <c r="H25" s="88">
        <f>IF(B$20=0,0,G25/B$20)</f>
        <v>2.8735632183908046E-3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211</v>
      </c>
      <c r="P25" s="83">
        <f>IF(Q25=0,0,R25/Q25)</f>
        <v>-4.3968750000000005</v>
      </c>
      <c r="Q25" s="77">
        <v>96</v>
      </c>
      <c r="R25" s="68">
        <v>-422.1</v>
      </c>
    </row>
    <row r="26" spans="1:18" x14ac:dyDescent="0.4">
      <c r="A26" s="19" t="s">
        <v>182</v>
      </c>
      <c r="B26" s="12">
        <v>265</v>
      </c>
      <c r="C26" s="6">
        <f>IF(B$20=0,0,B26/B$20)</f>
        <v>0.25383141762452105</v>
      </c>
      <c r="E26" s="27" t="s">
        <v>90</v>
      </c>
      <c r="F26" s="24" t="s">
        <v>45</v>
      </c>
      <c r="G26" s="12">
        <v>2</v>
      </c>
      <c r="H26" s="88">
        <f>IF(B$20=0,0,G26/B$20)</f>
        <v>1.9157088122605363E-3</v>
      </c>
      <c r="I26" s="58">
        <v>3</v>
      </c>
      <c r="K26" s="74">
        <v>24</v>
      </c>
      <c r="L26" s="119">
        <v>-7.1054273576010019E-15</v>
      </c>
      <c r="M26" s="117">
        <v>1593.6312177958805</v>
      </c>
      <c r="O26" s="74" t="s">
        <v>192</v>
      </c>
      <c r="P26" s="83">
        <f>IF(Q26=0,0,R26/Q26)</f>
        <v>-7.5979591836734732</v>
      </c>
      <c r="Q26" s="77">
        <v>98</v>
      </c>
      <c r="R26" s="68">
        <v>-744.60000000000036</v>
      </c>
    </row>
    <row r="27" spans="1:18" x14ac:dyDescent="0.4">
      <c r="A27" s="19" t="s">
        <v>5</v>
      </c>
      <c r="B27" s="16">
        <f>IF(B$20=0,0,C27/B$20)</f>
        <v>8141.954022988506</v>
      </c>
      <c r="C27" s="8">
        <v>8500200</v>
      </c>
      <c r="E27" s="27" t="s">
        <v>93</v>
      </c>
      <c r="F27" s="24" t="s">
        <v>48</v>
      </c>
      <c r="G27" s="12">
        <v>2</v>
      </c>
      <c r="H27" s="88">
        <f>IF(B$20=0,0,G27/B$20)</f>
        <v>1.9157088122605363E-3</v>
      </c>
      <c r="I27" s="58">
        <v>3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8738.3008356545961</v>
      </c>
      <c r="C28" s="96">
        <v>6274100</v>
      </c>
      <c r="E28" s="27" t="s">
        <v>80</v>
      </c>
      <c r="F28" s="24" t="s">
        <v>35</v>
      </c>
      <c r="G28" s="12">
        <v>1</v>
      </c>
      <c r="H28" s="88">
        <f>IF(B$20=0,0,G28/B$20)</f>
        <v>9.5785440613026815E-4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6828.5276073619634</v>
      </c>
      <c r="C29" s="96">
        <v>2226100</v>
      </c>
      <c r="E29" s="27" t="s">
        <v>84</v>
      </c>
      <c r="F29" s="24" t="s">
        <v>39</v>
      </c>
      <c r="G29" s="12">
        <v>1</v>
      </c>
      <c r="H29" s="88">
        <f>IF(B$20=0,0,G29/B$20)</f>
        <v>9.5785440613026815E-4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-7676.6435986159167</v>
      </c>
      <c r="C30" s="96">
        <v>-4437100</v>
      </c>
      <c r="E30" s="27" t="s">
        <v>102</v>
      </c>
      <c r="F30" s="24" t="s">
        <v>57</v>
      </c>
      <c r="G30" s="12">
        <v>1</v>
      </c>
      <c r="H30" s="88">
        <f>IF(B$20=0,0,G30/B$20)</f>
        <v>9.5785440613026815E-4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106</v>
      </c>
      <c r="F31" s="24" t="s">
        <v>113</v>
      </c>
      <c r="G31" s="12">
        <v>1</v>
      </c>
      <c r="H31" s="88">
        <f>IF(B$20=0,0,G31/B$20)</f>
        <v>9.5785440613026815E-4</v>
      </c>
      <c r="I31" s="58">
        <v>2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1</v>
      </c>
      <c r="E32" s="27" t="s">
        <v>74</v>
      </c>
      <c r="F32" s="24" t="s">
        <v>29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5">
        <v>7</v>
      </c>
      <c r="C33" s="136"/>
      <c r="E33" s="27" t="s">
        <v>76</v>
      </c>
      <c r="F33" s="24" t="s">
        <v>31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7">
        <v>103000</v>
      </c>
      <c r="C34" s="138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1.9690576652601969E-3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78</v>
      </c>
      <c r="C37" s="98">
        <f t="shared" ref="C37:C49" si="2">IF(B$20=0,0,B37/B$20)</f>
        <v>7.4712643678160925E-2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190</v>
      </c>
      <c r="C38" s="6">
        <f t="shared" si="2"/>
        <v>0.18199233716475097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210</v>
      </c>
      <c r="C39" s="6">
        <f t="shared" si="2"/>
        <v>0.20114942528735633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204</v>
      </c>
      <c r="C40" s="6">
        <f t="shared" si="2"/>
        <v>0.19540229885057472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147</v>
      </c>
      <c r="C41" s="6">
        <f t="shared" si="2"/>
        <v>0.14080459770114942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96</v>
      </c>
      <c r="C42" s="6">
        <f t="shared" si="2"/>
        <v>9.1954022988505746E-2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44</v>
      </c>
      <c r="C43" s="6">
        <f t="shared" si="2"/>
        <v>4.2145593869731802E-2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35</v>
      </c>
      <c r="C44" s="6">
        <f t="shared" si="2"/>
        <v>3.3524904214559385E-2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17</v>
      </c>
      <c r="C45" s="6">
        <f t="shared" si="2"/>
        <v>1.6283524904214558E-2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11</v>
      </c>
      <c r="C46" s="6">
        <f t="shared" si="2"/>
        <v>1.0536398467432951E-2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3</v>
      </c>
      <c r="C47" s="6">
        <f t="shared" si="2"/>
        <v>2.8735632183908046E-3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9.5785440613026815E-4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8</v>
      </c>
      <c r="C49" s="9">
        <f t="shared" si="2"/>
        <v>7.6628352490421452E-3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  <row r="363" spans="11:13" x14ac:dyDescent="0.4">
      <c r="K363" s="74">
        <v>361</v>
      </c>
      <c r="L363" s="119">
        <v>16.000000000000036</v>
      </c>
      <c r="M363" s="117">
        <v>1605.6157681627685</v>
      </c>
    </row>
    <row r="364" spans="11:13" x14ac:dyDescent="0.4">
      <c r="K364" s="74">
        <v>362</v>
      </c>
      <c r="L364" s="119">
        <v>48.000000000000036</v>
      </c>
      <c r="M364" s="117">
        <v>1611.612073553792</v>
      </c>
    </row>
    <row r="365" spans="11:13" x14ac:dyDescent="0.4">
      <c r="K365" s="74">
        <v>363</v>
      </c>
      <c r="L365" s="119">
        <v>3.5527136788005009E-14</v>
      </c>
      <c r="M365" s="117">
        <v>1603.1724011124693</v>
      </c>
    </row>
    <row r="366" spans="11:13" x14ac:dyDescent="0.4">
      <c r="K366" s="74">
        <v>364</v>
      </c>
      <c r="L366" s="119">
        <v>-34.899999999999963</v>
      </c>
      <c r="M366" s="117">
        <v>1597.1413667057946</v>
      </c>
    </row>
    <row r="367" spans="11:13" x14ac:dyDescent="0.4">
      <c r="K367" s="74">
        <v>365</v>
      </c>
      <c r="L367" s="119">
        <v>-8.8999999999999631</v>
      </c>
      <c r="M367" s="117">
        <v>1602.1085185055597</v>
      </c>
    </row>
    <row r="368" spans="11:13" x14ac:dyDescent="0.4">
      <c r="K368" s="74">
        <v>366</v>
      </c>
      <c r="L368" s="119">
        <v>3.730349362740526E-14</v>
      </c>
      <c r="M368" s="117">
        <v>1603.9678673945264</v>
      </c>
    </row>
    <row r="369" spans="11:13" x14ac:dyDescent="0.4">
      <c r="K369" s="74">
        <v>367</v>
      </c>
      <c r="L369" s="119">
        <v>-33.899999999999963</v>
      </c>
      <c r="M369" s="117">
        <v>1598.1120601901591</v>
      </c>
    </row>
    <row r="370" spans="11:13" x14ac:dyDescent="0.4">
      <c r="K370" s="74">
        <v>368</v>
      </c>
      <c r="L370" s="119">
        <v>-32.299999999999962</v>
      </c>
      <c r="M370" s="117">
        <v>1598.6813878290181</v>
      </c>
    </row>
    <row r="371" spans="11:13" x14ac:dyDescent="0.4">
      <c r="K371" s="74">
        <v>369</v>
      </c>
      <c r="L371" s="119">
        <v>3.5527136788005009E-14</v>
      </c>
      <c r="M371" s="117">
        <v>1604.773299502044</v>
      </c>
    </row>
    <row r="372" spans="11:13" x14ac:dyDescent="0.4">
      <c r="K372" s="74">
        <v>370</v>
      </c>
      <c r="L372" s="119">
        <v>-0.49999999999996447</v>
      </c>
      <c r="M372" s="117">
        <v>1604.9306597050318</v>
      </c>
    </row>
    <row r="373" spans="11:13" x14ac:dyDescent="0.4">
      <c r="K373" s="74">
        <v>371</v>
      </c>
      <c r="L373" s="119">
        <v>-23.899999999999963</v>
      </c>
      <c r="M373" s="117">
        <v>1600.9650757468016</v>
      </c>
    </row>
    <row r="374" spans="11:13" x14ac:dyDescent="0.4">
      <c r="K374" s="74">
        <v>372</v>
      </c>
      <c r="L374" s="119">
        <v>3.5527136788005009E-14</v>
      </c>
      <c r="M374" s="117">
        <v>1605.5372852923208</v>
      </c>
    </row>
    <row r="375" spans="11:13" x14ac:dyDescent="0.4">
      <c r="K375" s="74">
        <v>373</v>
      </c>
      <c r="L375" s="119">
        <v>0.30000000000003552</v>
      </c>
      <c r="M375" s="117">
        <v>1605.8340615805669</v>
      </c>
    </row>
    <row r="376" spans="11:13" x14ac:dyDescent="0.4">
      <c r="K376" s="74">
        <v>374</v>
      </c>
      <c r="L376" s="119">
        <v>37.400000000000034</v>
      </c>
      <c r="M376" s="117">
        <v>1612.7530572110834</v>
      </c>
    </row>
    <row r="377" spans="11:13" x14ac:dyDescent="0.4">
      <c r="K377" s="74">
        <v>375</v>
      </c>
      <c r="L377" s="119">
        <v>3.5527136788005009E-14</v>
      </c>
      <c r="M377" s="117">
        <v>1606.2205388678169</v>
      </c>
    </row>
    <row r="378" spans="11:13" x14ac:dyDescent="0.4">
      <c r="K378" s="74">
        <v>376</v>
      </c>
      <c r="L378" s="119">
        <v>-48.999999999999964</v>
      </c>
      <c r="M378" s="117">
        <v>1597.63321563461</v>
      </c>
    </row>
    <row r="379" spans="11:13" x14ac:dyDescent="0.4">
      <c r="K379" s="74">
        <v>377</v>
      </c>
      <c r="L379" s="119">
        <v>-59.999999999999964</v>
      </c>
      <c r="M379" s="117">
        <v>1595.9374163408024</v>
      </c>
    </row>
    <row r="380" spans="11:13" x14ac:dyDescent="0.4">
      <c r="K380" s="74">
        <v>378</v>
      </c>
      <c r="L380" s="119">
        <v>3.5527136788005009E-14</v>
      </c>
      <c r="M380" s="117">
        <v>1607.0317918427577</v>
      </c>
    </row>
    <row r="381" spans="11:13" x14ac:dyDescent="0.4">
      <c r="K381" s="74">
        <v>379</v>
      </c>
      <c r="L381" s="119">
        <v>-4.4999999999999645</v>
      </c>
      <c r="M381" s="117">
        <v>1606.3476010917011</v>
      </c>
    </row>
    <row r="382" spans="11:13" x14ac:dyDescent="0.4">
      <c r="K382" s="74">
        <v>380</v>
      </c>
      <c r="L382" s="119">
        <v>24.200000000000035</v>
      </c>
      <c r="M382" s="117">
        <v>1611.6435154851508</v>
      </c>
    </row>
    <row r="383" spans="11:13" x14ac:dyDescent="0.4">
      <c r="K383" s="74">
        <v>381</v>
      </c>
      <c r="L383" s="119">
        <v>3.5527136788005009E-14</v>
      </c>
      <c r="M383" s="117">
        <v>1607.38565439224</v>
      </c>
    </row>
    <row r="384" spans="11:13" x14ac:dyDescent="0.4">
      <c r="K384" s="74">
        <v>382</v>
      </c>
      <c r="L384" s="119">
        <v>49.400000000000034</v>
      </c>
      <c r="M384" s="117">
        <v>1616.4013404658865</v>
      </c>
    </row>
    <row r="385" spans="11:13" x14ac:dyDescent="0.4">
      <c r="K385" s="74">
        <v>383</v>
      </c>
      <c r="L385" s="119">
        <v>50.500000000000036</v>
      </c>
      <c r="M385" s="117">
        <v>1616.6689324230913</v>
      </c>
    </row>
    <row r="386" spans="11:13" x14ac:dyDescent="0.4">
      <c r="K386" s="74">
        <v>384</v>
      </c>
      <c r="L386" s="119">
        <v>3.5527136788005009E-14</v>
      </c>
      <c r="M386" s="117">
        <v>1607.6469188285528</v>
      </c>
    </row>
    <row r="387" spans="11:13" x14ac:dyDescent="0.4">
      <c r="K387" s="74">
        <v>385</v>
      </c>
      <c r="L387" s="119">
        <v>40.600000000000037</v>
      </c>
      <c r="M387" s="117">
        <v>1615.0770373155815</v>
      </c>
    </row>
    <row r="388" spans="11:13" x14ac:dyDescent="0.4">
      <c r="K388" s="74">
        <v>386</v>
      </c>
      <c r="L388" s="119">
        <v>51.80000000000004</v>
      </c>
      <c r="M388" s="117">
        <v>1617.1705750916881</v>
      </c>
    </row>
    <row r="389" spans="11:13" x14ac:dyDescent="0.4">
      <c r="K389" s="74">
        <v>387</v>
      </c>
      <c r="L389" s="119">
        <v>4.2632564145606011E-14</v>
      </c>
      <c r="M389" s="117">
        <v>1607.911551641138</v>
      </c>
    </row>
    <row r="390" spans="11:13" x14ac:dyDescent="0.4">
      <c r="K390" s="74">
        <v>388</v>
      </c>
      <c r="L390" s="119">
        <v>-12.199999999999957</v>
      </c>
      <c r="M390" s="117">
        <v>1605.8360823312912</v>
      </c>
    </row>
    <row r="391" spans="11:13" x14ac:dyDescent="0.4">
      <c r="K391" s="74">
        <v>389</v>
      </c>
      <c r="L391" s="119">
        <v>22.500000000000046</v>
      </c>
      <c r="M391" s="117">
        <v>1612.2150658373034</v>
      </c>
    </row>
    <row r="392" spans="11:13" x14ac:dyDescent="0.4">
      <c r="K392" s="74">
        <v>390</v>
      </c>
      <c r="L392" s="119">
        <v>4.6185277824406512E-14</v>
      </c>
      <c r="M392" s="117">
        <v>1608.2597754422795</v>
      </c>
    </row>
    <row r="393" spans="11:13" x14ac:dyDescent="0.4">
      <c r="K393" s="74">
        <v>391</v>
      </c>
      <c r="L393" s="119">
        <v>14.500000000000046</v>
      </c>
      <c r="M393" s="117">
        <v>1610.9822167896259</v>
      </c>
    </row>
    <row r="394" spans="11:13" x14ac:dyDescent="0.4">
      <c r="K394" s="74">
        <v>392</v>
      </c>
      <c r="L394" s="119">
        <v>13.700000000000045</v>
      </c>
      <c r="M394" s="117">
        <v>1610.9343234888881</v>
      </c>
    </row>
    <row r="395" spans="11:13" x14ac:dyDescent="0.4">
      <c r="K395" s="74">
        <v>393</v>
      </c>
      <c r="L395" s="119">
        <v>4.6185277824406512E-14</v>
      </c>
      <c r="M395" s="117">
        <v>1608.5647175479548</v>
      </c>
    </row>
    <row r="396" spans="11:13" x14ac:dyDescent="0.4">
      <c r="K396" s="74">
        <v>394</v>
      </c>
      <c r="L396" s="119">
        <v>-8.6999999999999531</v>
      </c>
      <c r="M396" s="117">
        <v>1607.0313292426672</v>
      </c>
    </row>
    <row r="397" spans="11:13" x14ac:dyDescent="0.4">
      <c r="K397" s="74">
        <v>395</v>
      </c>
      <c r="L397" s="119">
        <v>-32.599999999999952</v>
      </c>
      <c r="M397" s="117">
        <v>1602.7711412672113</v>
      </c>
    </row>
    <row r="398" spans="11:13" x14ac:dyDescent="0.4">
      <c r="K398" s="74">
        <v>396</v>
      </c>
      <c r="L398" s="119">
        <v>4.9737991503207013E-14</v>
      </c>
      <c r="M398" s="117">
        <v>1608.7065144196081</v>
      </c>
    </row>
    <row r="399" spans="11:13" x14ac:dyDescent="0.4">
      <c r="K399" s="74">
        <v>397</v>
      </c>
      <c r="L399" s="119">
        <v>14.50000000000005</v>
      </c>
      <c r="M399" s="117">
        <v>1611.3482753330904</v>
      </c>
    </row>
    <row r="400" spans="11:13" x14ac:dyDescent="0.4">
      <c r="K400" s="74">
        <v>398</v>
      </c>
      <c r="L400" s="119">
        <v>1.8000000000000504</v>
      </c>
      <c r="M400" s="117">
        <v>1609.078185681092</v>
      </c>
    </row>
    <row r="401" spans="11:13" x14ac:dyDescent="0.4">
      <c r="K401" s="74">
        <v>399</v>
      </c>
      <c r="L401" s="119">
        <v>5.0404125317982107E-14</v>
      </c>
      <c r="M401" s="117">
        <v>1608.7837165670055</v>
      </c>
    </row>
    <row r="402" spans="11:13" x14ac:dyDescent="0.4">
      <c r="K402" s="74">
        <v>400</v>
      </c>
      <c r="L402" s="119">
        <v>49.900000000000048</v>
      </c>
      <c r="M402" s="117">
        <v>1617.5390142676035</v>
      </c>
    </row>
    <row r="403" spans="11:13" x14ac:dyDescent="0.4">
      <c r="K403" s="74">
        <v>401</v>
      </c>
      <c r="L403" s="119">
        <v>13.800000000000047</v>
      </c>
      <c r="M403" s="117">
        <v>1610.7617801819979</v>
      </c>
    </row>
    <row r="404" spans="11:13" x14ac:dyDescent="0.4">
      <c r="K404" s="74">
        <v>402</v>
      </c>
      <c r="L404" s="119">
        <v>4.6185277824406512E-14</v>
      </c>
      <c r="M404" s="117">
        <v>1608.0392095009058</v>
      </c>
    </row>
    <row r="405" spans="11:13" x14ac:dyDescent="0.4">
      <c r="K405" s="74">
        <v>403</v>
      </c>
      <c r="L405" s="119">
        <v>-24.599999999999955</v>
      </c>
      <c r="M405" s="117">
        <v>1603.3889742439003</v>
      </c>
    </row>
    <row r="406" spans="11:13" x14ac:dyDescent="0.4">
      <c r="K406" s="74">
        <v>404</v>
      </c>
      <c r="L406" s="119">
        <v>-21.599999999999955</v>
      </c>
      <c r="M406" s="117">
        <v>1603.7346403984368</v>
      </c>
    </row>
    <row r="407" spans="11:13" x14ac:dyDescent="0.4">
      <c r="K407" s="74">
        <v>405</v>
      </c>
      <c r="L407" s="119">
        <v>4.6185277824406512E-14</v>
      </c>
      <c r="M407" s="117">
        <v>1607.4262325560462</v>
      </c>
    </row>
    <row r="408" spans="11:13" x14ac:dyDescent="0.4">
      <c r="K408" s="74">
        <v>406</v>
      </c>
      <c r="L408" s="119">
        <v>9.9000000000000465</v>
      </c>
      <c r="M408" s="117">
        <v>1609.43367516071</v>
      </c>
    </row>
    <row r="409" spans="11:13" x14ac:dyDescent="0.4">
      <c r="K409" s="74">
        <v>407</v>
      </c>
      <c r="L409" s="119">
        <v>-23.599999999999952</v>
      </c>
      <c r="M409" s="117">
        <v>1603.6170731097457</v>
      </c>
    </row>
    <row r="410" spans="11:13" x14ac:dyDescent="0.4">
      <c r="K410" s="74">
        <v>408</v>
      </c>
      <c r="L410" s="119">
        <v>4.9737991503207013E-14</v>
      </c>
      <c r="M410" s="117">
        <v>1608.1133706710873</v>
      </c>
    </row>
    <row r="411" spans="11:13" x14ac:dyDescent="0.4">
      <c r="K411" s="74">
        <v>409</v>
      </c>
      <c r="L411" s="119">
        <v>-2.8999999999999502</v>
      </c>
      <c r="M411" s="117">
        <v>1607.8126904470607</v>
      </c>
    </row>
    <row r="412" spans="11:13" x14ac:dyDescent="0.4">
      <c r="K412" s="74">
        <v>410</v>
      </c>
      <c r="L412" s="119">
        <v>-24.899999999999949</v>
      </c>
      <c r="M412" s="117">
        <v>1604.0758143043784</v>
      </c>
    </row>
    <row r="413" spans="11:13" x14ac:dyDescent="0.4">
      <c r="K413" s="74">
        <v>411</v>
      </c>
      <c r="L413" s="119">
        <v>4.9737991503207013E-14</v>
      </c>
      <c r="M413" s="117">
        <v>1608.8033594185522</v>
      </c>
    </row>
    <row r="414" spans="11:13" x14ac:dyDescent="0.4">
      <c r="K414" s="74">
        <v>412</v>
      </c>
      <c r="L414" s="119">
        <v>72.000000000000057</v>
      </c>
      <c r="M414" s="117">
        <v>1621.6685392620409</v>
      </c>
    </row>
    <row r="415" spans="11:13" x14ac:dyDescent="0.4">
      <c r="K415" s="74">
        <v>413</v>
      </c>
      <c r="L415" s="119">
        <v>48.000000000000057</v>
      </c>
      <c r="M415" s="117">
        <v>1617.1765280264688</v>
      </c>
    </row>
    <row r="416" spans="11:13" x14ac:dyDescent="0.4">
      <c r="K416" s="74">
        <v>414</v>
      </c>
      <c r="L416" s="119">
        <v>5.6843418860808015E-14</v>
      </c>
      <c r="M416" s="117">
        <v>1608.39146885831</v>
      </c>
    </row>
  </sheetData>
  <sortState xmlns:xlrd2="http://schemas.microsoft.com/office/spreadsheetml/2017/richdata2" ref="O15:R2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11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126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114</v>
      </c>
      <c r="C2" s="142"/>
      <c r="E2" s="26" t="s">
        <v>66</v>
      </c>
      <c r="F2" s="23" t="s">
        <v>22</v>
      </c>
      <c r="G2" s="11">
        <v>238</v>
      </c>
      <c r="H2" s="87">
        <f>IF(B$20=0,0,G2/B$20)</f>
        <v>0.76774193548387093</v>
      </c>
      <c r="I2" s="57">
        <v>8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759.29203539823004</v>
      </c>
      <c r="Q2" s="76">
        <v>113</v>
      </c>
      <c r="R2" s="63">
        <v>85800</v>
      </c>
    </row>
    <row r="3" spans="1:18" x14ac:dyDescent="0.4">
      <c r="A3" s="19" t="s">
        <v>8</v>
      </c>
      <c r="B3" s="143">
        <v>957</v>
      </c>
      <c r="C3" s="144"/>
      <c r="E3" s="27" t="s">
        <v>72</v>
      </c>
      <c r="F3" s="24" t="s">
        <v>27</v>
      </c>
      <c r="G3" s="12">
        <v>165</v>
      </c>
      <c r="H3" s="88">
        <f>IF(B$20=0,0,G3/B$20)</f>
        <v>0.532258064516129</v>
      </c>
      <c r="I3" s="58">
        <v>10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-627.27272727272725</v>
      </c>
      <c r="Q3" s="77">
        <v>110</v>
      </c>
      <c r="R3" s="64">
        <v>-69000</v>
      </c>
    </row>
    <row r="4" spans="1:18" x14ac:dyDescent="0.4">
      <c r="A4" s="19" t="s">
        <v>6</v>
      </c>
      <c r="B4" s="145">
        <v>186.69999999999987</v>
      </c>
      <c r="C4" s="146"/>
      <c r="E4" s="27" t="s">
        <v>64</v>
      </c>
      <c r="F4" s="24" t="s">
        <v>20</v>
      </c>
      <c r="G4" s="12">
        <v>126</v>
      </c>
      <c r="H4" s="88">
        <f>IF(B$20=0,0,G4/B$20)</f>
        <v>0.40645161290322579</v>
      </c>
      <c r="I4" s="58">
        <v>9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-1156.3636363636363</v>
      </c>
      <c r="Q4" s="77">
        <v>110</v>
      </c>
      <c r="R4" s="64">
        <v>-127200</v>
      </c>
    </row>
    <row r="5" spans="1:18" x14ac:dyDescent="0.4">
      <c r="A5" s="19" t="s">
        <v>7</v>
      </c>
      <c r="B5" s="133">
        <f>IF(B$2=0,0,B$4/B$2)</f>
        <v>1.637719298245613</v>
      </c>
      <c r="C5" s="134"/>
      <c r="E5" s="27" t="s">
        <v>159</v>
      </c>
      <c r="F5" s="24" t="s">
        <v>160</v>
      </c>
      <c r="G5" s="12">
        <v>116</v>
      </c>
      <c r="H5" s="88">
        <f>IF(B$20=0,0,G5/B$20)</f>
        <v>0.37419354838709679</v>
      </c>
      <c r="I5" s="58">
        <v>9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1350.4761904761904</v>
      </c>
      <c r="Q5" s="77">
        <v>105</v>
      </c>
      <c r="R5" s="64">
        <v>141800</v>
      </c>
    </row>
    <row r="6" spans="1:18" x14ac:dyDescent="0.4">
      <c r="A6" s="19" t="s">
        <v>196</v>
      </c>
      <c r="B6" s="137">
        <v>1756.8675908280391</v>
      </c>
      <c r="C6" s="138"/>
      <c r="E6" s="27" t="s">
        <v>68</v>
      </c>
      <c r="F6" s="24" t="s">
        <v>12</v>
      </c>
      <c r="G6" s="12">
        <v>98</v>
      </c>
      <c r="H6" s="88">
        <f>IF(B$20=0,0,G6/B$20)</f>
        <v>0.31612903225806449</v>
      </c>
      <c r="I6" s="58">
        <v>7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546.875</v>
      </c>
      <c r="Q6" s="77">
        <v>96</v>
      </c>
      <c r="R6" s="64">
        <v>52500</v>
      </c>
    </row>
    <row r="7" spans="1:18" x14ac:dyDescent="0.4">
      <c r="A7" s="19" t="s">
        <v>1</v>
      </c>
      <c r="B7" s="147">
        <f>IF(B$2=0,0,(B$8*1+B$9*2+B$10*3)/B$2)</f>
        <v>2.0087719298245612</v>
      </c>
      <c r="C7" s="148"/>
      <c r="E7" s="27" t="s">
        <v>67</v>
      </c>
      <c r="F7" s="24" t="s">
        <v>23</v>
      </c>
      <c r="G7" s="12">
        <v>63</v>
      </c>
      <c r="H7" s="88">
        <f>IF(B$20=0,0,G7/B$20)</f>
        <v>0.20322580645161289</v>
      </c>
      <c r="I7" s="58">
        <v>10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139.75903614457832</v>
      </c>
      <c r="Q7" s="78">
        <v>83</v>
      </c>
      <c r="R7" s="65">
        <v>11600</v>
      </c>
    </row>
    <row r="8" spans="1:18" x14ac:dyDescent="0.4">
      <c r="A8" s="19" t="s">
        <v>2</v>
      </c>
      <c r="B8" s="12">
        <v>38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50</v>
      </c>
      <c r="H8" s="88">
        <f>IF(B$20=0,0,G8/B$20)</f>
        <v>0.16129032258064516</v>
      </c>
      <c r="I8" s="58">
        <v>3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37</v>
      </c>
      <c r="C9" s="6">
        <f t="shared" si="1"/>
        <v>0.32456140350877194</v>
      </c>
      <c r="E9" s="27" t="s">
        <v>70</v>
      </c>
      <c r="F9" s="24" t="s">
        <v>25</v>
      </c>
      <c r="G9" s="12">
        <v>43</v>
      </c>
      <c r="H9" s="88">
        <f>IF(B$20=0,0,G9/B$20)</f>
        <v>0.13870967741935483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39</v>
      </c>
      <c r="C10" s="7">
        <f t="shared" si="1"/>
        <v>0.34210526315789475</v>
      </c>
      <c r="E10" s="27" t="s">
        <v>89</v>
      </c>
      <c r="F10" s="24" t="s">
        <v>44</v>
      </c>
      <c r="G10" s="12">
        <v>39</v>
      </c>
      <c r="H10" s="88">
        <f>IF(B$20=0,0,G10/B$20)</f>
        <v>0.12580645161290321</v>
      </c>
      <c r="I10" s="58">
        <v>8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8.3749999999999982</v>
      </c>
      <c r="Q10" s="76">
        <v>40</v>
      </c>
      <c r="R10" s="67">
        <v>334.99999999999994</v>
      </c>
    </row>
    <row r="11" spans="1:18" x14ac:dyDescent="0.4">
      <c r="A11" s="20" t="s">
        <v>184</v>
      </c>
      <c r="B11" s="109">
        <f>IF(B8=0,0,C11/B8)</f>
        <v>37.807894736842115</v>
      </c>
      <c r="C11" s="110">
        <v>1436.7000000000003</v>
      </c>
      <c r="E11" s="27" t="s">
        <v>65</v>
      </c>
      <c r="F11" s="24" t="s">
        <v>21</v>
      </c>
      <c r="G11" s="12">
        <v>27</v>
      </c>
      <c r="H11" s="88">
        <f>IF(B$20=0,0,G11/B$20)</f>
        <v>8.7096774193548387E-2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-4.9947368421052634</v>
      </c>
      <c r="Q11" s="77">
        <v>38</v>
      </c>
      <c r="R11" s="68">
        <v>-189.8</v>
      </c>
    </row>
    <row r="12" spans="1:18" x14ac:dyDescent="0.4">
      <c r="A12" s="20" t="s">
        <v>185</v>
      </c>
      <c r="B12" s="109">
        <f>IF(B9=0,0,C12/B9)</f>
        <v>-1.5783783783783782</v>
      </c>
      <c r="C12" s="110">
        <v>-58.399999999999991</v>
      </c>
      <c r="E12" s="27" t="s">
        <v>86</v>
      </c>
      <c r="F12" s="24" t="s">
        <v>41</v>
      </c>
      <c r="G12" s="12">
        <v>22</v>
      </c>
      <c r="H12" s="88">
        <f>IF(B$20=0,0,G12/B$20)</f>
        <v>7.0967741935483872E-2</v>
      </c>
      <c r="I12" s="58">
        <v>4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1.1527777777777786</v>
      </c>
      <c r="Q12" s="78">
        <v>36</v>
      </c>
      <c r="R12" s="69">
        <v>41.500000000000028</v>
      </c>
    </row>
    <row r="13" spans="1:18" x14ac:dyDescent="0.4">
      <c r="A13" s="20" t="s">
        <v>186</v>
      </c>
      <c r="B13" s="109">
        <f>IF(B10=0,0,C13/B10)</f>
        <v>-30.553846153846159</v>
      </c>
      <c r="C13" s="110">
        <v>-1191.6000000000001</v>
      </c>
      <c r="E13" s="27" t="s">
        <v>83</v>
      </c>
      <c r="F13" s="24" t="s">
        <v>38</v>
      </c>
      <c r="G13" s="12">
        <v>14</v>
      </c>
      <c r="H13" s="88">
        <f>IF(B$20=0,0,G13/B$20)</f>
        <v>4.5161290322580643E-2</v>
      </c>
      <c r="I13" s="58">
        <v>7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1.8918900682058606</v>
      </c>
      <c r="C14" s="134"/>
      <c r="E14" s="27" t="s">
        <v>71</v>
      </c>
      <c r="F14" s="24" t="s">
        <v>26</v>
      </c>
      <c r="G14" s="12">
        <v>13</v>
      </c>
      <c r="H14" s="88">
        <f>IF(B$20=0,0,G14/B$20)</f>
        <v>4.1935483870967745E-2</v>
      </c>
      <c r="I14" s="58">
        <v>9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9</v>
      </c>
      <c r="C15" s="9">
        <f t="shared" si="1"/>
        <v>7.8947368421052627E-2</v>
      </c>
      <c r="E15" s="27" t="s">
        <v>155</v>
      </c>
      <c r="F15" s="24" t="s">
        <v>156</v>
      </c>
      <c r="G15" s="12">
        <v>12</v>
      </c>
      <c r="H15" s="88">
        <f>IF(B$20=0,0,G15/B$20)</f>
        <v>3.870967741935484E-2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232</v>
      </c>
      <c r="C16" s="10">
        <f>IF(B$3=0,0,B16/B$3)</f>
        <v>0.24242424242424243</v>
      </c>
      <c r="E16" s="27" t="s">
        <v>78</v>
      </c>
      <c r="F16" s="24" t="s">
        <v>33</v>
      </c>
      <c r="G16" s="12">
        <v>8</v>
      </c>
      <c r="H16" s="88">
        <f>IF(B$20=0,0,G16/B$20)</f>
        <v>2.5806451612903226E-2</v>
      </c>
      <c r="I16" s="58">
        <v>8</v>
      </c>
      <c r="K16" s="74">
        <v>14</v>
      </c>
      <c r="L16" s="119">
        <v>222</v>
      </c>
      <c r="M16" s="117">
        <v>1861.6993429866839</v>
      </c>
      <c r="O16" s="74" t="s">
        <v>201</v>
      </c>
      <c r="P16" s="83">
        <f>IF(Q16=0,0,R16/Q16)</f>
        <v>37.200000000000003</v>
      </c>
      <c r="Q16" s="77">
        <v>4</v>
      </c>
      <c r="R16" s="68">
        <v>148.80000000000001</v>
      </c>
    </row>
    <row r="17" spans="1:18" x14ac:dyDescent="0.4">
      <c r="A17" s="19" t="s">
        <v>118</v>
      </c>
      <c r="B17" s="12">
        <v>200</v>
      </c>
      <c r="C17" s="6">
        <f>IF(B$3=0,0,B17/B$3)</f>
        <v>0.2089864158829676</v>
      </c>
      <c r="E17" s="27" t="s">
        <v>91</v>
      </c>
      <c r="F17" s="24" t="s">
        <v>46</v>
      </c>
      <c r="G17" s="12">
        <v>8</v>
      </c>
      <c r="H17" s="88">
        <f>IF(B$20=0,0,G17/B$20)</f>
        <v>2.5806451612903226E-2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">
      <c r="A18" s="18" t="s">
        <v>123</v>
      </c>
      <c r="B18" s="11">
        <f>B24</f>
        <v>135</v>
      </c>
      <c r="C18" s="5">
        <f>IF(B$16=0,0,B18/B$16)</f>
        <v>0.5818965517241379</v>
      </c>
      <c r="E18" s="27" t="s">
        <v>79</v>
      </c>
      <c r="F18" s="24" t="s">
        <v>34</v>
      </c>
      <c r="G18" s="12">
        <v>5</v>
      </c>
      <c r="H18" s="88">
        <f>IF(B$20=0,0,G18/B$20)</f>
        <v>1.6129032258064516E-2</v>
      </c>
      <c r="I18" s="58">
        <v>4</v>
      </c>
      <c r="K18" s="74">
        <v>16</v>
      </c>
      <c r="L18" s="119">
        <v>164.20000000000002</v>
      </c>
      <c r="M18" s="117">
        <v>1848.4372400471914</v>
      </c>
      <c r="O18" s="74" t="s">
        <v>163</v>
      </c>
      <c r="P18" s="83">
        <f>IF(Q18=0,0,R18/Q18)</f>
        <v>4.4145161290322594</v>
      </c>
      <c r="Q18" s="77">
        <v>62</v>
      </c>
      <c r="R18" s="68">
        <v>273.7000000000001</v>
      </c>
    </row>
    <row r="19" spans="1:18" x14ac:dyDescent="0.4">
      <c r="A19" s="18" t="s">
        <v>124</v>
      </c>
      <c r="B19" s="11">
        <f>B25</f>
        <v>92</v>
      </c>
      <c r="C19" s="5">
        <f>IF(B$17=0,0,B19/B$17)</f>
        <v>0.46</v>
      </c>
      <c r="E19" s="27" t="s">
        <v>81</v>
      </c>
      <c r="F19" s="24" t="s">
        <v>36</v>
      </c>
      <c r="G19" s="12">
        <v>5</v>
      </c>
      <c r="H19" s="88">
        <f>IF(B$20=0,0,G19/B$20)</f>
        <v>1.6129032258064516E-2</v>
      </c>
      <c r="I19" s="58">
        <v>12</v>
      </c>
      <c r="K19" s="74">
        <v>17</v>
      </c>
      <c r="L19" s="119">
        <v>164.3</v>
      </c>
      <c r="M19" s="117">
        <v>1846.8986166069083</v>
      </c>
      <c r="O19" s="74" t="s">
        <v>195</v>
      </c>
      <c r="P19" s="83">
        <f>IF(Q19=0,0,R19/Q19)</f>
        <v>2.6777777777777789</v>
      </c>
      <c r="Q19" s="77">
        <v>9</v>
      </c>
      <c r="R19" s="68">
        <v>24.100000000000009</v>
      </c>
    </row>
    <row r="20" spans="1:18" x14ac:dyDescent="0.4">
      <c r="A20" s="18" t="s">
        <v>10</v>
      </c>
      <c r="B20" s="11">
        <f>B23+B22</f>
        <v>310</v>
      </c>
      <c r="C20" s="5">
        <f>IF(B$3=0,0,B20/B$3)</f>
        <v>0.32392894461859978</v>
      </c>
      <c r="E20" s="27" t="s">
        <v>73</v>
      </c>
      <c r="F20" s="24" t="s">
        <v>28</v>
      </c>
      <c r="G20" s="12">
        <v>3</v>
      </c>
      <c r="H20" s="88">
        <f>IF(B$20=0,0,G20/B$20)</f>
        <v>9.6774193548387101E-3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2.3897435897435892</v>
      </c>
      <c r="Q20" s="77">
        <v>39</v>
      </c>
      <c r="R20" s="68">
        <v>93.199999999999989</v>
      </c>
    </row>
    <row r="21" spans="1:18" x14ac:dyDescent="0.4">
      <c r="A21" s="19" t="s">
        <v>13</v>
      </c>
      <c r="B21" s="12">
        <v>169</v>
      </c>
      <c r="C21" s="6">
        <f>IF(B$3=0,0,B21/B$3)</f>
        <v>0.17659352142110762</v>
      </c>
      <c r="E21" s="27" t="s">
        <v>75</v>
      </c>
      <c r="F21" s="24" t="s">
        <v>30</v>
      </c>
      <c r="G21" s="12">
        <v>2</v>
      </c>
      <c r="H21" s="88">
        <f>IF(B$20=0,0,G21/B$20)</f>
        <v>6.4516129032258064E-3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190</v>
      </c>
      <c r="P21" s="83">
        <f>IF(Q21=0,0,R21/Q21)</f>
        <v>0.26666666666666716</v>
      </c>
      <c r="Q21" s="77">
        <v>30</v>
      </c>
      <c r="R21" s="68">
        <v>8.0000000000000142</v>
      </c>
    </row>
    <row r="22" spans="1:18" x14ac:dyDescent="0.4">
      <c r="A22" s="19" t="s">
        <v>12</v>
      </c>
      <c r="B22" s="12">
        <v>144</v>
      </c>
      <c r="C22" s="6">
        <f>IF(B$20=0,0,B22/B$20)</f>
        <v>0.46451612903225808</v>
      </c>
      <c r="E22" s="27" t="s">
        <v>85</v>
      </c>
      <c r="F22" s="24" t="s">
        <v>40</v>
      </c>
      <c r="G22" s="12">
        <v>2</v>
      </c>
      <c r="H22" s="88">
        <f>IF(B$20=0,0,G22/B$20)</f>
        <v>6.4516129032258064E-3</v>
      </c>
      <c r="I22" s="58">
        <v>2</v>
      </c>
      <c r="K22" s="74">
        <v>20</v>
      </c>
      <c r="L22" s="119">
        <v>154.5</v>
      </c>
      <c r="M22" s="117">
        <v>1840.6741302604762</v>
      </c>
      <c r="O22" s="74" t="s">
        <v>216</v>
      </c>
      <c r="P22" s="83">
        <f>IF(Q22=0,0,R22/Q22)</f>
        <v>-0.10909090909091064</v>
      </c>
      <c r="Q22" s="77">
        <v>11</v>
      </c>
      <c r="R22" s="68">
        <v>-1.2000000000000171</v>
      </c>
    </row>
    <row r="23" spans="1:18" x14ac:dyDescent="0.4">
      <c r="A23" s="19" t="s">
        <v>11</v>
      </c>
      <c r="B23" s="12">
        <v>166</v>
      </c>
      <c r="C23" s="6">
        <f>IF(B$20=0,0,B23/B$20)</f>
        <v>0.53548387096774197</v>
      </c>
      <c r="E23" s="27" t="s">
        <v>80</v>
      </c>
      <c r="F23" s="24" t="s">
        <v>35</v>
      </c>
      <c r="G23" s="12">
        <v>1</v>
      </c>
      <c r="H23" s="88">
        <f>IF(B$20=0,0,G23/B$20)</f>
        <v>3.2258064516129032E-3</v>
      </c>
      <c r="I23" s="58">
        <v>1</v>
      </c>
      <c r="K23" s="74">
        <v>21</v>
      </c>
      <c r="L23" s="119">
        <v>131</v>
      </c>
      <c r="M23" s="117">
        <v>1835.0300854789134</v>
      </c>
      <c r="O23" s="74" t="s">
        <v>211</v>
      </c>
      <c r="P23" s="83">
        <f>IF(Q23=0,0,R23/Q23)</f>
        <v>-0.12142857142857137</v>
      </c>
      <c r="Q23" s="77">
        <v>28</v>
      </c>
      <c r="R23" s="68">
        <v>-3.3999999999999986</v>
      </c>
    </row>
    <row r="24" spans="1:18" x14ac:dyDescent="0.4">
      <c r="A24" s="19" t="s">
        <v>183</v>
      </c>
      <c r="B24" s="12">
        <v>135</v>
      </c>
      <c r="C24" s="6">
        <f>IF(B$20=0,0,B24/B$20)</f>
        <v>0.43548387096774194</v>
      </c>
      <c r="E24" s="27" t="s">
        <v>84</v>
      </c>
      <c r="F24" s="24" t="s">
        <v>39</v>
      </c>
      <c r="G24" s="12">
        <v>1</v>
      </c>
      <c r="H24" s="88">
        <f>IF(B$20=0,0,G24/B$20)</f>
        <v>3.2258064516129032E-3</v>
      </c>
      <c r="I24" s="58">
        <v>1</v>
      </c>
      <c r="K24" s="74">
        <v>22</v>
      </c>
      <c r="L24" s="119">
        <v>106.3</v>
      </c>
      <c r="M24" s="117">
        <v>1829.4799049660398</v>
      </c>
      <c r="O24" s="74" t="s">
        <v>192</v>
      </c>
      <c r="P24" s="83">
        <f>IF(Q24=0,0,R24/Q24)</f>
        <v>-3.7341463414634157</v>
      </c>
      <c r="Q24" s="77">
        <v>41</v>
      </c>
      <c r="R24" s="68">
        <v>-153.10000000000005</v>
      </c>
    </row>
    <row r="25" spans="1:18" x14ac:dyDescent="0.4">
      <c r="A25" s="19" t="s">
        <v>181</v>
      </c>
      <c r="B25" s="12">
        <v>92</v>
      </c>
      <c r="C25" s="6">
        <f>IF(B$20=0,0,B25/B$20)</f>
        <v>0.29677419354838708</v>
      </c>
      <c r="E25" s="27" t="s">
        <v>88</v>
      </c>
      <c r="F25" s="24" t="s">
        <v>43</v>
      </c>
      <c r="G25" s="12">
        <v>1</v>
      </c>
      <c r="H25" s="88">
        <f>IF(B$20=0,0,G25/B$20)</f>
        <v>3.2258064516129032E-3</v>
      </c>
      <c r="I25" s="58">
        <v>5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83</v>
      </c>
      <c r="C26" s="6">
        <f>IF(B$20=0,0,B26/B$20)</f>
        <v>0.26774193548387099</v>
      </c>
      <c r="E26" s="27" t="s">
        <v>90</v>
      </c>
      <c r="F26" s="24" t="s">
        <v>45</v>
      </c>
      <c r="G26" s="12">
        <v>1</v>
      </c>
      <c r="H26" s="88">
        <f>IF(B$20=0,0,G26/B$20)</f>
        <v>3.2258064516129032E-3</v>
      </c>
      <c r="I26" s="58">
        <v>2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8141.9354838709678</v>
      </c>
      <c r="C27" s="8">
        <v>2524000</v>
      </c>
      <c r="E27" s="27" t="s">
        <v>92</v>
      </c>
      <c r="F27" s="24" t="s">
        <v>47</v>
      </c>
      <c r="G27" s="12">
        <v>1</v>
      </c>
      <c r="H27" s="88">
        <f>IF(B$20=0,0,G27/B$20)</f>
        <v>3.2258064516129032E-3</v>
      </c>
      <c r="I27" s="58">
        <v>3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8427.9816513761471</v>
      </c>
      <c r="C28" s="96">
        <v>1837300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7464.130434782609</v>
      </c>
      <c r="C29" s="96">
        <v>686700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-7386.3905325443784</v>
      </c>
      <c r="C30" s="96">
        <v>-1248300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1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5">
        <v>6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7">
        <v>103000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1.0449320794148381E-3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19</v>
      </c>
      <c r="C37" s="98">
        <f t="shared" ref="C37:C49" si="2">IF(B$20=0,0,B37/B$20)</f>
        <v>6.1290322580645158E-2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59</v>
      </c>
      <c r="C38" s="6">
        <f t="shared" si="2"/>
        <v>0.19032258064516128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63</v>
      </c>
      <c r="C39" s="6">
        <f t="shared" si="2"/>
        <v>0.20322580645161289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61</v>
      </c>
      <c r="C40" s="6">
        <f t="shared" si="2"/>
        <v>0.1967741935483871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45</v>
      </c>
      <c r="C41" s="6">
        <f t="shared" si="2"/>
        <v>0.14516129032258066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36</v>
      </c>
      <c r="C42" s="6">
        <f t="shared" si="2"/>
        <v>0.11612903225806452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11</v>
      </c>
      <c r="C43" s="6">
        <f t="shared" si="2"/>
        <v>3.5483870967741936E-2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6</v>
      </c>
      <c r="C44" s="6">
        <f t="shared" si="2"/>
        <v>1.935483870967742E-2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1.6129032258064516E-2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6.4516129032258064E-3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3.2258064516129032E-3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3.2258064516129032E-3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3.2258064516129032E-3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  <row r="99" spans="11:13" x14ac:dyDescent="0.4">
      <c r="K99" s="74">
        <v>97</v>
      </c>
      <c r="L99" s="119">
        <v>197.49999999999994</v>
      </c>
      <c r="M99" s="117">
        <v>1773.3683367254721</v>
      </c>
    </row>
    <row r="100" spans="11:13" x14ac:dyDescent="0.4">
      <c r="K100" s="74">
        <v>98</v>
      </c>
      <c r="L100" s="119">
        <v>206.39999999999995</v>
      </c>
      <c r="M100" s="117">
        <v>1774.2001267051191</v>
      </c>
    </row>
    <row r="101" spans="11:13" x14ac:dyDescent="0.4">
      <c r="K101" s="74">
        <v>99</v>
      </c>
      <c r="L101" s="119">
        <v>172.49999999999994</v>
      </c>
      <c r="M101" s="117">
        <v>1767.3229259448885</v>
      </c>
    </row>
    <row r="102" spans="11:13" x14ac:dyDescent="0.4">
      <c r="K102" s="74">
        <v>100</v>
      </c>
      <c r="L102" s="119">
        <v>196.39999999999995</v>
      </c>
      <c r="M102" s="117">
        <v>1770.8969883892191</v>
      </c>
    </row>
    <row r="103" spans="11:13" x14ac:dyDescent="0.4">
      <c r="K103" s="74">
        <v>101</v>
      </c>
      <c r="L103" s="119">
        <v>158.99999999999994</v>
      </c>
      <c r="M103" s="117">
        <v>1763.4156064588838</v>
      </c>
    </row>
    <row r="104" spans="11:13" x14ac:dyDescent="0.4">
      <c r="K104" s="74">
        <v>102</v>
      </c>
      <c r="L104" s="119">
        <v>147.99999999999994</v>
      </c>
      <c r="M104" s="117">
        <v>1760.7251128201306</v>
      </c>
    </row>
    <row r="105" spans="11:13" x14ac:dyDescent="0.4">
      <c r="K105" s="74">
        <v>103</v>
      </c>
      <c r="L105" s="119">
        <v>123.79999999999994</v>
      </c>
      <c r="M105" s="117">
        <v>1755.5727621432097</v>
      </c>
    </row>
    <row r="106" spans="11:13" x14ac:dyDescent="0.4">
      <c r="K106" s="74">
        <v>104</v>
      </c>
      <c r="L106" s="119">
        <v>173.19999999999993</v>
      </c>
      <c r="M106" s="117">
        <v>1763.6993255703505</v>
      </c>
    </row>
    <row r="107" spans="11:13" x14ac:dyDescent="0.4">
      <c r="K107" s="74">
        <v>105</v>
      </c>
      <c r="L107" s="119">
        <v>184.39999999999992</v>
      </c>
      <c r="M107" s="117">
        <v>1764.9011296169285</v>
      </c>
    </row>
    <row r="108" spans="11:13" x14ac:dyDescent="0.4">
      <c r="K108" s="74">
        <v>106</v>
      </c>
      <c r="L108" s="119">
        <v>219.09999999999991</v>
      </c>
      <c r="M108" s="117">
        <v>1770.325722839227</v>
      </c>
    </row>
    <row r="109" spans="11:13" x14ac:dyDescent="0.4">
      <c r="K109" s="74">
        <v>107</v>
      </c>
      <c r="L109" s="119">
        <v>218.2999999999999</v>
      </c>
      <c r="M109" s="117">
        <v>1769.3217685021916</v>
      </c>
    </row>
    <row r="110" spans="11:13" x14ac:dyDescent="0.4">
      <c r="K110" s="74">
        <v>108</v>
      </c>
      <c r="L110" s="119">
        <v>209.59999999999991</v>
      </c>
      <c r="M110" s="117">
        <v>1766.8238378911785</v>
      </c>
    </row>
    <row r="111" spans="11:13" x14ac:dyDescent="0.4">
      <c r="K111" s="74">
        <v>109</v>
      </c>
      <c r="L111" s="119">
        <v>207.7999999999999</v>
      </c>
      <c r="M111" s="117">
        <v>1765.5828948638314</v>
      </c>
    </row>
    <row r="112" spans="11:13" x14ac:dyDescent="0.4">
      <c r="K112" s="74">
        <v>110</v>
      </c>
      <c r="L112" s="119">
        <v>257.69999999999987</v>
      </c>
      <c r="M112" s="117">
        <v>1773.3973974946484</v>
      </c>
    </row>
    <row r="113" spans="11:13" x14ac:dyDescent="0.4">
      <c r="K113" s="74">
        <v>111</v>
      </c>
      <c r="L113" s="119">
        <v>233.09999999999988</v>
      </c>
      <c r="M113" s="117">
        <v>1767.7550131096805</v>
      </c>
    </row>
    <row r="114" spans="11:13" x14ac:dyDescent="0.4">
      <c r="K114" s="74">
        <v>112</v>
      </c>
      <c r="L114" s="119">
        <v>256.69999999999987</v>
      </c>
      <c r="M114" s="117">
        <v>1771.2664830310223</v>
      </c>
    </row>
    <row r="115" spans="11:13" x14ac:dyDescent="0.4">
      <c r="K115" s="74">
        <v>113</v>
      </c>
      <c r="L115" s="119">
        <v>234.69999999999987</v>
      </c>
      <c r="M115" s="117">
        <v>1766.5488841328361</v>
      </c>
    </row>
    <row r="116" spans="11:13" x14ac:dyDescent="0.4">
      <c r="K116" s="74">
        <v>114</v>
      </c>
      <c r="L116" s="119">
        <v>186.69999999999987</v>
      </c>
      <c r="M116" s="117">
        <v>1756.8675908280391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7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163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74</v>
      </c>
      <c r="C2" s="142"/>
      <c r="E2" s="26" t="s">
        <v>66</v>
      </c>
      <c r="F2" s="23" t="s">
        <v>22</v>
      </c>
      <c r="G2" s="11">
        <v>169</v>
      </c>
      <c r="H2" s="87">
        <f>IF(B$20=0,0,G2/B$20)</f>
        <v>0.97687861271676302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1222.9729729729729</v>
      </c>
      <c r="Q2" s="76">
        <v>74</v>
      </c>
      <c r="R2" s="63">
        <v>90500</v>
      </c>
    </row>
    <row r="3" spans="1:18" x14ac:dyDescent="0.4">
      <c r="A3" s="19" t="s">
        <v>8</v>
      </c>
      <c r="B3" s="143">
        <v>653</v>
      </c>
      <c r="C3" s="144"/>
      <c r="E3" s="27" t="s">
        <v>72</v>
      </c>
      <c r="F3" s="24" t="s">
        <v>27</v>
      </c>
      <c r="G3" s="12">
        <v>112</v>
      </c>
      <c r="H3" s="88">
        <f>IF(B$20=0,0,G3/B$20)</f>
        <v>0.64739884393063585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-151.38888888888889</v>
      </c>
      <c r="Q3" s="77">
        <v>72</v>
      </c>
      <c r="R3" s="64">
        <v>-10900</v>
      </c>
    </row>
    <row r="4" spans="1:18" x14ac:dyDescent="0.4">
      <c r="A4" s="19" t="s">
        <v>6</v>
      </c>
      <c r="B4" s="145">
        <v>-96.299999999999983</v>
      </c>
      <c r="C4" s="146"/>
      <c r="E4" s="27" t="s">
        <v>64</v>
      </c>
      <c r="F4" s="24" t="s">
        <v>20</v>
      </c>
      <c r="G4" s="12">
        <v>82</v>
      </c>
      <c r="H4" s="88">
        <f>IF(B$20=0,0,G4/B$20)</f>
        <v>0.47398843930635837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-762.5</v>
      </c>
      <c r="Q4" s="77">
        <v>72</v>
      </c>
      <c r="R4" s="64">
        <v>-54900</v>
      </c>
    </row>
    <row r="5" spans="1:18" x14ac:dyDescent="0.4">
      <c r="A5" s="19" t="s">
        <v>7</v>
      </c>
      <c r="B5" s="133">
        <f>IF(B$2=0,0,B$4/B$2)</f>
        <v>-1.301351351351351</v>
      </c>
      <c r="C5" s="134"/>
      <c r="E5" s="27" t="s">
        <v>159</v>
      </c>
      <c r="F5" s="24" t="s">
        <v>160</v>
      </c>
      <c r="G5" s="12">
        <v>71</v>
      </c>
      <c r="H5" s="88">
        <f>IF(B$20=0,0,G5/B$20)</f>
        <v>0.41040462427745666</v>
      </c>
      <c r="I5" s="58">
        <v>7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-2.8985507246376812</v>
      </c>
      <c r="Q5" s="77">
        <v>69</v>
      </c>
      <c r="R5" s="64">
        <v>-200</v>
      </c>
    </row>
    <row r="6" spans="1:18" x14ac:dyDescent="0.4">
      <c r="A6" s="19" t="s">
        <v>196</v>
      </c>
      <c r="B6" s="137">
        <v>1631.8441025198326</v>
      </c>
      <c r="C6" s="138"/>
      <c r="E6" s="27" t="s">
        <v>68</v>
      </c>
      <c r="F6" s="24" t="s">
        <v>12</v>
      </c>
      <c r="G6" s="12">
        <v>60</v>
      </c>
      <c r="H6" s="88">
        <f>IF(B$20=0,0,G6/B$20)</f>
        <v>0.34682080924855491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17.460317460317459</v>
      </c>
      <c r="Q6" s="77">
        <v>63</v>
      </c>
      <c r="R6" s="64">
        <v>1100</v>
      </c>
    </row>
    <row r="7" spans="1:18" x14ac:dyDescent="0.4">
      <c r="A7" s="19" t="s">
        <v>1</v>
      </c>
      <c r="B7" s="147">
        <f>IF(B$2=0,0,(B$8*1+B$9*2+B$10*3)/B$2)</f>
        <v>2</v>
      </c>
      <c r="C7" s="148"/>
      <c r="E7" s="27" t="s">
        <v>67</v>
      </c>
      <c r="F7" s="24" t="s">
        <v>23</v>
      </c>
      <c r="G7" s="12">
        <v>49</v>
      </c>
      <c r="H7" s="88">
        <f>IF(B$20=0,0,G7/B$20)</f>
        <v>0.2832369942196532</v>
      </c>
      <c r="I7" s="58">
        <v>4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62.962962962962962</v>
      </c>
      <c r="Q7" s="78">
        <v>54</v>
      </c>
      <c r="R7" s="65">
        <v>3400</v>
      </c>
    </row>
    <row r="8" spans="1:18" x14ac:dyDescent="0.4">
      <c r="A8" s="19" t="s">
        <v>2</v>
      </c>
      <c r="B8" s="12">
        <v>25</v>
      </c>
      <c r="C8" s="6">
        <f t="shared" ref="C8:C15" si="1">IF(B$2=0,0,B8/B$2)</f>
        <v>0.33783783783783783</v>
      </c>
      <c r="E8" s="27" t="s">
        <v>89</v>
      </c>
      <c r="F8" s="24" t="s">
        <v>44</v>
      </c>
      <c r="G8" s="12">
        <v>27</v>
      </c>
      <c r="H8" s="88">
        <f>IF(B$20=0,0,G8/B$20)</f>
        <v>0.15606936416184972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24</v>
      </c>
      <c r="C9" s="6">
        <f t="shared" si="1"/>
        <v>0.32432432432432434</v>
      </c>
      <c r="E9" s="27" t="s">
        <v>69</v>
      </c>
      <c r="F9" s="24" t="s">
        <v>24</v>
      </c>
      <c r="G9" s="12">
        <v>21</v>
      </c>
      <c r="H9" s="88">
        <f>IF(B$20=0,0,G9/B$20)</f>
        <v>0.12138728323699421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25</v>
      </c>
      <c r="C10" s="7">
        <f t="shared" si="1"/>
        <v>0.33783783783783783</v>
      </c>
      <c r="E10" s="27" t="s">
        <v>65</v>
      </c>
      <c r="F10" s="24" t="s">
        <v>21</v>
      </c>
      <c r="G10" s="12">
        <v>19</v>
      </c>
      <c r="H10" s="88">
        <f>IF(B$20=0,0,G10/B$20)</f>
        <v>0.10982658959537572</v>
      </c>
      <c r="I10" s="58">
        <v>5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-1.5129032258064514</v>
      </c>
      <c r="Q10" s="76">
        <v>31</v>
      </c>
      <c r="R10" s="67">
        <v>-46.899999999999991</v>
      </c>
    </row>
    <row r="11" spans="1:18" x14ac:dyDescent="0.4">
      <c r="A11" s="20" t="s">
        <v>184</v>
      </c>
      <c r="B11" s="109">
        <f>IF(B8=0,0,C11/B8)</f>
        <v>33.364000000000004</v>
      </c>
      <c r="C11" s="110">
        <v>834.1</v>
      </c>
      <c r="E11" s="27" t="s">
        <v>70</v>
      </c>
      <c r="F11" s="24" t="s">
        <v>25</v>
      </c>
      <c r="G11" s="12">
        <v>15</v>
      </c>
      <c r="H11" s="88">
        <f>IF(B$20=0,0,G11/B$20)</f>
        <v>8.6705202312138727E-2</v>
      </c>
      <c r="I11" s="58">
        <v>7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0.51428571428571346</v>
      </c>
      <c r="Q11" s="77">
        <v>21</v>
      </c>
      <c r="R11" s="68">
        <v>10.799999999999983</v>
      </c>
    </row>
    <row r="12" spans="1:18" x14ac:dyDescent="0.4">
      <c r="A12" s="20" t="s">
        <v>185</v>
      </c>
      <c r="B12" s="109">
        <f>IF(B9=0,0,C12/B9)</f>
        <v>1.3041666666666667</v>
      </c>
      <c r="C12" s="110">
        <v>31.3</v>
      </c>
      <c r="E12" s="27" t="s">
        <v>71</v>
      </c>
      <c r="F12" s="24" t="s">
        <v>26</v>
      </c>
      <c r="G12" s="12">
        <v>13</v>
      </c>
      <c r="H12" s="88">
        <f>IF(B$20=0,0,G12/B$20)</f>
        <v>7.5144508670520235E-2</v>
      </c>
      <c r="I12" s="58">
        <v>5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-2.7363636363636363</v>
      </c>
      <c r="Q12" s="78">
        <v>22</v>
      </c>
      <c r="R12" s="69">
        <v>-60.199999999999996</v>
      </c>
    </row>
    <row r="13" spans="1:18" x14ac:dyDescent="0.4">
      <c r="A13" s="20" t="s">
        <v>186</v>
      </c>
      <c r="B13" s="109">
        <f>IF(B10=0,0,C13/B10)</f>
        <v>-38.468000000000004</v>
      </c>
      <c r="C13" s="110">
        <v>-961.70000000000016</v>
      </c>
      <c r="E13" s="27" t="s">
        <v>86</v>
      </c>
      <c r="F13" s="24" t="s">
        <v>41</v>
      </c>
      <c r="G13" s="12">
        <v>10</v>
      </c>
      <c r="H13" s="88">
        <f>IF(B$20=0,0,G13/B$20)</f>
        <v>5.7803468208092484E-2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-1.2666111111111107</v>
      </c>
      <c r="C14" s="134"/>
      <c r="E14" s="27" t="s">
        <v>83</v>
      </c>
      <c r="F14" s="24" t="s">
        <v>38</v>
      </c>
      <c r="G14" s="12">
        <v>6</v>
      </c>
      <c r="H14" s="88">
        <f>IF(B$20=0,0,G14/B$20)</f>
        <v>3.4682080924855488E-2</v>
      </c>
      <c r="I14" s="58">
        <v>9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10</v>
      </c>
      <c r="C15" s="9">
        <f t="shared" si="1"/>
        <v>0.13513513513513514</v>
      </c>
      <c r="E15" s="27" t="s">
        <v>81</v>
      </c>
      <c r="F15" s="24" t="s">
        <v>36</v>
      </c>
      <c r="G15" s="12">
        <v>5</v>
      </c>
      <c r="H15" s="88">
        <f>IF(B$20=0,0,G15/B$20)</f>
        <v>2.8901734104046242E-2</v>
      </c>
      <c r="I15" s="58">
        <v>10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 t="shared" ref="P15:P24" si="2"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185</v>
      </c>
      <c r="C16" s="10">
        <f>IF(B$3=0,0,B16/B$3)</f>
        <v>0.28330781010719758</v>
      </c>
      <c r="E16" s="27" t="s">
        <v>91</v>
      </c>
      <c r="F16" s="24" t="s">
        <v>46</v>
      </c>
      <c r="G16" s="12">
        <v>5</v>
      </c>
      <c r="H16" s="88">
        <f>IF(B$20=0,0,G16/B$20)</f>
        <v>2.8901734104046242E-2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201</v>
      </c>
      <c r="P16" s="83">
        <f t="shared" si="2"/>
        <v>21.074999999999999</v>
      </c>
      <c r="Q16" s="77">
        <v>4</v>
      </c>
      <c r="R16" s="68">
        <v>84.3</v>
      </c>
    </row>
    <row r="17" spans="1:18" x14ac:dyDescent="0.4">
      <c r="A17" s="19" t="s">
        <v>118</v>
      </c>
      <c r="B17" s="12">
        <v>147</v>
      </c>
      <c r="C17" s="6">
        <f>IF(B$3=0,0,B17/B$3)</f>
        <v>0.22511485451761101</v>
      </c>
      <c r="E17" s="27" t="s">
        <v>155</v>
      </c>
      <c r="F17" s="24" t="s">
        <v>156</v>
      </c>
      <c r="G17" s="12">
        <v>5</v>
      </c>
      <c r="H17" s="88">
        <f>IF(B$20=0,0,G17/B$20)</f>
        <v>2.8901734104046242E-2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193</v>
      </c>
      <c r="P17" s="83">
        <f t="shared" si="2"/>
        <v>18.3</v>
      </c>
      <c r="Q17" s="77">
        <v>2</v>
      </c>
      <c r="R17" s="68">
        <v>36.6</v>
      </c>
    </row>
    <row r="18" spans="1:18" x14ac:dyDescent="0.4">
      <c r="A18" s="18" t="s">
        <v>123</v>
      </c>
      <c r="B18" s="11">
        <f>B24</f>
        <v>87</v>
      </c>
      <c r="C18" s="5">
        <f>IF(B$16=0,0,B18/B$16)</f>
        <v>0.4702702702702703</v>
      </c>
      <c r="E18" s="27" t="s">
        <v>78</v>
      </c>
      <c r="F18" s="24" t="s">
        <v>33</v>
      </c>
      <c r="G18" s="12">
        <v>4</v>
      </c>
      <c r="H18" s="88">
        <f>IF(B$20=0,0,G18/B$20)</f>
        <v>2.3121387283236993E-2</v>
      </c>
      <c r="I18" s="58">
        <v>10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 t="shared" si="2"/>
        <v>11.672222222222222</v>
      </c>
      <c r="Q18" s="77">
        <v>18</v>
      </c>
      <c r="R18" s="68">
        <v>210.1</v>
      </c>
    </row>
    <row r="19" spans="1:18" x14ac:dyDescent="0.4">
      <c r="A19" s="18" t="s">
        <v>124</v>
      </c>
      <c r="B19" s="11">
        <f>B25</f>
        <v>50</v>
      </c>
      <c r="C19" s="5">
        <f>IF(B$17=0,0,B19/B$17)</f>
        <v>0.3401360544217687</v>
      </c>
      <c r="E19" s="27" t="s">
        <v>73</v>
      </c>
      <c r="F19" s="24" t="s">
        <v>28</v>
      </c>
      <c r="G19" s="12">
        <v>3</v>
      </c>
      <c r="H19" s="88">
        <f>IF(B$20=0,0,G19/B$20)</f>
        <v>1.7341040462427744E-2</v>
      </c>
      <c r="I19" s="58">
        <v>1</v>
      </c>
      <c r="K19" s="74">
        <v>17</v>
      </c>
      <c r="L19" s="119">
        <v>-91.000000000000014</v>
      </c>
      <c r="M19" s="117">
        <v>1635.9985155013371</v>
      </c>
      <c r="O19" s="74" t="s">
        <v>259</v>
      </c>
      <c r="P19" s="83">
        <f t="shared" si="2"/>
        <v>1.8999999999999977</v>
      </c>
      <c r="Q19" s="77">
        <v>3</v>
      </c>
      <c r="R19" s="68">
        <v>5.6999999999999931</v>
      </c>
    </row>
    <row r="20" spans="1:18" x14ac:dyDescent="0.4">
      <c r="A20" s="18" t="s">
        <v>10</v>
      </c>
      <c r="B20" s="11">
        <f>B23+B22</f>
        <v>173</v>
      </c>
      <c r="C20" s="5">
        <f>IF(B$3=0,0,B20/B$3)</f>
        <v>0.26493108728943338</v>
      </c>
      <c r="E20" s="27" t="s">
        <v>77</v>
      </c>
      <c r="F20" s="24" t="s">
        <v>32</v>
      </c>
      <c r="G20" s="12">
        <v>1</v>
      </c>
      <c r="H20" s="88">
        <f>IF(B$20=0,0,G20/B$20)</f>
        <v>5.7803468208092483E-3</v>
      </c>
      <c r="I20" s="58">
        <v>3</v>
      </c>
      <c r="K20" s="74">
        <v>18</v>
      </c>
      <c r="L20" s="119">
        <v>-91.000000000000014</v>
      </c>
      <c r="M20" s="117">
        <v>1635.974524408329</v>
      </c>
      <c r="O20" s="74" t="s">
        <v>126</v>
      </c>
      <c r="P20" s="83">
        <f t="shared" si="2"/>
        <v>-4.4145161290322577</v>
      </c>
      <c r="Q20" s="77">
        <v>62</v>
      </c>
      <c r="R20" s="68">
        <v>-273.7</v>
      </c>
    </row>
    <row r="21" spans="1:18" x14ac:dyDescent="0.4">
      <c r="A21" s="19" t="s">
        <v>13</v>
      </c>
      <c r="B21" s="12">
        <v>126</v>
      </c>
      <c r="C21" s="6">
        <f>IF(B$3=0,0,B21/B$3)</f>
        <v>0.19295558958652373</v>
      </c>
      <c r="E21" s="27" t="s">
        <v>79</v>
      </c>
      <c r="F21" s="24" t="s">
        <v>34</v>
      </c>
      <c r="G21" s="12">
        <v>1</v>
      </c>
      <c r="H21" s="88">
        <f>IF(B$20=0,0,G21/B$20)</f>
        <v>5.7803468208092483E-3</v>
      </c>
      <c r="I21" s="58">
        <v>7</v>
      </c>
      <c r="K21" s="74">
        <v>19</v>
      </c>
      <c r="L21" s="119">
        <v>-143.4</v>
      </c>
      <c r="M21" s="117">
        <v>1626.518677261879</v>
      </c>
      <c r="O21" s="74" t="s">
        <v>190</v>
      </c>
      <c r="P21" s="83">
        <f t="shared" si="2"/>
        <v>-8.7866666666666653</v>
      </c>
      <c r="Q21" s="77">
        <v>15</v>
      </c>
      <c r="R21" s="68">
        <v>-131.79999999999998</v>
      </c>
    </row>
    <row r="22" spans="1:18" x14ac:dyDescent="0.4">
      <c r="A22" s="19" t="s">
        <v>12</v>
      </c>
      <c r="B22" s="12">
        <v>80</v>
      </c>
      <c r="C22" s="6">
        <f>IF(B$20=0,0,B22/B$20)</f>
        <v>0.46242774566473988</v>
      </c>
      <c r="E22" s="27" t="s">
        <v>85</v>
      </c>
      <c r="F22" s="24" t="s">
        <v>40</v>
      </c>
      <c r="G22" s="12">
        <v>1</v>
      </c>
      <c r="H22" s="88">
        <f>IF(B$20=0,0,G22/B$20)</f>
        <v>5.7803468208092483E-3</v>
      </c>
      <c r="I22" s="58">
        <v>3</v>
      </c>
      <c r="K22" s="74">
        <v>20</v>
      </c>
      <c r="L22" s="119">
        <v>-101.2</v>
      </c>
      <c r="M22" s="117">
        <v>1634.1175651983078</v>
      </c>
      <c r="O22" s="74" t="s">
        <v>192</v>
      </c>
      <c r="P22" s="83">
        <f t="shared" si="2"/>
        <v>-11.021428571428572</v>
      </c>
      <c r="Q22" s="77">
        <v>14</v>
      </c>
      <c r="R22" s="68">
        <v>-154.30000000000001</v>
      </c>
    </row>
    <row r="23" spans="1:18" x14ac:dyDescent="0.4">
      <c r="A23" s="19" t="s">
        <v>11</v>
      </c>
      <c r="B23" s="12">
        <v>93</v>
      </c>
      <c r="C23" s="6">
        <f>IF(B$20=0,0,B23/B$20)</f>
        <v>0.53757225433526012</v>
      </c>
      <c r="E23" s="27" t="s">
        <v>88</v>
      </c>
      <c r="F23" s="24" t="s">
        <v>43</v>
      </c>
      <c r="G23" s="12">
        <v>1</v>
      </c>
      <c r="H23" s="88">
        <f>IF(B$20=0,0,G23/B$20)</f>
        <v>5.7803468208092483E-3</v>
      </c>
      <c r="I23" s="58">
        <v>3</v>
      </c>
      <c r="K23" s="74">
        <v>21</v>
      </c>
      <c r="L23" s="119">
        <v>-99.3</v>
      </c>
      <c r="M23" s="117">
        <v>1634.416859807118</v>
      </c>
      <c r="O23" s="74" t="s">
        <v>211</v>
      </c>
      <c r="P23" s="83">
        <f t="shared" si="2"/>
        <v>-11.209523809523811</v>
      </c>
      <c r="Q23" s="77">
        <v>21</v>
      </c>
      <c r="R23" s="68">
        <v>-235.40000000000003</v>
      </c>
    </row>
    <row r="24" spans="1:18" x14ac:dyDescent="0.4">
      <c r="A24" s="19" t="s">
        <v>183</v>
      </c>
      <c r="B24" s="12">
        <v>87</v>
      </c>
      <c r="C24" s="6">
        <f>IF(B$20=0,0,B24/B$20)</f>
        <v>0.50289017341040465</v>
      </c>
      <c r="E24" s="27" t="s">
        <v>92</v>
      </c>
      <c r="F24" s="24" t="s">
        <v>47</v>
      </c>
      <c r="G24" s="12">
        <v>1</v>
      </c>
      <c r="H24" s="88">
        <f>IF(B$20=0,0,G24/B$20)</f>
        <v>5.7803468208092483E-3</v>
      </c>
      <c r="I24" s="58">
        <v>2</v>
      </c>
      <c r="K24" s="74">
        <v>22</v>
      </c>
      <c r="L24" s="119">
        <v>-95.2</v>
      </c>
      <c r="M24" s="117">
        <v>1635.1103586482752</v>
      </c>
      <c r="O24" s="74" t="s">
        <v>195</v>
      </c>
      <c r="P24" s="83">
        <f t="shared" si="2"/>
        <v>-39.85</v>
      </c>
      <c r="Q24" s="77">
        <v>2</v>
      </c>
      <c r="R24" s="68">
        <v>-79.7</v>
      </c>
    </row>
    <row r="25" spans="1:18" x14ac:dyDescent="0.4">
      <c r="A25" s="19" t="s">
        <v>181</v>
      </c>
      <c r="B25" s="12">
        <v>50</v>
      </c>
      <c r="C25" s="6">
        <f>IF(B$20=0,0,B25/B$20)</f>
        <v>0.28901734104046245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36</v>
      </c>
      <c r="C26" s="6">
        <f>IF(B$20=0,0,B26/B$20)</f>
        <v>0.20809248554913296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9475.7225433526019</v>
      </c>
      <c r="C27" s="8">
        <v>1639300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10276.422764227642</v>
      </c>
      <c r="C28" s="96">
        <v>1264000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7506</v>
      </c>
      <c r="C29" s="96">
        <v>375300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-7925.3968253968251</v>
      </c>
      <c r="C30" s="96">
        <v>-998600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3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7">
        <v>94700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1.5313935681470138E-3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10</v>
      </c>
      <c r="C37" s="98">
        <f t="shared" ref="C37:C49" si="3">IF(B$20=0,0,B37/B$20)</f>
        <v>5.7803468208092484E-2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15</v>
      </c>
      <c r="C38" s="6">
        <f t="shared" si="3"/>
        <v>8.6705202312138727E-2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33</v>
      </c>
      <c r="C39" s="6">
        <f t="shared" si="3"/>
        <v>0.19075144508670519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35</v>
      </c>
      <c r="C40" s="6">
        <f t="shared" si="3"/>
        <v>0.20231213872832371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35</v>
      </c>
      <c r="C41" s="6">
        <f t="shared" si="3"/>
        <v>0.20231213872832371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18</v>
      </c>
      <c r="C42" s="6">
        <f t="shared" si="3"/>
        <v>0.10404624277456648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10</v>
      </c>
      <c r="C43" s="6">
        <f t="shared" si="3"/>
        <v>5.7803468208092484E-2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8</v>
      </c>
      <c r="C44" s="6">
        <f t="shared" si="3"/>
        <v>4.6242774566473986E-2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4</v>
      </c>
      <c r="C45" s="6">
        <f t="shared" si="3"/>
        <v>2.3121387283236993E-2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2</v>
      </c>
      <c r="C46" s="6">
        <f t="shared" si="3"/>
        <v>1.1560693641618497E-2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1</v>
      </c>
      <c r="C47" s="6">
        <f t="shared" si="3"/>
        <v>5.7803468208092483E-3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3"/>
        <v>1.1560693641618497E-2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  <row r="63" spans="1:13" x14ac:dyDescent="0.4">
      <c r="K63" s="74">
        <v>61</v>
      </c>
      <c r="L63" s="119">
        <v>-95.7</v>
      </c>
      <c r="M63" s="117">
        <v>1631.3423509762833</v>
      </c>
    </row>
    <row r="64" spans="1:13" x14ac:dyDescent="0.4">
      <c r="K64" s="74">
        <v>62</v>
      </c>
      <c r="L64" s="119">
        <v>-130.6</v>
      </c>
      <c r="M64" s="117">
        <v>1625.1422968704258</v>
      </c>
    </row>
    <row r="65" spans="11:13" x14ac:dyDescent="0.4">
      <c r="K65" s="74">
        <v>63</v>
      </c>
      <c r="L65" s="119">
        <v>-129</v>
      </c>
      <c r="M65" s="117">
        <v>1625.5494430892031</v>
      </c>
    </row>
    <row r="66" spans="11:13" x14ac:dyDescent="0.4">
      <c r="K66" s="74">
        <v>64</v>
      </c>
      <c r="L66" s="119">
        <v>-129.5</v>
      </c>
      <c r="M66" s="117">
        <v>1625.582146430668</v>
      </c>
    </row>
    <row r="67" spans="11:13" x14ac:dyDescent="0.4">
      <c r="K67" s="74">
        <v>65</v>
      </c>
      <c r="L67" s="119">
        <v>-92.4</v>
      </c>
      <c r="M67" s="117">
        <v>1632.3826535520841</v>
      </c>
    </row>
    <row r="68" spans="11:13" x14ac:dyDescent="0.4">
      <c r="K68" s="74">
        <v>66</v>
      </c>
      <c r="L68" s="119">
        <v>-141.4</v>
      </c>
      <c r="M68" s="117">
        <v>1623.6383576307717</v>
      </c>
    </row>
    <row r="69" spans="11:13" x14ac:dyDescent="0.4">
      <c r="K69" s="74">
        <v>67</v>
      </c>
      <c r="L69" s="119">
        <v>-112.7</v>
      </c>
      <c r="M69" s="117">
        <v>1628.830527484987</v>
      </c>
    </row>
    <row r="70" spans="11:13" x14ac:dyDescent="0.4">
      <c r="K70" s="74">
        <v>68</v>
      </c>
      <c r="L70" s="119">
        <v>-163.19999999999999</v>
      </c>
      <c r="M70" s="117">
        <v>1619.735544320077</v>
      </c>
    </row>
    <row r="71" spans="11:13" x14ac:dyDescent="0.4">
      <c r="K71" s="74">
        <v>69</v>
      </c>
      <c r="L71" s="119">
        <v>-122.6</v>
      </c>
      <c r="M71" s="117">
        <v>1627.0931310541566</v>
      </c>
    </row>
    <row r="72" spans="11:13" x14ac:dyDescent="0.4">
      <c r="K72" s="74">
        <v>70</v>
      </c>
      <c r="L72" s="119">
        <v>-134.79999999999998</v>
      </c>
      <c r="M72" s="117">
        <v>1624.9025722678316</v>
      </c>
    </row>
    <row r="73" spans="11:13" x14ac:dyDescent="0.4">
      <c r="K73" s="74">
        <v>71</v>
      </c>
      <c r="L73" s="119">
        <v>-102.19999999999999</v>
      </c>
      <c r="M73" s="117">
        <v>1630.7051568342247</v>
      </c>
    </row>
    <row r="74" spans="11:13" x14ac:dyDescent="0.4">
      <c r="K74" s="74">
        <v>72</v>
      </c>
      <c r="L74" s="119">
        <v>-87.699999999999989</v>
      </c>
      <c r="M74" s="117">
        <v>1633.2149258932193</v>
      </c>
    </row>
    <row r="75" spans="11:13" x14ac:dyDescent="0.4">
      <c r="K75" s="74">
        <v>73</v>
      </c>
      <c r="L75" s="119">
        <v>-121.19999999999999</v>
      </c>
      <c r="M75" s="117">
        <v>1627.2556363378599</v>
      </c>
    </row>
    <row r="76" spans="11:13" x14ac:dyDescent="0.4">
      <c r="K76" s="74">
        <v>74</v>
      </c>
      <c r="L76" s="119">
        <v>-96.299999999999983</v>
      </c>
      <c r="M76" s="117">
        <v>1631.8441025198326</v>
      </c>
    </row>
  </sheetData>
  <sortState xmlns:xlrd2="http://schemas.microsoft.com/office/spreadsheetml/2017/richdata2" ref="E2:I77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189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45</v>
      </c>
      <c r="C2" s="142"/>
      <c r="E2" s="26" t="s">
        <v>72</v>
      </c>
      <c r="F2" s="23" t="s">
        <v>27</v>
      </c>
      <c r="G2" s="11">
        <v>82</v>
      </c>
      <c r="H2" s="87">
        <f>IF(B$20=0,0,G2/B$20)</f>
        <v>0.7068965517241379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-597.77777777777783</v>
      </c>
      <c r="Q2" s="76">
        <v>45</v>
      </c>
      <c r="R2" s="63">
        <v>-26900</v>
      </c>
    </row>
    <row r="3" spans="1:18" x14ac:dyDescent="0.4">
      <c r="A3" s="19" t="s">
        <v>8</v>
      </c>
      <c r="B3" s="143">
        <v>400</v>
      </c>
      <c r="C3" s="144"/>
      <c r="E3" s="27" t="s">
        <v>66</v>
      </c>
      <c r="F3" s="24" t="s">
        <v>22</v>
      </c>
      <c r="G3" s="12">
        <v>73</v>
      </c>
      <c r="H3" s="88">
        <f>IF(B$20=0,0,G3/B$20)</f>
        <v>0.62931034482758619</v>
      </c>
      <c r="I3" s="58">
        <v>12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-900</v>
      </c>
      <c r="Q3" s="77">
        <v>45</v>
      </c>
      <c r="R3" s="64">
        <v>-40500</v>
      </c>
    </row>
    <row r="4" spans="1:18" x14ac:dyDescent="0.4">
      <c r="A4" s="19" t="s">
        <v>6</v>
      </c>
      <c r="B4" s="145">
        <v>-146.69999999999999</v>
      </c>
      <c r="C4" s="146"/>
      <c r="E4" s="27" t="s">
        <v>64</v>
      </c>
      <c r="F4" s="24" t="s">
        <v>20</v>
      </c>
      <c r="G4" s="12">
        <v>46</v>
      </c>
      <c r="H4" s="88">
        <f>IF(B$20=0,0,G4/B$20)</f>
        <v>0.39655172413793105</v>
      </c>
      <c r="I4" s="58">
        <v>10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663.63636363636363</v>
      </c>
      <c r="Q4" s="77">
        <v>44</v>
      </c>
      <c r="R4" s="64">
        <v>29200</v>
      </c>
    </row>
    <row r="5" spans="1:18" x14ac:dyDescent="0.4">
      <c r="A5" s="19" t="s">
        <v>7</v>
      </c>
      <c r="B5" s="133">
        <f>IF(B$2=0,0,B$4/B$2)</f>
        <v>-3.26</v>
      </c>
      <c r="C5" s="134"/>
      <c r="E5" s="27" t="s">
        <v>159</v>
      </c>
      <c r="F5" s="24" t="s">
        <v>160</v>
      </c>
      <c r="G5" s="12">
        <v>40</v>
      </c>
      <c r="H5" s="88">
        <f>IF(B$20=0,0,G5/B$20)</f>
        <v>0.34482758620689657</v>
      </c>
      <c r="I5" s="58">
        <v>10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-1022.7272727272727</v>
      </c>
      <c r="Q5" s="77">
        <v>44</v>
      </c>
      <c r="R5" s="64">
        <v>-45000</v>
      </c>
    </row>
    <row r="6" spans="1:18" x14ac:dyDescent="0.4">
      <c r="A6" s="19" t="s">
        <v>196</v>
      </c>
      <c r="B6" s="137">
        <v>1444.1642121350767</v>
      </c>
      <c r="C6" s="138"/>
      <c r="E6" s="27" t="s">
        <v>68</v>
      </c>
      <c r="F6" s="24" t="s">
        <v>12</v>
      </c>
      <c r="G6" s="12">
        <v>30</v>
      </c>
      <c r="H6" s="88">
        <f>IF(B$20=0,0,G6/B$20)</f>
        <v>0.25862068965517243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-1293.0232558139535</v>
      </c>
      <c r="Q6" s="77">
        <v>43</v>
      </c>
      <c r="R6" s="64">
        <v>-55600</v>
      </c>
    </row>
    <row r="7" spans="1:18" x14ac:dyDescent="0.4">
      <c r="A7" s="19" t="s">
        <v>1</v>
      </c>
      <c r="B7" s="147">
        <f>IF(B$2=0,0,(B$8*1+B$9*2+B$10*3)/B$2)</f>
        <v>2.088888888888889</v>
      </c>
      <c r="C7" s="148"/>
      <c r="E7" s="27" t="s">
        <v>67</v>
      </c>
      <c r="F7" s="24" t="s">
        <v>23</v>
      </c>
      <c r="G7" s="12">
        <v>29</v>
      </c>
      <c r="H7" s="88">
        <f>IF(B$20=0,0,G7/B$20)</f>
        <v>0.25</v>
      </c>
      <c r="I7" s="58">
        <v>5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-572.22222222222217</v>
      </c>
      <c r="Q7" s="78">
        <v>36</v>
      </c>
      <c r="R7" s="65">
        <v>-20600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0.33333333333333331</v>
      </c>
      <c r="E8" s="27" t="s">
        <v>70</v>
      </c>
      <c r="F8" s="24" t="s">
        <v>25</v>
      </c>
      <c r="G8" s="12">
        <v>11</v>
      </c>
      <c r="H8" s="88">
        <f>IF(B$20=0,0,G8/B$20)</f>
        <v>9.4827586206896547E-2</v>
      </c>
      <c r="I8" s="58">
        <v>6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0.24444444444444444</v>
      </c>
      <c r="E9" s="27" t="s">
        <v>89</v>
      </c>
      <c r="F9" s="24" t="s">
        <v>44</v>
      </c>
      <c r="G9" s="12">
        <v>11</v>
      </c>
      <c r="H9" s="88">
        <f>IF(B$20=0,0,G9/B$20)</f>
        <v>9.4827586206896547E-2</v>
      </c>
      <c r="I9" s="58">
        <v>10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19</v>
      </c>
      <c r="C10" s="7">
        <f t="shared" si="1"/>
        <v>0.42222222222222222</v>
      </c>
      <c r="E10" s="27" t="s">
        <v>65</v>
      </c>
      <c r="F10" s="24" t="s">
        <v>21</v>
      </c>
      <c r="G10" s="12">
        <v>9</v>
      </c>
      <c r="H10" s="88">
        <f>IF(B$20=0,0,G10/B$20)</f>
        <v>7.7586206896551727E-2</v>
      </c>
      <c r="I10" s="58">
        <v>9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5.3000000000000007</v>
      </c>
      <c r="Q10" s="76">
        <v>11</v>
      </c>
      <c r="R10" s="67">
        <v>58.300000000000004</v>
      </c>
    </row>
    <row r="11" spans="1:18" x14ac:dyDescent="0.4">
      <c r="A11" s="20" t="s">
        <v>184</v>
      </c>
      <c r="B11" s="109">
        <f>IF(B8=0,0,C11/B8)</f>
        <v>29.013333333333335</v>
      </c>
      <c r="C11" s="110">
        <v>435.20000000000005</v>
      </c>
      <c r="E11" s="27" t="s">
        <v>69</v>
      </c>
      <c r="F11" s="24" t="s">
        <v>24</v>
      </c>
      <c r="G11" s="12">
        <v>9</v>
      </c>
      <c r="H11" s="88">
        <f>IF(B$20=0,0,G11/B$20)</f>
        <v>7.7586206896551727E-2</v>
      </c>
      <c r="I11" s="58">
        <v>9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-7.6764705882352944</v>
      </c>
      <c r="Q11" s="77">
        <v>17</v>
      </c>
      <c r="R11" s="68">
        <v>-130.5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8</v>
      </c>
      <c r="H12" s="88">
        <f>IF(B$20=0,0,G12/B$20)</f>
        <v>6.8965517241379309E-2</v>
      </c>
      <c r="I12" s="58">
        <v>4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-4.382352941176471</v>
      </c>
      <c r="Q12" s="78">
        <v>17</v>
      </c>
      <c r="R12" s="69">
        <v>-74.500000000000014</v>
      </c>
    </row>
    <row r="13" spans="1:18" x14ac:dyDescent="0.4">
      <c r="A13" s="20" t="s">
        <v>186</v>
      </c>
      <c r="B13" s="109">
        <f>IF(B10=0,0,C13/B10)</f>
        <v>-33.473684210526315</v>
      </c>
      <c r="C13" s="110">
        <v>-636</v>
      </c>
      <c r="E13" s="27" t="s">
        <v>71</v>
      </c>
      <c r="F13" s="24" t="s">
        <v>26</v>
      </c>
      <c r="G13" s="12">
        <v>6</v>
      </c>
      <c r="H13" s="88">
        <f>IF(B$20=0,0,G13/B$20)</f>
        <v>5.1724137931034482E-2</v>
      </c>
      <c r="I13" s="58">
        <v>8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0.15261031366294731</v>
      </c>
      <c r="C14" s="134"/>
      <c r="E14" s="27" t="s">
        <v>81</v>
      </c>
      <c r="F14" s="24" t="s">
        <v>36</v>
      </c>
      <c r="G14" s="12">
        <v>5</v>
      </c>
      <c r="H14" s="88">
        <f>IF(B$20=0,0,G14/B$20)</f>
        <v>4.3103448275862072E-2</v>
      </c>
      <c r="I14" s="58">
        <v>5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8.8888888888888892E-2</v>
      </c>
      <c r="E15" s="27" t="s">
        <v>78</v>
      </c>
      <c r="F15" s="24" t="s">
        <v>33</v>
      </c>
      <c r="G15" s="12">
        <v>4</v>
      </c>
      <c r="H15" s="88">
        <f>IF(B$20=0,0,G15/B$20)</f>
        <v>3.4482758620689655E-2</v>
      </c>
      <c r="I15" s="58">
        <v>3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 t="shared" ref="P15:P21" si="2"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105</v>
      </c>
      <c r="C16" s="10">
        <f>IF(B$3=0,0,B16/B$3)</f>
        <v>0.26250000000000001</v>
      </c>
      <c r="E16" s="27" t="s">
        <v>79</v>
      </c>
      <c r="F16" s="24" t="s">
        <v>34</v>
      </c>
      <c r="G16" s="12">
        <v>3</v>
      </c>
      <c r="H16" s="88">
        <f>IF(B$20=0,0,G16/B$20)</f>
        <v>2.5862068965517241E-2</v>
      </c>
      <c r="I16" s="58">
        <v>1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 t="shared" si="2"/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119</v>
      </c>
      <c r="C17" s="6">
        <f>IF(B$3=0,0,B17/B$3)</f>
        <v>0.29749999999999999</v>
      </c>
      <c r="E17" s="27" t="s">
        <v>86</v>
      </c>
      <c r="F17" s="24" t="s">
        <v>41</v>
      </c>
      <c r="G17" s="12">
        <v>2</v>
      </c>
      <c r="H17" s="88">
        <f>IF(B$20=0,0,G17/B$20)</f>
        <v>1.7241379310344827E-2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32.266666666666673</v>
      </c>
      <c r="Q17" s="77">
        <v>3</v>
      </c>
      <c r="R17" s="68">
        <v>96.800000000000011</v>
      </c>
    </row>
    <row r="18" spans="1:18" x14ac:dyDescent="0.4">
      <c r="A18" s="18" t="s">
        <v>123</v>
      </c>
      <c r="B18" s="11">
        <f>B24</f>
        <v>46</v>
      </c>
      <c r="C18" s="5">
        <f>IF(B$16=0,0,B18/B$16)</f>
        <v>0.43809523809523809</v>
      </c>
      <c r="E18" s="27" t="s">
        <v>91</v>
      </c>
      <c r="F18" s="24" t="s">
        <v>46</v>
      </c>
      <c r="G18" s="12">
        <v>2</v>
      </c>
      <c r="H18" s="88">
        <f>IF(B$20=0,0,G18/B$20)</f>
        <v>1.7241379310344827E-2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 t="shared" si="2"/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48</v>
      </c>
      <c r="C19" s="5">
        <f>IF(B$17=0,0,B19/B$17)</f>
        <v>0.40336134453781514</v>
      </c>
      <c r="E19" s="27" t="s">
        <v>88</v>
      </c>
      <c r="F19" s="24" t="s">
        <v>43</v>
      </c>
      <c r="G19" s="12">
        <v>1</v>
      </c>
      <c r="H19" s="88">
        <f>IF(B$20=0,0,G19/B$20)</f>
        <v>8.6206896551724137E-3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 t="shared" si="2"/>
        <v>-2.3897435897435897</v>
      </c>
      <c r="Q19" s="77">
        <v>39</v>
      </c>
      <c r="R19" s="68">
        <v>-93.2</v>
      </c>
    </row>
    <row r="20" spans="1:18" x14ac:dyDescent="0.4">
      <c r="A20" s="18" t="s">
        <v>10</v>
      </c>
      <c r="B20" s="11">
        <f>B23+B22</f>
        <v>116</v>
      </c>
      <c r="C20" s="5">
        <f>IF(B$3=0,0,B20/B$3)</f>
        <v>0.28999999999999998</v>
      </c>
      <c r="E20" s="27" t="s">
        <v>93</v>
      </c>
      <c r="F20" s="24" t="s">
        <v>48</v>
      </c>
      <c r="G20" s="12">
        <v>1</v>
      </c>
      <c r="H20" s="88">
        <f>IF(B$20=0,0,G20/B$20)</f>
        <v>8.6206896551724137E-3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 t="shared" si="2"/>
        <v>-11.672222222222219</v>
      </c>
      <c r="Q20" s="77">
        <v>18</v>
      </c>
      <c r="R20" s="68">
        <v>-210.09999999999994</v>
      </c>
    </row>
    <row r="21" spans="1:18" x14ac:dyDescent="0.4">
      <c r="A21" s="19" t="s">
        <v>13</v>
      </c>
      <c r="B21" s="12">
        <v>66</v>
      </c>
      <c r="C21" s="6">
        <f>IF(B$3=0,0,B21/B$3)</f>
        <v>0.16500000000000001</v>
      </c>
      <c r="E21" s="27" t="s">
        <v>106</v>
      </c>
      <c r="F21" s="24" t="s">
        <v>113</v>
      </c>
      <c r="G21" s="12">
        <v>1</v>
      </c>
      <c r="H21" s="88">
        <f>IF(B$20=0,0,G21/B$20)</f>
        <v>8.6206896551724137E-3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54</v>
      </c>
      <c r="C22" s="6">
        <f>IF(B$20=0,0,B22/B$20)</f>
        <v>0.46551724137931033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62</v>
      </c>
      <c r="C23" s="6">
        <f>IF(B$20=0,0,B23/B$20)</f>
        <v>0.53448275862068961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46</v>
      </c>
      <c r="C24" s="6">
        <f>IF(B$20=0,0,B24/B$20)</f>
        <v>0.39655172413793105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48</v>
      </c>
      <c r="C25" s="6">
        <f>IF(B$20=0,0,B25/B$20)</f>
        <v>0.41379310344827586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22</v>
      </c>
      <c r="C26" s="6">
        <f>IF(B$20=0,0,B26/B$20)</f>
        <v>0.18965517241379309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7512.0689655172409</v>
      </c>
      <c r="C27" s="8">
        <v>871400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9192.6470588235297</v>
      </c>
      <c r="C28" s="96">
        <v>625100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5131.25</v>
      </c>
      <c r="C29" s="96">
        <v>246300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-8572.7272727272721</v>
      </c>
      <c r="C30" s="96">
        <v>-565800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9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5">
        <v>7</v>
      </c>
      <c r="C33" s="136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7">
        <v>89900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2.5000000000000001E-3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15</v>
      </c>
      <c r="C37" s="98">
        <f t="shared" ref="C37:C49" si="3">IF(B$20=0,0,B37/B$20)</f>
        <v>0.12931034482758622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3"/>
        <v>0.23275862068965517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24</v>
      </c>
      <c r="C39" s="6">
        <f t="shared" si="3"/>
        <v>0.20689655172413793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22</v>
      </c>
      <c r="C40" s="6">
        <f t="shared" si="3"/>
        <v>0.18965517241379309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6</v>
      </c>
      <c r="C41" s="6">
        <f t="shared" si="3"/>
        <v>5.1724137931034482E-2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5</v>
      </c>
      <c r="C42" s="6">
        <f t="shared" si="3"/>
        <v>4.3103448275862072E-2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5</v>
      </c>
      <c r="C43" s="6">
        <f t="shared" si="3"/>
        <v>4.3103448275862072E-2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3"/>
        <v>1.7241379310344827E-2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3"/>
        <v>3.4482758620689655E-2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3"/>
        <v>3.4482758620689655E-2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-134</v>
      </c>
      <c r="M46" s="117">
        <v>1445.4388452063147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-146.69999999999999</v>
      </c>
      <c r="M47" s="117">
        <v>1444.1642121350767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3"/>
        <v>1.7241379310344827E-2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190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36</v>
      </c>
      <c r="C2" s="142"/>
      <c r="E2" s="26" t="s">
        <v>66</v>
      </c>
      <c r="F2" s="23" t="s">
        <v>22</v>
      </c>
      <c r="G2" s="11">
        <v>70</v>
      </c>
      <c r="H2" s="87">
        <f>IF(B$20=0,0,G2/B$20)</f>
        <v>0.83333333333333337</v>
      </c>
      <c r="I2" s="57">
        <v>4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975</v>
      </c>
      <c r="Q2" s="76">
        <v>36</v>
      </c>
      <c r="R2" s="63">
        <v>35100</v>
      </c>
    </row>
    <row r="3" spans="1:18" x14ac:dyDescent="0.4">
      <c r="A3" s="19" t="s">
        <v>8</v>
      </c>
      <c r="B3" s="143">
        <v>314</v>
      </c>
      <c r="C3" s="144"/>
      <c r="E3" s="27" t="s">
        <v>72</v>
      </c>
      <c r="F3" s="24" t="s">
        <v>27</v>
      </c>
      <c r="G3" s="12">
        <v>48</v>
      </c>
      <c r="H3" s="88">
        <f>IF(B$20=0,0,G3/B$20)</f>
        <v>0.5714285714285714</v>
      </c>
      <c r="I3" s="58">
        <v>8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644.44444444444446</v>
      </c>
      <c r="Q3" s="77">
        <v>36</v>
      </c>
      <c r="R3" s="64">
        <v>23200</v>
      </c>
    </row>
    <row r="4" spans="1:18" x14ac:dyDescent="0.4">
      <c r="A4" s="19" t="s">
        <v>6</v>
      </c>
      <c r="B4" s="145">
        <v>67.69999999999996</v>
      </c>
      <c r="C4" s="146"/>
      <c r="E4" s="27" t="s">
        <v>64</v>
      </c>
      <c r="F4" s="24" t="s">
        <v>20</v>
      </c>
      <c r="G4" s="12">
        <v>41</v>
      </c>
      <c r="H4" s="88">
        <f>IF(B$20=0,0,G4/B$20)</f>
        <v>0.48809523809523808</v>
      </c>
      <c r="I4" s="58">
        <v>3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1114.2857142857142</v>
      </c>
      <c r="Q4" s="77">
        <v>35</v>
      </c>
      <c r="R4" s="64">
        <v>39000</v>
      </c>
    </row>
    <row r="5" spans="1:18" x14ac:dyDescent="0.4">
      <c r="A5" s="19" t="s">
        <v>7</v>
      </c>
      <c r="B5" s="133">
        <f>IF(B$2=0,0,B$4/B$2)</f>
        <v>1.8805555555555544</v>
      </c>
      <c r="C5" s="134"/>
      <c r="E5" s="27" t="s">
        <v>159</v>
      </c>
      <c r="F5" s="24" t="s">
        <v>160</v>
      </c>
      <c r="G5" s="12">
        <v>37</v>
      </c>
      <c r="H5" s="88">
        <f>IF(B$20=0,0,G5/B$20)</f>
        <v>0.44047619047619047</v>
      </c>
      <c r="I5" s="58">
        <v>5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-2609.6774193548385</v>
      </c>
      <c r="Q5" s="77">
        <v>31</v>
      </c>
      <c r="R5" s="64">
        <v>-80900</v>
      </c>
    </row>
    <row r="6" spans="1:18" x14ac:dyDescent="0.4">
      <c r="A6" s="19" t="s">
        <v>196</v>
      </c>
      <c r="B6" s="137">
        <v>1553.703793626174</v>
      </c>
      <c r="C6" s="138"/>
      <c r="E6" s="27" t="s">
        <v>68</v>
      </c>
      <c r="F6" s="24" t="s">
        <v>12</v>
      </c>
      <c r="G6" s="12">
        <v>21</v>
      </c>
      <c r="H6" s="88">
        <f>IF(B$20=0,0,G6/B$20)</f>
        <v>0.25</v>
      </c>
      <c r="I6" s="58">
        <v>10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2142.8571428571427</v>
      </c>
      <c r="Q6" s="77">
        <v>28</v>
      </c>
      <c r="R6" s="64">
        <v>60000</v>
      </c>
    </row>
    <row r="7" spans="1:18" x14ac:dyDescent="0.4">
      <c r="A7" s="19" t="s">
        <v>1</v>
      </c>
      <c r="B7" s="147">
        <f>IF(B$2=0,0,(B$8*1+B$9*2+B$10*3)/B$2)</f>
        <v>1.8888888888888888</v>
      </c>
      <c r="C7" s="148"/>
      <c r="E7" s="27" t="s">
        <v>67</v>
      </c>
      <c r="F7" s="24" t="s">
        <v>23</v>
      </c>
      <c r="G7" s="12">
        <v>18</v>
      </c>
      <c r="H7" s="88">
        <f>IF(B$20=0,0,G7/B$20)</f>
        <v>0.21428571428571427</v>
      </c>
      <c r="I7" s="58">
        <v>9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-1069.5652173913043</v>
      </c>
      <c r="Q7" s="78">
        <v>23</v>
      </c>
      <c r="R7" s="65">
        <v>-24600</v>
      </c>
    </row>
    <row r="8" spans="1:18" x14ac:dyDescent="0.4">
      <c r="A8" s="19" t="s">
        <v>2</v>
      </c>
      <c r="B8" s="12">
        <v>11</v>
      </c>
      <c r="C8" s="6">
        <f t="shared" ref="C8:C15" si="1">IF(B$2=0,0,B8/B$2)</f>
        <v>0.30555555555555558</v>
      </c>
      <c r="E8" s="27" t="s">
        <v>65</v>
      </c>
      <c r="F8" s="24" t="s">
        <v>21</v>
      </c>
      <c r="G8" s="12">
        <v>15</v>
      </c>
      <c r="H8" s="88">
        <f>IF(B$20=0,0,G8/B$20)</f>
        <v>0.17857142857142858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18</v>
      </c>
      <c r="C9" s="6">
        <f t="shared" si="1"/>
        <v>0.5</v>
      </c>
      <c r="E9" s="27" t="s">
        <v>69</v>
      </c>
      <c r="F9" s="24" t="s">
        <v>24</v>
      </c>
      <c r="G9" s="12">
        <v>14</v>
      </c>
      <c r="H9" s="88">
        <f>IF(B$20=0,0,G9/B$20)</f>
        <v>0.16666666666666666</v>
      </c>
      <c r="I9" s="58">
        <v>2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0.19444444444444445</v>
      </c>
      <c r="E10" s="27" t="s">
        <v>86</v>
      </c>
      <c r="F10" s="24" t="s">
        <v>41</v>
      </c>
      <c r="G10" s="12">
        <v>8</v>
      </c>
      <c r="H10" s="88">
        <f>IF(B$20=0,0,G10/B$20)</f>
        <v>9.5238095238095233E-2</v>
      </c>
      <c r="I10" s="58">
        <v>1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-4.24</v>
      </c>
      <c r="Q10" s="76">
        <v>10</v>
      </c>
      <c r="R10" s="67">
        <v>-42.4</v>
      </c>
    </row>
    <row r="11" spans="1:18" x14ac:dyDescent="0.4">
      <c r="A11" s="20" t="s">
        <v>184</v>
      </c>
      <c r="B11" s="109">
        <f>IF(B8=0,0,C11/B8)</f>
        <v>33.6</v>
      </c>
      <c r="C11" s="110">
        <v>369.6</v>
      </c>
      <c r="E11" s="27" t="s">
        <v>89</v>
      </c>
      <c r="F11" s="24" t="s">
        <v>44</v>
      </c>
      <c r="G11" s="12">
        <v>8</v>
      </c>
      <c r="H11" s="88">
        <f>IF(B$20=0,0,G11/B$20)</f>
        <v>9.5238095238095233E-2</v>
      </c>
      <c r="I11" s="58">
        <v>9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-3.35</v>
      </c>
      <c r="Q11" s="77">
        <v>14</v>
      </c>
      <c r="R11" s="68">
        <v>-46.9</v>
      </c>
    </row>
    <row r="12" spans="1:18" x14ac:dyDescent="0.4">
      <c r="A12" s="20" t="s">
        <v>185</v>
      </c>
      <c r="B12" s="109">
        <f>IF(B9=0,0,C12/B9)</f>
        <v>-2.6500000000000004</v>
      </c>
      <c r="C12" s="110">
        <v>-47.7</v>
      </c>
      <c r="E12" s="27" t="s">
        <v>70</v>
      </c>
      <c r="F12" s="24" t="s">
        <v>25</v>
      </c>
      <c r="G12" s="12">
        <v>6</v>
      </c>
      <c r="H12" s="88">
        <f>IF(B$20=0,0,G12/B$20)</f>
        <v>7.1428571428571425E-2</v>
      </c>
      <c r="I12" s="58">
        <v>8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13.08333333333333</v>
      </c>
      <c r="Q12" s="78">
        <v>12</v>
      </c>
      <c r="R12" s="69">
        <v>156.99999999999997</v>
      </c>
    </row>
    <row r="13" spans="1:18" x14ac:dyDescent="0.4">
      <c r="A13" s="20" t="s">
        <v>186</v>
      </c>
      <c r="B13" s="109">
        <f>IF(B10=0,0,C13/B10)</f>
        <v>-36.314285714285717</v>
      </c>
      <c r="C13" s="110">
        <v>-254.20000000000002</v>
      </c>
      <c r="E13" s="27" t="s">
        <v>83</v>
      </c>
      <c r="F13" s="24" t="s">
        <v>38</v>
      </c>
      <c r="G13" s="12">
        <v>5</v>
      </c>
      <c r="H13" s="88">
        <f>IF(B$20=0,0,G13/B$20)</f>
        <v>5.9523809523809521E-2</v>
      </c>
      <c r="I13" s="58">
        <v>5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-1.788095238095238</v>
      </c>
      <c r="C14" s="134"/>
      <c r="E14" s="27" t="s">
        <v>81</v>
      </c>
      <c r="F14" s="24" t="s">
        <v>36</v>
      </c>
      <c r="G14" s="12">
        <v>3</v>
      </c>
      <c r="H14" s="88">
        <f>IF(B$20=0,0,G14/B$20)</f>
        <v>3.5714285714285712E-2</v>
      </c>
      <c r="I14" s="58">
        <v>7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5.5555555555555552E-2</v>
      </c>
      <c r="E15" s="27" t="s">
        <v>71</v>
      </c>
      <c r="F15" s="24" t="s">
        <v>26</v>
      </c>
      <c r="G15" s="12">
        <v>2</v>
      </c>
      <c r="H15" s="88">
        <f>IF(B$20=0,0,G15/B$20)</f>
        <v>2.3809523809523808E-2</v>
      </c>
      <c r="I15" s="58">
        <v>11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83</v>
      </c>
      <c r="C16" s="10">
        <f>IF(B$3=0,0,B16/B$3)</f>
        <v>0.2643312101910828</v>
      </c>
      <c r="E16" s="27" t="s">
        <v>78</v>
      </c>
      <c r="F16" s="24" t="s">
        <v>33</v>
      </c>
      <c r="G16" s="12">
        <v>2</v>
      </c>
      <c r="H16" s="88">
        <f>IF(B$20=0,0,G16/B$20)</f>
        <v>2.3809523809523808E-2</v>
      </c>
      <c r="I16" s="58">
        <v>9</v>
      </c>
      <c r="K16" s="74">
        <v>14</v>
      </c>
      <c r="L16" s="119">
        <v>-79.200000000000017</v>
      </c>
      <c r="M16" s="117">
        <v>1517.1299332658102</v>
      </c>
      <c r="O16" s="74" t="s">
        <v>163</v>
      </c>
      <c r="P16" s="83">
        <f t="shared" si="2"/>
        <v>8.7866666666666671</v>
      </c>
      <c r="Q16" s="77">
        <v>15</v>
      </c>
      <c r="R16" s="68">
        <v>131.80000000000001</v>
      </c>
    </row>
    <row r="17" spans="1:18" x14ac:dyDescent="0.4">
      <c r="A17" s="19" t="s">
        <v>118</v>
      </c>
      <c r="B17" s="12">
        <v>63</v>
      </c>
      <c r="C17" s="6">
        <f>IF(B$3=0,0,B17/B$3)</f>
        <v>0.20063694267515925</v>
      </c>
      <c r="E17" s="27" t="s">
        <v>79</v>
      </c>
      <c r="F17" s="24" t="s">
        <v>34</v>
      </c>
      <c r="G17" s="12">
        <v>2</v>
      </c>
      <c r="H17" s="88">
        <f>IF(B$20=0,0,G17/B$20)</f>
        <v>2.3809523809523808E-2</v>
      </c>
      <c r="I17" s="58">
        <v>2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 t="shared" si="2"/>
        <v>6.5555555555555571</v>
      </c>
      <c r="Q17" s="77">
        <v>9</v>
      </c>
      <c r="R17" s="68">
        <v>59.000000000000014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0.51807228915662651</v>
      </c>
      <c r="E18" s="27" t="s">
        <v>77</v>
      </c>
      <c r="F18" s="24" t="s">
        <v>32</v>
      </c>
      <c r="G18" s="12">
        <v>1</v>
      </c>
      <c r="H18" s="88">
        <f>IF(B$20=0,0,G18/B$20)</f>
        <v>1.1904761904761904E-2</v>
      </c>
      <c r="I18" s="58">
        <v>2</v>
      </c>
      <c r="K18" s="74">
        <v>16</v>
      </c>
      <c r="L18" s="119">
        <v>-49.800000000000018</v>
      </c>
      <c r="M18" s="117">
        <v>1523.8481507442182</v>
      </c>
      <c r="O18" s="74" t="s">
        <v>195</v>
      </c>
      <c r="P18" s="83">
        <f t="shared" si="2"/>
        <v>3.9499999999999993</v>
      </c>
      <c r="Q18" s="77">
        <v>4</v>
      </c>
      <c r="R18" s="68">
        <v>15.799999999999997</v>
      </c>
    </row>
    <row r="19" spans="1:18" x14ac:dyDescent="0.4">
      <c r="A19" s="18" t="s">
        <v>124</v>
      </c>
      <c r="B19" s="11">
        <f>B25</f>
        <v>23</v>
      </c>
      <c r="C19" s="5">
        <f>IF(B$17=0,0,B19/B$17)</f>
        <v>0.36507936507936506</v>
      </c>
      <c r="E19" s="27" t="s">
        <v>90</v>
      </c>
      <c r="F19" s="24" t="s">
        <v>45</v>
      </c>
      <c r="G19" s="12">
        <v>1</v>
      </c>
      <c r="H19" s="88">
        <f>IF(B$20=0,0,G19/B$20)</f>
        <v>1.1904761904761904E-2</v>
      </c>
      <c r="I19" s="58">
        <v>1</v>
      </c>
      <c r="K19" s="74">
        <v>17</v>
      </c>
      <c r="L19" s="119">
        <v>-47.800000000000018</v>
      </c>
      <c r="M19" s="117">
        <v>1524.9050618397528</v>
      </c>
      <c r="O19" s="74" t="s">
        <v>126</v>
      </c>
      <c r="P19" s="83">
        <f t="shared" si="2"/>
        <v>-0.26666666666666716</v>
      </c>
      <c r="Q19" s="77">
        <v>30</v>
      </c>
      <c r="R19" s="68">
        <v>-8.0000000000000142</v>
      </c>
    </row>
    <row r="20" spans="1:18" x14ac:dyDescent="0.4">
      <c r="A20" s="18" t="s">
        <v>10</v>
      </c>
      <c r="B20" s="11">
        <f>B23+B22</f>
        <v>84</v>
      </c>
      <c r="C20" s="5">
        <f>IF(B$3=0,0,B20/B$3)</f>
        <v>0.26751592356687898</v>
      </c>
      <c r="E20" s="27" t="s">
        <v>91</v>
      </c>
      <c r="F20" s="24" t="s">
        <v>46</v>
      </c>
      <c r="G20" s="12">
        <v>1</v>
      </c>
      <c r="H20" s="88">
        <f>IF(B$20=0,0,G20/B$20)</f>
        <v>1.1904761904761904E-2</v>
      </c>
      <c r="I20" s="58">
        <v>6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-32.266666666666673</v>
      </c>
      <c r="Q20" s="77">
        <v>3</v>
      </c>
      <c r="R20" s="68">
        <v>-96.800000000000011</v>
      </c>
    </row>
    <row r="21" spans="1:18" x14ac:dyDescent="0.4">
      <c r="A21" s="19" t="s">
        <v>13</v>
      </c>
      <c r="B21" s="12">
        <v>32</v>
      </c>
      <c r="C21" s="6">
        <f>IF(B$3=0,0,B21/B$3)</f>
        <v>0.10191082802547771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27</v>
      </c>
      <c r="C22" s="6">
        <f>IF(B$20=0,0,B22/B$20)</f>
        <v>0.32142857142857145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57</v>
      </c>
      <c r="C23" s="6">
        <f>IF(B$20=0,0,B23/B$20)</f>
        <v>0.6785714285714286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43</v>
      </c>
      <c r="C24" s="6">
        <f>IF(B$20=0,0,B24/B$20)</f>
        <v>0.51190476190476186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23</v>
      </c>
      <c r="C25" s="6">
        <f>IF(B$20=0,0,B25/B$20)</f>
        <v>0.27380952380952384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18</v>
      </c>
      <c r="C26" s="6">
        <f>IF(B$20=0,0,B26/B$20)</f>
        <v>0.21428571428571427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8045.2380952380954</v>
      </c>
      <c r="C27" s="8">
        <v>675800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7916.3934426229507</v>
      </c>
      <c r="C28" s="96">
        <v>482900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8386.95652173913</v>
      </c>
      <c r="C29" s="96">
        <v>192900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-6562.5</v>
      </c>
      <c r="C30" s="96">
        <v>-210000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4</v>
      </c>
      <c r="C31" s="90">
        <v>3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-35.300000000000026</v>
      </c>
      <c r="M31" s="117">
        <v>1531.7177178969628</v>
      </c>
    </row>
    <row r="32" spans="1:18" x14ac:dyDescent="0.4">
      <c r="A32" s="19" t="s">
        <v>158</v>
      </c>
      <c r="B32" s="12">
        <v>46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-9.3000000000000256</v>
      </c>
      <c r="M32" s="117">
        <v>1537.0774115895811</v>
      </c>
    </row>
    <row r="33" spans="1:13" x14ac:dyDescent="0.4">
      <c r="A33" s="54" t="s">
        <v>136</v>
      </c>
      <c r="B33" s="135">
        <v>7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22.999999999999972</v>
      </c>
      <c r="M33" s="117">
        <v>1543.5389471200435</v>
      </c>
    </row>
    <row r="34" spans="1:13" x14ac:dyDescent="0.4">
      <c r="A34" s="22" t="s">
        <v>180</v>
      </c>
      <c r="B34" s="137">
        <v>85000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-0.400000000000027</v>
      </c>
      <c r="M34" s="117">
        <v>1539.9417134373232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-0.10000000000002701</v>
      </c>
      <c r="M35" s="117">
        <v>1540.6320631566994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59.89999999999997</v>
      </c>
      <c r="M36" s="117">
        <v>1552.0582707777592</v>
      </c>
    </row>
    <row r="37" spans="1:13" x14ac:dyDescent="0.4">
      <c r="A37" s="54" t="s">
        <v>171</v>
      </c>
      <c r="B37" s="123">
        <v>3</v>
      </c>
      <c r="C37" s="98">
        <f t="shared" ref="C37:C49" si="3">IF(B$20=0,0,B37/B$20)</f>
        <v>3.5714285714285712E-2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46.099999999999966</v>
      </c>
      <c r="M37" s="117">
        <v>1549.6879211530927</v>
      </c>
    </row>
    <row r="38" spans="1:13" x14ac:dyDescent="0.4">
      <c r="A38" s="19" t="s">
        <v>167</v>
      </c>
      <c r="B38" s="12">
        <v>13</v>
      </c>
      <c r="C38" s="6">
        <f t="shared" si="3"/>
        <v>0.15476190476190477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67.69999999999996</v>
      </c>
      <c r="M38" s="117">
        <v>1553.703793626174</v>
      </c>
    </row>
    <row r="39" spans="1:13" x14ac:dyDescent="0.4">
      <c r="A39" s="19" t="s">
        <v>168</v>
      </c>
      <c r="B39" s="124">
        <v>19</v>
      </c>
      <c r="C39" s="6">
        <f t="shared" si="3"/>
        <v>0.22619047619047619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13" x14ac:dyDescent="0.4">
      <c r="A40" s="19" t="s">
        <v>169</v>
      </c>
      <c r="B40" s="124">
        <v>22</v>
      </c>
      <c r="C40" s="6">
        <f t="shared" si="3"/>
        <v>0.26190476190476192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12</v>
      </c>
      <c r="C41" s="6">
        <f t="shared" si="3"/>
        <v>0.14285714285714285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6</v>
      </c>
      <c r="C42" s="6">
        <f t="shared" si="3"/>
        <v>7.1428571428571425E-2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3"/>
        <v>3.5714285714285712E-2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5</v>
      </c>
      <c r="C44" s="6">
        <f t="shared" si="3"/>
        <v>5.9523809523809521E-2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1.1904761904761904E-2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48</v>
      </c>
      <c r="C2" s="142"/>
      <c r="E2" s="26" t="s">
        <v>66</v>
      </c>
      <c r="F2" s="23" t="s">
        <v>22</v>
      </c>
      <c r="G2" s="11">
        <v>87</v>
      </c>
      <c r="H2" s="87">
        <f>IF(B$20=0,0,G2/B$20)</f>
        <v>0.70161290322580649</v>
      </c>
      <c r="I2" s="57">
        <v>10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-587.23404255319144</v>
      </c>
      <c r="Q2" s="76">
        <v>47</v>
      </c>
      <c r="R2" s="63">
        <v>-27600</v>
      </c>
    </row>
    <row r="3" spans="1:18" x14ac:dyDescent="0.4">
      <c r="A3" s="19" t="s">
        <v>8</v>
      </c>
      <c r="B3" s="143">
        <v>411</v>
      </c>
      <c r="C3" s="144"/>
      <c r="E3" s="27" t="s">
        <v>72</v>
      </c>
      <c r="F3" s="24" t="s">
        <v>27</v>
      </c>
      <c r="G3" s="12">
        <v>74</v>
      </c>
      <c r="H3" s="88">
        <f>IF(B$20=0,0,G3/B$20)</f>
        <v>0.59677419354838712</v>
      </c>
      <c r="I3" s="58">
        <v>6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1051.063829787234</v>
      </c>
      <c r="Q3" s="77">
        <v>47</v>
      </c>
      <c r="R3" s="64">
        <v>49400</v>
      </c>
    </row>
    <row r="4" spans="1:18" x14ac:dyDescent="0.4">
      <c r="A4" s="19" t="s">
        <v>6</v>
      </c>
      <c r="B4" s="145">
        <v>140.69999999999999</v>
      </c>
      <c r="C4" s="146"/>
      <c r="E4" s="27" t="s">
        <v>64</v>
      </c>
      <c r="F4" s="24" t="s">
        <v>20</v>
      </c>
      <c r="G4" s="12">
        <v>54</v>
      </c>
      <c r="H4" s="88">
        <f>IF(B$20=0,0,G4/B$20)</f>
        <v>0.43548387096774194</v>
      </c>
      <c r="I4" s="58">
        <v>7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1812.7659574468084</v>
      </c>
      <c r="Q4" s="77">
        <v>47</v>
      </c>
      <c r="R4" s="64">
        <v>85200</v>
      </c>
    </row>
    <row r="5" spans="1:18" x14ac:dyDescent="0.4">
      <c r="A5" s="19" t="s">
        <v>7</v>
      </c>
      <c r="B5" s="133">
        <f>IF(B$2=0,0,B$4/B$2)</f>
        <v>2.9312499999999999</v>
      </c>
      <c r="C5" s="134"/>
      <c r="E5" s="27" t="s">
        <v>159</v>
      </c>
      <c r="F5" s="24" t="s">
        <v>160</v>
      </c>
      <c r="G5" s="12">
        <v>41</v>
      </c>
      <c r="H5" s="88">
        <f>IF(B$20=0,0,G5/B$20)</f>
        <v>0.33064516129032256</v>
      </c>
      <c r="I5" s="58">
        <v>11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-690.90909090909088</v>
      </c>
      <c r="Q5" s="77">
        <v>44</v>
      </c>
      <c r="R5" s="64">
        <v>-30400</v>
      </c>
    </row>
    <row r="6" spans="1:18" x14ac:dyDescent="0.4">
      <c r="A6" s="19" t="s">
        <v>196</v>
      </c>
      <c r="B6" s="137">
        <v>1532.9527241904184</v>
      </c>
      <c r="C6" s="138"/>
      <c r="E6" s="27" t="s">
        <v>67</v>
      </c>
      <c r="F6" s="24" t="s">
        <v>23</v>
      </c>
      <c r="G6" s="12">
        <v>31</v>
      </c>
      <c r="H6" s="88">
        <f>IF(B$20=0,0,G6/B$20)</f>
        <v>0.25</v>
      </c>
      <c r="I6" s="58">
        <v>5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70</v>
      </c>
      <c r="Q6" s="77">
        <v>40</v>
      </c>
      <c r="R6" s="64">
        <v>2800</v>
      </c>
    </row>
    <row r="7" spans="1:18" x14ac:dyDescent="0.4">
      <c r="A7" s="19" t="s">
        <v>1</v>
      </c>
      <c r="B7" s="147">
        <f>IF(B$2=0,0,(B$8*1+B$9*2+B$10*3)/B$2)</f>
        <v>1.9166666666666667</v>
      </c>
      <c r="C7" s="148"/>
      <c r="E7" s="27" t="s">
        <v>68</v>
      </c>
      <c r="F7" s="24" t="s">
        <v>12</v>
      </c>
      <c r="G7" s="12">
        <v>31</v>
      </c>
      <c r="H7" s="88">
        <f>IF(B$20=0,0,G7/B$20)</f>
        <v>0.25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1755.2631578947369</v>
      </c>
      <c r="Q7" s="78">
        <v>38</v>
      </c>
      <c r="R7" s="65">
        <v>66700</v>
      </c>
    </row>
    <row r="8" spans="1:18" x14ac:dyDescent="0.4">
      <c r="A8" s="19" t="s">
        <v>2</v>
      </c>
      <c r="B8" s="12">
        <v>18</v>
      </c>
      <c r="C8" s="6">
        <f t="shared" ref="C8:C15" si="1">IF(B$2=0,0,B8/B$2)</f>
        <v>0.375</v>
      </c>
      <c r="E8" s="27" t="s">
        <v>89</v>
      </c>
      <c r="F8" s="24" t="s">
        <v>44</v>
      </c>
      <c r="G8" s="12">
        <v>23</v>
      </c>
      <c r="H8" s="88">
        <f>IF(B$20=0,0,G8/B$20)</f>
        <v>0.18548387096774194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16</v>
      </c>
      <c r="C9" s="6">
        <f t="shared" si="1"/>
        <v>0.33333333333333331</v>
      </c>
      <c r="E9" s="27" t="s">
        <v>69</v>
      </c>
      <c r="F9" s="24" t="s">
        <v>24</v>
      </c>
      <c r="G9" s="12">
        <v>18</v>
      </c>
      <c r="H9" s="88">
        <f>IF(B$20=0,0,G9/B$20)</f>
        <v>0.14516129032258066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0.29166666666666669</v>
      </c>
      <c r="E10" s="27" t="s">
        <v>65</v>
      </c>
      <c r="F10" s="24" t="s">
        <v>21</v>
      </c>
      <c r="G10" s="12">
        <v>9</v>
      </c>
      <c r="H10" s="88">
        <f>IF(B$20=0,0,G10/B$20)</f>
        <v>7.2580645161290328E-2</v>
      </c>
      <c r="I10" s="58">
        <v>10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-0.74285714285714255</v>
      </c>
      <c r="Q10" s="76">
        <v>14</v>
      </c>
      <c r="R10" s="67">
        <v>-10.399999999999995</v>
      </c>
    </row>
    <row r="11" spans="1:18" x14ac:dyDescent="0.4">
      <c r="A11" s="20" t="s">
        <v>184</v>
      </c>
      <c r="B11" s="109">
        <f>IF(B8=0,0,C11/B8)</f>
        <v>31.938888888888886</v>
      </c>
      <c r="C11" s="110">
        <v>574.9</v>
      </c>
      <c r="E11" s="27" t="s">
        <v>71</v>
      </c>
      <c r="F11" s="24" t="s">
        <v>26</v>
      </c>
      <c r="G11" s="12">
        <v>9</v>
      </c>
      <c r="H11" s="88">
        <f>IF(B$20=0,0,G11/B$20)</f>
        <v>7.2580645161290328E-2</v>
      </c>
      <c r="I11" s="58">
        <v>6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-0.7823529411764697</v>
      </c>
      <c r="Q11" s="77">
        <v>17</v>
      </c>
      <c r="R11" s="68">
        <v>-13.299999999999985</v>
      </c>
    </row>
    <row r="12" spans="1:18" x14ac:dyDescent="0.4">
      <c r="A12" s="20" t="s">
        <v>185</v>
      </c>
      <c r="B12" s="109">
        <f>IF(B9=0,0,C12/B9)</f>
        <v>-2.2500000000000004</v>
      </c>
      <c r="C12" s="110">
        <v>-36.000000000000007</v>
      </c>
      <c r="E12" s="27" t="s">
        <v>86</v>
      </c>
      <c r="F12" s="24" t="s">
        <v>41</v>
      </c>
      <c r="G12" s="12">
        <v>9</v>
      </c>
      <c r="H12" s="88">
        <f>IF(B$20=0,0,G12/B$20)</f>
        <v>7.2580645161290328E-2</v>
      </c>
      <c r="I12" s="58">
        <v>3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9.6705882352941188</v>
      </c>
      <c r="Q12" s="78">
        <v>17</v>
      </c>
      <c r="R12" s="69">
        <v>164.4</v>
      </c>
    </row>
    <row r="13" spans="1:18" x14ac:dyDescent="0.4">
      <c r="A13" s="20" t="s">
        <v>186</v>
      </c>
      <c r="B13" s="109">
        <f>IF(B10=0,0,C13/B10)</f>
        <v>-28.442857142857147</v>
      </c>
      <c r="C13" s="110">
        <v>-398.20000000000005</v>
      </c>
      <c r="E13" s="27" t="s">
        <v>83</v>
      </c>
      <c r="F13" s="24" t="s">
        <v>38</v>
      </c>
      <c r="G13" s="12">
        <v>6</v>
      </c>
      <c r="H13" s="88">
        <f>IF(B$20=0,0,G13/B$20)</f>
        <v>4.8387096774193547E-2</v>
      </c>
      <c r="I13" s="58">
        <v>6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0.41534391534391329</v>
      </c>
      <c r="C14" s="134"/>
      <c r="E14" s="27" t="s">
        <v>70</v>
      </c>
      <c r="F14" s="24" t="s">
        <v>25</v>
      </c>
      <c r="G14" s="12">
        <v>5</v>
      </c>
      <c r="H14" s="88">
        <f>IF(B$20=0,0,G14/B$20)</f>
        <v>4.0322580645161289E-2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4.1666666666666664E-2</v>
      </c>
      <c r="E15" s="27" t="s">
        <v>81</v>
      </c>
      <c r="F15" s="24" t="s">
        <v>36</v>
      </c>
      <c r="G15" s="12">
        <v>5</v>
      </c>
      <c r="H15" s="88">
        <f>IF(B$20=0,0,G15/B$20)</f>
        <v>4.0322580645161289E-2</v>
      </c>
      <c r="I15" s="58">
        <v>6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>IF(Q15=0,0,R15/Q15)</f>
        <v>25.683333333333337</v>
      </c>
      <c r="Q15" s="76">
        <v>6</v>
      </c>
      <c r="R15" s="67">
        <v>154.10000000000002</v>
      </c>
    </row>
    <row r="16" spans="1:18" x14ac:dyDescent="0.4">
      <c r="A16" s="22" t="s">
        <v>121</v>
      </c>
      <c r="B16" s="15">
        <v>89</v>
      </c>
      <c r="C16" s="10">
        <f>IF(B$3=0,0,B16/B$3)</f>
        <v>0.21654501216545013</v>
      </c>
      <c r="E16" s="27" t="s">
        <v>91</v>
      </c>
      <c r="F16" s="24" t="s">
        <v>46</v>
      </c>
      <c r="G16" s="12">
        <v>5</v>
      </c>
      <c r="H16" s="88">
        <f>IF(B$20=0,0,G16/B$20)</f>
        <v>4.0322580645161289E-2</v>
      </c>
      <c r="I16" s="58">
        <v>1</v>
      </c>
      <c r="K16" s="74">
        <v>14</v>
      </c>
      <c r="L16" s="119">
        <v>99.300000000000011</v>
      </c>
      <c r="M16" s="117">
        <v>1512.415829547685</v>
      </c>
      <c r="O16" s="74" t="s">
        <v>221</v>
      </c>
      <c r="P16" s="83">
        <f>IF(Q16=0,0,R16/Q16)</f>
        <v>16.2</v>
      </c>
      <c r="Q16" s="77">
        <v>1</v>
      </c>
      <c r="R16" s="68">
        <v>16.2</v>
      </c>
    </row>
    <row r="17" spans="1:18" x14ac:dyDescent="0.4">
      <c r="A17" s="19" t="s">
        <v>118</v>
      </c>
      <c r="B17" s="12">
        <v>92</v>
      </c>
      <c r="C17" s="6">
        <f>IF(B$3=0,0,B17/B$3)</f>
        <v>0.22384428223844283</v>
      </c>
      <c r="E17" s="27" t="s">
        <v>78</v>
      </c>
      <c r="F17" s="24" t="s">
        <v>33</v>
      </c>
      <c r="G17" s="12">
        <v>4</v>
      </c>
      <c r="H17" s="88">
        <f>IF(B$20=0,0,G17/B$20)</f>
        <v>3.2258064516129031E-2</v>
      </c>
      <c r="I17" s="58">
        <v>4</v>
      </c>
      <c r="K17" s="74">
        <v>15</v>
      </c>
      <c r="L17" s="119">
        <v>75.200000000000017</v>
      </c>
      <c r="M17" s="117">
        <v>1508.6093345703989</v>
      </c>
      <c r="O17" s="74" t="s">
        <v>163</v>
      </c>
      <c r="P17" s="83">
        <f>IF(Q17=0,0,R17/Q17)</f>
        <v>11.209523809523812</v>
      </c>
      <c r="Q17" s="77">
        <v>21</v>
      </c>
      <c r="R17" s="68">
        <v>235.40000000000006</v>
      </c>
    </row>
    <row r="18" spans="1:18" x14ac:dyDescent="0.4">
      <c r="A18" s="18" t="s">
        <v>123</v>
      </c>
      <c r="B18" s="11">
        <f>B24</f>
        <v>53</v>
      </c>
      <c r="C18" s="5">
        <f>IF(B$16=0,0,B18/B$16)</f>
        <v>0.5955056179775281</v>
      </c>
      <c r="E18" s="27" t="s">
        <v>73</v>
      </c>
      <c r="F18" s="24" t="s">
        <v>28</v>
      </c>
      <c r="G18" s="12">
        <v>2</v>
      </c>
      <c r="H18" s="88">
        <f>IF(B$20=0,0,G18/B$20)</f>
        <v>1.6129032258064516E-2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216</v>
      </c>
      <c r="P18" s="83">
        <f>IF(Q18=0,0,R18/Q18)</f>
        <v>8.4214285714285744</v>
      </c>
      <c r="Q18" s="77">
        <v>14</v>
      </c>
      <c r="R18" s="68">
        <v>117.90000000000003</v>
      </c>
    </row>
    <row r="19" spans="1:18" x14ac:dyDescent="0.4">
      <c r="A19" s="18" t="s">
        <v>124</v>
      </c>
      <c r="B19" s="11">
        <f>B25</f>
        <v>42</v>
      </c>
      <c r="C19" s="5">
        <f>IF(B$17=0,0,B19/B$17)</f>
        <v>0.45652173913043476</v>
      </c>
      <c r="E19" s="27" t="s">
        <v>75</v>
      </c>
      <c r="F19" s="24" t="s">
        <v>30</v>
      </c>
      <c r="G19" s="12">
        <v>1</v>
      </c>
      <c r="H19" s="88">
        <f>IF(B$20=0,0,G19/B$20)</f>
        <v>8.0645161290322578E-3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>IF(Q19=0,0,R19/Q19)</f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124</v>
      </c>
      <c r="C20" s="5">
        <f>IF(B$3=0,0,B20/B$3)</f>
        <v>0.30170316301703165</v>
      </c>
      <c r="E20" s="27" t="s">
        <v>79</v>
      </c>
      <c r="F20" s="24" t="s">
        <v>34</v>
      </c>
      <c r="G20" s="12">
        <v>1</v>
      </c>
      <c r="H20" s="88">
        <f>IF(B$20=0,0,G20/B$20)</f>
        <v>8.0645161290322578E-3</v>
      </c>
      <c r="I20" s="58">
        <v>6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>IF(Q20=0,0,R20/Q20)</f>
        <v>0.12142857142857189</v>
      </c>
      <c r="Q20" s="77">
        <v>28</v>
      </c>
      <c r="R20" s="68">
        <v>3.4000000000000128</v>
      </c>
    </row>
    <row r="21" spans="1:18" x14ac:dyDescent="0.4">
      <c r="A21" s="19" t="s">
        <v>13</v>
      </c>
      <c r="B21" s="12">
        <v>56</v>
      </c>
      <c r="C21" s="6">
        <f>IF(B$3=0,0,B21/B$3)</f>
        <v>0.13625304136253041</v>
      </c>
      <c r="E21" s="27" t="s">
        <v>93</v>
      </c>
      <c r="F21" s="24" t="s">
        <v>48</v>
      </c>
      <c r="G21" s="12">
        <v>1</v>
      </c>
      <c r="H21" s="88">
        <f>IF(B$20=0,0,G21/B$20)</f>
        <v>8.0645161290322578E-3</v>
      </c>
      <c r="I21" s="58">
        <v>2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>IF(Q21=0,0,R21/Q21)</f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51</v>
      </c>
      <c r="C22" s="6">
        <f>IF(B$20=0,0,B22/B$20)</f>
        <v>0.41129032258064518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>IF(Q22=0,0,R22/Q22)</f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73</v>
      </c>
      <c r="C23" s="6">
        <f>IF(B$20=0,0,B23/B$20)</f>
        <v>0.58870967741935487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>IF(Q23=0,0,R23/Q23)</f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53</v>
      </c>
      <c r="C24" s="6">
        <f>IF(B$20=0,0,B24/B$20)</f>
        <v>0.42741935483870969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42</v>
      </c>
      <c r="C25" s="6">
        <f>IF(B$20=0,0,B25/B$20)</f>
        <v>0.33870967741935482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29</v>
      </c>
      <c r="C26" s="6">
        <f>IF(B$20=0,0,B26/B$20)</f>
        <v>0.23387096774193547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7832.2580645161288</v>
      </c>
      <c r="C27" s="8">
        <v>971200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8253.6585365853662</v>
      </c>
      <c r="C28" s="96">
        <v>676800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7009.5238095238092</v>
      </c>
      <c r="C29" s="96">
        <v>294400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-6833.9285714285716</v>
      </c>
      <c r="C30" s="96">
        <v>-382700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9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5">
        <v>6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7">
        <v>86700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7.2992700729927005E-3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2">IF(B$20=0,0,B37/B$20)</f>
        <v>6.4516129032258063E-2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26</v>
      </c>
      <c r="C38" s="6">
        <f t="shared" si="2"/>
        <v>0.20967741935483872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26</v>
      </c>
      <c r="C39" s="6">
        <f t="shared" si="2"/>
        <v>0.20967741935483872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2"/>
        <v>0.15322580645161291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16</v>
      </c>
      <c r="C41" s="6">
        <f t="shared" si="2"/>
        <v>0.12903225806451613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15</v>
      </c>
      <c r="C42" s="6">
        <f t="shared" si="2"/>
        <v>0.12096774193548387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2"/>
        <v>4.0322580645161289E-2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2"/>
        <v>3.2258064516129031E-2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2"/>
        <v>8.0645161290322578E-3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2"/>
        <v>1.6129032258064516E-2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1</v>
      </c>
      <c r="C47" s="6">
        <f t="shared" si="2"/>
        <v>8.0645161290322578E-3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157.69999999999999</v>
      </c>
      <c r="M47" s="117">
        <v>1534.3633776946201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167.6</v>
      </c>
      <c r="M48" s="117">
        <v>1536.8091974284523</v>
      </c>
    </row>
    <row r="49" spans="1:13" x14ac:dyDescent="0.4">
      <c r="A49" s="21" t="s">
        <v>179</v>
      </c>
      <c r="B49" s="97">
        <v>1</v>
      </c>
      <c r="C49" s="9">
        <f t="shared" si="2"/>
        <v>8.0645161290322578E-3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164.7</v>
      </c>
      <c r="M49" s="117">
        <v>1536.9363422438817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140.69999999999999</v>
      </c>
      <c r="M50" s="117">
        <v>1532.9527241904184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192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49</v>
      </c>
      <c r="C2" s="142"/>
      <c r="E2" s="26" t="s">
        <v>66</v>
      </c>
      <c r="F2" s="23" t="s">
        <v>22</v>
      </c>
      <c r="G2" s="11">
        <v>105</v>
      </c>
      <c r="H2" s="87">
        <f>IF(B$20=0,0,G2/B$20)</f>
        <v>0.74468085106382975</v>
      </c>
      <c r="I2" s="57">
        <v>9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-334.69387755102042</v>
      </c>
      <c r="Q2" s="76">
        <v>49</v>
      </c>
      <c r="R2" s="63">
        <v>-16400</v>
      </c>
    </row>
    <row r="3" spans="1:18" x14ac:dyDescent="0.4">
      <c r="A3" s="19" t="s">
        <v>8</v>
      </c>
      <c r="B3" s="143">
        <v>422</v>
      </c>
      <c r="C3" s="144"/>
      <c r="E3" s="27" t="s">
        <v>72</v>
      </c>
      <c r="F3" s="24" t="s">
        <v>27</v>
      </c>
      <c r="G3" s="12">
        <v>89</v>
      </c>
      <c r="H3" s="88">
        <f>IF(B$20=0,0,G3/B$20)</f>
        <v>0.63120567375886527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676.08695652173913</v>
      </c>
      <c r="Q3" s="77">
        <v>46</v>
      </c>
      <c r="R3" s="64">
        <v>31100</v>
      </c>
    </row>
    <row r="4" spans="1:18" x14ac:dyDescent="0.4">
      <c r="A4" s="19" t="s">
        <v>6</v>
      </c>
      <c r="B4" s="145">
        <v>248.19999999999993</v>
      </c>
      <c r="C4" s="146"/>
      <c r="E4" s="27" t="s">
        <v>159</v>
      </c>
      <c r="F4" s="24" t="s">
        <v>160</v>
      </c>
      <c r="G4" s="12">
        <v>67</v>
      </c>
      <c r="H4" s="88">
        <f>IF(B$20=0,0,G4/B$20)</f>
        <v>0.47517730496453903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985.10638297872345</v>
      </c>
      <c r="Q4" s="77">
        <v>47</v>
      </c>
      <c r="R4" s="64">
        <v>46300</v>
      </c>
    </row>
    <row r="5" spans="1:18" x14ac:dyDescent="0.4">
      <c r="A5" s="19" t="s">
        <v>7</v>
      </c>
      <c r="B5" s="133">
        <f>IF(B$2=0,0,B$4/B$2)</f>
        <v>5.0653061224489786</v>
      </c>
      <c r="C5" s="134"/>
      <c r="E5" s="27" t="s">
        <v>64</v>
      </c>
      <c r="F5" s="24" t="s">
        <v>20</v>
      </c>
      <c r="G5" s="12">
        <v>45</v>
      </c>
      <c r="H5" s="88">
        <f>IF(B$20=0,0,G5/B$20)</f>
        <v>0.31914893617021278</v>
      </c>
      <c r="I5" s="58">
        <v>11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2222.7272727272725</v>
      </c>
      <c r="Q5" s="77">
        <v>44</v>
      </c>
      <c r="R5" s="64">
        <v>97800</v>
      </c>
    </row>
    <row r="6" spans="1:18" x14ac:dyDescent="0.4">
      <c r="A6" s="19" t="s">
        <v>196</v>
      </c>
      <c r="B6" s="137">
        <v>1578.1244171430706</v>
      </c>
      <c r="C6" s="138"/>
      <c r="E6" s="27" t="s">
        <v>68</v>
      </c>
      <c r="F6" s="24" t="s">
        <v>12</v>
      </c>
      <c r="G6" s="12">
        <v>34</v>
      </c>
      <c r="H6" s="88">
        <f>IF(B$20=0,0,G6/B$20)</f>
        <v>0.24113475177304963</v>
      </c>
      <c r="I6" s="58">
        <v>13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163.41463414634146</v>
      </c>
      <c r="Q6" s="77">
        <v>41</v>
      </c>
      <c r="R6" s="64">
        <v>6700</v>
      </c>
    </row>
    <row r="7" spans="1:18" x14ac:dyDescent="0.4">
      <c r="A7" s="19" t="s">
        <v>1</v>
      </c>
      <c r="B7" s="147">
        <f>IF(B$2=0,0,(B$8*1+B$9*2+B$10*3)/B$2)</f>
        <v>1.8367346938775511</v>
      </c>
      <c r="C7" s="148"/>
      <c r="E7" s="27" t="s">
        <v>67</v>
      </c>
      <c r="F7" s="24" t="s">
        <v>23</v>
      </c>
      <c r="G7" s="12">
        <v>18</v>
      </c>
      <c r="H7" s="88">
        <f>IF(B$20=0,0,G7/B$20)</f>
        <v>0.1276595744680851</v>
      </c>
      <c r="I7" s="58">
        <v>11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-57.575757575757578</v>
      </c>
      <c r="Q7" s="78">
        <v>33</v>
      </c>
      <c r="R7" s="65">
        <v>-1900</v>
      </c>
    </row>
    <row r="8" spans="1:18" x14ac:dyDescent="0.4">
      <c r="A8" s="19" t="s">
        <v>2</v>
      </c>
      <c r="B8" s="12">
        <v>20</v>
      </c>
      <c r="C8" s="6">
        <f t="shared" ref="C8:C15" si="1">IF(B$2=0,0,B8/B$2)</f>
        <v>0.40816326530612246</v>
      </c>
      <c r="E8" s="27" t="s">
        <v>70</v>
      </c>
      <c r="F8" s="24" t="s">
        <v>25</v>
      </c>
      <c r="G8" s="12">
        <v>18</v>
      </c>
      <c r="H8" s="88">
        <f>IF(B$20=0,0,G8/B$20)</f>
        <v>0.1276595744680851</v>
      </c>
      <c r="I8" s="58">
        <v>2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0.34693877551020408</v>
      </c>
      <c r="E9" s="27" t="s">
        <v>89</v>
      </c>
      <c r="F9" s="24" t="s">
        <v>44</v>
      </c>
      <c r="G9" s="12">
        <v>18</v>
      </c>
      <c r="H9" s="88">
        <f>IF(B$20=0,0,G9/B$20)</f>
        <v>0.1276595744680851</v>
      </c>
      <c r="I9" s="58">
        <v>7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1"/>
        <v>0.24489795918367346</v>
      </c>
      <c r="E10" s="27" t="s">
        <v>71</v>
      </c>
      <c r="F10" s="24" t="s">
        <v>26</v>
      </c>
      <c r="G10" s="12">
        <v>15</v>
      </c>
      <c r="H10" s="88">
        <f>IF(B$20=0,0,G10/B$20)</f>
        <v>0.10638297872340426</v>
      </c>
      <c r="I10" s="58">
        <v>3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13.631578947368421</v>
      </c>
      <c r="Q10" s="76">
        <v>19</v>
      </c>
      <c r="R10" s="67">
        <v>259</v>
      </c>
    </row>
    <row r="11" spans="1:18" x14ac:dyDescent="0.4">
      <c r="A11" s="20" t="s">
        <v>184</v>
      </c>
      <c r="B11" s="109">
        <f>IF(B8=0,0,C11/B8)</f>
        <v>36.200000000000003</v>
      </c>
      <c r="C11" s="110">
        <v>724</v>
      </c>
      <c r="E11" s="27" t="s">
        <v>69</v>
      </c>
      <c r="F11" s="24" t="s">
        <v>24</v>
      </c>
      <c r="G11" s="12">
        <v>13</v>
      </c>
      <c r="H11" s="88">
        <f>IF(B$20=0,0,G11/B$20)</f>
        <v>9.2198581560283682E-2</v>
      </c>
      <c r="I11" s="58">
        <v>8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-0.81874999999999976</v>
      </c>
      <c r="Q11" s="77">
        <v>16</v>
      </c>
      <c r="R11" s="68">
        <v>-13.099999999999996</v>
      </c>
    </row>
    <row r="12" spans="1:18" x14ac:dyDescent="0.4">
      <c r="A12" s="20" t="s">
        <v>185</v>
      </c>
      <c r="B12" s="109">
        <f>IF(B9=0,0,C12/B9)</f>
        <v>-3.8117647058823527</v>
      </c>
      <c r="C12" s="110">
        <v>-64.8</v>
      </c>
      <c r="E12" s="27" t="s">
        <v>65</v>
      </c>
      <c r="F12" s="24" t="s">
        <v>21</v>
      </c>
      <c r="G12" s="12">
        <v>5</v>
      </c>
      <c r="H12" s="88">
        <f>IF(B$20=0,0,G12/B$20)</f>
        <v>3.5460992907801421E-2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0.16428571428571384</v>
      </c>
      <c r="Q12" s="78">
        <v>14</v>
      </c>
      <c r="R12" s="69">
        <v>2.2999999999999936</v>
      </c>
    </row>
    <row r="13" spans="1:18" x14ac:dyDescent="0.4">
      <c r="A13" s="20" t="s">
        <v>186</v>
      </c>
      <c r="B13" s="109">
        <f>IF(B10=0,0,C13/B10)</f>
        <v>-34.25</v>
      </c>
      <c r="C13" s="110">
        <v>-411</v>
      </c>
      <c r="E13" s="27" t="s">
        <v>86</v>
      </c>
      <c r="F13" s="24" t="s">
        <v>41</v>
      </c>
      <c r="G13" s="12">
        <v>5</v>
      </c>
      <c r="H13" s="88">
        <f>IF(B$20=0,0,G13/B$20)</f>
        <v>3.5460992907801421E-2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-0.62058823529411689</v>
      </c>
      <c r="C14" s="134"/>
      <c r="E14" s="27" t="s">
        <v>78</v>
      </c>
      <c r="F14" s="24" t="s">
        <v>33</v>
      </c>
      <c r="G14" s="12">
        <v>4</v>
      </c>
      <c r="H14" s="88">
        <f>IF(B$20=0,0,G14/B$20)</f>
        <v>2.8368794326241134E-2</v>
      </c>
      <c r="I14" s="58">
        <v>6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8.1632653061224483E-2</v>
      </c>
      <c r="E15" s="27" t="s">
        <v>79</v>
      </c>
      <c r="F15" s="24" t="s">
        <v>34</v>
      </c>
      <c r="G15" s="12">
        <v>3</v>
      </c>
      <c r="H15" s="88">
        <f>IF(B$20=0,0,G15/B$20)</f>
        <v>2.1276595744680851E-2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3" si="2"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85</v>
      </c>
      <c r="C16" s="10">
        <f>IF(B$3=0,0,B16/B$3)</f>
        <v>0.2014218009478673</v>
      </c>
      <c r="E16" s="27" t="s">
        <v>81</v>
      </c>
      <c r="F16" s="24" t="s">
        <v>36</v>
      </c>
      <c r="G16" s="12">
        <v>3</v>
      </c>
      <c r="H16" s="88">
        <f>IF(B$20=0,0,G16/B$20)</f>
        <v>2.1276595744680851E-2</v>
      </c>
      <c r="I16" s="58">
        <v>11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116</v>
      </c>
      <c r="C17" s="6">
        <f>IF(B$3=0,0,B17/B$3)</f>
        <v>0.27488151658767773</v>
      </c>
      <c r="E17" s="27" t="s">
        <v>83</v>
      </c>
      <c r="F17" s="24" t="s">
        <v>38</v>
      </c>
      <c r="G17" s="12">
        <v>3</v>
      </c>
      <c r="H17" s="88">
        <f>IF(B$20=0,0,G17/B$20)</f>
        <v>2.1276595744680851E-2</v>
      </c>
      <c r="I17" s="58">
        <v>10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 t="shared" si="2"/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45</v>
      </c>
      <c r="C18" s="5">
        <f>IF(B$16=0,0,B18/B$16)</f>
        <v>0.52941176470588236</v>
      </c>
      <c r="E18" s="27" t="s">
        <v>73</v>
      </c>
      <c r="F18" s="24" t="s">
        <v>28</v>
      </c>
      <c r="G18" s="12">
        <v>1</v>
      </c>
      <c r="H18" s="88">
        <f>IF(B$20=0,0,G18/B$20)</f>
        <v>7.0921985815602835E-3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 t="shared" si="2"/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48</v>
      </c>
      <c r="C19" s="5">
        <f>IF(B$17=0,0,B19/B$17)</f>
        <v>0.41379310344827586</v>
      </c>
      <c r="E19" s="27" t="s">
        <v>88</v>
      </c>
      <c r="F19" s="24" t="s">
        <v>43</v>
      </c>
      <c r="G19" s="12">
        <v>1</v>
      </c>
      <c r="H19" s="88">
        <f>IF(B$20=0,0,G19/B$20)</f>
        <v>7.0921985815602835E-3</v>
      </c>
      <c r="I19" s="58">
        <v>2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 t="shared" si="2"/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141</v>
      </c>
      <c r="C20" s="5">
        <f>IF(B$3=0,0,B20/B$3)</f>
        <v>0.33412322274881517</v>
      </c>
      <c r="E20" s="27" t="s">
        <v>92</v>
      </c>
      <c r="F20" s="24" t="s">
        <v>47</v>
      </c>
      <c r="G20" s="12">
        <v>1</v>
      </c>
      <c r="H20" s="88">
        <f>IF(B$20=0,0,G20/B$20)</f>
        <v>7.0921985815602835E-3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 t="shared" si="2"/>
        <v>11.021428571428572</v>
      </c>
      <c r="Q20" s="77">
        <v>14</v>
      </c>
      <c r="R20" s="68">
        <v>154.30000000000001</v>
      </c>
    </row>
    <row r="21" spans="1:18" x14ac:dyDescent="0.4">
      <c r="A21" s="19" t="s">
        <v>13</v>
      </c>
      <c r="B21" s="12">
        <v>49</v>
      </c>
      <c r="C21" s="6">
        <f>IF(B$3=0,0,B21/B$3)</f>
        <v>0.11611374407582939</v>
      </c>
      <c r="E21" s="27" t="s">
        <v>102</v>
      </c>
      <c r="F21" s="24" t="s">
        <v>57</v>
      </c>
      <c r="G21" s="12">
        <v>1</v>
      </c>
      <c r="H21" s="88">
        <f>IF(B$20=0,0,G21/B$20)</f>
        <v>7.0921985815602835E-3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 t="shared" si="2"/>
        <v>3.7341463414634126</v>
      </c>
      <c r="Q21" s="77">
        <v>41</v>
      </c>
      <c r="R21" s="68">
        <v>153.09999999999991</v>
      </c>
    </row>
    <row r="22" spans="1:18" x14ac:dyDescent="0.4">
      <c r="A22" s="19" t="s">
        <v>12</v>
      </c>
      <c r="B22" s="12">
        <v>56</v>
      </c>
      <c r="C22" s="6">
        <f>IF(B$20=0,0,B22/B$20)</f>
        <v>0.3971631205673759</v>
      </c>
      <c r="E22" s="27" t="s">
        <v>155</v>
      </c>
      <c r="F22" s="24" t="s">
        <v>156</v>
      </c>
      <c r="G22" s="12">
        <v>1</v>
      </c>
      <c r="H22" s="88">
        <f>IF(B$20=0,0,G22/B$20)</f>
        <v>7.0921985815602835E-3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 t="shared" si="2"/>
        <v>-9.2090909090909108</v>
      </c>
      <c r="Q22" s="77">
        <v>11</v>
      </c>
      <c r="R22" s="68">
        <v>-101.30000000000001</v>
      </c>
    </row>
    <row r="23" spans="1:18" x14ac:dyDescent="0.4">
      <c r="A23" s="19" t="s">
        <v>11</v>
      </c>
      <c r="B23" s="12">
        <v>85</v>
      </c>
      <c r="C23" s="6">
        <f>IF(B$20=0,0,B23/B$20)</f>
        <v>0.6028368794326241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 t="shared" si="2"/>
        <v>-25.683333333333334</v>
      </c>
      <c r="Q23" s="77">
        <v>6</v>
      </c>
      <c r="R23" s="68">
        <v>-154.1</v>
      </c>
    </row>
    <row r="24" spans="1:18" x14ac:dyDescent="0.4">
      <c r="A24" s="19" t="s">
        <v>183</v>
      </c>
      <c r="B24" s="12">
        <v>45</v>
      </c>
      <c r="C24" s="6">
        <f>IF(B$20=0,0,B24/B$20)</f>
        <v>0.31914893617021278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48</v>
      </c>
      <c r="C25" s="6">
        <f>IF(B$20=0,0,B25/B$20)</f>
        <v>0.34042553191489361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48</v>
      </c>
      <c r="C26" s="6">
        <f>IF(B$20=0,0,B26/B$20)</f>
        <v>0.34042553191489361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7300</v>
      </c>
      <c r="C27" s="8">
        <v>1029300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8174.1935483870966</v>
      </c>
      <c r="C28" s="96">
        <v>760200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5606.25</v>
      </c>
      <c r="C29" s="96">
        <v>269100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-7693.8775510204077</v>
      </c>
      <c r="C30" s="96">
        <v>-377000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3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5">
        <v>7</v>
      </c>
      <c r="C33" s="136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7">
        <v>98800</v>
      </c>
      <c r="C34" s="138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13</v>
      </c>
      <c r="C37" s="98">
        <f t="shared" ref="C37:C49" si="3">IF(B$20=0,0,B37/B$20)</f>
        <v>9.2198581560283682E-2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36</v>
      </c>
      <c r="C38" s="6">
        <f t="shared" si="3"/>
        <v>0.25531914893617019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32</v>
      </c>
      <c r="C39" s="6">
        <f t="shared" si="3"/>
        <v>0.22695035460992907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20</v>
      </c>
      <c r="C40" s="6">
        <f t="shared" si="3"/>
        <v>0.14184397163120568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21</v>
      </c>
      <c r="C41" s="6">
        <f t="shared" si="3"/>
        <v>0.14893617021276595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3"/>
        <v>2.8368794326241134E-2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3"/>
        <v>5.6737588652482268E-2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3"/>
        <v>1.4184397163120567E-2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2</v>
      </c>
      <c r="C45" s="6">
        <f t="shared" si="3"/>
        <v>1.4184397163120567E-2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3"/>
        <v>7.0921985815602835E-3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3"/>
        <v>1.4184397163120567E-2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248.19999999999993</v>
      </c>
      <c r="M51" s="117">
        <v>1578.1244171430706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19</v>
      </c>
      <c r="C2" s="142"/>
      <c r="E2" s="26" t="s">
        <v>66</v>
      </c>
      <c r="F2" s="23" t="s">
        <v>22</v>
      </c>
      <c r="G2" s="11">
        <v>21</v>
      </c>
      <c r="H2" s="87">
        <f>IF(B$20=0,0,G2/B$20)</f>
        <v>0.61764705882352944</v>
      </c>
      <c r="I2" s="57">
        <v>13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43">
        <v>144</v>
      </c>
      <c r="C3" s="144"/>
      <c r="E3" s="27" t="s">
        <v>72</v>
      </c>
      <c r="F3" s="24" t="s">
        <v>27</v>
      </c>
      <c r="G3" s="12">
        <v>17</v>
      </c>
      <c r="H3" s="88">
        <f>IF(B$20=0,0,G3/B$20)</f>
        <v>0.5</v>
      </c>
      <c r="I3" s="58">
        <v>11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5">
        <v>-108.30000000000001</v>
      </c>
      <c r="C4" s="146"/>
      <c r="E4" s="27" t="s">
        <v>64</v>
      </c>
      <c r="F4" s="24" t="s">
        <v>20</v>
      </c>
      <c r="G4" s="12">
        <v>15</v>
      </c>
      <c r="H4" s="88">
        <f>IF(B$20=0,0,G4/B$20)</f>
        <v>0.44117647058823528</v>
      </c>
      <c r="I4" s="58">
        <v>6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33">
        <f>IF(B$2=0,0,B$4/B$2)</f>
        <v>-5.7</v>
      </c>
      <c r="C5" s="134"/>
      <c r="E5" s="27" t="s">
        <v>159</v>
      </c>
      <c r="F5" s="24" t="s">
        <v>160</v>
      </c>
      <c r="G5" s="12">
        <v>14</v>
      </c>
      <c r="H5" s="88">
        <f>IF(B$20=0,0,G5/B$20)</f>
        <v>0.41176470588235292</v>
      </c>
      <c r="I5" s="58">
        <v>6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7">
        <v>1488.9447185272431</v>
      </c>
      <c r="C6" s="138"/>
      <c r="E6" s="27" t="s">
        <v>68</v>
      </c>
      <c r="F6" s="24" t="s">
        <v>12</v>
      </c>
      <c r="G6" s="12">
        <v>11</v>
      </c>
      <c r="H6" s="88">
        <f>IF(B$20=0,0,G6/B$20)</f>
        <v>0.3235294117647059</v>
      </c>
      <c r="I6" s="58">
        <v>6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7">
        <f>IF(B$2=0,0,(B$8*1+B$9*2+B$10*3)/B$2)</f>
        <v>2.1578947368421053</v>
      </c>
      <c r="C7" s="148"/>
      <c r="E7" s="27" t="s">
        <v>89</v>
      </c>
      <c r="F7" s="24" t="s">
        <v>44</v>
      </c>
      <c r="G7" s="12">
        <v>7</v>
      </c>
      <c r="H7" s="88">
        <f>IF(B$20=0,0,G7/B$20)</f>
        <v>0.20588235294117646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5</v>
      </c>
      <c r="C8" s="6">
        <f t="shared" ref="C8:C15" si="1">IF(B$2=0,0,B8/B$2)</f>
        <v>0.26315789473684209</v>
      </c>
      <c r="E8" s="27" t="s">
        <v>65</v>
      </c>
      <c r="F8" s="24" t="s">
        <v>21</v>
      </c>
      <c r="G8" s="12">
        <v>6</v>
      </c>
      <c r="H8" s="88">
        <f>IF(B$20=0,0,G8/B$20)</f>
        <v>0.17647058823529413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0.31578947368421051</v>
      </c>
      <c r="E9" s="27" t="s">
        <v>67</v>
      </c>
      <c r="F9" s="24" t="s">
        <v>23</v>
      </c>
      <c r="G9" s="12">
        <v>4</v>
      </c>
      <c r="H9" s="88">
        <f>IF(B$20=0,0,G9/B$20)</f>
        <v>0.11764705882352941</v>
      </c>
      <c r="I9" s="58">
        <v>12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0.42105263157894735</v>
      </c>
      <c r="E10" s="27" t="s">
        <v>70</v>
      </c>
      <c r="F10" s="24" t="s">
        <v>25</v>
      </c>
      <c r="G10" s="12">
        <v>4</v>
      </c>
      <c r="H10" s="88">
        <f>IF(B$20=0,0,G10/B$20)</f>
        <v>0.11764705882352941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-1.414285714285713</v>
      </c>
      <c r="Q10" s="76">
        <v>7</v>
      </c>
      <c r="R10" s="67">
        <v>-9.8999999999999915</v>
      </c>
    </row>
    <row r="11" spans="1:18" x14ac:dyDescent="0.4">
      <c r="A11" s="20" t="s">
        <v>184</v>
      </c>
      <c r="B11" s="109">
        <f>IF(B8=0,0,C11/B8)</f>
        <v>45.5</v>
      </c>
      <c r="C11" s="110">
        <v>227.5</v>
      </c>
      <c r="E11" s="27" t="s">
        <v>71</v>
      </c>
      <c r="F11" s="24" t="s">
        <v>26</v>
      </c>
      <c r="G11" s="12">
        <v>3</v>
      </c>
      <c r="H11" s="88">
        <f>IF(B$20=0,0,G11/B$20)</f>
        <v>8.8235294117647065E-2</v>
      </c>
      <c r="I11" s="58">
        <v>4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86</v>
      </c>
      <c r="F12" s="24" t="s">
        <v>41</v>
      </c>
      <c r="G12" s="12">
        <v>3</v>
      </c>
      <c r="H12" s="88">
        <f>IF(B$20=0,0,G12/B$20)</f>
        <v>8.8235294117647065E-2</v>
      </c>
      <c r="I12" s="58">
        <v>2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69</v>
      </c>
      <c r="F13" s="24" t="s">
        <v>24</v>
      </c>
      <c r="G13" s="12">
        <v>2</v>
      </c>
      <c r="H13" s="88">
        <f>IF(B$20=0,0,G13/B$20)</f>
        <v>5.8823529411764705E-2</v>
      </c>
      <c r="I13" s="58">
        <v>10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0.89583333333333337</v>
      </c>
      <c r="C14" s="134"/>
      <c r="E14" s="27" t="s">
        <v>77</v>
      </c>
      <c r="F14" s="24" t="s">
        <v>32</v>
      </c>
      <c r="G14" s="12">
        <v>2</v>
      </c>
      <c r="H14" s="88">
        <f>IF(B$20=0,0,G14/B$20)</f>
        <v>5.8823529411764705E-2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0.10526315789473684</v>
      </c>
      <c r="E15" s="27" t="s">
        <v>81</v>
      </c>
      <c r="F15" s="24" t="s">
        <v>36</v>
      </c>
      <c r="G15" s="12">
        <v>2</v>
      </c>
      <c r="H15" s="88">
        <f>IF(B$20=0,0,G15/B$20)</f>
        <v>5.8823529411764705E-2</v>
      </c>
      <c r="I15" s="58">
        <v>4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34</v>
      </c>
      <c r="C16" s="10">
        <f>IF(B$3=0,0,B16/B$3)</f>
        <v>0.2361111111111111</v>
      </c>
      <c r="E16" s="27" t="s">
        <v>85</v>
      </c>
      <c r="F16" s="24" t="s">
        <v>40</v>
      </c>
      <c r="G16" s="12">
        <v>1</v>
      </c>
      <c r="H16" s="88">
        <f>IF(B$20=0,0,G16/B$20)</f>
        <v>2.9411764705882353E-2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>IF(Q16=0,0,R16/Q16)</f>
        <v>0.10909090909090935</v>
      </c>
      <c r="Q16" s="77">
        <v>11</v>
      </c>
      <c r="R16" s="68">
        <v>1.2000000000000028</v>
      </c>
    </row>
    <row r="17" spans="1:18" x14ac:dyDescent="0.4">
      <c r="A17" s="19" t="s">
        <v>118</v>
      </c>
      <c r="B17" s="12">
        <v>25</v>
      </c>
      <c r="C17" s="6">
        <f>IF(B$3=0,0,B17/B$3)</f>
        <v>0.1736111111111111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>IF(Q17=0,0,R17/Q17)</f>
        <v>-8.4214285714285744</v>
      </c>
      <c r="Q17" s="77">
        <v>14</v>
      </c>
      <c r="R17" s="68">
        <v>-117.90000000000003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0.47058823529411764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>IF(Q18=0,0,R18/Q18)</f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8</v>
      </c>
      <c r="C19" s="5">
        <f>IF(B$17=0,0,B19/B$17)</f>
        <v>0.32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>IF(Q19=0,0,R19/Q19)</f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34</v>
      </c>
      <c r="C20" s="5">
        <f>IF(B$3=0,0,B20/B$3)</f>
        <v>0.2361111111111111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>IF(Q20=0,0,R20/Q20)</f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0.2013888888888889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11</v>
      </c>
      <c r="K21" s="74">
        <v>19</v>
      </c>
      <c r="L21" s="119">
        <v>-108.30000000000001</v>
      </c>
      <c r="M21" s="117">
        <v>1488.9447185272431</v>
      </c>
    </row>
    <row r="22" spans="1:18" x14ac:dyDescent="0.4">
      <c r="A22" s="19" t="s">
        <v>12</v>
      </c>
      <c r="B22" s="12">
        <v>16</v>
      </c>
      <c r="C22" s="6">
        <f>IF(B$20=0,0,B22/B$20)</f>
        <v>0.47058823529411764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8</v>
      </c>
    </row>
    <row r="23" spans="1:18" x14ac:dyDescent="0.4">
      <c r="A23" s="19" t="s">
        <v>11</v>
      </c>
      <c r="B23" s="12">
        <v>18</v>
      </c>
      <c r="C23" s="6">
        <f>IF(B$20=0,0,B23/B$20)</f>
        <v>0.52941176470588236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16</v>
      </c>
      <c r="C24" s="6">
        <f>IF(B$20=0,0,B24/B$20)</f>
        <v>0.47058823529411764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8</v>
      </c>
      <c r="C25" s="6">
        <f>IF(B$20=0,0,B25/B$20)</f>
        <v>0.23529411764705882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11</v>
      </c>
    </row>
    <row r="26" spans="1:18" x14ac:dyDescent="0.4">
      <c r="A26" s="19" t="s">
        <v>182</v>
      </c>
      <c r="B26" s="12">
        <v>10</v>
      </c>
      <c r="C26" s="6">
        <f>IF(B$20=0,0,B26/B$20)</f>
        <v>0.29411764705882354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7926.4705882352937</v>
      </c>
      <c r="C27" s="8">
        <v>269500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8815.3846153846152</v>
      </c>
      <c r="C28" s="96">
        <v>229200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5037.5</v>
      </c>
      <c r="C29" s="96">
        <v>40300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4</v>
      </c>
      <c r="C31" s="90">
        <v>4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8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97000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2">IF(B$20=0,0,B37/B$20)</f>
        <v>0.17647058823529413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2"/>
        <v>0.17647058823529413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2</v>
      </c>
      <c r="C39" s="6">
        <f t="shared" si="2"/>
        <v>5.8823529411764705E-2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7</v>
      </c>
      <c r="C40" s="6">
        <f t="shared" si="2"/>
        <v>0.20588235294117646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2"/>
        <v>0.17647058823529413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2"/>
        <v>8.8235294117647065E-2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2"/>
        <v>5.8823529411764705E-2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2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43">
        <v>54</v>
      </c>
      <c r="C3" s="144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11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5">
        <v>-78.199999999999989</v>
      </c>
      <c r="C4" s="146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2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33">
        <f>IF(B$2=0,0,B$4/B$2)</f>
        <v>-13.033333333333331</v>
      </c>
      <c r="C5" s="134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7">
        <v>1340.228259602879</v>
      </c>
      <c r="C6" s="138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12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7">
        <f>IF(B$2=0,0,(B$8*1+B$9*2+B$10*3)/B$2)</f>
        <v>2.3333333333333335</v>
      </c>
      <c r="C7" s="148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10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8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3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13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-4.0388888888888888</v>
      </c>
      <c r="C14" s="134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11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8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195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14</v>
      </c>
      <c r="C2" s="142"/>
      <c r="E2" s="26" t="s">
        <v>66</v>
      </c>
      <c r="F2" s="23" t="s">
        <v>22</v>
      </c>
      <c r="G2" s="11">
        <v>28</v>
      </c>
      <c r="H2" s="87">
        <f>IF(B$20=0,0,G2/B$20)</f>
        <v>0.90322580645161288</v>
      </c>
      <c r="I2" s="57">
        <v>3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-2878.5714285714284</v>
      </c>
      <c r="Q2" s="76">
        <v>14</v>
      </c>
      <c r="R2" s="63">
        <v>-40300</v>
      </c>
    </row>
    <row r="3" spans="1:18" x14ac:dyDescent="0.4">
      <c r="A3" s="19" t="s">
        <v>8</v>
      </c>
      <c r="B3" s="143">
        <v>121</v>
      </c>
      <c r="C3" s="144"/>
      <c r="E3" s="27" t="s">
        <v>159</v>
      </c>
      <c r="F3" s="24" t="s">
        <v>160</v>
      </c>
      <c r="G3" s="12">
        <v>22</v>
      </c>
      <c r="H3" s="88">
        <f>IF(B$20=0,0,G3/B$20)</f>
        <v>0.70967741935483875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4084.6153846153848</v>
      </c>
      <c r="Q3" s="77">
        <v>13</v>
      </c>
      <c r="R3" s="64">
        <v>53100</v>
      </c>
    </row>
    <row r="4" spans="1:18" x14ac:dyDescent="0.4">
      <c r="A4" s="19" t="s">
        <v>6</v>
      </c>
      <c r="B4" s="145">
        <v>-72.599999999999994</v>
      </c>
      <c r="C4" s="146"/>
      <c r="E4" s="27" t="s">
        <v>64</v>
      </c>
      <c r="F4" s="24" t="s">
        <v>20</v>
      </c>
      <c r="G4" s="12">
        <v>17</v>
      </c>
      <c r="H4" s="88">
        <f>IF(B$20=0,0,G4/B$20)</f>
        <v>0.54838709677419351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642.85714285714289</v>
      </c>
      <c r="Q4" s="77">
        <v>14</v>
      </c>
      <c r="R4" s="64">
        <v>9000</v>
      </c>
    </row>
    <row r="5" spans="1:18" x14ac:dyDescent="0.4">
      <c r="A5" s="19" t="s">
        <v>7</v>
      </c>
      <c r="B5" s="133">
        <f>IF(B$2=0,0,B$4/B$2)</f>
        <v>-5.1857142857142851</v>
      </c>
      <c r="C5" s="134"/>
      <c r="E5" s="27" t="s">
        <v>68</v>
      </c>
      <c r="F5" s="24" t="s">
        <v>12</v>
      </c>
      <c r="G5" s="12">
        <v>15</v>
      </c>
      <c r="H5" s="88">
        <f>IF(B$20=0,0,G5/B$20)</f>
        <v>0.4838709677419355</v>
      </c>
      <c r="I5" s="58">
        <v>3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-3464.2857142857142</v>
      </c>
      <c r="Q5" s="77">
        <v>14</v>
      </c>
      <c r="R5" s="64">
        <v>-48500</v>
      </c>
    </row>
    <row r="6" spans="1:18" x14ac:dyDescent="0.4">
      <c r="A6" s="19" t="s">
        <v>196</v>
      </c>
      <c r="B6" s="137">
        <v>1392.4879372401474</v>
      </c>
      <c r="C6" s="138"/>
      <c r="E6" s="27" t="s">
        <v>72</v>
      </c>
      <c r="F6" s="24" t="s">
        <v>27</v>
      </c>
      <c r="G6" s="12">
        <v>15</v>
      </c>
      <c r="H6" s="88">
        <f>IF(B$20=0,0,G6/B$20)</f>
        <v>0.4838709677419355</v>
      </c>
      <c r="I6" s="58">
        <v>12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-1953.8461538461538</v>
      </c>
      <c r="Q6" s="77">
        <v>13</v>
      </c>
      <c r="R6" s="64">
        <v>-25400</v>
      </c>
    </row>
    <row r="7" spans="1:18" x14ac:dyDescent="0.4">
      <c r="A7" s="19" t="s">
        <v>1</v>
      </c>
      <c r="B7" s="147">
        <f>IF(B$2=0,0,(B$8*1+B$9*2+B$10*3)/B$2)</f>
        <v>2</v>
      </c>
      <c r="C7" s="148"/>
      <c r="E7" s="27" t="s">
        <v>67</v>
      </c>
      <c r="F7" s="24" t="s">
        <v>23</v>
      </c>
      <c r="G7" s="12">
        <v>9</v>
      </c>
      <c r="H7" s="88">
        <f>IF(B$20=0,0,G7/B$20)</f>
        <v>0.29032258064516131</v>
      </c>
      <c r="I7" s="58">
        <v>3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-708.33333333333337</v>
      </c>
      <c r="Q7" s="78">
        <v>12</v>
      </c>
      <c r="R7" s="65">
        <v>-8500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0.42857142857142855</v>
      </c>
      <c r="E8" s="27" t="s">
        <v>69</v>
      </c>
      <c r="F8" s="24" t="s">
        <v>24</v>
      </c>
      <c r="G8" s="12">
        <v>9</v>
      </c>
      <c r="H8" s="88">
        <f>IF(B$20=0,0,G8/B$20)</f>
        <v>0.29032258064516131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0.14285714285714285</v>
      </c>
      <c r="E9" s="27" t="s">
        <v>65</v>
      </c>
      <c r="F9" s="24" t="s">
        <v>21</v>
      </c>
      <c r="G9" s="12">
        <v>4</v>
      </c>
      <c r="H9" s="88">
        <f>IF(B$20=0,0,G9/B$20)</f>
        <v>0.12903225806451613</v>
      </c>
      <c r="I9" s="58">
        <v>4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6</v>
      </c>
      <c r="C10" s="7">
        <f t="shared" si="1"/>
        <v>0.42857142857142855</v>
      </c>
      <c r="E10" s="27" t="s">
        <v>70</v>
      </c>
      <c r="F10" s="24" t="s">
        <v>25</v>
      </c>
      <c r="G10" s="12">
        <v>3</v>
      </c>
      <c r="H10" s="88">
        <f>IF(B$20=0,0,G10/B$20)</f>
        <v>9.6774193548387094E-2</v>
      </c>
      <c r="I10" s="58">
        <v>5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-4.6499999999999995</v>
      </c>
      <c r="Q10" s="76">
        <v>2</v>
      </c>
      <c r="R10" s="67">
        <v>-9.2999999999999989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89</v>
      </c>
      <c r="F11" s="24" t="s">
        <v>44</v>
      </c>
      <c r="G11" s="12">
        <v>2</v>
      </c>
      <c r="H11" s="88">
        <f>IF(B$20=0,0,G11/B$20)</f>
        <v>6.4516129032258063E-2</v>
      </c>
      <c r="I11" s="58">
        <v>11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-5.3</v>
      </c>
      <c r="Q11" s="77">
        <v>5</v>
      </c>
      <c r="R11" s="68">
        <v>-26.5</v>
      </c>
    </row>
    <row r="12" spans="1:18" x14ac:dyDescent="0.4">
      <c r="A12" s="20" t="s">
        <v>185</v>
      </c>
      <c r="B12" s="109">
        <f>IF(B9=0,0,C12/B9)</f>
        <v>-3</v>
      </c>
      <c r="C12" s="110">
        <v>-6</v>
      </c>
      <c r="E12" s="27" t="s">
        <v>71</v>
      </c>
      <c r="F12" s="24" t="s">
        <v>26</v>
      </c>
      <c r="G12" s="12">
        <v>1</v>
      </c>
      <c r="H12" s="88">
        <f>IF(B$20=0,0,G12/B$20)</f>
        <v>3.2258064516129031E-2</v>
      </c>
      <c r="I12" s="58">
        <v>10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-36.816666666666663</v>
      </c>
      <c r="C13" s="110">
        <v>-220.89999999999998</v>
      </c>
      <c r="E13" s="27" t="s">
        <v>75</v>
      </c>
      <c r="F13" s="24" t="s">
        <v>30</v>
      </c>
      <c r="G13" s="12">
        <v>1</v>
      </c>
      <c r="H13" s="88">
        <f>IF(B$20=0,0,G13/B$20)</f>
        <v>3.2258064516129031E-2</v>
      </c>
      <c r="I13" s="58">
        <v>1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-4.6999999999999993</v>
      </c>
      <c r="C14" s="134"/>
      <c r="E14" s="27" t="s">
        <v>78</v>
      </c>
      <c r="F14" s="24" t="s">
        <v>33</v>
      </c>
      <c r="G14" s="12">
        <v>1</v>
      </c>
      <c r="H14" s="88">
        <f>IF(B$20=0,0,G14/B$20)</f>
        <v>3.2258064516129031E-2</v>
      </c>
      <c r="I14" s="58">
        <v>4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0.14285714285714285</v>
      </c>
      <c r="E15" s="27" t="s">
        <v>81</v>
      </c>
      <c r="F15" s="24" t="s">
        <v>36</v>
      </c>
      <c r="G15" s="12">
        <v>1</v>
      </c>
      <c r="H15" s="88">
        <f>IF(B$20=0,0,G15/B$20)</f>
        <v>3.2258064516129031E-2</v>
      </c>
      <c r="I15" s="58">
        <v>8</v>
      </c>
      <c r="K15" s="74">
        <v>13</v>
      </c>
      <c r="L15" s="119">
        <v>-75.599999999999994</v>
      </c>
      <c r="M15" s="117">
        <v>1390.8671400806311</v>
      </c>
      <c r="O15" s="73" t="s">
        <v>163</v>
      </c>
      <c r="P15" s="82">
        <f t="shared" ref="P15:P21" si="2">IF(Q15=0,0,R15/Q15)</f>
        <v>39.850000000000009</v>
      </c>
      <c r="Q15" s="76">
        <v>2</v>
      </c>
      <c r="R15" s="67">
        <v>79.700000000000017</v>
      </c>
    </row>
    <row r="16" spans="1:18" x14ac:dyDescent="0.4">
      <c r="A16" s="22" t="s">
        <v>121</v>
      </c>
      <c r="B16" s="15">
        <v>26</v>
      </c>
      <c r="C16" s="10">
        <f>IF(B$3=0,0,B16/B$3)</f>
        <v>0.21487603305785125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K16" s="74">
        <v>14</v>
      </c>
      <c r="L16" s="119">
        <v>-72.599999999999994</v>
      </c>
      <c r="M16" s="117">
        <v>1392.4879372401474</v>
      </c>
      <c r="O16" s="74" t="s">
        <v>221</v>
      </c>
      <c r="P16" s="83">
        <f t="shared" si="2"/>
        <v>3.6500000000000004</v>
      </c>
      <c r="Q16" s="77">
        <v>2</v>
      </c>
      <c r="R16" s="68">
        <v>7.3000000000000007</v>
      </c>
    </row>
    <row r="17" spans="1:18" x14ac:dyDescent="0.4">
      <c r="A17" s="19" t="s">
        <v>118</v>
      </c>
      <c r="B17" s="12">
        <v>17</v>
      </c>
      <c r="C17" s="6">
        <f>IF(B$3=0,0,B17/B$3)</f>
        <v>0.14049586776859505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211</v>
      </c>
      <c r="P17" s="83">
        <f t="shared" si="2"/>
        <v>3.0750000000000011</v>
      </c>
      <c r="Q17" s="77">
        <v>4</v>
      </c>
      <c r="R17" s="68">
        <v>12.300000000000004</v>
      </c>
    </row>
    <row r="18" spans="1:18" x14ac:dyDescent="0.4">
      <c r="A18" s="18" t="s">
        <v>123</v>
      </c>
      <c r="B18" s="11">
        <f>B24</f>
        <v>17</v>
      </c>
      <c r="C18" s="5">
        <f>IF(B$16=0,0,B18/B$16)</f>
        <v>0.65384615384615385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 t="shared" si="2"/>
        <v>-2.677777777777778</v>
      </c>
      <c r="Q18" s="77">
        <v>9</v>
      </c>
      <c r="R18" s="68">
        <v>-24.1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0.29411764705882354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  <c r="O19" s="74" t="s">
        <v>190</v>
      </c>
      <c r="P19" s="83">
        <f t="shared" si="2"/>
        <v>-3.9500000000000011</v>
      </c>
      <c r="Q19" s="77">
        <v>4</v>
      </c>
      <c r="R19" s="68">
        <v>-15.800000000000004</v>
      </c>
    </row>
    <row r="20" spans="1:18" x14ac:dyDescent="0.4">
      <c r="A20" s="18" t="s">
        <v>10</v>
      </c>
      <c r="B20" s="11">
        <f>B23+B22</f>
        <v>31</v>
      </c>
      <c r="C20" s="5">
        <f>IF(B$3=0,0,B20/B$3)</f>
        <v>0.256198347107438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21</v>
      </c>
      <c r="C21" s="6">
        <f>IF(B$3=0,0,B21/B$3)</f>
        <v>0.17355371900826447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16</v>
      </c>
      <c r="C22" s="6">
        <f>IF(B$20=0,0,B22/B$20)</f>
        <v>0.5161290322580645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15</v>
      </c>
      <c r="C23" s="6">
        <f>IF(B$20=0,0,B23/B$20)</f>
        <v>0.4838709677419355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17</v>
      </c>
      <c r="C24" s="6">
        <f>IF(B$20=0,0,B24/B$20)</f>
        <v>0.54838709677419351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0.16129032258064516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9</v>
      </c>
      <c r="C26" s="6">
        <f>IF(B$20=0,0,B26/B$20)</f>
        <v>0.29032258064516131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8954.8387096774186</v>
      </c>
      <c r="C27" s="8">
        <v>277600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9015.3846153846152</v>
      </c>
      <c r="C28" s="96">
        <v>234400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-7990.4761904761908</v>
      </c>
      <c r="C30" s="96">
        <v>-167800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65700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8.2644628099173556E-3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3.2258064516129031E-2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0.12903225806451613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5</v>
      </c>
      <c r="C39" s="6">
        <f t="shared" si="3"/>
        <v>0.16129032258064516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3"/>
        <v>0.29032258064516131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0.16129032258064516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4</v>
      </c>
      <c r="C42" s="6">
        <f t="shared" si="3"/>
        <v>0.12903225806451613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3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3"/>
        <v>9.6774193548387094E-2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221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43">
        <v>18</v>
      </c>
      <c r="C3" s="144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5">
        <v>-13.5</v>
      </c>
      <c r="C4" s="146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1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33">
        <f>IF(B$2=0,0,B$4/B$2)</f>
        <v>-6.75</v>
      </c>
      <c r="C5" s="134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12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7">
        <v>1497.379788</v>
      </c>
      <c r="C6" s="138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5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-4.5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8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13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39000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259</v>
      </c>
      <c r="C1" s="140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</v>
      </c>
      <c r="C2" s="142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4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43">
        <v>25</v>
      </c>
      <c r="C3" s="144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5">
        <v>-50</v>
      </c>
      <c r="C4" s="146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1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33">
        <f>IF(B$2=0,0,B$4/B$2)</f>
        <v>-16.666666666666668</v>
      </c>
      <c r="C5" s="134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2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7">
        <v>1493.0891304000002</v>
      </c>
      <c r="C6" s="138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3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1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13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11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-7.1999999999999993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11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41800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76C7-999D-471A-8448-A88E3DA4BE7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201</v>
      </c>
      <c r="C1" s="140"/>
      <c r="E1" s="104" t="s">
        <v>154</v>
      </c>
      <c r="F1" s="130" t="s">
        <v>115</v>
      </c>
      <c r="G1" s="129" t="s">
        <v>116</v>
      </c>
      <c r="H1" s="86" t="s">
        <v>117</v>
      </c>
      <c r="I1" s="13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0.77777777777777779</v>
      </c>
      <c r="I2" s="57">
        <v>7</v>
      </c>
      <c r="K2" s="73">
        <v>0</v>
      </c>
      <c r="L2" s="118">
        <v>0</v>
      </c>
      <c r="M2" s="116">
        <v>1500.437982464869</v>
      </c>
      <c r="O2" s="73" t="s">
        <v>128</v>
      </c>
      <c r="P2" s="79">
        <f t="shared" ref="P2:P7" si="0">IF(Q2=0,0,R2/Q2)</f>
        <v>-4450</v>
      </c>
      <c r="Q2" s="76">
        <v>4</v>
      </c>
      <c r="R2" s="63">
        <v>-17800</v>
      </c>
    </row>
    <row r="3" spans="1:18" x14ac:dyDescent="0.4">
      <c r="A3" s="19" t="s">
        <v>8</v>
      </c>
      <c r="B3" s="143">
        <v>36</v>
      </c>
      <c r="C3" s="144"/>
      <c r="E3" s="27" t="s">
        <v>72</v>
      </c>
      <c r="F3" s="24" t="s">
        <v>27</v>
      </c>
      <c r="G3" s="12">
        <v>5</v>
      </c>
      <c r="H3" s="88">
        <f>IF(B$20=0,0,G3/B$20)</f>
        <v>0.55555555555555558</v>
      </c>
      <c r="I3" s="58">
        <v>9</v>
      </c>
      <c r="K3" s="74">
        <v>1</v>
      </c>
      <c r="L3" s="119">
        <v>-4.5</v>
      </c>
      <c r="M3" s="117">
        <v>1500.3933545700797</v>
      </c>
      <c r="O3" s="74" t="s">
        <v>129</v>
      </c>
      <c r="P3" s="80">
        <f t="shared" si="0"/>
        <v>-3150</v>
      </c>
      <c r="Q3" s="77">
        <v>4</v>
      </c>
      <c r="R3" s="64">
        <v>-12600</v>
      </c>
    </row>
    <row r="4" spans="1:18" x14ac:dyDescent="0.4">
      <c r="A4" s="19" t="s">
        <v>6</v>
      </c>
      <c r="B4" s="145">
        <v>-77.699999999999989</v>
      </c>
      <c r="C4" s="146"/>
      <c r="E4" s="27" t="s">
        <v>64</v>
      </c>
      <c r="F4" s="24" t="s">
        <v>20</v>
      </c>
      <c r="G4" s="12">
        <v>4</v>
      </c>
      <c r="H4" s="88">
        <f>IF(B$20=0,0,G4/B$20)</f>
        <v>0.44444444444444442</v>
      </c>
      <c r="I4" s="58">
        <v>5</v>
      </c>
      <c r="K4" s="74">
        <v>2</v>
      </c>
      <c r="L4" s="119">
        <v>-3.4</v>
      </c>
      <c r="M4" s="117">
        <v>1501.3569944426592</v>
      </c>
      <c r="O4" s="74" t="s">
        <v>130</v>
      </c>
      <c r="P4" s="80">
        <f t="shared" si="0"/>
        <v>3475</v>
      </c>
      <c r="Q4" s="77">
        <v>4</v>
      </c>
      <c r="R4" s="64">
        <v>13900</v>
      </c>
    </row>
    <row r="5" spans="1:18" x14ac:dyDescent="0.4">
      <c r="A5" s="19" t="s">
        <v>7</v>
      </c>
      <c r="B5" s="133">
        <f>IF(B$2=0,0,B$4/B$2)</f>
        <v>-19.424999999999997</v>
      </c>
      <c r="C5" s="134"/>
      <c r="E5" s="27" t="s">
        <v>67</v>
      </c>
      <c r="F5" s="24" t="s">
        <v>23</v>
      </c>
      <c r="G5" s="12">
        <v>4</v>
      </c>
      <c r="H5" s="88">
        <f>IF(B$20=0,0,G5/B$20)</f>
        <v>0.44444444444444442</v>
      </c>
      <c r="I5" s="58">
        <v>1</v>
      </c>
      <c r="K5" s="74">
        <v>3</v>
      </c>
      <c r="L5" s="119">
        <v>-55.199999999999996</v>
      </c>
      <c r="M5" s="117">
        <v>1492.7928524760032</v>
      </c>
      <c r="O5" s="74" t="s">
        <v>131</v>
      </c>
      <c r="P5" s="80">
        <f t="shared" si="0"/>
        <v>-1966.6666666666667</v>
      </c>
      <c r="Q5" s="77">
        <v>3</v>
      </c>
      <c r="R5" s="64">
        <v>-5900</v>
      </c>
    </row>
    <row r="6" spans="1:18" x14ac:dyDescent="0.4">
      <c r="A6" s="19" t="s">
        <v>196</v>
      </c>
      <c r="B6" s="137">
        <v>1489.5540953611471</v>
      </c>
      <c r="C6" s="138"/>
      <c r="E6" s="27" t="s">
        <v>68</v>
      </c>
      <c r="F6" s="24" t="s">
        <v>12</v>
      </c>
      <c r="G6" s="12">
        <v>4</v>
      </c>
      <c r="H6" s="88">
        <f>IF(B$20=0,0,G6/B$20)</f>
        <v>0.44444444444444442</v>
      </c>
      <c r="I6" s="58">
        <v>4</v>
      </c>
      <c r="K6" s="74">
        <v>4</v>
      </c>
      <c r="L6" s="119">
        <v>-77.699999999999989</v>
      </c>
      <c r="M6" s="117">
        <v>1489.5540953611471</v>
      </c>
      <c r="O6" s="74" t="s">
        <v>132</v>
      </c>
      <c r="P6" s="80">
        <f t="shared" si="0"/>
        <v>-9400</v>
      </c>
      <c r="Q6" s="77">
        <v>3</v>
      </c>
      <c r="R6" s="64">
        <v>-28200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159</v>
      </c>
      <c r="F7" s="24" t="s">
        <v>160</v>
      </c>
      <c r="G7" s="12">
        <v>4</v>
      </c>
      <c r="H7" s="88">
        <f>IF(B$20=0,0,G7/B$20)</f>
        <v>0.44444444444444442</v>
      </c>
      <c r="I7" s="58">
        <v>4</v>
      </c>
      <c r="O7" s="75" t="s">
        <v>133</v>
      </c>
      <c r="P7" s="81">
        <f t="shared" si="0"/>
        <v>-2366.6666666666665</v>
      </c>
      <c r="Q7" s="78">
        <v>3</v>
      </c>
      <c r="R7" s="65">
        <v>-7100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69</v>
      </c>
      <c r="F8" s="24" t="s">
        <v>24</v>
      </c>
      <c r="G8" s="12">
        <v>1</v>
      </c>
      <c r="H8" s="88">
        <f>IF(B$20=0,0,G8/B$20)</f>
        <v>0.1111111111111111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0.5</v>
      </c>
      <c r="E9" s="27" t="s">
        <v>78</v>
      </c>
      <c r="F9" s="24" t="s">
        <v>33</v>
      </c>
      <c r="G9" s="12">
        <v>1</v>
      </c>
      <c r="H9" s="88">
        <f>IF(B$20=0,0,G9/B$20)</f>
        <v>0.1111111111111111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0.1111111111111111</v>
      </c>
      <c r="I10" s="58">
        <v>2</v>
      </c>
      <c r="O10" s="73" t="s">
        <v>151</v>
      </c>
      <c r="P10" s="82">
        <f>IF(Q10=0,0,R10/Q10)</f>
        <v>-4.5</v>
      </c>
      <c r="Q10" s="76">
        <v>1</v>
      </c>
      <c r="R10" s="67">
        <v>-4.5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83</v>
      </c>
      <c r="F11" s="24" t="s">
        <v>38</v>
      </c>
      <c r="G11" s="12">
        <v>1</v>
      </c>
      <c r="H11" s="88">
        <f>IF(B$20=0,0,G11/B$20)</f>
        <v>0.1111111111111111</v>
      </c>
      <c r="I11" s="58">
        <v>2</v>
      </c>
      <c r="O11" s="74" t="s">
        <v>152</v>
      </c>
      <c r="P11" s="83">
        <f>IF(Q11=0,0,R11/Q11)</f>
        <v>1.1000000000000001</v>
      </c>
      <c r="Q11" s="77">
        <v>1</v>
      </c>
      <c r="R11" s="68">
        <v>1.1000000000000001</v>
      </c>
    </row>
    <row r="12" spans="1:18" x14ac:dyDescent="0.4">
      <c r="A12" s="20" t="s">
        <v>185</v>
      </c>
      <c r="B12" s="109">
        <f>IF(B9=0,0,C12/B9)</f>
        <v>-1.7</v>
      </c>
      <c r="C12" s="110">
        <v>-3.4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-37.15</v>
      </c>
      <c r="Q12" s="78">
        <v>2</v>
      </c>
      <c r="R12" s="69">
        <v>-74.3</v>
      </c>
    </row>
    <row r="13" spans="1:18" x14ac:dyDescent="0.4">
      <c r="A13" s="20" t="s">
        <v>186</v>
      </c>
      <c r="B13" s="109">
        <f>IF(B10=0,0,C13/B10)</f>
        <v>-37.15</v>
      </c>
      <c r="C13" s="110">
        <v>-74.3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-12.950000000000001</v>
      </c>
      <c r="C14" s="134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0.25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163</v>
      </c>
      <c r="P15" s="82">
        <f>IF(Q15=0,0,R15/Q15)</f>
        <v>-21.074999999999999</v>
      </c>
      <c r="Q15" s="76">
        <v>4</v>
      </c>
      <c r="R15" s="67">
        <v>-84.3</v>
      </c>
    </row>
    <row r="16" spans="1:18" x14ac:dyDescent="0.4">
      <c r="A16" s="22" t="s">
        <v>121</v>
      </c>
      <c r="B16" s="15">
        <v>6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-37.200000000000003</v>
      </c>
      <c r="Q16" s="77">
        <v>4</v>
      </c>
      <c r="R16" s="68">
        <v>-148.80000000000001</v>
      </c>
    </row>
    <row r="17" spans="1:9" x14ac:dyDescent="0.4">
      <c r="A17" s="19" t="s">
        <v>118</v>
      </c>
      <c r="B17" s="12">
        <v>8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0.25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9" x14ac:dyDescent="0.4">
      <c r="A20" s="18" t="s">
        <v>10</v>
      </c>
      <c r="B20" s="11">
        <f>B23+B22</f>
        <v>9</v>
      </c>
      <c r="C20" s="5">
        <f>IF(B$3=0,0,B20/B$3)</f>
        <v>0.25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9" x14ac:dyDescent="0.4">
      <c r="A21" s="19" t="s">
        <v>13</v>
      </c>
      <c r="B21" s="12">
        <v>10</v>
      </c>
      <c r="C21" s="6">
        <f>IF(B$3=0,0,B21/B$3)</f>
        <v>0.27777777777777779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5</v>
      </c>
      <c r="C22" s="6">
        <f>IF(B$20=0,0,B22/B$20)</f>
        <v>0.55555555555555558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4</v>
      </c>
      <c r="C23" s="6">
        <f>IF(B$20=0,0,B23/B$20)</f>
        <v>0.44444444444444442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183</v>
      </c>
      <c r="B24" s="12">
        <v>4</v>
      </c>
      <c r="C24" s="6">
        <f>IF(B$20=0,0,B24/B$20)</f>
        <v>0.44444444444444442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9" x14ac:dyDescent="0.4">
      <c r="A25" s="19" t="s">
        <v>181</v>
      </c>
      <c r="B25" s="12">
        <v>2</v>
      </c>
      <c r="C25" s="6">
        <f>IF(B$20=0,0,B25/B$20)</f>
        <v>0.22222222222222221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9" x14ac:dyDescent="0.4">
      <c r="A26" s="19" t="s">
        <v>182</v>
      </c>
      <c r="B26" s="12">
        <v>3</v>
      </c>
      <c r="C26" s="6">
        <f>IF(B$20=0,0,B26/B$20)</f>
        <v>0.33333333333333331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6744.4444444444443</v>
      </c>
      <c r="C27" s="8">
        <v>60700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9" x14ac:dyDescent="0.4">
      <c r="A28" s="20" t="s">
        <v>165</v>
      </c>
      <c r="B28" s="95">
        <f>IF($B$20-B$19=0,0,C28/($B$20-B$19))</f>
        <v>7257.1428571428569</v>
      </c>
      <c r="C28" s="96">
        <v>50800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9" x14ac:dyDescent="0.4">
      <c r="A29" s="20" t="s">
        <v>166</v>
      </c>
      <c r="B29" s="95">
        <f>IF(B$19=0,0,C29/B$19)</f>
        <v>4950</v>
      </c>
      <c r="C29" s="96">
        <v>9900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9" x14ac:dyDescent="0.4">
      <c r="A30" s="20" t="s">
        <v>164</v>
      </c>
      <c r="B30" s="95">
        <f>IF(B$21=0,0,C30/B$21)</f>
        <v>-7370</v>
      </c>
      <c r="C30" s="96">
        <v>-73700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9" x14ac:dyDescent="0.4">
      <c r="A32" s="19" t="s">
        <v>158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36100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31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32">
        <v>5</v>
      </c>
      <c r="C39" s="6">
        <f t="shared" si="2"/>
        <v>0.55555555555555558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32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32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32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32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32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32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32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32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32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616D-141D-494D-9F22-1E4550959565}">
  <sheetPr codeName="Sheet30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</v>
      </c>
      <c r="C4" s="30">
        <v>-4.5</v>
      </c>
      <c r="D4" s="35">
        <v>2</v>
      </c>
      <c r="E4" s="31">
        <v>0</v>
      </c>
      <c r="F4" s="31">
        <v>0</v>
      </c>
      <c r="G4" s="31">
        <v>0.22222222222222221</v>
      </c>
      <c r="H4" s="31">
        <v>0.22222222222222221</v>
      </c>
      <c r="I4" s="32">
        <v>10000</v>
      </c>
      <c r="J4" s="32">
        <v>-6750</v>
      </c>
      <c r="K4" s="31">
        <v>0</v>
      </c>
      <c r="L4" s="31">
        <v>0</v>
      </c>
      <c r="M4" s="31">
        <v>0.22222222222222221</v>
      </c>
      <c r="N4" s="31">
        <v>0</v>
      </c>
      <c r="O4" s="31">
        <v>0</v>
      </c>
      <c r="P4" s="31">
        <v>0.5</v>
      </c>
    </row>
    <row r="5" spans="1:17" x14ac:dyDescent="0.4">
      <c r="A5" s="33">
        <v>2</v>
      </c>
      <c r="B5" s="30">
        <v>-3.4</v>
      </c>
      <c r="C5" s="30">
        <v>-1.7</v>
      </c>
      <c r="D5" s="35">
        <v>2</v>
      </c>
      <c r="E5" s="31">
        <v>0</v>
      </c>
      <c r="F5" s="31">
        <v>0</v>
      </c>
      <c r="G5" s="31">
        <v>0.25</v>
      </c>
      <c r="H5" s="31">
        <v>0.3125</v>
      </c>
      <c r="I5" s="32">
        <v>10000</v>
      </c>
      <c r="J5" s="32">
        <v>-5320</v>
      </c>
      <c r="K5" s="31">
        <v>0</v>
      </c>
      <c r="L5" s="31">
        <v>0.125</v>
      </c>
      <c r="M5" s="31">
        <v>0.125</v>
      </c>
      <c r="N5" s="31">
        <v>1</v>
      </c>
      <c r="O5" s="31">
        <v>0</v>
      </c>
      <c r="P5" s="31">
        <v>0.25</v>
      </c>
    </row>
    <row r="6" spans="1:17" x14ac:dyDescent="0.4">
      <c r="A6" s="33">
        <v>3</v>
      </c>
      <c r="B6" s="30">
        <v>-55.199999999999996</v>
      </c>
      <c r="C6" s="30">
        <v>-18.399999999999999</v>
      </c>
      <c r="D6" s="35">
        <v>2.3333333333333335</v>
      </c>
      <c r="E6" s="31">
        <v>0</v>
      </c>
      <c r="F6" s="31">
        <v>0.33333333333333331</v>
      </c>
      <c r="G6" s="31">
        <v>0.22222222222222221</v>
      </c>
      <c r="H6" s="31">
        <v>0.25925925925925924</v>
      </c>
      <c r="I6" s="32">
        <v>7800</v>
      </c>
      <c r="J6" s="32">
        <v>-7385.7142857142853</v>
      </c>
      <c r="K6" s="31">
        <v>0.33333333333333331</v>
      </c>
      <c r="L6" s="31">
        <v>0.14814814814814814</v>
      </c>
      <c r="M6" s="31">
        <v>0.14814814814814814</v>
      </c>
      <c r="N6" s="31">
        <v>0.75</v>
      </c>
      <c r="O6" s="31">
        <v>0</v>
      </c>
      <c r="P6" s="31">
        <v>0.5</v>
      </c>
    </row>
    <row r="7" spans="1:17" x14ac:dyDescent="0.4">
      <c r="A7" s="33">
        <v>4</v>
      </c>
      <c r="B7" s="30">
        <v>-77.699999999999989</v>
      </c>
      <c r="C7" s="30">
        <v>-19.424999999999997</v>
      </c>
      <c r="D7" s="35">
        <v>2.5</v>
      </c>
      <c r="E7" s="31">
        <v>0</v>
      </c>
      <c r="F7" s="31">
        <v>0.5</v>
      </c>
      <c r="G7" s="31">
        <v>0.25</v>
      </c>
      <c r="H7" s="31">
        <v>0.27777777777777779</v>
      </c>
      <c r="I7" s="32">
        <v>6744.4444444444443</v>
      </c>
      <c r="J7" s="32">
        <v>-7370</v>
      </c>
      <c r="K7" s="31">
        <v>0.25</v>
      </c>
      <c r="L7" s="31">
        <v>0.16666666666666666</v>
      </c>
      <c r="M7" s="31">
        <v>0.22222222222222221</v>
      </c>
      <c r="N7" s="31">
        <v>0.66666666666666663</v>
      </c>
      <c r="O7" s="31">
        <v>0.25</v>
      </c>
      <c r="P7" s="31">
        <v>0.55555555555555558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  <row r="16" spans="1:17" x14ac:dyDescent="0.4">
      <c r="A16" s="33">
        <v>13</v>
      </c>
      <c r="B16" s="30">
        <v>-75.599999999999994</v>
      </c>
      <c r="C16" s="30">
        <v>-5.8153846153846152</v>
      </c>
      <c r="D16" s="35">
        <v>2</v>
      </c>
      <c r="E16" s="31">
        <v>0.46153846153846156</v>
      </c>
      <c r="F16" s="31">
        <v>0.46153846153846156</v>
      </c>
      <c r="G16" s="31">
        <v>0.26126126126126126</v>
      </c>
      <c r="H16" s="31">
        <v>0.17117117117117117</v>
      </c>
      <c r="I16" s="32">
        <v>8606.8965517241377</v>
      </c>
      <c r="J16" s="32">
        <v>-7568.4210526315792</v>
      </c>
      <c r="K16" s="31">
        <v>0.15384615384615385</v>
      </c>
      <c r="L16" s="31">
        <v>0.22522522522522523</v>
      </c>
      <c r="M16" s="31">
        <v>0.15315315315315314</v>
      </c>
      <c r="N16" s="31">
        <v>0.64</v>
      </c>
      <c r="O16" s="31">
        <v>0.29411764705882354</v>
      </c>
      <c r="P16" s="31">
        <v>0.55172413793103448</v>
      </c>
    </row>
    <row r="17" spans="1:16" x14ac:dyDescent="0.4">
      <c r="A17" s="33">
        <v>14</v>
      </c>
      <c r="B17" s="30">
        <v>-72.599999999999994</v>
      </c>
      <c r="C17" s="30">
        <v>-5.1857142857142851</v>
      </c>
      <c r="D17" s="35">
        <v>2</v>
      </c>
      <c r="E17" s="31">
        <v>0.42857142857142855</v>
      </c>
      <c r="F17" s="31">
        <v>0.42857142857142855</v>
      </c>
      <c r="G17" s="31">
        <v>0.256198347107438</v>
      </c>
      <c r="H17" s="31">
        <v>0.17355371900826447</v>
      </c>
      <c r="I17" s="32">
        <v>8954.8387096774186</v>
      </c>
      <c r="J17" s="32">
        <v>-7990.4761904761908</v>
      </c>
      <c r="K17" s="31">
        <v>0.14285714285714285</v>
      </c>
      <c r="L17" s="31">
        <v>0.21487603305785125</v>
      </c>
      <c r="M17" s="31">
        <v>0.14049586776859505</v>
      </c>
      <c r="N17" s="31">
        <v>0.65384615384615385</v>
      </c>
      <c r="O17" s="31">
        <v>0.29411764705882354</v>
      </c>
      <c r="P17" s="31">
        <v>0.5161290322580645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  <row r="22" spans="1:16" x14ac:dyDescent="0.4">
      <c r="A22" s="33">
        <v>19</v>
      </c>
      <c r="B22" s="30">
        <v>-108.30000000000001</v>
      </c>
      <c r="C22" s="30">
        <v>-5.7</v>
      </c>
      <c r="D22" s="35">
        <v>2.1578947368421053</v>
      </c>
      <c r="E22" s="31">
        <v>0.26315789473684209</v>
      </c>
      <c r="F22" s="31">
        <v>0.42105263157894735</v>
      </c>
      <c r="G22" s="31">
        <v>0.2361111111111111</v>
      </c>
      <c r="H22" s="31">
        <v>0.2013888888888889</v>
      </c>
      <c r="I22" s="32">
        <v>7926.4705882352937</v>
      </c>
      <c r="J22" s="32">
        <v>-7886.2068965517237</v>
      </c>
      <c r="K22" s="31">
        <v>0.10526315789473684</v>
      </c>
      <c r="L22" s="31">
        <v>0.2361111111111111</v>
      </c>
      <c r="M22" s="31">
        <v>0.1736111111111111</v>
      </c>
      <c r="N22" s="31">
        <v>0.47058823529411764</v>
      </c>
      <c r="O22" s="31">
        <v>0.32</v>
      </c>
      <c r="P22" s="31">
        <v>0.47058823529411764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5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  <row r="52" spans="1:16" x14ac:dyDescent="0.4">
      <c r="A52" s="33">
        <v>49</v>
      </c>
      <c r="B52" s="30">
        <v>248.19999999999993</v>
      </c>
      <c r="C52" s="30">
        <v>5.0653061224489786</v>
      </c>
      <c r="D52" s="35">
        <v>1.8367346938775511</v>
      </c>
      <c r="E52" s="31">
        <v>0.40816326530612246</v>
      </c>
      <c r="F52" s="31">
        <v>0.24489795918367346</v>
      </c>
      <c r="G52" s="31">
        <v>0.33412322274881517</v>
      </c>
      <c r="H52" s="31">
        <v>0.11611374407582939</v>
      </c>
      <c r="I52" s="32">
        <v>7300</v>
      </c>
      <c r="J52" s="32">
        <v>-7693.8775510204077</v>
      </c>
      <c r="K52" s="31">
        <v>8.1632653061224483E-2</v>
      </c>
      <c r="L52" s="31">
        <v>0.2014218009478673</v>
      </c>
      <c r="M52" s="31">
        <v>0.27488151658767773</v>
      </c>
      <c r="N52" s="31">
        <v>0.52941176470588236</v>
      </c>
      <c r="O52" s="31">
        <v>0.41379310344827586</v>
      </c>
      <c r="P52" s="31">
        <v>0.3971631205673759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5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  <row r="48" spans="1:16" x14ac:dyDescent="0.4">
      <c r="A48" s="33">
        <v>45</v>
      </c>
      <c r="B48" s="30">
        <v>157.69999999999999</v>
      </c>
      <c r="C48" s="30">
        <v>3.5044444444444443</v>
      </c>
      <c r="D48" s="35">
        <v>1.9111111111111112</v>
      </c>
      <c r="E48" s="31">
        <v>0.4</v>
      </c>
      <c r="F48" s="31">
        <v>0.31111111111111112</v>
      </c>
      <c r="G48" s="31">
        <v>0.30569948186528495</v>
      </c>
      <c r="H48" s="31">
        <v>0.13730569948186527</v>
      </c>
      <c r="I48" s="32">
        <v>7850</v>
      </c>
      <c r="J48" s="32">
        <v>-6656.6037735849059</v>
      </c>
      <c r="K48" s="31">
        <v>4.4444444444444446E-2</v>
      </c>
      <c r="L48" s="31">
        <v>0.21761658031088082</v>
      </c>
      <c r="M48" s="31">
        <v>0.21502590673575128</v>
      </c>
      <c r="N48" s="31">
        <v>0.59523809523809523</v>
      </c>
      <c r="O48" s="31">
        <v>0.48192771084337349</v>
      </c>
      <c r="P48" s="31">
        <v>0.43220338983050849</v>
      </c>
    </row>
    <row r="49" spans="1:16" x14ac:dyDescent="0.4">
      <c r="A49" s="33">
        <v>46</v>
      </c>
      <c r="B49" s="30">
        <v>167.6</v>
      </c>
      <c r="C49" s="30">
        <v>3.6434782608695651</v>
      </c>
      <c r="D49" s="35">
        <v>1.9130434782608696</v>
      </c>
      <c r="E49" s="31">
        <v>0.39130434782608697</v>
      </c>
      <c r="F49" s="31">
        <v>0.30434782608695654</v>
      </c>
      <c r="G49" s="31">
        <v>0.30710659898477155</v>
      </c>
      <c r="H49" s="31">
        <v>0.13451776649746192</v>
      </c>
      <c r="I49" s="32">
        <v>7761.9834710743798</v>
      </c>
      <c r="J49" s="32">
        <v>-6656.6037735849059</v>
      </c>
      <c r="K49" s="31">
        <v>4.3478260869565216E-2</v>
      </c>
      <c r="L49" s="31">
        <v>0.21319796954314721</v>
      </c>
      <c r="M49" s="31">
        <v>0.21827411167512689</v>
      </c>
      <c r="N49" s="31">
        <v>0.59523809523809523</v>
      </c>
      <c r="O49" s="31">
        <v>0.48837209302325579</v>
      </c>
      <c r="P49" s="31">
        <v>0.42148760330578511</v>
      </c>
    </row>
    <row r="50" spans="1:16" x14ac:dyDescent="0.4">
      <c r="A50" s="33">
        <v>47</v>
      </c>
      <c r="B50" s="30">
        <v>164.7</v>
      </c>
      <c r="C50" s="30">
        <v>3.5042553191489358</v>
      </c>
      <c r="D50" s="35">
        <v>1.9148936170212767</v>
      </c>
      <c r="E50" s="31">
        <v>0.38297872340425532</v>
      </c>
      <c r="F50" s="31">
        <v>0.2978723404255319</v>
      </c>
      <c r="G50" s="31">
        <v>0.30466830466830469</v>
      </c>
      <c r="H50" s="31">
        <v>0.13759213759213759</v>
      </c>
      <c r="I50" s="32">
        <v>7832.2580645161288</v>
      </c>
      <c r="J50" s="32">
        <v>-6833.9285714285716</v>
      </c>
      <c r="K50" s="31">
        <v>4.2553191489361701E-2</v>
      </c>
      <c r="L50" s="31">
        <v>0.21621621621621623</v>
      </c>
      <c r="M50" s="31">
        <v>0.22604422604422605</v>
      </c>
      <c r="N50" s="31">
        <v>0.60227272727272729</v>
      </c>
      <c r="O50" s="31">
        <v>0.45652173913043476</v>
      </c>
      <c r="P50" s="31">
        <v>0.41129032258064518</v>
      </c>
    </row>
    <row r="51" spans="1:16" x14ac:dyDescent="0.4">
      <c r="A51" s="33">
        <v>48</v>
      </c>
      <c r="B51" s="30">
        <v>140.69999999999999</v>
      </c>
      <c r="C51" s="30">
        <v>2.9312499999999999</v>
      </c>
      <c r="D51" s="35">
        <v>1.9166666666666667</v>
      </c>
      <c r="E51" s="31">
        <v>0.375</v>
      </c>
      <c r="F51" s="31">
        <v>0.29166666666666669</v>
      </c>
      <c r="G51" s="31">
        <v>0.30170316301703165</v>
      </c>
      <c r="H51" s="31">
        <v>0.13625304136253041</v>
      </c>
      <c r="I51" s="32">
        <v>7832.2580645161288</v>
      </c>
      <c r="J51" s="32">
        <v>-6833.9285714285716</v>
      </c>
      <c r="K51" s="31">
        <v>4.1666666666666664E-2</v>
      </c>
      <c r="L51" s="31">
        <v>0.21654501216545013</v>
      </c>
      <c r="M51" s="31">
        <v>0.22384428223844283</v>
      </c>
      <c r="N51" s="31">
        <v>0.5955056179775281</v>
      </c>
      <c r="O51" s="31">
        <v>0.45652173913043476</v>
      </c>
      <c r="P51" s="31">
        <v>0.41129032258064518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3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  <row r="32" spans="1:16" x14ac:dyDescent="0.4">
      <c r="A32" s="33">
        <v>29</v>
      </c>
      <c r="B32" s="30">
        <v>-35.300000000000026</v>
      </c>
      <c r="C32" s="30">
        <v>-1.2172413793103458</v>
      </c>
      <c r="D32" s="35">
        <v>1.9655172413793103</v>
      </c>
      <c r="E32" s="31">
        <v>0.2413793103448276</v>
      </c>
      <c r="F32" s="31">
        <v>0.20689655172413793</v>
      </c>
      <c r="G32" s="31">
        <v>0.24</v>
      </c>
      <c r="H32" s="31">
        <v>0.1</v>
      </c>
      <c r="I32" s="32">
        <v>8273.3333333333339</v>
      </c>
      <c r="J32" s="32">
        <v>-6124</v>
      </c>
      <c r="K32" s="31">
        <v>6.8965517241379309E-2</v>
      </c>
      <c r="L32" s="31">
        <v>0.22800000000000001</v>
      </c>
      <c r="M32" s="31">
        <v>0.20799999999999999</v>
      </c>
      <c r="N32" s="31">
        <v>0.50877192982456143</v>
      </c>
      <c r="O32" s="31">
        <v>0.34615384615384615</v>
      </c>
      <c r="P32" s="31">
        <v>0.33333333333333331</v>
      </c>
    </row>
    <row r="33" spans="1:16" x14ac:dyDescent="0.4">
      <c r="A33" s="33">
        <v>30</v>
      </c>
      <c r="B33" s="30">
        <v>-9.3000000000000256</v>
      </c>
      <c r="C33" s="30">
        <v>-0.31000000000000083</v>
      </c>
      <c r="D33" s="35">
        <v>1.9333333333333333</v>
      </c>
      <c r="E33" s="31">
        <v>0.26666666666666666</v>
      </c>
      <c r="F33" s="31">
        <v>0.2</v>
      </c>
      <c r="G33" s="31">
        <v>0.25190839694656486</v>
      </c>
      <c r="H33" s="31">
        <v>9.5419847328244281E-2</v>
      </c>
      <c r="I33" s="32">
        <v>8203.0303030303039</v>
      </c>
      <c r="J33" s="32">
        <v>-6124</v>
      </c>
      <c r="K33" s="31">
        <v>6.6666666666666666E-2</v>
      </c>
      <c r="L33" s="31">
        <v>0.24045801526717558</v>
      </c>
      <c r="M33" s="31">
        <v>0.20992366412213739</v>
      </c>
      <c r="N33" s="31">
        <v>0.50793650793650791</v>
      </c>
      <c r="O33" s="31">
        <v>0.36363636363636365</v>
      </c>
      <c r="P33" s="31">
        <v>0.31818181818181818</v>
      </c>
    </row>
    <row r="34" spans="1:16" x14ac:dyDescent="0.4">
      <c r="A34" s="33">
        <v>31</v>
      </c>
      <c r="B34" s="30">
        <v>22.999999999999972</v>
      </c>
      <c r="C34" s="30">
        <v>0.74193548387096686</v>
      </c>
      <c r="D34" s="35">
        <v>1.903225806451613</v>
      </c>
      <c r="E34" s="31">
        <v>0.29032258064516131</v>
      </c>
      <c r="F34" s="31">
        <v>0.19354838709677419</v>
      </c>
      <c r="G34" s="31">
        <v>0.26007326007326009</v>
      </c>
      <c r="H34" s="31">
        <v>9.1575091575091569E-2</v>
      </c>
      <c r="I34" s="32">
        <v>7960.5633802816901</v>
      </c>
      <c r="J34" s="32">
        <v>-6124</v>
      </c>
      <c r="K34" s="31">
        <v>6.4516129032258063E-2</v>
      </c>
      <c r="L34" s="31">
        <v>0.25274725274725274</v>
      </c>
      <c r="M34" s="31">
        <v>0.20512820512820512</v>
      </c>
      <c r="N34" s="31">
        <v>0.52173913043478259</v>
      </c>
      <c r="O34" s="31">
        <v>0.375</v>
      </c>
      <c r="P34" s="31">
        <v>0.30985915492957744</v>
      </c>
    </row>
    <row r="35" spans="1:16" x14ac:dyDescent="0.4">
      <c r="A35" s="33">
        <v>32</v>
      </c>
      <c r="B35" s="30">
        <v>-0.400000000000027</v>
      </c>
      <c r="C35" s="30">
        <v>-1.2500000000000844E-2</v>
      </c>
      <c r="D35" s="35">
        <v>1.9375</v>
      </c>
      <c r="E35" s="31">
        <v>0.28125</v>
      </c>
      <c r="F35" s="31">
        <v>0.21875</v>
      </c>
      <c r="G35" s="31">
        <v>0.25622775800711745</v>
      </c>
      <c r="H35" s="31">
        <v>9.2526690391459068E-2</v>
      </c>
      <c r="I35" s="32">
        <v>7886.1111111111113</v>
      </c>
      <c r="J35" s="32">
        <v>-6350</v>
      </c>
      <c r="K35" s="31">
        <v>6.25E-2</v>
      </c>
      <c r="L35" s="31">
        <v>0.25622775800711745</v>
      </c>
      <c r="M35" s="31">
        <v>0.199288256227758</v>
      </c>
      <c r="N35" s="31">
        <v>0.51388888888888884</v>
      </c>
      <c r="O35" s="31">
        <v>0.375</v>
      </c>
      <c r="P35" s="31">
        <v>0.30555555555555558</v>
      </c>
    </row>
    <row r="36" spans="1:16" x14ac:dyDescent="0.4">
      <c r="A36" s="33">
        <v>33</v>
      </c>
      <c r="B36" s="30">
        <v>-0.10000000000002701</v>
      </c>
      <c r="C36" s="30">
        <v>-3.0303030303038487E-3</v>
      </c>
      <c r="D36" s="35">
        <v>1.9393939393939394</v>
      </c>
      <c r="E36" s="31">
        <v>0.27272727272727271</v>
      </c>
      <c r="F36" s="31">
        <v>0.21212121212121213</v>
      </c>
      <c r="G36" s="31">
        <v>0.25605536332179929</v>
      </c>
      <c r="H36" s="31">
        <v>9.3425605536332182E-2</v>
      </c>
      <c r="I36" s="32">
        <v>7845.9459459459458</v>
      </c>
      <c r="J36" s="32">
        <v>-6151.8518518518522</v>
      </c>
      <c r="K36" s="31">
        <v>6.0606060606060608E-2</v>
      </c>
      <c r="L36" s="31">
        <v>0.25951557093425603</v>
      </c>
      <c r="M36" s="31">
        <v>0.1972318339100346</v>
      </c>
      <c r="N36" s="31">
        <v>0.52</v>
      </c>
      <c r="O36" s="31">
        <v>0.36842105263157893</v>
      </c>
      <c r="P36" s="31">
        <v>0.3108108108108108</v>
      </c>
    </row>
    <row r="37" spans="1:16" x14ac:dyDescent="0.4">
      <c r="A37" s="33">
        <v>34</v>
      </c>
      <c r="B37" s="30">
        <v>59.89999999999997</v>
      </c>
      <c r="C37" s="30">
        <v>1.761764705882352</v>
      </c>
      <c r="D37" s="35">
        <v>1.911764705882353</v>
      </c>
      <c r="E37" s="31">
        <v>0.29411764705882354</v>
      </c>
      <c r="F37" s="31">
        <v>0.20588235294117646</v>
      </c>
      <c r="G37" s="31">
        <v>0.26351351351351349</v>
      </c>
      <c r="H37" s="31">
        <v>9.1216216216216214E-2</v>
      </c>
      <c r="I37" s="32">
        <v>7982.0512820512822</v>
      </c>
      <c r="J37" s="32">
        <v>-6151.8518518518522</v>
      </c>
      <c r="K37" s="31">
        <v>5.8823529411764705E-2</v>
      </c>
      <c r="L37" s="31">
        <v>0.26351351351351349</v>
      </c>
      <c r="M37" s="31">
        <v>0.19594594594594594</v>
      </c>
      <c r="N37" s="31">
        <v>0.51282051282051277</v>
      </c>
      <c r="O37" s="31">
        <v>0.37931034482758619</v>
      </c>
      <c r="P37" s="31">
        <v>0.32051282051282054</v>
      </c>
    </row>
    <row r="38" spans="1:16" x14ac:dyDescent="0.4">
      <c r="A38" s="33">
        <v>35</v>
      </c>
      <c r="B38" s="30">
        <v>46.099999999999966</v>
      </c>
      <c r="C38" s="30">
        <v>1.3171428571428561</v>
      </c>
      <c r="D38" s="35">
        <v>1.9142857142857144</v>
      </c>
      <c r="E38" s="31">
        <v>0.2857142857142857</v>
      </c>
      <c r="F38" s="31">
        <v>0.2</v>
      </c>
      <c r="G38" s="31">
        <v>0.25986842105263158</v>
      </c>
      <c r="H38" s="31">
        <v>9.8684210526315791E-2</v>
      </c>
      <c r="I38" s="32">
        <v>8083.5443037974683</v>
      </c>
      <c r="J38" s="32">
        <v>-6280</v>
      </c>
      <c r="K38" s="31">
        <v>5.7142857142857141E-2</v>
      </c>
      <c r="L38" s="31">
        <v>0.26644736842105265</v>
      </c>
      <c r="M38" s="31">
        <v>0.20065789473684212</v>
      </c>
      <c r="N38" s="31">
        <v>0.50617283950617287</v>
      </c>
      <c r="O38" s="31">
        <v>0.36065573770491804</v>
      </c>
      <c r="P38" s="31">
        <v>0.32911392405063289</v>
      </c>
    </row>
    <row r="39" spans="1:16" x14ac:dyDescent="0.4">
      <c r="A39" s="33">
        <v>36</v>
      </c>
      <c r="B39" s="30">
        <v>67.69999999999996</v>
      </c>
      <c r="C39" s="30">
        <v>1.8805555555555544</v>
      </c>
      <c r="D39" s="35">
        <v>1.8888888888888888</v>
      </c>
      <c r="E39" s="31">
        <v>0.30555555555555558</v>
      </c>
      <c r="F39" s="31">
        <v>0.19444444444444445</v>
      </c>
      <c r="G39" s="31">
        <v>0.26751592356687898</v>
      </c>
      <c r="H39" s="31">
        <v>0.10191082802547771</v>
      </c>
      <c r="I39" s="32">
        <v>8045.2380952380954</v>
      </c>
      <c r="J39" s="32">
        <v>-6562.5</v>
      </c>
      <c r="K39" s="31">
        <v>5.5555555555555552E-2</v>
      </c>
      <c r="L39" s="31">
        <v>0.2643312101910828</v>
      </c>
      <c r="M39" s="31">
        <v>0.20063694267515925</v>
      </c>
      <c r="N39" s="31">
        <v>0.51807228915662651</v>
      </c>
      <c r="O39" s="31">
        <v>0.36507936507936506</v>
      </c>
      <c r="P39" s="31">
        <v>0.32142857142857145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4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  <row r="47" spans="1:16" x14ac:dyDescent="0.4">
      <c r="A47" s="33">
        <v>44</v>
      </c>
      <c r="B47" s="30">
        <v>-134</v>
      </c>
      <c r="C47" s="30">
        <v>-3.0454545454545454</v>
      </c>
      <c r="D47" s="35">
        <v>2.0681818181818183</v>
      </c>
      <c r="E47" s="31">
        <v>0.34090909090909088</v>
      </c>
      <c r="F47" s="31">
        <v>0.40909090909090912</v>
      </c>
      <c r="G47" s="31">
        <v>0.28826530612244899</v>
      </c>
      <c r="H47" s="31">
        <v>0.1683673469387755</v>
      </c>
      <c r="I47" s="32">
        <v>7492.0353982300885</v>
      </c>
      <c r="J47" s="32">
        <v>-8572.7272727272721</v>
      </c>
      <c r="K47" s="31">
        <v>9.0909090909090912E-2</v>
      </c>
      <c r="L47" s="31">
        <v>0.25765306122448978</v>
      </c>
      <c r="M47" s="31">
        <v>0.29846938775510207</v>
      </c>
      <c r="N47" s="31">
        <v>0.43564356435643564</v>
      </c>
      <c r="O47" s="31">
        <v>0.40170940170940173</v>
      </c>
      <c r="P47" s="31">
        <v>0.46017699115044247</v>
      </c>
    </row>
    <row r="48" spans="1:16" x14ac:dyDescent="0.4">
      <c r="A48" s="33">
        <v>45</v>
      </c>
      <c r="B48" s="30">
        <v>-146.69999999999999</v>
      </c>
      <c r="C48" s="30">
        <v>-3.26</v>
      </c>
      <c r="D48" s="35">
        <v>2.088888888888889</v>
      </c>
      <c r="E48" s="31">
        <v>0.33333333333333331</v>
      </c>
      <c r="F48" s="31">
        <v>0.42222222222222222</v>
      </c>
      <c r="G48" s="31">
        <v>0.28999999999999998</v>
      </c>
      <c r="H48" s="31">
        <v>0.16500000000000001</v>
      </c>
      <c r="I48" s="32">
        <v>7512.0689655172409</v>
      </c>
      <c r="J48" s="32">
        <v>-8572.7272727272721</v>
      </c>
      <c r="K48" s="31">
        <v>8.8888888888888892E-2</v>
      </c>
      <c r="L48" s="31">
        <v>0.26250000000000001</v>
      </c>
      <c r="M48" s="31">
        <v>0.29749999999999999</v>
      </c>
      <c r="N48" s="31">
        <v>0.43809523809523809</v>
      </c>
      <c r="O48" s="31">
        <v>0.40336134453781514</v>
      </c>
      <c r="P48" s="31">
        <v>0.46551724137931033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7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  <row r="64" spans="1:16" x14ac:dyDescent="0.4">
      <c r="A64" s="33">
        <v>61</v>
      </c>
      <c r="B64" s="30">
        <v>-95.7</v>
      </c>
      <c r="C64" s="30">
        <v>-1.5688524590163935</v>
      </c>
      <c r="D64" s="35">
        <v>2.0327868852459017</v>
      </c>
      <c r="E64" s="31">
        <v>0.31147540983606559</v>
      </c>
      <c r="F64" s="31">
        <v>0.34426229508196721</v>
      </c>
      <c r="G64" s="31">
        <v>0.27016885553470921</v>
      </c>
      <c r="H64" s="31">
        <v>0.18574108818011256</v>
      </c>
      <c r="I64" s="32">
        <v>9265.9722222222226</v>
      </c>
      <c r="J64" s="32">
        <v>-8091.9191919191917</v>
      </c>
      <c r="K64" s="31">
        <v>0.13114754098360656</v>
      </c>
      <c r="L64" s="31">
        <v>0.27579737335834897</v>
      </c>
      <c r="M64" s="31">
        <v>0.22138836772983114</v>
      </c>
      <c r="N64" s="31">
        <v>0.48299319727891155</v>
      </c>
      <c r="O64" s="31">
        <v>0.34745762711864409</v>
      </c>
      <c r="P64" s="31">
        <v>0.46527777777777779</v>
      </c>
    </row>
    <row r="65" spans="1:16" x14ac:dyDescent="0.4">
      <c r="A65" s="33">
        <v>62</v>
      </c>
      <c r="B65" s="30">
        <v>-130.6</v>
      </c>
      <c r="C65" s="30">
        <v>-2.1064516129032258</v>
      </c>
      <c r="D65" s="35">
        <v>2.0483870967741935</v>
      </c>
      <c r="E65" s="31">
        <v>0.30645161290322581</v>
      </c>
      <c r="F65" s="31">
        <v>0.35483870967741937</v>
      </c>
      <c r="G65" s="31">
        <v>0.26788990825688075</v>
      </c>
      <c r="H65" s="31">
        <v>0.1853211009174312</v>
      </c>
      <c r="I65" s="32">
        <v>9260.9589041095896</v>
      </c>
      <c r="J65" s="32">
        <v>-8084.1584158415844</v>
      </c>
      <c r="K65" s="31">
        <v>0.12903225806451613</v>
      </c>
      <c r="L65" s="31">
        <v>0.27522935779816515</v>
      </c>
      <c r="M65" s="31">
        <v>0.22201834862385322</v>
      </c>
      <c r="N65" s="31">
        <v>0.47333333333333333</v>
      </c>
      <c r="O65" s="31">
        <v>0.34710743801652894</v>
      </c>
      <c r="P65" s="31">
        <v>0.46575342465753422</v>
      </c>
    </row>
    <row r="66" spans="1:16" x14ac:dyDescent="0.4">
      <c r="A66" s="33">
        <v>63</v>
      </c>
      <c r="B66" s="30">
        <v>-129</v>
      </c>
      <c r="C66" s="30">
        <v>-2.0476190476190474</v>
      </c>
      <c r="D66" s="35">
        <v>2.0476190476190474</v>
      </c>
      <c r="E66" s="31">
        <v>0.30158730158730157</v>
      </c>
      <c r="F66" s="31">
        <v>0.34920634920634919</v>
      </c>
      <c r="G66" s="31">
        <v>0.26618705035971224</v>
      </c>
      <c r="H66" s="31">
        <v>0.18884892086330934</v>
      </c>
      <c r="I66" s="32">
        <v>9338.5135135135133</v>
      </c>
      <c r="J66" s="32">
        <v>-7932.3809523809523</v>
      </c>
      <c r="K66" s="31">
        <v>0.12698412698412698</v>
      </c>
      <c r="L66" s="31">
        <v>0.28237410071942448</v>
      </c>
      <c r="M66" s="31">
        <v>0.21762589928057555</v>
      </c>
      <c r="N66" s="31">
        <v>0.46496815286624205</v>
      </c>
      <c r="O66" s="31">
        <v>0.34710743801652894</v>
      </c>
      <c r="P66" s="31">
        <v>0.47297297297297297</v>
      </c>
    </row>
    <row r="67" spans="1:16" x14ac:dyDescent="0.4">
      <c r="A67" s="33">
        <v>64</v>
      </c>
      <c r="B67" s="30">
        <v>-129.5</v>
      </c>
      <c r="C67" s="30">
        <v>-2.0234375</v>
      </c>
      <c r="D67" s="35">
        <v>2.046875</v>
      </c>
      <c r="E67" s="31">
        <v>0.296875</v>
      </c>
      <c r="F67" s="31">
        <v>0.34375</v>
      </c>
      <c r="G67" s="31">
        <v>0.26595744680851063</v>
      </c>
      <c r="H67" s="31">
        <v>0.18971631205673758</v>
      </c>
      <c r="I67" s="32">
        <v>9320</v>
      </c>
      <c r="J67" s="32">
        <v>-7895.3271028037379</v>
      </c>
      <c r="K67" s="31">
        <v>0.125</v>
      </c>
      <c r="L67" s="31">
        <v>0.28368794326241137</v>
      </c>
      <c r="M67" s="31">
        <v>0.21808510638297873</v>
      </c>
      <c r="N67" s="31">
        <v>0.46875</v>
      </c>
      <c r="O67" s="31">
        <v>0.34146341463414637</v>
      </c>
      <c r="P67" s="31">
        <v>0.46666666666666667</v>
      </c>
    </row>
    <row r="68" spans="1:16" x14ac:dyDescent="0.4">
      <c r="A68" s="33">
        <v>65</v>
      </c>
      <c r="B68" s="30">
        <v>-92.4</v>
      </c>
      <c r="C68" s="30">
        <v>-1.4215384615384616</v>
      </c>
      <c r="D68" s="35">
        <v>2.0307692307692307</v>
      </c>
      <c r="E68" s="31">
        <v>0.30769230769230771</v>
      </c>
      <c r="F68" s="31">
        <v>0.33846153846153848</v>
      </c>
      <c r="G68" s="31">
        <v>0.2674825174825175</v>
      </c>
      <c r="H68" s="31">
        <v>0.1888111888111888</v>
      </c>
      <c r="I68" s="32">
        <v>9372.5490196078426</v>
      </c>
      <c r="J68" s="32">
        <v>-7881.4814814814818</v>
      </c>
      <c r="K68" s="31">
        <v>0.12307692307692308</v>
      </c>
      <c r="L68" s="31">
        <v>0.28496503496503495</v>
      </c>
      <c r="M68" s="31">
        <v>0.21503496503496503</v>
      </c>
      <c r="N68" s="31">
        <v>0.47239263803680981</v>
      </c>
      <c r="O68" s="31">
        <v>0.34146341463414637</v>
      </c>
      <c r="P68" s="31">
        <v>0.45751633986928103</v>
      </c>
    </row>
    <row r="69" spans="1:16" x14ac:dyDescent="0.4">
      <c r="A69" s="33">
        <v>66</v>
      </c>
      <c r="B69" s="30">
        <v>-141.4</v>
      </c>
      <c r="C69" s="30">
        <v>-2.1424242424242426</v>
      </c>
      <c r="D69" s="35">
        <v>2.0454545454545454</v>
      </c>
      <c r="E69" s="31">
        <v>0.30303030303030304</v>
      </c>
      <c r="F69" s="31">
        <v>0.34848484848484851</v>
      </c>
      <c r="G69" s="31">
        <v>0.26424870466321243</v>
      </c>
      <c r="H69" s="31">
        <v>0.18998272884283246</v>
      </c>
      <c r="I69" s="32">
        <v>9372.5490196078426</v>
      </c>
      <c r="J69" s="32">
        <v>-7920</v>
      </c>
      <c r="K69" s="31">
        <v>0.13636363636363635</v>
      </c>
      <c r="L69" s="31">
        <v>0.28497409326424872</v>
      </c>
      <c r="M69" s="31">
        <v>0.21588946459412781</v>
      </c>
      <c r="N69" s="31">
        <v>0.46666666666666667</v>
      </c>
      <c r="O69" s="31">
        <v>0.33600000000000002</v>
      </c>
      <c r="P69" s="31">
        <v>0.45751633986928103</v>
      </c>
    </row>
    <row r="70" spans="1:16" x14ac:dyDescent="0.4">
      <c r="A70" s="33">
        <v>67</v>
      </c>
      <c r="B70" s="30">
        <v>-112.7</v>
      </c>
      <c r="C70" s="30">
        <v>-1.682089552238806</v>
      </c>
      <c r="D70" s="35">
        <v>2.0298507462686568</v>
      </c>
      <c r="E70" s="31">
        <v>0.31343283582089554</v>
      </c>
      <c r="F70" s="31">
        <v>0.34328358208955223</v>
      </c>
      <c r="G70" s="31">
        <v>0.2687074829931973</v>
      </c>
      <c r="H70" s="31">
        <v>0.19217687074829931</v>
      </c>
      <c r="I70" s="32">
        <v>9386.7088607594942</v>
      </c>
      <c r="J70" s="32">
        <v>-7965.4867256637172</v>
      </c>
      <c r="K70" s="31">
        <v>0.13432835820895522</v>
      </c>
      <c r="L70" s="31">
        <v>0.2857142857142857</v>
      </c>
      <c r="M70" s="31">
        <v>0.22108843537414966</v>
      </c>
      <c r="N70" s="31">
        <v>0.47619047619047616</v>
      </c>
      <c r="O70" s="31">
        <v>0.33846153846153848</v>
      </c>
      <c r="P70" s="31">
        <v>0.44936708860759494</v>
      </c>
    </row>
    <row r="71" spans="1:16" x14ac:dyDescent="0.4">
      <c r="A71" s="33">
        <v>68</v>
      </c>
      <c r="B71" s="30">
        <v>-163.19999999999999</v>
      </c>
      <c r="C71" s="30">
        <v>-2.4</v>
      </c>
      <c r="D71" s="35">
        <v>2.0441176470588234</v>
      </c>
      <c r="E71" s="31">
        <v>0.30882352941176472</v>
      </c>
      <c r="F71" s="31">
        <v>0.35294117647058826</v>
      </c>
      <c r="G71" s="31">
        <v>0.26554621848739496</v>
      </c>
      <c r="H71" s="31">
        <v>0.19495798319327731</v>
      </c>
      <c r="I71" s="32">
        <v>9386.7088607594942</v>
      </c>
      <c r="J71" s="32">
        <v>-8031.8965517241377</v>
      </c>
      <c r="K71" s="31">
        <v>0.14705882352941177</v>
      </c>
      <c r="L71" s="31">
        <v>0.2857142857142857</v>
      </c>
      <c r="M71" s="31">
        <v>0.22184873949579831</v>
      </c>
      <c r="N71" s="31">
        <v>0.47058823529411764</v>
      </c>
      <c r="O71" s="31">
        <v>0.33333333333333331</v>
      </c>
      <c r="P71" s="31">
        <v>0.44936708860759494</v>
      </c>
    </row>
    <row r="72" spans="1:16" x14ac:dyDescent="0.4">
      <c r="A72" s="33">
        <v>69</v>
      </c>
      <c r="B72" s="30">
        <v>-122.6</v>
      </c>
      <c r="C72" s="30">
        <v>-1.7768115942028984</v>
      </c>
      <c r="D72" s="35">
        <v>2.0289855072463769</v>
      </c>
      <c r="E72" s="31">
        <v>0.3188405797101449</v>
      </c>
      <c r="F72" s="31">
        <v>0.34782608695652173</v>
      </c>
      <c r="G72" s="31">
        <v>0.26897689768976896</v>
      </c>
      <c r="H72" s="31">
        <v>0.19306930693069307</v>
      </c>
      <c r="I72" s="32">
        <v>9296.3190184049072</v>
      </c>
      <c r="J72" s="32">
        <v>-7988.0341880341884</v>
      </c>
      <c r="K72" s="31">
        <v>0.14492753623188406</v>
      </c>
      <c r="L72" s="31">
        <v>0.28712871287128711</v>
      </c>
      <c r="M72" s="31">
        <v>0.22112211221122113</v>
      </c>
      <c r="N72" s="31">
        <v>0.47126436781609193</v>
      </c>
      <c r="O72" s="31">
        <v>0.34328358208955223</v>
      </c>
      <c r="P72" s="31">
        <v>0.45398773006134968</v>
      </c>
    </row>
    <row r="73" spans="1:16" x14ac:dyDescent="0.4">
      <c r="A73" s="33">
        <v>70</v>
      </c>
      <c r="B73" s="30">
        <v>-134.79999999999998</v>
      </c>
      <c r="C73" s="30">
        <v>-1.9257142857142855</v>
      </c>
      <c r="D73" s="35">
        <v>2.0285714285714285</v>
      </c>
      <c r="E73" s="31">
        <v>0.31428571428571428</v>
      </c>
      <c r="F73" s="31">
        <v>0.34285714285714286</v>
      </c>
      <c r="G73" s="31">
        <v>0.26666666666666666</v>
      </c>
      <c r="H73" s="31">
        <v>0.19186991869918699</v>
      </c>
      <c r="I73" s="32">
        <v>9251.8292682926822</v>
      </c>
      <c r="J73" s="32">
        <v>-7953.3898305084749</v>
      </c>
      <c r="K73" s="31">
        <v>0.14285714285714285</v>
      </c>
      <c r="L73" s="31">
        <v>0.28292682926829266</v>
      </c>
      <c r="M73" s="31">
        <v>0.22601626016260162</v>
      </c>
      <c r="N73" s="31">
        <v>0.47126436781609193</v>
      </c>
      <c r="O73" s="31">
        <v>0.33812949640287771</v>
      </c>
      <c r="P73" s="31">
        <v>0.45121951219512196</v>
      </c>
    </row>
    <row r="74" spans="1:16" x14ac:dyDescent="0.4">
      <c r="A74" s="33">
        <v>71</v>
      </c>
      <c r="B74" s="30">
        <v>-102.19999999999999</v>
      </c>
      <c r="C74" s="30">
        <v>-1.4394366197183097</v>
      </c>
      <c r="D74" s="35">
        <v>2.0140845070422535</v>
      </c>
      <c r="E74" s="31">
        <v>0.323943661971831</v>
      </c>
      <c r="F74" s="31">
        <v>0.3380281690140845</v>
      </c>
      <c r="G74" s="31">
        <v>0.26762820512820512</v>
      </c>
      <c r="H74" s="31">
        <v>0.19070512820512819</v>
      </c>
      <c r="I74" s="32">
        <v>9299.4011976047896</v>
      </c>
      <c r="J74" s="32">
        <v>-7953.7815126050418</v>
      </c>
      <c r="K74" s="31">
        <v>0.14084507042253522</v>
      </c>
      <c r="L74" s="31">
        <v>0.28044871794871795</v>
      </c>
      <c r="M74" s="31">
        <v>0.22756410256410256</v>
      </c>
      <c r="N74" s="31">
        <v>0.46857142857142858</v>
      </c>
      <c r="O74" s="31">
        <v>0.34507042253521125</v>
      </c>
      <c r="P74" s="31">
        <v>0.45508982035928142</v>
      </c>
    </row>
    <row r="75" spans="1:16" x14ac:dyDescent="0.4">
      <c r="A75" s="33">
        <v>72</v>
      </c>
      <c r="B75" s="30">
        <v>-87.699999999999989</v>
      </c>
      <c r="C75" s="30">
        <v>-1.2180555555555554</v>
      </c>
      <c r="D75" s="35">
        <v>2</v>
      </c>
      <c r="E75" s="31">
        <v>0.33333333333333331</v>
      </c>
      <c r="F75" s="31">
        <v>0.33333333333333331</v>
      </c>
      <c r="G75" s="31">
        <v>0.26740506329113922</v>
      </c>
      <c r="H75" s="31">
        <v>0.18829113924050633</v>
      </c>
      <c r="I75" s="32">
        <v>9362.7218934911234</v>
      </c>
      <c r="J75" s="32">
        <v>-7953.7815126050418</v>
      </c>
      <c r="K75" s="31">
        <v>0.1388888888888889</v>
      </c>
      <c r="L75" s="31">
        <v>0.28639240506329117</v>
      </c>
      <c r="M75" s="31">
        <v>0.22468354430379747</v>
      </c>
      <c r="N75" s="31">
        <v>0.46408839779005523</v>
      </c>
      <c r="O75" s="31">
        <v>0.34507042253521125</v>
      </c>
      <c r="P75" s="31">
        <v>0.46153846153846156</v>
      </c>
    </row>
    <row r="76" spans="1:16" x14ac:dyDescent="0.4">
      <c r="A76" s="33">
        <v>73</v>
      </c>
      <c r="B76" s="30">
        <v>-121.19999999999999</v>
      </c>
      <c r="C76" s="30">
        <v>-1.6602739726027396</v>
      </c>
      <c r="D76" s="35">
        <v>2.0136986301369864</v>
      </c>
      <c r="E76" s="31">
        <v>0.32876712328767121</v>
      </c>
      <c r="F76" s="31">
        <v>0.34246575342465752</v>
      </c>
      <c r="G76" s="31">
        <v>0.265625</v>
      </c>
      <c r="H76" s="31">
        <v>0.19218750000000001</v>
      </c>
      <c r="I76" s="32">
        <v>9378.2352941176468</v>
      </c>
      <c r="J76" s="32">
        <v>-7963.4146341463411</v>
      </c>
      <c r="K76" s="31">
        <v>0.13698630136986301</v>
      </c>
      <c r="L76" s="31">
        <v>0.28437499999999999</v>
      </c>
      <c r="M76" s="31">
        <v>0.22343750000000001</v>
      </c>
      <c r="N76" s="31">
        <v>0.46703296703296704</v>
      </c>
      <c r="O76" s="31">
        <v>0.34265734265734266</v>
      </c>
      <c r="P76" s="31">
        <v>0.46470588235294119</v>
      </c>
    </row>
    <row r="77" spans="1:16" x14ac:dyDescent="0.4">
      <c r="A77" s="33">
        <v>74</v>
      </c>
      <c r="B77" s="30">
        <v>-96.299999999999983</v>
      </c>
      <c r="C77" s="30">
        <v>-1.301351351351351</v>
      </c>
      <c r="D77" s="35">
        <v>2</v>
      </c>
      <c r="E77" s="31">
        <v>0.33783783783783783</v>
      </c>
      <c r="F77" s="31">
        <v>0.33783783783783783</v>
      </c>
      <c r="G77" s="31">
        <v>0.26493108728943338</v>
      </c>
      <c r="H77" s="31">
        <v>0.19295558958652373</v>
      </c>
      <c r="I77" s="32">
        <v>9475.7225433526019</v>
      </c>
      <c r="J77" s="32">
        <v>-7925.3968253968251</v>
      </c>
      <c r="K77" s="31">
        <v>0.13513513513513514</v>
      </c>
      <c r="L77" s="31">
        <v>0.28330781010719758</v>
      </c>
      <c r="M77" s="31">
        <v>0.22511485451761101</v>
      </c>
      <c r="N77" s="31">
        <v>0.4702702702702703</v>
      </c>
      <c r="O77" s="31">
        <v>0.3401360544217687</v>
      </c>
      <c r="P77" s="31">
        <v>0.46242774566473988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11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  <row r="100" spans="1:16" x14ac:dyDescent="0.4">
      <c r="A100" s="33">
        <v>97</v>
      </c>
      <c r="B100" s="30">
        <v>197.49999999999994</v>
      </c>
      <c r="C100" s="30">
        <v>2.0360824742268036</v>
      </c>
      <c r="D100" s="35">
        <v>2</v>
      </c>
      <c r="E100" s="31">
        <v>0.34020618556701032</v>
      </c>
      <c r="F100" s="31">
        <v>0.34020618556701032</v>
      </c>
      <c r="G100" s="31">
        <v>0.32589838909541513</v>
      </c>
      <c r="H100" s="31">
        <v>0.17719950433705081</v>
      </c>
      <c r="I100" s="32">
        <v>8246.7680608365026</v>
      </c>
      <c r="J100" s="32">
        <v>-7335.6643356643353</v>
      </c>
      <c r="K100" s="31">
        <v>8.247422680412371E-2</v>
      </c>
      <c r="L100" s="31">
        <v>0.2503097893432466</v>
      </c>
      <c r="M100" s="31">
        <v>0.21065675340768278</v>
      </c>
      <c r="N100" s="31">
        <v>0.57920792079207917</v>
      </c>
      <c r="O100" s="31">
        <v>0.46470588235294119</v>
      </c>
      <c r="P100" s="31">
        <v>0.4828897338403042</v>
      </c>
    </row>
    <row r="101" spans="1:16" x14ac:dyDescent="0.4">
      <c r="A101" s="33">
        <v>98</v>
      </c>
      <c r="B101" s="30">
        <v>206.39999999999995</v>
      </c>
      <c r="C101" s="30">
        <v>2.1061224489795913</v>
      </c>
      <c r="D101" s="35">
        <v>2</v>
      </c>
      <c r="E101" s="31">
        <v>0.33673469387755101</v>
      </c>
      <c r="F101" s="31">
        <v>0.33673469387755101</v>
      </c>
      <c r="G101" s="31">
        <v>0.3247863247863248</v>
      </c>
      <c r="H101" s="31">
        <v>0.17948717948717949</v>
      </c>
      <c r="I101" s="32">
        <v>8289.0977443609027</v>
      </c>
      <c r="J101" s="32">
        <v>-7324.4897959183672</v>
      </c>
      <c r="K101" s="31">
        <v>8.1632653061224483E-2</v>
      </c>
      <c r="L101" s="31">
        <v>0.24908424908424909</v>
      </c>
      <c r="M101" s="31">
        <v>0.21367521367521367</v>
      </c>
      <c r="N101" s="31">
        <v>0.58333333333333337</v>
      </c>
      <c r="O101" s="31">
        <v>0.45714285714285713</v>
      </c>
      <c r="P101" s="31">
        <v>0.48872180451127817</v>
      </c>
    </row>
    <row r="102" spans="1:16" x14ac:dyDescent="0.4">
      <c r="A102" s="33">
        <v>99</v>
      </c>
      <c r="B102" s="30">
        <v>172.49999999999994</v>
      </c>
      <c r="C102" s="30">
        <v>1.7424242424242418</v>
      </c>
      <c r="D102" s="35">
        <v>2.0101010101010099</v>
      </c>
      <c r="E102" s="31">
        <v>0.33333333333333331</v>
      </c>
      <c r="F102" s="31">
        <v>0.34343434343434343</v>
      </c>
      <c r="G102" s="31">
        <v>0.3216867469879518</v>
      </c>
      <c r="H102" s="31">
        <v>0.1783132530120482</v>
      </c>
      <c r="I102" s="32">
        <v>8264.0449438202249</v>
      </c>
      <c r="J102" s="32">
        <v>-7281.7567567567567</v>
      </c>
      <c r="K102" s="31">
        <v>8.0808080808080815E-2</v>
      </c>
      <c r="L102" s="31">
        <v>0.25060240963855424</v>
      </c>
      <c r="M102" s="31">
        <v>0.21084337349397592</v>
      </c>
      <c r="N102" s="31">
        <v>0.57211538461538458</v>
      </c>
      <c r="O102" s="31">
        <v>0.45714285714285713</v>
      </c>
      <c r="P102" s="31">
        <v>0.48689138576779029</v>
      </c>
    </row>
    <row r="103" spans="1:16" x14ac:dyDescent="0.4">
      <c r="A103" s="33">
        <v>100</v>
      </c>
      <c r="B103" s="30">
        <v>196.39999999999995</v>
      </c>
      <c r="C103" s="30">
        <v>1.9639999999999995</v>
      </c>
      <c r="D103" s="35">
        <v>2</v>
      </c>
      <c r="E103" s="31">
        <v>0.34</v>
      </c>
      <c r="F103" s="31">
        <v>0.34</v>
      </c>
      <c r="G103" s="31">
        <v>0.3233890214797136</v>
      </c>
      <c r="H103" s="31">
        <v>0.17899761336515513</v>
      </c>
      <c r="I103" s="32">
        <v>8241.3284132841327</v>
      </c>
      <c r="J103" s="32">
        <v>-7228</v>
      </c>
      <c r="K103" s="31">
        <v>0.08</v>
      </c>
      <c r="L103" s="31">
        <v>0.25059665871121717</v>
      </c>
      <c r="M103" s="31">
        <v>0.21121718377088305</v>
      </c>
      <c r="N103" s="31">
        <v>0.57619047619047614</v>
      </c>
      <c r="O103" s="31">
        <v>0.4576271186440678</v>
      </c>
      <c r="P103" s="31">
        <v>0.4870848708487085</v>
      </c>
    </row>
    <row r="104" spans="1:16" x14ac:dyDescent="0.4">
      <c r="A104" s="33">
        <v>101</v>
      </c>
      <c r="B104" s="30">
        <v>158.99999999999994</v>
      </c>
      <c r="C104" s="30">
        <v>1.5742574257425737</v>
      </c>
      <c r="D104" s="35">
        <v>2.0099009900990099</v>
      </c>
      <c r="E104" s="31">
        <v>0.33663366336633666</v>
      </c>
      <c r="F104" s="31">
        <v>0.34653465346534651</v>
      </c>
      <c r="G104" s="31">
        <v>0.32269503546099293</v>
      </c>
      <c r="H104" s="31">
        <v>0.18085106382978725</v>
      </c>
      <c r="I104" s="32">
        <v>8228.5714285714294</v>
      </c>
      <c r="J104" s="32">
        <v>-7321.5686274509808</v>
      </c>
      <c r="K104" s="31">
        <v>7.9207920792079209E-2</v>
      </c>
      <c r="L104" s="31">
        <v>0.25177304964539005</v>
      </c>
      <c r="M104" s="31">
        <v>0.2115839243498818</v>
      </c>
      <c r="N104" s="31">
        <v>0.57276995305164324</v>
      </c>
      <c r="O104" s="31">
        <v>0.45251396648044695</v>
      </c>
      <c r="P104" s="31">
        <v>0.48717948717948717</v>
      </c>
    </row>
    <row r="105" spans="1:16" x14ac:dyDescent="0.4">
      <c r="A105" s="33">
        <v>102</v>
      </c>
      <c r="B105" s="30">
        <v>147.99999999999994</v>
      </c>
      <c r="C105" s="30">
        <v>1.4509803921568623</v>
      </c>
      <c r="D105" s="35">
        <v>2.0098039215686274</v>
      </c>
      <c r="E105" s="31">
        <v>0.33333333333333331</v>
      </c>
      <c r="F105" s="31">
        <v>0.34313725490196079</v>
      </c>
      <c r="G105" s="31">
        <v>0.3212192262602579</v>
      </c>
      <c r="H105" s="31">
        <v>0.17936694021101993</v>
      </c>
      <c r="I105" s="32">
        <v>8213.1386861313877</v>
      </c>
      <c r="J105" s="32">
        <v>-7321.5686274509808</v>
      </c>
      <c r="K105" s="31">
        <v>7.8431372549019607E-2</v>
      </c>
      <c r="L105" s="31">
        <v>0.25205158264947247</v>
      </c>
      <c r="M105" s="31">
        <v>0.21219226260257915</v>
      </c>
      <c r="N105" s="31">
        <v>0.5720930232558139</v>
      </c>
      <c r="O105" s="31">
        <v>0.44751381215469616</v>
      </c>
      <c r="P105" s="31">
        <v>0.48905109489051096</v>
      </c>
    </row>
    <row r="106" spans="1:16" x14ac:dyDescent="0.4">
      <c r="A106" s="33">
        <v>103</v>
      </c>
      <c r="B106" s="30">
        <v>123.79999999999994</v>
      </c>
      <c r="C106" s="30">
        <v>1.2019417475728149</v>
      </c>
      <c r="D106" s="35">
        <v>2.0194174757281553</v>
      </c>
      <c r="E106" s="31">
        <v>0.3300970873786408</v>
      </c>
      <c r="F106" s="31">
        <v>0.34951456310679613</v>
      </c>
      <c r="G106" s="31">
        <v>0.32018561484918795</v>
      </c>
      <c r="H106" s="31">
        <v>0.17981438515081208</v>
      </c>
      <c r="I106" s="32">
        <v>8200.36231884058</v>
      </c>
      <c r="J106" s="32">
        <v>-7353.5483870967746</v>
      </c>
      <c r="K106" s="31">
        <v>7.7669902912621352E-2</v>
      </c>
      <c r="L106" s="31">
        <v>0.25174013921113692</v>
      </c>
      <c r="M106" s="31">
        <v>0.21229698375870071</v>
      </c>
      <c r="N106" s="31">
        <v>0.56682027649769584</v>
      </c>
      <c r="O106" s="31">
        <v>0.44808743169398907</v>
      </c>
      <c r="P106" s="31">
        <v>0.48550724637681159</v>
      </c>
    </row>
    <row r="107" spans="1:16" x14ac:dyDescent="0.4">
      <c r="A107" s="33">
        <v>104</v>
      </c>
      <c r="B107" s="30">
        <v>173.19999999999993</v>
      </c>
      <c r="C107" s="30">
        <v>1.6653846153846148</v>
      </c>
      <c r="D107" s="35">
        <v>2.0096153846153846</v>
      </c>
      <c r="E107" s="31">
        <v>0.33653846153846156</v>
      </c>
      <c r="F107" s="31">
        <v>0.34615384615384615</v>
      </c>
      <c r="G107" s="31">
        <v>0.32336018411967782</v>
      </c>
      <c r="H107" s="31">
        <v>0.17836593785960875</v>
      </c>
      <c r="I107" s="32">
        <v>8169.7508896797153</v>
      </c>
      <c r="J107" s="32">
        <v>-7353.5483870967746</v>
      </c>
      <c r="K107" s="31">
        <v>7.6923076923076927E-2</v>
      </c>
      <c r="L107" s="31">
        <v>0.25086306098964328</v>
      </c>
      <c r="M107" s="31">
        <v>0.21288837744533948</v>
      </c>
      <c r="N107" s="31">
        <v>0.56880733944954132</v>
      </c>
      <c r="O107" s="31">
        <v>0.45405405405405408</v>
      </c>
      <c r="P107" s="31">
        <v>0.4804270462633452</v>
      </c>
    </row>
    <row r="108" spans="1:16" x14ac:dyDescent="0.4">
      <c r="A108" s="33">
        <v>105</v>
      </c>
      <c r="B108" s="30">
        <v>184.39999999999992</v>
      </c>
      <c r="C108" s="30">
        <v>1.7561904761904754</v>
      </c>
      <c r="D108" s="35">
        <v>2.0095238095238095</v>
      </c>
      <c r="E108" s="31">
        <v>0.33333333333333331</v>
      </c>
      <c r="F108" s="31">
        <v>0.34285714285714286</v>
      </c>
      <c r="G108" s="31">
        <v>0.32272727272727275</v>
      </c>
      <c r="H108" s="31">
        <v>0.17727272727272728</v>
      </c>
      <c r="I108" s="32">
        <v>8168.3098591549297</v>
      </c>
      <c r="J108" s="32">
        <v>-7314.7435897435898</v>
      </c>
      <c r="K108" s="31">
        <v>7.6190476190476197E-2</v>
      </c>
      <c r="L108" s="31">
        <v>0.24886363636363637</v>
      </c>
      <c r="M108" s="31">
        <v>0.21136363636363636</v>
      </c>
      <c r="N108" s="31">
        <v>0.57077625570776258</v>
      </c>
      <c r="O108" s="31">
        <v>0.45161290322580644</v>
      </c>
      <c r="P108" s="31">
        <v>0.47535211267605632</v>
      </c>
    </row>
    <row r="109" spans="1:16" x14ac:dyDescent="0.4">
      <c r="A109" s="33">
        <v>106</v>
      </c>
      <c r="B109" s="30">
        <v>219.09999999999991</v>
      </c>
      <c r="C109" s="30">
        <v>2.0669811320754707</v>
      </c>
      <c r="D109" s="35">
        <v>2</v>
      </c>
      <c r="E109" s="31">
        <v>0.33962264150943394</v>
      </c>
      <c r="F109" s="31">
        <v>0.33962264150943394</v>
      </c>
      <c r="G109" s="31">
        <v>0.32283464566929132</v>
      </c>
      <c r="H109" s="31">
        <v>0.17547806524184478</v>
      </c>
      <c r="I109" s="32">
        <v>8179.4425087108011</v>
      </c>
      <c r="J109" s="32">
        <v>-7314.7435897435898</v>
      </c>
      <c r="K109" s="31">
        <v>7.5471698113207544E-2</v>
      </c>
      <c r="L109" s="31">
        <v>0.24971878515185603</v>
      </c>
      <c r="M109" s="31">
        <v>0.21147356580427445</v>
      </c>
      <c r="N109" s="31">
        <v>0.57657657657657657</v>
      </c>
      <c r="O109" s="31">
        <v>0.44680851063829785</v>
      </c>
      <c r="P109" s="31">
        <v>0.47386759581881532</v>
      </c>
    </row>
    <row r="110" spans="1:16" x14ac:dyDescent="0.4">
      <c r="A110" s="33">
        <v>107</v>
      </c>
      <c r="B110" s="30">
        <v>218.2999999999999</v>
      </c>
      <c r="C110" s="30">
        <v>2.0401869158878494</v>
      </c>
      <c r="D110" s="35">
        <v>2</v>
      </c>
      <c r="E110" s="31">
        <v>0.3364485981308411</v>
      </c>
      <c r="F110" s="31">
        <v>0.3364485981308411</v>
      </c>
      <c r="G110" s="31">
        <v>0.32218506131549612</v>
      </c>
      <c r="H110" s="31">
        <v>0.17502787068004461</v>
      </c>
      <c r="I110" s="32">
        <v>8177.1626297577859</v>
      </c>
      <c r="J110" s="32">
        <v>-7301.2738853503188</v>
      </c>
      <c r="K110" s="31">
        <v>7.476635514018691E-2</v>
      </c>
      <c r="L110" s="31">
        <v>0.24860646599777034</v>
      </c>
      <c r="M110" s="31">
        <v>0.21181716833890746</v>
      </c>
      <c r="N110" s="31">
        <v>0.57399103139013452</v>
      </c>
      <c r="O110" s="31">
        <v>0.45263157894736844</v>
      </c>
      <c r="P110" s="31">
        <v>0.47058823529411764</v>
      </c>
    </row>
    <row r="111" spans="1:16" x14ac:dyDescent="0.4">
      <c r="A111" s="33">
        <v>108</v>
      </c>
      <c r="B111" s="30">
        <v>209.59999999999991</v>
      </c>
      <c r="C111" s="30">
        <v>1.94074074074074</v>
      </c>
      <c r="D111" s="35">
        <v>2</v>
      </c>
      <c r="E111" s="31">
        <v>0.33333333333333331</v>
      </c>
      <c r="F111" s="31">
        <v>0.33333333333333331</v>
      </c>
      <c r="G111" s="31">
        <v>0.32119205298013243</v>
      </c>
      <c r="H111" s="31">
        <v>0.17549668874172186</v>
      </c>
      <c r="I111" s="32">
        <v>8171.8213058419242</v>
      </c>
      <c r="J111" s="32">
        <v>-7270.4402515723268</v>
      </c>
      <c r="K111" s="31">
        <v>7.407407407407407E-2</v>
      </c>
      <c r="L111" s="31">
        <v>0.24724061810154527</v>
      </c>
      <c r="M111" s="31">
        <v>0.21302428256070641</v>
      </c>
      <c r="N111" s="31">
        <v>0.5758928571428571</v>
      </c>
      <c r="O111" s="31">
        <v>0.45077720207253885</v>
      </c>
      <c r="P111" s="31">
        <v>0.47422680412371132</v>
      </c>
    </row>
    <row r="112" spans="1:16" x14ac:dyDescent="0.4">
      <c r="A112" s="33">
        <v>109</v>
      </c>
      <c r="B112" s="30">
        <v>207.7999999999999</v>
      </c>
      <c r="C112" s="30">
        <v>1.9064220183486229</v>
      </c>
      <c r="D112" s="35">
        <v>2</v>
      </c>
      <c r="E112" s="31">
        <v>0.33027522935779818</v>
      </c>
      <c r="F112" s="31">
        <v>0.33027522935779818</v>
      </c>
      <c r="G112" s="31">
        <v>0.32056892778993434</v>
      </c>
      <c r="H112" s="31">
        <v>0.17505470459518599</v>
      </c>
      <c r="I112" s="32">
        <v>8197.9522184300349</v>
      </c>
      <c r="J112" s="32">
        <v>-7257.5</v>
      </c>
      <c r="K112" s="31">
        <v>7.3394495412844041E-2</v>
      </c>
      <c r="L112" s="31">
        <v>0.24617067833698031</v>
      </c>
      <c r="M112" s="31">
        <v>0.21115973741794311</v>
      </c>
      <c r="N112" s="31">
        <v>0.57777777777777772</v>
      </c>
      <c r="O112" s="31">
        <v>0.45077720207253885</v>
      </c>
      <c r="P112" s="31">
        <v>0.47781569965870307</v>
      </c>
    </row>
    <row r="113" spans="1:16" x14ac:dyDescent="0.4">
      <c r="A113" s="33">
        <v>110</v>
      </c>
      <c r="B113" s="30">
        <v>257.69999999999987</v>
      </c>
      <c r="C113" s="30">
        <v>2.3427272727272714</v>
      </c>
      <c r="D113" s="35">
        <v>1.990909090909091</v>
      </c>
      <c r="E113" s="31">
        <v>0.33636363636363636</v>
      </c>
      <c r="F113" s="31">
        <v>0.32727272727272727</v>
      </c>
      <c r="G113" s="31">
        <v>0.324295010845987</v>
      </c>
      <c r="H113" s="31">
        <v>0.17353579175704989</v>
      </c>
      <c r="I113" s="32">
        <v>8181.939799331104</v>
      </c>
      <c r="J113" s="32">
        <v>-7257.5</v>
      </c>
      <c r="K113" s="31">
        <v>7.2727272727272724E-2</v>
      </c>
      <c r="L113" s="31">
        <v>0.24620390455531455</v>
      </c>
      <c r="M113" s="31">
        <v>0.21149674620390455</v>
      </c>
      <c r="N113" s="31">
        <v>0.5770925110132159</v>
      </c>
      <c r="O113" s="31">
        <v>0.4564102564102564</v>
      </c>
      <c r="P113" s="31">
        <v>0.47157190635451507</v>
      </c>
    </row>
    <row r="114" spans="1:16" x14ac:dyDescent="0.4">
      <c r="A114" s="33">
        <v>111</v>
      </c>
      <c r="B114" s="30">
        <v>233.09999999999988</v>
      </c>
      <c r="C114" s="30">
        <v>2.0999999999999988</v>
      </c>
      <c r="D114" s="35">
        <v>2</v>
      </c>
      <c r="E114" s="31">
        <v>0.33333333333333331</v>
      </c>
      <c r="F114" s="31">
        <v>0.33333333333333331</v>
      </c>
      <c r="G114" s="31">
        <v>0.32403433476394849</v>
      </c>
      <c r="H114" s="31">
        <v>0.17596566523605151</v>
      </c>
      <c r="I114" s="32">
        <v>8182.1192052980132</v>
      </c>
      <c r="J114" s="32">
        <v>-7282.9268292682927</v>
      </c>
      <c r="K114" s="31">
        <v>7.2072072072072071E-2</v>
      </c>
      <c r="L114" s="31">
        <v>0.24463519313304721</v>
      </c>
      <c r="M114" s="31">
        <v>0.21244635193133046</v>
      </c>
      <c r="N114" s="31">
        <v>0.57894736842105265</v>
      </c>
      <c r="O114" s="31">
        <v>0.45454545454545453</v>
      </c>
      <c r="P114" s="31">
        <v>0.47019867549668876</v>
      </c>
    </row>
    <row r="115" spans="1:16" x14ac:dyDescent="0.4">
      <c r="A115" s="33">
        <v>112</v>
      </c>
      <c r="B115" s="30">
        <v>256.69999999999987</v>
      </c>
      <c r="C115" s="30">
        <v>2.2919642857142848</v>
      </c>
      <c r="D115" s="35">
        <v>1.9910714285714286</v>
      </c>
      <c r="E115" s="31">
        <v>0.3392857142857143</v>
      </c>
      <c r="F115" s="31">
        <v>0.33035714285714285</v>
      </c>
      <c r="G115" s="31">
        <v>0.32340425531914896</v>
      </c>
      <c r="H115" s="31">
        <v>0.17553191489361702</v>
      </c>
      <c r="I115" s="32">
        <v>8207.2368421052633</v>
      </c>
      <c r="J115" s="32">
        <v>-7262.424242424242</v>
      </c>
      <c r="K115" s="31">
        <v>7.1428571428571425E-2</v>
      </c>
      <c r="L115" s="31">
        <v>0.24361702127659574</v>
      </c>
      <c r="M115" s="31">
        <v>0.21063829787234042</v>
      </c>
      <c r="N115" s="31">
        <v>0.58078602620087338</v>
      </c>
      <c r="O115" s="31">
        <v>0.45454545454545453</v>
      </c>
      <c r="P115" s="31">
        <v>0.46710526315789475</v>
      </c>
    </row>
    <row r="116" spans="1:16" x14ac:dyDescent="0.4">
      <c r="A116" s="33">
        <v>113</v>
      </c>
      <c r="B116" s="30">
        <v>234.69999999999987</v>
      </c>
      <c r="C116" s="30">
        <v>2.0769911504424767</v>
      </c>
      <c r="D116" s="35">
        <v>2</v>
      </c>
      <c r="E116" s="31">
        <v>0.33628318584070799</v>
      </c>
      <c r="F116" s="31">
        <v>0.33628318584070799</v>
      </c>
      <c r="G116" s="31">
        <v>0.32528856243441762</v>
      </c>
      <c r="H116" s="31">
        <v>0.17628541448058763</v>
      </c>
      <c r="I116" s="32">
        <v>8141.9354838709678</v>
      </c>
      <c r="J116" s="32">
        <v>-7358.9285714285716</v>
      </c>
      <c r="K116" s="31">
        <v>7.0796460176991149E-2</v>
      </c>
      <c r="L116" s="31">
        <v>0.24239244491080797</v>
      </c>
      <c r="M116" s="31">
        <v>0.20986358866736621</v>
      </c>
      <c r="N116" s="31">
        <v>0.58441558441558439</v>
      </c>
      <c r="O116" s="31">
        <v>0.46</v>
      </c>
      <c r="P116" s="31">
        <v>0.46451612903225808</v>
      </c>
    </row>
    <row r="117" spans="1:16" x14ac:dyDescent="0.4">
      <c r="A117" s="33">
        <v>114</v>
      </c>
      <c r="B117" s="30">
        <v>186.69999999999987</v>
      </c>
      <c r="C117" s="30">
        <v>1.637719298245613</v>
      </c>
      <c r="D117" s="35">
        <v>2.0087719298245612</v>
      </c>
      <c r="E117" s="31">
        <v>0.33333333333333331</v>
      </c>
      <c r="F117" s="31">
        <v>0.34210526315789475</v>
      </c>
      <c r="G117" s="31">
        <v>0.32392894461859978</v>
      </c>
      <c r="H117" s="31">
        <v>0.17659352142110762</v>
      </c>
      <c r="I117" s="32">
        <v>8141.9354838709678</v>
      </c>
      <c r="J117" s="32">
        <v>-7386.3905325443784</v>
      </c>
      <c r="K117" s="31">
        <v>7.8947368421052627E-2</v>
      </c>
      <c r="L117" s="31">
        <v>0.24242424242424243</v>
      </c>
      <c r="M117" s="31">
        <v>0.2089864158829676</v>
      </c>
      <c r="N117" s="31">
        <v>0.5818965517241379</v>
      </c>
      <c r="O117" s="31">
        <v>0.46</v>
      </c>
      <c r="P117" s="31">
        <v>0.46451612903225808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4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1.997245179063361</v>
      </c>
      <c r="E124" s="31">
        <v>0.33608815426997246</v>
      </c>
      <c r="F124" s="31">
        <v>0.33333333333333331</v>
      </c>
      <c r="G124" s="31">
        <v>0.2933977455716586</v>
      </c>
      <c r="H124" s="31">
        <v>0.15974235104669887</v>
      </c>
      <c r="I124" s="32">
        <v>8116.0263446761801</v>
      </c>
      <c r="J124" s="32">
        <v>-7666.1290322580644</v>
      </c>
      <c r="K124" s="31">
        <v>8.8154269972451793E-2</v>
      </c>
      <c r="L124" s="31">
        <v>0.23961352657004831</v>
      </c>
      <c r="M124" s="31">
        <v>0.22737520128824476</v>
      </c>
      <c r="N124" s="31">
        <v>0.521505376344086</v>
      </c>
      <c r="O124" s="31">
        <v>0.41218130311614731</v>
      </c>
      <c r="P124" s="31">
        <v>0.44895718990120748</v>
      </c>
    </row>
    <row r="125" spans="1:16" x14ac:dyDescent="0.4">
      <c r="A125" s="33">
        <v>122</v>
      </c>
      <c r="B125" s="30">
        <v>3.730349362740526E-14</v>
      </c>
      <c r="C125" s="30">
        <v>1.0192211373607995E-16</v>
      </c>
      <c r="D125" s="35">
        <v>1.9972677595628416</v>
      </c>
      <c r="E125" s="31">
        <v>0.33606557377049179</v>
      </c>
      <c r="F125" s="31">
        <v>0.33333333333333331</v>
      </c>
      <c r="G125" s="31">
        <v>0.29353709009869466</v>
      </c>
      <c r="H125" s="31">
        <v>0.15982171283030883</v>
      </c>
      <c r="I125" s="32">
        <v>8126.355748373102</v>
      </c>
      <c r="J125" s="32">
        <v>-7660.3585657370522</v>
      </c>
      <c r="K125" s="31">
        <v>8.7431693989071038E-2</v>
      </c>
      <c r="L125" s="31">
        <v>0.24036930913721744</v>
      </c>
      <c r="M125" s="31">
        <v>0.2282712511938873</v>
      </c>
      <c r="N125" s="31">
        <v>0.52052980132450333</v>
      </c>
      <c r="O125" s="31">
        <v>0.41143654114365413</v>
      </c>
      <c r="P125" s="31">
        <v>0.44902386117136661</v>
      </c>
    </row>
    <row r="126" spans="1:16" x14ac:dyDescent="0.4">
      <c r="A126" s="33">
        <v>123</v>
      </c>
      <c r="B126" s="30">
        <v>3.5527136788005009E-14</v>
      </c>
      <c r="C126" s="30">
        <v>9.6279503490528487E-17</v>
      </c>
      <c r="D126" s="35">
        <v>1.9972899728997291</v>
      </c>
      <c r="E126" s="31">
        <v>0.33604336043360433</v>
      </c>
      <c r="F126" s="31">
        <v>0.33333333333333331</v>
      </c>
      <c r="G126" s="31">
        <v>0.29300567107750475</v>
      </c>
      <c r="H126" s="31">
        <v>0.15973534971644612</v>
      </c>
      <c r="I126" s="32">
        <v>8116.0215053763441</v>
      </c>
      <c r="J126" s="32">
        <v>-7619.1321499013802</v>
      </c>
      <c r="K126" s="31">
        <v>8.6720867208672087E-2</v>
      </c>
      <c r="L126" s="31">
        <v>0.24322621298046629</v>
      </c>
      <c r="M126" s="31">
        <v>0.2262129804662886</v>
      </c>
      <c r="N126" s="31">
        <v>0.51683937823834192</v>
      </c>
      <c r="O126" s="31">
        <v>0.41225626740947074</v>
      </c>
      <c r="P126" s="31">
        <v>0.44838709677419353</v>
      </c>
    </row>
    <row r="127" spans="1:16" x14ac:dyDescent="0.4">
      <c r="A127" s="33">
        <v>124</v>
      </c>
      <c r="B127" s="30">
        <v>3.5527136788005009E-14</v>
      </c>
      <c r="C127" s="30">
        <v>9.5503055881733897E-17</v>
      </c>
      <c r="D127" s="35">
        <v>1.9973118279569892</v>
      </c>
      <c r="E127" s="31">
        <v>0.33602150537634407</v>
      </c>
      <c r="F127" s="31">
        <v>0.33333333333333331</v>
      </c>
      <c r="G127" s="31">
        <v>0.29299562226391496</v>
      </c>
      <c r="H127" s="31">
        <v>0.16010006253908693</v>
      </c>
      <c r="I127" s="32">
        <v>8103.8420490928493</v>
      </c>
      <c r="J127" s="32">
        <v>-7604.1015625</v>
      </c>
      <c r="K127" s="31">
        <v>8.6021505376344093E-2</v>
      </c>
      <c r="L127" s="31">
        <v>0.24390243902439024</v>
      </c>
      <c r="M127" s="31">
        <v>0.22576610381488429</v>
      </c>
      <c r="N127" s="31">
        <v>0.517948717948718</v>
      </c>
      <c r="O127" s="31">
        <v>0.41135734072022162</v>
      </c>
      <c r="P127" s="31">
        <v>0.44717182497331909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1.9973333333333334</v>
      </c>
      <c r="E128" s="31">
        <v>0.33600000000000002</v>
      </c>
      <c r="F128" s="31">
        <v>0.33333333333333331</v>
      </c>
      <c r="G128" s="31">
        <v>0.29298572315332094</v>
      </c>
      <c r="H128" s="31">
        <v>0.16045934202358783</v>
      </c>
      <c r="I128" s="32">
        <v>8109.2161016949149</v>
      </c>
      <c r="J128" s="32">
        <v>-7614.506769825919</v>
      </c>
      <c r="K128" s="31">
        <v>8.533333333333333E-2</v>
      </c>
      <c r="L128" s="31">
        <v>0.24487895716945995</v>
      </c>
      <c r="M128" s="31">
        <v>0.22501551831160771</v>
      </c>
      <c r="N128" s="31">
        <v>0.51837769328263628</v>
      </c>
      <c r="O128" s="31">
        <v>0.40965517241379312</v>
      </c>
      <c r="P128" s="31">
        <v>0.44597457627118642</v>
      </c>
    </row>
    <row r="129" spans="1:16" x14ac:dyDescent="0.4">
      <c r="A129" s="33">
        <v>126</v>
      </c>
      <c r="B129" s="30">
        <v>3.5527136788005009E-14</v>
      </c>
      <c r="C129" s="30">
        <v>9.3987134359801607E-17</v>
      </c>
      <c r="D129" s="35">
        <v>1.9973544973544974</v>
      </c>
      <c r="E129" s="31">
        <v>0.33597883597883599</v>
      </c>
      <c r="F129" s="31">
        <v>0.33333333333333331</v>
      </c>
      <c r="G129" s="31">
        <v>0.29263028060437868</v>
      </c>
      <c r="H129" s="31">
        <v>0.16003700277520813</v>
      </c>
      <c r="I129" s="32">
        <v>8114.9631190727077</v>
      </c>
      <c r="J129" s="32">
        <v>-7623.6994219653179</v>
      </c>
      <c r="K129" s="31">
        <v>8.7301587301587297E-2</v>
      </c>
      <c r="L129" s="31">
        <v>0.24545174221399937</v>
      </c>
      <c r="M129" s="31">
        <v>0.22510021584952206</v>
      </c>
      <c r="N129" s="31">
        <v>0.51633165829145733</v>
      </c>
      <c r="O129" s="31">
        <v>0.40821917808219177</v>
      </c>
      <c r="P129" s="31">
        <v>0.44678609062170704</v>
      </c>
    </row>
    <row r="130" spans="1:16" x14ac:dyDescent="0.4">
      <c r="A130" s="33">
        <v>127</v>
      </c>
      <c r="B130" s="30">
        <v>3.5527136788005009E-14</v>
      </c>
      <c r="C130" s="30">
        <v>9.3247078183740181E-17</v>
      </c>
      <c r="D130" s="35">
        <v>1.9973753280839894</v>
      </c>
      <c r="E130" s="31">
        <v>0.33595800524934383</v>
      </c>
      <c r="F130" s="31">
        <v>0.33333333333333331</v>
      </c>
      <c r="G130" s="31">
        <v>0.29296636085626909</v>
      </c>
      <c r="H130" s="31">
        <v>0.16085626911314985</v>
      </c>
      <c r="I130" s="32">
        <v>8124.321503131524</v>
      </c>
      <c r="J130" s="32">
        <v>-7640.1140684410648</v>
      </c>
      <c r="K130" s="31">
        <v>8.6614173228346455E-2</v>
      </c>
      <c r="L130" s="31">
        <v>0.24495412844036699</v>
      </c>
      <c r="M130" s="31">
        <v>0.22599388379204893</v>
      </c>
      <c r="N130" s="31">
        <v>0.5168539325842697</v>
      </c>
      <c r="O130" s="31">
        <v>0.40730717185385656</v>
      </c>
      <c r="P130" s="31">
        <v>0.44467640918580376</v>
      </c>
    </row>
    <row r="131" spans="1:16" x14ac:dyDescent="0.4">
      <c r="A131" s="33">
        <v>128</v>
      </c>
      <c r="B131" s="30">
        <v>3.5527136788005009E-14</v>
      </c>
      <c r="C131" s="30">
        <v>9.2518585385429716E-17</v>
      </c>
      <c r="D131" s="35">
        <v>1.9973958333333333</v>
      </c>
      <c r="E131" s="31">
        <v>0.3359375</v>
      </c>
      <c r="F131" s="31">
        <v>0.33333333333333331</v>
      </c>
      <c r="G131" s="31">
        <v>0.29322394408994229</v>
      </c>
      <c r="H131" s="31">
        <v>0.16165299301124278</v>
      </c>
      <c r="I131" s="32">
        <v>8119.6891191709847</v>
      </c>
      <c r="J131" s="32">
        <v>-7637.9699248120305</v>
      </c>
      <c r="K131" s="31">
        <v>8.8541666666666671E-2</v>
      </c>
      <c r="L131" s="31">
        <v>0.24491036159222121</v>
      </c>
      <c r="M131" s="31">
        <v>0.22576724399878456</v>
      </c>
      <c r="N131" s="31">
        <v>0.51736972704714645</v>
      </c>
      <c r="O131" s="31">
        <v>0.40780619111709288</v>
      </c>
      <c r="P131" s="31">
        <v>0.44248704663212435</v>
      </c>
    </row>
    <row r="132" spans="1:16" x14ac:dyDescent="0.4">
      <c r="A132" s="33">
        <v>129</v>
      </c>
      <c r="B132" s="30">
        <v>4.2632564145606011E-14</v>
      </c>
      <c r="C132" s="30">
        <v>1.1016166445893026E-16</v>
      </c>
      <c r="D132" s="35">
        <v>1.9974160206718345</v>
      </c>
      <c r="E132" s="31">
        <v>0.33591731266149871</v>
      </c>
      <c r="F132" s="31">
        <v>0.33333333333333331</v>
      </c>
      <c r="G132" s="31">
        <v>0.29332129963898917</v>
      </c>
      <c r="H132" s="31">
        <v>0.16125150421179302</v>
      </c>
      <c r="I132" s="32">
        <v>8101.1282051282051</v>
      </c>
      <c r="J132" s="32">
        <v>-7635.6343283582091</v>
      </c>
      <c r="K132" s="31">
        <v>9.0439276485788117E-2</v>
      </c>
      <c r="L132" s="31">
        <v>0.24458483754512636</v>
      </c>
      <c r="M132" s="31">
        <v>0.22503008423586041</v>
      </c>
      <c r="N132" s="31">
        <v>0.5178351783517835</v>
      </c>
      <c r="O132" s="31">
        <v>0.40775401069518719</v>
      </c>
      <c r="P132" s="31">
        <v>0.44307692307692309</v>
      </c>
    </row>
    <row r="133" spans="1:16" x14ac:dyDescent="0.4">
      <c r="A133" s="33">
        <v>130</v>
      </c>
      <c r="B133" s="30">
        <v>4.6185277824406512E-14</v>
      </c>
      <c r="C133" s="30">
        <v>1.1842378929335003E-16</v>
      </c>
      <c r="D133" s="35">
        <v>1.9974358974358974</v>
      </c>
      <c r="E133" s="31">
        <v>0.33589743589743587</v>
      </c>
      <c r="F133" s="31">
        <v>0.33333333333333331</v>
      </c>
      <c r="G133" s="31">
        <v>0.29304685168606387</v>
      </c>
      <c r="H133" s="31">
        <v>0.16114592658907789</v>
      </c>
      <c r="I133" s="32">
        <v>8087.7800407331979</v>
      </c>
      <c r="J133" s="32">
        <v>-7627.0370370370374</v>
      </c>
      <c r="K133" s="31">
        <v>8.9743589743589744E-2</v>
      </c>
      <c r="L133" s="31">
        <v>0.24410623694419575</v>
      </c>
      <c r="M133" s="31">
        <v>0.22649955237242614</v>
      </c>
      <c r="N133" s="31">
        <v>0.51955990220048898</v>
      </c>
      <c r="O133" s="31">
        <v>0.40579710144927539</v>
      </c>
      <c r="P133" s="31">
        <v>0.44297352342158858</v>
      </c>
    </row>
    <row r="134" spans="1:16" x14ac:dyDescent="0.4">
      <c r="A134" s="33">
        <v>131</v>
      </c>
      <c r="B134" s="30">
        <v>4.6185277824406512E-14</v>
      </c>
      <c r="C134" s="30">
        <v>1.1751979090179773E-16</v>
      </c>
      <c r="D134" s="35">
        <v>1.9974554707379135</v>
      </c>
      <c r="E134" s="31">
        <v>0.33587786259541985</v>
      </c>
      <c r="F134" s="31">
        <v>0.33333333333333331</v>
      </c>
      <c r="G134" s="31">
        <v>0.29333333333333333</v>
      </c>
      <c r="H134" s="31">
        <v>0.16148148148148148</v>
      </c>
      <c r="I134" s="32">
        <v>8075.5555555555557</v>
      </c>
      <c r="J134" s="32">
        <v>-7616.6972477064219</v>
      </c>
      <c r="K134" s="31">
        <v>8.9058524173027995E-2</v>
      </c>
      <c r="L134" s="31">
        <v>0.24414814814814814</v>
      </c>
      <c r="M134" s="31">
        <v>0.22755555555555557</v>
      </c>
      <c r="N134" s="31">
        <v>0.52063106796116509</v>
      </c>
      <c r="O134" s="31">
        <v>0.40625</v>
      </c>
      <c r="P134" s="31">
        <v>0.44242424242424244</v>
      </c>
    </row>
    <row r="135" spans="1:16" x14ac:dyDescent="0.4">
      <c r="A135" s="33">
        <v>132</v>
      </c>
      <c r="B135" s="30">
        <v>4.9737991503207013E-14</v>
      </c>
      <c r="C135" s="30">
        <v>1.2560098864446215E-16</v>
      </c>
      <c r="D135" s="35">
        <v>1.9974747474747474</v>
      </c>
      <c r="E135" s="31">
        <v>0.33585858585858586</v>
      </c>
      <c r="F135" s="31">
        <v>0.33333333333333331</v>
      </c>
      <c r="G135" s="31">
        <v>0.29335684891240449</v>
      </c>
      <c r="H135" s="31">
        <v>0.16137566137566137</v>
      </c>
      <c r="I135" s="32">
        <v>8079.1583166332666</v>
      </c>
      <c r="J135" s="32">
        <v>-7615.3005464480875</v>
      </c>
      <c r="K135" s="31">
        <v>8.8383838383838384E-2</v>
      </c>
      <c r="L135" s="31">
        <v>0.2430922986478542</v>
      </c>
      <c r="M135" s="31">
        <v>0.22810111699000588</v>
      </c>
      <c r="N135" s="31">
        <v>0.5211608222490931</v>
      </c>
      <c r="O135" s="31">
        <v>0.40592783505154639</v>
      </c>
      <c r="P135" s="31">
        <v>0.44288577154308617</v>
      </c>
    </row>
    <row r="136" spans="1:16" x14ac:dyDescent="0.4">
      <c r="A136" s="33">
        <v>133</v>
      </c>
      <c r="B136" s="30">
        <v>5.0404125317982107E-14</v>
      </c>
      <c r="C136" s="30">
        <v>1.2632612861649651E-16</v>
      </c>
      <c r="D136" s="35">
        <v>1.9974937343358397</v>
      </c>
      <c r="E136" s="31">
        <v>0.33583959899749372</v>
      </c>
      <c r="F136" s="31">
        <v>0.33333333333333331</v>
      </c>
      <c r="G136" s="31">
        <v>0.29334500875656744</v>
      </c>
      <c r="H136" s="31">
        <v>0.16053706946876825</v>
      </c>
      <c r="I136" s="32">
        <v>8100.5970149253735</v>
      </c>
      <c r="J136" s="32">
        <v>-7610.909090909091</v>
      </c>
      <c r="K136" s="31">
        <v>8.771929824561403E-2</v>
      </c>
      <c r="L136" s="31">
        <v>0.24460011675423235</v>
      </c>
      <c r="M136" s="31">
        <v>0.22708698190309398</v>
      </c>
      <c r="N136" s="31">
        <v>0.52028639618138428</v>
      </c>
      <c r="O136" s="31">
        <v>0.40616966580976865</v>
      </c>
      <c r="P136" s="31">
        <v>0.44577114427860698</v>
      </c>
    </row>
    <row r="137" spans="1:16" x14ac:dyDescent="0.4">
      <c r="A137" s="33">
        <v>134</v>
      </c>
      <c r="B137" s="30">
        <v>4.6185277824406512E-14</v>
      </c>
      <c r="C137" s="30">
        <v>1.1488875080698137E-16</v>
      </c>
      <c r="D137" s="35">
        <v>1.9975124378109452</v>
      </c>
      <c r="E137" s="31">
        <v>0.33582089552238809</v>
      </c>
      <c r="F137" s="31">
        <v>0.33333333333333331</v>
      </c>
      <c r="G137" s="31">
        <v>0.29333333333333333</v>
      </c>
      <c r="H137" s="31">
        <v>0.16086956521739129</v>
      </c>
      <c r="I137" s="32">
        <v>8104.249011857708</v>
      </c>
      <c r="J137" s="32">
        <v>-7607.9279279279281</v>
      </c>
      <c r="K137" s="31">
        <v>8.7064676616915429E-2</v>
      </c>
      <c r="L137" s="31">
        <v>0.24492753623188407</v>
      </c>
      <c r="M137" s="31">
        <v>0.22782608695652173</v>
      </c>
      <c r="N137" s="31">
        <v>0.51834319526627215</v>
      </c>
      <c r="O137" s="31">
        <v>0.40458015267175573</v>
      </c>
      <c r="P137" s="31">
        <v>0.44466403162055335</v>
      </c>
    </row>
    <row r="138" spans="1:16" x14ac:dyDescent="0.4">
      <c r="A138" s="33">
        <v>135</v>
      </c>
      <c r="B138" s="30">
        <v>4.6185277824406512E-14</v>
      </c>
      <c r="C138" s="30">
        <v>1.1403772302322596E-16</v>
      </c>
      <c r="D138" s="35">
        <v>1.9975308641975309</v>
      </c>
      <c r="E138" s="31">
        <v>0.33580246913580247</v>
      </c>
      <c r="F138" s="31">
        <v>0.33333333333333331</v>
      </c>
      <c r="G138" s="31">
        <v>0.29367816091954024</v>
      </c>
      <c r="H138" s="31">
        <v>0.1617816091954023</v>
      </c>
      <c r="I138" s="32">
        <v>8112.8180039138942</v>
      </c>
      <c r="J138" s="32">
        <v>-7639.7868561278865</v>
      </c>
      <c r="K138" s="31">
        <v>8.6419753086419748E-2</v>
      </c>
      <c r="L138" s="31">
        <v>0.2439655172413793</v>
      </c>
      <c r="M138" s="31">
        <v>0.22729885057471264</v>
      </c>
      <c r="N138" s="31">
        <v>0.52061248527679627</v>
      </c>
      <c r="O138" s="31">
        <v>0.40455120101137798</v>
      </c>
      <c r="P138" s="31">
        <v>0.44227005870841485</v>
      </c>
    </row>
    <row r="139" spans="1:16" x14ac:dyDescent="0.4">
      <c r="A139" s="33">
        <v>136</v>
      </c>
      <c r="B139" s="30">
        <v>4.9737991503207013E-14</v>
      </c>
      <c r="C139" s="30">
        <v>1.2190684191962504E-16</v>
      </c>
      <c r="D139" s="35">
        <v>1.9975490196078431</v>
      </c>
      <c r="E139" s="31">
        <v>0.33578431372549017</v>
      </c>
      <c r="F139" s="31">
        <v>0.33333333333333331</v>
      </c>
      <c r="G139" s="31">
        <v>0.29337899543378998</v>
      </c>
      <c r="H139" s="31">
        <v>0.16210045662100456</v>
      </c>
      <c r="I139" s="32">
        <v>8113.035019455253</v>
      </c>
      <c r="J139" s="32">
        <v>-7637.5</v>
      </c>
      <c r="K139" s="31">
        <v>8.5784313725490197E-2</v>
      </c>
      <c r="L139" s="31">
        <v>0.24286529680365296</v>
      </c>
      <c r="M139" s="31">
        <v>0.22688356164383561</v>
      </c>
      <c r="N139" s="31">
        <v>0.52173913043478259</v>
      </c>
      <c r="O139" s="31">
        <v>0.40503144654088052</v>
      </c>
      <c r="P139" s="31">
        <v>0.44066147859922178</v>
      </c>
    </row>
    <row r="140" spans="1:16" x14ac:dyDescent="0.4">
      <c r="A140" s="33">
        <v>137</v>
      </c>
      <c r="B140" s="30">
        <v>4.9737991503207013E-14</v>
      </c>
      <c r="C140" s="30">
        <v>1.2101701095670806E-16</v>
      </c>
      <c r="D140" s="35">
        <v>1.997566909975669</v>
      </c>
      <c r="E140" s="31">
        <v>0.33576642335766421</v>
      </c>
      <c r="F140" s="31">
        <v>0.33333333333333331</v>
      </c>
      <c r="G140" s="31">
        <v>0.29353655094552639</v>
      </c>
      <c r="H140" s="31">
        <v>0.16285633643804684</v>
      </c>
      <c r="I140" s="32">
        <v>8121.3461538461543</v>
      </c>
      <c r="J140" s="32">
        <v>-7669.1507798960138</v>
      </c>
      <c r="K140" s="31">
        <v>8.5158150851581502E-2</v>
      </c>
      <c r="L140" s="31">
        <v>0.24273214789726222</v>
      </c>
      <c r="M140" s="31">
        <v>0.22777307366638441</v>
      </c>
      <c r="N140" s="31">
        <v>0.52441860465116275</v>
      </c>
      <c r="O140" s="31">
        <v>0.40272614622057001</v>
      </c>
      <c r="P140" s="31">
        <v>0.43846153846153846</v>
      </c>
    </row>
    <row r="141" spans="1:16" x14ac:dyDescent="0.4">
      <c r="A141" s="33">
        <v>138</v>
      </c>
      <c r="B141" s="30">
        <v>5.6843418860808015E-14</v>
      </c>
      <c r="C141" s="30">
        <v>1.3730294410823191E-16</v>
      </c>
      <c r="D141" s="35">
        <v>1.9975845410628019</v>
      </c>
      <c r="E141" s="31">
        <v>0.33574879227053139</v>
      </c>
      <c r="F141" s="31">
        <v>0.33333333333333331</v>
      </c>
      <c r="G141" s="31">
        <v>0.29367088607594938</v>
      </c>
      <c r="H141" s="31">
        <v>0.16258790436005627</v>
      </c>
      <c r="I141" s="32">
        <v>8141.954022988506</v>
      </c>
      <c r="J141" s="32">
        <v>-7676.6435986159167</v>
      </c>
      <c r="K141" s="31">
        <v>8.6956521739130432E-2</v>
      </c>
      <c r="L141" s="31">
        <v>0.24303797468354429</v>
      </c>
      <c r="M141" s="31">
        <v>0.22728551336146272</v>
      </c>
      <c r="N141" s="31">
        <v>0.52430555555555558</v>
      </c>
      <c r="O141" s="31">
        <v>0.40346534653465349</v>
      </c>
      <c r="P141" s="31">
        <v>0.43965517241379309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882</vt:i4>
      </vt:variant>
    </vt:vector>
  </HeadingPairs>
  <TitlesOfParts>
    <vt:vector size="92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いっしー</vt:lpstr>
      <vt:lpstr>いっしー2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いっしー!ツモ数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いっしー!ツモ率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いっしー!バランス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いっしー!ラス数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いっしー!ラス率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いっしー!ロン数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いっしー!ロン率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いっしー!一翻数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いっしー!一翻率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いっしー!最高点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いっしー!総局数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いっしー!対戦数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いっしー!二位数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いっしー!二位率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いっしー!副露数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いっしー!副露率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いっしー!放銃数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いっしー!放銃率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いっしー!名前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2020-12-23T12:03:46Z</dcterms:modified>
</cp:coreProperties>
</file>