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D1776C4-4A61-4984-9ECB-7C4BEEB1C08E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782" r:id="rId6"/>
    <sheet name="だいち" sheetId="6784" r:id="rId7"/>
    <sheet name="れんたろう" sheetId="6786" r:id="rId8"/>
    <sheet name="たかの" sheetId="6788" r:id="rId9"/>
    <sheet name="まっつん" sheetId="6790" r:id="rId10"/>
    <sheet name="いちかわ" sheetId="6792" r:id="rId11"/>
    <sheet name="ただ" sheetId="6794" r:id="rId12"/>
    <sheet name="たか" sheetId="6796" r:id="rId13"/>
    <sheet name="のり" sheetId="6798" r:id="rId14"/>
    <sheet name="りくと" sheetId="6800" r:id="rId15"/>
    <sheet name="わさび" sheetId="6802" r:id="rId16"/>
    <sheet name="わさび2" sheetId="6803" state="hidden" r:id="rId17"/>
    <sheet name="りくと2" sheetId="6801" state="hidden" r:id="rId18"/>
    <sheet name="のり2" sheetId="6799" state="hidden" r:id="rId19"/>
    <sheet name="たか2" sheetId="6797" state="hidden" r:id="rId20"/>
    <sheet name="ただ2" sheetId="6795" state="hidden" r:id="rId21"/>
    <sheet name="いちかわ2" sheetId="6793" state="hidden" r:id="rId22"/>
    <sheet name="まっつん2" sheetId="6791" state="hidden" r:id="rId23"/>
    <sheet name="たかの2" sheetId="6789" state="hidden" r:id="rId24"/>
    <sheet name="れんたろう2" sheetId="6787" state="hidden" r:id="rId25"/>
    <sheet name="だいち2" sheetId="6785" state="hidden" r:id="rId26"/>
    <sheet name="全体2" sheetId="678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6796" l="1"/>
  <c r="P16" i="6788"/>
  <c r="P17" i="6800" l="1"/>
  <c r="P18" i="6784"/>
  <c r="P22" i="6792" l="1"/>
  <c r="P19" i="6788"/>
  <c r="P20" i="6794" l="1"/>
  <c r="P17" i="6794"/>
  <c r="P15" i="6800"/>
  <c r="P17" i="6802"/>
  <c r="P17" i="6792"/>
  <c r="P15" i="6792"/>
  <c r="P15" i="6802"/>
  <c r="P16" i="6802"/>
  <c r="C35" i="6802"/>
  <c r="B30" i="6802"/>
  <c r="C21" i="6802"/>
  <c r="B20" i="6802"/>
  <c r="H52" i="6802" s="1"/>
  <c r="B19" i="6802"/>
  <c r="C19" i="6802" s="1"/>
  <c r="C18" i="6802"/>
  <c r="B18" i="6802"/>
  <c r="C17" i="6802"/>
  <c r="C16" i="6802"/>
  <c r="C15" i="6802"/>
  <c r="B13" i="6802"/>
  <c r="P12" i="6802"/>
  <c r="B12" i="6802"/>
  <c r="P11" i="6802"/>
  <c r="B11" i="6802"/>
  <c r="B14" i="6802" s="1"/>
  <c r="P10" i="6802"/>
  <c r="C10" i="6802"/>
  <c r="C9" i="6802"/>
  <c r="C8" i="6802"/>
  <c r="P7" i="6802"/>
  <c r="B7" i="6802"/>
  <c r="P6" i="6802"/>
  <c r="P5" i="6802"/>
  <c r="B5" i="6802"/>
  <c r="P4" i="6802"/>
  <c r="P3" i="6802"/>
  <c r="P2" i="6802"/>
  <c r="P19" i="6782"/>
  <c r="P18" i="6800"/>
  <c r="P16" i="6800"/>
  <c r="C35" i="6800"/>
  <c r="B30" i="6800"/>
  <c r="C21" i="6800"/>
  <c r="B20" i="6800"/>
  <c r="H52" i="6800" s="1"/>
  <c r="C19" i="6800"/>
  <c r="B19" i="6800"/>
  <c r="B29" i="6800" s="1"/>
  <c r="B18" i="6800"/>
  <c r="C18" i="6800" s="1"/>
  <c r="C17" i="6800"/>
  <c r="C16" i="6800"/>
  <c r="C15" i="6800"/>
  <c r="B13" i="6800"/>
  <c r="P12" i="6800"/>
  <c r="B12" i="6800"/>
  <c r="P11" i="6800"/>
  <c r="B11" i="6800"/>
  <c r="B14" i="6800" s="1"/>
  <c r="P10" i="6800"/>
  <c r="C10" i="6800"/>
  <c r="C9" i="6800"/>
  <c r="C8" i="6800"/>
  <c r="P7" i="6800"/>
  <c r="B7" i="6800"/>
  <c r="P6" i="6800"/>
  <c r="P5" i="6800"/>
  <c r="B5" i="6800"/>
  <c r="P4" i="6800"/>
  <c r="P3" i="6800"/>
  <c r="P2" i="6800"/>
  <c r="P18" i="6782"/>
  <c r="H5" i="6802" l="1"/>
  <c r="H2" i="6802"/>
  <c r="H11" i="6802"/>
  <c r="H16" i="6802"/>
  <c r="B29" i="6802"/>
  <c r="H40" i="6802"/>
  <c r="H38" i="6802"/>
  <c r="H4" i="6802"/>
  <c r="C20" i="6802"/>
  <c r="H14" i="6802"/>
  <c r="H44" i="6802"/>
  <c r="H7" i="6802"/>
  <c r="H20" i="6802"/>
  <c r="B27" i="6802"/>
  <c r="H13" i="6802"/>
  <c r="H15" i="6802"/>
  <c r="H17" i="6802"/>
  <c r="H10" i="6802"/>
  <c r="H6" i="6802"/>
  <c r="H12" i="6802"/>
  <c r="H3" i="6802"/>
  <c r="H21" i="6802"/>
  <c r="C23" i="6802"/>
  <c r="H46" i="6802"/>
  <c r="H48" i="6802"/>
  <c r="C25" i="6802"/>
  <c r="H32" i="6802"/>
  <c r="H42" i="6802"/>
  <c r="H50" i="6802"/>
  <c r="H23" i="6802"/>
  <c r="H25" i="6802"/>
  <c r="H27" i="6802"/>
  <c r="H8" i="6802"/>
  <c r="H30" i="6802"/>
  <c r="H33" i="6802"/>
  <c r="H36" i="6802"/>
  <c r="C38" i="6802"/>
  <c r="C40" i="6802"/>
  <c r="C42" i="6802"/>
  <c r="C44" i="6802"/>
  <c r="C46" i="6802"/>
  <c r="C48" i="6802"/>
  <c r="H51" i="6802"/>
  <c r="H18" i="6802"/>
  <c r="H19" i="6802"/>
  <c r="C22" i="6802"/>
  <c r="C24" i="6802"/>
  <c r="C26" i="6802"/>
  <c r="B28" i="6802"/>
  <c r="H34" i="6802"/>
  <c r="H37" i="6802"/>
  <c r="H39" i="6802"/>
  <c r="H41" i="6802"/>
  <c r="H43" i="6802"/>
  <c r="H45" i="6802"/>
  <c r="H47" i="6802"/>
  <c r="H49" i="6802"/>
  <c r="H9" i="6802"/>
  <c r="H22" i="6802"/>
  <c r="H24" i="6802"/>
  <c r="H26" i="6802"/>
  <c r="H28" i="6802"/>
  <c r="H29" i="6802"/>
  <c r="H31" i="6802"/>
  <c r="H35" i="6802"/>
  <c r="C37" i="6802"/>
  <c r="C39" i="6802"/>
  <c r="C41" i="6802"/>
  <c r="C43" i="6802"/>
  <c r="C45" i="6802"/>
  <c r="C47" i="6802"/>
  <c r="C49" i="6802"/>
  <c r="H9" i="6800"/>
  <c r="H19" i="6800"/>
  <c r="H12" i="6800"/>
  <c r="C23" i="6800"/>
  <c r="B27" i="6800"/>
  <c r="H44" i="6800"/>
  <c r="H3" i="6800"/>
  <c r="C20" i="6800"/>
  <c r="C24" i="6800"/>
  <c r="H38" i="6800"/>
  <c r="H46" i="6800"/>
  <c r="H10" i="6800"/>
  <c r="B28" i="6800"/>
  <c r="H2" i="6800"/>
  <c r="H5" i="6800"/>
  <c r="H7" i="6800"/>
  <c r="H14" i="6800"/>
  <c r="C25" i="6800"/>
  <c r="H40" i="6800"/>
  <c r="H48" i="6800"/>
  <c r="H8" i="6800"/>
  <c r="H16" i="6800"/>
  <c r="H18" i="6800"/>
  <c r="H4" i="6800"/>
  <c r="H11" i="6800"/>
  <c r="H13" i="6800"/>
  <c r="H15" i="6800"/>
  <c r="H17" i="6800"/>
  <c r="H20" i="6800"/>
  <c r="C22" i="6800"/>
  <c r="C26" i="6800"/>
  <c r="H32" i="6800"/>
  <c r="H42" i="6800"/>
  <c r="H50" i="6800"/>
  <c r="H22" i="6800"/>
  <c r="H24" i="6800"/>
  <c r="H26" i="6800"/>
  <c r="H28" i="6800"/>
  <c r="H30" i="6800"/>
  <c r="H33" i="6800"/>
  <c r="H36" i="6800"/>
  <c r="C38" i="6800"/>
  <c r="C40" i="6800"/>
  <c r="C42" i="6800"/>
  <c r="C44" i="6800"/>
  <c r="C46" i="6800"/>
  <c r="C48" i="6800"/>
  <c r="H51" i="6800"/>
  <c r="H34" i="6800"/>
  <c r="H37" i="6800"/>
  <c r="H39" i="6800"/>
  <c r="H41" i="6800"/>
  <c r="H43" i="6800"/>
  <c r="H45" i="6800"/>
  <c r="H47" i="6800"/>
  <c r="H49" i="6800"/>
  <c r="H6" i="6800"/>
  <c r="H21" i="6800"/>
  <c r="H23" i="6800"/>
  <c r="H25" i="6800"/>
  <c r="H27" i="6800"/>
  <c r="H29" i="6800"/>
  <c r="H31" i="6800"/>
  <c r="H35" i="6800"/>
  <c r="C37" i="6800"/>
  <c r="C39" i="6800"/>
  <c r="C41" i="6800"/>
  <c r="C43" i="6800"/>
  <c r="C45" i="6800"/>
  <c r="C47" i="6800"/>
  <c r="C49" i="6800"/>
  <c r="P17" i="6786" l="1"/>
  <c r="P15" i="6794"/>
  <c r="P16" i="6792"/>
  <c r="P16" i="6794"/>
  <c r="P21" i="6794"/>
  <c r="P19" i="6796"/>
  <c r="P19" i="6792"/>
  <c r="P17" i="6796"/>
  <c r="P16" i="6786"/>
  <c r="P15" i="6786"/>
  <c r="P17" i="6798" l="1"/>
  <c r="P16" i="6796"/>
  <c r="P17" i="6784"/>
  <c r="P22" i="6784"/>
  <c r="P16" i="6798"/>
  <c r="P15" i="6798"/>
  <c r="C35" i="6798"/>
  <c r="B30" i="6798"/>
  <c r="C21" i="6798"/>
  <c r="B20" i="6798"/>
  <c r="H52" i="6798" s="1"/>
  <c r="B19" i="6798"/>
  <c r="B29" i="6798" s="1"/>
  <c r="C18" i="6798"/>
  <c r="B18" i="6798"/>
  <c r="C17" i="6798"/>
  <c r="C16" i="6798"/>
  <c r="C15" i="6798"/>
  <c r="B13" i="6798"/>
  <c r="P12" i="6798"/>
  <c r="B12" i="6798"/>
  <c r="P11" i="6798"/>
  <c r="B11" i="6798"/>
  <c r="B14" i="6798" s="1"/>
  <c r="P10" i="6798"/>
  <c r="C10" i="6798"/>
  <c r="C9" i="6798"/>
  <c r="C8" i="6798"/>
  <c r="P7" i="6798"/>
  <c r="B7" i="6798"/>
  <c r="P6" i="6798"/>
  <c r="P5" i="6798"/>
  <c r="B5" i="6798"/>
  <c r="P4" i="6798"/>
  <c r="P3" i="6798"/>
  <c r="P2" i="6798"/>
  <c r="P18" i="6796"/>
  <c r="P15" i="6796"/>
  <c r="C35" i="6796"/>
  <c r="B30" i="6796"/>
  <c r="C21" i="6796"/>
  <c r="B20" i="6796"/>
  <c r="H52" i="6796" s="1"/>
  <c r="B19" i="6796"/>
  <c r="B29" i="6796" s="1"/>
  <c r="B18" i="6796"/>
  <c r="C18" i="6796" s="1"/>
  <c r="C17" i="6796"/>
  <c r="C16" i="6796"/>
  <c r="C15" i="6796"/>
  <c r="B13" i="6796"/>
  <c r="P12" i="6796"/>
  <c r="B12" i="6796"/>
  <c r="P11" i="6796"/>
  <c r="B11" i="6796"/>
  <c r="P10" i="6796"/>
  <c r="C10" i="6796"/>
  <c r="C9" i="6796"/>
  <c r="C8" i="6796"/>
  <c r="P7" i="6796"/>
  <c r="B7" i="6796"/>
  <c r="P6" i="6796"/>
  <c r="P5" i="6796"/>
  <c r="B5" i="6796"/>
  <c r="P4" i="6796"/>
  <c r="P3" i="6796"/>
  <c r="P2" i="6796"/>
  <c r="P23" i="6792"/>
  <c r="P18" i="6792"/>
  <c r="P17" i="6782"/>
  <c r="P20" i="6782"/>
  <c r="B14" i="6796" l="1"/>
  <c r="C19" i="6798"/>
  <c r="H13" i="6798"/>
  <c r="H11" i="6798"/>
  <c r="H20" i="6798"/>
  <c r="H32" i="6798"/>
  <c r="H42" i="6798"/>
  <c r="H18" i="6798"/>
  <c r="B27" i="6798"/>
  <c r="H44" i="6798"/>
  <c r="H22" i="6798"/>
  <c r="H6" i="6798"/>
  <c r="C20" i="6798"/>
  <c r="H38" i="6798"/>
  <c r="H46" i="6798"/>
  <c r="H2" i="6798"/>
  <c r="C25" i="6798"/>
  <c r="H3" i="6798"/>
  <c r="H12" i="6798"/>
  <c r="H7" i="6798"/>
  <c r="H14" i="6798"/>
  <c r="H16" i="6798"/>
  <c r="H8" i="6798"/>
  <c r="H15" i="6798"/>
  <c r="H9" i="6798"/>
  <c r="C23" i="6798"/>
  <c r="H40" i="6798"/>
  <c r="H48" i="6798"/>
  <c r="H50" i="6798"/>
  <c r="H10" i="6798"/>
  <c r="H25" i="6798"/>
  <c r="H27" i="6798"/>
  <c r="H4" i="6798"/>
  <c r="H30" i="6798"/>
  <c r="H33" i="6798"/>
  <c r="H36" i="6798"/>
  <c r="C38" i="6798"/>
  <c r="C40" i="6798"/>
  <c r="C42" i="6798"/>
  <c r="C44" i="6798"/>
  <c r="C46" i="6798"/>
  <c r="C48" i="6798"/>
  <c r="H51" i="6798"/>
  <c r="H17" i="6798"/>
  <c r="H19" i="6798"/>
  <c r="H21" i="6798"/>
  <c r="C22" i="6798"/>
  <c r="C24" i="6798"/>
  <c r="C26" i="6798"/>
  <c r="B28" i="6798"/>
  <c r="H34" i="6798"/>
  <c r="H37" i="6798"/>
  <c r="H39" i="6798"/>
  <c r="H41" i="6798"/>
  <c r="H43" i="6798"/>
  <c r="H45" i="6798"/>
  <c r="H47" i="6798"/>
  <c r="H49" i="6798"/>
  <c r="H5" i="6798"/>
  <c r="H23" i="6798"/>
  <c r="H24" i="6798"/>
  <c r="H26" i="6798"/>
  <c r="H28" i="6798"/>
  <c r="H29" i="6798"/>
  <c r="H31" i="6798"/>
  <c r="H35" i="6798"/>
  <c r="C37" i="6798"/>
  <c r="C39" i="6798"/>
  <c r="C41" i="6798"/>
  <c r="C43" i="6798"/>
  <c r="C45" i="6798"/>
  <c r="C47" i="6798"/>
  <c r="C49" i="6798"/>
  <c r="H13" i="6796"/>
  <c r="C19" i="6796"/>
  <c r="H2" i="6796"/>
  <c r="H17" i="6796"/>
  <c r="H9" i="6796"/>
  <c r="H11" i="6796"/>
  <c r="H19" i="6796"/>
  <c r="H3" i="6796"/>
  <c r="H12" i="6796"/>
  <c r="H4" i="6796"/>
  <c r="H7" i="6796"/>
  <c r="B27" i="6796"/>
  <c r="H38" i="6796"/>
  <c r="H44" i="6796"/>
  <c r="H20" i="6796"/>
  <c r="H22" i="6796"/>
  <c r="C20" i="6796"/>
  <c r="H46" i="6796"/>
  <c r="H8" i="6796"/>
  <c r="H16" i="6796"/>
  <c r="H23" i="6796"/>
  <c r="C23" i="6796"/>
  <c r="H40" i="6796"/>
  <c r="H48" i="6796"/>
  <c r="C25" i="6796"/>
  <c r="H32" i="6796"/>
  <c r="H42" i="6796"/>
  <c r="H50" i="6796"/>
  <c r="H25" i="6796"/>
  <c r="H15" i="6796"/>
  <c r="H27" i="6796"/>
  <c r="H6" i="6796"/>
  <c r="H30" i="6796"/>
  <c r="H33" i="6796"/>
  <c r="H36" i="6796"/>
  <c r="C38" i="6796"/>
  <c r="C40" i="6796"/>
  <c r="C42" i="6796"/>
  <c r="C44" i="6796"/>
  <c r="C46" i="6796"/>
  <c r="C48" i="6796"/>
  <c r="H51" i="6796"/>
  <c r="H18" i="6796"/>
  <c r="H14" i="6796"/>
  <c r="H21" i="6796"/>
  <c r="C22" i="6796"/>
  <c r="C24" i="6796"/>
  <c r="C26" i="6796"/>
  <c r="B28" i="6796"/>
  <c r="H34" i="6796"/>
  <c r="H37" i="6796"/>
  <c r="H39" i="6796"/>
  <c r="H41" i="6796"/>
  <c r="H43" i="6796"/>
  <c r="H45" i="6796"/>
  <c r="H47" i="6796"/>
  <c r="H49" i="6796"/>
  <c r="H5" i="6796"/>
  <c r="H24" i="6796"/>
  <c r="H26" i="6796"/>
  <c r="H10" i="6796"/>
  <c r="H28" i="6796"/>
  <c r="H29" i="6796"/>
  <c r="H31" i="6796"/>
  <c r="H35" i="6796"/>
  <c r="C37" i="6796"/>
  <c r="C39" i="6796"/>
  <c r="C41" i="6796"/>
  <c r="C43" i="6796"/>
  <c r="C45" i="6796"/>
  <c r="C47" i="6796"/>
  <c r="C49" i="6796"/>
  <c r="P18" i="6788" l="1"/>
  <c r="P19" i="6794"/>
  <c r="P18" i="6794"/>
  <c r="C35" i="6794"/>
  <c r="B30" i="6794"/>
  <c r="C21" i="6794"/>
  <c r="B20" i="6794"/>
  <c r="H52" i="6794" s="1"/>
  <c r="C19" i="6794"/>
  <c r="B19" i="6794"/>
  <c r="B29" i="6794" s="1"/>
  <c r="B18" i="6794"/>
  <c r="C18" i="6794" s="1"/>
  <c r="C17" i="6794"/>
  <c r="C16" i="6794"/>
  <c r="C15" i="6794"/>
  <c r="B13" i="6794"/>
  <c r="P12" i="6794"/>
  <c r="B12" i="6794"/>
  <c r="P11" i="6794"/>
  <c r="B11" i="6794"/>
  <c r="P10" i="6794"/>
  <c r="C10" i="6794"/>
  <c r="C9" i="6794"/>
  <c r="C8" i="6794"/>
  <c r="P7" i="6794"/>
  <c r="B7" i="6794"/>
  <c r="P6" i="6794"/>
  <c r="P5" i="6794"/>
  <c r="B5" i="6794"/>
  <c r="P4" i="6794"/>
  <c r="P3" i="6794"/>
  <c r="P2" i="6794"/>
  <c r="P19" i="6784"/>
  <c r="P21" i="6782"/>
  <c r="B14" i="6794" l="1"/>
  <c r="H18" i="6794"/>
  <c r="H14" i="6794"/>
  <c r="H23" i="6794"/>
  <c r="C23" i="6794"/>
  <c r="H10" i="6794"/>
  <c r="H13" i="6794"/>
  <c r="H4" i="6794"/>
  <c r="H7" i="6794"/>
  <c r="H24" i="6794"/>
  <c r="B27" i="6794"/>
  <c r="C20" i="6794"/>
  <c r="H5" i="6794"/>
  <c r="H2" i="6794"/>
  <c r="H11" i="6794"/>
  <c r="H21" i="6794"/>
  <c r="H6" i="6794"/>
  <c r="H8" i="6794"/>
  <c r="H19" i="6794"/>
  <c r="C25" i="6794"/>
  <c r="H33" i="6794"/>
  <c r="H39" i="6794"/>
  <c r="H41" i="6794"/>
  <c r="H43" i="6794"/>
  <c r="H45" i="6794"/>
  <c r="H47" i="6794"/>
  <c r="H49" i="6794"/>
  <c r="H51" i="6794"/>
  <c r="H16" i="6794"/>
  <c r="H27" i="6794"/>
  <c r="H28" i="6794"/>
  <c r="H9" i="6794"/>
  <c r="H31" i="6794"/>
  <c r="H34" i="6794"/>
  <c r="H37" i="6794"/>
  <c r="C38" i="6794"/>
  <c r="C40" i="6794"/>
  <c r="C42" i="6794"/>
  <c r="C44" i="6794"/>
  <c r="C46" i="6794"/>
  <c r="C48" i="6794"/>
  <c r="H17" i="6794"/>
  <c r="H20" i="6794"/>
  <c r="H22" i="6794"/>
  <c r="H15" i="6794"/>
  <c r="C22" i="6794"/>
  <c r="C24" i="6794"/>
  <c r="C26" i="6794"/>
  <c r="B28" i="6794"/>
  <c r="H35" i="6794"/>
  <c r="H38" i="6794"/>
  <c r="H40" i="6794"/>
  <c r="H42" i="6794"/>
  <c r="H44" i="6794"/>
  <c r="H46" i="6794"/>
  <c r="H48" i="6794"/>
  <c r="H50" i="6794"/>
  <c r="H3" i="6794"/>
  <c r="H25" i="6794"/>
  <c r="H26" i="6794"/>
  <c r="H12" i="6794"/>
  <c r="H29" i="6794"/>
  <c r="H30" i="6794"/>
  <c r="H32" i="6794"/>
  <c r="H36" i="6794"/>
  <c r="C37" i="6794"/>
  <c r="C39" i="6794"/>
  <c r="C41" i="6794"/>
  <c r="C43" i="6794"/>
  <c r="C45" i="6794"/>
  <c r="C47" i="6794"/>
  <c r="C49" i="6794"/>
  <c r="P20" i="6784" l="1"/>
  <c r="P16" i="6784"/>
  <c r="P20" i="6792"/>
  <c r="P21" i="6792"/>
  <c r="C35" i="6792"/>
  <c r="B30" i="6792"/>
  <c r="C21" i="6792"/>
  <c r="B20" i="6792"/>
  <c r="H52" i="6792" s="1"/>
  <c r="B19" i="6792"/>
  <c r="B29" i="6792" s="1"/>
  <c r="B18" i="6792"/>
  <c r="C18" i="6792" s="1"/>
  <c r="C17" i="6792"/>
  <c r="C16" i="6792"/>
  <c r="C15" i="6792"/>
  <c r="B13" i="6792"/>
  <c r="P12" i="6792"/>
  <c r="B12" i="6792"/>
  <c r="P11" i="6792"/>
  <c r="B11" i="6792"/>
  <c r="P10" i="6792"/>
  <c r="C10" i="6792"/>
  <c r="C9" i="6792"/>
  <c r="C8" i="6792"/>
  <c r="P7" i="6792"/>
  <c r="B7" i="6792"/>
  <c r="P6" i="6792"/>
  <c r="P5" i="6792"/>
  <c r="B5" i="6792"/>
  <c r="P4" i="6792"/>
  <c r="P3" i="6792"/>
  <c r="P2" i="6792"/>
  <c r="P16" i="6782"/>
  <c r="P16" i="6790"/>
  <c r="P15" i="6790"/>
  <c r="C35" i="6790"/>
  <c r="B30" i="6790"/>
  <c r="C21" i="6790"/>
  <c r="B20" i="6790"/>
  <c r="H52" i="6790" s="1"/>
  <c r="C19" i="6790"/>
  <c r="B19" i="6790"/>
  <c r="B29" i="6790" s="1"/>
  <c r="C18" i="6790"/>
  <c r="B18" i="6790"/>
  <c r="C17" i="6790"/>
  <c r="H18" i="6790"/>
  <c r="C16" i="6790"/>
  <c r="C15" i="6790"/>
  <c r="H16" i="6790"/>
  <c r="B13" i="6790"/>
  <c r="P12" i="6790"/>
  <c r="H14" i="6790"/>
  <c r="B12" i="6790"/>
  <c r="P11" i="6790"/>
  <c r="B11" i="6790"/>
  <c r="P10" i="6790"/>
  <c r="C10" i="6790"/>
  <c r="H12" i="6790"/>
  <c r="C9" i="6790"/>
  <c r="C8" i="6790"/>
  <c r="P7" i="6790"/>
  <c r="B7" i="6790"/>
  <c r="P6" i="6790"/>
  <c r="H10" i="6790"/>
  <c r="P5" i="6790"/>
  <c r="B5" i="6790"/>
  <c r="P4" i="6790"/>
  <c r="P3" i="6790"/>
  <c r="H8" i="6790"/>
  <c r="P2" i="6790"/>
  <c r="P23" i="6782"/>
  <c r="B14" i="6792" l="1"/>
  <c r="C19" i="6792"/>
  <c r="B14" i="6790"/>
  <c r="H21" i="6790"/>
  <c r="C23" i="6790"/>
  <c r="H44" i="6790"/>
  <c r="H46" i="6790"/>
  <c r="H17" i="6790"/>
  <c r="C20" i="6790"/>
  <c r="H13" i="6790"/>
  <c r="H20" i="6790"/>
  <c r="H5" i="6790"/>
  <c r="H11" i="6790"/>
  <c r="H6" i="6790"/>
  <c r="H19" i="6790"/>
  <c r="H4" i="6790"/>
  <c r="H9" i="6790"/>
  <c r="H3" i="6790"/>
  <c r="H15" i="6790"/>
  <c r="H38" i="6790"/>
  <c r="B27" i="6790"/>
  <c r="H40" i="6790"/>
  <c r="H15" i="6792"/>
  <c r="C20" i="6792"/>
  <c r="H14" i="6792"/>
  <c r="H5" i="6792"/>
  <c r="H16" i="6792"/>
  <c r="H18" i="6792"/>
  <c r="H38" i="6792"/>
  <c r="H3" i="6792"/>
  <c r="H21" i="6792"/>
  <c r="B27" i="6792"/>
  <c r="H44" i="6792"/>
  <c r="H46" i="6792"/>
  <c r="H11" i="6792"/>
  <c r="C23" i="6792"/>
  <c r="H40" i="6792"/>
  <c r="H48" i="6792"/>
  <c r="C25" i="6792"/>
  <c r="H32" i="6792"/>
  <c r="H42" i="6792"/>
  <c r="H50" i="6792"/>
  <c r="H27" i="6792"/>
  <c r="H9" i="6792"/>
  <c r="H33" i="6792"/>
  <c r="H36" i="6792"/>
  <c r="C40" i="6792"/>
  <c r="C42" i="6792"/>
  <c r="C44" i="6792"/>
  <c r="C46" i="6792"/>
  <c r="H51" i="6792"/>
  <c r="H4" i="6792"/>
  <c r="H2" i="6792"/>
  <c r="H8" i="6792"/>
  <c r="H17" i="6792"/>
  <c r="H22" i="6792"/>
  <c r="H23" i="6792"/>
  <c r="C22" i="6792"/>
  <c r="C24" i="6792"/>
  <c r="C26" i="6792"/>
  <c r="B28" i="6792"/>
  <c r="H34" i="6792"/>
  <c r="H37" i="6792"/>
  <c r="H39" i="6792"/>
  <c r="H41" i="6792"/>
  <c r="H43" i="6792"/>
  <c r="H45" i="6792"/>
  <c r="H47" i="6792"/>
  <c r="H49" i="6792"/>
  <c r="H6" i="6792"/>
  <c r="H24" i="6792"/>
  <c r="H12" i="6792"/>
  <c r="H28" i="6792"/>
  <c r="H13" i="6792"/>
  <c r="C38" i="6792"/>
  <c r="C48" i="6792"/>
  <c r="H7" i="6792"/>
  <c r="H10" i="6792"/>
  <c r="H20" i="6792"/>
  <c r="H25" i="6792"/>
  <c r="H26" i="6792"/>
  <c r="H19" i="6792"/>
  <c r="H29" i="6792"/>
  <c r="H30" i="6792"/>
  <c r="H31" i="6792"/>
  <c r="H35" i="6792"/>
  <c r="C37" i="6792"/>
  <c r="C39" i="6792"/>
  <c r="C41" i="6792"/>
  <c r="C43" i="6792"/>
  <c r="C45" i="6792"/>
  <c r="C47" i="6792"/>
  <c r="C49" i="6792"/>
  <c r="H48" i="6790"/>
  <c r="C25" i="6790"/>
  <c r="H32" i="6790"/>
  <c r="H42" i="6790"/>
  <c r="H50" i="6790"/>
  <c r="H23" i="6790"/>
  <c r="H25" i="6790"/>
  <c r="H27" i="6790"/>
  <c r="H7" i="6790"/>
  <c r="H30" i="6790"/>
  <c r="H33" i="6790"/>
  <c r="H36" i="6790"/>
  <c r="C38" i="6790"/>
  <c r="C40" i="6790"/>
  <c r="C42" i="6790"/>
  <c r="C44" i="6790"/>
  <c r="C46" i="6790"/>
  <c r="C48" i="6790"/>
  <c r="H51" i="6790"/>
  <c r="C22" i="6790"/>
  <c r="C24" i="6790"/>
  <c r="C26" i="6790"/>
  <c r="B28" i="6790"/>
  <c r="H34" i="6790"/>
  <c r="H37" i="6790"/>
  <c r="H39" i="6790"/>
  <c r="H41" i="6790"/>
  <c r="H43" i="6790"/>
  <c r="H45" i="6790"/>
  <c r="H47" i="6790"/>
  <c r="H49" i="6790"/>
  <c r="H2" i="6790"/>
  <c r="H22" i="6790"/>
  <c r="H24" i="6790"/>
  <c r="H26" i="6790"/>
  <c r="H28" i="6790"/>
  <c r="H29" i="6790"/>
  <c r="H31" i="6790"/>
  <c r="H35" i="6790"/>
  <c r="C37" i="6790"/>
  <c r="C39" i="6790"/>
  <c r="C41" i="6790"/>
  <c r="C43" i="6790"/>
  <c r="C45" i="6790"/>
  <c r="C47" i="6790"/>
  <c r="C49" i="6790"/>
  <c r="P15" i="6788" l="1"/>
  <c r="P17" i="6788"/>
  <c r="C35" i="6788"/>
  <c r="B30" i="6788"/>
  <c r="C21" i="6788"/>
  <c r="B20" i="6788"/>
  <c r="H52" i="6788" s="1"/>
  <c r="B19" i="6788"/>
  <c r="B29" i="6788" s="1"/>
  <c r="B18" i="6788"/>
  <c r="C18" i="6788" s="1"/>
  <c r="C17" i="6788"/>
  <c r="C16" i="6788"/>
  <c r="C15" i="6788"/>
  <c r="B13" i="6788"/>
  <c r="P12" i="6788"/>
  <c r="B12" i="6788"/>
  <c r="P11" i="6788"/>
  <c r="B11" i="6788"/>
  <c r="P10" i="6788"/>
  <c r="C10" i="6788"/>
  <c r="C9" i="6788"/>
  <c r="C8" i="6788"/>
  <c r="P7" i="6788"/>
  <c r="B7" i="6788"/>
  <c r="P6" i="6788"/>
  <c r="P5" i="6788"/>
  <c r="B5" i="6788"/>
  <c r="P4" i="6788"/>
  <c r="P3" i="6788"/>
  <c r="P2" i="6788"/>
  <c r="P19" i="6786"/>
  <c r="P18" i="6786"/>
  <c r="C35" i="6786"/>
  <c r="B30" i="6786"/>
  <c r="C21" i="6786"/>
  <c r="B20" i="6786"/>
  <c r="H52" i="6786" s="1"/>
  <c r="B19" i="6786"/>
  <c r="B29" i="6786" s="1"/>
  <c r="B18" i="6786"/>
  <c r="C18" i="6786" s="1"/>
  <c r="C17" i="6786"/>
  <c r="C16" i="6786"/>
  <c r="C15" i="6786"/>
  <c r="B13" i="6786"/>
  <c r="P12" i="6786"/>
  <c r="B12" i="6786"/>
  <c r="P11" i="6786"/>
  <c r="B11" i="6786"/>
  <c r="B14" i="6786" s="1"/>
  <c r="P10" i="6786"/>
  <c r="C10" i="6786"/>
  <c r="C9" i="6786"/>
  <c r="C8" i="6786"/>
  <c r="P7" i="6786"/>
  <c r="B7" i="6786"/>
  <c r="P6" i="6786"/>
  <c r="P5" i="6786"/>
  <c r="B5" i="6786"/>
  <c r="P4" i="6786"/>
  <c r="P3" i="6786"/>
  <c r="P2" i="6786"/>
  <c r="P22" i="6782"/>
  <c r="P21" i="6784"/>
  <c r="P15" i="6784"/>
  <c r="C35" i="6784"/>
  <c r="B30" i="6784"/>
  <c r="C21" i="6784"/>
  <c r="B20" i="6784"/>
  <c r="H52" i="6784" s="1"/>
  <c r="B19" i="6784"/>
  <c r="B29" i="6784" s="1"/>
  <c r="B18" i="6784"/>
  <c r="C18" i="6784" s="1"/>
  <c r="C17" i="6784"/>
  <c r="C16" i="6784"/>
  <c r="C15" i="6784"/>
  <c r="B13" i="6784"/>
  <c r="P12" i="6784"/>
  <c r="B12" i="6784"/>
  <c r="P11" i="6784"/>
  <c r="B11" i="6784"/>
  <c r="P10" i="6784"/>
  <c r="C10" i="6784"/>
  <c r="C9" i="6784"/>
  <c r="C8" i="6784"/>
  <c r="P7" i="6784"/>
  <c r="B7" i="6784"/>
  <c r="P6" i="6784"/>
  <c r="P5" i="6784"/>
  <c r="B5" i="6784"/>
  <c r="P4" i="6784"/>
  <c r="P3" i="6784"/>
  <c r="P2" i="6784"/>
  <c r="P24" i="6782"/>
  <c r="P15" i="6782"/>
  <c r="C35" i="6782"/>
  <c r="B30" i="6782"/>
  <c r="C21" i="6782"/>
  <c r="B20" i="6782"/>
  <c r="H52" i="6782" s="1"/>
  <c r="B19" i="6782"/>
  <c r="B29" i="6782" s="1"/>
  <c r="B18" i="6782"/>
  <c r="C18" i="6782" s="1"/>
  <c r="C17" i="6782"/>
  <c r="C16" i="6782"/>
  <c r="C15" i="6782"/>
  <c r="B13" i="6782"/>
  <c r="P12" i="6782"/>
  <c r="B12" i="6782"/>
  <c r="P11" i="6782"/>
  <c r="B11" i="6782"/>
  <c r="P10" i="6782"/>
  <c r="C10" i="6782"/>
  <c r="C9" i="6782"/>
  <c r="C8" i="6782"/>
  <c r="P7" i="6782"/>
  <c r="B7" i="6782"/>
  <c r="P6" i="6782"/>
  <c r="P5" i="6782"/>
  <c r="B5" i="6782"/>
  <c r="P4" i="6782"/>
  <c r="P3" i="6782"/>
  <c r="P2" i="6782"/>
  <c r="C19" i="6786" l="1"/>
  <c r="B14" i="6784"/>
  <c r="H10" i="6784"/>
  <c r="H2" i="6784"/>
  <c r="H9" i="6784"/>
  <c r="B14" i="6782"/>
  <c r="C20" i="6784"/>
  <c r="C19" i="6784"/>
  <c r="B14" i="6788"/>
  <c r="C19" i="6788"/>
  <c r="H9" i="6788"/>
  <c r="B27" i="6788"/>
  <c r="H4" i="6788"/>
  <c r="H2" i="6788"/>
  <c r="H21" i="6788"/>
  <c r="H23" i="6788"/>
  <c r="B28" i="6788"/>
  <c r="C20" i="6788"/>
  <c r="C24" i="6788"/>
  <c r="H38" i="6788"/>
  <c r="H46" i="6788"/>
  <c r="H24" i="6788"/>
  <c r="H44" i="6788"/>
  <c r="H5" i="6788"/>
  <c r="H16" i="6788"/>
  <c r="H19" i="6788"/>
  <c r="C25" i="6788"/>
  <c r="H40" i="6788"/>
  <c r="H48" i="6788"/>
  <c r="H17" i="6788"/>
  <c r="C23" i="6788"/>
  <c r="H10" i="6788"/>
  <c r="H3" i="6788"/>
  <c r="H7" i="6788"/>
  <c r="H11" i="6788"/>
  <c r="H18" i="6788"/>
  <c r="H20" i="6788"/>
  <c r="H22" i="6788"/>
  <c r="H25" i="6788"/>
  <c r="C22" i="6788"/>
  <c r="C26" i="6788"/>
  <c r="H32" i="6788"/>
  <c r="H42" i="6788"/>
  <c r="H50" i="6788"/>
  <c r="H12" i="6788"/>
  <c r="H28" i="6788"/>
  <c r="H29" i="6788"/>
  <c r="H8" i="6788"/>
  <c r="H15" i="6788"/>
  <c r="H33" i="6788"/>
  <c r="H36" i="6788"/>
  <c r="C38" i="6788"/>
  <c r="C40" i="6788"/>
  <c r="C42" i="6788"/>
  <c r="C44" i="6788"/>
  <c r="C46" i="6788"/>
  <c r="C48" i="6788"/>
  <c r="H51" i="6788"/>
  <c r="H34" i="6788"/>
  <c r="H37" i="6788"/>
  <c r="H39" i="6788"/>
  <c r="H41" i="6788"/>
  <c r="H43" i="6788"/>
  <c r="H45" i="6788"/>
  <c r="H47" i="6788"/>
  <c r="H49" i="6788"/>
  <c r="H6" i="6788"/>
  <c r="H26" i="6788"/>
  <c r="H27" i="6788"/>
  <c r="H13" i="6788"/>
  <c r="H14" i="6788"/>
  <c r="H30" i="6788"/>
  <c r="H31" i="6788"/>
  <c r="H35" i="6788"/>
  <c r="C37" i="6788"/>
  <c r="C39" i="6788"/>
  <c r="C41" i="6788"/>
  <c r="C43" i="6788"/>
  <c r="C45" i="6788"/>
  <c r="C47" i="6788"/>
  <c r="C49" i="6788"/>
  <c r="H20" i="6786"/>
  <c r="H10" i="6786"/>
  <c r="H17" i="6786"/>
  <c r="H19" i="6786"/>
  <c r="H11" i="6786"/>
  <c r="H23" i="6786"/>
  <c r="H16" i="6786"/>
  <c r="H18" i="6786"/>
  <c r="H8" i="6786"/>
  <c r="H5" i="6786"/>
  <c r="H2" i="6786"/>
  <c r="H7" i="6786"/>
  <c r="H12" i="6786"/>
  <c r="C23" i="6786"/>
  <c r="C25" i="6786"/>
  <c r="H32" i="6786"/>
  <c r="H6" i="6786"/>
  <c r="H9" i="6786"/>
  <c r="H3" i="6786"/>
  <c r="H21" i="6786"/>
  <c r="H22" i="6786"/>
  <c r="C20" i="6786"/>
  <c r="B27" i="6786"/>
  <c r="H38" i="6786"/>
  <c r="H40" i="6786"/>
  <c r="H42" i="6786"/>
  <c r="H44" i="6786"/>
  <c r="H46" i="6786"/>
  <c r="H48" i="6786"/>
  <c r="H50" i="6786"/>
  <c r="H13" i="6786"/>
  <c r="H26" i="6786"/>
  <c r="H27" i="6786"/>
  <c r="H15" i="6786"/>
  <c r="H30" i="6786"/>
  <c r="H33" i="6786"/>
  <c r="H36" i="6786"/>
  <c r="C38" i="6786"/>
  <c r="C40" i="6786"/>
  <c r="C42" i="6786"/>
  <c r="C44" i="6786"/>
  <c r="C46" i="6786"/>
  <c r="C48" i="6786"/>
  <c r="H51" i="6786"/>
  <c r="C22" i="6786"/>
  <c r="C24" i="6786"/>
  <c r="C26" i="6786"/>
  <c r="B28" i="6786"/>
  <c r="H34" i="6786"/>
  <c r="H37" i="6786"/>
  <c r="H39" i="6786"/>
  <c r="H41" i="6786"/>
  <c r="H43" i="6786"/>
  <c r="H45" i="6786"/>
  <c r="H47" i="6786"/>
  <c r="H49" i="6786"/>
  <c r="H4" i="6786"/>
  <c r="H24" i="6786"/>
  <c r="H25" i="6786"/>
  <c r="H14" i="6786"/>
  <c r="H28" i="6786"/>
  <c r="H29" i="6786"/>
  <c r="H31" i="6786"/>
  <c r="H35" i="6786"/>
  <c r="C37" i="6786"/>
  <c r="C39" i="6786"/>
  <c r="C41" i="6786"/>
  <c r="C43" i="6786"/>
  <c r="C45" i="6786"/>
  <c r="C47" i="6786"/>
  <c r="C49" i="6786"/>
  <c r="C19" i="6782"/>
  <c r="H29" i="6784"/>
  <c r="H7" i="6784"/>
  <c r="C38" i="6784"/>
  <c r="C46" i="6784"/>
  <c r="H12" i="6784"/>
  <c r="H20" i="6784"/>
  <c r="H23" i="6784"/>
  <c r="H17" i="6784"/>
  <c r="H13" i="6784"/>
  <c r="C23" i="6784"/>
  <c r="C25" i="6784"/>
  <c r="B27" i="6784"/>
  <c r="H33" i="6784"/>
  <c r="H39" i="6784"/>
  <c r="H41" i="6784"/>
  <c r="H43" i="6784"/>
  <c r="H45" i="6784"/>
  <c r="H47" i="6784"/>
  <c r="H49" i="6784"/>
  <c r="H51" i="6784"/>
  <c r="H11" i="6784"/>
  <c r="H34" i="6784"/>
  <c r="H16" i="6784"/>
  <c r="H4" i="6784"/>
  <c r="H3" i="6784"/>
  <c r="H8" i="6784"/>
  <c r="H22" i="6784"/>
  <c r="H24" i="6784"/>
  <c r="H18" i="6784"/>
  <c r="C22" i="6784"/>
  <c r="C24" i="6784"/>
  <c r="C26" i="6784"/>
  <c r="B28" i="6784"/>
  <c r="H35" i="6784"/>
  <c r="H38" i="6784"/>
  <c r="H40" i="6784"/>
  <c r="H42" i="6784"/>
  <c r="H44" i="6784"/>
  <c r="H46" i="6784"/>
  <c r="H48" i="6784"/>
  <c r="H50" i="6784"/>
  <c r="H5" i="6784"/>
  <c r="H25" i="6784"/>
  <c r="H28" i="6784"/>
  <c r="H32" i="6784"/>
  <c r="H37" i="6784"/>
  <c r="C40" i="6784"/>
  <c r="C42" i="6784"/>
  <c r="C44" i="6784"/>
  <c r="C48" i="6784"/>
  <c r="H6" i="6784"/>
  <c r="H14" i="6784"/>
  <c r="H21" i="6784"/>
  <c r="H26" i="6784"/>
  <c r="H27" i="6784"/>
  <c r="H15" i="6784"/>
  <c r="H30" i="6784"/>
  <c r="H31" i="6784"/>
  <c r="H19" i="6784"/>
  <c r="H36" i="6784"/>
  <c r="C37" i="6784"/>
  <c r="C39" i="6784"/>
  <c r="C41" i="6784"/>
  <c r="C43" i="6784"/>
  <c r="C45" i="6784"/>
  <c r="C47" i="6784"/>
  <c r="C49" i="6784"/>
  <c r="H19" i="6782"/>
  <c r="H7" i="6782"/>
  <c r="H11" i="6782"/>
  <c r="H10" i="6782"/>
  <c r="H6" i="6782"/>
  <c r="H3" i="6782"/>
  <c r="C20" i="6782"/>
  <c r="H27" i="6782"/>
  <c r="H16" i="6782"/>
  <c r="H15" i="6782"/>
  <c r="C23" i="6782"/>
  <c r="C25" i="6782"/>
  <c r="B27" i="6782"/>
  <c r="H33" i="6782"/>
  <c r="H39" i="6782"/>
  <c r="H41" i="6782"/>
  <c r="H43" i="6782"/>
  <c r="H45" i="6782"/>
  <c r="H47" i="6782"/>
  <c r="H49" i="6782"/>
  <c r="H51" i="6782"/>
  <c r="H28" i="6782"/>
  <c r="H13" i="6782"/>
  <c r="H8" i="6782"/>
  <c r="H34" i="6782"/>
  <c r="C38" i="6782"/>
  <c r="C42" i="6782"/>
  <c r="C44" i="6782"/>
  <c r="C46" i="6782"/>
  <c r="H18" i="6782"/>
  <c r="H23" i="6782"/>
  <c r="H31" i="6782"/>
  <c r="H17" i="6782"/>
  <c r="H37" i="6782"/>
  <c r="C40" i="6782"/>
  <c r="C48" i="6782"/>
  <c r="H4" i="6782"/>
  <c r="H2" i="6782"/>
  <c r="H9" i="6782"/>
  <c r="H21" i="6782"/>
  <c r="H22" i="6782"/>
  <c r="H20" i="6782"/>
  <c r="C22" i="6782"/>
  <c r="C24" i="6782"/>
  <c r="C26" i="6782"/>
  <c r="B28" i="6782"/>
  <c r="H35" i="6782"/>
  <c r="H38" i="6782"/>
  <c r="H40" i="6782"/>
  <c r="H42" i="6782"/>
  <c r="H44" i="6782"/>
  <c r="H46" i="6782"/>
  <c r="H48" i="6782"/>
  <c r="H50" i="6782"/>
  <c r="H5" i="6782"/>
  <c r="H12" i="6782"/>
  <c r="H26" i="6782"/>
  <c r="H29" i="6782"/>
  <c r="H30" i="6782"/>
  <c r="H14" i="6782"/>
  <c r="H24" i="6782"/>
  <c r="H32" i="6782"/>
  <c r="H25" i="6782"/>
  <c r="H36" i="6782"/>
  <c r="C37" i="6782"/>
  <c r="C39" i="6782"/>
  <c r="C41" i="6782"/>
  <c r="C43" i="6782"/>
  <c r="C45" i="6782"/>
  <c r="C47" i="6782"/>
  <c r="C49" i="678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<sst xmlns="http://schemas.openxmlformats.org/spreadsheetml/2006/main" count="2882" uniqueCount="227">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</sst>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全体!$L$2:$L$89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C-44F2-AB9E-9819EE436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-34.482758620689658</c:v>
                </c:pt>
                <c:pt idx="1">
                  <c:v>35.714285714285715</c:v>
                </c:pt>
                <c:pt idx="2">
                  <c:v>-11.904761904761905</c:v>
                </c:pt>
                <c:pt idx="3">
                  <c:v>12.820512820512821</c:v>
                </c:pt>
                <c:pt idx="4">
                  <c:v>-27.777777777777779</c:v>
                </c:pt>
                <c:pt idx="5">
                  <c:v>28.985507246376812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1-429A-B2A3-5E61703D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16</c:v>
                </c:pt>
                <c:pt idx="1">
                  <c:v>47</c:v>
                </c:pt>
                <c:pt idx="2">
                  <c:v>41</c:v>
                </c:pt>
                <c:pt idx="3">
                  <c:v>34</c:v>
                </c:pt>
                <c:pt idx="4">
                  <c:v>22</c:v>
                </c:pt>
                <c:pt idx="5">
                  <c:v>25</c:v>
                </c:pt>
                <c:pt idx="6">
                  <c:v>13</c:v>
                </c:pt>
                <c:pt idx="7">
                  <c:v>6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5-40EF-A98B-CCF6811EC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全体!$M$2:$M$89</c:f>
              <c:numCache>
                <c:formatCode>0</c:formatCode>
                <c:ptCount val="8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F-4D1D-A4EA-C8BC57382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437D-915E-ECF20EB0B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2190.4761904761904</c:v>
                </c:pt>
                <c:pt idx="1">
                  <c:v>-965</c:v>
                </c:pt>
                <c:pt idx="2">
                  <c:v>-190</c:v>
                </c:pt>
                <c:pt idx="3">
                  <c:v>2047.3684210526317</c:v>
                </c:pt>
                <c:pt idx="4">
                  <c:v>-294.44444444444446</c:v>
                </c:pt>
                <c:pt idx="5">
                  <c:v>-3200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1-47AA-8235-AF142B193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16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1B-4956-A298-9963E6E8B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だいち!$M$2:$M$23</c:f>
              <c:numCache>
                <c:formatCode>0</c:formatCode>
                <c:ptCount val="2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9-4EA4-B7B4-95B90465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E-4E0B-93E8-1C74B586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9-4563-B435-72EAFECEF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7-4110-BD4B-6446F382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A6-431F-8CF5-E31AEAB49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A-441B-8140-27A95A21F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2690</c:v>
                </c:pt>
                <c:pt idx="1">
                  <c:v>-1650</c:v>
                </c:pt>
                <c:pt idx="2">
                  <c:v>2030</c:v>
                </c:pt>
                <c:pt idx="3">
                  <c:v>-1080</c:v>
                </c:pt>
                <c:pt idx="4">
                  <c:v>1900</c:v>
                </c:pt>
                <c:pt idx="5">
                  <c:v>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64B-B546-DA55F92AD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7-4FF4-A063-4A5FC3E26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たかの!$M$2:$M$12</c:f>
              <c:numCache>
                <c:formatCode>0</c:formatCode>
                <c:ptCount val="1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D-4F33-9A4F-DC308E6A4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1-4743-AF86-D0099630E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8D-4D2F-BD47-DC2A75F88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3-4905-A65B-313705D52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4-4E71-82FA-395E3B30F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1-4951-A97B-3F7DAF785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200</c:v>
                </c:pt>
                <c:pt idx="1">
                  <c:v>1642.8571428571429</c:v>
                </c:pt>
                <c:pt idx="2">
                  <c:v>1121.4285714285713</c:v>
                </c:pt>
                <c:pt idx="3">
                  <c:v>258.33333333333331</c:v>
                </c:pt>
                <c:pt idx="4">
                  <c:v>2360</c:v>
                </c:pt>
                <c:pt idx="5">
                  <c:v>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4-41E5-AAE0-0BC50BB01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A-4871-85A3-2E0F1C34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いちかわ!$M$2:$M$16</c:f>
              <c:numCache>
                <c:formatCode>0</c:formatCode>
                <c:ptCount val="1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2-4CCD-BC7A-D2658EBE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1-4E66-ADF6-79A306B94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-900</c:v>
                </c:pt>
                <c:pt idx="1">
                  <c:v>1027.2727272727273</c:v>
                </c:pt>
                <c:pt idx="2">
                  <c:v>2636.3636363636365</c:v>
                </c:pt>
                <c:pt idx="3">
                  <c:v>-136.36363636363637</c:v>
                </c:pt>
                <c:pt idx="4">
                  <c:v>-627.27272727272725</c:v>
                </c:pt>
                <c:pt idx="5">
                  <c:v>-510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1-40C4-86CA-2DF310755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2-43AF-9E97-2935C4056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ただ!$M$2:$M$14</c:f>
              <c:numCache>
                <c:formatCode>0</c:formatCode>
                <c:ptCount val="13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1-426C-B77D-A48C04CBF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3-4BF0-8D20-37634CC9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-254.54545454545453</c:v>
                </c:pt>
                <c:pt idx="1">
                  <c:v>700</c:v>
                </c:pt>
                <c:pt idx="2">
                  <c:v>-4200</c:v>
                </c:pt>
                <c:pt idx="3">
                  <c:v>20</c:v>
                </c:pt>
                <c:pt idx="4">
                  <c:v>-1012.5</c:v>
                </c:pt>
                <c:pt idx="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A-42CE-A0B2-91C981FD1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F-4049-9BE3-6B0C7C3D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たか!$M$2:$M$13</c:f>
              <c:numCache>
                <c:formatCode>0</c:formatCode>
                <c:ptCount val="12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7-4216-A581-909B069F2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9-4FF8-B908-B050AC90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8-4585-A54D-ECD887A9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E-432F-A7DF-26B72BA4C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D-402F-BDEE-924A9A3C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B-4457-B3AF-58B640CF8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9-40BD-BA6A-47E48DC21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3-4825-B16E-73010FB56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7-43E4-B7AC-AE745E7F9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C-4407-A574-3B92E6ECF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9-42A5-9AC5-E7CDCC14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F-4019-BA44-83061ADFF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8-4EE4-B487-A12EFFE2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たか2!$C$3:$C$14</c:f>
              <c:numCache>
                <c:formatCode>\+0.0;\-0.0;\±0</c:formatCode>
                <c:ptCount val="12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633431576460000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たか2!$D$3:$D$14</c:f>
              <c:numCache>
                <c:formatCode>0.00\ "位"</c:formatCode>
                <c:ptCount val="12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たか2!$E$3:$E$14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たか2!$G$3:$G$14</c:f>
              <c:numCache>
                <c:formatCode>0.0%</c:formatCode>
                <c:ptCount val="12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676429567642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たか2!$H$3:$H$14</c:f>
              <c:numCache>
                <c:formatCode>0.0%</c:formatCode>
                <c:ptCount val="12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760111576011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たか2!$I$3:$I$14</c:f>
              <c:numCache>
                <c:formatCode>0</c:formatCode>
                <c:ptCount val="12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04.2452830188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たか2!$J$3:$J$14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22.1238938053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59770114942528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たか2!$L$3:$L$14</c:f>
              <c:numCache>
                <c:formatCode>0.0%</c:formatCode>
                <c:ptCount val="12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86192468619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たか2!$M$3:$M$14</c:f>
              <c:numCache>
                <c:formatCode>0.0%</c:formatCode>
                <c:ptCount val="12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467224546722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たか2!$N$3:$N$14</c:f>
              <c:numCache>
                <c:formatCode>0.0%</c:formatCode>
                <c:ptCount val="12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0225988700564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たか2!$O$3:$O$14</c:f>
              <c:numCache>
                <c:formatCode>0.0%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0227272727272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たか2!$P$3:$P$14</c:f>
              <c:numCache>
                <c:formatCode>0.0%</c:formatCode>
                <c:ptCount val="12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698113207547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21</v>
      </c>
      <c r="C2" s="120">
        <v>1842.3339395535957</v>
      </c>
    </row>
    <row r="3" spans="1:3" x14ac:dyDescent="0.45">
      <c r="A3" t="s">
        <v>163</v>
      </c>
      <c r="B3" s="120">
        <v>6</v>
      </c>
      <c r="C3" s="120">
        <v>1653.1699313523677</v>
      </c>
    </row>
    <row r="4" spans="1:3" x14ac:dyDescent="0.45">
      <c r="A4" t="s">
        <v>139</v>
      </c>
      <c r="B4" s="120">
        <v>87</v>
      </c>
      <c r="C4" s="120">
        <v>1594.5463045050694</v>
      </c>
    </row>
    <row r="5" spans="1:3" x14ac:dyDescent="0.45">
      <c r="A5" t="s">
        <v>190</v>
      </c>
      <c r="B5" s="120">
        <v>3</v>
      </c>
      <c r="C5" s="120">
        <v>1524.3778689305989</v>
      </c>
    </row>
    <row r="6" spans="1:3" x14ac:dyDescent="0.45">
      <c r="A6" t="s">
        <v>192</v>
      </c>
      <c r="B6" s="120">
        <v>12</v>
      </c>
      <c r="C6" s="120">
        <v>1517.1288342047803</v>
      </c>
    </row>
    <row r="7" spans="1:3" x14ac:dyDescent="0.45">
      <c r="A7" t="s">
        <v>211</v>
      </c>
      <c r="B7" s="120">
        <v>14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10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11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0.96944792424371928</v>
      </c>
      <c r="C2" s="142"/>
      <c r="D2" s="141">
        <v>0.5331092798264192</v>
      </c>
      <c r="E2" s="142"/>
      <c r="F2" s="141">
        <v>0.15173955981116657</v>
      </c>
      <c r="G2" s="142"/>
      <c r="H2" s="147"/>
      <c r="I2" s="148"/>
      <c r="J2" s="141">
        <v>-0.20136218634501468</v>
      </c>
      <c r="K2" s="142"/>
      <c r="L2" s="141">
        <v>5.3015039568780696E-2</v>
      </c>
      <c r="M2" s="142"/>
      <c r="N2" s="141">
        <v>-0.22411228687664647</v>
      </c>
      <c r="O2" s="142"/>
      <c r="P2" s="141">
        <v>0.18628465993678139</v>
      </c>
      <c r="Q2" s="142"/>
      <c r="R2" s="141">
        <v>0.20361519129324213</v>
      </c>
      <c r="S2" s="142"/>
      <c r="T2" s="141">
        <v>0.6214187653925678</v>
      </c>
      <c r="U2" s="142"/>
      <c r="V2" s="141">
        <v>0.20049589651356409</v>
      </c>
      <c r="W2" s="142"/>
      <c r="X2" s="141">
        <v>0.35767802504286506</v>
      </c>
      <c r="Y2" s="142"/>
      <c r="Z2" s="141">
        <v>0.43134901246436846</v>
      </c>
      <c r="AA2" s="142"/>
      <c r="AB2" s="141">
        <v>-0.45603364049916861</v>
      </c>
      <c r="AC2" s="142"/>
      <c r="AD2" s="141">
        <v>4.0350885446112164E-2</v>
      </c>
      <c r="AE2" s="142"/>
      <c r="AF2" s="141">
        <v>0.51849742935747756</v>
      </c>
      <c r="AG2" s="142"/>
      <c r="AH2" s="141">
        <v>0.44735561916607375</v>
      </c>
      <c r="AI2" s="142"/>
      <c r="AJ2" s="141">
        <v>0.85037846063180367</v>
      </c>
      <c r="AK2" s="142"/>
    </row>
    <row r="3" spans="1:37" x14ac:dyDescent="0.45">
      <c r="A3" s="38">
        <v>1</v>
      </c>
      <c r="B3" s="41" t="s">
        <v>139</v>
      </c>
      <c r="C3" s="113">
        <v>29</v>
      </c>
      <c r="D3" s="39" t="s">
        <v>126</v>
      </c>
      <c r="E3" s="40">
        <v>131</v>
      </c>
      <c r="F3" s="41" t="s">
        <v>189</v>
      </c>
      <c r="G3" s="60">
        <v>9.17</v>
      </c>
      <c r="H3" s="41" t="s">
        <v>126</v>
      </c>
      <c r="I3" s="45">
        <v>1835.0300854789134</v>
      </c>
      <c r="J3" s="41" t="s">
        <v>189</v>
      </c>
      <c r="K3" s="42">
        <v>1.7</v>
      </c>
      <c r="L3" s="41" t="s">
        <v>195</v>
      </c>
      <c r="M3" s="43">
        <v>0.5</v>
      </c>
      <c r="N3" s="41" t="s">
        <v>189</v>
      </c>
      <c r="O3" s="43">
        <v>0.1</v>
      </c>
      <c r="P3" s="41" t="s">
        <v>211</v>
      </c>
      <c r="Q3" s="44">
        <v>0.35238095238095241</v>
      </c>
      <c r="R3" s="41" t="s">
        <v>190</v>
      </c>
      <c r="S3" s="44">
        <v>4.7619047619047616E-2</v>
      </c>
      <c r="T3" s="41" t="s">
        <v>221</v>
      </c>
      <c r="U3" s="45">
        <v>10925</v>
      </c>
      <c r="V3" s="41" t="s">
        <v>190</v>
      </c>
      <c r="W3" s="45">
        <v>-3900</v>
      </c>
      <c r="X3" s="41" t="s">
        <v>126</v>
      </c>
      <c r="Y3" s="43">
        <v>0</v>
      </c>
      <c r="Z3" s="41" t="s">
        <v>189</v>
      </c>
      <c r="AA3" s="44">
        <v>0.27058823529411763</v>
      </c>
      <c r="AB3" s="41" t="s">
        <v>189</v>
      </c>
      <c r="AC3" s="44">
        <v>0.37647058823529411</v>
      </c>
      <c r="AD3" s="41" t="s">
        <v>195</v>
      </c>
      <c r="AE3" s="44">
        <v>0.77777777777777779</v>
      </c>
      <c r="AF3" s="41" t="s">
        <v>211</v>
      </c>
      <c r="AG3" s="44">
        <v>0.59259259259259256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21</v>
      </c>
      <c r="D4" s="47" t="s">
        <v>211</v>
      </c>
      <c r="E4" s="48">
        <v>99.300000000000011</v>
      </c>
      <c r="F4" s="49" t="s">
        <v>211</v>
      </c>
      <c r="G4" s="61">
        <v>7.0928571428571434</v>
      </c>
      <c r="H4" s="49" t="s">
        <v>163</v>
      </c>
      <c r="I4" s="53">
        <v>1618.6477491678233</v>
      </c>
      <c r="J4" s="49" t="s">
        <v>126</v>
      </c>
      <c r="K4" s="50">
        <v>1.9047619047619047</v>
      </c>
      <c r="L4" s="49" t="s">
        <v>211</v>
      </c>
      <c r="M4" s="51">
        <v>0.42857142857142855</v>
      </c>
      <c r="N4" s="49" t="s">
        <v>192</v>
      </c>
      <c r="O4" s="51">
        <v>0.16666666666666666</v>
      </c>
      <c r="P4" s="49" t="s">
        <v>189</v>
      </c>
      <c r="Q4" s="52">
        <v>0.3411764705882353</v>
      </c>
      <c r="R4" s="49" t="s">
        <v>192</v>
      </c>
      <c r="S4" s="52">
        <v>0.12149532710280374</v>
      </c>
      <c r="T4" s="49" t="s">
        <v>195</v>
      </c>
      <c r="U4" s="53">
        <v>9022.2222222222226</v>
      </c>
      <c r="V4" s="49" t="s">
        <v>195</v>
      </c>
      <c r="W4" s="53">
        <v>-6380</v>
      </c>
      <c r="X4" s="49" t="s">
        <v>192</v>
      </c>
      <c r="Y4" s="51">
        <v>0</v>
      </c>
      <c r="Z4" s="49" t="s">
        <v>126</v>
      </c>
      <c r="AA4" s="52">
        <v>0.27011494252873564</v>
      </c>
      <c r="AB4" s="49" t="s">
        <v>193</v>
      </c>
      <c r="AC4" s="52">
        <v>0.2857142857142857</v>
      </c>
      <c r="AD4" s="49" t="s">
        <v>211</v>
      </c>
      <c r="AE4" s="52">
        <v>0.61538461538461542</v>
      </c>
      <c r="AF4" s="49" t="s">
        <v>126</v>
      </c>
      <c r="AG4" s="52">
        <v>0.5641025641025641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211</v>
      </c>
      <c r="C5" s="114">
        <v>14</v>
      </c>
      <c r="D5" s="47" t="s">
        <v>189</v>
      </c>
      <c r="E5" s="48">
        <v>91.7</v>
      </c>
      <c r="F5" s="49" t="s">
        <v>126</v>
      </c>
      <c r="G5" s="61">
        <v>6.2380952380952381</v>
      </c>
      <c r="H5" s="49" t="s">
        <v>139</v>
      </c>
      <c r="I5" s="53">
        <v>1587.8897053269227</v>
      </c>
      <c r="J5" s="49" t="s">
        <v>192</v>
      </c>
      <c r="K5" s="50">
        <v>1.9166666666666667</v>
      </c>
      <c r="L5" s="49" t="s">
        <v>189</v>
      </c>
      <c r="M5" s="51">
        <v>0.4</v>
      </c>
      <c r="N5" s="49" t="s">
        <v>126</v>
      </c>
      <c r="O5" s="51">
        <v>0.2857142857142857</v>
      </c>
      <c r="P5" s="49" t="s">
        <v>126</v>
      </c>
      <c r="Q5" s="52">
        <v>0.33333333333333331</v>
      </c>
      <c r="R5" s="49" t="s">
        <v>195</v>
      </c>
      <c r="S5" s="52">
        <v>0.1388888888888889</v>
      </c>
      <c r="T5" s="49" t="s">
        <v>126</v>
      </c>
      <c r="U5" s="53">
        <v>8643.1034482758623</v>
      </c>
      <c r="V5" s="49" t="s">
        <v>189</v>
      </c>
      <c r="W5" s="53">
        <v>-6483.333333333333</v>
      </c>
      <c r="X5" s="49" t="s">
        <v>189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192</v>
      </c>
      <c r="AE5" s="52">
        <v>0.52</v>
      </c>
      <c r="AF5" s="49" t="s">
        <v>195</v>
      </c>
      <c r="AG5" s="52">
        <v>0.5</v>
      </c>
      <c r="AH5" s="49" t="s">
        <v>126</v>
      </c>
      <c r="AI5" s="52">
        <v>0.51724137931034486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192</v>
      </c>
      <c r="C6" s="114">
        <v>12</v>
      </c>
      <c r="D6" s="47" t="s">
        <v>192</v>
      </c>
      <c r="E6" s="48">
        <v>1.599999999999999</v>
      </c>
      <c r="F6" s="49" t="s">
        <v>192</v>
      </c>
      <c r="G6" s="61">
        <v>0.13333333333333325</v>
      </c>
      <c r="H6" s="49" t="s">
        <v>192</v>
      </c>
      <c r="I6" s="53">
        <v>1522.4637523585736</v>
      </c>
      <c r="J6" s="49" t="s">
        <v>211</v>
      </c>
      <c r="K6" s="50">
        <v>1.9285714285714286</v>
      </c>
      <c r="L6" s="49" t="s">
        <v>126</v>
      </c>
      <c r="M6" s="51">
        <v>0.38095238095238093</v>
      </c>
      <c r="N6" s="49" t="s">
        <v>139</v>
      </c>
      <c r="O6" s="51">
        <v>0.33333333333333331</v>
      </c>
      <c r="P6" s="49" t="s">
        <v>192</v>
      </c>
      <c r="Q6" s="52">
        <v>0.31775700934579437</v>
      </c>
      <c r="R6" s="49" t="s">
        <v>189</v>
      </c>
      <c r="S6" s="52">
        <v>0.14117647058823529</v>
      </c>
      <c r="T6" s="49" t="s">
        <v>193</v>
      </c>
      <c r="U6" s="53">
        <v>8212.5</v>
      </c>
      <c r="V6" s="49" t="s">
        <v>126</v>
      </c>
      <c r="W6" s="53">
        <v>-6684</v>
      </c>
      <c r="X6" s="49" t="s">
        <v>190</v>
      </c>
      <c r="Y6" s="51">
        <v>0</v>
      </c>
      <c r="Z6" s="49" t="s">
        <v>195</v>
      </c>
      <c r="AA6" s="52">
        <v>0.25</v>
      </c>
      <c r="AB6" s="49" t="s">
        <v>211</v>
      </c>
      <c r="AC6" s="52">
        <v>0.25714285714285712</v>
      </c>
      <c r="AD6" s="49" t="s">
        <v>190</v>
      </c>
      <c r="AE6" s="52">
        <v>0.5</v>
      </c>
      <c r="AF6" s="49" t="s">
        <v>139</v>
      </c>
      <c r="AG6" s="52">
        <v>0.46022727272727271</v>
      </c>
      <c r="AH6" s="49" t="s">
        <v>189</v>
      </c>
      <c r="AI6" s="52">
        <v>0.51724137931034486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216</v>
      </c>
      <c r="C7" s="114">
        <v>11</v>
      </c>
      <c r="D7" s="47" t="s">
        <v>139</v>
      </c>
      <c r="E7" s="48">
        <v>1.4210854715202004E-14</v>
      </c>
      <c r="F7" s="49" t="s">
        <v>139</v>
      </c>
      <c r="G7" s="61">
        <v>1.6334315764600004E-16</v>
      </c>
      <c r="H7" s="49" t="s">
        <v>190</v>
      </c>
      <c r="I7" s="53">
        <v>1518.8868623780729</v>
      </c>
      <c r="J7" s="49" t="s">
        <v>216</v>
      </c>
      <c r="K7" s="50">
        <v>2</v>
      </c>
      <c r="L7" s="49" t="s">
        <v>216</v>
      </c>
      <c r="M7" s="51">
        <v>0.36363636363636365</v>
      </c>
      <c r="N7" s="49" t="s">
        <v>190</v>
      </c>
      <c r="O7" s="51">
        <v>0.33333333333333331</v>
      </c>
      <c r="P7" s="49" t="s">
        <v>139</v>
      </c>
      <c r="Q7" s="52">
        <v>0.29567642956764295</v>
      </c>
      <c r="R7" s="49" t="s">
        <v>126</v>
      </c>
      <c r="S7" s="52">
        <v>0.14367816091954022</v>
      </c>
      <c r="T7" s="49" t="s">
        <v>211</v>
      </c>
      <c r="U7" s="53">
        <v>7913.5135135135133</v>
      </c>
      <c r="V7" s="49" t="s">
        <v>216</v>
      </c>
      <c r="W7" s="53">
        <v>-6738.8888888888887</v>
      </c>
      <c r="X7" s="49" t="s">
        <v>195</v>
      </c>
      <c r="Y7" s="51">
        <v>0</v>
      </c>
      <c r="Z7" s="49" t="s">
        <v>211</v>
      </c>
      <c r="AA7" s="52">
        <v>0.24761904761904763</v>
      </c>
      <c r="AB7" s="49" t="s">
        <v>163</v>
      </c>
      <c r="AC7" s="52">
        <v>0.25490196078431371</v>
      </c>
      <c r="AD7" s="49" t="s">
        <v>126</v>
      </c>
      <c r="AE7" s="52">
        <v>0.48936170212765956</v>
      </c>
      <c r="AF7" s="49" t="s">
        <v>189</v>
      </c>
      <c r="AG7" s="52">
        <v>0.4375</v>
      </c>
      <c r="AH7" s="49" t="s">
        <v>139</v>
      </c>
      <c r="AI7" s="52">
        <v>0.46698113207547171</v>
      </c>
      <c r="AJ7" s="49" t="s">
        <v>189</v>
      </c>
      <c r="AK7" s="56">
        <v>61300</v>
      </c>
    </row>
    <row r="8" spans="1:37" x14ac:dyDescent="0.45">
      <c r="A8" s="46">
        <v>6</v>
      </c>
      <c r="B8" s="49" t="s">
        <v>189</v>
      </c>
      <c r="C8" s="114">
        <v>10</v>
      </c>
      <c r="D8" s="47" t="s">
        <v>221</v>
      </c>
      <c r="E8" s="48">
        <v>-13.5</v>
      </c>
      <c r="F8" s="49" t="s">
        <v>216</v>
      </c>
      <c r="G8" s="61">
        <v>-1.8545454545454541</v>
      </c>
      <c r="H8" s="49" t="s">
        <v>211</v>
      </c>
      <c r="I8" s="53">
        <v>1512.415829547685</v>
      </c>
      <c r="J8" s="49" t="s">
        <v>139</v>
      </c>
      <c r="K8" s="50">
        <v>2</v>
      </c>
      <c r="L8" s="49" t="s">
        <v>139</v>
      </c>
      <c r="M8" s="51">
        <v>0.33333333333333331</v>
      </c>
      <c r="N8" s="49" t="s">
        <v>211</v>
      </c>
      <c r="O8" s="51">
        <v>0.35714285714285715</v>
      </c>
      <c r="P8" s="49" t="s">
        <v>195</v>
      </c>
      <c r="Q8" s="52">
        <v>0.25</v>
      </c>
      <c r="R8" s="49" t="s">
        <v>139</v>
      </c>
      <c r="S8" s="52">
        <v>0.15760111576011157</v>
      </c>
      <c r="T8" s="49" t="s">
        <v>139</v>
      </c>
      <c r="U8" s="53">
        <v>7904.2452830188677</v>
      </c>
      <c r="V8" s="49" t="s">
        <v>211</v>
      </c>
      <c r="W8" s="53">
        <v>-7394.1176470588234</v>
      </c>
      <c r="X8" s="49" t="s">
        <v>193</v>
      </c>
      <c r="Y8" s="51">
        <v>0</v>
      </c>
      <c r="Z8" s="49" t="s">
        <v>216</v>
      </c>
      <c r="AA8" s="52">
        <v>0.24705882352941178</v>
      </c>
      <c r="AB8" s="49" t="s">
        <v>139</v>
      </c>
      <c r="AC8" s="52">
        <v>0.24546722454672246</v>
      </c>
      <c r="AD8" s="49" t="s">
        <v>139</v>
      </c>
      <c r="AE8" s="52">
        <v>0.48022598870056499</v>
      </c>
      <c r="AF8" s="49" t="s">
        <v>192</v>
      </c>
      <c r="AG8" s="52">
        <v>0.43478260869565216</v>
      </c>
      <c r="AH8" s="49" t="s">
        <v>216</v>
      </c>
      <c r="AI8" s="52">
        <v>0.45</v>
      </c>
      <c r="AJ8" s="49" t="s">
        <v>163</v>
      </c>
      <c r="AK8" s="56">
        <v>58600</v>
      </c>
    </row>
    <row r="9" spans="1:37" x14ac:dyDescent="0.45">
      <c r="A9" s="46">
        <v>7</v>
      </c>
      <c r="B9" s="49" t="s">
        <v>163</v>
      </c>
      <c r="C9" s="114">
        <v>6</v>
      </c>
      <c r="D9" s="47" t="s">
        <v>195</v>
      </c>
      <c r="E9" s="48">
        <v>-14.699999999999996</v>
      </c>
      <c r="F9" s="49" t="s">
        <v>195</v>
      </c>
      <c r="G9" s="61">
        <v>-3.6749999999999989</v>
      </c>
      <c r="H9" s="49" t="s">
        <v>216</v>
      </c>
      <c r="I9" s="53">
        <v>1499.1032793002189</v>
      </c>
      <c r="J9" s="49" t="s">
        <v>195</v>
      </c>
      <c r="K9" s="50">
        <v>2</v>
      </c>
      <c r="L9" s="49" t="s">
        <v>192</v>
      </c>
      <c r="M9" s="51">
        <v>0.25</v>
      </c>
      <c r="N9" s="49" t="s">
        <v>216</v>
      </c>
      <c r="O9" s="51">
        <v>0.36363636363636365</v>
      </c>
      <c r="P9" s="49" t="s">
        <v>216</v>
      </c>
      <c r="Q9" s="52">
        <v>0.23529411764705882</v>
      </c>
      <c r="R9" s="49" t="s">
        <v>211</v>
      </c>
      <c r="S9" s="52">
        <v>0.16190476190476191</v>
      </c>
      <c r="T9" s="49" t="s">
        <v>189</v>
      </c>
      <c r="U9" s="53">
        <v>7810.3448275862065</v>
      </c>
      <c r="V9" s="49" t="s">
        <v>139</v>
      </c>
      <c r="W9" s="53">
        <v>-7722.1238938053093</v>
      </c>
      <c r="X9" s="49" t="s">
        <v>221</v>
      </c>
      <c r="Y9" s="51">
        <v>0</v>
      </c>
      <c r="Z9" s="49" t="s">
        <v>139</v>
      </c>
      <c r="AA9" s="52">
        <v>0.24686192468619247</v>
      </c>
      <c r="AB9" s="49" t="s">
        <v>190</v>
      </c>
      <c r="AC9" s="52">
        <v>0.23809523809523808</v>
      </c>
      <c r="AD9" s="49" t="s">
        <v>189</v>
      </c>
      <c r="AE9" s="52">
        <v>0.43478260869565216</v>
      </c>
      <c r="AF9" s="49" t="s">
        <v>193</v>
      </c>
      <c r="AG9" s="52">
        <v>0.4</v>
      </c>
      <c r="AH9" s="49" t="s">
        <v>192</v>
      </c>
      <c r="AI9" s="52">
        <v>0.41176470588235292</v>
      </c>
      <c r="AJ9" s="49" t="s">
        <v>192</v>
      </c>
      <c r="AK9" s="56">
        <v>56300</v>
      </c>
    </row>
    <row r="10" spans="1:37" x14ac:dyDescent="0.45">
      <c r="A10" s="46">
        <v>8</v>
      </c>
      <c r="B10" s="49" t="s">
        <v>195</v>
      </c>
      <c r="C10" s="114">
        <v>4</v>
      </c>
      <c r="D10" s="47" t="s">
        <v>216</v>
      </c>
      <c r="E10" s="48">
        <v>-20.399999999999995</v>
      </c>
      <c r="F10" s="49" t="s">
        <v>221</v>
      </c>
      <c r="G10" s="61">
        <v>-6.75</v>
      </c>
      <c r="H10" s="49" t="s">
        <v>221</v>
      </c>
      <c r="I10" s="53">
        <v>1497.379788</v>
      </c>
      <c r="J10" s="49" t="s">
        <v>193</v>
      </c>
      <c r="K10" s="50">
        <v>2.25</v>
      </c>
      <c r="L10" s="49" t="s">
        <v>193</v>
      </c>
      <c r="M10" s="51">
        <v>0.25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216</v>
      </c>
      <c r="U10" s="53">
        <v>7580</v>
      </c>
      <c r="V10" s="49" t="s">
        <v>192</v>
      </c>
      <c r="W10" s="53">
        <v>-7830.7692307692305</v>
      </c>
      <c r="X10" s="49" t="s">
        <v>139</v>
      </c>
      <c r="Y10" s="51">
        <v>4.5977011494252873E-2</v>
      </c>
      <c r="Z10" s="49" t="s">
        <v>192</v>
      </c>
      <c r="AA10" s="52">
        <v>0.23364485981308411</v>
      </c>
      <c r="AB10" s="49" t="s">
        <v>216</v>
      </c>
      <c r="AC10" s="52">
        <v>0.23529411764705882</v>
      </c>
      <c r="AD10" s="49" t="s">
        <v>216</v>
      </c>
      <c r="AE10" s="52">
        <v>0.42857142857142855</v>
      </c>
      <c r="AF10" s="49" t="s">
        <v>221</v>
      </c>
      <c r="AG10" s="52">
        <v>0.4</v>
      </c>
      <c r="AH10" s="49" t="s">
        <v>211</v>
      </c>
      <c r="AI10" s="52">
        <v>0.40540540540540543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193</v>
      </c>
      <c r="C11" s="114">
        <v>4</v>
      </c>
      <c r="D11" s="47" t="s">
        <v>190</v>
      </c>
      <c r="E11" s="48">
        <v>-40.4</v>
      </c>
      <c r="F11" s="49" t="s">
        <v>193</v>
      </c>
      <c r="G11" s="61">
        <v>-12.924999999999999</v>
      </c>
      <c r="H11" s="49" t="s">
        <v>189</v>
      </c>
      <c r="I11" s="53">
        <v>1458.3940361425994</v>
      </c>
      <c r="J11" s="49" t="s">
        <v>190</v>
      </c>
      <c r="K11" s="50">
        <v>2.3333333333333335</v>
      </c>
      <c r="L11" s="49" t="s">
        <v>163</v>
      </c>
      <c r="M11" s="51">
        <v>0.16666666666666666</v>
      </c>
      <c r="N11" s="49" t="s">
        <v>193</v>
      </c>
      <c r="O11" s="51">
        <v>0.5</v>
      </c>
      <c r="P11" s="49" t="s">
        <v>221</v>
      </c>
      <c r="Q11" s="52">
        <v>0.22222222222222221</v>
      </c>
      <c r="R11" s="49" t="s">
        <v>216</v>
      </c>
      <c r="S11" s="52">
        <v>0.21176470588235294</v>
      </c>
      <c r="T11" s="49" t="s">
        <v>163</v>
      </c>
      <c r="U11" s="53">
        <v>7340</v>
      </c>
      <c r="V11" s="49" t="s">
        <v>193</v>
      </c>
      <c r="W11" s="53">
        <v>-9387.5</v>
      </c>
      <c r="X11" s="49" t="s">
        <v>211</v>
      </c>
      <c r="Y11" s="51">
        <v>7.1428571428571425E-2</v>
      </c>
      <c r="Z11" s="49" t="s">
        <v>221</v>
      </c>
      <c r="AA11" s="52">
        <v>0.22222222222222221</v>
      </c>
      <c r="AB11" s="49" t="s">
        <v>126</v>
      </c>
      <c r="AC11" s="52">
        <v>0.22413793103448276</v>
      </c>
      <c r="AD11" s="49" t="s">
        <v>163</v>
      </c>
      <c r="AE11" s="52">
        <v>0.27272727272727271</v>
      </c>
      <c r="AF11" s="49" t="s">
        <v>216</v>
      </c>
      <c r="AG11" s="52">
        <v>0.35</v>
      </c>
      <c r="AH11" s="49" t="s">
        <v>163</v>
      </c>
      <c r="AI11" s="52">
        <v>0.3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190</v>
      </c>
      <c r="C12" s="114">
        <v>3</v>
      </c>
      <c r="D12" s="47" t="s">
        <v>193</v>
      </c>
      <c r="E12" s="48">
        <v>-51.699999999999996</v>
      </c>
      <c r="F12" s="49" t="s">
        <v>190</v>
      </c>
      <c r="G12" s="61">
        <v>-13.466666666666667</v>
      </c>
      <c r="H12" s="49" t="s">
        <v>195</v>
      </c>
      <c r="I12" s="53">
        <v>1393.6019525837494</v>
      </c>
      <c r="J12" s="49" t="s">
        <v>221</v>
      </c>
      <c r="K12" s="50">
        <v>2.5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163</v>
      </c>
      <c r="Q12" s="52">
        <v>0.19607843137254902</v>
      </c>
      <c r="R12" s="49" t="s">
        <v>163</v>
      </c>
      <c r="S12" s="52">
        <v>0.21568627450980393</v>
      </c>
      <c r="T12" s="49" t="s">
        <v>192</v>
      </c>
      <c r="U12" s="53">
        <v>6532.3529411764703</v>
      </c>
      <c r="V12" s="49" t="s">
        <v>221</v>
      </c>
      <c r="W12" s="53">
        <v>-10300</v>
      </c>
      <c r="X12" s="49" t="s">
        <v>216</v>
      </c>
      <c r="Y12" s="51">
        <v>9.0909090909090912E-2</v>
      </c>
      <c r="Z12" s="49" t="s">
        <v>163</v>
      </c>
      <c r="AA12" s="52">
        <v>0.21568627450980393</v>
      </c>
      <c r="AB12" s="49" t="s">
        <v>192</v>
      </c>
      <c r="AC12" s="52">
        <v>0.21495327102803738</v>
      </c>
      <c r="AD12" s="49" t="s">
        <v>221</v>
      </c>
      <c r="AE12" s="52">
        <v>0.25</v>
      </c>
      <c r="AF12" s="49" t="s">
        <v>163</v>
      </c>
      <c r="AG12" s="52">
        <v>0.30769230769230771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-182.90000000000003</v>
      </c>
      <c r="F13" s="49" t="s">
        <v>163</v>
      </c>
      <c r="G13" s="61">
        <v>-30.483333333333338</v>
      </c>
      <c r="H13" s="49" t="s">
        <v>193</v>
      </c>
      <c r="I13" s="53">
        <v>1343.1099105729741</v>
      </c>
      <c r="J13" s="49" t="s">
        <v>163</v>
      </c>
      <c r="K13" s="50">
        <v>2.6666666666666665</v>
      </c>
      <c r="L13" s="49" t="s">
        <v>221</v>
      </c>
      <c r="M13" s="51">
        <v>0</v>
      </c>
      <c r="N13" s="49" t="s">
        <v>163</v>
      </c>
      <c r="O13" s="51">
        <v>0.83333333333333337</v>
      </c>
      <c r="P13" s="49" t="s">
        <v>190</v>
      </c>
      <c r="Q13" s="52">
        <v>0.14285714285714285</v>
      </c>
      <c r="R13" s="49" t="s">
        <v>193</v>
      </c>
      <c r="S13" s="52">
        <v>0.22857142857142856</v>
      </c>
      <c r="T13" s="49" t="s">
        <v>190</v>
      </c>
      <c r="U13" s="53">
        <v>5800</v>
      </c>
      <c r="V13" s="49" t="s">
        <v>163</v>
      </c>
      <c r="W13" s="53">
        <v>-12463.636363636364</v>
      </c>
      <c r="X13" s="49" t="s">
        <v>163</v>
      </c>
      <c r="Y13" s="51">
        <v>0.33333333333333331</v>
      </c>
      <c r="Z13" s="49" t="s">
        <v>190</v>
      </c>
      <c r="AA13" s="52">
        <v>9.5238095238095233E-2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190</v>
      </c>
      <c r="AG13" s="52">
        <v>0.2</v>
      </c>
      <c r="AH13" s="49" t="s">
        <v>190</v>
      </c>
      <c r="AI13" s="52">
        <v>0</v>
      </c>
      <c r="AJ13" s="49" t="s">
        <v>190</v>
      </c>
      <c r="AK13" s="56">
        <v>31700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06EB-BAB8-443F-8261-AEA6C09A9757}">
  <sheetPr codeName="Sheet4"/>
  <dimension ref="A1:R8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87</v>
      </c>
      <c r="C2" s="134"/>
      <c r="E2" s="26" t="s">
        <v>66</v>
      </c>
      <c r="F2" s="23" t="s">
        <v>22</v>
      </c>
      <c r="G2" s="11">
        <v>154</v>
      </c>
      <c r="H2" s="87">
        <f>IF(B$20=0,0,G2/B$20)</f>
        <v>0.72641509433962259</v>
      </c>
      <c r="I2" s="57">
        <v>4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-34.482758620689658</v>
      </c>
      <c r="Q2" s="76">
        <v>87</v>
      </c>
      <c r="R2" s="63">
        <v>-3000</v>
      </c>
    </row>
    <row r="3" spans="1:18" x14ac:dyDescent="0.45">
      <c r="A3" s="19" t="s">
        <v>8</v>
      </c>
      <c r="B3" s="135">
        <v>717</v>
      </c>
      <c r="C3" s="136"/>
      <c r="E3" s="27" t="s">
        <v>72</v>
      </c>
      <c r="F3" s="24" t="s">
        <v>27</v>
      </c>
      <c r="G3" s="12">
        <v>150</v>
      </c>
      <c r="H3" s="88">
        <f>IF(B$20=0,0,G3/B$20)</f>
        <v>0.70754716981132071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35.714285714285715</v>
      </c>
      <c r="Q3" s="77">
        <v>84</v>
      </c>
      <c r="R3" s="64">
        <v>3000</v>
      </c>
    </row>
    <row r="4" spans="1:18" x14ac:dyDescent="0.45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81</v>
      </c>
      <c r="H4" s="88">
        <f>IF(B$20=0,0,G4/B$20)</f>
        <v>0.38207547169811323</v>
      </c>
      <c r="I4" s="58">
        <v>4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-11.904761904761905</v>
      </c>
      <c r="Q4" s="77">
        <v>84</v>
      </c>
      <c r="R4" s="64">
        <v>-1000</v>
      </c>
    </row>
    <row r="5" spans="1:18" x14ac:dyDescent="0.45">
      <c r="A5" s="19" t="s">
        <v>7</v>
      </c>
      <c r="B5" s="125">
        <f>IF(B$2=0,0,B$4/B$2)</f>
        <v>1.6334315764600004E-16</v>
      </c>
      <c r="C5" s="126"/>
      <c r="E5" s="27" t="s">
        <v>159</v>
      </c>
      <c r="F5" s="24" t="s">
        <v>160</v>
      </c>
      <c r="G5" s="12">
        <v>81</v>
      </c>
      <c r="H5" s="88">
        <f>IF(B$20=0,0,G5/B$20)</f>
        <v>0.38207547169811323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12.820512820512821</v>
      </c>
      <c r="Q5" s="77">
        <v>78</v>
      </c>
      <c r="R5" s="64">
        <v>1000</v>
      </c>
    </row>
    <row r="6" spans="1:18" x14ac:dyDescent="0.45">
      <c r="A6" s="19" t="s">
        <v>196</v>
      </c>
      <c r="B6" s="129">
        <v>1587.8897053269227</v>
      </c>
      <c r="C6" s="130"/>
      <c r="E6" s="27" t="s">
        <v>68</v>
      </c>
      <c r="F6" s="24" t="s">
        <v>12</v>
      </c>
      <c r="G6" s="12">
        <v>62</v>
      </c>
      <c r="H6" s="88">
        <f>IF(B$20=0,0,G6/B$20)</f>
        <v>0.29245283018867924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-27.777777777777779</v>
      </c>
      <c r="Q6" s="77">
        <v>72</v>
      </c>
      <c r="R6" s="64">
        <v>-2000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51</v>
      </c>
      <c r="H7" s="88">
        <f>IF(B$20=0,0,G7/B$20)</f>
        <v>0.24056603773584906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28.985507246376812</v>
      </c>
      <c r="Q7" s="78">
        <v>69</v>
      </c>
      <c r="R7" s="65">
        <v>2000</v>
      </c>
    </row>
    <row r="8" spans="1:18" x14ac:dyDescent="0.45">
      <c r="A8" s="19" t="s">
        <v>2</v>
      </c>
      <c r="B8" s="12">
        <v>29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36</v>
      </c>
      <c r="H8" s="88">
        <f>IF(B$20=0,0,G8/B$20)</f>
        <v>0.16981132075471697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29</v>
      </c>
      <c r="C9" s="6">
        <f t="shared" si="1"/>
        <v>0.33333333333333331</v>
      </c>
      <c r="E9" s="27" t="s">
        <v>69</v>
      </c>
      <c r="F9" s="24" t="s">
        <v>24</v>
      </c>
      <c r="G9" s="12">
        <v>23</v>
      </c>
      <c r="H9" s="88">
        <f>IF(B$20=0,0,G9/B$20)</f>
        <v>0.10849056603773585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29</v>
      </c>
      <c r="C10" s="7">
        <f t="shared" si="1"/>
        <v>0.33333333333333331</v>
      </c>
      <c r="E10" s="27" t="s">
        <v>70</v>
      </c>
      <c r="F10" s="24" t="s">
        <v>25</v>
      </c>
      <c r="G10" s="12">
        <v>22</v>
      </c>
      <c r="H10" s="88">
        <f>IF(B$20=0,0,G10/B$20)</f>
        <v>0.10377358490566038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-3.1482758620689655</v>
      </c>
      <c r="Q10" s="76">
        <v>29</v>
      </c>
      <c r="R10" s="67">
        <v>-91.3</v>
      </c>
    </row>
    <row r="11" spans="1:18" x14ac:dyDescent="0.45">
      <c r="A11" s="20" t="s">
        <v>184</v>
      </c>
      <c r="B11" s="109">
        <f>IF(B8=0,0,C11/B8)</f>
        <v>32.12068965517242</v>
      </c>
      <c r="C11" s="110">
        <v>931.50000000000023</v>
      </c>
      <c r="E11" s="27" t="s">
        <v>65</v>
      </c>
      <c r="F11" s="24" t="s">
        <v>21</v>
      </c>
      <c r="G11" s="12">
        <v>13</v>
      </c>
      <c r="H11" s="88">
        <f>IF(B$20=0,0,G11/B$20)</f>
        <v>6.1320754716981132E-2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-1.7862068965517248</v>
      </c>
      <c r="Q11" s="77">
        <v>29</v>
      </c>
      <c r="R11" s="68">
        <v>-51.800000000000018</v>
      </c>
    </row>
    <row r="12" spans="1:18" x14ac:dyDescent="0.45">
      <c r="A12" s="20" t="s">
        <v>185</v>
      </c>
      <c r="B12" s="109">
        <f>IF(B9=0,0,C12/B9)</f>
        <v>-1.2172413793103452</v>
      </c>
      <c r="C12" s="110">
        <v>-35.300000000000011</v>
      </c>
      <c r="E12" s="27" t="s">
        <v>71</v>
      </c>
      <c r="F12" s="24" t="s">
        <v>26</v>
      </c>
      <c r="G12" s="12">
        <v>13</v>
      </c>
      <c r="H12" s="88">
        <f>IF(B$20=0,0,G12/B$20)</f>
        <v>6.1320754716981132E-2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4.9344827586206916</v>
      </c>
      <c r="Q12" s="78">
        <v>29</v>
      </c>
      <c r="R12" s="69">
        <v>143.10000000000005</v>
      </c>
    </row>
    <row r="13" spans="1:18" x14ac:dyDescent="0.45">
      <c r="A13" s="20" t="s">
        <v>186</v>
      </c>
      <c r="B13" s="109">
        <f>IF(B10=0,0,C13/B10)</f>
        <v>-30.903448275862072</v>
      </c>
      <c r="C13" s="110">
        <v>-896.2</v>
      </c>
      <c r="E13" s="27" t="s">
        <v>83</v>
      </c>
      <c r="F13" s="24" t="s">
        <v>38</v>
      </c>
      <c r="G13" s="12">
        <v>11</v>
      </c>
      <c r="H13" s="88">
        <f>IF(B$20=0,0,G13/B$20)</f>
        <v>5.1886792452830191E-2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10</v>
      </c>
      <c r="H14" s="88">
        <f>IF(B$20=0,0,G14/B$20)</f>
        <v>4.716981132075472E-2</v>
      </c>
      <c r="I14" s="58">
        <v>4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4.5977011494252873E-2</v>
      </c>
      <c r="E15" s="27" t="s">
        <v>81</v>
      </c>
      <c r="F15" s="24" t="s">
        <v>36</v>
      </c>
      <c r="G15" s="12">
        <v>7</v>
      </c>
      <c r="H15" s="88">
        <f>IF(B$20=0,0,G15/B$20)</f>
        <v>3.3018867924528301E-2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163</v>
      </c>
      <c r="P15" s="82">
        <f>IF(Q15=0,0,R15/Q15)</f>
        <v>45.725000000000001</v>
      </c>
      <c r="Q15" s="76">
        <v>12</v>
      </c>
      <c r="R15" s="67">
        <v>548.70000000000005</v>
      </c>
    </row>
    <row r="16" spans="1:18" x14ac:dyDescent="0.45">
      <c r="A16" s="22" t="s">
        <v>121</v>
      </c>
      <c r="B16" s="15">
        <v>177</v>
      </c>
      <c r="C16" s="10">
        <f>IF(B$3=0,0,B16/B$3)</f>
        <v>0.24686192468619247</v>
      </c>
      <c r="E16" s="27" t="s">
        <v>78</v>
      </c>
      <c r="F16" s="24" t="s">
        <v>33</v>
      </c>
      <c r="G16" s="12">
        <v>5</v>
      </c>
      <c r="H16" s="88">
        <f>IF(B$20=0,0,G16/B$20)</f>
        <v>2.358490566037736E-2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190</v>
      </c>
      <c r="P16" s="83">
        <f>IF(Q16=0,0,R16/Q16)</f>
        <v>20.2</v>
      </c>
      <c r="Q16" s="77">
        <v>6</v>
      </c>
      <c r="R16" s="68">
        <v>121.19999999999999</v>
      </c>
    </row>
    <row r="17" spans="1:18" x14ac:dyDescent="0.45">
      <c r="A17" s="19" t="s">
        <v>118</v>
      </c>
      <c r="B17" s="12">
        <v>176</v>
      </c>
      <c r="C17" s="6">
        <f>IF(B$3=0,0,B17/B$3)</f>
        <v>0.24546722454672246</v>
      </c>
      <c r="E17" s="27" t="s">
        <v>91</v>
      </c>
      <c r="F17" s="24" t="s">
        <v>46</v>
      </c>
      <c r="G17" s="12">
        <v>3</v>
      </c>
      <c r="H17" s="88">
        <f>IF(B$20=0,0,G17/B$20)</f>
        <v>1.4150943396226415E-2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19.387500000000003</v>
      </c>
      <c r="Q17" s="77">
        <v>8</v>
      </c>
      <c r="R17" s="68">
        <v>155.10000000000002</v>
      </c>
    </row>
    <row r="18" spans="1:18" x14ac:dyDescent="0.45">
      <c r="A18" s="18" t="s">
        <v>123</v>
      </c>
      <c r="B18" s="11">
        <f>B24</f>
        <v>85</v>
      </c>
      <c r="C18" s="5">
        <f>IF(B$16=0,0,B18/B$16)</f>
        <v>0.48022598870056499</v>
      </c>
      <c r="E18" s="27" t="s">
        <v>155</v>
      </c>
      <c r="F18" s="24" t="s">
        <v>156</v>
      </c>
      <c r="G18" s="12">
        <v>3</v>
      </c>
      <c r="H18" s="88">
        <f>IF(B$20=0,0,G18/B$20)</f>
        <v>1.4150943396226415E-2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81</v>
      </c>
      <c r="C19" s="5">
        <f>IF(B$17=0,0,B19/B$17)</f>
        <v>0.46022727272727271</v>
      </c>
      <c r="E19" s="27" t="s">
        <v>73</v>
      </c>
      <c r="F19" s="24" t="s">
        <v>28</v>
      </c>
      <c r="G19" s="12">
        <v>2</v>
      </c>
      <c r="H19" s="88">
        <f>IF(B$20=0,0,G19/B$20)</f>
        <v>9.433962264150943E-3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5.5124999999999984</v>
      </c>
      <c r="Q19" s="77">
        <v>8</v>
      </c>
      <c r="R19" s="68">
        <v>44.099999999999987</v>
      </c>
    </row>
    <row r="20" spans="1:18" x14ac:dyDescent="0.45">
      <c r="A20" s="18" t="s">
        <v>10</v>
      </c>
      <c r="B20" s="11">
        <f>B23+B22</f>
        <v>212</v>
      </c>
      <c r="C20" s="5">
        <f>IF(B$3=0,0,B20/B$3)</f>
        <v>0.29567642956764295</v>
      </c>
      <c r="E20" s="27" t="s">
        <v>79</v>
      </c>
      <c r="F20" s="24" t="s">
        <v>34</v>
      </c>
      <c r="G20" s="12">
        <v>2</v>
      </c>
      <c r="H20" s="88">
        <f>IF(B$20=0,0,G20/B$20)</f>
        <v>9.433962264150943E-3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2.7818181818181817</v>
      </c>
      <c r="Q20" s="77">
        <v>22</v>
      </c>
      <c r="R20" s="68">
        <v>61.2</v>
      </c>
    </row>
    <row r="21" spans="1:18" x14ac:dyDescent="0.45">
      <c r="A21" s="19" t="s">
        <v>13</v>
      </c>
      <c r="B21" s="12">
        <v>113</v>
      </c>
      <c r="C21" s="6">
        <f>IF(B$3=0,0,B21/B$3)</f>
        <v>0.15760111576011157</v>
      </c>
      <c r="E21" s="27" t="s">
        <v>75</v>
      </c>
      <c r="F21" s="24" t="s">
        <v>30</v>
      </c>
      <c r="G21" s="12">
        <v>1</v>
      </c>
      <c r="H21" s="88">
        <f>IF(B$20=0,0,G21/B$20)</f>
        <v>4.7169811320754715E-3</v>
      </c>
      <c r="I21" s="58">
        <v>2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-0.20000000000000207</v>
      </c>
      <c r="Q21" s="77">
        <v>24</v>
      </c>
      <c r="R21" s="68">
        <v>-4.8000000000000496</v>
      </c>
    </row>
    <row r="22" spans="1:18" x14ac:dyDescent="0.45">
      <c r="A22" s="19" t="s">
        <v>12</v>
      </c>
      <c r="B22" s="12">
        <v>99</v>
      </c>
      <c r="C22" s="6">
        <f>IF(B$20=0,0,B22/B$20)</f>
        <v>0.46698113207547171</v>
      </c>
      <c r="E22" s="27" t="s">
        <v>77</v>
      </c>
      <c r="F22" s="24" t="s">
        <v>32</v>
      </c>
      <c r="G22" s="12">
        <v>1</v>
      </c>
      <c r="H22" s="88">
        <f>IF(B$20=0,0,G22/B$20)</f>
        <v>4.7169811320754715E-3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-9.3571428571428541</v>
      </c>
      <c r="Q22" s="77">
        <v>42</v>
      </c>
      <c r="R22" s="68">
        <v>-392.99999999999989</v>
      </c>
    </row>
    <row r="23" spans="1:18" x14ac:dyDescent="0.45">
      <c r="A23" s="19" t="s">
        <v>11</v>
      </c>
      <c r="B23" s="12">
        <v>113</v>
      </c>
      <c r="C23" s="6">
        <f>IF(B$20=0,0,B23/B$20)</f>
        <v>0.53301886792452835</v>
      </c>
      <c r="E23" s="27" t="s">
        <v>85</v>
      </c>
      <c r="F23" s="24" t="s">
        <v>40</v>
      </c>
      <c r="G23" s="12">
        <v>1</v>
      </c>
      <c r="H23" s="88">
        <f>IF(B$20=0,0,G23/B$20)</f>
        <v>4.7169811320754715E-3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-10.639285714285716</v>
      </c>
      <c r="Q23" s="77">
        <v>28</v>
      </c>
      <c r="R23" s="68">
        <v>-297.90000000000003</v>
      </c>
    </row>
    <row r="24" spans="1:18" x14ac:dyDescent="0.45">
      <c r="A24" s="19" t="s">
        <v>183</v>
      </c>
      <c r="B24" s="12">
        <v>85</v>
      </c>
      <c r="C24" s="6">
        <f>IF(B$20=0,0,B24/B$20)</f>
        <v>0.40094339622641512</v>
      </c>
      <c r="E24" s="27" t="s">
        <v>88</v>
      </c>
      <c r="F24" s="24" t="s">
        <v>43</v>
      </c>
      <c r="G24" s="12">
        <v>1</v>
      </c>
      <c r="H24" s="88">
        <f>IF(B$20=0,0,G24/B$20)</f>
        <v>4.7169811320754715E-3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189</v>
      </c>
      <c r="P24" s="83">
        <f>IF(Q24=0,0,R24/Q24)</f>
        <v>-13.754999999999999</v>
      </c>
      <c r="Q24" s="77">
        <v>20</v>
      </c>
      <c r="R24" s="68">
        <v>-275.09999999999997</v>
      </c>
    </row>
    <row r="25" spans="1:18" x14ac:dyDescent="0.45">
      <c r="A25" s="19" t="s">
        <v>181</v>
      </c>
      <c r="B25" s="12">
        <v>81</v>
      </c>
      <c r="C25" s="6">
        <f>IF(B$20=0,0,B25/B$20)</f>
        <v>0.38207547169811323</v>
      </c>
      <c r="E25" s="27" t="s">
        <v>92</v>
      </c>
      <c r="F25" s="24" t="s">
        <v>47</v>
      </c>
      <c r="G25" s="12">
        <v>1</v>
      </c>
      <c r="H25" s="88">
        <f>IF(B$20=0,0,G25/B$20)</f>
        <v>4.7169811320754715E-3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46</v>
      </c>
      <c r="C26" s="6">
        <f>IF(B$20=0,0,B26/B$20)</f>
        <v>0.21698113207547171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7904.2452830188677</v>
      </c>
      <c r="C27" s="8">
        <v>1675700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8715.2671755725187</v>
      </c>
      <c r="C28" s="96">
        <v>1141700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6592.5925925925922</v>
      </c>
      <c r="C29" s="96">
        <v>534000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-7722.1238938053093</v>
      </c>
      <c r="C30" s="96">
        <v>-872600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4.1841004184100415E-3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16</v>
      </c>
      <c r="C37" s="98">
        <f t="shared" ref="C37:C49" si="2">IF(B$20=0,0,B37/B$20)</f>
        <v>7.5471698113207544E-2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47</v>
      </c>
      <c r="C38" s="6">
        <f t="shared" si="2"/>
        <v>0.22169811320754718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41</v>
      </c>
      <c r="C39" s="6">
        <f t="shared" si="2"/>
        <v>0.19339622641509435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34</v>
      </c>
      <c r="C40" s="6">
        <f t="shared" si="2"/>
        <v>0.16037735849056603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22</v>
      </c>
      <c r="C41" s="6">
        <f t="shared" si="2"/>
        <v>0.10377358490566038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25</v>
      </c>
      <c r="C42" s="6">
        <f t="shared" si="2"/>
        <v>0.11792452830188679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13</v>
      </c>
      <c r="C43" s="6">
        <f t="shared" si="2"/>
        <v>6.1320754716981132E-2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6</v>
      </c>
      <c r="C44" s="6">
        <f t="shared" si="2"/>
        <v>2.8301886792452831E-2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4</v>
      </c>
      <c r="C45" s="6">
        <f t="shared" si="2"/>
        <v>1.8867924528301886E-2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2</v>
      </c>
      <c r="C46" s="6">
        <f t="shared" si="2"/>
        <v>9.433962264150943E-3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1</v>
      </c>
      <c r="C47" s="6">
        <f t="shared" si="2"/>
        <v>4.7169811320754715E-3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4.7169811320754715E-3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A1268-286E-498B-BA33-B209246CB6C1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</v>
      </c>
      <c r="C2" s="134"/>
      <c r="E2" s="26" t="s">
        <v>72</v>
      </c>
      <c r="F2" s="23" t="s">
        <v>27</v>
      </c>
      <c r="G2" s="11">
        <v>49</v>
      </c>
      <c r="H2" s="87">
        <f>IF(B$20=0,0,G2/B$20)</f>
        <v>0.84482758620689657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2190.4761904761904</v>
      </c>
      <c r="Q2" s="76">
        <v>21</v>
      </c>
      <c r="R2" s="63">
        <v>46000</v>
      </c>
    </row>
    <row r="3" spans="1:18" x14ac:dyDescent="0.45">
      <c r="A3" s="19" t="s">
        <v>8</v>
      </c>
      <c r="B3" s="135">
        <v>174</v>
      </c>
      <c r="C3" s="136"/>
      <c r="E3" s="27" t="s">
        <v>66</v>
      </c>
      <c r="F3" s="24" t="s">
        <v>22</v>
      </c>
      <c r="G3" s="12">
        <v>39</v>
      </c>
      <c r="H3" s="88">
        <f>IF(B$20=0,0,G3/B$20)</f>
        <v>0.67241379310344829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-965</v>
      </c>
      <c r="Q3" s="77">
        <v>20</v>
      </c>
      <c r="R3" s="64">
        <v>-19300</v>
      </c>
    </row>
    <row r="4" spans="1:18" x14ac:dyDescent="0.45">
      <c r="A4" s="19" t="s">
        <v>6</v>
      </c>
      <c r="B4" s="137">
        <v>131</v>
      </c>
      <c r="C4" s="138"/>
      <c r="E4" s="27" t="s">
        <v>64</v>
      </c>
      <c r="F4" s="24" t="s">
        <v>20</v>
      </c>
      <c r="G4" s="12">
        <v>21</v>
      </c>
      <c r="H4" s="88">
        <f>IF(B$20=0,0,G4/B$20)</f>
        <v>0.36206896551724138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-190</v>
      </c>
      <c r="Q4" s="77">
        <v>20</v>
      </c>
      <c r="R4" s="64">
        <v>-3800</v>
      </c>
    </row>
    <row r="5" spans="1:18" x14ac:dyDescent="0.45">
      <c r="A5" s="19" t="s">
        <v>7</v>
      </c>
      <c r="B5" s="125">
        <f>IF(B$2=0,0,B$4/B$2)</f>
        <v>6.2380952380952381</v>
      </c>
      <c r="C5" s="126"/>
      <c r="E5" s="27" t="s">
        <v>159</v>
      </c>
      <c r="F5" s="24" t="s">
        <v>160</v>
      </c>
      <c r="G5" s="12">
        <v>21</v>
      </c>
      <c r="H5" s="88">
        <f>IF(B$20=0,0,G5/B$20)</f>
        <v>0.36206896551724138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2047.3684210526317</v>
      </c>
      <c r="Q5" s="77">
        <v>19</v>
      </c>
      <c r="R5" s="64">
        <v>38900</v>
      </c>
    </row>
    <row r="6" spans="1:18" x14ac:dyDescent="0.45">
      <c r="A6" s="19" t="s">
        <v>196</v>
      </c>
      <c r="B6" s="129">
        <v>1835.0300854789134</v>
      </c>
      <c r="C6" s="130"/>
      <c r="E6" s="27" t="s">
        <v>68</v>
      </c>
      <c r="F6" s="24" t="s">
        <v>12</v>
      </c>
      <c r="G6" s="12">
        <v>18</v>
      </c>
      <c r="H6" s="88">
        <f>IF(B$20=0,0,G6/B$20)</f>
        <v>0.31034482758620691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-294.44444444444446</v>
      </c>
      <c r="Q6" s="77">
        <v>18</v>
      </c>
      <c r="R6" s="64">
        <v>-5300</v>
      </c>
    </row>
    <row r="7" spans="1:18" x14ac:dyDescent="0.45">
      <c r="A7" s="19" t="s">
        <v>1</v>
      </c>
      <c r="B7" s="139">
        <f>IF(B$2=0,0,(B$8*1+B$9*2+B$10*3)/B$2)</f>
        <v>1.9047619047619047</v>
      </c>
      <c r="C7" s="140"/>
      <c r="E7" s="27" t="s">
        <v>89</v>
      </c>
      <c r="F7" s="24" t="s">
        <v>44</v>
      </c>
      <c r="G7" s="12">
        <v>11</v>
      </c>
      <c r="H7" s="88">
        <f>IF(B$20=0,0,G7/B$20)</f>
        <v>0.18965517241379309</v>
      </c>
      <c r="I7" s="58">
        <v>5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-3200</v>
      </c>
      <c r="Q7" s="78">
        <v>17</v>
      </c>
      <c r="R7" s="65">
        <v>-54400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0.38095238095238093</v>
      </c>
      <c r="E8" s="27" t="s">
        <v>69</v>
      </c>
      <c r="F8" s="24" t="s">
        <v>24</v>
      </c>
      <c r="G8" s="12">
        <v>9</v>
      </c>
      <c r="H8" s="88">
        <f>IF(B$20=0,0,G8/B$20)</f>
        <v>0.15517241379310345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0.33333333333333331</v>
      </c>
      <c r="E9" s="27" t="s">
        <v>67</v>
      </c>
      <c r="F9" s="24" t="s">
        <v>23</v>
      </c>
      <c r="G9" s="12">
        <v>8</v>
      </c>
      <c r="H9" s="88">
        <f>IF(B$20=0,0,G9/B$20)</f>
        <v>0.13793103448275862</v>
      </c>
      <c r="I9" s="58">
        <v>9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0.2857142857142857</v>
      </c>
      <c r="E10" s="27" t="s">
        <v>70</v>
      </c>
      <c r="F10" s="24" t="s">
        <v>25</v>
      </c>
      <c r="G10" s="12">
        <v>7</v>
      </c>
      <c r="H10" s="88">
        <f>IF(B$20=0,0,G10/B$20)</f>
        <v>0.1206896551724138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5.7428571428571429</v>
      </c>
      <c r="Q10" s="76">
        <v>7</v>
      </c>
      <c r="R10" s="67">
        <v>40.200000000000003</v>
      </c>
    </row>
    <row r="11" spans="1:18" x14ac:dyDescent="0.45">
      <c r="A11" s="20" t="s">
        <v>184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>IF(B$20=0,0,G11/B$20)</f>
        <v>8.6206896551724144E-2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3.0125000000000002</v>
      </c>
      <c r="Q11" s="77">
        <v>8</v>
      </c>
      <c r="R11" s="68">
        <v>24.1</v>
      </c>
    </row>
    <row r="12" spans="1:18" x14ac:dyDescent="0.45">
      <c r="A12" s="20" t="s">
        <v>185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>IF(B$20=0,0,G12/B$20)</f>
        <v>5.1724137931034482E-2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11.116666666666669</v>
      </c>
      <c r="Q12" s="78">
        <v>6</v>
      </c>
      <c r="R12" s="69">
        <v>66.700000000000017</v>
      </c>
    </row>
    <row r="13" spans="1:18" x14ac:dyDescent="0.45">
      <c r="A13" s="20" t="s">
        <v>186</v>
      </c>
      <c r="B13" s="109">
        <f>IF(B10=0,0,C13/B10)</f>
        <v>-21.216666666666669</v>
      </c>
      <c r="C13" s="110">
        <v>-127.30000000000001</v>
      </c>
      <c r="E13" s="27" t="s">
        <v>81</v>
      </c>
      <c r="F13" s="24" t="s">
        <v>36</v>
      </c>
      <c r="G13" s="12">
        <v>3</v>
      </c>
      <c r="H13" s="88">
        <f>IF(B$20=0,0,G13/B$20)</f>
        <v>5.1724137931034482E-2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3.3730158730158735</v>
      </c>
      <c r="C14" s="126"/>
      <c r="E14" s="27" t="s">
        <v>71</v>
      </c>
      <c r="F14" s="24" t="s">
        <v>26</v>
      </c>
      <c r="G14" s="12">
        <v>2</v>
      </c>
      <c r="H14" s="88">
        <f>IF(B$20=0,0,G14/B$20)</f>
        <v>3.4482758620689655E-2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2</v>
      </c>
      <c r="H15" s="88">
        <f>IF(B$20=0,0,G15/B$20)</f>
        <v>3.4482758620689655E-2</v>
      </c>
      <c r="I15" s="58">
        <v>5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>IF(Q15=0,0,R15/Q15)</f>
        <v>82.3</v>
      </c>
      <c r="Q15" s="76">
        <v>4</v>
      </c>
      <c r="R15" s="67">
        <v>329.2</v>
      </c>
    </row>
    <row r="16" spans="1:18" x14ac:dyDescent="0.45">
      <c r="A16" s="22" t="s">
        <v>121</v>
      </c>
      <c r="B16" s="15">
        <v>47</v>
      </c>
      <c r="C16" s="10">
        <f>IF(B$3=0,0,B16/B$3)</f>
        <v>0.27011494252873564</v>
      </c>
      <c r="E16" s="27" t="s">
        <v>155</v>
      </c>
      <c r="F16" s="24" t="s">
        <v>156</v>
      </c>
      <c r="G16" s="12">
        <v>2</v>
      </c>
      <c r="H16" s="88">
        <f>IF(B$20=0,0,G16/B$20)</f>
        <v>3.4482758620689655E-2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33.800000000000004</v>
      </c>
      <c r="Q16" s="77">
        <v>3</v>
      </c>
      <c r="R16" s="68">
        <v>101.4</v>
      </c>
    </row>
    <row r="17" spans="1:18" x14ac:dyDescent="0.45">
      <c r="A17" s="19" t="s">
        <v>118</v>
      </c>
      <c r="B17" s="12">
        <v>39</v>
      </c>
      <c r="C17" s="6">
        <f>IF(B$3=0,0,B17/B$3)</f>
        <v>0.22413793103448276</v>
      </c>
      <c r="E17" s="27" t="s">
        <v>78</v>
      </c>
      <c r="F17" s="24" t="s">
        <v>33</v>
      </c>
      <c r="G17" s="12">
        <v>1</v>
      </c>
      <c r="H17" s="88">
        <f>IF(B$20=0,0,G17/B$20)</f>
        <v>1.7241379310344827E-2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0.48936170212765956</v>
      </c>
      <c r="E18" s="27" t="s">
        <v>79</v>
      </c>
      <c r="F18" s="24" t="s">
        <v>34</v>
      </c>
      <c r="G18" s="12">
        <v>1</v>
      </c>
      <c r="H18" s="88">
        <f>IF(B$20=0,0,G18/B$20)</f>
        <v>1.7241379310344827E-2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22</v>
      </c>
      <c r="C19" s="5">
        <f>IF(B$17=0,0,B19/B$17)</f>
        <v>0.5641025641025641</v>
      </c>
      <c r="E19" s="27" t="s">
        <v>92</v>
      </c>
      <c r="F19" s="24" t="s">
        <v>47</v>
      </c>
      <c r="G19" s="12">
        <v>1</v>
      </c>
      <c r="H19" s="88">
        <f>IF(B$20=0,0,G19/B$20)</f>
        <v>1.7241379310344827E-2</v>
      </c>
      <c r="I19" s="58">
        <v>1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6.2399999999999993</v>
      </c>
      <c r="Q19" s="77">
        <v>10</v>
      </c>
      <c r="R19" s="68">
        <v>62.399999999999991</v>
      </c>
    </row>
    <row r="20" spans="1:18" x14ac:dyDescent="0.45">
      <c r="A20" s="18" t="s">
        <v>10</v>
      </c>
      <c r="B20" s="11">
        <f>B23+B22</f>
        <v>58</v>
      </c>
      <c r="C20" s="5">
        <f>IF(B$3=0,0,B20/B$3)</f>
        <v>0.33333333333333331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-5.4999999999999982</v>
      </c>
      <c r="Q20" s="77">
        <v>7</v>
      </c>
      <c r="R20" s="68">
        <v>-38.499999999999986</v>
      </c>
    </row>
    <row r="21" spans="1:18" x14ac:dyDescent="0.45">
      <c r="A21" s="19" t="s">
        <v>13</v>
      </c>
      <c r="B21" s="12">
        <v>25</v>
      </c>
      <c r="C21" s="6">
        <f>IF(B$3=0,0,B21/B$3)</f>
        <v>0.14367816091954022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-9.1444444444444439</v>
      </c>
      <c r="Q21" s="77">
        <v>9</v>
      </c>
      <c r="R21" s="68">
        <v>-82.3</v>
      </c>
    </row>
    <row r="22" spans="1:18" x14ac:dyDescent="0.45">
      <c r="A22" s="19" t="s">
        <v>12</v>
      </c>
      <c r="B22" s="12">
        <v>30</v>
      </c>
      <c r="C22" s="6">
        <f>IF(B$20=0,0,B22/B$20)</f>
        <v>0.51724137931034486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216</v>
      </c>
      <c r="P22" s="83">
        <f>IF(Q22=0,0,R22/Q22)</f>
        <v>-14.040000000000001</v>
      </c>
      <c r="Q22" s="77">
        <v>5</v>
      </c>
      <c r="R22" s="68">
        <v>-70.2</v>
      </c>
    </row>
    <row r="23" spans="1:18" x14ac:dyDescent="0.45">
      <c r="A23" s="19" t="s">
        <v>11</v>
      </c>
      <c r="B23" s="12">
        <v>28</v>
      </c>
      <c r="C23" s="6">
        <f>IF(B$20=0,0,B23/B$20)</f>
        <v>0.48275862068965519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23</v>
      </c>
      <c r="C24" s="6">
        <f>IF(B$20=0,0,B24/B$20)</f>
        <v>0.39655172413793105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181</v>
      </c>
      <c r="B25" s="12">
        <v>22</v>
      </c>
      <c r="C25" s="6">
        <f>IF(B$20=0,0,B25/B$20)</f>
        <v>0.37931034482758619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0.22413793103448276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8643.1034482758623</v>
      </c>
      <c r="C27" s="8">
        <v>501300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8997.2222222222226</v>
      </c>
      <c r="C28" s="96">
        <v>323900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8063.636363636364</v>
      </c>
      <c r="C29" s="96">
        <v>177400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-6684</v>
      </c>
      <c r="C30" s="96">
        <v>-167100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3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5.7471264367816091E-3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3.4482758620689655E-2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10</v>
      </c>
      <c r="C38" s="6">
        <f t="shared" si="2"/>
        <v>0.17241379310344829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16</v>
      </c>
      <c r="C39" s="6">
        <f t="shared" si="2"/>
        <v>0.27586206896551724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0.13793103448275862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0.10344827586206896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9</v>
      </c>
      <c r="C42" s="6">
        <f t="shared" si="2"/>
        <v>0.15517241379310345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8.6206896551724144E-2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1.7241379310344827E-2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1.7241379310344827E-2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078C-13E1-4D9B-84B0-9B3167EC71CE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6</v>
      </c>
      <c r="H2" s="87">
        <f>IF(B$20=0,0,G2/B$20)</f>
        <v>0.6</v>
      </c>
      <c r="I2" s="57">
        <v>7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-2033.3333333333333</v>
      </c>
      <c r="Q2" s="76">
        <v>6</v>
      </c>
      <c r="R2" s="63">
        <v>-12200</v>
      </c>
    </row>
    <row r="3" spans="1:18" x14ac:dyDescent="0.45">
      <c r="A3" s="19" t="s">
        <v>8</v>
      </c>
      <c r="B3" s="135">
        <v>51</v>
      </c>
      <c r="C3" s="136"/>
      <c r="E3" s="27" t="s">
        <v>72</v>
      </c>
      <c r="F3" s="24" t="s">
        <v>27</v>
      </c>
      <c r="G3" s="12">
        <v>6</v>
      </c>
      <c r="H3" s="88">
        <f>IF(B$20=0,0,G3/B$20)</f>
        <v>0.6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-3380</v>
      </c>
      <c r="Q3" s="77">
        <v>5</v>
      </c>
      <c r="R3" s="64">
        <v>-16900</v>
      </c>
    </row>
    <row r="4" spans="1:18" x14ac:dyDescent="0.45">
      <c r="A4" s="19" t="s">
        <v>6</v>
      </c>
      <c r="B4" s="137">
        <v>-182.90000000000003</v>
      </c>
      <c r="C4" s="138"/>
      <c r="E4" s="27" t="s">
        <v>159</v>
      </c>
      <c r="F4" s="24" t="s">
        <v>160</v>
      </c>
      <c r="G4" s="12">
        <v>4</v>
      </c>
      <c r="H4" s="88">
        <f>IF(B$20=0,0,G4/B$20)</f>
        <v>0.4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-3720</v>
      </c>
      <c r="Q4" s="77">
        <v>5</v>
      </c>
      <c r="R4" s="64">
        <v>-18600</v>
      </c>
    </row>
    <row r="5" spans="1:18" x14ac:dyDescent="0.45">
      <c r="A5" s="19" t="s">
        <v>7</v>
      </c>
      <c r="B5" s="125">
        <f>IF(B$2=0,0,B$4/B$2)</f>
        <v>-30.483333333333338</v>
      </c>
      <c r="C5" s="126"/>
      <c r="E5" s="27" t="s">
        <v>64</v>
      </c>
      <c r="F5" s="24" t="s">
        <v>20</v>
      </c>
      <c r="G5" s="12">
        <v>3</v>
      </c>
      <c r="H5" s="88">
        <f>IF(B$20=0,0,G5/B$20)</f>
        <v>0.3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-680</v>
      </c>
      <c r="Q5" s="77">
        <v>5</v>
      </c>
      <c r="R5" s="64">
        <v>-3400</v>
      </c>
    </row>
    <row r="6" spans="1:18" x14ac:dyDescent="0.45">
      <c r="A6" s="19" t="s">
        <v>196</v>
      </c>
      <c r="B6" s="129">
        <v>1618.6477491678233</v>
      </c>
      <c r="C6" s="130"/>
      <c r="E6" s="27" t="s">
        <v>67</v>
      </c>
      <c r="F6" s="24" t="s">
        <v>23</v>
      </c>
      <c r="G6" s="12">
        <v>2</v>
      </c>
      <c r="H6" s="88">
        <f>IF(B$20=0,0,G6/B$20)</f>
        <v>0.2</v>
      </c>
      <c r="I6" s="58">
        <v>7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-50</v>
      </c>
      <c r="Q6" s="77">
        <v>4</v>
      </c>
      <c r="R6" s="64">
        <v>-200</v>
      </c>
    </row>
    <row r="7" spans="1:18" x14ac:dyDescent="0.45">
      <c r="A7" s="19" t="s">
        <v>1</v>
      </c>
      <c r="B7" s="139">
        <f>IF(B$2=0,0,(B$8*1+B$9*2+B$10*3)/B$2)</f>
        <v>2.6666666666666665</v>
      </c>
      <c r="C7" s="140"/>
      <c r="E7" s="27" t="s">
        <v>68</v>
      </c>
      <c r="F7" s="24" t="s">
        <v>12</v>
      </c>
      <c r="G7" s="12">
        <v>1</v>
      </c>
      <c r="H7" s="88">
        <f>IF(B$20=0,0,G7/B$20)</f>
        <v>0.1</v>
      </c>
      <c r="I7" s="58">
        <v>10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-2700</v>
      </c>
      <c r="Q7" s="78">
        <v>3</v>
      </c>
      <c r="R7" s="65">
        <v>-8100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6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70</v>
      </c>
      <c r="F9" s="24" t="s">
        <v>25</v>
      </c>
      <c r="G9" s="12">
        <v>1</v>
      </c>
      <c r="H9" s="88">
        <f>IF(B$20=0,0,G9/B$20)</f>
        <v>0.1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0.83333333333333337</v>
      </c>
      <c r="E10" s="27" t="s">
        <v>71</v>
      </c>
      <c r="F10" s="24" t="s">
        <v>26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0.1</v>
      </c>
      <c r="I12" s="58">
        <v>2</v>
      </c>
      <c r="O12" s="75" t="s">
        <v>153</v>
      </c>
      <c r="P12" s="84">
        <f>IF(Q12=0,0,R12/Q12)</f>
        <v>-50</v>
      </c>
      <c r="Q12" s="78">
        <v>1</v>
      </c>
      <c r="R12" s="69">
        <v>-50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>IF(B$20=0,0,G13/B$20)</f>
        <v>0.1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-3.2333333333333321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89</v>
      </c>
      <c r="F15" s="24" t="s">
        <v>44</v>
      </c>
      <c r="G15" s="12">
        <v>1</v>
      </c>
      <c r="H15" s="88">
        <f>IF(B$20=0,0,G15/B$20)</f>
        <v>0.1</v>
      </c>
      <c r="I15" s="58">
        <v>10</v>
      </c>
      <c r="O15" s="73" t="s">
        <v>216</v>
      </c>
      <c r="P15" s="82">
        <f>IF(Q15=0,0,R15/Q15)</f>
        <v>14.600000000000003</v>
      </c>
      <c r="Q15" s="76">
        <v>2</v>
      </c>
      <c r="R15" s="67">
        <v>29.200000000000006</v>
      </c>
    </row>
    <row r="16" spans="1:18" x14ac:dyDescent="0.45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192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5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-67.650000000000006</v>
      </c>
      <c r="Q18" s="77">
        <v>2</v>
      </c>
      <c r="R18" s="68">
        <v>-135.30000000000001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126</v>
      </c>
      <c r="P19" s="83">
        <f>IF(Q19=0,0,R19/Q19)</f>
        <v>-82.300000000000011</v>
      </c>
      <c r="Q19" s="77">
        <v>4</v>
      </c>
      <c r="R19" s="68">
        <v>-329.20000000000005</v>
      </c>
    </row>
    <row r="20" spans="1:18" x14ac:dyDescent="0.45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5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5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58600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8FA6-AF80-471B-ACA3-C3ABFABD603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72</v>
      </c>
      <c r="F2" s="23" t="s">
        <v>27</v>
      </c>
      <c r="G2" s="11">
        <v>28</v>
      </c>
      <c r="H2" s="87">
        <f>IF(B$20=0,0,G2/B$20)</f>
        <v>0.96551724137931039</v>
      </c>
      <c r="I2" s="57">
        <v>2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2690</v>
      </c>
      <c r="Q2" s="76">
        <v>10</v>
      </c>
      <c r="R2" s="63">
        <v>26900</v>
      </c>
    </row>
    <row r="3" spans="1:18" x14ac:dyDescent="0.45">
      <c r="A3" s="19" t="s">
        <v>8</v>
      </c>
      <c r="B3" s="135">
        <v>85</v>
      </c>
      <c r="C3" s="136"/>
      <c r="E3" s="27" t="s">
        <v>66</v>
      </c>
      <c r="F3" s="24" t="s">
        <v>22</v>
      </c>
      <c r="G3" s="12">
        <v>17</v>
      </c>
      <c r="H3" s="88">
        <f>IF(B$20=0,0,G3/B$20)</f>
        <v>0.58620689655172409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-1650</v>
      </c>
      <c r="Q3" s="77">
        <v>10</v>
      </c>
      <c r="R3" s="64">
        <v>-16500</v>
      </c>
    </row>
    <row r="4" spans="1:18" x14ac:dyDescent="0.45">
      <c r="A4" s="19" t="s">
        <v>6</v>
      </c>
      <c r="B4" s="137">
        <v>91.7</v>
      </c>
      <c r="C4" s="138"/>
      <c r="E4" s="27" t="s">
        <v>67</v>
      </c>
      <c r="F4" s="24" t="s">
        <v>23</v>
      </c>
      <c r="G4" s="12">
        <v>14</v>
      </c>
      <c r="H4" s="88">
        <f>IF(B$20=0,0,G4/B$20)</f>
        <v>0.48275862068965519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2030</v>
      </c>
      <c r="Q4" s="77">
        <v>10</v>
      </c>
      <c r="R4" s="64">
        <v>20300</v>
      </c>
    </row>
    <row r="5" spans="1:18" x14ac:dyDescent="0.45">
      <c r="A5" s="19" t="s">
        <v>7</v>
      </c>
      <c r="B5" s="125">
        <f>IF(B$2=0,0,B$4/B$2)</f>
        <v>9.17</v>
      </c>
      <c r="C5" s="126"/>
      <c r="E5" s="27" t="s">
        <v>64</v>
      </c>
      <c r="F5" s="24" t="s">
        <v>20</v>
      </c>
      <c r="G5" s="12">
        <v>10</v>
      </c>
      <c r="H5" s="88">
        <f>IF(B$20=0,0,G5/B$20)</f>
        <v>0.34482758620689657</v>
      </c>
      <c r="I5" s="58">
        <v>7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-1080</v>
      </c>
      <c r="Q5" s="77">
        <v>10</v>
      </c>
      <c r="R5" s="64">
        <v>-10800</v>
      </c>
    </row>
    <row r="6" spans="1:18" x14ac:dyDescent="0.45">
      <c r="A6" s="19" t="s">
        <v>196</v>
      </c>
      <c r="B6" s="129">
        <v>1458.3940361425994</v>
      </c>
      <c r="C6" s="130"/>
      <c r="E6" s="27" t="s">
        <v>159</v>
      </c>
      <c r="F6" s="24" t="s">
        <v>160</v>
      </c>
      <c r="G6" s="12">
        <v>10</v>
      </c>
      <c r="H6" s="88">
        <f>IF(B$20=0,0,G6/B$20)</f>
        <v>0.34482758620689657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1900</v>
      </c>
      <c r="Q6" s="77">
        <v>10</v>
      </c>
      <c r="R6" s="64">
        <v>19000</v>
      </c>
    </row>
    <row r="7" spans="1:18" x14ac:dyDescent="0.45">
      <c r="A7" s="19" t="s">
        <v>1</v>
      </c>
      <c r="B7" s="139">
        <f>IF(B$2=0,0,(B$8*1+B$9*2+B$10*3)/B$2)</f>
        <v>1.7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0.31034482758620691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2975</v>
      </c>
      <c r="Q7" s="78">
        <v>8</v>
      </c>
      <c r="R7" s="65">
        <v>23800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5</v>
      </c>
      <c r="H8" s="88">
        <f>IF(B$20=0,0,G8/B$20)</f>
        <v>0.17241379310344829</v>
      </c>
      <c r="I8" s="58">
        <v>6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0.5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0.1</v>
      </c>
      <c r="E10" s="27" t="s">
        <v>70</v>
      </c>
      <c r="F10" s="24" t="s">
        <v>25</v>
      </c>
      <c r="G10" s="12">
        <v>3</v>
      </c>
      <c r="H10" s="88">
        <f>IF(B$20=0,0,G10/B$20)</f>
        <v>0.10344827586206896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5">
      <c r="A11" s="20" t="s">
        <v>184</v>
      </c>
      <c r="B11" s="109">
        <f>IF(B8=0,0,C11/B8)</f>
        <v>20.650000000000002</v>
      </c>
      <c r="C11" s="110">
        <v>82.600000000000009</v>
      </c>
      <c r="E11" s="27" t="s">
        <v>71</v>
      </c>
      <c r="F11" s="24" t="s">
        <v>26</v>
      </c>
      <c r="G11" s="12">
        <v>1</v>
      </c>
      <c r="H11" s="88">
        <f>IF(B$20=0,0,G11/B$20)</f>
        <v>3.4482758620689655E-2</v>
      </c>
      <c r="I11" s="58">
        <v>6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7.6000000000000005</v>
      </c>
      <c r="Q11" s="77">
        <v>3</v>
      </c>
      <c r="R11" s="68">
        <v>22.8</v>
      </c>
    </row>
    <row r="12" spans="1:18" x14ac:dyDescent="0.45">
      <c r="A12" s="20" t="s">
        <v>185</v>
      </c>
      <c r="B12" s="109">
        <f>IF(B9=0,0,C12/B9)</f>
        <v>6.44</v>
      </c>
      <c r="C12" s="110">
        <v>32.200000000000003</v>
      </c>
      <c r="E12" s="27" t="s">
        <v>83</v>
      </c>
      <c r="F12" s="24" t="s">
        <v>38</v>
      </c>
      <c r="G12" s="12">
        <v>1</v>
      </c>
      <c r="H12" s="88">
        <f>IF(B$20=0,0,G12/B$20)</f>
        <v>3.4482758620689655E-2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12.274999999999999</v>
      </c>
      <c r="Q12" s="78">
        <v>4</v>
      </c>
      <c r="R12" s="69">
        <v>49.099999999999994</v>
      </c>
    </row>
    <row r="13" spans="1:18" x14ac:dyDescent="0.45">
      <c r="A13" s="20" t="s">
        <v>186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>IF(B$20=0,0,G13/B$20)</f>
        <v>3.4482758620689655E-2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1.3300000000000007</v>
      </c>
      <c r="C14" s="126"/>
      <c r="E14" s="27" t="s">
        <v>88</v>
      </c>
      <c r="F14" s="24" t="s">
        <v>43</v>
      </c>
      <c r="G14" s="12">
        <v>1</v>
      </c>
      <c r="H14" s="88">
        <f>IF(B$20=0,0,G14/B$20)</f>
        <v>3.4482758620689655E-2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91</v>
      </c>
      <c r="F15" s="24" t="s">
        <v>46</v>
      </c>
      <c r="G15" s="12">
        <v>1</v>
      </c>
      <c r="H15" s="88">
        <f>IF(B$20=0,0,G15/B$20)</f>
        <v>3.4482758620689655E-2</v>
      </c>
      <c r="I15" s="58">
        <v>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23</v>
      </c>
      <c r="C16" s="10">
        <f>IF(B$3=0,0,B16/B$3)</f>
        <v>0.27058823529411763</v>
      </c>
      <c r="E16" s="27" t="s">
        <v>69</v>
      </c>
      <c r="F16" s="24" t="s">
        <v>24</v>
      </c>
      <c r="G16" s="12">
        <v>0</v>
      </c>
      <c r="H16" s="88">
        <f>IF(B$20=0,0,G16/B$20)</f>
        <v>0</v>
      </c>
      <c r="I16" s="58">
        <v>9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32</v>
      </c>
      <c r="C17" s="6">
        <f>IF(B$3=0,0,B17/B$3)</f>
        <v>0.37647058823529411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9.1444444444444439</v>
      </c>
      <c r="Q17" s="77">
        <v>9</v>
      </c>
      <c r="R17" s="68">
        <v>82.3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0.43478260869565216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4.05</v>
      </c>
      <c r="Q18" s="77">
        <v>6</v>
      </c>
      <c r="R18" s="68">
        <v>24.3</v>
      </c>
    </row>
    <row r="19" spans="1:18" x14ac:dyDescent="0.45">
      <c r="A19" s="18" t="s">
        <v>124</v>
      </c>
      <c r="B19" s="11">
        <f>B25</f>
        <v>14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>IF(Q19=0,0,R19/Q19)</f>
        <v>-1.1499999999999986</v>
      </c>
      <c r="Q19" s="77">
        <v>2</v>
      </c>
      <c r="R19" s="68">
        <v>-2.2999999999999972</v>
      </c>
    </row>
    <row r="20" spans="1:18" x14ac:dyDescent="0.45">
      <c r="A20" s="18" t="s">
        <v>10</v>
      </c>
      <c r="B20" s="11">
        <f>B23+B22</f>
        <v>29</v>
      </c>
      <c r="C20" s="5">
        <f>IF(B$3=0,0,B20/B$3)</f>
        <v>0.3411764705882353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12</v>
      </c>
      <c r="C21" s="6">
        <f>IF(B$3=0,0,B21/B$3)</f>
        <v>0.14117647058823529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15</v>
      </c>
      <c r="C22" s="6">
        <f>IF(B$20=0,0,B22/B$20)</f>
        <v>0.51724137931034486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0.48275862068965519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</row>
    <row r="24" spans="1:18" x14ac:dyDescent="0.45">
      <c r="A24" s="19" t="s">
        <v>183</v>
      </c>
      <c r="B24" s="12">
        <v>10</v>
      </c>
      <c r="C24" s="6">
        <f>IF(B$20=0,0,B24/B$20)</f>
        <v>0.34482758620689657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14</v>
      </c>
      <c r="C25" s="6">
        <f>IF(B$20=0,0,B25/B$20)</f>
        <v>0.48275862068965519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6</v>
      </c>
    </row>
    <row r="26" spans="1:18" x14ac:dyDescent="0.45">
      <c r="A26" s="19" t="s">
        <v>182</v>
      </c>
      <c r="B26" s="12">
        <v>5</v>
      </c>
      <c r="C26" s="6">
        <f>IF(B$20=0,0,B26/B$20)</f>
        <v>0.17241379310344829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7810.3448275862065</v>
      </c>
      <c r="C27" s="8">
        <v>226500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10193.333333333334</v>
      </c>
      <c r="C28" s="96">
        <v>152900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5257.1428571428569</v>
      </c>
      <c r="C29" s="96">
        <v>73600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-6483.333333333333</v>
      </c>
      <c r="C30" s="96">
        <v>-77800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0.10344827586206896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8</v>
      </c>
      <c r="C38" s="6">
        <f t="shared" si="2"/>
        <v>0.27586206896551724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0.13793103448275862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3.4482758620689655E-2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3.4482758620689655E-2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6.8965517241379309E-2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3.4482758620689655E-2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0.10344827586206896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E6E3-F3D6-4D65-8090-95E10797C371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</v>
      </c>
      <c r="C2" s="134"/>
      <c r="E2" s="26" t="s">
        <v>159</v>
      </c>
      <c r="F2" s="23" t="s">
        <v>160</v>
      </c>
      <c r="G2" s="11">
        <v>3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2566.6666666666665</v>
      </c>
      <c r="Q2" s="76">
        <v>3</v>
      </c>
      <c r="R2" s="63">
        <v>7700</v>
      </c>
    </row>
    <row r="3" spans="1:18" x14ac:dyDescent="0.45">
      <c r="A3" s="19" t="s">
        <v>8</v>
      </c>
      <c r="B3" s="135">
        <v>21</v>
      </c>
      <c r="C3" s="136"/>
      <c r="E3" s="27" t="s">
        <v>69</v>
      </c>
      <c r="F3" s="24" t="s">
        <v>24</v>
      </c>
      <c r="G3" s="12">
        <v>2</v>
      </c>
      <c r="H3" s="88">
        <f>IF(B$20=0,0,G3/B$20)</f>
        <v>0.66666666666666663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4066.6666666666665</v>
      </c>
      <c r="Q3" s="77">
        <v>3</v>
      </c>
      <c r="R3" s="64">
        <v>12200</v>
      </c>
    </row>
    <row r="4" spans="1:18" x14ac:dyDescent="0.45">
      <c r="A4" s="19" t="s">
        <v>6</v>
      </c>
      <c r="B4" s="137">
        <v>-40.4</v>
      </c>
      <c r="C4" s="138"/>
      <c r="E4" s="27" t="s">
        <v>64</v>
      </c>
      <c r="F4" s="24" t="s">
        <v>20</v>
      </c>
      <c r="G4" s="12">
        <v>1</v>
      </c>
      <c r="H4" s="88">
        <f>IF(B$20=0,0,G4/B$20)</f>
        <v>0.33333333333333331</v>
      </c>
      <c r="I4" s="58">
        <v>8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-2766.6666666666665</v>
      </c>
      <c r="Q4" s="77">
        <v>3</v>
      </c>
      <c r="R4" s="64">
        <v>-8300</v>
      </c>
    </row>
    <row r="5" spans="1:18" x14ac:dyDescent="0.45">
      <c r="A5" s="19" t="s">
        <v>7</v>
      </c>
      <c r="B5" s="125">
        <f>IF(B$2=0,0,B$4/B$2)</f>
        <v>-13.466666666666667</v>
      </c>
      <c r="C5" s="126"/>
      <c r="E5" s="27" t="s">
        <v>67</v>
      </c>
      <c r="F5" s="24" t="s">
        <v>23</v>
      </c>
      <c r="G5" s="12">
        <v>1</v>
      </c>
      <c r="H5" s="88">
        <f>IF(B$20=0,0,G5/B$20)</f>
        <v>0.33333333333333331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-9750</v>
      </c>
      <c r="Q5" s="77">
        <v>2</v>
      </c>
      <c r="R5" s="64">
        <v>-19500</v>
      </c>
    </row>
    <row r="6" spans="1:18" x14ac:dyDescent="0.45">
      <c r="A6" s="19" t="s">
        <v>196</v>
      </c>
      <c r="B6" s="129">
        <v>1518.8868623780729</v>
      </c>
      <c r="C6" s="130"/>
      <c r="E6" s="27" t="s">
        <v>72</v>
      </c>
      <c r="F6" s="24" t="s">
        <v>27</v>
      </c>
      <c r="G6" s="12">
        <v>1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-10500</v>
      </c>
      <c r="Q6" s="77">
        <v>2</v>
      </c>
      <c r="R6" s="64">
        <v>-21000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1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-750</v>
      </c>
      <c r="Q7" s="78">
        <v>2</v>
      </c>
      <c r="R7" s="65">
        <v>-1500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8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0.66666666666666663</v>
      </c>
      <c r="E9" s="27" t="s">
        <v>66</v>
      </c>
      <c r="F9" s="24" t="s">
        <v>22</v>
      </c>
      <c r="G9" s="12">
        <v>0</v>
      </c>
      <c r="H9" s="88">
        <f>IF(B$20=0,0,G9/B$20)</f>
        <v>0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0.33333333333333331</v>
      </c>
      <c r="E10" s="27" t="s">
        <v>68</v>
      </c>
      <c r="F10" s="24" t="s">
        <v>12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-33.6</v>
      </c>
      <c r="Q10" s="76">
        <v>1</v>
      </c>
      <c r="R10" s="67">
        <v>-33.6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-3.3</v>
      </c>
      <c r="Q11" s="77">
        <v>1</v>
      </c>
      <c r="R11" s="68">
        <v>-3.3</v>
      </c>
    </row>
    <row r="12" spans="1:18" x14ac:dyDescent="0.45">
      <c r="A12" s="20" t="s">
        <v>185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8</v>
      </c>
      <c r="O12" s="75" t="s">
        <v>153</v>
      </c>
      <c r="P12" s="84">
        <f>IF(Q12=0,0,R12/Q12)</f>
        <v>-3.5</v>
      </c>
      <c r="Q12" s="78">
        <v>1</v>
      </c>
      <c r="R12" s="69">
        <v>-3.5</v>
      </c>
    </row>
    <row r="13" spans="1:18" x14ac:dyDescent="0.45">
      <c r="A13" s="20" t="s">
        <v>186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-12.333333333333334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5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3</v>
      </c>
    </row>
    <row r="18" spans="1:9" x14ac:dyDescent="0.45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5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5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5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5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9" x14ac:dyDescent="0.45">
      <c r="A24" s="19" t="s">
        <v>183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5">
      <c r="A25" s="19" t="s">
        <v>181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5">
      <c r="A26" s="19" t="s">
        <v>182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5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5">
      <c r="A28" s="20" t="s">
        <v>165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5">
      <c r="A29" s="20" t="s">
        <v>166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5">
      <c r="A30" s="20" t="s">
        <v>164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31700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D46E-0497-478F-B313-2BE5E83B5D7E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38</v>
      </c>
      <c r="H2" s="87">
        <f>IF(B$20=0,0,G2/B$20)</f>
        <v>1.027027027027027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200</v>
      </c>
      <c r="Q2" s="76">
        <v>14</v>
      </c>
      <c r="R2" s="63">
        <v>2800</v>
      </c>
    </row>
    <row r="3" spans="1:18" x14ac:dyDescent="0.45">
      <c r="A3" s="19" t="s">
        <v>8</v>
      </c>
      <c r="B3" s="135">
        <v>105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0.6216216216216216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1642.8571428571429</v>
      </c>
      <c r="Q3" s="77">
        <v>14</v>
      </c>
      <c r="R3" s="64">
        <v>23000</v>
      </c>
    </row>
    <row r="4" spans="1:18" x14ac:dyDescent="0.45">
      <c r="A4" s="19" t="s">
        <v>6</v>
      </c>
      <c r="B4" s="137">
        <v>99.300000000000011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2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1121.4285714285713</v>
      </c>
      <c r="Q4" s="77">
        <v>14</v>
      </c>
      <c r="R4" s="64">
        <v>15700</v>
      </c>
    </row>
    <row r="5" spans="1:18" x14ac:dyDescent="0.45">
      <c r="A5" s="19" t="s">
        <v>7</v>
      </c>
      <c r="B5" s="125">
        <f>IF(B$2=0,0,B$4/B$2)</f>
        <v>7.0928571428571434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0.32432432432432434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258.33333333333331</v>
      </c>
      <c r="Q5" s="77">
        <v>12</v>
      </c>
      <c r="R5" s="64">
        <v>3100</v>
      </c>
    </row>
    <row r="6" spans="1:18" x14ac:dyDescent="0.45">
      <c r="A6" s="19" t="s">
        <v>196</v>
      </c>
      <c r="B6" s="129">
        <v>1512.415829547685</v>
      </c>
      <c r="C6" s="130"/>
      <c r="E6" s="27" t="s">
        <v>159</v>
      </c>
      <c r="F6" s="24" t="s">
        <v>160</v>
      </c>
      <c r="G6" s="12">
        <v>9</v>
      </c>
      <c r="H6" s="88">
        <f>IF(B$20=0,0,G6/B$20)</f>
        <v>0.24324324324324326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2360</v>
      </c>
      <c r="Q6" s="77">
        <v>10</v>
      </c>
      <c r="R6" s="64">
        <v>23600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0.1891891891891892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1918.1818181818182</v>
      </c>
      <c r="Q7" s="78">
        <v>11</v>
      </c>
      <c r="R7" s="65">
        <v>21100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5</v>
      </c>
      <c r="H8" s="88">
        <f>IF(B$20=0,0,G8/B$20)</f>
        <v>0.13513513513513514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0.21428571428571427</v>
      </c>
      <c r="E9" s="27" t="s">
        <v>89</v>
      </c>
      <c r="F9" s="24" t="s">
        <v>44</v>
      </c>
      <c r="G9" s="12">
        <v>5</v>
      </c>
      <c r="H9" s="88">
        <f>IF(B$20=0,0,G9/B$20)</f>
        <v>0.13513513513513514</v>
      </c>
      <c r="I9" s="58">
        <v>8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0.35714285714285715</v>
      </c>
      <c r="E10" s="27" t="s">
        <v>71</v>
      </c>
      <c r="F10" s="24" t="s">
        <v>26</v>
      </c>
      <c r="G10" s="12">
        <v>3</v>
      </c>
      <c r="H10" s="88">
        <f>IF(B$20=0,0,G10/B$20)</f>
        <v>8.1081081081081086E-2</v>
      </c>
      <c r="I10" s="58">
        <v>3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36.066666666666663</v>
      </c>
      <c r="C11" s="110">
        <v>216.39999999999998</v>
      </c>
      <c r="E11" s="27" t="s">
        <v>81</v>
      </c>
      <c r="F11" s="24" t="s">
        <v>36</v>
      </c>
      <c r="G11" s="12">
        <v>2</v>
      </c>
      <c r="H11" s="88">
        <f>IF(B$20=0,0,G11/B$20)</f>
        <v>5.4054054054054057E-2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5.4054054054054057E-2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5.4054054054054057E-2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5.3888888888888866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2.7027027027027029E-2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70</v>
      </c>
      <c r="F15" s="24" t="s">
        <v>25</v>
      </c>
      <c r="G15" s="12">
        <v>1</v>
      </c>
      <c r="H15" s="88">
        <f>IF(B$20=0,0,G15/B$20)</f>
        <v>2.7027027027027029E-2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26</v>
      </c>
      <c r="C16" s="10">
        <f>IF(B$3=0,0,B16/B$3)</f>
        <v>0.24761904761904763</v>
      </c>
      <c r="E16" s="27" t="s">
        <v>73</v>
      </c>
      <c r="F16" s="24" t="s">
        <v>28</v>
      </c>
      <c r="G16" s="12">
        <v>1</v>
      </c>
      <c r="H16" s="88">
        <f>IF(B$20=0,0,G16/B$20)</f>
        <v>2.7027027027027029E-2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27</v>
      </c>
      <c r="C17" s="6">
        <f>IF(B$3=0,0,B17/B$3)</f>
        <v>0.25714285714285712</v>
      </c>
      <c r="E17" s="27" t="s">
        <v>75</v>
      </c>
      <c r="F17" s="24" t="s">
        <v>30</v>
      </c>
      <c r="G17" s="12">
        <v>1</v>
      </c>
      <c r="H17" s="88">
        <f>IF(B$20=0,0,G17/B$20)</f>
        <v>2.7027027027027029E-2</v>
      </c>
      <c r="I17" s="58">
        <v>1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16</v>
      </c>
      <c r="C18" s="5">
        <f>IF(B$16=0,0,B18/B$16)</f>
        <v>0.61538461538461542</v>
      </c>
      <c r="E18" s="27" t="s">
        <v>78</v>
      </c>
      <c r="F18" s="24" t="s">
        <v>33</v>
      </c>
      <c r="G18" s="12">
        <v>1</v>
      </c>
      <c r="H18" s="88">
        <f>IF(B$20=0,0,G18/B$20)</f>
        <v>2.7027027027027029E-2</v>
      </c>
      <c r="I18" s="58">
        <v>4</v>
      </c>
      <c r="O18" s="74" t="s">
        <v>216</v>
      </c>
      <c r="P18" s="83">
        <f>IF(Q18=0,0,R18/Q18)</f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0.59259259259259256</v>
      </c>
      <c r="E19" s="27" t="s">
        <v>86</v>
      </c>
      <c r="F19" s="24" t="s">
        <v>41</v>
      </c>
      <c r="G19" s="12">
        <v>1</v>
      </c>
      <c r="H19" s="88">
        <f>IF(B$20=0,0,G19/B$20)</f>
        <v>2.7027027027027029E-2</v>
      </c>
      <c r="I19" s="58">
        <v>7</v>
      </c>
      <c r="O19" s="74" t="s">
        <v>163</v>
      </c>
      <c r="P19" s="83">
        <f>IF(Q19=0,0,R19/Q19)</f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37</v>
      </c>
      <c r="C20" s="5">
        <f>IF(B$3=0,0,B20/B$3)</f>
        <v>0.35238095238095241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17</v>
      </c>
      <c r="C21" s="6">
        <f>IF(B$3=0,0,B21/B$3)</f>
        <v>0.16190476190476191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0.40540540540540543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1.1499999999999986</v>
      </c>
      <c r="Q22" s="77">
        <v>2</v>
      </c>
      <c r="R22" s="68">
        <v>2.2999999999999972</v>
      </c>
    </row>
    <row r="23" spans="1:18" x14ac:dyDescent="0.45">
      <c r="A23" s="19" t="s">
        <v>11</v>
      </c>
      <c r="B23" s="12">
        <v>22</v>
      </c>
      <c r="C23" s="6">
        <f>IF(B$20=0,0,B23/B$20)</f>
        <v>0.59459459459459463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16</v>
      </c>
      <c r="C24" s="6">
        <f>IF(B$20=0,0,B24/B$20)</f>
        <v>0.43243243243243246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0.43243243243243246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0.13513513513513514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7913.5135135135133</v>
      </c>
      <c r="C27" s="8">
        <v>292800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8776.1904761904771</v>
      </c>
      <c r="C28" s="96">
        <v>184300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6781.25</v>
      </c>
      <c r="C29" s="96">
        <v>108500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-7394.1176470588234</v>
      </c>
      <c r="C30" s="96">
        <v>-125700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9.5238095238095247E-3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5.4054054054054057E-2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0.24324324324324326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0.1891891891891892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2"/>
        <v>0.1891891891891892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5.4054054054054057E-2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0.13513513513513514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5.4054054054054057E-2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2.7027027027027029E-2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2.7027027027027029E-2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2.7027027027027029E-2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4E3-20E7-4554-B821-3E0C249FE20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24</v>
      </c>
      <c r="H2" s="87">
        <f>IF(B$20=0,0,G2/B$20)</f>
        <v>0.70588235294117652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-900</v>
      </c>
      <c r="Q2" s="76">
        <v>12</v>
      </c>
      <c r="R2" s="63">
        <v>-10800</v>
      </c>
    </row>
    <row r="3" spans="1:18" x14ac:dyDescent="0.45">
      <c r="A3" s="19" t="s">
        <v>8</v>
      </c>
      <c r="B3" s="135">
        <v>107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0.55882352941176472</v>
      </c>
      <c r="I3" s="58">
        <v>2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1027.2727272727273</v>
      </c>
      <c r="Q3" s="77">
        <v>11</v>
      </c>
      <c r="R3" s="64">
        <v>11300</v>
      </c>
    </row>
    <row r="4" spans="1:18" x14ac:dyDescent="0.45">
      <c r="A4" s="19" t="s">
        <v>6</v>
      </c>
      <c r="B4" s="137">
        <v>1.599999999999999</v>
      </c>
      <c r="C4" s="138"/>
      <c r="E4" s="27" t="s">
        <v>72</v>
      </c>
      <c r="F4" s="24" t="s">
        <v>27</v>
      </c>
      <c r="G4" s="12">
        <v>16</v>
      </c>
      <c r="H4" s="88">
        <f>IF(B$20=0,0,G4/B$20)</f>
        <v>0.47058823529411764</v>
      </c>
      <c r="I4" s="58">
        <v>9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2636.3636363636365</v>
      </c>
      <c r="Q4" s="77">
        <v>11</v>
      </c>
      <c r="R4" s="64">
        <v>29000</v>
      </c>
    </row>
    <row r="5" spans="1:18" x14ac:dyDescent="0.45">
      <c r="A5" s="19" t="s">
        <v>7</v>
      </c>
      <c r="B5" s="125">
        <f>IF(B$2=0,0,B$4/B$2)</f>
        <v>0.13333333333333325</v>
      </c>
      <c r="C5" s="126"/>
      <c r="E5" s="27" t="s">
        <v>64</v>
      </c>
      <c r="F5" s="24" t="s">
        <v>20</v>
      </c>
      <c r="G5" s="12">
        <v>12</v>
      </c>
      <c r="H5" s="88">
        <f>IF(B$20=0,0,G5/B$20)</f>
        <v>0.35294117647058826</v>
      </c>
      <c r="I5" s="58">
        <v>6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-136.36363636363637</v>
      </c>
      <c r="Q5" s="77">
        <v>11</v>
      </c>
      <c r="R5" s="64">
        <v>-1500</v>
      </c>
    </row>
    <row r="6" spans="1:18" x14ac:dyDescent="0.45">
      <c r="A6" s="19" t="s">
        <v>196</v>
      </c>
      <c r="B6" s="129">
        <v>1522.4637523585736</v>
      </c>
      <c r="C6" s="130"/>
      <c r="E6" s="27" t="s">
        <v>68</v>
      </c>
      <c r="F6" s="24" t="s">
        <v>12</v>
      </c>
      <c r="G6" s="12">
        <v>12</v>
      </c>
      <c r="H6" s="88">
        <f>IF(B$20=0,0,G6/B$20)</f>
        <v>0.35294117647058826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-627.27272727272725</v>
      </c>
      <c r="Q6" s="77">
        <v>11</v>
      </c>
      <c r="R6" s="64">
        <v>-6900</v>
      </c>
    </row>
    <row r="7" spans="1:18" x14ac:dyDescent="0.45">
      <c r="A7" s="19" t="s">
        <v>1</v>
      </c>
      <c r="B7" s="139">
        <f>IF(B$2=0,0,(B$8*1+B$9*2+B$10*3)/B$2)</f>
        <v>1.9166666666666667</v>
      </c>
      <c r="C7" s="140"/>
      <c r="E7" s="27" t="s">
        <v>70</v>
      </c>
      <c r="F7" s="24" t="s">
        <v>25</v>
      </c>
      <c r="G7" s="12">
        <v>7</v>
      </c>
      <c r="H7" s="88">
        <f>IF(B$20=0,0,G7/B$20)</f>
        <v>0.20588235294117646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-510</v>
      </c>
      <c r="Q7" s="78">
        <v>10</v>
      </c>
      <c r="R7" s="65">
        <v>-5100</v>
      </c>
    </row>
    <row r="8" spans="1:18" x14ac:dyDescent="0.45">
      <c r="A8" s="19" t="s">
        <v>2</v>
      </c>
      <c r="B8" s="12">
        <v>3</v>
      </c>
      <c r="C8" s="6">
        <f t="shared" ref="C8:C15" si="1">IF(B$2=0,0,B8/B$2)</f>
        <v>0.25</v>
      </c>
      <c r="E8" s="27" t="s">
        <v>71</v>
      </c>
      <c r="F8" s="24" t="s">
        <v>26</v>
      </c>
      <c r="G8" s="12">
        <v>5</v>
      </c>
      <c r="H8" s="88">
        <f>IF(B$20=0,0,G8/B$20)</f>
        <v>0.14705882352941177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0.58333333333333337</v>
      </c>
      <c r="E9" s="27" t="s">
        <v>89</v>
      </c>
      <c r="F9" s="24" t="s">
        <v>44</v>
      </c>
      <c r="G9" s="12">
        <v>4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0.16666666666666666</v>
      </c>
      <c r="E10" s="27" t="s">
        <v>67</v>
      </c>
      <c r="F10" s="24" t="s">
        <v>23</v>
      </c>
      <c r="G10" s="12">
        <v>3</v>
      </c>
      <c r="H10" s="88">
        <f>IF(B$20=0,0,G10/B$20)</f>
        <v>8.8235294117647065E-2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-6.6571428571428575</v>
      </c>
      <c r="Q10" s="76">
        <v>7</v>
      </c>
      <c r="R10" s="67">
        <v>-46.6</v>
      </c>
    </row>
    <row r="11" spans="1:18" x14ac:dyDescent="0.45">
      <c r="A11" s="20" t="s">
        <v>184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>IF(B$20=0,0,G11/B$20)</f>
        <v>5.8823529411764705E-2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5.8</v>
      </c>
      <c r="Q11" s="77">
        <v>3</v>
      </c>
      <c r="R11" s="68">
        <v>17.399999999999999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86</v>
      </c>
      <c r="F12" s="24" t="s">
        <v>41</v>
      </c>
      <c r="G12" s="12">
        <v>2</v>
      </c>
      <c r="H12" s="88">
        <f>IF(B$20=0,0,G12/B$20)</f>
        <v>5.8823529411764705E-2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-22.9</v>
      </c>
      <c r="C13" s="110">
        <v>-45.8</v>
      </c>
      <c r="E13" s="27" t="s">
        <v>73</v>
      </c>
      <c r="F13" s="24" t="s">
        <v>28</v>
      </c>
      <c r="G13" s="12">
        <v>1</v>
      </c>
      <c r="H13" s="88">
        <f>IF(B$20=0,0,G13/B$20)</f>
        <v>2.9411764705882353E-2</v>
      </c>
      <c r="I13" s="58">
        <v>1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-0.96349206349206307</v>
      </c>
      <c r="C14" s="126"/>
      <c r="E14" s="27" t="s">
        <v>78</v>
      </c>
      <c r="F14" s="24" t="s">
        <v>33</v>
      </c>
      <c r="G14" s="12">
        <v>1</v>
      </c>
      <c r="H14" s="88">
        <f>IF(B$20=0,0,G14/B$20)</f>
        <v>2.9411764705882353E-2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2.9411764705882353E-2</v>
      </c>
      <c r="I15" s="58">
        <v>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25</v>
      </c>
      <c r="C16" s="10">
        <f>IF(B$3=0,0,B16/B$3)</f>
        <v>0.23364485981308411</v>
      </c>
      <c r="E16" s="27" t="s">
        <v>83</v>
      </c>
      <c r="F16" s="24" t="s">
        <v>38</v>
      </c>
      <c r="G16" s="12">
        <v>1</v>
      </c>
      <c r="H16" s="88">
        <f>IF(B$20=0,0,G16/B$20)</f>
        <v>2.9411764705882353E-2</v>
      </c>
      <c r="I16" s="58">
        <v>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23</v>
      </c>
      <c r="C17" s="6">
        <f>IF(B$3=0,0,B17/B$3)</f>
        <v>0.21495327102803738</v>
      </c>
      <c r="E17" s="27" t="s">
        <v>155</v>
      </c>
      <c r="F17" s="24" t="s">
        <v>156</v>
      </c>
      <c r="G17" s="12">
        <v>1</v>
      </c>
      <c r="H17" s="88">
        <f>IF(B$20=0,0,G17/B$20)</f>
        <v>2.9411764705882353E-2</v>
      </c>
      <c r="I17" s="58">
        <v>2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13</v>
      </c>
      <c r="C18" s="5">
        <f>IF(B$16=0,0,B18/B$16)</f>
        <v>0.52</v>
      </c>
      <c r="E18" s="27" t="s">
        <v>65</v>
      </c>
      <c r="F18" s="24" t="s">
        <v>21</v>
      </c>
      <c r="G18" s="12">
        <v>0</v>
      </c>
      <c r="H18" s="88">
        <f>IF(B$20=0,0,G18/B$20)</f>
        <v>0</v>
      </c>
      <c r="I18" s="58">
        <v>8</v>
      </c>
      <c r="O18" s="74" t="s">
        <v>189</v>
      </c>
      <c r="P18" s="83">
        <f>IF(Q18=0,0,R18/Q18)</f>
        <v>-4.05</v>
      </c>
      <c r="Q18" s="77">
        <v>6</v>
      </c>
      <c r="R18" s="68">
        <v>-24.299999999999997</v>
      </c>
    </row>
    <row r="19" spans="1:18" x14ac:dyDescent="0.45">
      <c r="A19" s="18" t="s">
        <v>124</v>
      </c>
      <c r="B19" s="11">
        <f>B25</f>
        <v>10</v>
      </c>
      <c r="C19" s="5">
        <f>IF(B$17=0,0,B19/B$17)</f>
        <v>0.43478260869565216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126</v>
      </c>
      <c r="P19" s="83">
        <f>IF(Q19=0,0,R19/Q19)</f>
        <v>-6.2399999999999993</v>
      </c>
      <c r="Q19" s="77">
        <v>10</v>
      </c>
      <c r="R19" s="68">
        <v>-62.399999999999991</v>
      </c>
    </row>
    <row r="20" spans="1:18" x14ac:dyDescent="0.45">
      <c r="A20" s="18" t="s">
        <v>10</v>
      </c>
      <c r="B20" s="11">
        <f>B23+B22</f>
        <v>34</v>
      </c>
      <c r="C20" s="5">
        <f>IF(B$3=0,0,B20/B$3)</f>
        <v>0.31775700934579437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195</v>
      </c>
      <c r="P20" s="83">
        <f>IF(Q20=0,0,R20/Q20)</f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13</v>
      </c>
      <c r="C21" s="6">
        <f>IF(B$3=0,0,B21/B$3)</f>
        <v>0.12149532710280374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211</v>
      </c>
      <c r="P21" s="83">
        <f>IF(Q21=0,0,R21/Q21)</f>
        <v>-16.2</v>
      </c>
      <c r="Q21" s="77">
        <v>1</v>
      </c>
      <c r="R21" s="68">
        <v>-16.2</v>
      </c>
    </row>
    <row r="22" spans="1:18" x14ac:dyDescent="0.45">
      <c r="A22" s="19" t="s">
        <v>12</v>
      </c>
      <c r="B22" s="12">
        <v>14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20</v>
      </c>
      <c r="C23" s="6">
        <f>IF(B$20=0,0,B23/B$20)</f>
        <v>0.58823529411764708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13</v>
      </c>
      <c r="C24" s="6">
        <f>IF(B$20=0,0,B24/B$20)</f>
        <v>0.38235294117647056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6</v>
      </c>
    </row>
    <row r="25" spans="1:18" x14ac:dyDescent="0.45">
      <c r="A25" s="19" t="s">
        <v>181</v>
      </c>
      <c r="B25" s="12">
        <v>10</v>
      </c>
      <c r="C25" s="6">
        <f>IF(B$20=0,0,B25/B$20)</f>
        <v>0.29411764705882354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11</v>
      </c>
      <c r="C26" s="6">
        <f>IF(B$20=0,0,B26/B$20)</f>
        <v>0.3235294117647059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6532.3529411764703</v>
      </c>
      <c r="C27" s="8">
        <v>222100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7425</v>
      </c>
      <c r="C28" s="96">
        <v>178200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4390</v>
      </c>
      <c r="C29" s="96">
        <v>43900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-7830.7692307692305</v>
      </c>
      <c r="C30" s="96">
        <v>-101800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14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56300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8.8235294117647065E-2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0.26470588235294118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6</v>
      </c>
      <c r="C39" s="6">
        <f t="shared" si="2"/>
        <v>0.17647058823529413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0.17647058823529413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2.9411764705882353E-2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2.9411764705882353E-2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9A67F-0462-44DC-B0A2-5CC4688D5D15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11</v>
      </c>
      <c r="C2" s="134"/>
      <c r="E2" s="26" t="s">
        <v>72</v>
      </c>
      <c r="F2" s="23" t="s">
        <v>27</v>
      </c>
      <c r="G2" s="11">
        <v>13</v>
      </c>
      <c r="H2" s="87">
        <f>IF(B$20=0,0,G2/B$20)</f>
        <v>0.65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-254.54545454545453</v>
      </c>
      <c r="Q2" s="76">
        <v>11</v>
      </c>
      <c r="R2" s="63">
        <v>-2800</v>
      </c>
    </row>
    <row r="3" spans="1:18" x14ac:dyDescent="0.45">
      <c r="A3" s="19" t="s">
        <v>8</v>
      </c>
      <c r="B3" s="135">
        <v>85</v>
      </c>
      <c r="C3" s="136"/>
      <c r="E3" s="27" t="s">
        <v>66</v>
      </c>
      <c r="F3" s="24" t="s">
        <v>22</v>
      </c>
      <c r="G3" s="12">
        <v>12</v>
      </c>
      <c r="H3" s="88">
        <f>IF(B$20=0,0,G3/B$20)</f>
        <v>0.6</v>
      </c>
      <c r="I3" s="58">
        <v>7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700</v>
      </c>
      <c r="Q3" s="77">
        <v>11</v>
      </c>
      <c r="R3" s="64">
        <v>7700</v>
      </c>
    </row>
    <row r="4" spans="1:18" x14ac:dyDescent="0.45">
      <c r="A4" s="19" t="s">
        <v>6</v>
      </c>
      <c r="B4" s="137">
        <v>-20.399999999999995</v>
      </c>
      <c r="C4" s="138"/>
      <c r="E4" s="27" t="s">
        <v>64</v>
      </c>
      <c r="F4" s="24" t="s">
        <v>20</v>
      </c>
      <c r="G4" s="12">
        <v>8</v>
      </c>
      <c r="H4" s="88">
        <f>IF(B$20=0,0,G4/B$20)</f>
        <v>0.4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-4200</v>
      </c>
      <c r="Q4" s="77">
        <v>11</v>
      </c>
      <c r="R4" s="64">
        <v>-46200</v>
      </c>
    </row>
    <row r="5" spans="1:18" x14ac:dyDescent="0.45">
      <c r="A5" s="19" t="s">
        <v>7</v>
      </c>
      <c r="B5" s="125">
        <f>IF(B$2=0,0,B$4/B$2)</f>
        <v>-1.8545454545454541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0.35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20</v>
      </c>
      <c r="Q5" s="77">
        <v>10</v>
      </c>
      <c r="R5" s="64">
        <v>200</v>
      </c>
    </row>
    <row r="6" spans="1:18" x14ac:dyDescent="0.45">
      <c r="A6" s="19" t="s">
        <v>196</v>
      </c>
      <c r="B6" s="129">
        <v>1499.1032793002189</v>
      </c>
      <c r="C6" s="130"/>
      <c r="E6" s="27" t="s">
        <v>89</v>
      </c>
      <c r="F6" s="24" t="s">
        <v>44</v>
      </c>
      <c r="G6" s="12">
        <v>5</v>
      </c>
      <c r="H6" s="88">
        <f>IF(B$20=0,0,G6/B$20)</f>
        <v>0.25</v>
      </c>
      <c r="I6" s="58">
        <v>3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-1012.5</v>
      </c>
      <c r="Q6" s="77">
        <v>8</v>
      </c>
      <c r="R6" s="64">
        <v>-8100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4</v>
      </c>
      <c r="H7" s="88">
        <f>IF(B$20=0,0,G7/B$20)</f>
        <v>0.2</v>
      </c>
      <c r="I7" s="58">
        <v>8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3200</v>
      </c>
      <c r="Q7" s="78">
        <v>9</v>
      </c>
      <c r="R7" s="65">
        <v>28800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0.36363636363636365</v>
      </c>
      <c r="E8" s="27" t="s">
        <v>65</v>
      </c>
      <c r="F8" s="24" t="s">
        <v>21</v>
      </c>
      <c r="G8" s="12">
        <v>3</v>
      </c>
      <c r="H8" s="88">
        <f>IF(B$20=0,0,G8/B$20)</f>
        <v>0.15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0.27272727272727271</v>
      </c>
      <c r="E9" s="27" t="s">
        <v>67</v>
      </c>
      <c r="F9" s="24" t="s">
        <v>23</v>
      </c>
      <c r="G9" s="12">
        <v>3</v>
      </c>
      <c r="H9" s="88">
        <f>IF(B$20=0,0,G9/B$20)</f>
        <v>0.15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0.36363636363636365</v>
      </c>
      <c r="E10" s="27" t="s">
        <v>86</v>
      </c>
      <c r="F10" s="24" t="s">
        <v>41</v>
      </c>
      <c r="G10" s="12">
        <v>3</v>
      </c>
      <c r="H10" s="88">
        <f>IF(B$20=0,0,G10/B$20)</f>
        <v>0.15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>IF(B$20=0,0,G11/B$20)</f>
        <v>0.1</v>
      </c>
      <c r="I11" s="58">
        <v>6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>IF(B$20=0,0,G12/B$20)</f>
        <v>0.05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6</v>
      </c>
      <c r="Q12" s="78">
        <v>5</v>
      </c>
      <c r="R12" s="69">
        <v>30</v>
      </c>
    </row>
    <row r="13" spans="1:18" x14ac:dyDescent="0.45">
      <c r="A13" s="20" t="s">
        <v>186</v>
      </c>
      <c r="B13" s="109">
        <f>IF(B10=0,0,C13/B10)</f>
        <v>-39.274999999999999</v>
      </c>
      <c r="C13" s="110">
        <v>-157.1</v>
      </c>
      <c r="E13" s="27" t="s">
        <v>71</v>
      </c>
      <c r="F13" s="24" t="s">
        <v>26</v>
      </c>
      <c r="G13" s="12">
        <v>1</v>
      </c>
      <c r="H13" s="88">
        <f>IF(B$20=0,0,G13/B$20)</f>
        <v>0.05</v>
      </c>
      <c r="I13" s="58">
        <v>5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-2.2222222222222214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0.05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9.0909090909090912E-2</v>
      </c>
      <c r="E15" s="27" t="s">
        <v>85</v>
      </c>
      <c r="F15" s="24" t="s">
        <v>40</v>
      </c>
      <c r="G15" s="12">
        <v>1</v>
      </c>
      <c r="H15" s="88">
        <f>IF(B$20=0,0,G15/B$20)</f>
        <v>0.05</v>
      </c>
      <c r="I15" s="58">
        <v>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21</v>
      </c>
      <c r="C16" s="10">
        <f>IF(B$3=0,0,B16/B$3)</f>
        <v>0.24705882352941178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5">
      <c r="A17" s="19" t="s">
        <v>118</v>
      </c>
      <c r="B17" s="12">
        <v>20</v>
      </c>
      <c r="C17" s="6">
        <f>IF(B$3=0,0,B17/B$3)</f>
        <v>0.23529411764705882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163</v>
      </c>
      <c r="P17" s="83">
        <f>IF(Q17=0,0,R17/Q17)</f>
        <v>-14.600000000000005</v>
      </c>
      <c r="Q17" s="77">
        <v>2</v>
      </c>
      <c r="R17" s="68">
        <v>-29.20000000000001</v>
      </c>
    </row>
    <row r="18" spans="1:18" x14ac:dyDescent="0.45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211</v>
      </c>
      <c r="P18" s="83">
        <f>IF(Q18=0,0,R18/Q18)</f>
        <v>-15.922222222222224</v>
      </c>
      <c r="Q18" s="77">
        <v>9</v>
      </c>
      <c r="R18" s="68">
        <v>-143.30000000000001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O19" s="74" t="s">
        <v>192</v>
      </c>
      <c r="P19" s="83">
        <f>IF(Q19=0,0,R19/Q19)</f>
        <v>-35.1</v>
      </c>
      <c r="Q19" s="77">
        <v>1</v>
      </c>
      <c r="R19" s="68">
        <v>-35.1</v>
      </c>
    </row>
    <row r="20" spans="1:18" x14ac:dyDescent="0.45">
      <c r="A20" s="18" t="s">
        <v>10</v>
      </c>
      <c r="B20" s="11">
        <f>B23+B22</f>
        <v>20</v>
      </c>
      <c r="C20" s="5">
        <f>IF(B$3=0,0,B20/B$3)</f>
        <v>0.23529411764705882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  <c r="O20" s="74" t="s">
        <v>189</v>
      </c>
      <c r="P20" s="83">
        <f>IF(Q20=0,0,R20/Q20)</f>
        <v>-35.5</v>
      </c>
      <c r="Q20" s="77">
        <v>1</v>
      </c>
      <c r="R20" s="68">
        <v>-35.5</v>
      </c>
    </row>
    <row r="21" spans="1:18" x14ac:dyDescent="0.45">
      <c r="A21" s="19" t="s">
        <v>13</v>
      </c>
      <c r="B21" s="12">
        <v>18</v>
      </c>
      <c r="C21" s="6">
        <f>IF(B$3=0,0,B21/B$3)</f>
        <v>0.21176470588235294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9</v>
      </c>
      <c r="C22" s="6">
        <f>IF(B$20=0,0,B22/B$20)</f>
        <v>0.45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11</v>
      </c>
      <c r="C23" s="6">
        <f>IF(B$20=0,0,B23/B$20)</f>
        <v>0.55000000000000004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5">
      <c r="A24" s="19" t="s">
        <v>183</v>
      </c>
      <c r="B24" s="12">
        <v>9</v>
      </c>
      <c r="C24" s="6">
        <f>IF(B$20=0,0,B24/B$20)</f>
        <v>0.45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4</v>
      </c>
      <c r="C26" s="6">
        <f>IF(B$20=0,0,B26/B$20)</f>
        <v>0.2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7580</v>
      </c>
      <c r="C27" s="8">
        <v>151600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-6738.8888888888887</v>
      </c>
      <c r="C30" s="96">
        <v>-121300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85E5-E45C-40DE-AE45-467D761B368D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3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6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7B332-52C9-4D9C-B46C-A853D758512E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10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3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1801-A1E7-4270-88F1-573D082D6413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8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90BFF-D77C-4B49-B8CB-89A121D12E54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D3C4-8E30-4422-9C4A-2F72902047D1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E345C-B0B5-4A6E-8636-2DD6ED48B0ED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89F9-D069-4881-A430-256BF31B30A8}">
  <sheetPr codeName="Sheet20"/>
  <dimension ref="A1:Q1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D522-E56F-4E76-889D-C27B5CA9EB28}">
  <sheetPr codeName="Sheet18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01C99-4A55-4E0C-B9A8-C764FE62D11E}">
  <sheetPr codeName="Sheet16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E297-C23E-4477-889B-68C0C74470E4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4BE2-417A-44A8-8F08-EE6347AC47BD}">
  <sheetPr codeName="Sheet12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2EC5A-DE22-48D5-8D8D-EFEDD4466168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13FF0-9B96-4153-8627-10F9828A0A01}">
  <sheetPr codeName="Sheet8"/>
  <dimension ref="A1:Q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0F1A-B7CE-4804-B0A3-530DCE4148C5}">
  <sheetPr codeName="Sheet6"/>
  <dimension ref="A1:Q3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2020-10-13T15:11:50Z</dcterms:modified>
</cp:coreProperties>
</file>