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3C8466D5-B5A8-43D3-A0AC-F2BFB0424FFF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302" r:id="rId6"/>
    <sheet name="だいち" sheetId="6304" r:id="rId7"/>
    <sheet name="れんたろう" sheetId="6306" r:id="rId8"/>
    <sheet name="たかの" sheetId="6308" r:id="rId9"/>
    <sheet name="まっつん" sheetId="6310" r:id="rId10"/>
    <sheet name="いちかわ" sheetId="6312" r:id="rId11"/>
    <sheet name="ただ" sheetId="6314" r:id="rId12"/>
    <sheet name="たか" sheetId="6316" r:id="rId13"/>
    <sheet name="のり" sheetId="6318" r:id="rId14"/>
    <sheet name="りくと" sheetId="6320" r:id="rId15"/>
    <sheet name="わさび" sheetId="6322" r:id="rId16"/>
    <sheet name="わさび2" sheetId="6323" state="hidden" r:id="rId17"/>
    <sheet name="りくと2" sheetId="6321" state="hidden" r:id="rId18"/>
    <sheet name="のり2" sheetId="6319" state="hidden" r:id="rId19"/>
    <sheet name="たか2" sheetId="6317" state="hidden" r:id="rId20"/>
    <sheet name="ただ2" sheetId="6315" state="hidden" r:id="rId21"/>
    <sheet name="いちかわ2" sheetId="6313" state="hidden" r:id="rId22"/>
    <sheet name="まっつん2" sheetId="6311" state="hidden" r:id="rId23"/>
    <sheet name="たかの2" sheetId="6309" state="hidden" r:id="rId24"/>
    <sheet name="れんたろう2" sheetId="6307" state="hidden" r:id="rId25"/>
    <sheet name="だいち2" sheetId="6305" state="hidden" r:id="rId26"/>
    <sheet name="全体2" sheetId="6303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Template1!$B$19</definedName>
    <definedName name="アガリ数" localSheetId="10">いちかわ!$B$19</definedName>
    <definedName name="アガリ数" localSheetId="6">だいち!$B$19</definedName>
    <definedName name="アガリ数" localSheetId="12">たか!$B$19</definedName>
    <definedName name="アガリ数" localSheetId="8">たかの!$B$19</definedName>
    <definedName name="アガリ数" localSheetId="11">ただ!$B$19</definedName>
    <definedName name="アガリ数" localSheetId="13">のり!$B$19</definedName>
    <definedName name="アガリ数" localSheetId="9">まっつん!$B$19</definedName>
    <definedName name="アガリ数" localSheetId="14">りくと!$B$19</definedName>
    <definedName name="アガリ数" localSheetId="7">れんたろう!$B$19</definedName>
    <definedName name="アガリ数" localSheetId="15">わさび!$B$19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0">いちかわ!$C$19</definedName>
    <definedName name="アガリ率" localSheetId="6">だいち!$C$19</definedName>
    <definedName name="アガリ率" localSheetId="12">たか!$C$19</definedName>
    <definedName name="アガリ率" localSheetId="8">たかの!$C$19</definedName>
    <definedName name="アガリ率" localSheetId="11">ただ!$C$19</definedName>
    <definedName name="アガリ率" localSheetId="13">のり!$C$19</definedName>
    <definedName name="アガリ率" localSheetId="9">まっつん!$C$19</definedName>
    <definedName name="アガリ率" localSheetId="14">りくと!$C$19</definedName>
    <definedName name="アガリ率" localSheetId="7">れんたろう!$C$19</definedName>
    <definedName name="アガリ率" localSheetId="15">わさび!$C$19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0">いちかわ!$B$25</definedName>
    <definedName name="ダマアガリ数" localSheetId="6">だいち!$B$25</definedName>
    <definedName name="ダマアガリ数" localSheetId="12">たか!$B$25</definedName>
    <definedName name="ダマアガリ数" localSheetId="8">たかの!$B$25</definedName>
    <definedName name="ダマアガリ数" localSheetId="11">ただ!$B$25</definedName>
    <definedName name="ダマアガリ数" localSheetId="13">のり!$B$25</definedName>
    <definedName name="ダマアガリ数" localSheetId="9">まっつん!$B$25</definedName>
    <definedName name="ダマアガリ数" localSheetId="14">りくと!$B$25</definedName>
    <definedName name="ダマアガリ数" localSheetId="7">れんたろう!$B$25</definedName>
    <definedName name="ダマアガリ数" localSheetId="15">わさび!$B$25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0">いちかわ!$C$25</definedName>
    <definedName name="ダマアガリ率" localSheetId="6">だいち!$C$25</definedName>
    <definedName name="ダマアガリ率" localSheetId="12">たか!$C$25</definedName>
    <definedName name="ダマアガリ率" localSheetId="8">たかの!$C$25</definedName>
    <definedName name="ダマアガリ率" localSheetId="11">ただ!$C$25</definedName>
    <definedName name="ダマアガリ率" localSheetId="13">のり!$C$25</definedName>
    <definedName name="ダマアガリ率" localSheetId="9">まっつん!$C$25</definedName>
    <definedName name="ダマアガリ率" localSheetId="14">りくと!$C$25</definedName>
    <definedName name="ダマアガリ率" localSheetId="7">れんたろう!$C$25</definedName>
    <definedName name="ダマアガリ率" localSheetId="15">わさび!$C$25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0">いちかわ!$B$34</definedName>
    <definedName name="チョンボ数" localSheetId="6">だいち!$B$34</definedName>
    <definedName name="チョンボ数" localSheetId="12">たか!$B$34</definedName>
    <definedName name="チョンボ数" localSheetId="8">たかの!$B$34</definedName>
    <definedName name="チョンボ数" localSheetId="11">ただ!$B$34</definedName>
    <definedName name="チョンボ数" localSheetId="13">のり!$B$34</definedName>
    <definedName name="チョンボ数" localSheetId="9">まっつん!$B$34</definedName>
    <definedName name="チョンボ数" localSheetId="14">りくと!$B$34</definedName>
    <definedName name="チョンボ数" localSheetId="7">れんたろう!$B$34</definedName>
    <definedName name="チョンボ数" localSheetId="15">わさび!$B$34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0">いちかわ!$C$34</definedName>
    <definedName name="チョンボ率" localSheetId="6">だいち!$C$34</definedName>
    <definedName name="チョンボ率" localSheetId="12">たか!$C$34</definedName>
    <definedName name="チョンボ率" localSheetId="8">たかの!$C$34</definedName>
    <definedName name="チョンボ率" localSheetId="11">ただ!$C$34</definedName>
    <definedName name="チョンボ率" localSheetId="13">のり!$C$34</definedName>
    <definedName name="チョンボ率" localSheetId="9">まっつん!$C$34</definedName>
    <definedName name="チョンボ率" localSheetId="14">りくと!$C$34</definedName>
    <definedName name="チョンボ率" localSheetId="7">れんたろう!$C$34</definedName>
    <definedName name="チョンボ率" localSheetId="15">わさび!$C$34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0">いちかわ!$B$21</definedName>
    <definedName name="ツモ数" localSheetId="6">だいち!$B$21</definedName>
    <definedName name="ツモ数" localSheetId="12">たか!$B$21</definedName>
    <definedName name="ツモ数" localSheetId="8">たかの!$B$21</definedName>
    <definedName name="ツモ数" localSheetId="11">ただ!$B$21</definedName>
    <definedName name="ツモ数" localSheetId="13">のり!$B$21</definedName>
    <definedName name="ツモ数" localSheetId="9">まっつん!$B$21</definedName>
    <definedName name="ツモ数" localSheetId="14">りくと!$B$21</definedName>
    <definedName name="ツモ数" localSheetId="7">れんたろう!$B$21</definedName>
    <definedName name="ツモ数" localSheetId="15">わさび!$B$21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0">いちかわ!$C$21</definedName>
    <definedName name="ツモ率" localSheetId="6">だいち!$C$21</definedName>
    <definedName name="ツモ率" localSheetId="12">たか!$C$21</definedName>
    <definedName name="ツモ率" localSheetId="8">たかの!$C$21</definedName>
    <definedName name="ツモ率" localSheetId="11">ただ!$C$21</definedName>
    <definedName name="ツモ率" localSheetId="13">のり!$C$21</definedName>
    <definedName name="ツモ率" localSheetId="9">まっつん!$C$21</definedName>
    <definedName name="ツモ率" localSheetId="14">りくと!$C$21</definedName>
    <definedName name="ツモ率" localSheetId="7">れんたろう!$C$21</definedName>
    <definedName name="ツモ率" localSheetId="15">わさび!$C$21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0">いちかわ!$B$7</definedName>
    <definedName name="トップ数" localSheetId="6">だいち!$B$7</definedName>
    <definedName name="トップ数" localSheetId="12">たか!$B$7</definedName>
    <definedName name="トップ数" localSheetId="8">たかの!$B$7</definedName>
    <definedName name="トップ数" localSheetId="11">ただ!$B$7</definedName>
    <definedName name="トップ数" localSheetId="13">のり!$B$7</definedName>
    <definedName name="トップ数" localSheetId="9">まっつん!$B$7</definedName>
    <definedName name="トップ数" localSheetId="14">りくと!$B$7</definedName>
    <definedName name="トップ数" localSheetId="7">れんたろう!$B$7</definedName>
    <definedName name="トップ数" localSheetId="15">わさび!$B$7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0">いちかわ!$C$7</definedName>
    <definedName name="トップ率" localSheetId="6">だいち!$C$7</definedName>
    <definedName name="トップ率" localSheetId="12">たか!$C$7</definedName>
    <definedName name="トップ率" localSheetId="8">たかの!$C$7</definedName>
    <definedName name="トップ率" localSheetId="11">ただ!$C$7</definedName>
    <definedName name="トップ率" localSheetId="13">のり!$C$7</definedName>
    <definedName name="トップ率" localSheetId="9">まっつん!$C$7</definedName>
    <definedName name="トップ率" localSheetId="14">りくと!$C$7</definedName>
    <definedName name="トップ率" localSheetId="7">れんたろう!$C$7</definedName>
    <definedName name="トップ率" localSheetId="15">わさび!$C$7</definedName>
    <definedName name="トップ率" localSheetId="5">全体!$C$7</definedName>
    <definedName name="トップ率">#REF!</definedName>
    <definedName name="バランス" localSheetId="10">いちかわ!$B$13</definedName>
    <definedName name="バランス" localSheetId="6">だいち!$B$13</definedName>
    <definedName name="バランス" localSheetId="12">たか!$B$13</definedName>
    <definedName name="バランス" localSheetId="8">たかの!$B$13</definedName>
    <definedName name="バランス" localSheetId="11">ただ!$B$13</definedName>
    <definedName name="バランス" localSheetId="13">のり!$B$13</definedName>
    <definedName name="バランス" localSheetId="9">まっつん!$B$13</definedName>
    <definedName name="バランス" localSheetId="14">りくと!$B$13</definedName>
    <definedName name="バランス" localSheetId="7">れんたろう!$B$13</definedName>
    <definedName name="バランス" localSheetId="15">わさび!$B$13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0">いちかわ!$B$14</definedName>
    <definedName name="ふっとび数" localSheetId="6">だいち!$B$14</definedName>
    <definedName name="ふっとび数" localSheetId="12">たか!$B$14</definedName>
    <definedName name="ふっとび数" localSheetId="8">たかの!$B$14</definedName>
    <definedName name="ふっとび数" localSheetId="11">ただ!$B$14</definedName>
    <definedName name="ふっとび数" localSheetId="13">のり!$B$14</definedName>
    <definedName name="ふっとび数" localSheetId="9">まっつん!$B$14</definedName>
    <definedName name="ふっとび数" localSheetId="14">りくと!$B$14</definedName>
    <definedName name="ふっとび数" localSheetId="7">れんたろう!$B$14</definedName>
    <definedName name="ふっとび数" localSheetId="15">わさび!$B$14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0">いちかわ!$C$14</definedName>
    <definedName name="ふっとび率" localSheetId="6">だいち!$C$14</definedName>
    <definedName name="ふっとび率" localSheetId="12">たか!$C$14</definedName>
    <definedName name="ふっとび率" localSheetId="8">たかの!$C$14</definedName>
    <definedName name="ふっとび率" localSheetId="11">ただ!$C$14</definedName>
    <definedName name="ふっとび率" localSheetId="13">のり!$C$14</definedName>
    <definedName name="ふっとび率" localSheetId="9">まっつん!$C$14</definedName>
    <definedName name="ふっとび率" localSheetId="14">りくと!$C$14</definedName>
    <definedName name="ふっとび率" localSheetId="7">れんたろう!$C$14</definedName>
    <definedName name="ふっとび率" localSheetId="15">わさび!$C$14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0">いちかわ!$B$9</definedName>
    <definedName name="ラス数" localSheetId="6">だいち!$B$9</definedName>
    <definedName name="ラス数" localSheetId="12">たか!$B$9</definedName>
    <definedName name="ラス数" localSheetId="8">たかの!$B$9</definedName>
    <definedName name="ラス数" localSheetId="11">ただ!$B$9</definedName>
    <definedName name="ラス数" localSheetId="13">のり!$B$9</definedName>
    <definedName name="ラス数" localSheetId="9">まっつん!$B$9</definedName>
    <definedName name="ラス数" localSheetId="14">りくと!$B$9</definedName>
    <definedName name="ラス数" localSheetId="7">れんたろう!$B$9</definedName>
    <definedName name="ラス数" localSheetId="15">わさび!$B$9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0">いちかわ!$C$9</definedName>
    <definedName name="ラス率" localSheetId="6">だいち!$C$9</definedName>
    <definedName name="ラス率" localSheetId="12">たか!$C$9</definedName>
    <definedName name="ラス率" localSheetId="8">たかの!$C$9</definedName>
    <definedName name="ラス率" localSheetId="11">ただ!$C$9</definedName>
    <definedName name="ラス率" localSheetId="13">のり!$C$9</definedName>
    <definedName name="ラス率" localSheetId="9">まっつん!$C$9</definedName>
    <definedName name="ラス率" localSheetId="14">りくと!$C$9</definedName>
    <definedName name="ラス率" localSheetId="7">れんたろう!$C$9</definedName>
    <definedName name="ラス率" localSheetId="15">わさび!$C$9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0">いちかわ!$B$23</definedName>
    <definedName name="リーチアガリ数" localSheetId="6">だいち!$B$23</definedName>
    <definedName name="リーチアガリ数" localSheetId="12">たか!$B$23</definedName>
    <definedName name="リーチアガリ数" localSheetId="8">たかの!$B$23</definedName>
    <definedName name="リーチアガリ数" localSheetId="11">ただ!$B$23</definedName>
    <definedName name="リーチアガリ数" localSheetId="13">のり!$B$23</definedName>
    <definedName name="リーチアガリ数" localSheetId="9">まっつん!$B$23</definedName>
    <definedName name="リーチアガリ数" localSheetId="14">りくと!$B$23</definedName>
    <definedName name="リーチアガリ数" localSheetId="7">れんたろう!$B$23</definedName>
    <definedName name="リーチアガリ数" localSheetId="15">わさび!$B$23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0">いちかわ!$C$23</definedName>
    <definedName name="リーチアガリ率" localSheetId="6">だいち!$C$23</definedName>
    <definedName name="リーチアガリ率" localSheetId="12">たか!$C$23</definedName>
    <definedName name="リーチアガリ率" localSheetId="8">たかの!$C$23</definedName>
    <definedName name="リーチアガリ率" localSheetId="11">ただ!$C$23</definedName>
    <definedName name="リーチアガリ率" localSheetId="13">のり!$C$23</definedName>
    <definedName name="リーチアガリ率" localSheetId="9">まっつん!$C$23</definedName>
    <definedName name="リーチアガリ率" localSheetId="14">りくと!$C$23</definedName>
    <definedName name="リーチアガリ率" localSheetId="7">れんたろう!$C$23</definedName>
    <definedName name="リーチアガリ率" localSheetId="15">わさび!$C$23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0">いちかわ!$B$15</definedName>
    <definedName name="リーチ数" localSheetId="6">だいち!$B$15</definedName>
    <definedName name="リーチ数" localSheetId="12">たか!$B$15</definedName>
    <definedName name="リーチ数" localSheetId="8">たかの!$B$15</definedName>
    <definedName name="リーチ数" localSheetId="11">ただ!$B$15</definedName>
    <definedName name="リーチ数" localSheetId="13">のり!$B$15</definedName>
    <definedName name="リーチ数" localSheetId="9">まっつん!$B$15</definedName>
    <definedName name="リーチ数" localSheetId="14">りくと!$B$15</definedName>
    <definedName name="リーチ数" localSheetId="7">れんたろう!$B$15</definedName>
    <definedName name="リーチ数" localSheetId="15">わさび!$B$15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0">いちかわ!$B$17</definedName>
    <definedName name="リーチ成功数" localSheetId="6">だいち!$B$17</definedName>
    <definedName name="リーチ成功数" localSheetId="12">たか!$B$17</definedName>
    <definedName name="リーチ成功数" localSheetId="8">たかの!$B$17</definedName>
    <definedName name="リーチ成功数" localSheetId="11">ただ!$B$17</definedName>
    <definedName name="リーチ成功数" localSheetId="13">のり!$B$17</definedName>
    <definedName name="リーチ成功数" localSheetId="9">まっつん!$B$17</definedName>
    <definedName name="リーチ成功数" localSheetId="14">りくと!$B$17</definedName>
    <definedName name="リーチ成功数" localSheetId="7">れんたろう!$B$17</definedName>
    <definedName name="リーチ成功数" localSheetId="15">わさび!$B$17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0">いちかわ!$C$17</definedName>
    <definedName name="リーチ成功率" localSheetId="6">だいち!$C$17</definedName>
    <definedName name="リーチ成功率" localSheetId="12">たか!$C$17</definedName>
    <definedName name="リーチ成功率" localSheetId="8">たかの!$C$17</definedName>
    <definedName name="リーチ成功率" localSheetId="11">ただ!$C$17</definedName>
    <definedName name="リーチ成功率" localSheetId="13">のり!$C$17</definedName>
    <definedName name="リーチ成功率" localSheetId="9">まっつん!$C$17</definedName>
    <definedName name="リーチ成功率" localSheetId="14">りくと!$C$17</definedName>
    <definedName name="リーチ成功率" localSheetId="7">れんたろう!$C$17</definedName>
    <definedName name="リーチ成功率" localSheetId="15">わさび!$C$17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0">いちかわ!$C$15</definedName>
    <definedName name="リーチ率" localSheetId="6">だいち!$C$15</definedName>
    <definedName name="リーチ率" localSheetId="12">たか!$C$15</definedName>
    <definedName name="リーチ率" localSheetId="8">たかの!$C$15</definedName>
    <definedName name="リーチ率" localSheetId="11">ただ!$C$15</definedName>
    <definedName name="リーチ率" localSheetId="13">のり!$C$15</definedName>
    <definedName name="リーチ率" localSheetId="9">まっつん!$C$15</definedName>
    <definedName name="リーチ率" localSheetId="14">りくと!$C$15</definedName>
    <definedName name="リーチ率" localSheetId="7">れんたろう!$C$15</definedName>
    <definedName name="リーチ率" localSheetId="15">わさび!$C$15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0">いちかわ!$B$22</definedName>
    <definedName name="ロン数" localSheetId="6">だいち!$B$22</definedName>
    <definedName name="ロン数" localSheetId="12">たか!$B$22</definedName>
    <definedName name="ロン数" localSheetId="8">たかの!$B$22</definedName>
    <definedName name="ロン数" localSheetId="11">ただ!$B$22</definedName>
    <definedName name="ロン数" localSheetId="13">のり!$B$22</definedName>
    <definedName name="ロン数" localSheetId="9">まっつん!$B$22</definedName>
    <definedName name="ロン数" localSheetId="14">りくと!$B$22</definedName>
    <definedName name="ロン数" localSheetId="7">れんたろう!$B$22</definedName>
    <definedName name="ロン数" localSheetId="15">わさび!$B$22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0">いちかわ!$C$22</definedName>
    <definedName name="ロン率" localSheetId="6">だいち!$C$22</definedName>
    <definedName name="ロン率" localSheetId="12">たか!$C$22</definedName>
    <definedName name="ロン率" localSheetId="8">たかの!$C$22</definedName>
    <definedName name="ロン率" localSheetId="11">ただ!$C$22</definedName>
    <definedName name="ロン率" localSheetId="13">のり!$C$22</definedName>
    <definedName name="ロン率" localSheetId="9">まっつん!$C$22</definedName>
    <definedName name="ロン率" localSheetId="14">りくと!$C$22</definedName>
    <definedName name="ロン率" localSheetId="7">れんたろう!$C$22</definedName>
    <definedName name="ロン率" localSheetId="15">わさび!$C$22</definedName>
    <definedName name="ロン率" localSheetId="5">全体!$C$22</definedName>
    <definedName name="ロン率">#REF!</definedName>
    <definedName name="一位スコア" localSheetId="10">いちかわ!$B$10</definedName>
    <definedName name="一位スコア" localSheetId="6">だいち!$B$10</definedName>
    <definedName name="一位スコア" localSheetId="12">たか!$B$10</definedName>
    <definedName name="一位スコア" localSheetId="8">たかの!$B$10</definedName>
    <definedName name="一位スコア" localSheetId="11">ただ!$B$10</definedName>
    <definedName name="一位スコア" localSheetId="13">のり!$B$10</definedName>
    <definedName name="一位スコア" localSheetId="9">まっつん!$B$10</definedName>
    <definedName name="一位スコア" localSheetId="14">りくと!$B$10</definedName>
    <definedName name="一位スコア" localSheetId="7">れんたろう!$B$10</definedName>
    <definedName name="一位スコア" localSheetId="15">わさび!$B$10</definedName>
    <definedName name="一位スコア" localSheetId="5">全体!$B$10</definedName>
    <definedName name="一位スコア">Template1!$B$10</definedName>
    <definedName name="一位通算スコア" localSheetId="10">いちかわ!$C$10</definedName>
    <definedName name="一位通算スコア" localSheetId="6">だいち!$C$10</definedName>
    <definedName name="一位通算スコア" localSheetId="12">たか!$C$10</definedName>
    <definedName name="一位通算スコア" localSheetId="8">たかの!$C$10</definedName>
    <definedName name="一位通算スコア" localSheetId="11">ただ!$C$10</definedName>
    <definedName name="一位通算スコア" localSheetId="13">のり!$C$10</definedName>
    <definedName name="一位通算スコア" localSheetId="9">まっつん!$C$10</definedName>
    <definedName name="一位通算スコア" localSheetId="14">りくと!$C$10</definedName>
    <definedName name="一位通算スコア" localSheetId="7">れんたろう!$C$10</definedName>
    <definedName name="一位通算スコア" localSheetId="15">わさび!$C$10</definedName>
    <definedName name="一位通算スコア" localSheetId="5">全体!$C$10</definedName>
    <definedName name="一位通算スコア">Template1!$C$10</definedName>
    <definedName name="一翻数" localSheetId="10">いちかわ!$B$36</definedName>
    <definedName name="一翻数" localSheetId="6">だいち!$B$36</definedName>
    <definedName name="一翻数" localSheetId="12">たか!$B$36</definedName>
    <definedName name="一翻数" localSheetId="8">たかの!$B$36</definedName>
    <definedName name="一翻数" localSheetId="11">ただ!$B$36</definedName>
    <definedName name="一翻数" localSheetId="13">のり!$B$36</definedName>
    <definedName name="一翻数" localSheetId="9">まっつん!$B$36</definedName>
    <definedName name="一翻数" localSheetId="14">りくと!$B$36</definedName>
    <definedName name="一翻数" localSheetId="7">れんたろう!$B$36</definedName>
    <definedName name="一翻数" localSheetId="15">わさび!$B$36</definedName>
    <definedName name="一翻数" localSheetId="5">全体!$B$36</definedName>
    <definedName name="一翻数">Template1!$B$36</definedName>
    <definedName name="一翻率" localSheetId="10">いちかわ!$C$36</definedName>
    <definedName name="一翻率" localSheetId="6">だいち!$C$36</definedName>
    <definedName name="一翻率" localSheetId="12">たか!$C$36</definedName>
    <definedName name="一翻率" localSheetId="8">たかの!$C$36</definedName>
    <definedName name="一翻率" localSheetId="11">ただ!$C$36</definedName>
    <definedName name="一翻率" localSheetId="13">のり!$C$36</definedName>
    <definedName name="一翻率" localSheetId="9">まっつん!$C$36</definedName>
    <definedName name="一翻率" localSheetId="14">りくと!$C$36</definedName>
    <definedName name="一翻率" localSheetId="7">れんたろう!$C$36</definedName>
    <definedName name="一翻率" localSheetId="15">わさび!$C$36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0">いちかわ!$C$30</definedName>
    <definedName name="現行連続アガリ" localSheetId="6">だいち!$C$30</definedName>
    <definedName name="現行連続アガリ" localSheetId="12">たか!$C$30</definedName>
    <definedName name="現行連続アガリ" localSheetId="8">たかの!$C$30</definedName>
    <definedName name="現行連続アガリ" localSheetId="11">ただ!$C$30</definedName>
    <definedName name="現行連続アガリ" localSheetId="13">のり!$C$30</definedName>
    <definedName name="現行連続アガリ" localSheetId="9">まっつん!$C$30</definedName>
    <definedName name="現行連続アガリ" localSheetId="14">りくと!$C$30</definedName>
    <definedName name="現行連続アガリ" localSheetId="7">れんたろう!$C$30</definedName>
    <definedName name="現行連続アガリ" localSheetId="15">わさび!$C$30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0">いちかわ!$C$31</definedName>
    <definedName name="現行連続無放銃" localSheetId="6">だいち!$C$31</definedName>
    <definedName name="現行連続無放銃" localSheetId="12">たか!$C$31</definedName>
    <definedName name="現行連続無放銃" localSheetId="8">たかの!$C$31</definedName>
    <definedName name="現行連続無放銃" localSheetId="11">ただ!$C$31</definedName>
    <definedName name="現行連続無放銃" localSheetId="13">のり!$C$31</definedName>
    <definedName name="現行連続無放銃" localSheetId="9">まっつん!$C$31</definedName>
    <definedName name="現行連続無放銃" localSheetId="14">りくと!$C$31</definedName>
    <definedName name="現行連続無放銃" localSheetId="7">れんたろう!$C$31</definedName>
    <definedName name="現行連続無放銃" localSheetId="15">わさび!$C$31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0">いちかわ!$B$33</definedName>
    <definedName name="最高点" localSheetId="6">だいち!$B$33</definedName>
    <definedName name="最高点" localSheetId="12">たか!$B$33</definedName>
    <definedName name="最高点" localSheetId="8">たかの!$B$33</definedName>
    <definedName name="最高点" localSheetId="11">ただ!$B$33</definedName>
    <definedName name="最高点" localSheetId="13">のり!$B$33</definedName>
    <definedName name="最高点" localSheetId="9">まっつん!$B$33</definedName>
    <definedName name="最高点" localSheetId="14">りくと!$B$33</definedName>
    <definedName name="最高点" localSheetId="7">れんたろう!$B$33</definedName>
    <definedName name="最高点" localSheetId="15">わさび!$B$33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0">いちかわ!$B$32</definedName>
    <definedName name="最大ドラ数" localSheetId="6">だいち!$B$32</definedName>
    <definedName name="最大ドラ数" localSheetId="12">たか!$B$32</definedName>
    <definedName name="最大ドラ数" localSheetId="8">たかの!$B$32</definedName>
    <definedName name="最大ドラ数" localSheetId="11">ただ!$B$32</definedName>
    <definedName name="最大ドラ数" localSheetId="13">のり!$B$32</definedName>
    <definedName name="最大ドラ数" localSheetId="9">まっつん!$B$32</definedName>
    <definedName name="最大ドラ数" localSheetId="14">りくと!$B$32</definedName>
    <definedName name="最大ドラ数" localSheetId="7">れんたろう!$B$32</definedName>
    <definedName name="最大ドラ数" localSheetId="15">わさび!$B$32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0">いちかわ!$B$33</definedName>
    <definedName name="最大点数" localSheetId="6">だいち!$B$33</definedName>
    <definedName name="最大点数" localSheetId="12">たか!$B$33</definedName>
    <definedName name="最大点数" localSheetId="8">たかの!$B$33</definedName>
    <definedName name="最大点数" localSheetId="11">ただ!$B$33</definedName>
    <definedName name="最大点数" localSheetId="13">のり!$B$33</definedName>
    <definedName name="最大点数" localSheetId="9">まっつん!$B$33</definedName>
    <definedName name="最大点数" localSheetId="14">りくと!$B$33</definedName>
    <definedName name="最大点数" localSheetId="7">れんたろう!$B$33</definedName>
    <definedName name="最大点数" localSheetId="15">わさび!$B$33</definedName>
    <definedName name="最大点数" localSheetId="5">全体!$B$33</definedName>
    <definedName name="最大点数">#REF!</definedName>
    <definedName name="三位スコア" localSheetId="10">いちかわ!$B$12</definedName>
    <definedName name="三位スコア" localSheetId="6">だいち!$B$12</definedName>
    <definedName name="三位スコア" localSheetId="12">たか!$B$12</definedName>
    <definedName name="三位スコア" localSheetId="8">たかの!$B$12</definedName>
    <definedName name="三位スコア" localSheetId="11">ただ!$B$12</definedName>
    <definedName name="三位スコア" localSheetId="13">のり!$B$12</definedName>
    <definedName name="三位スコア" localSheetId="9">まっつん!$B$12</definedName>
    <definedName name="三位スコア" localSheetId="14">りくと!$B$12</definedName>
    <definedName name="三位スコア" localSheetId="7">れんたろう!$B$12</definedName>
    <definedName name="三位スコア" localSheetId="15">わさび!$B$12</definedName>
    <definedName name="三位スコア" localSheetId="5">全体!$B$12</definedName>
    <definedName name="三位スコア">Template1!$B$12</definedName>
    <definedName name="三位通算スコア" localSheetId="10">いちかわ!$C$12</definedName>
    <definedName name="三位通算スコア" localSheetId="6">だいち!$C$12</definedName>
    <definedName name="三位通算スコア" localSheetId="12">たか!$C$12</definedName>
    <definedName name="三位通算スコア" localSheetId="8">たかの!$C$12</definedName>
    <definedName name="三位通算スコア" localSheetId="11">ただ!$C$12</definedName>
    <definedName name="三位通算スコア" localSheetId="13">のり!$C$12</definedName>
    <definedName name="三位通算スコア" localSheetId="9">まっつん!$C$12</definedName>
    <definedName name="三位通算スコア" localSheetId="14">りくと!$C$12</definedName>
    <definedName name="三位通算スコア" localSheetId="7">れんたろう!$C$12</definedName>
    <definedName name="三位通算スコア" localSheetId="15">わさび!$C$12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0">いちかわ!$C$26</definedName>
    <definedName name="通算アガリ点" localSheetId="6">だいち!$C$26</definedName>
    <definedName name="通算アガリ点" localSheetId="12">たか!$C$26</definedName>
    <definedName name="通算アガリ点" localSheetId="8">たかの!$C$26</definedName>
    <definedName name="通算アガリ点" localSheetId="11">ただ!$C$26</definedName>
    <definedName name="通算アガリ点" localSheetId="13">のり!$C$26</definedName>
    <definedName name="通算アガリ点" localSheetId="9">まっつん!$C$26</definedName>
    <definedName name="通算アガリ点" localSheetId="14">りくと!$C$26</definedName>
    <definedName name="通算アガリ点" localSheetId="7">れんたろう!$C$26</definedName>
    <definedName name="通算アガリ点" localSheetId="15">わさび!$C$26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0">いちかわ!$C$28</definedName>
    <definedName name="通算副露アガリ点" localSheetId="6">だいち!$C$28</definedName>
    <definedName name="通算副露アガリ点" localSheetId="12">たか!$C$28</definedName>
    <definedName name="通算副露アガリ点" localSheetId="8">たかの!$C$28</definedName>
    <definedName name="通算副露アガリ点" localSheetId="11">ただ!$C$28</definedName>
    <definedName name="通算副露アガリ点" localSheetId="13">のり!$C$28</definedName>
    <definedName name="通算副露アガリ点" localSheetId="9">まっつん!$C$28</definedName>
    <definedName name="通算副露アガリ点" localSheetId="14">りくと!$C$28</definedName>
    <definedName name="通算副露アガリ点" localSheetId="7">れんたろう!$C$28</definedName>
    <definedName name="通算副露アガリ点" localSheetId="15">わさび!$C$28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0">いちかわ!$C$29</definedName>
    <definedName name="通算放銃点" localSheetId="6">だいち!$C$29</definedName>
    <definedName name="通算放銃点" localSheetId="12">たか!$C$29</definedName>
    <definedName name="通算放銃点" localSheetId="8">たかの!$C$29</definedName>
    <definedName name="通算放銃点" localSheetId="11">ただ!$C$29</definedName>
    <definedName name="通算放銃点" localSheetId="13">のり!$C$29</definedName>
    <definedName name="通算放銃点" localSheetId="9">まっつん!$C$29</definedName>
    <definedName name="通算放銃点" localSheetId="14">りくと!$C$29</definedName>
    <definedName name="通算放銃点" localSheetId="7">れんたろう!$C$29</definedName>
    <definedName name="通算放銃点" localSheetId="15">わさび!$C$29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0">いちかわ!$C$27</definedName>
    <definedName name="通算門前アガリ点" localSheetId="6">だいち!$C$27</definedName>
    <definedName name="通算門前アガリ点" localSheetId="12">たか!$C$27</definedName>
    <definedName name="通算門前アガリ点" localSheetId="8">たかの!$C$27</definedName>
    <definedName name="通算門前アガリ点" localSheetId="11">ただ!$C$27</definedName>
    <definedName name="通算門前アガリ点" localSheetId="13">のり!$C$27</definedName>
    <definedName name="通算門前アガリ点" localSheetId="9">まっつん!$C$27</definedName>
    <definedName name="通算門前アガリ点" localSheetId="14">りくと!$C$27</definedName>
    <definedName name="通算門前アガリ点" localSheetId="7">れんたろう!$C$27</definedName>
    <definedName name="通算門前アガリ点" localSheetId="15">わさび!$C$27</definedName>
    <definedName name="通算門前アガリ点" localSheetId="5">全体!$C$27</definedName>
    <definedName name="通算門前アガリ点">#REF!</definedName>
    <definedName name="二位スコア" localSheetId="10">いちかわ!$B$11</definedName>
    <definedName name="二位スコア" localSheetId="6">だいち!$B$11</definedName>
    <definedName name="二位スコア" localSheetId="12">たか!$B$11</definedName>
    <definedName name="二位スコア" localSheetId="8">たかの!$B$11</definedName>
    <definedName name="二位スコア" localSheetId="11">ただ!$B$11</definedName>
    <definedName name="二位スコア" localSheetId="13">のり!$B$11</definedName>
    <definedName name="二位スコア" localSheetId="9">まっつん!$B$11</definedName>
    <definedName name="二位スコア" localSheetId="14">りくと!$B$11</definedName>
    <definedName name="二位スコア" localSheetId="7">れんたろう!$B$11</definedName>
    <definedName name="二位スコア" localSheetId="15">わさび!$B$11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0">いちかわ!$B$8</definedName>
    <definedName name="二位数" localSheetId="6">だいち!$B$8</definedName>
    <definedName name="二位数" localSheetId="12">たか!$B$8</definedName>
    <definedName name="二位数" localSheetId="8">たかの!$B$8</definedName>
    <definedName name="二位数" localSheetId="11">ただ!$B$8</definedName>
    <definedName name="二位数" localSheetId="13">のり!$B$8</definedName>
    <definedName name="二位数" localSheetId="9">まっつん!$B$8</definedName>
    <definedName name="二位数" localSheetId="14">りくと!$B$8</definedName>
    <definedName name="二位数" localSheetId="7">れんたろう!$B$8</definedName>
    <definedName name="二位数" localSheetId="15">わさび!$B$8</definedName>
    <definedName name="二位数" localSheetId="5">全体!$B$8</definedName>
    <definedName name="二位数">#REF!</definedName>
    <definedName name="二位通算スコア" localSheetId="10">いちかわ!$C$11</definedName>
    <definedName name="二位通算スコア" localSheetId="6">だいち!$C$11</definedName>
    <definedName name="二位通算スコア" localSheetId="12">たか!$C$11</definedName>
    <definedName name="二位通算スコア" localSheetId="8">たかの!$C$11</definedName>
    <definedName name="二位通算スコア" localSheetId="11">ただ!$C$11</definedName>
    <definedName name="二位通算スコア" localSheetId="13">のり!$C$11</definedName>
    <definedName name="二位通算スコア" localSheetId="9">まっつん!$C$11</definedName>
    <definedName name="二位通算スコア" localSheetId="14">りくと!$C$11</definedName>
    <definedName name="二位通算スコア" localSheetId="7">れんたろう!$C$11</definedName>
    <definedName name="二位通算スコア" localSheetId="15">わさび!$C$11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0">いちかわ!$C$8</definedName>
    <definedName name="二位率" localSheetId="6">だいち!$C$8</definedName>
    <definedName name="二位率" localSheetId="12">たか!$C$8</definedName>
    <definedName name="二位率" localSheetId="8">たかの!$C$8</definedName>
    <definedName name="二位率" localSheetId="11">ただ!$C$8</definedName>
    <definedName name="二位率" localSheetId="13">のり!$C$8</definedName>
    <definedName name="二位率" localSheetId="9">まっつん!$C$8</definedName>
    <definedName name="二位率" localSheetId="14">りくと!$C$8</definedName>
    <definedName name="二位率" localSheetId="7">れんたろう!$C$8</definedName>
    <definedName name="二位率" localSheetId="15">わさび!$C$8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0">いちかわ!$B$24</definedName>
    <definedName name="副露アガリ数" localSheetId="6">だいち!$B$24</definedName>
    <definedName name="副露アガリ数" localSheetId="12">たか!$B$24</definedName>
    <definedName name="副露アガリ数" localSheetId="8">たかの!$B$24</definedName>
    <definedName name="副露アガリ数" localSheetId="11">ただ!$B$24</definedName>
    <definedName name="副露アガリ数" localSheetId="13">のり!$B$24</definedName>
    <definedName name="副露アガリ数" localSheetId="9">まっつん!$B$24</definedName>
    <definedName name="副露アガリ数" localSheetId="14">りくと!$B$24</definedName>
    <definedName name="副露アガリ数" localSheetId="7">れんたろう!$B$24</definedName>
    <definedName name="副露アガリ数" localSheetId="15">わさび!$B$24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0">いちかわ!$B$28</definedName>
    <definedName name="副露アガリ点" localSheetId="6">だいち!$B$28</definedName>
    <definedName name="副露アガリ点" localSheetId="12">たか!$B$28</definedName>
    <definedName name="副露アガリ点" localSheetId="8">たかの!$B$28</definedName>
    <definedName name="副露アガリ点" localSheetId="11">ただ!$B$28</definedName>
    <definedName name="副露アガリ点" localSheetId="13">のり!$B$28</definedName>
    <definedName name="副露アガリ点" localSheetId="9">まっつん!$B$28</definedName>
    <definedName name="副露アガリ点" localSheetId="14">りくと!$B$28</definedName>
    <definedName name="副露アガリ点" localSheetId="7">れんたろう!$B$28</definedName>
    <definedName name="副露アガリ点" localSheetId="15">わさび!$B$28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0">いちかわ!$C$24</definedName>
    <definedName name="副露アガリ率" localSheetId="6">だいち!$C$24</definedName>
    <definedName name="副露アガリ率" localSheetId="12">たか!$C$24</definedName>
    <definedName name="副露アガリ率" localSheetId="8">たかの!$C$24</definedName>
    <definedName name="副露アガリ率" localSheetId="11">ただ!$C$24</definedName>
    <definedName name="副露アガリ率" localSheetId="13">のり!$C$24</definedName>
    <definedName name="副露アガリ率" localSheetId="9">まっつん!$C$24</definedName>
    <definedName name="副露アガリ率" localSheetId="14">りくと!$C$24</definedName>
    <definedName name="副露アガリ率" localSheetId="7">れんたろう!$C$24</definedName>
    <definedName name="副露アガリ率" localSheetId="15">わさび!$C$24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0">いちかわ!$B$16</definedName>
    <definedName name="副露数" localSheetId="6">だいち!$B$16</definedName>
    <definedName name="副露数" localSheetId="12">たか!$B$16</definedName>
    <definedName name="副露数" localSheetId="8">たかの!$B$16</definedName>
    <definedName name="副露数" localSheetId="11">ただ!$B$16</definedName>
    <definedName name="副露数" localSheetId="13">のり!$B$16</definedName>
    <definedName name="副露数" localSheetId="9">まっつん!$B$16</definedName>
    <definedName name="副露数" localSheetId="14">りくと!$B$16</definedName>
    <definedName name="副露数" localSheetId="7">れんたろう!$B$16</definedName>
    <definedName name="副露数" localSheetId="15">わさび!$B$16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0">いちかわ!$B$18</definedName>
    <definedName name="副露成功数" localSheetId="6">だいち!$B$18</definedName>
    <definedName name="副露成功数" localSheetId="12">たか!$B$18</definedName>
    <definedName name="副露成功数" localSheetId="8">たかの!$B$18</definedName>
    <definedName name="副露成功数" localSheetId="11">ただ!$B$18</definedName>
    <definedName name="副露成功数" localSheetId="13">のり!$B$18</definedName>
    <definedName name="副露成功数" localSheetId="9">まっつん!$B$18</definedName>
    <definedName name="副露成功数" localSheetId="14">りくと!$B$18</definedName>
    <definedName name="副露成功数" localSheetId="7">れんたろう!$B$18</definedName>
    <definedName name="副露成功数" localSheetId="15">わさび!$B$18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0">いちかわ!$C$18</definedName>
    <definedName name="副露成功率" localSheetId="6">だいち!$C$18</definedName>
    <definedName name="副露成功率" localSheetId="12">たか!$C$18</definedName>
    <definedName name="副露成功率" localSheetId="8">たかの!$C$18</definedName>
    <definedName name="副露成功率" localSheetId="11">ただ!$C$18</definedName>
    <definedName name="副露成功率" localSheetId="13">のり!$C$18</definedName>
    <definedName name="副露成功率" localSheetId="9">まっつん!$C$18</definedName>
    <definedName name="副露成功率" localSheetId="14">りくと!$C$18</definedName>
    <definedName name="副露成功率" localSheetId="7">れんたろう!$C$18</definedName>
    <definedName name="副露成功率" localSheetId="15">わさび!$C$18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0">いちかわ!$C$16</definedName>
    <definedName name="副露率" localSheetId="6">だいち!$C$16</definedName>
    <definedName name="副露率" localSheetId="12">たか!$C$16</definedName>
    <definedName name="副露率" localSheetId="8">たかの!$C$16</definedName>
    <definedName name="副露率" localSheetId="11">ただ!$C$16</definedName>
    <definedName name="副露率" localSheetId="13">のり!$C$16</definedName>
    <definedName name="副露率" localSheetId="9">まっつん!$C$16</definedName>
    <definedName name="副露率" localSheetId="14">りくと!$C$16</definedName>
    <definedName name="副露率" localSheetId="7">れんたろう!$C$16</definedName>
    <definedName name="副露率" localSheetId="15">わさび!$C$16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0">いちかわ!$B$26</definedName>
    <definedName name="平均アガリ点" localSheetId="6">だいち!$B$26</definedName>
    <definedName name="平均アガリ点" localSheetId="12">たか!$B$26</definedName>
    <definedName name="平均アガリ点" localSheetId="8">たかの!$B$26</definedName>
    <definedName name="平均アガリ点" localSheetId="11">ただ!$B$26</definedName>
    <definedName name="平均アガリ点" localSheetId="13">のり!$B$26</definedName>
    <definedName name="平均アガリ点" localSheetId="9">まっつん!$B$26</definedName>
    <definedName name="平均アガリ点" localSheetId="14">りくと!$B$26</definedName>
    <definedName name="平均アガリ点" localSheetId="7">れんたろう!$B$26</definedName>
    <definedName name="平均アガリ点" localSheetId="15">わさび!$B$26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0">いちかわ!$B$6</definedName>
    <definedName name="平均順位" localSheetId="6">だいち!$B$6</definedName>
    <definedName name="平均順位" localSheetId="12">たか!$B$6</definedName>
    <definedName name="平均順位" localSheetId="8">たかの!$B$6</definedName>
    <definedName name="平均順位" localSheetId="11">ただ!$B$6</definedName>
    <definedName name="平均順位" localSheetId="13">のり!$B$6</definedName>
    <definedName name="平均順位" localSheetId="9">まっつん!$B$6</definedName>
    <definedName name="平均順位" localSheetId="14">りくと!$B$6</definedName>
    <definedName name="平均順位" localSheetId="7">れんたろう!$B$6</definedName>
    <definedName name="平均順位" localSheetId="15">わさび!$B$6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0">いちかわ!$B$29</definedName>
    <definedName name="平均放銃点" localSheetId="6">だいち!$B$29</definedName>
    <definedName name="平均放銃点" localSheetId="12">たか!$B$29</definedName>
    <definedName name="平均放銃点" localSheetId="8">たかの!$B$29</definedName>
    <definedName name="平均放銃点" localSheetId="11">ただ!$B$29</definedName>
    <definedName name="平均放銃点" localSheetId="13">のり!$B$29</definedName>
    <definedName name="平均放銃点" localSheetId="9">まっつん!$B$29</definedName>
    <definedName name="平均放銃点" localSheetId="14">りくと!$B$29</definedName>
    <definedName name="平均放銃点" localSheetId="7">れんたろう!$B$29</definedName>
    <definedName name="平均放銃点" localSheetId="15">わさび!$B$29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0">いちかわ!$B$20</definedName>
    <definedName name="放銃数" localSheetId="6">だいち!$B$20</definedName>
    <definedName name="放銃数" localSheetId="12">たか!$B$20</definedName>
    <definedName name="放銃数" localSheetId="8">たかの!$B$20</definedName>
    <definedName name="放銃数" localSheetId="11">ただ!$B$20</definedName>
    <definedName name="放銃数" localSheetId="13">のり!$B$20</definedName>
    <definedName name="放銃数" localSheetId="9">まっつん!$B$20</definedName>
    <definedName name="放銃数" localSheetId="14">りくと!$B$20</definedName>
    <definedName name="放銃数" localSheetId="7">れんたろう!$B$20</definedName>
    <definedName name="放銃数" localSheetId="15">わさび!$B$20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0">いちかわ!$C$20</definedName>
    <definedName name="放銃率" localSheetId="6">だいち!$C$20</definedName>
    <definedName name="放銃率" localSheetId="12">たか!$C$20</definedName>
    <definedName name="放銃率" localSheetId="8">たかの!$C$20</definedName>
    <definedName name="放銃率" localSheetId="11">ただ!$C$20</definedName>
    <definedName name="放銃率" localSheetId="13">のり!$C$20</definedName>
    <definedName name="放銃率" localSheetId="9">まっつん!$C$20</definedName>
    <definedName name="放銃率" localSheetId="14">りくと!$C$20</definedName>
    <definedName name="放銃率" localSheetId="7">れんたろう!$C$20</definedName>
    <definedName name="放銃率" localSheetId="15">わさび!$C$20</definedName>
    <definedName name="放銃率" localSheetId="5">全体!$C$20</definedName>
    <definedName name="放銃率">#REF!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0">いちかわ!$B$27</definedName>
    <definedName name="門前アガリ点" localSheetId="6">だいち!$B$27</definedName>
    <definedName name="門前アガリ点" localSheetId="12">たか!$B$27</definedName>
    <definedName name="門前アガリ点" localSheetId="8">たかの!$B$27</definedName>
    <definedName name="門前アガリ点" localSheetId="11">ただ!$B$27</definedName>
    <definedName name="門前アガリ点" localSheetId="13">のり!$B$27</definedName>
    <definedName name="門前アガリ点" localSheetId="9">まっつん!$B$27</definedName>
    <definedName name="門前アガリ点" localSheetId="14">りくと!$B$27</definedName>
    <definedName name="門前アガリ点" localSheetId="7">れんたろう!$B$27</definedName>
    <definedName name="門前アガリ点" localSheetId="15">わさび!$B$27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0">いちかわ!$B$30</definedName>
    <definedName name="連続アガリ" localSheetId="6">だいち!$B$30</definedName>
    <definedName name="連続アガリ" localSheetId="12">たか!$B$30</definedName>
    <definedName name="連続アガリ" localSheetId="8">たかの!$B$30</definedName>
    <definedName name="連続アガリ" localSheetId="11">ただ!$B$30</definedName>
    <definedName name="連続アガリ" localSheetId="13">のり!$B$30</definedName>
    <definedName name="連続アガリ" localSheetId="9">まっつん!$B$30</definedName>
    <definedName name="連続アガリ" localSheetId="14">りくと!$B$30</definedName>
    <definedName name="連続アガリ" localSheetId="7">れんたろう!$B$30</definedName>
    <definedName name="連続アガリ" localSheetId="15">わさび!$B$30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0">いちかわ!$B$31</definedName>
    <definedName name="連続無放銃" localSheetId="6">だいち!$B$31</definedName>
    <definedName name="連続無放銃" localSheetId="12">たか!$B$31</definedName>
    <definedName name="連続無放銃" localSheetId="8">たかの!$B$31</definedName>
    <definedName name="連続無放銃" localSheetId="11">ただ!$B$31</definedName>
    <definedName name="連続無放銃" localSheetId="13">のり!$B$31</definedName>
    <definedName name="連続無放銃" localSheetId="9">まっつん!$B$31</definedName>
    <definedName name="連続無放銃" localSheetId="14">りくと!$B$31</definedName>
    <definedName name="連続無放銃" localSheetId="7">れんたろう!$B$31</definedName>
    <definedName name="連続無放銃" localSheetId="15">わさび!$B$31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3" i="6312" l="1"/>
  <c r="O16" i="6308"/>
  <c r="O20" i="6314" l="1"/>
  <c r="O17" i="6314"/>
  <c r="O15" i="6320"/>
  <c r="O17" i="6322"/>
  <c r="O17" i="6312"/>
  <c r="O15" i="6312"/>
  <c r="O15" i="6322"/>
  <c r="O16" i="6322"/>
  <c r="H46" i="6322"/>
  <c r="C34" i="6322"/>
  <c r="B29" i="6322"/>
  <c r="C20" i="6322"/>
  <c r="B19" i="6322"/>
  <c r="H50" i="6322" s="1"/>
  <c r="H20" i="6322"/>
  <c r="B18" i="6322"/>
  <c r="B28" i="6322" s="1"/>
  <c r="C17" i="6322"/>
  <c r="B17" i="6322"/>
  <c r="C16" i="6322"/>
  <c r="C15" i="6322"/>
  <c r="C14" i="6322"/>
  <c r="H16" i="6322"/>
  <c r="O12" i="6322"/>
  <c r="B12" i="6322"/>
  <c r="O11" i="6322"/>
  <c r="B11" i="6322"/>
  <c r="O10" i="6322"/>
  <c r="B10" i="6322"/>
  <c r="C9" i="6322"/>
  <c r="C8" i="6322"/>
  <c r="O7" i="6322"/>
  <c r="C7" i="6322"/>
  <c r="O6" i="6322"/>
  <c r="B6" i="6322"/>
  <c r="O5" i="6322"/>
  <c r="H6" i="6322"/>
  <c r="B5" i="6322"/>
  <c r="O4" i="6322"/>
  <c r="O3" i="6322"/>
  <c r="O2" i="6322"/>
  <c r="O19" i="6302"/>
  <c r="O17" i="6320"/>
  <c r="O16" i="6320"/>
  <c r="C36" i="6320"/>
  <c r="C34" i="6320"/>
  <c r="B29" i="6320"/>
  <c r="B28" i="6320"/>
  <c r="H26" i="6320"/>
  <c r="C22" i="6320"/>
  <c r="C20" i="6320"/>
  <c r="B19" i="6320"/>
  <c r="H48" i="6320" s="1"/>
  <c r="C18" i="6320"/>
  <c r="B18" i="6320"/>
  <c r="B17" i="6320"/>
  <c r="C17" i="6320" s="1"/>
  <c r="C16" i="6320"/>
  <c r="C15" i="6320"/>
  <c r="C14" i="6320"/>
  <c r="O12" i="6320"/>
  <c r="B12" i="6320"/>
  <c r="O11" i="6320"/>
  <c r="B11" i="6320"/>
  <c r="O10" i="6320"/>
  <c r="B10" i="6320"/>
  <c r="B13" i="6320" s="1"/>
  <c r="C9" i="6320"/>
  <c r="H8" i="6320"/>
  <c r="C8" i="6320"/>
  <c r="O7" i="6320"/>
  <c r="C7" i="6320"/>
  <c r="O6" i="6320"/>
  <c r="B6" i="6320"/>
  <c r="O5" i="6320"/>
  <c r="B5" i="6320"/>
  <c r="O4" i="6320"/>
  <c r="O3" i="6320"/>
  <c r="O2" i="6320"/>
  <c r="O18" i="6302"/>
  <c r="H3" i="6322" l="1"/>
  <c r="H47" i="6322"/>
  <c r="C36" i="6322"/>
  <c r="C22" i="6322"/>
  <c r="H37" i="6322"/>
  <c r="C23" i="6322"/>
  <c r="H38" i="6322"/>
  <c r="H17" i="6322"/>
  <c r="H2" i="6322"/>
  <c r="H27" i="6322"/>
  <c r="C42" i="6322"/>
  <c r="H36" i="6322"/>
  <c r="H23" i="6322"/>
  <c r="B26" i="6322"/>
  <c r="H43" i="6322"/>
  <c r="B13" i="6322"/>
  <c r="C18" i="6322"/>
  <c r="C46" i="6322"/>
  <c r="H48" i="6322"/>
  <c r="H8" i="6322"/>
  <c r="C40" i="6322"/>
  <c r="H41" i="6322"/>
  <c r="C48" i="6322"/>
  <c r="H11" i="6322"/>
  <c r="H14" i="6322"/>
  <c r="C21" i="6322"/>
  <c r="H30" i="6322"/>
  <c r="H42" i="6322"/>
  <c r="H52" i="6322"/>
  <c r="H49" i="6322"/>
  <c r="H5" i="6322"/>
  <c r="H12" i="6322"/>
  <c r="H18" i="6322"/>
  <c r="H25" i="6322"/>
  <c r="H31" i="6322"/>
  <c r="C38" i="6322"/>
  <c r="H44" i="6322"/>
  <c r="C19" i="6322"/>
  <c r="C24" i="6322"/>
  <c r="H33" i="6322"/>
  <c r="H39" i="6322"/>
  <c r="C44" i="6322"/>
  <c r="H51" i="6322"/>
  <c r="H10" i="6322"/>
  <c r="H4" i="6322"/>
  <c r="H13" i="6322"/>
  <c r="H15" i="6322"/>
  <c r="H7" i="6322"/>
  <c r="H21" i="6322"/>
  <c r="C25" i="6322"/>
  <c r="H34" i="6322"/>
  <c r="H40" i="6322"/>
  <c r="H45" i="6322"/>
  <c r="H9" i="6322"/>
  <c r="B27" i="6322"/>
  <c r="H19" i="6322"/>
  <c r="H22" i="6322"/>
  <c r="H26" i="6322"/>
  <c r="H29" i="6322"/>
  <c r="H35" i="6322"/>
  <c r="C39" i="6322"/>
  <c r="C43" i="6322"/>
  <c r="C47" i="6322"/>
  <c r="H24" i="6322"/>
  <c r="H28" i="6322"/>
  <c r="H32" i="6322"/>
  <c r="C37" i="6322"/>
  <c r="C41" i="6322"/>
  <c r="C45" i="6322"/>
  <c r="H37" i="6320"/>
  <c r="H10" i="6320"/>
  <c r="B26" i="6320"/>
  <c r="H19" i="6320"/>
  <c r="H41" i="6320"/>
  <c r="H2" i="6320"/>
  <c r="H16" i="6320"/>
  <c r="H45" i="6320"/>
  <c r="C44" i="6320"/>
  <c r="H3" i="6320"/>
  <c r="C19" i="6320"/>
  <c r="H31" i="6320"/>
  <c r="C48" i="6320"/>
  <c r="C40" i="6320"/>
  <c r="H30" i="6320"/>
  <c r="H7" i="6320"/>
  <c r="H22" i="6320"/>
  <c r="H49" i="6320"/>
  <c r="H13" i="6320"/>
  <c r="H23" i="6320"/>
  <c r="H32" i="6320"/>
  <c r="C45" i="6320"/>
  <c r="H20" i="6320"/>
  <c r="H28" i="6320"/>
  <c r="C38" i="6320"/>
  <c r="C42" i="6320"/>
  <c r="H9" i="6320"/>
  <c r="H14" i="6320"/>
  <c r="C24" i="6320"/>
  <c r="H39" i="6320"/>
  <c r="H43" i="6320"/>
  <c r="H47" i="6320"/>
  <c r="H52" i="6320"/>
  <c r="H18" i="6320"/>
  <c r="H21" i="6320"/>
  <c r="H25" i="6320"/>
  <c r="H29" i="6320"/>
  <c r="H35" i="6320"/>
  <c r="C39" i="6320"/>
  <c r="C43" i="6320"/>
  <c r="C47" i="6320"/>
  <c r="H27" i="6320"/>
  <c r="C37" i="6320"/>
  <c r="C41" i="6320"/>
  <c r="H50" i="6320"/>
  <c r="H17" i="6320"/>
  <c r="C23" i="6320"/>
  <c r="B27" i="6320"/>
  <c r="H33" i="6320"/>
  <c r="H38" i="6320"/>
  <c r="H42" i="6320"/>
  <c r="H46" i="6320"/>
  <c r="H51" i="6320"/>
  <c r="H6" i="6320"/>
  <c r="H11" i="6320"/>
  <c r="H24" i="6320"/>
  <c r="H34" i="6320"/>
  <c r="C46" i="6320"/>
  <c r="H5" i="6320"/>
  <c r="H4" i="6320"/>
  <c r="H12" i="6320"/>
  <c r="H15" i="6320"/>
  <c r="C21" i="6320"/>
  <c r="C25" i="6320"/>
  <c r="H36" i="6320"/>
  <c r="H40" i="6320"/>
  <c r="H44" i="6320"/>
  <c r="O17" i="6306"/>
  <c r="O15" i="6314"/>
  <c r="O16" i="6312" l="1"/>
  <c r="O19" i="6314"/>
  <c r="O19" i="6316"/>
  <c r="O18" i="6312"/>
  <c r="O18" i="6316"/>
  <c r="O15" i="6306"/>
  <c r="O17" i="6318" l="1"/>
  <c r="O17" i="6316"/>
  <c r="O17" i="6304"/>
  <c r="O16" i="6318" l="1"/>
  <c r="O15" i="6318"/>
  <c r="C34" i="6318"/>
  <c r="B29" i="6318"/>
  <c r="C20" i="6318"/>
  <c r="B19" i="6318"/>
  <c r="H5" i="6318" s="1"/>
  <c r="H22" i="6318"/>
  <c r="B18" i="6318"/>
  <c r="C18" i="6318" s="1"/>
  <c r="B17" i="6318"/>
  <c r="C17" i="6318" s="1"/>
  <c r="C16" i="6318"/>
  <c r="C15" i="6318"/>
  <c r="C14" i="6318"/>
  <c r="O12" i="6318"/>
  <c r="B12" i="6318"/>
  <c r="O11" i="6318"/>
  <c r="B11" i="6318"/>
  <c r="O10" i="6318"/>
  <c r="B10" i="6318"/>
  <c r="C9" i="6318"/>
  <c r="C8" i="6318"/>
  <c r="O7" i="6318"/>
  <c r="C7" i="6318"/>
  <c r="O6" i="6318"/>
  <c r="B6" i="6318"/>
  <c r="O5" i="6318"/>
  <c r="B5" i="6318"/>
  <c r="O4" i="6318"/>
  <c r="O3" i="6318"/>
  <c r="O2" i="6318"/>
  <c r="H6" i="6318"/>
  <c r="O16" i="6316"/>
  <c r="O15" i="6316"/>
  <c r="C34" i="6316"/>
  <c r="B29" i="6316"/>
  <c r="C20" i="6316"/>
  <c r="B19" i="6316"/>
  <c r="H51" i="6316" s="1"/>
  <c r="H22" i="6316"/>
  <c r="B18" i="6316"/>
  <c r="B28" i="6316" s="1"/>
  <c r="B17" i="6316"/>
  <c r="C17" i="6316" s="1"/>
  <c r="C16" i="6316"/>
  <c r="C15" i="6316"/>
  <c r="C14" i="6316"/>
  <c r="O12" i="6316"/>
  <c r="B12" i="6316"/>
  <c r="O11" i="6316"/>
  <c r="B11" i="6316"/>
  <c r="B13" i="6316" s="1"/>
  <c r="O10" i="6316"/>
  <c r="B10" i="6316"/>
  <c r="C9" i="6316"/>
  <c r="C8" i="6316"/>
  <c r="O7" i="6316"/>
  <c r="C7" i="6316"/>
  <c r="O6" i="6316"/>
  <c r="B6" i="6316"/>
  <c r="O5" i="6316"/>
  <c r="B5" i="6316"/>
  <c r="O4" i="6316"/>
  <c r="O3" i="6316"/>
  <c r="O2" i="6316"/>
  <c r="O21" i="6312"/>
  <c r="O20" i="6312"/>
  <c r="O17" i="6302"/>
  <c r="H6" i="6316" l="1"/>
  <c r="H13" i="6316"/>
  <c r="H30" i="6316"/>
  <c r="H2" i="6318"/>
  <c r="H11" i="6318"/>
  <c r="H13" i="6318"/>
  <c r="H3" i="6318"/>
  <c r="H15" i="6318"/>
  <c r="C21" i="6318"/>
  <c r="H36" i="6318"/>
  <c r="H41" i="6318"/>
  <c r="H48" i="6318"/>
  <c r="H31" i="6318"/>
  <c r="H37" i="6318"/>
  <c r="H42" i="6318"/>
  <c r="H49" i="6318"/>
  <c r="H19" i="6318"/>
  <c r="C19" i="6318"/>
  <c r="C24" i="6318"/>
  <c r="H33" i="6318"/>
  <c r="H38" i="6318"/>
  <c r="H44" i="6318"/>
  <c r="H17" i="6318"/>
  <c r="H21" i="6318"/>
  <c r="C23" i="6318"/>
  <c r="H12" i="6318"/>
  <c r="B27" i="6318"/>
  <c r="H8" i="6318"/>
  <c r="H7" i="6318"/>
  <c r="H14" i="6318"/>
  <c r="H16" i="6318"/>
  <c r="H18" i="6318"/>
  <c r="H20" i="6318"/>
  <c r="C25" i="6318"/>
  <c r="H40" i="6318"/>
  <c r="H45" i="6318"/>
  <c r="B13" i="6318"/>
  <c r="H46" i="6318"/>
  <c r="H51" i="6318"/>
  <c r="C22" i="6318"/>
  <c r="B26" i="6318"/>
  <c r="H39" i="6318"/>
  <c r="H43" i="6318"/>
  <c r="H47" i="6318"/>
  <c r="H52" i="6318"/>
  <c r="B28" i="6318"/>
  <c r="H23" i="6318"/>
  <c r="H24" i="6318"/>
  <c r="H26" i="6318"/>
  <c r="H28" i="6318"/>
  <c r="H29" i="6318"/>
  <c r="H32" i="6318"/>
  <c r="H35" i="6318"/>
  <c r="C37" i="6318"/>
  <c r="C39" i="6318"/>
  <c r="C41" i="6318"/>
  <c r="C43" i="6318"/>
  <c r="C45" i="6318"/>
  <c r="C47" i="6318"/>
  <c r="H50" i="6318"/>
  <c r="H9" i="6318"/>
  <c r="H10" i="6318"/>
  <c r="H25" i="6318"/>
  <c r="H27" i="6318"/>
  <c r="H4" i="6318"/>
  <c r="H30" i="6318"/>
  <c r="H34" i="6318"/>
  <c r="C36" i="6318"/>
  <c r="C38" i="6318"/>
  <c r="C40" i="6318"/>
  <c r="C42" i="6318"/>
  <c r="C44" i="6318"/>
  <c r="C46" i="6318"/>
  <c r="C48" i="6318"/>
  <c r="C18" i="6316"/>
  <c r="H10" i="6316"/>
  <c r="H14" i="6316"/>
  <c r="B26" i="6316"/>
  <c r="C36" i="6316"/>
  <c r="H41" i="6316"/>
  <c r="C46" i="6316"/>
  <c r="H31" i="6316"/>
  <c r="C48" i="6316"/>
  <c r="H9" i="6316"/>
  <c r="C42" i="6316"/>
  <c r="C19" i="6316"/>
  <c r="C44" i="6316"/>
  <c r="H49" i="6316"/>
  <c r="H21" i="6316"/>
  <c r="C22" i="6316"/>
  <c r="H37" i="6316"/>
  <c r="H11" i="6316"/>
  <c r="H3" i="6316"/>
  <c r="H18" i="6316"/>
  <c r="H15" i="6316"/>
  <c r="H34" i="6316"/>
  <c r="C38" i="6316"/>
  <c r="H4" i="6316"/>
  <c r="H2" i="6316"/>
  <c r="H12" i="6316"/>
  <c r="H17" i="6316"/>
  <c r="H23" i="6316"/>
  <c r="C24" i="6316"/>
  <c r="C40" i="6316"/>
  <c r="H45" i="6316"/>
  <c r="H5" i="6316"/>
  <c r="H25" i="6316"/>
  <c r="H27" i="6316"/>
  <c r="H39" i="6316"/>
  <c r="H43" i="6316"/>
  <c r="H47" i="6316"/>
  <c r="H52" i="6316"/>
  <c r="H24" i="6316"/>
  <c r="H26" i="6316"/>
  <c r="H8" i="6316"/>
  <c r="H28" i="6316"/>
  <c r="H29" i="6316"/>
  <c r="H32" i="6316"/>
  <c r="H35" i="6316"/>
  <c r="C37" i="6316"/>
  <c r="C39" i="6316"/>
  <c r="C41" i="6316"/>
  <c r="C43" i="6316"/>
  <c r="C45" i="6316"/>
  <c r="C47" i="6316"/>
  <c r="H50" i="6316"/>
  <c r="H7" i="6316"/>
  <c r="H16" i="6316"/>
  <c r="H19" i="6316"/>
  <c r="H20" i="6316"/>
  <c r="C21" i="6316"/>
  <c r="C23" i="6316"/>
  <c r="C25" i="6316"/>
  <c r="B27" i="6316"/>
  <c r="H33" i="6316"/>
  <c r="H36" i="6316"/>
  <c r="H38" i="6316"/>
  <c r="H40" i="6316"/>
  <c r="H42" i="6316"/>
  <c r="H44" i="6316"/>
  <c r="H46" i="6316"/>
  <c r="H48" i="6316"/>
  <c r="O18" i="6308" l="1"/>
  <c r="O18" i="6314"/>
  <c r="O16" i="6314"/>
  <c r="C34" i="6314"/>
  <c r="B29" i="6314"/>
  <c r="C20" i="6314"/>
  <c r="B19" i="6314"/>
  <c r="H51" i="6314" s="1"/>
  <c r="B18" i="6314"/>
  <c r="B28" i="6314" s="1"/>
  <c r="B17" i="6314"/>
  <c r="C17" i="6314" s="1"/>
  <c r="C16" i="6314"/>
  <c r="C15" i="6314"/>
  <c r="C14" i="6314"/>
  <c r="O12" i="6314"/>
  <c r="B12" i="6314"/>
  <c r="O11" i="6314"/>
  <c r="B11" i="6314"/>
  <c r="O10" i="6314"/>
  <c r="B10" i="6314"/>
  <c r="C9" i="6314"/>
  <c r="C8" i="6314"/>
  <c r="O7" i="6314"/>
  <c r="C7" i="6314"/>
  <c r="O6" i="6314"/>
  <c r="B6" i="6314"/>
  <c r="O5" i="6314"/>
  <c r="B5" i="6314"/>
  <c r="O4" i="6314"/>
  <c r="O3" i="6314"/>
  <c r="O2" i="6314"/>
  <c r="O19" i="6304"/>
  <c r="O22" i="6302"/>
  <c r="B13" i="6314" l="1"/>
  <c r="C18" i="6314"/>
  <c r="H19" i="6314"/>
  <c r="H6" i="6314"/>
  <c r="H4" i="6314"/>
  <c r="C42" i="6314"/>
  <c r="H45" i="6314"/>
  <c r="C44" i="6314"/>
  <c r="H17" i="6314"/>
  <c r="C22" i="6314"/>
  <c r="H11" i="6314"/>
  <c r="C23" i="6314"/>
  <c r="C24" i="6314"/>
  <c r="H32" i="6314"/>
  <c r="H42" i="6314"/>
  <c r="C46" i="6314"/>
  <c r="H8" i="6314"/>
  <c r="H21" i="6314"/>
  <c r="H34" i="6314"/>
  <c r="H15" i="6314"/>
  <c r="H24" i="6314"/>
  <c r="H37" i="6314"/>
  <c r="H49" i="6314"/>
  <c r="H16" i="6314"/>
  <c r="H20" i="6314"/>
  <c r="C25" i="6314"/>
  <c r="H38" i="6314"/>
  <c r="H10" i="6314"/>
  <c r="C38" i="6314"/>
  <c r="H50" i="6314"/>
  <c r="C19" i="6314"/>
  <c r="H28" i="6314"/>
  <c r="H7" i="6314"/>
  <c r="H12" i="6314"/>
  <c r="H22" i="6314"/>
  <c r="H9" i="6314"/>
  <c r="H40" i="6314"/>
  <c r="H14" i="6314"/>
  <c r="B27" i="6314"/>
  <c r="C36" i="6314"/>
  <c r="H43" i="6314"/>
  <c r="H48" i="6314"/>
  <c r="H26" i="6314"/>
  <c r="H31" i="6314"/>
  <c r="H39" i="6314"/>
  <c r="H44" i="6314"/>
  <c r="C48" i="6314"/>
  <c r="H35" i="6314"/>
  <c r="H41" i="6314"/>
  <c r="H46" i="6314"/>
  <c r="H3" i="6314"/>
  <c r="H2" i="6314"/>
  <c r="H5" i="6314"/>
  <c r="H18" i="6314"/>
  <c r="C21" i="6314"/>
  <c r="B26" i="6314"/>
  <c r="C40" i="6314"/>
  <c r="H47" i="6314"/>
  <c r="H52" i="6314"/>
  <c r="H13" i="6314"/>
  <c r="H23" i="6314"/>
  <c r="H27" i="6314"/>
  <c r="H30" i="6314"/>
  <c r="H36" i="6314"/>
  <c r="C39" i="6314"/>
  <c r="C43" i="6314"/>
  <c r="C47" i="6314"/>
  <c r="H25" i="6314"/>
  <c r="H29" i="6314"/>
  <c r="H33" i="6314"/>
  <c r="C37" i="6314"/>
  <c r="C41" i="6314"/>
  <c r="C45" i="6314"/>
  <c r="O18" i="6304" l="1"/>
  <c r="O16" i="6304"/>
  <c r="O19" i="6312"/>
  <c r="O22" i="6312"/>
  <c r="C34" i="6312"/>
  <c r="B29" i="6312"/>
  <c r="C20" i="6312"/>
  <c r="B19" i="6312"/>
  <c r="H6" i="6312" s="1"/>
  <c r="B18" i="6312"/>
  <c r="B28" i="6312" s="1"/>
  <c r="B17" i="6312"/>
  <c r="C17" i="6312" s="1"/>
  <c r="C16" i="6312"/>
  <c r="C15" i="6312"/>
  <c r="C14" i="6312"/>
  <c r="O12" i="6312"/>
  <c r="B12" i="6312"/>
  <c r="O11" i="6312"/>
  <c r="B11" i="6312"/>
  <c r="O10" i="6312"/>
  <c r="B10" i="6312"/>
  <c r="C9" i="6312"/>
  <c r="C8" i="6312"/>
  <c r="O7" i="6312"/>
  <c r="C7" i="6312"/>
  <c r="O6" i="6312"/>
  <c r="B6" i="6312"/>
  <c r="O5" i="6312"/>
  <c r="B5" i="6312"/>
  <c r="O4" i="6312"/>
  <c r="O3" i="6312"/>
  <c r="O2" i="6312"/>
  <c r="O16" i="6302"/>
  <c r="O16" i="6310"/>
  <c r="O15" i="6310"/>
  <c r="C34" i="6310"/>
  <c r="B29" i="6310"/>
  <c r="C20" i="6310"/>
  <c r="B19" i="6310"/>
  <c r="H51" i="6310" s="1"/>
  <c r="C18" i="6310"/>
  <c r="B18" i="6310"/>
  <c r="B28" i="6310" s="1"/>
  <c r="B17" i="6310"/>
  <c r="C17" i="6310" s="1"/>
  <c r="C16" i="6310"/>
  <c r="C15" i="6310"/>
  <c r="C14" i="6310"/>
  <c r="O12" i="6310"/>
  <c r="B12" i="6310"/>
  <c r="O11" i="6310"/>
  <c r="B11" i="6310"/>
  <c r="O10" i="6310"/>
  <c r="B10" i="6310"/>
  <c r="C9" i="6310"/>
  <c r="H11" i="6310"/>
  <c r="C8" i="6310"/>
  <c r="O7" i="6310"/>
  <c r="C7" i="6310"/>
  <c r="O6" i="6310"/>
  <c r="B6" i="6310"/>
  <c r="O5" i="6310"/>
  <c r="B5" i="6310"/>
  <c r="O4" i="6310"/>
  <c r="H9" i="6310"/>
  <c r="O3" i="6310"/>
  <c r="O2" i="6310"/>
  <c r="O20" i="6302"/>
  <c r="B13" i="6310" l="1"/>
  <c r="C36" i="6310"/>
  <c r="C38" i="6310"/>
  <c r="C42" i="6310"/>
  <c r="H14" i="6310"/>
  <c r="H25" i="6310"/>
  <c r="H43" i="6310"/>
  <c r="H4" i="6310"/>
  <c r="C44" i="6310"/>
  <c r="H12" i="6310"/>
  <c r="H23" i="6310"/>
  <c r="C24" i="6310"/>
  <c r="H27" i="6310"/>
  <c r="C46" i="6310"/>
  <c r="H10" i="6310"/>
  <c r="H15" i="6310"/>
  <c r="H30" i="6310"/>
  <c r="H8" i="6310"/>
  <c r="H6" i="6310"/>
  <c r="H34" i="6310"/>
  <c r="H21" i="6310"/>
  <c r="H47" i="6310"/>
  <c r="B13" i="6312"/>
  <c r="C18" i="6312"/>
  <c r="H9" i="6312"/>
  <c r="H7" i="6312"/>
  <c r="H13" i="6312"/>
  <c r="H19" i="6312"/>
  <c r="H8" i="6312"/>
  <c r="C19" i="6312"/>
  <c r="C24" i="6312"/>
  <c r="H18" i="6312"/>
  <c r="H43" i="6312"/>
  <c r="H47" i="6312"/>
  <c r="H25" i="6312"/>
  <c r="H30" i="6312"/>
  <c r="C39" i="6312"/>
  <c r="C43" i="6312"/>
  <c r="H5" i="6312"/>
  <c r="H15" i="6312"/>
  <c r="H20" i="6312"/>
  <c r="C21" i="6312"/>
  <c r="C25" i="6312"/>
  <c r="H36" i="6312"/>
  <c r="H48" i="6312"/>
  <c r="H14" i="6312"/>
  <c r="H11" i="6312"/>
  <c r="H28" i="6312"/>
  <c r="H17" i="6312"/>
  <c r="C36" i="6312"/>
  <c r="C40" i="6312"/>
  <c r="C44" i="6312"/>
  <c r="C48" i="6312"/>
  <c r="H39" i="6312"/>
  <c r="H52" i="6312"/>
  <c r="H23" i="6312"/>
  <c r="H16" i="6312"/>
  <c r="H35" i="6312"/>
  <c r="C47" i="6312"/>
  <c r="H40" i="6312"/>
  <c r="H44" i="6312"/>
  <c r="H3" i="6312"/>
  <c r="H21" i="6312"/>
  <c r="H24" i="6312"/>
  <c r="C22" i="6312"/>
  <c r="B26" i="6312"/>
  <c r="H31" i="6312"/>
  <c r="H37" i="6312"/>
  <c r="H41" i="6312"/>
  <c r="H45" i="6312"/>
  <c r="H49" i="6312"/>
  <c r="H26" i="6312"/>
  <c r="H32" i="6312"/>
  <c r="C45" i="6312"/>
  <c r="H29" i="6312"/>
  <c r="C37" i="6312"/>
  <c r="C41" i="6312"/>
  <c r="H50" i="6312"/>
  <c r="H22" i="6312"/>
  <c r="C23" i="6312"/>
  <c r="B27" i="6312"/>
  <c r="H33" i="6312"/>
  <c r="H38" i="6312"/>
  <c r="H42" i="6312"/>
  <c r="H46" i="6312"/>
  <c r="H51" i="6312"/>
  <c r="H2" i="6312"/>
  <c r="H4" i="6312"/>
  <c r="H10" i="6312"/>
  <c r="H27" i="6312"/>
  <c r="H12" i="6312"/>
  <c r="H34" i="6312"/>
  <c r="C38" i="6312"/>
  <c r="C42" i="6312"/>
  <c r="C46" i="6312"/>
  <c r="C48" i="6310"/>
  <c r="H7" i="6310"/>
  <c r="H39" i="6310"/>
  <c r="H2" i="6310"/>
  <c r="H3" i="6310"/>
  <c r="C19" i="6310"/>
  <c r="C40" i="6310"/>
  <c r="H52" i="6310"/>
  <c r="H19" i="6310"/>
  <c r="H22" i="6310"/>
  <c r="H26" i="6310"/>
  <c r="H29" i="6310"/>
  <c r="H35" i="6310"/>
  <c r="C39" i="6310"/>
  <c r="C43" i="6310"/>
  <c r="C47" i="6310"/>
  <c r="H5" i="6310"/>
  <c r="H13" i="6310"/>
  <c r="H16" i="6310"/>
  <c r="C21" i="6310"/>
  <c r="C25" i="6310"/>
  <c r="H36" i="6310"/>
  <c r="H40" i="6310"/>
  <c r="H44" i="6310"/>
  <c r="H48" i="6310"/>
  <c r="H17" i="6310"/>
  <c r="H20" i="6310"/>
  <c r="C22" i="6310"/>
  <c r="B26" i="6310"/>
  <c r="H31" i="6310"/>
  <c r="H37" i="6310"/>
  <c r="H41" i="6310"/>
  <c r="H45" i="6310"/>
  <c r="H49" i="6310"/>
  <c r="H24" i="6310"/>
  <c r="H28" i="6310"/>
  <c r="H32" i="6310"/>
  <c r="C37" i="6310"/>
  <c r="C41" i="6310"/>
  <c r="C45" i="6310"/>
  <c r="H50" i="6310"/>
  <c r="H18" i="6310"/>
  <c r="C23" i="6310"/>
  <c r="B27" i="6310"/>
  <c r="H33" i="6310"/>
  <c r="H38" i="6310"/>
  <c r="H42" i="6310"/>
  <c r="H46" i="6310"/>
  <c r="O15" i="6308"/>
  <c r="O17" i="6308"/>
  <c r="C34" i="6308"/>
  <c r="B29" i="6308"/>
  <c r="C20" i="6308"/>
  <c r="B19" i="6308"/>
  <c r="H51" i="6308" s="1"/>
  <c r="B18" i="6308"/>
  <c r="B28" i="6308" s="1"/>
  <c r="B17" i="6308"/>
  <c r="C17" i="6308" s="1"/>
  <c r="C16" i="6308"/>
  <c r="C15" i="6308"/>
  <c r="C14" i="6308"/>
  <c r="O12" i="6308"/>
  <c r="B12" i="6308"/>
  <c r="O11" i="6308"/>
  <c r="B11" i="6308"/>
  <c r="O10" i="6308"/>
  <c r="B10" i="6308"/>
  <c r="C9" i="6308"/>
  <c r="C8" i="6308"/>
  <c r="O7" i="6308"/>
  <c r="C7" i="6308"/>
  <c r="O6" i="6308"/>
  <c r="B6" i="6308"/>
  <c r="O5" i="6308"/>
  <c r="B5" i="6308"/>
  <c r="O4" i="6308"/>
  <c r="O3" i="6308"/>
  <c r="O2" i="6308"/>
  <c r="O18" i="6306"/>
  <c r="O16" i="6306"/>
  <c r="H38" i="6306"/>
  <c r="C34" i="6306"/>
  <c r="B29" i="6306"/>
  <c r="C20" i="6306"/>
  <c r="B19" i="6306"/>
  <c r="H52" i="6306" s="1"/>
  <c r="B18" i="6306"/>
  <c r="B28" i="6306" s="1"/>
  <c r="B17" i="6306"/>
  <c r="C17" i="6306" s="1"/>
  <c r="C16" i="6306"/>
  <c r="C15" i="6306"/>
  <c r="C14" i="6306"/>
  <c r="O12" i="6306"/>
  <c r="B12" i="6306"/>
  <c r="O11" i="6306"/>
  <c r="B11" i="6306"/>
  <c r="O10" i="6306"/>
  <c r="B10" i="6306"/>
  <c r="C9" i="6306"/>
  <c r="C8" i="6306"/>
  <c r="O7" i="6306"/>
  <c r="C7" i="6306"/>
  <c r="O6" i="6306"/>
  <c r="B6" i="6306"/>
  <c r="O5" i="6306"/>
  <c r="B5" i="6306"/>
  <c r="O4" i="6306"/>
  <c r="O3" i="6306"/>
  <c r="O2" i="6306"/>
  <c r="O23" i="6302"/>
  <c r="O20" i="6304"/>
  <c r="O15" i="6304"/>
  <c r="C34" i="6304"/>
  <c r="B29" i="6304"/>
  <c r="C20" i="6304"/>
  <c r="B19" i="6304"/>
  <c r="H15" i="6304" s="1"/>
  <c r="B18" i="6304"/>
  <c r="B28" i="6304" s="1"/>
  <c r="B17" i="6304"/>
  <c r="C17" i="6304" s="1"/>
  <c r="C16" i="6304"/>
  <c r="C15" i="6304"/>
  <c r="C14" i="6304"/>
  <c r="B13" i="6304"/>
  <c r="O12" i="6304"/>
  <c r="B12" i="6304"/>
  <c r="O11" i="6304"/>
  <c r="B11" i="6304"/>
  <c r="O10" i="6304"/>
  <c r="B10" i="6304"/>
  <c r="C9" i="6304"/>
  <c r="C8" i="6304"/>
  <c r="O7" i="6304"/>
  <c r="C7" i="6304"/>
  <c r="O6" i="6304"/>
  <c r="B6" i="6304"/>
  <c r="O5" i="6304"/>
  <c r="B5" i="6304"/>
  <c r="O4" i="6304"/>
  <c r="O3" i="6304"/>
  <c r="O2" i="6304"/>
  <c r="O21" i="6302"/>
  <c r="O15" i="6302"/>
  <c r="C34" i="6302"/>
  <c r="B29" i="6302"/>
  <c r="C20" i="6302"/>
  <c r="B19" i="6302"/>
  <c r="H17" i="6302" s="1"/>
  <c r="B18" i="6302"/>
  <c r="B28" i="6302" s="1"/>
  <c r="B17" i="6302"/>
  <c r="C17" i="6302" s="1"/>
  <c r="C16" i="6302"/>
  <c r="C15" i="6302"/>
  <c r="C14" i="6302"/>
  <c r="O12" i="6302"/>
  <c r="B12" i="6302"/>
  <c r="O11" i="6302"/>
  <c r="B11" i="6302"/>
  <c r="O10" i="6302"/>
  <c r="B10" i="6302"/>
  <c r="C9" i="6302"/>
  <c r="C8" i="6302"/>
  <c r="O7" i="6302"/>
  <c r="C7" i="6302"/>
  <c r="O6" i="6302"/>
  <c r="B6" i="6302"/>
  <c r="O5" i="6302"/>
  <c r="B5" i="6302"/>
  <c r="O4" i="6302"/>
  <c r="O3" i="6302"/>
  <c r="O2" i="6302"/>
  <c r="B13" i="6308" l="1"/>
  <c r="C18" i="6306"/>
  <c r="H8" i="6306"/>
  <c r="C18" i="6304"/>
  <c r="H27" i="6306"/>
  <c r="B27" i="6306"/>
  <c r="H3" i="6306"/>
  <c r="C18" i="6308"/>
  <c r="B13" i="6302"/>
  <c r="H18" i="6308"/>
  <c r="H7" i="6308"/>
  <c r="H9" i="6308"/>
  <c r="H27" i="6308"/>
  <c r="H2" i="6308"/>
  <c r="C42" i="6308"/>
  <c r="C46" i="6308"/>
  <c r="H17" i="6308"/>
  <c r="H8" i="6308"/>
  <c r="H5" i="6308"/>
  <c r="H11" i="6308"/>
  <c r="H34" i="6308"/>
  <c r="C19" i="6308"/>
  <c r="H3" i="6308"/>
  <c r="H15" i="6308"/>
  <c r="H24" i="6308"/>
  <c r="C38" i="6308"/>
  <c r="C24" i="6308"/>
  <c r="H39" i="6308"/>
  <c r="H43" i="6308"/>
  <c r="H47" i="6308"/>
  <c r="H52" i="6308"/>
  <c r="H22" i="6308"/>
  <c r="H25" i="6308"/>
  <c r="H13" i="6308"/>
  <c r="H30" i="6308"/>
  <c r="H35" i="6308"/>
  <c r="C39" i="6308"/>
  <c r="C43" i="6308"/>
  <c r="C47" i="6308"/>
  <c r="H4" i="6308"/>
  <c r="H16" i="6308"/>
  <c r="C25" i="6308"/>
  <c r="H36" i="6308"/>
  <c r="H48" i="6308"/>
  <c r="H6" i="6308"/>
  <c r="H10" i="6308"/>
  <c r="H12" i="6308"/>
  <c r="H28" i="6308"/>
  <c r="H14" i="6308"/>
  <c r="C36" i="6308"/>
  <c r="C40" i="6308"/>
  <c r="C44" i="6308"/>
  <c r="C48" i="6308"/>
  <c r="H19" i="6308"/>
  <c r="C21" i="6308"/>
  <c r="H40" i="6308"/>
  <c r="H44" i="6308"/>
  <c r="H20" i="6308"/>
  <c r="H23" i="6308"/>
  <c r="C22" i="6308"/>
  <c r="B26" i="6308"/>
  <c r="H31" i="6308"/>
  <c r="H37" i="6308"/>
  <c r="H41" i="6308"/>
  <c r="H45" i="6308"/>
  <c r="H49" i="6308"/>
  <c r="H26" i="6308"/>
  <c r="H29" i="6308"/>
  <c r="H32" i="6308"/>
  <c r="C37" i="6308"/>
  <c r="C41" i="6308"/>
  <c r="C45" i="6308"/>
  <c r="H50" i="6308"/>
  <c r="H21" i="6308"/>
  <c r="C23" i="6308"/>
  <c r="B27" i="6308"/>
  <c r="H33" i="6308"/>
  <c r="H38" i="6308"/>
  <c r="H42" i="6308"/>
  <c r="H46" i="6308"/>
  <c r="B13" i="6306"/>
  <c r="H12" i="6306"/>
  <c r="H44" i="6306"/>
  <c r="H2" i="6306"/>
  <c r="C21" i="6306"/>
  <c r="H15" i="6306"/>
  <c r="H11" i="6306"/>
  <c r="H30" i="6306"/>
  <c r="H5" i="6306"/>
  <c r="H18" i="6306"/>
  <c r="H13" i="6306"/>
  <c r="H46" i="6306"/>
  <c r="H20" i="6306"/>
  <c r="C44" i="6306"/>
  <c r="H10" i="6306"/>
  <c r="C23" i="6306"/>
  <c r="H36" i="6306"/>
  <c r="C46" i="6306"/>
  <c r="C38" i="6306"/>
  <c r="H40" i="6306"/>
  <c r="H9" i="6306"/>
  <c r="H7" i="6306"/>
  <c r="H16" i="6306"/>
  <c r="H19" i="6306"/>
  <c r="H26" i="6306"/>
  <c r="C36" i="6306"/>
  <c r="H48" i="6306"/>
  <c r="H33" i="6306"/>
  <c r="C40" i="6306"/>
  <c r="C48" i="6306"/>
  <c r="C24" i="6306"/>
  <c r="H34" i="6306"/>
  <c r="H42" i="6306"/>
  <c r="H51" i="6306"/>
  <c r="H6" i="6306"/>
  <c r="H17" i="6306"/>
  <c r="C19" i="6306"/>
  <c r="C25" i="6306"/>
  <c r="C42" i="6306"/>
  <c r="H4" i="6306"/>
  <c r="H22" i="6306"/>
  <c r="H24" i="6306"/>
  <c r="H14" i="6306"/>
  <c r="H29" i="6306"/>
  <c r="H35" i="6306"/>
  <c r="C39" i="6306"/>
  <c r="C43" i="6306"/>
  <c r="C47" i="6306"/>
  <c r="H21" i="6306"/>
  <c r="H23" i="6306"/>
  <c r="C22" i="6306"/>
  <c r="B26" i="6306"/>
  <c r="H31" i="6306"/>
  <c r="H37" i="6306"/>
  <c r="H41" i="6306"/>
  <c r="H45" i="6306"/>
  <c r="H49" i="6306"/>
  <c r="H25" i="6306"/>
  <c r="H28" i="6306"/>
  <c r="H32" i="6306"/>
  <c r="C37" i="6306"/>
  <c r="C41" i="6306"/>
  <c r="C45" i="6306"/>
  <c r="H50" i="6306"/>
  <c r="H39" i="6306"/>
  <c r="H43" i="6306"/>
  <c r="H47" i="6306"/>
  <c r="H10" i="6302"/>
  <c r="C18" i="6302"/>
  <c r="C36" i="6304"/>
  <c r="H22" i="6304"/>
  <c r="H8" i="6304"/>
  <c r="H40" i="6304"/>
  <c r="H26" i="6304"/>
  <c r="H42" i="6304"/>
  <c r="C38" i="6304"/>
  <c r="C21" i="6304"/>
  <c r="H11" i="6304"/>
  <c r="C44" i="6304"/>
  <c r="H29" i="6304"/>
  <c r="H12" i="6304"/>
  <c r="H7" i="6304"/>
  <c r="H6" i="6304"/>
  <c r="H24" i="6304"/>
  <c r="H20" i="6304"/>
  <c r="C22" i="6304"/>
  <c r="H46" i="6304"/>
  <c r="H18" i="6304"/>
  <c r="B26" i="6304"/>
  <c r="C42" i="6304"/>
  <c r="H2" i="6304"/>
  <c r="H10" i="6304"/>
  <c r="H35" i="6304"/>
  <c r="H3" i="6304"/>
  <c r="H9" i="6304"/>
  <c r="H21" i="6304"/>
  <c r="H25" i="6304"/>
  <c r="C25" i="6304"/>
  <c r="H36" i="6304"/>
  <c r="C46" i="6304"/>
  <c r="H48" i="6304"/>
  <c r="C24" i="6304"/>
  <c r="H32" i="6304"/>
  <c r="C39" i="6304"/>
  <c r="C48" i="6304"/>
  <c r="H13" i="6304"/>
  <c r="H5" i="6304"/>
  <c r="H17" i="6304"/>
  <c r="H19" i="6304"/>
  <c r="C19" i="6304"/>
  <c r="H14" i="6304"/>
  <c r="H16" i="6304"/>
  <c r="C40" i="6304"/>
  <c r="H50" i="6304"/>
  <c r="H44" i="6304"/>
  <c r="H4" i="6304"/>
  <c r="H28" i="6304"/>
  <c r="H31" i="6304"/>
  <c r="H38" i="6304"/>
  <c r="C43" i="6304"/>
  <c r="H52" i="6304"/>
  <c r="C47" i="6304"/>
  <c r="H37" i="6304"/>
  <c r="H41" i="6304"/>
  <c r="H45" i="6304"/>
  <c r="H49" i="6304"/>
  <c r="H27" i="6304"/>
  <c r="H30" i="6304"/>
  <c r="H33" i="6304"/>
  <c r="C37" i="6304"/>
  <c r="C41" i="6304"/>
  <c r="C45" i="6304"/>
  <c r="H51" i="6304"/>
  <c r="H23" i="6304"/>
  <c r="C23" i="6304"/>
  <c r="B27" i="6304"/>
  <c r="H34" i="6304"/>
  <c r="H39" i="6304"/>
  <c r="H43" i="6304"/>
  <c r="H47" i="6304"/>
  <c r="H27" i="6302"/>
  <c r="H20" i="6302"/>
  <c r="H42" i="6302"/>
  <c r="H36" i="6302"/>
  <c r="H37" i="6302"/>
  <c r="H5" i="6302"/>
  <c r="H6" i="6302"/>
  <c r="C40" i="6302"/>
  <c r="C46" i="6302"/>
  <c r="H12" i="6302"/>
  <c r="H11" i="6302"/>
  <c r="C22" i="6302"/>
  <c r="H8" i="6302"/>
  <c r="H48" i="6302"/>
  <c r="H32" i="6302"/>
  <c r="C36" i="6302"/>
  <c r="C42" i="6302"/>
  <c r="C47" i="6302"/>
  <c r="H24" i="6302"/>
  <c r="C19" i="6302"/>
  <c r="C24" i="6302"/>
  <c r="H38" i="6302"/>
  <c r="H44" i="6302"/>
  <c r="H49" i="6302"/>
  <c r="H13" i="6302"/>
  <c r="H14" i="6302"/>
  <c r="C48" i="6302"/>
  <c r="H15" i="6302"/>
  <c r="C43" i="6302"/>
  <c r="H25" i="6302"/>
  <c r="C25" i="6302"/>
  <c r="H23" i="6302"/>
  <c r="H40" i="6302"/>
  <c r="H45" i="6302"/>
  <c r="H50" i="6302"/>
  <c r="H22" i="6302"/>
  <c r="H2" i="6302"/>
  <c r="C38" i="6302"/>
  <c r="H9" i="6302"/>
  <c r="H21" i="6302"/>
  <c r="H28" i="6302"/>
  <c r="H30" i="6302"/>
  <c r="H35" i="6302"/>
  <c r="C39" i="6302"/>
  <c r="C44" i="6302"/>
  <c r="H4" i="6302"/>
  <c r="H16" i="6302"/>
  <c r="H3" i="6302"/>
  <c r="H18" i="6302"/>
  <c r="H7" i="6302"/>
  <c r="H19" i="6302"/>
  <c r="H26" i="6302"/>
  <c r="C21" i="6302"/>
  <c r="B26" i="6302"/>
  <c r="H41" i="6302"/>
  <c r="H46" i="6302"/>
  <c r="H52" i="6302"/>
  <c r="H29" i="6302"/>
  <c r="H31" i="6302"/>
  <c r="H33" i="6302"/>
  <c r="C37" i="6302"/>
  <c r="C41" i="6302"/>
  <c r="C45" i="6302"/>
  <c r="H51" i="6302"/>
  <c r="C23" i="6302"/>
  <c r="B27" i="6302"/>
  <c r="H34" i="6302"/>
  <c r="H39" i="6302"/>
  <c r="H43" i="6302"/>
  <c r="H47" i="630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H9" i="6023" l="1"/>
  <c r="B13" i="6023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<sst xmlns="http://schemas.openxmlformats.org/spreadsheetml/2006/main" count="2826" uniqueCount="210">
  <si>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</si>
  <si>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</si>
  <si>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</si>
  <si>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</si>
  <si>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</si>
  <si>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</si>
  <si>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</si>
  <si>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</si>
  <si>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</si>
  <si>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</si>
  <si>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</si>
  <si>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</si>
  <si>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</si>
  <si>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</si>
  <si>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</si>
  <si>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</si>
  <si>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</si>
  <si>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</si>
  <si>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</si>
  <si>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</si>
  <si>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</si>
  <si>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</si>
  <si>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</si>
  <si>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</si>
  <si>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</si>
  <si>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</si>
  <si>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</si>
  <si>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</si>
  <si>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</si>
  <si>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</si>
  <si>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</si>
  <si>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</si>
  <si>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</si>
  <si>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</si>
  <si>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</si>
  <si>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</si>
  <si>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</si>
  <si>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</si>
  <si>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</si>
  <si>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</si>
  <si>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</si>
  <si>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</si>
  <si>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</si>
  <si>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</si>
  <si>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</si>
  <si>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</si>
  <si>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</si>
  <si>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</si>
  <si>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</si>
  <si>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</si>
  <si>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</si>
  <si>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</si>
  <si>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</si>
  <si>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</si>
  <si>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</si>
  <si>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</si>
  <si>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</si>
  <si>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</si>
  <si>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</si>
  <si>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</si>
  <si>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</si>
  <si>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</si>
  <si>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</si>
  <si>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</si>
  <si>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</si>
  <si>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</si>
  <si>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</si>
  <si>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</si>
  <si>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</si>
  <si>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</si>
  <si>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</si>
  <si>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</si>
  <si>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</si>
  <si>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</si>
  <si>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</si>
  <si>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</si>
  <si>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</si>
  <si>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</si>
  <si>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</si>
  <si>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</si>
  <si>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</si>
  <si>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</si>
  <si>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</si>
  <si>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</si>
  <si>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</si>
  <si>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</si>
  <si>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</si>
  <si>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</si>
  <si>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</si>
  <si>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</si>
  <si>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</si>
  <si>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</si>
  <si>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</si>
  <si>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</si>
  <si>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</si>
  <si>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</si>
  <si>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</si>
  <si>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</si>
  <si>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</si>
  <si>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</si>
  <si>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</si>
  <si>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</si>
  <si>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</si>
  <si>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</si>
  <si>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</si>
  <si>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</si>
  <si>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</si>
  <si>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</si>
  <si>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</si>
  <si>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</si>
  <si>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</si>
  <si>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</si>
  <si>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</si>
  <si>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</si>
  <si>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</si>
  <si>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</si>
  <si>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</si>
  <si>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</si>
  <si>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</si>
  <si>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</si>
  <si>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</si>
  <si>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</si>
  <si>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</si>
  <si>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</si>
  <si>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</si>
  <si>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</si>
  <si>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</si>
  <si>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</si>
  <si>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</si>
  <si>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</si>
  <si>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</si>
  <si>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</si>
  <si>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</si>
  <si>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</si>
  <si>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</si>
  <si>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</si>
  <si>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</si>
  <si>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</si>
  <si>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</si>
  <si>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</si>
  <si>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</si>
  <si>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</si>
  <si>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</si>
  <si>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</si>
  <si>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</si>
  <si>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</si>
  <si>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</si>
  <si>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</si>
  <si>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</si>
  <si>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</si>
  <si>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</si>
  <si>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</si>
  <si>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</si>
  <si>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</si>
  <si>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</si>
  <si>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</si>
  <si>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</si>
  <si>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</si>
  <si>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</si>
  <si>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</si>
  <si>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</si>
  <si>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</si>
  <si>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</si>
  <si>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</si>
  <si>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</si>
  <si>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</si>
  <si>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</si>
  <si>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</si>
  <si>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</si>
  <si>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</si>
  <si>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</si>
  <si>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</si>
  <si>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</si>
  <si>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</si>
  <si>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</si>
  <si>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</si>
  <si>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</si>
  <si>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</si>
  <si>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</si>
  <si>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</si>
  <si>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</si>
  <si>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</si>
  <si>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</si>
  <si>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</si>
  <si>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</si>
  <si>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</si>
  <si>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</si>
  <si>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</si>
  <si>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</si>
  <si>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</si>
  <si>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</si>
  <si>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hh</t>
    <phoneticPr fontId="1"/>
  </si>
  <si>
    <t>2020-09-25@0.xlsm</t>
  </si>
  <si>
    <t>2020-09-27@0.xlsm</t>
  </si>
  <si>
    <t>いちかわ</t>
  </si>
  <si>
    <t>まっつん</t>
  </si>
  <si>
    <t>Sheet3</t>
  </si>
  <si>
    <t>2020-10-01@0.xlsm</t>
  </si>
  <si>
    <t>ただ</t>
  </si>
  <si>
    <t>2020-10-03@0.xlsm</t>
  </si>
  <si>
    <t>のり</t>
  </si>
  <si>
    <t>たか</t>
  </si>
  <si>
    <t>Sheet4</t>
  </si>
  <si>
    <t>2020-10-04@0.xlsm</t>
  </si>
  <si>
    <t>2020-10-05@0.xlsm</t>
  </si>
  <si>
    <t>2020-10-06@0.xlsm</t>
  </si>
  <si>
    <t>2020-10-07@0.xlsm</t>
  </si>
  <si>
    <t>わさび</t>
  </si>
  <si>
    <t>りくと</t>
  </si>
  <si>
    <t>2020-10-08@0.xlsm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</si>
</sst>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3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全体!$L$2:$L$62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E-4728-B881-3DE5D2E85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-50</c:v>
                </c:pt>
                <c:pt idx="1">
                  <c:v>52.631578947368418</c:v>
                </c:pt>
                <c:pt idx="2">
                  <c:v>-17.543859649122808</c:v>
                </c:pt>
                <c:pt idx="3">
                  <c:v>19.607843137254903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3FA-AC5B-09C55E3B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9</c:v>
                </c:pt>
                <c:pt idx="1">
                  <c:v>33</c:v>
                </c:pt>
                <c:pt idx="2">
                  <c:v>26</c:v>
                </c:pt>
                <c:pt idx="3">
                  <c:v>21</c:v>
                </c:pt>
                <c:pt idx="4">
                  <c:v>16</c:v>
                </c:pt>
                <c:pt idx="5">
                  <c:v>23</c:v>
                </c:pt>
                <c:pt idx="6">
                  <c:v>10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0-4035-9C9B-87ECC922C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だいち!$L$2:$L$15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4-4403-B215-FB8CC182D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2853.8461538461538</c:v>
                </c:pt>
                <c:pt idx="1">
                  <c:v>-300</c:v>
                </c:pt>
                <c:pt idx="2">
                  <c:v>600</c:v>
                </c:pt>
                <c:pt idx="3">
                  <c:v>509.09090909090907</c:v>
                </c:pt>
                <c:pt idx="4">
                  <c:v>-481.81818181818181</c:v>
                </c:pt>
                <c:pt idx="5">
                  <c:v>2900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5-43F0-A12D-C687491C6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8-4923-BCD1-10687AD1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5-47A5-BB26-33130E20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-2033.3333333333333</c:v>
                </c:pt>
                <c:pt idx="1">
                  <c:v>-3380</c:v>
                </c:pt>
                <c:pt idx="2">
                  <c:v>-3720</c:v>
                </c:pt>
                <c:pt idx="3">
                  <c:v>-680</c:v>
                </c:pt>
                <c:pt idx="4">
                  <c:v>-50</c:v>
                </c:pt>
                <c:pt idx="5">
                  <c:v>-2700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343-8E3A-4811B044F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E-47EE-9E7B-888912C0D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59-472D-982E-1AF6112D9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1750</c:v>
                </c:pt>
                <c:pt idx="1">
                  <c:v>-2783.3333333333335</c:v>
                </c:pt>
                <c:pt idx="2">
                  <c:v>583.33333333333337</c:v>
                </c:pt>
                <c:pt idx="3">
                  <c:v>-150</c:v>
                </c:pt>
                <c:pt idx="4">
                  <c:v>3350</c:v>
                </c:pt>
                <c:pt idx="5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3-4F8F-A172-F8C5D1773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D-437E-88BF-4D132E287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7-4453-B726-9FA66B9E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9-4AAD-A7B3-BAA38CDBB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3-4196-A06E-0AF54B60D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いちかわ!$L$2:$L$12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01-4B99-8A4D-6B0BCF949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-1740</c:v>
                </c:pt>
                <c:pt idx="1">
                  <c:v>290</c:v>
                </c:pt>
                <c:pt idx="2">
                  <c:v>-210</c:v>
                </c:pt>
                <c:pt idx="3">
                  <c:v>2112.5</c:v>
                </c:pt>
                <c:pt idx="4">
                  <c:v>1742.8571428571429</c:v>
                </c:pt>
                <c:pt idx="5">
                  <c:v>-550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C-47E4-8C74-D0546679D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6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5-47A2-A102-253328910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6-438C-9135-2CA86DF6B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-3000</c:v>
                </c:pt>
                <c:pt idx="1">
                  <c:v>3650</c:v>
                </c:pt>
                <c:pt idx="2">
                  <c:v>3816.6666666666665</c:v>
                </c:pt>
                <c:pt idx="3">
                  <c:v>3583.3333333333335</c:v>
                </c:pt>
                <c:pt idx="4">
                  <c:v>-283.33333333333331</c:v>
                </c:pt>
                <c:pt idx="5">
                  <c:v>-2660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C83-8FE4-60D38AEE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3-48BA-B113-BBFB9B51C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1-4774-AD81-1F01698A7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2300</c:v>
                </c:pt>
                <c:pt idx="1">
                  <c:v>2085.7142857142858</c:v>
                </c:pt>
                <c:pt idx="2">
                  <c:v>-3728.5714285714284</c:v>
                </c:pt>
                <c:pt idx="3">
                  <c:v>-2533.3333333333335</c:v>
                </c:pt>
                <c:pt idx="4">
                  <c:v>1000</c:v>
                </c:pt>
                <c:pt idx="5">
                  <c:v>1360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6-4D6C-B2F4-4CA7EE7A1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7-423E-8FE0-619D63766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6-40A0-85DB-539B8CBD1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10-4483-BD7D-40BAA6938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C-43A8-81F3-5BDBB9506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りくと!$L$2:$L$4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7F-4C7C-AD82-5B34BC8EA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5000</c:v>
                </c:pt>
                <c:pt idx="1">
                  <c:v>-2600</c:v>
                </c:pt>
                <c:pt idx="2">
                  <c:v>900</c:v>
                </c:pt>
                <c:pt idx="3">
                  <c:v>-3750</c:v>
                </c:pt>
                <c:pt idx="4">
                  <c:v>-400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DB-4D21-8D00-51DA45FE7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BA-4D7F-B522-BEF887DC3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D5-4200-8227-77AFEB88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わさび!$O$2:$O$7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56-4069-B77E-D7809D6B4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D-4814-A66B-D59D635C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いちかわ2!$B$1:$B$2</c:f>
              <c:strCache>
                <c:ptCount val="2"/>
                <c:pt idx="0">
                  <c:v>いちかわ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いちかわ2!$B$3:$B$13</c:f>
              <c:numCache>
                <c:formatCode>\+0.0;\-0.0;\±0</c:formatCode>
                <c:ptCount val="11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243449787580175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いちかわ2!$C$1:$C$2</c:f>
              <c:strCache>
                <c:ptCount val="2"/>
                <c:pt idx="0">
                  <c:v>いちかわ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いちかわ2!$C$3:$C$13</c:f>
              <c:numCache>
                <c:formatCode>\+0.0;\-0.0;\±0</c:formatCode>
                <c:ptCount val="11"/>
                <c:pt idx="1">
                  <c:v>55.6</c:v>
                </c:pt>
                <c:pt idx="2">
                  <c:v>12.450000000000001</c:v>
                </c:pt>
                <c:pt idx="3">
                  <c:v>-6.8666666666666663</c:v>
                </c:pt>
                <c:pt idx="4">
                  <c:v>-6.25</c:v>
                </c:pt>
                <c:pt idx="5">
                  <c:v>-10.6</c:v>
                </c:pt>
                <c:pt idx="6">
                  <c:v>-5.4666666666666659</c:v>
                </c:pt>
                <c:pt idx="7">
                  <c:v>-3.1714285714285708</c:v>
                </c:pt>
                <c:pt idx="8">
                  <c:v>3.7500000000000533E-2</c:v>
                </c:pt>
                <c:pt idx="9">
                  <c:v>2.2777777777777781</c:v>
                </c:pt>
                <c:pt idx="10">
                  <c:v>0.69000000000000039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0724163126336256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いちかわ2!$D$1:$D$2</c:f>
              <c:strCache>
                <c:ptCount val="2"/>
                <c:pt idx="0">
                  <c:v>いちかわ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いちかわ2!$D$3:$D$13</c:f>
              <c:numCache>
                <c:formatCode>0.00\ "位"</c:formatCode>
                <c:ptCount val="11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2.25</c:v>
                </c:pt>
                <c:pt idx="5">
                  <c:v>2.4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</c:v>
                </c:pt>
                <c:pt idx="10">
                  <c:v>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いちかわ2!$E$1:$E$2</c:f>
              <c:strCache>
                <c:ptCount val="2"/>
                <c:pt idx="0">
                  <c:v>いちかわ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いちかわ2!$E$3:$E$13</c:f>
              <c:numCache>
                <c:formatCode>0.0%</c:formatCode>
                <c:ptCount val="1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いちかわ2!$F$1:$F$2</c:f>
              <c:strCache>
                <c:ptCount val="2"/>
                <c:pt idx="0">
                  <c:v>いちかわ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いちかわ2!$F$3:$F$13</c:f>
              <c:numCache>
                <c:formatCode>0.0%</c:formatCode>
                <c:ptCount val="11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いちかわ2!$G$1:$G$2</c:f>
              <c:strCache>
                <c:ptCount val="2"/>
                <c:pt idx="0">
                  <c:v>いちかわ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いちかわ2!$G$3:$G$13</c:f>
              <c:numCache>
                <c:formatCode>0.0%</c:formatCode>
                <c:ptCount val="11"/>
                <c:pt idx="1">
                  <c:v>0.5</c:v>
                </c:pt>
                <c:pt idx="2">
                  <c:v>0.3125</c:v>
                </c:pt>
                <c:pt idx="3">
                  <c:v>0.23809523809523808</c:v>
                </c:pt>
                <c:pt idx="4">
                  <c:v>0.25714285714285712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0.28301886792452829</c:v>
                </c:pt>
                <c:pt idx="8">
                  <c:v>0.29508196721311475</c:v>
                </c:pt>
                <c:pt idx="9">
                  <c:v>0.30985915492957744</c:v>
                </c:pt>
                <c:pt idx="10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5996055226824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いちかわ2!$H$1:$H$2</c:f>
              <c:strCache>
                <c:ptCount val="2"/>
                <c:pt idx="0">
                  <c:v>いちかわ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いちかわ2!$H$3:$H$13</c:f>
              <c:numCache>
                <c:formatCode>0.0%</c:formatCode>
                <c:ptCount val="11"/>
                <c:pt idx="1">
                  <c:v>0.1</c:v>
                </c:pt>
                <c:pt idx="2">
                  <c:v>0.125</c:v>
                </c:pt>
                <c:pt idx="3">
                  <c:v>0.19047619047619047</c:v>
                </c:pt>
                <c:pt idx="4">
                  <c:v>0.22857142857142856</c:v>
                </c:pt>
                <c:pt idx="5">
                  <c:v>0.26315789473684209</c:v>
                </c:pt>
                <c:pt idx="6">
                  <c:v>0.23404255319148937</c:v>
                </c:pt>
                <c:pt idx="7">
                  <c:v>0.20754716981132076</c:v>
                </c:pt>
                <c:pt idx="8">
                  <c:v>0.18032786885245902</c:v>
                </c:pt>
                <c:pt idx="9">
                  <c:v>0.15492957746478872</c:v>
                </c:pt>
                <c:pt idx="10">
                  <c:v>0.15384615384615385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9901380670611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いちかわ2!$I$1:$I$2</c:f>
              <c:strCache>
                <c:ptCount val="2"/>
                <c:pt idx="0">
                  <c:v>いちかわ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いちかわ2!$I$3:$I$13</c:f>
              <c:numCache>
                <c:formatCode>0</c:formatCode>
                <c:ptCount val="11"/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8533.3333333333339</c:v>
                </c:pt>
                <c:pt idx="5">
                  <c:v>8533.3333333333339</c:v>
                </c:pt>
                <c:pt idx="6">
                  <c:v>8708.3333333333339</c:v>
                </c:pt>
                <c:pt idx="7">
                  <c:v>7480</c:v>
                </c:pt>
                <c:pt idx="8">
                  <c:v>7333.333333333333</c:v>
                </c:pt>
                <c:pt idx="9">
                  <c:v>7322.727272727273</c:v>
                </c:pt>
                <c:pt idx="10">
                  <c:v>7366.666666666667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36.55172413793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いちかわ2!$J$1:$J$2</c:f>
              <c:strCache>
                <c:ptCount val="2"/>
                <c:pt idx="0">
                  <c:v>いちかわ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いちかわ2!$J$3:$J$13</c:f>
              <c:numCache>
                <c:formatCode>0</c:formatCode>
                <c:ptCount val="11"/>
                <c:pt idx="1">
                  <c:v>-7700</c:v>
                </c:pt>
                <c:pt idx="2">
                  <c:v>-7700</c:v>
                </c:pt>
                <c:pt idx="3">
                  <c:v>-9850</c:v>
                </c:pt>
                <c:pt idx="4">
                  <c:v>-8887.5</c:v>
                </c:pt>
                <c:pt idx="5">
                  <c:v>-8810</c:v>
                </c:pt>
                <c:pt idx="6">
                  <c:v>-8481.818181818182</c:v>
                </c:pt>
                <c:pt idx="7">
                  <c:v>-8481.818181818182</c:v>
                </c:pt>
                <c:pt idx="8">
                  <c:v>-8481.818181818182</c:v>
                </c:pt>
                <c:pt idx="9">
                  <c:v>-8481.818181818182</c:v>
                </c:pt>
                <c:pt idx="10">
                  <c:v>-8416.6666666666661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84.210526315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いちかわ2!$K$1:$K$2</c:f>
              <c:strCache>
                <c:ptCount val="2"/>
                <c:pt idx="0">
                  <c:v>いちかわ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いちかわ2!$K$3:$K$13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666666666666666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いちかわ2!$L$1:$L$2</c:f>
              <c:strCache>
                <c:ptCount val="2"/>
                <c:pt idx="0">
                  <c:v>いちかわ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いちかわ2!$L$3:$L$13</c:f>
              <c:numCache>
                <c:formatCode>0.0%</c:formatCode>
                <c:ptCount val="11"/>
                <c:pt idx="1">
                  <c:v>0.5</c:v>
                </c:pt>
                <c:pt idx="2">
                  <c:v>0.375</c:v>
                </c:pt>
                <c:pt idx="3">
                  <c:v>0.33333333333333331</c:v>
                </c:pt>
                <c:pt idx="4">
                  <c:v>0.31428571428571428</c:v>
                </c:pt>
                <c:pt idx="5">
                  <c:v>0.31578947368421051</c:v>
                </c:pt>
                <c:pt idx="6">
                  <c:v>0.34042553191489361</c:v>
                </c:pt>
                <c:pt idx="7">
                  <c:v>0.33962264150943394</c:v>
                </c:pt>
                <c:pt idx="8">
                  <c:v>0.31147540983606559</c:v>
                </c:pt>
                <c:pt idx="9">
                  <c:v>0.30985915492957744</c:v>
                </c:pt>
                <c:pt idx="10">
                  <c:v>0.29487179487179488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2465483234714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いちかわ2!$M$1:$M$2</c:f>
              <c:strCache>
                <c:ptCount val="2"/>
                <c:pt idx="0">
                  <c:v>いちかわ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いちかわ2!$M$3:$M$13</c:f>
              <c:numCache>
                <c:formatCode>0.0%</c:formatCode>
                <c:ptCount val="11"/>
                <c:pt idx="1">
                  <c:v>0.3</c:v>
                </c:pt>
                <c:pt idx="2">
                  <c:v>0.1875</c:v>
                </c:pt>
                <c:pt idx="3">
                  <c:v>0.19047619047619047</c:v>
                </c:pt>
                <c:pt idx="4">
                  <c:v>0.17142857142857143</c:v>
                </c:pt>
                <c:pt idx="5">
                  <c:v>0.15789473684210525</c:v>
                </c:pt>
                <c:pt idx="6">
                  <c:v>0.19148936170212766</c:v>
                </c:pt>
                <c:pt idx="7">
                  <c:v>0.18867924528301888</c:v>
                </c:pt>
                <c:pt idx="8">
                  <c:v>0.19672131147540983</c:v>
                </c:pt>
                <c:pt idx="9">
                  <c:v>0.18309859154929578</c:v>
                </c:pt>
                <c:pt idx="10">
                  <c:v>0.20512820512820512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54832347140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いちかわ2!$N$1:$N$2</c:f>
              <c:strCache>
                <c:ptCount val="2"/>
                <c:pt idx="0">
                  <c:v>いちかわ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いちかわ2!$N$3:$N$13</c:f>
              <c:numCache>
                <c:formatCode>0.0%</c:formatCode>
                <c:ptCount val="11"/>
                <c:pt idx="1">
                  <c:v>0.6</c:v>
                </c:pt>
                <c:pt idx="2">
                  <c:v>0.5</c:v>
                </c:pt>
                <c:pt idx="3">
                  <c:v>0.42857142857142855</c:v>
                </c:pt>
                <c:pt idx="4">
                  <c:v>0.54545454545454541</c:v>
                </c:pt>
                <c:pt idx="5">
                  <c:v>0.5</c:v>
                </c:pt>
                <c:pt idx="6">
                  <c:v>0.4375</c:v>
                </c:pt>
                <c:pt idx="7">
                  <c:v>0.5</c:v>
                </c:pt>
                <c:pt idx="8">
                  <c:v>0.52631578947368418</c:v>
                </c:pt>
                <c:pt idx="9">
                  <c:v>0.54545454545454541</c:v>
                </c:pt>
                <c:pt idx="10">
                  <c:v>0.56521739130434778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656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いちかわ2!$O$1:$O$2</c:f>
              <c:strCache>
                <c:ptCount val="2"/>
                <c:pt idx="0">
                  <c:v>いちかわ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いちかわ2!$O$3:$O$13</c:f>
              <c:numCache>
                <c:formatCode>0.0%</c:formatCode>
                <c:ptCount val="11"/>
                <c:pt idx="1">
                  <c:v>0.66666666666666663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0.55555555555555558</c:v>
                </c:pt>
                <c:pt idx="7">
                  <c:v>0.6</c:v>
                </c:pt>
                <c:pt idx="8">
                  <c:v>0.58333333333333337</c:v>
                </c:pt>
                <c:pt idx="9">
                  <c:v>0.61538461538461542</c:v>
                </c:pt>
                <c:pt idx="10">
                  <c:v>0.5625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6000000000000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いちかわ2!$P$1:$P$2</c:f>
              <c:strCache>
                <c:ptCount val="2"/>
                <c:pt idx="0">
                  <c:v>いちかわ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いちかわ2!$P$3:$P$13</c:f>
              <c:numCache>
                <c:formatCode>0.0%</c:formatCode>
                <c:ptCount val="11"/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0.55555555555555558</c:v>
                </c:pt>
                <c:pt idx="5">
                  <c:v>0.55555555555555558</c:v>
                </c:pt>
                <c:pt idx="6">
                  <c:v>0.41666666666666669</c:v>
                </c:pt>
                <c:pt idx="7">
                  <c:v>0.53333333333333333</c:v>
                </c:pt>
                <c:pt idx="8">
                  <c:v>0.44444444444444442</c:v>
                </c:pt>
                <c:pt idx="9">
                  <c:v>0.40909090909090912</c:v>
                </c:pt>
                <c:pt idx="10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5862068965517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10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192</v>
      </c>
      <c r="B2" s="3">
        <v>44099.878622685188</v>
      </c>
      <c r="C2" s="2" t="s">
        <v>127</v>
      </c>
      <c r="D2" s="2" t="s">
        <v>189</v>
      </c>
    </row>
    <row r="3" spans="1:6" x14ac:dyDescent="0.45">
      <c r="A3" s="2" t="s">
        <v>193</v>
      </c>
      <c r="B3" s="3">
        <v>44101.628645833334</v>
      </c>
      <c r="C3" s="2" t="s">
        <v>127</v>
      </c>
      <c r="D3" s="2" t="s">
        <v>189</v>
      </c>
      <c r="E3" s="2" t="s">
        <v>196</v>
      </c>
    </row>
    <row r="4" spans="1:6" x14ac:dyDescent="0.45">
      <c r="A4" s="2" t="s">
        <v>197</v>
      </c>
      <c r="B4" s="3">
        <v>44105.687534722223</v>
      </c>
      <c r="C4" s="2" t="s">
        <v>127</v>
      </c>
      <c r="D4" s="2" t="s">
        <v>189</v>
      </c>
    </row>
    <row r="5" spans="1:6" x14ac:dyDescent="0.45">
      <c r="A5" s="2" t="s">
        <v>199</v>
      </c>
      <c r="B5" s="3">
        <v>44108.654826388891</v>
      </c>
      <c r="C5" s="2" t="s">
        <v>127</v>
      </c>
      <c r="D5" s="2" t="s">
        <v>189</v>
      </c>
      <c r="E5" s="2" t="s">
        <v>196</v>
      </c>
      <c r="F5" s="2" t="s">
        <v>202</v>
      </c>
    </row>
    <row r="6" spans="1:6" x14ac:dyDescent="0.45">
      <c r="A6" s="2" t="s">
        <v>203</v>
      </c>
      <c r="B6" s="3">
        <v>44108.750254629631</v>
      </c>
      <c r="C6" s="2" t="s">
        <v>127</v>
      </c>
      <c r="D6" s="2" t="s">
        <v>189</v>
      </c>
      <c r="E6" s="2" t="s">
        <v>196</v>
      </c>
      <c r="F6" s="2" t="s">
        <v>202</v>
      </c>
    </row>
    <row r="7" spans="1:6" x14ac:dyDescent="0.45">
      <c r="A7" s="2" t="s">
        <v>204</v>
      </c>
      <c r="B7" s="3">
        <v>44109.78162037037</v>
      </c>
      <c r="C7" s="2" t="s">
        <v>127</v>
      </c>
    </row>
    <row r="8" spans="1:6" x14ac:dyDescent="0.45">
      <c r="A8" s="2" t="s">
        <v>205</v>
      </c>
      <c r="B8" s="3">
        <v>44110.846435185187</v>
      </c>
      <c r="C8" s="2" t="s">
        <v>127</v>
      </c>
    </row>
    <row r="9" spans="1:6" x14ac:dyDescent="0.45">
      <c r="A9" s="2" t="s">
        <v>206</v>
      </c>
      <c r="B9" s="3">
        <v>44111.787476851852</v>
      </c>
      <c r="C9" s="2" t="s">
        <v>127</v>
      </c>
      <c r="D9" s="2" t="s">
        <v>189</v>
      </c>
    </row>
    <row r="10" spans="1:6" x14ac:dyDescent="0.45">
      <c r="A10" s="2" t="s">
        <v>209</v>
      </c>
      <c r="B10" s="3">
        <v>44112.702719907407</v>
      </c>
      <c r="C10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60</v>
      </c>
    </row>
    <row r="2" spans="1:2" x14ac:dyDescent="0.45">
      <c r="A2" t="s">
        <v>126</v>
      </c>
      <c r="B2">
        <v>13</v>
      </c>
    </row>
    <row r="3" spans="1:2" x14ac:dyDescent="0.45">
      <c r="A3" t="s">
        <v>164</v>
      </c>
      <c r="B3">
        <v>6</v>
      </c>
    </row>
    <row r="4" spans="1:2" x14ac:dyDescent="0.45">
      <c r="A4" t="s">
        <v>190</v>
      </c>
      <c r="B4">
        <v>6</v>
      </c>
    </row>
    <row r="5" spans="1:2" x14ac:dyDescent="0.45">
      <c r="A5" t="s">
        <v>195</v>
      </c>
      <c r="B5">
        <v>3</v>
      </c>
    </row>
    <row r="6" spans="1:2" x14ac:dyDescent="0.45">
      <c r="A6" t="s">
        <v>194</v>
      </c>
      <c r="B6">
        <v>10</v>
      </c>
    </row>
    <row r="7" spans="1:2" x14ac:dyDescent="0.45">
      <c r="A7" t="s">
        <v>198</v>
      </c>
      <c r="B7">
        <v>7</v>
      </c>
    </row>
    <row r="8" spans="1:2" x14ac:dyDescent="0.45">
      <c r="A8" t="s">
        <v>201</v>
      </c>
      <c r="B8">
        <v>7</v>
      </c>
    </row>
    <row r="9" spans="1:2" x14ac:dyDescent="0.45">
      <c r="A9" t="s">
        <v>200</v>
      </c>
      <c r="B9">
        <v>4</v>
      </c>
    </row>
    <row r="10" spans="1:2" x14ac:dyDescent="0.45">
      <c r="A10" t="s">
        <v>208</v>
      </c>
      <c r="B10">
        <v>2</v>
      </c>
    </row>
    <row r="11" spans="1:2" x14ac:dyDescent="0.45">
      <c r="A11" t="s">
        <v>207</v>
      </c>
      <c r="B11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/>
      <c r="C1" s="146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0</v>
      </c>
      <c r="C2" s="148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49">
        <v>0</v>
      </c>
      <c r="C3" s="150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51">
        <v>0</v>
      </c>
      <c r="C4" s="152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39">
        <f>IF(B$2=0,0,B$4/B$2)</f>
        <v>0</v>
      </c>
      <c r="C5" s="140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53">
        <f>IF(B$2=0,0,(B$7*1+B$8*2+B$9*3)/B$2)</f>
        <v>0</v>
      </c>
      <c r="C6" s="154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9">
        <f>AVERAGE(B10:B12)</f>
        <v>0</v>
      </c>
      <c r="C13" s="140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41">
        <v>0</v>
      </c>
      <c r="C32" s="142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43">
        <v>-1000000</v>
      </c>
      <c r="C33" s="144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>
      <selection activeCell="J1" sqref="J1:K1"/>
    </sheetView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191</v>
      </c>
      <c r="B1" s="159" t="s">
        <v>9</v>
      </c>
      <c r="C1" s="160"/>
      <c r="D1" s="155" t="s">
        <v>6</v>
      </c>
      <c r="E1" s="156"/>
      <c r="F1" s="155" t="s">
        <v>7</v>
      </c>
      <c r="G1" s="156"/>
      <c r="H1" s="159" t="s">
        <v>188</v>
      </c>
      <c r="I1" s="160"/>
      <c r="J1" s="155" t="s">
        <v>15</v>
      </c>
      <c r="K1" s="156"/>
      <c r="L1" s="155" t="s">
        <v>14</v>
      </c>
      <c r="M1" s="156"/>
      <c r="N1" s="155" t="s">
        <v>150</v>
      </c>
      <c r="O1" s="156"/>
      <c r="P1" s="155" t="s">
        <v>143</v>
      </c>
      <c r="Q1" s="156"/>
      <c r="R1" s="155" t="s">
        <v>144</v>
      </c>
      <c r="S1" s="156"/>
      <c r="T1" s="155" t="s">
        <v>5</v>
      </c>
      <c r="U1" s="156"/>
      <c r="V1" s="155" t="s">
        <v>16</v>
      </c>
      <c r="W1" s="156"/>
      <c r="X1" s="155" t="s">
        <v>17</v>
      </c>
      <c r="Y1" s="156"/>
      <c r="Z1" s="155" t="s">
        <v>122</v>
      </c>
      <c r="AA1" s="156"/>
      <c r="AB1" s="155" t="s">
        <v>119</v>
      </c>
      <c r="AC1" s="156"/>
      <c r="AD1" s="155" t="s">
        <v>125</v>
      </c>
      <c r="AE1" s="156"/>
      <c r="AF1" s="155" t="s">
        <v>145</v>
      </c>
      <c r="AG1" s="156"/>
      <c r="AH1" s="155" t="s">
        <v>138</v>
      </c>
      <c r="AI1" s="156"/>
      <c r="AJ1" s="155" t="s">
        <v>181</v>
      </c>
      <c r="AK1" s="156"/>
    </row>
    <row r="2" spans="1:37" x14ac:dyDescent="0.45">
      <c r="A2" s="38" t="s">
        <v>149</v>
      </c>
      <c r="B2" s="157">
        <v>1</v>
      </c>
      <c r="C2" s="158"/>
      <c r="D2" s="161"/>
      <c r="E2" s="162"/>
      <c r="F2" s="161"/>
      <c r="G2" s="162"/>
      <c r="H2" s="157">
        <v>1</v>
      </c>
      <c r="I2" s="158"/>
      <c r="J2" s="157">
        <v>1</v>
      </c>
      <c r="K2" s="158"/>
      <c r="L2" s="157">
        <v>1</v>
      </c>
      <c r="M2" s="158"/>
      <c r="N2" s="157">
        <v>1</v>
      </c>
      <c r="O2" s="158"/>
      <c r="P2" s="157">
        <v>1</v>
      </c>
      <c r="Q2" s="158"/>
      <c r="R2" s="157">
        <v>1</v>
      </c>
      <c r="S2" s="158"/>
      <c r="T2" s="157">
        <v>1</v>
      </c>
      <c r="U2" s="158"/>
      <c r="V2" s="157">
        <v>1.0000000000000002</v>
      </c>
      <c r="W2" s="158"/>
      <c r="X2" s="157">
        <v>1</v>
      </c>
      <c r="Y2" s="158"/>
      <c r="Z2" s="157">
        <v>-1</v>
      </c>
      <c r="AA2" s="158"/>
      <c r="AB2" s="157">
        <v>1</v>
      </c>
      <c r="AC2" s="158"/>
      <c r="AD2" s="157">
        <v>-1</v>
      </c>
      <c r="AE2" s="158"/>
      <c r="AF2" s="157">
        <v>-1</v>
      </c>
      <c r="AG2" s="158"/>
      <c r="AH2" s="157">
        <v>1</v>
      </c>
      <c r="AI2" s="158"/>
      <c r="AJ2" s="157">
        <v>1</v>
      </c>
      <c r="AK2" s="158"/>
    </row>
    <row r="3" spans="1:37" x14ac:dyDescent="0.45">
      <c r="A3" s="40">
        <v>1</v>
      </c>
      <c r="B3" s="43" t="s">
        <v>139</v>
      </c>
      <c r="C3" s="117">
        <v>20</v>
      </c>
      <c r="D3" s="41" t="s">
        <v>126</v>
      </c>
      <c r="E3" s="42">
        <v>236</v>
      </c>
      <c r="F3" s="43" t="s">
        <v>126</v>
      </c>
      <c r="G3" s="62">
        <v>18.153846153846153</v>
      </c>
      <c r="H3" s="43" t="s">
        <v>126</v>
      </c>
      <c r="I3" s="62">
        <v>7.173333333333332</v>
      </c>
      <c r="J3" s="43" t="s">
        <v>126</v>
      </c>
      <c r="K3" s="44">
        <v>1.5384615384615385</v>
      </c>
      <c r="L3" s="43" t="s">
        <v>126</v>
      </c>
      <c r="M3" s="45">
        <v>0.53846153846153844</v>
      </c>
      <c r="N3" s="43" t="s">
        <v>126</v>
      </c>
      <c r="O3" s="45">
        <v>7.6923076923076927E-2</v>
      </c>
      <c r="P3" s="43" t="s">
        <v>126</v>
      </c>
      <c r="Q3" s="46">
        <v>0.34234234234234234</v>
      </c>
      <c r="R3" s="43" t="s">
        <v>195</v>
      </c>
      <c r="S3" s="46">
        <v>4.7619047619047616E-2</v>
      </c>
      <c r="T3" s="43" t="s">
        <v>207</v>
      </c>
      <c r="U3" s="47">
        <v>10925</v>
      </c>
      <c r="V3" s="43" t="s">
        <v>195</v>
      </c>
      <c r="W3" s="47">
        <v>-3900</v>
      </c>
      <c r="X3" s="43" t="s">
        <v>126</v>
      </c>
      <c r="Y3" s="45">
        <v>0</v>
      </c>
      <c r="Z3" s="43" t="s">
        <v>194</v>
      </c>
      <c r="AA3" s="46">
        <v>0.29487179487179488</v>
      </c>
      <c r="AB3" s="43" t="s">
        <v>190</v>
      </c>
      <c r="AC3" s="46">
        <v>0.43396226415094341</v>
      </c>
      <c r="AD3" s="43" t="s">
        <v>208</v>
      </c>
      <c r="AE3" s="46">
        <v>1</v>
      </c>
      <c r="AF3" s="43" t="s">
        <v>194</v>
      </c>
      <c r="AG3" s="46">
        <v>0.5625</v>
      </c>
      <c r="AH3" s="43" t="s">
        <v>207</v>
      </c>
      <c r="AI3" s="46">
        <v>1</v>
      </c>
      <c r="AJ3" s="43" t="s">
        <v>126</v>
      </c>
      <c r="AK3" s="57">
        <v>103000</v>
      </c>
    </row>
    <row r="4" spans="1:37" x14ac:dyDescent="0.45">
      <c r="A4" s="48">
        <v>2</v>
      </c>
      <c r="B4" s="51" t="s">
        <v>126</v>
      </c>
      <c r="C4" s="118">
        <v>13</v>
      </c>
      <c r="D4" s="49" t="s">
        <v>198</v>
      </c>
      <c r="E4" s="50">
        <v>25.9</v>
      </c>
      <c r="F4" s="51" t="s">
        <v>190</v>
      </c>
      <c r="G4" s="63">
        <v>4.1166666666666663</v>
      </c>
      <c r="H4" s="51" t="s">
        <v>194</v>
      </c>
      <c r="I4" s="63">
        <v>4.0388888888888879</v>
      </c>
      <c r="J4" s="51" t="s">
        <v>198</v>
      </c>
      <c r="K4" s="52">
        <v>1.7142857142857142</v>
      </c>
      <c r="L4" s="51" t="s">
        <v>208</v>
      </c>
      <c r="M4" s="53">
        <v>0.5</v>
      </c>
      <c r="N4" s="51" t="s">
        <v>198</v>
      </c>
      <c r="O4" s="53">
        <v>0.14285714285714285</v>
      </c>
      <c r="P4" s="51" t="s">
        <v>190</v>
      </c>
      <c r="Q4" s="54">
        <v>0.33962264150943394</v>
      </c>
      <c r="R4" s="51" t="s">
        <v>198</v>
      </c>
      <c r="S4" s="54">
        <v>0.109375</v>
      </c>
      <c r="T4" s="51" t="s">
        <v>126</v>
      </c>
      <c r="U4" s="55">
        <v>9778.9473684210534</v>
      </c>
      <c r="V4" s="51" t="s">
        <v>208</v>
      </c>
      <c r="W4" s="55">
        <v>-5766.666666666667</v>
      </c>
      <c r="X4" s="51" t="s">
        <v>190</v>
      </c>
      <c r="Y4" s="53">
        <v>0</v>
      </c>
      <c r="Z4" s="51" t="s">
        <v>201</v>
      </c>
      <c r="AA4" s="54">
        <v>0.29310344827586204</v>
      </c>
      <c r="AB4" s="51" t="s">
        <v>200</v>
      </c>
      <c r="AC4" s="54">
        <v>0.2857142857142857</v>
      </c>
      <c r="AD4" s="51" t="s">
        <v>198</v>
      </c>
      <c r="AE4" s="54">
        <v>0.625</v>
      </c>
      <c r="AF4" s="51" t="s">
        <v>126</v>
      </c>
      <c r="AG4" s="54">
        <v>0.55172413793103448</v>
      </c>
      <c r="AH4" s="51" t="s">
        <v>208</v>
      </c>
      <c r="AI4" s="54">
        <v>0.8</v>
      </c>
      <c r="AJ4" s="51" t="s">
        <v>139</v>
      </c>
      <c r="AK4" s="58">
        <v>103000</v>
      </c>
    </row>
    <row r="5" spans="1:37" x14ac:dyDescent="0.45">
      <c r="A5" s="48">
        <v>3</v>
      </c>
      <c r="B5" s="51" t="s">
        <v>194</v>
      </c>
      <c r="C5" s="118">
        <v>10</v>
      </c>
      <c r="D5" s="49" t="s">
        <v>190</v>
      </c>
      <c r="E5" s="50">
        <v>24.7</v>
      </c>
      <c r="F5" s="51" t="s">
        <v>198</v>
      </c>
      <c r="G5" s="63">
        <v>3.6999999999999997</v>
      </c>
      <c r="H5" s="51" t="s">
        <v>201</v>
      </c>
      <c r="I5" s="63">
        <v>1.9111111111111114</v>
      </c>
      <c r="J5" s="51" t="s">
        <v>139</v>
      </c>
      <c r="K5" s="52">
        <v>2</v>
      </c>
      <c r="L5" s="51" t="s">
        <v>198</v>
      </c>
      <c r="M5" s="53">
        <v>0.42857142857142855</v>
      </c>
      <c r="N5" s="51" t="s">
        <v>190</v>
      </c>
      <c r="O5" s="53">
        <v>0.16666666666666666</v>
      </c>
      <c r="P5" s="51" t="s">
        <v>198</v>
      </c>
      <c r="Q5" s="54">
        <v>0.3125</v>
      </c>
      <c r="R5" s="51" t="s">
        <v>126</v>
      </c>
      <c r="S5" s="54">
        <v>0.12612612612612611</v>
      </c>
      <c r="T5" s="51" t="s">
        <v>190</v>
      </c>
      <c r="U5" s="55">
        <v>8355.5555555555547</v>
      </c>
      <c r="V5" s="51" t="s">
        <v>126</v>
      </c>
      <c r="W5" s="55">
        <v>-6364.2857142857147</v>
      </c>
      <c r="X5" s="51" t="s">
        <v>195</v>
      </c>
      <c r="Y5" s="53">
        <v>0</v>
      </c>
      <c r="Z5" s="51" t="s">
        <v>190</v>
      </c>
      <c r="AA5" s="54">
        <v>0.28301886792452829</v>
      </c>
      <c r="AB5" s="51" t="s">
        <v>207</v>
      </c>
      <c r="AC5" s="54">
        <v>0.27777777777777779</v>
      </c>
      <c r="AD5" s="51" t="s">
        <v>194</v>
      </c>
      <c r="AE5" s="54">
        <v>0.56521739130434778</v>
      </c>
      <c r="AF5" s="51" t="s">
        <v>201</v>
      </c>
      <c r="AG5" s="54">
        <v>0.54545454545454541</v>
      </c>
      <c r="AH5" s="51" t="s">
        <v>126</v>
      </c>
      <c r="AI5" s="54">
        <v>0.60526315789473684</v>
      </c>
      <c r="AJ5" s="51" t="s">
        <v>194</v>
      </c>
      <c r="AK5" s="58">
        <v>80600</v>
      </c>
    </row>
    <row r="6" spans="1:37" x14ac:dyDescent="0.45">
      <c r="A6" s="48">
        <v>4</v>
      </c>
      <c r="B6" s="51" t="s">
        <v>198</v>
      </c>
      <c r="C6" s="118">
        <v>7</v>
      </c>
      <c r="D6" s="49" t="s">
        <v>194</v>
      </c>
      <c r="E6" s="50">
        <v>6.9000000000000039</v>
      </c>
      <c r="F6" s="51" t="s">
        <v>194</v>
      </c>
      <c r="G6" s="63">
        <v>0.69000000000000039</v>
      </c>
      <c r="H6" s="51" t="s">
        <v>190</v>
      </c>
      <c r="I6" s="63">
        <v>0.43333333333333357</v>
      </c>
      <c r="J6" s="51" t="s">
        <v>190</v>
      </c>
      <c r="K6" s="52">
        <v>2</v>
      </c>
      <c r="L6" s="51" t="s">
        <v>201</v>
      </c>
      <c r="M6" s="53">
        <v>0.42857142857142855</v>
      </c>
      <c r="N6" s="51" t="s">
        <v>139</v>
      </c>
      <c r="O6" s="53">
        <v>0.33333333333333331</v>
      </c>
      <c r="P6" s="51" t="s">
        <v>194</v>
      </c>
      <c r="Q6" s="54">
        <v>0.30769230769230771</v>
      </c>
      <c r="R6" s="51" t="s">
        <v>190</v>
      </c>
      <c r="S6" s="54">
        <v>0.13207547169811321</v>
      </c>
      <c r="T6" s="51" t="s">
        <v>200</v>
      </c>
      <c r="U6" s="55">
        <v>8212.5</v>
      </c>
      <c r="V6" s="51" t="s">
        <v>198</v>
      </c>
      <c r="W6" s="55">
        <v>-7371.4285714285716</v>
      </c>
      <c r="X6" s="51" t="s">
        <v>198</v>
      </c>
      <c r="Y6" s="53">
        <v>0</v>
      </c>
      <c r="Z6" s="51" t="s">
        <v>200</v>
      </c>
      <c r="AA6" s="54">
        <v>0.25714285714285712</v>
      </c>
      <c r="AB6" s="51" t="s">
        <v>126</v>
      </c>
      <c r="AC6" s="54">
        <v>0.26126126126126126</v>
      </c>
      <c r="AD6" s="51" t="s">
        <v>195</v>
      </c>
      <c r="AE6" s="54">
        <v>0.5</v>
      </c>
      <c r="AF6" s="51" t="s">
        <v>198</v>
      </c>
      <c r="AG6" s="54">
        <v>0.46153846153846156</v>
      </c>
      <c r="AH6" s="51" t="s">
        <v>190</v>
      </c>
      <c r="AI6" s="54">
        <v>0.55555555555555558</v>
      </c>
      <c r="AJ6" s="51" t="s">
        <v>201</v>
      </c>
      <c r="AK6" s="58">
        <v>74600</v>
      </c>
    </row>
    <row r="7" spans="1:37" x14ac:dyDescent="0.45">
      <c r="A7" s="48">
        <v>5</v>
      </c>
      <c r="B7" s="51" t="s">
        <v>201</v>
      </c>
      <c r="C7" s="118">
        <v>7</v>
      </c>
      <c r="D7" s="49" t="s">
        <v>201</v>
      </c>
      <c r="E7" s="50">
        <v>1.2000000000000028</v>
      </c>
      <c r="F7" s="51" t="s">
        <v>201</v>
      </c>
      <c r="G7" s="63">
        <v>0.17142857142857185</v>
      </c>
      <c r="H7" s="51" t="s">
        <v>139</v>
      </c>
      <c r="I7" s="63">
        <v>0</v>
      </c>
      <c r="J7" s="51" t="s">
        <v>201</v>
      </c>
      <c r="K7" s="52">
        <v>2</v>
      </c>
      <c r="L7" s="51" t="s">
        <v>139</v>
      </c>
      <c r="M7" s="53">
        <v>0.33333333333333331</v>
      </c>
      <c r="N7" s="51" t="s">
        <v>195</v>
      </c>
      <c r="O7" s="53">
        <v>0.33333333333333331</v>
      </c>
      <c r="P7" s="51" t="s">
        <v>139</v>
      </c>
      <c r="Q7" s="54">
        <v>0.28599605522682447</v>
      </c>
      <c r="R7" s="51" t="s">
        <v>139</v>
      </c>
      <c r="S7" s="54">
        <v>0.14990138067061143</v>
      </c>
      <c r="T7" s="51" t="s">
        <v>139</v>
      </c>
      <c r="U7" s="55">
        <v>8136.5517241379312</v>
      </c>
      <c r="V7" s="51" t="s">
        <v>190</v>
      </c>
      <c r="W7" s="55">
        <v>-7571.4285714285716</v>
      </c>
      <c r="X7" s="51" t="s">
        <v>200</v>
      </c>
      <c r="Y7" s="53">
        <v>0</v>
      </c>
      <c r="Z7" s="51" t="s">
        <v>139</v>
      </c>
      <c r="AA7" s="54">
        <v>0.25246548323471402</v>
      </c>
      <c r="AB7" s="51" t="s">
        <v>164</v>
      </c>
      <c r="AC7" s="54">
        <v>0.25490196078431371</v>
      </c>
      <c r="AD7" s="51" t="s">
        <v>126</v>
      </c>
      <c r="AE7" s="54">
        <v>0.48148148148148145</v>
      </c>
      <c r="AF7" s="51" t="s">
        <v>139</v>
      </c>
      <c r="AG7" s="54">
        <v>0.45600000000000002</v>
      </c>
      <c r="AH7" s="51" t="s">
        <v>139</v>
      </c>
      <c r="AI7" s="54">
        <v>0.47586206896551725</v>
      </c>
      <c r="AJ7" s="51" t="s">
        <v>190</v>
      </c>
      <c r="AK7" s="58">
        <v>61300</v>
      </c>
    </row>
    <row r="8" spans="1:37" x14ac:dyDescent="0.45">
      <c r="A8" s="48">
        <v>6</v>
      </c>
      <c r="B8" s="51" t="s">
        <v>164</v>
      </c>
      <c r="C8" s="118">
        <v>6</v>
      </c>
      <c r="D8" s="49" t="s">
        <v>139</v>
      </c>
      <c r="E8" s="50">
        <v>1.2434497875801753E-14</v>
      </c>
      <c r="F8" s="51" t="s">
        <v>139</v>
      </c>
      <c r="G8" s="63">
        <v>2.0724163126336256E-16</v>
      </c>
      <c r="H8" s="51" t="s">
        <v>198</v>
      </c>
      <c r="I8" s="63">
        <v>-1.8777777777777764</v>
      </c>
      <c r="J8" s="51" t="s">
        <v>208</v>
      </c>
      <c r="K8" s="52">
        <v>2</v>
      </c>
      <c r="L8" s="51" t="s">
        <v>194</v>
      </c>
      <c r="M8" s="53">
        <v>0.3</v>
      </c>
      <c r="N8" s="51" t="s">
        <v>194</v>
      </c>
      <c r="O8" s="53">
        <v>0.4</v>
      </c>
      <c r="P8" s="51" t="s">
        <v>208</v>
      </c>
      <c r="Q8" s="54">
        <v>0.27777777777777779</v>
      </c>
      <c r="R8" s="51" t="s">
        <v>194</v>
      </c>
      <c r="S8" s="54">
        <v>0.15384615384615385</v>
      </c>
      <c r="T8" s="51" t="s">
        <v>201</v>
      </c>
      <c r="U8" s="55">
        <v>7693.333333333333</v>
      </c>
      <c r="V8" s="51" t="s">
        <v>201</v>
      </c>
      <c r="W8" s="55">
        <v>-7820</v>
      </c>
      <c r="X8" s="51" t="s">
        <v>208</v>
      </c>
      <c r="Y8" s="53">
        <v>0</v>
      </c>
      <c r="Z8" s="51" t="s">
        <v>198</v>
      </c>
      <c r="AA8" s="54">
        <v>0.25</v>
      </c>
      <c r="AB8" s="51" t="s">
        <v>139</v>
      </c>
      <c r="AC8" s="54">
        <v>0.2465483234714004</v>
      </c>
      <c r="AD8" s="51" t="s">
        <v>139</v>
      </c>
      <c r="AE8" s="54">
        <v>0.4765625</v>
      </c>
      <c r="AF8" s="51" t="s">
        <v>200</v>
      </c>
      <c r="AG8" s="54">
        <v>0.4</v>
      </c>
      <c r="AH8" s="51" t="s">
        <v>194</v>
      </c>
      <c r="AI8" s="54">
        <v>0.41666666666666669</v>
      </c>
      <c r="AJ8" s="51" t="s">
        <v>164</v>
      </c>
      <c r="AK8" s="58">
        <v>58600</v>
      </c>
    </row>
    <row r="9" spans="1:37" x14ac:dyDescent="0.45">
      <c r="A9" s="48">
        <v>7</v>
      </c>
      <c r="B9" s="51" t="s">
        <v>190</v>
      </c>
      <c r="C9" s="118">
        <v>6</v>
      </c>
      <c r="D9" s="49" t="s">
        <v>208</v>
      </c>
      <c r="E9" s="50">
        <v>-6.1999999999999993</v>
      </c>
      <c r="F9" s="51" t="s">
        <v>208</v>
      </c>
      <c r="G9" s="63">
        <v>-3.0999999999999996</v>
      </c>
      <c r="H9" s="51" t="s">
        <v>208</v>
      </c>
      <c r="I9" s="63">
        <v>-2.0666666666666664</v>
      </c>
      <c r="J9" s="51" t="s">
        <v>194</v>
      </c>
      <c r="K9" s="52">
        <v>2.1</v>
      </c>
      <c r="L9" s="51" t="s">
        <v>200</v>
      </c>
      <c r="M9" s="53">
        <v>0.25</v>
      </c>
      <c r="N9" s="51" t="s">
        <v>201</v>
      </c>
      <c r="O9" s="53">
        <v>0.42857142857142855</v>
      </c>
      <c r="P9" s="51" t="s">
        <v>201</v>
      </c>
      <c r="Q9" s="54">
        <v>0.25862068965517243</v>
      </c>
      <c r="R9" s="51" t="s">
        <v>208</v>
      </c>
      <c r="S9" s="54">
        <v>0.16666666666666666</v>
      </c>
      <c r="T9" s="51" t="s">
        <v>208</v>
      </c>
      <c r="U9" s="55">
        <v>7460</v>
      </c>
      <c r="V9" s="51" t="s">
        <v>139</v>
      </c>
      <c r="W9" s="55">
        <v>-8384.21052631579</v>
      </c>
      <c r="X9" s="51" t="s">
        <v>207</v>
      </c>
      <c r="Y9" s="53">
        <v>0</v>
      </c>
      <c r="Z9" s="51" t="s">
        <v>126</v>
      </c>
      <c r="AA9" s="54">
        <v>0.24324324324324326</v>
      </c>
      <c r="AB9" s="51" t="s">
        <v>195</v>
      </c>
      <c r="AC9" s="54">
        <v>0.23809523809523808</v>
      </c>
      <c r="AD9" s="51" t="s">
        <v>190</v>
      </c>
      <c r="AE9" s="54">
        <v>0.46666666666666667</v>
      </c>
      <c r="AF9" s="51" t="s">
        <v>207</v>
      </c>
      <c r="AG9" s="54">
        <v>0.4</v>
      </c>
      <c r="AH9" s="51" t="s">
        <v>201</v>
      </c>
      <c r="AI9" s="54">
        <v>0.4</v>
      </c>
      <c r="AJ9" s="51" t="s">
        <v>198</v>
      </c>
      <c r="AK9" s="58">
        <v>56300</v>
      </c>
    </row>
    <row r="10" spans="1:37" x14ac:dyDescent="0.45">
      <c r="A10" s="48">
        <v>8</v>
      </c>
      <c r="B10" s="51" t="s">
        <v>200</v>
      </c>
      <c r="C10" s="118">
        <v>4</v>
      </c>
      <c r="D10" s="49" t="s">
        <v>207</v>
      </c>
      <c r="E10" s="50">
        <v>-13.5</v>
      </c>
      <c r="F10" s="51" t="s">
        <v>207</v>
      </c>
      <c r="G10" s="63">
        <v>-6.75</v>
      </c>
      <c r="H10" s="51" t="s">
        <v>164</v>
      </c>
      <c r="I10" s="63">
        <v>-3.2333333333333321</v>
      </c>
      <c r="J10" s="51" t="s">
        <v>200</v>
      </c>
      <c r="K10" s="52">
        <v>2.25</v>
      </c>
      <c r="L10" s="51" t="s">
        <v>164</v>
      </c>
      <c r="M10" s="53">
        <v>0.16666666666666666</v>
      </c>
      <c r="N10" s="51" t="s">
        <v>200</v>
      </c>
      <c r="O10" s="53">
        <v>0.5</v>
      </c>
      <c r="P10" s="51" t="s">
        <v>200</v>
      </c>
      <c r="Q10" s="54">
        <v>0.22857142857142856</v>
      </c>
      <c r="R10" s="51" t="s">
        <v>207</v>
      </c>
      <c r="S10" s="54">
        <v>0.16666666666666666</v>
      </c>
      <c r="T10" s="51" t="s">
        <v>194</v>
      </c>
      <c r="U10" s="55">
        <v>7366.666666666667</v>
      </c>
      <c r="V10" s="51" t="s">
        <v>194</v>
      </c>
      <c r="W10" s="55">
        <v>-8416.6666666666661</v>
      </c>
      <c r="X10" s="51" t="s">
        <v>139</v>
      </c>
      <c r="Y10" s="53">
        <v>6.6666666666666666E-2</v>
      </c>
      <c r="Z10" s="51" t="s">
        <v>208</v>
      </c>
      <c r="AA10" s="54">
        <v>0.22222222222222221</v>
      </c>
      <c r="AB10" s="51" t="s">
        <v>194</v>
      </c>
      <c r="AC10" s="54">
        <v>0.20512820512820512</v>
      </c>
      <c r="AD10" s="51" t="s">
        <v>201</v>
      </c>
      <c r="AE10" s="54">
        <v>0.41176470588235292</v>
      </c>
      <c r="AF10" s="51" t="s">
        <v>190</v>
      </c>
      <c r="AG10" s="54">
        <v>0.39130434782608697</v>
      </c>
      <c r="AH10" s="51" t="s">
        <v>198</v>
      </c>
      <c r="AI10" s="54">
        <v>0.35</v>
      </c>
      <c r="AJ10" s="51" t="s">
        <v>200</v>
      </c>
      <c r="AK10" s="58">
        <v>45000</v>
      </c>
    </row>
    <row r="11" spans="1:37" x14ac:dyDescent="0.45">
      <c r="A11" s="48">
        <v>9</v>
      </c>
      <c r="B11" s="51" t="s">
        <v>195</v>
      </c>
      <c r="C11" s="118">
        <v>3</v>
      </c>
      <c r="D11" s="49" t="s">
        <v>195</v>
      </c>
      <c r="E11" s="50">
        <v>-40.4</v>
      </c>
      <c r="F11" s="51" t="s">
        <v>200</v>
      </c>
      <c r="G11" s="63">
        <v>-12.924999999999999</v>
      </c>
      <c r="H11" s="51" t="s">
        <v>207</v>
      </c>
      <c r="I11" s="63">
        <v>-4.5</v>
      </c>
      <c r="J11" s="51" t="s">
        <v>195</v>
      </c>
      <c r="K11" s="52">
        <v>2.3333333333333335</v>
      </c>
      <c r="L11" s="51" t="s">
        <v>190</v>
      </c>
      <c r="M11" s="53">
        <v>0.16666666666666666</v>
      </c>
      <c r="N11" s="51" t="s">
        <v>208</v>
      </c>
      <c r="O11" s="53">
        <v>0.5</v>
      </c>
      <c r="P11" s="51" t="s">
        <v>207</v>
      </c>
      <c r="Q11" s="54">
        <v>0.22222222222222221</v>
      </c>
      <c r="R11" s="51" t="s">
        <v>201</v>
      </c>
      <c r="S11" s="54">
        <v>0.17241379310344829</v>
      </c>
      <c r="T11" s="51" t="s">
        <v>164</v>
      </c>
      <c r="U11" s="55">
        <v>7340</v>
      </c>
      <c r="V11" s="51" t="s">
        <v>200</v>
      </c>
      <c r="W11" s="55">
        <v>-9387.5</v>
      </c>
      <c r="X11" s="51" t="s">
        <v>194</v>
      </c>
      <c r="Y11" s="53">
        <v>0.1</v>
      </c>
      <c r="Z11" s="51" t="s">
        <v>207</v>
      </c>
      <c r="AA11" s="54">
        <v>0.22222222222222221</v>
      </c>
      <c r="AB11" s="51" t="s">
        <v>198</v>
      </c>
      <c r="AC11" s="54">
        <v>0.203125</v>
      </c>
      <c r="AD11" s="51" t="s">
        <v>164</v>
      </c>
      <c r="AE11" s="54">
        <v>0.27272727272727271</v>
      </c>
      <c r="AF11" s="51" t="s">
        <v>164</v>
      </c>
      <c r="AG11" s="54">
        <v>0.30769230769230771</v>
      </c>
      <c r="AH11" s="51" t="s">
        <v>164</v>
      </c>
      <c r="AI11" s="54">
        <v>0.3</v>
      </c>
      <c r="AJ11" s="51" t="s">
        <v>208</v>
      </c>
      <c r="AK11" s="58">
        <v>43000</v>
      </c>
    </row>
    <row r="12" spans="1:37" x14ac:dyDescent="0.45">
      <c r="A12" s="48">
        <v>10</v>
      </c>
      <c r="B12" s="51" t="s">
        <v>208</v>
      </c>
      <c r="C12" s="118">
        <v>2</v>
      </c>
      <c r="D12" s="49" t="s">
        <v>200</v>
      </c>
      <c r="E12" s="50">
        <v>-51.699999999999996</v>
      </c>
      <c r="F12" s="51" t="s">
        <v>195</v>
      </c>
      <c r="G12" s="63">
        <v>-13.466666666666667</v>
      </c>
      <c r="H12" s="51" t="s">
        <v>200</v>
      </c>
      <c r="I12" s="63">
        <v>-4.7666666666666657</v>
      </c>
      <c r="J12" s="51" t="s">
        <v>207</v>
      </c>
      <c r="K12" s="52">
        <v>2.5</v>
      </c>
      <c r="L12" s="51" t="s">
        <v>195</v>
      </c>
      <c r="M12" s="53">
        <v>0</v>
      </c>
      <c r="N12" s="51" t="s">
        <v>207</v>
      </c>
      <c r="O12" s="53">
        <v>0.5</v>
      </c>
      <c r="P12" s="51" t="s">
        <v>164</v>
      </c>
      <c r="Q12" s="54">
        <v>0.19607843137254902</v>
      </c>
      <c r="R12" s="51" t="s">
        <v>164</v>
      </c>
      <c r="S12" s="54">
        <v>0.21568627450980393</v>
      </c>
      <c r="T12" s="51" t="s">
        <v>198</v>
      </c>
      <c r="U12" s="55">
        <v>6405</v>
      </c>
      <c r="V12" s="51" t="s">
        <v>207</v>
      </c>
      <c r="W12" s="55">
        <v>-10300</v>
      </c>
      <c r="X12" s="51" t="s">
        <v>201</v>
      </c>
      <c r="Y12" s="53">
        <v>0.14285714285714285</v>
      </c>
      <c r="Z12" s="51" t="s">
        <v>164</v>
      </c>
      <c r="AA12" s="54">
        <v>0.21568627450980393</v>
      </c>
      <c r="AB12" s="51" t="s">
        <v>201</v>
      </c>
      <c r="AC12" s="54">
        <v>0.18965517241379309</v>
      </c>
      <c r="AD12" s="51" t="s">
        <v>207</v>
      </c>
      <c r="AE12" s="54">
        <v>0.25</v>
      </c>
      <c r="AF12" s="51" t="s">
        <v>195</v>
      </c>
      <c r="AG12" s="54">
        <v>0.2</v>
      </c>
      <c r="AH12" s="51" t="s">
        <v>200</v>
      </c>
      <c r="AI12" s="54">
        <v>0.25</v>
      </c>
      <c r="AJ12" s="51" t="s">
        <v>207</v>
      </c>
      <c r="AK12" s="58">
        <v>39000</v>
      </c>
    </row>
    <row r="13" spans="1:37" x14ac:dyDescent="0.45">
      <c r="A13" s="48">
        <v>11</v>
      </c>
      <c r="B13" s="51" t="s">
        <v>207</v>
      </c>
      <c r="C13" s="118">
        <v>2</v>
      </c>
      <c r="D13" s="49" t="s">
        <v>164</v>
      </c>
      <c r="E13" s="50">
        <v>-182.90000000000003</v>
      </c>
      <c r="F13" s="51" t="s">
        <v>164</v>
      </c>
      <c r="G13" s="63">
        <v>-30.483333333333338</v>
      </c>
      <c r="H13" s="51" t="s">
        <v>195</v>
      </c>
      <c r="I13" s="63">
        <v>-12.333333333333334</v>
      </c>
      <c r="J13" s="51" t="s">
        <v>164</v>
      </c>
      <c r="K13" s="52">
        <v>2.6666666666666665</v>
      </c>
      <c r="L13" s="51" t="s">
        <v>207</v>
      </c>
      <c r="M13" s="53">
        <v>0</v>
      </c>
      <c r="N13" s="51" t="s">
        <v>164</v>
      </c>
      <c r="O13" s="53">
        <v>0.83333333333333337</v>
      </c>
      <c r="P13" s="51" t="s">
        <v>195</v>
      </c>
      <c r="Q13" s="54">
        <v>0.14285714285714285</v>
      </c>
      <c r="R13" s="51" t="s">
        <v>200</v>
      </c>
      <c r="S13" s="54">
        <v>0.22857142857142856</v>
      </c>
      <c r="T13" s="51" t="s">
        <v>195</v>
      </c>
      <c r="U13" s="55">
        <v>5800</v>
      </c>
      <c r="V13" s="51" t="s">
        <v>164</v>
      </c>
      <c r="W13" s="55">
        <v>-12463.636363636364</v>
      </c>
      <c r="X13" s="51" t="s">
        <v>164</v>
      </c>
      <c r="Y13" s="53">
        <v>0.33333333333333331</v>
      </c>
      <c r="Z13" s="51" t="s">
        <v>195</v>
      </c>
      <c r="AA13" s="54">
        <v>9.5238095238095233E-2</v>
      </c>
      <c r="AB13" s="51" t="s">
        <v>208</v>
      </c>
      <c r="AC13" s="54">
        <v>0</v>
      </c>
      <c r="AD13" s="51" t="s">
        <v>200</v>
      </c>
      <c r="AE13" s="54">
        <v>0.22222222222222221</v>
      </c>
      <c r="AF13" s="51" t="s">
        <v>208</v>
      </c>
      <c r="AG13" s="54">
        <v>0</v>
      </c>
      <c r="AH13" s="51" t="s">
        <v>195</v>
      </c>
      <c r="AI13" s="54">
        <v>0</v>
      </c>
      <c r="AJ13" s="51" t="s">
        <v>195</v>
      </c>
      <c r="AK13" s="58">
        <v>31700</v>
      </c>
    </row>
  </sheetData>
  <sortState xmlns:xlrd2="http://schemas.microsoft.com/office/spreadsheetml/2017/richdata2" ref="AJ3:AK42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2990-2DAC-4500-9354-D9CF23DB8966}">
  <sheetPr codeName="Sheet4"/>
  <dimension ref="A1:Q6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139</v>
      </c>
      <c r="C1" s="146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60</v>
      </c>
      <c r="C2" s="148"/>
      <c r="E2" s="28" t="s">
        <v>66</v>
      </c>
      <c r="F2" s="25" t="s">
        <v>22</v>
      </c>
      <c r="G2" s="13">
        <v>102</v>
      </c>
      <c r="H2" s="91">
        <f>IF(B$19=0,0,G2/B$19)</f>
        <v>0.70344827586206893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-50</v>
      </c>
      <c r="P2" s="80">
        <v>60</v>
      </c>
      <c r="Q2" s="67">
        <v>-3000</v>
      </c>
    </row>
    <row r="3" spans="1:17" x14ac:dyDescent="0.45">
      <c r="A3" s="21" t="s">
        <v>8</v>
      </c>
      <c r="B3" s="149">
        <v>507</v>
      </c>
      <c r="C3" s="150"/>
      <c r="E3" s="29" t="s">
        <v>72</v>
      </c>
      <c r="F3" s="26" t="s">
        <v>27</v>
      </c>
      <c r="G3" s="14">
        <v>95</v>
      </c>
      <c r="H3" s="92">
        <f>IF(B$19=0,0,G3/B$19)</f>
        <v>0.65517241379310343</v>
      </c>
      <c r="I3" s="60">
        <v>5</v>
      </c>
      <c r="K3" s="7">
        <v>1</v>
      </c>
      <c r="L3" s="65">
        <v>20.9</v>
      </c>
      <c r="N3" s="78" t="s">
        <v>129</v>
      </c>
      <c r="O3" s="84">
        <f t="shared" si="0"/>
        <v>52.631578947368418</v>
      </c>
      <c r="P3" s="81">
        <v>57</v>
      </c>
      <c r="Q3" s="68">
        <v>3000</v>
      </c>
    </row>
    <row r="4" spans="1:17" x14ac:dyDescent="0.45">
      <c r="A4" s="21" t="s">
        <v>6</v>
      </c>
      <c r="B4" s="151">
        <v>1.2434497875801753E-14</v>
      </c>
      <c r="C4" s="152"/>
      <c r="E4" s="29" t="s">
        <v>160</v>
      </c>
      <c r="F4" s="26" t="s">
        <v>161</v>
      </c>
      <c r="G4" s="14">
        <v>60</v>
      </c>
      <c r="H4" s="92">
        <f>IF(B$19=0,0,G4/B$19)</f>
        <v>0.41379310344827586</v>
      </c>
      <c r="I4" s="60">
        <v>5</v>
      </c>
      <c r="K4" s="7">
        <v>2</v>
      </c>
      <c r="L4" s="65">
        <v>-10.100000000000001</v>
      </c>
      <c r="N4" s="78" t="s">
        <v>130</v>
      </c>
      <c r="O4" s="84">
        <f t="shared" si="0"/>
        <v>-17.543859649122808</v>
      </c>
      <c r="P4" s="81">
        <v>57</v>
      </c>
      <c r="Q4" s="68">
        <v>-1000</v>
      </c>
    </row>
    <row r="5" spans="1:17" x14ac:dyDescent="0.45">
      <c r="A5" s="21" t="s">
        <v>7</v>
      </c>
      <c r="B5" s="139">
        <f>IF(B$2=0,0,B$4/B$2)</f>
        <v>2.0724163126336256E-16</v>
      </c>
      <c r="C5" s="140"/>
      <c r="E5" s="29" t="s">
        <v>64</v>
      </c>
      <c r="F5" s="26" t="s">
        <v>20</v>
      </c>
      <c r="G5" s="14">
        <v>57</v>
      </c>
      <c r="H5" s="92">
        <f>IF(B$19=0,0,G5/B$19)</f>
        <v>0.39310344827586208</v>
      </c>
      <c r="I5" s="60">
        <v>5</v>
      </c>
      <c r="K5" s="7">
        <v>3</v>
      </c>
      <c r="L5" s="65">
        <v>-1.7763568394002505E-15</v>
      </c>
      <c r="N5" s="78" t="s">
        <v>131</v>
      </c>
      <c r="O5" s="84">
        <f t="shared" si="0"/>
        <v>19.607843137254903</v>
      </c>
      <c r="P5" s="81">
        <v>51</v>
      </c>
      <c r="Q5" s="68">
        <v>1000</v>
      </c>
    </row>
    <row r="6" spans="1:17" x14ac:dyDescent="0.45">
      <c r="A6" s="21" t="s">
        <v>1</v>
      </c>
      <c r="B6" s="153">
        <f>IF(B$2=0,0,(B$7*1+B$8*2+B$9*3)/B$2)</f>
        <v>2</v>
      </c>
      <c r="C6" s="154"/>
      <c r="E6" s="29" t="s">
        <v>68</v>
      </c>
      <c r="F6" s="26" t="s">
        <v>12</v>
      </c>
      <c r="G6" s="14">
        <v>41</v>
      </c>
      <c r="H6" s="92">
        <f>IF(B$19=0,0,G6/B$19)</f>
        <v>0.28275862068965518</v>
      </c>
      <c r="I6" s="60">
        <v>6</v>
      </c>
      <c r="K6" s="7">
        <v>4</v>
      </c>
      <c r="L6" s="65">
        <v>26.299999999999997</v>
      </c>
      <c r="N6" s="78" t="s">
        <v>132</v>
      </c>
      <c r="O6" s="84">
        <f t="shared" si="0"/>
        <v>0</v>
      </c>
      <c r="P6" s="81">
        <v>48</v>
      </c>
      <c r="Q6" s="68">
        <v>0</v>
      </c>
    </row>
    <row r="7" spans="1:17" x14ac:dyDescent="0.45">
      <c r="A7" s="21" t="s">
        <v>2</v>
      </c>
      <c r="B7" s="14">
        <v>20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37</v>
      </c>
      <c r="H7" s="92">
        <f>IF(B$19=0,0,G7/B$19)</f>
        <v>0.25517241379310346</v>
      </c>
      <c r="I7" s="60">
        <v>5</v>
      </c>
      <c r="K7" s="7">
        <v>5</v>
      </c>
      <c r="L7" s="65">
        <v>-41.600000000000009</v>
      </c>
      <c r="N7" s="79" t="s">
        <v>133</v>
      </c>
      <c r="O7" s="85">
        <f t="shared" si="0"/>
        <v>0</v>
      </c>
      <c r="P7" s="82">
        <v>39</v>
      </c>
      <c r="Q7" s="69">
        <v>0</v>
      </c>
    </row>
    <row r="8" spans="1:17" x14ac:dyDescent="0.45">
      <c r="A8" s="21" t="s">
        <v>3</v>
      </c>
      <c r="B8" s="14">
        <v>20</v>
      </c>
      <c r="C8" s="8">
        <f t="shared" si="1"/>
        <v>0.33333333333333331</v>
      </c>
      <c r="E8" s="29" t="s">
        <v>89</v>
      </c>
      <c r="F8" s="26" t="s">
        <v>44</v>
      </c>
      <c r="G8" s="14">
        <v>25</v>
      </c>
      <c r="H8" s="92">
        <f>IF(B$19=0,0,G8/B$19)</f>
        <v>0.17241379310344829</v>
      </c>
      <c r="I8" s="60">
        <v>6</v>
      </c>
      <c r="K8" s="7">
        <v>6</v>
      </c>
      <c r="L8" s="65">
        <v>-7.1054273576010019E-15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20</v>
      </c>
      <c r="C9" s="9">
        <f t="shared" si="1"/>
        <v>0.33333333333333331</v>
      </c>
      <c r="E9" s="29" t="s">
        <v>69</v>
      </c>
      <c r="F9" s="26" t="s">
        <v>24</v>
      </c>
      <c r="G9" s="14">
        <v>17</v>
      </c>
      <c r="H9" s="92">
        <f>IF(B$19=0,0,G9/B$19)</f>
        <v>0.11724137931034483</v>
      </c>
      <c r="I9" s="60">
        <v>5</v>
      </c>
      <c r="K9" s="7">
        <v>7</v>
      </c>
      <c r="L9" s="65">
        <v>-33.600000000000009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32.940000000000012</v>
      </c>
      <c r="C10" s="114">
        <v>658.80000000000018</v>
      </c>
      <c r="E10" s="29" t="s">
        <v>70</v>
      </c>
      <c r="F10" s="26" t="s">
        <v>25</v>
      </c>
      <c r="G10" s="14">
        <v>16</v>
      </c>
      <c r="H10" s="92">
        <f>IF(B$19=0,0,G10/B$19)</f>
        <v>0.1103448275862069</v>
      </c>
      <c r="I10" s="60">
        <v>4</v>
      </c>
      <c r="K10" s="7">
        <v>8</v>
      </c>
      <c r="L10" s="65">
        <v>21.999999999999993</v>
      </c>
      <c r="N10" s="77" t="s">
        <v>152</v>
      </c>
      <c r="O10" s="86">
        <f>IF(P10=0,0,Q10/P10)</f>
        <v>-1.3099999999999992</v>
      </c>
      <c r="P10" s="80">
        <v>20</v>
      </c>
      <c r="Q10" s="71">
        <v>-26.199999999999982</v>
      </c>
    </row>
    <row r="11" spans="1:17" x14ac:dyDescent="0.45">
      <c r="A11" s="22" t="s">
        <v>186</v>
      </c>
      <c r="B11" s="113">
        <f>IF(B8=0,0,C11/B8)</f>
        <v>0.21499999999999964</v>
      </c>
      <c r="C11" s="114">
        <v>4.2999999999999927</v>
      </c>
      <c r="E11" s="29" t="s">
        <v>65</v>
      </c>
      <c r="F11" s="26" t="s">
        <v>21</v>
      </c>
      <c r="G11" s="14">
        <v>10</v>
      </c>
      <c r="H11" s="92">
        <f>IF(B$19=0,0,G11/B$19)</f>
        <v>6.8965517241379309E-2</v>
      </c>
      <c r="I11" s="60">
        <v>5</v>
      </c>
      <c r="K11" s="7">
        <v>9</v>
      </c>
      <c r="L11" s="65">
        <v>-7.1054273576010019E-15</v>
      </c>
      <c r="N11" s="78" t="s">
        <v>153</v>
      </c>
      <c r="O11" s="87">
        <f>IF(P11=0,0,Q11/P11)</f>
        <v>-2.870000000000001</v>
      </c>
      <c r="P11" s="81">
        <v>20</v>
      </c>
      <c r="Q11" s="72">
        <v>-57.40000000000002</v>
      </c>
    </row>
    <row r="12" spans="1:17" x14ac:dyDescent="0.45">
      <c r="A12" s="22" t="s">
        <v>187</v>
      </c>
      <c r="B12" s="113">
        <f>IF(B9=0,0,C12/B9)</f>
        <v>-33.155000000000001</v>
      </c>
      <c r="C12" s="114">
        <v>-663.1</v>
      </c>
      <c r="E12" s="29" t="s">
        <v>83</v>
      </c>
      <c r="F12" s="26" t="s">
        <v>38</v>
      </c>
      <c r="G12" s="14">
        <v>10</v>
      </c>
      <c r="H12" s="92">
        <f>IF(B$19=0,0,G12/B$19)</f>
        <v>6.8965517241379309E-2</v>
      </c>
      <c r="I12" s="60">
        <v>5</v>
      </c>
      <c r="K12" s="7">
        <v>10</v>
      </c>
      <c r="L12" s="65">
        <v>-30.700000000000006</v>
      </c>
      <c r="N12" s="79" t="s">
        <v>154</v>
      </c>
      <c r="O12" s="88">
        <f>IF(P12=0,0,Q12/P12)</f>
        <v>4.1800000000000006</v>
      </c>
      <c r="P12" s="82">
        <v>20</v>
      </c>
      <c r="Q12" s="73">
        <v>83.600000000000009</v>
      </c>
    </row>
    <row r="13" spans="1:17" x14ac:dyDescent="0.45">
      <c r="A13" s="22" t="s">
        <v>188</v>
      </c>
      <c r="B13" s="139">
        <f>AVERAGE(B10:B12)</f>
        <v>0</v>
      </c>
      <c r="C13" s="140"/>
      <c r="E13" s="29" t="s">
        <v>71</v>
      </c>
      <c r="F13" s="26" t="s">
        <v>26</v>
      </c>
      <c r="G13" s="14">
        <v>8</v>
      </c>
      <c r="H13" s="92">
        <f>IF(B$19=0,0,G13/B$19)</f>
        <v>5.5172413793103448E-2</v>
      </c>
      <c r="I13" s="60">
        <v>6</v>
      </c>
      <c r="K13" s="7">
        <v>11</v>
      </c>
      <c r="L13" s="65">
        <v>-34.000000000000007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6.6666666666666666E-2</v>
      </c>
      <c r="E14" s="29" t="s">
        <v>86</v>
      </c>
      <c r="F14" s="26" t="s">
        <v>41</v>
      </c>
      <c r="G14" s="14">
        <v>8</v>
      </c>
      <c r="H14" s="92">
        <f>IF(B$19=0,0,G14/B$19)</f>
        <v>5.5172413793103448E-2</v>
      </c>
      <c r="I14" s="60">
        <v>4</v>
      </c>
      <c r="K14" s="7">
        <v>12</v>
      </c>
      <c r="L14" s="65">
        <v>-7.1054273576010019E-15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128</v>
      </c>
      <c r="C15" s="12">
        <f>IF(B$3=0,0,B15/B$3)</f>
        <v>0.25246548323471402</v>
      </c>
      <c r="E15" s="29" t="s">
        <v>81</v>
      </c>
      <c r="F15" s="26" t="s">
        <v>36</v>
      </c>
      <c r="G15" s="14">
        <v>7</v>
      </c>
      <c r="H15" s="92">
        <f>IF(B$19=0,0,G15/B$19)</f>
        <v>4.8275862068965517E-2</v>
      </c>
      <c r="I15" s="60">
        <v>5</v>
      </c>
      <c r="K15" s="7">
        <v>13</v>
      </c>
      <c r="L15" s="65">
        <v>48.999999999999993</v>
      </c>
      <c r="N15" s="77" t="s">
        <v>164</v>
      </c>
      <c r="O15" s="86">
        <f>IF(P15=0,0,Q15/P15)</f>
        <v>45.725000000000001</v>
      </c>
      <c r="P15" s="80">
        <v>12</v>
      </c>
      <c r="Q15" s="71">
        <v>548.70000000000005</v>
      </c>
    </row>
    <row r="16" spans="1:17" x14ac:dyDescent="0.45">
      <c r="A16" s="21" t="s">
        <v>118</v>
      </c>
      <c r="B16" s="14">
        <v>125</v>
      </c>
      <c r="C16" s="8">
        <f>IF(B$3=0,0,B16/B$3)</f>
        <v>0.2465483234714004</v>
      </c>
      <c r="E16" s="29" t="s">
        <v>78</v>
      </c>
      <c r="F16" s="26" t="s">
        <v>33</v>
      </c>
      <c r="G16" s="14">
        <v>3</v>
      </c>
      <c r="H16" s="92">
        <f>IF(B$19=0,0,G16/B$19)</f>
        <v>2.0689655172413793E-2</v>
      </c>
      <c r="I16" s="60">
        <v>4</v>
      </c>
      <c r="K16" s="7">
        <v>14</v>
      </c>
      <c r="L16" s="65">
        <v>3.4999999999999929</v>
      </c>
      <c r="N16" s="78" t="s">
        <v>195</v>
      </c>
      <c r="O16" s="87">
        <f>IF(P16=0,0,Q16/P16)</f>
        <v>20.2</v>
      </c>
      <c r="P16" s="81">
        <v>6</v>
      </c>
      <c r="Q16" s="72">
        <v>121.19999999999999</v>
      </c>
    </row>
    <row r="17" spans="1:17" x14ac:dyDescent="0.45">
      <c r="A17" s="20" t="s">
        <v>123</v>
      </c>
      <c r="B17" s="13">
        <f>B23</f>
        <v>61</v>
      </c>
      <c r="C17" s="6">
        <f>IF(B$15=0,0,B17/B$15)</f>
        <v>0.4765625</v>
      </c>
      <c r="E17" s="29" t="s">
        <v>156</v>
      </c>
      <c r="F17" s="26" t="s">
        <v>157</v>
      </c>
      <c r="G17" s="14">
        <v>3</v>
      </c>
      <c r="H17" s="92">
        <f>IF(B$19=0,0,G17/B$19)</f>
        <v>2.0689655172413793E-2</v>
      </c>
      <c r="I17" s="60">
        <v>3</v>
      </c>
      <c r="K17" s="7">
        <v>15</v>
      </c>
      <c r="L17" s="65">
        <v>-7.1054273576010019E-15</v>
      </c>
      <c r="N17" s="78" t="s">
        <v>200</v>
      </c>
      <c r="O17" s="87">
        <f>IF(P17=0,0,Q17/P17)</f>
        <v>19.387500000000003</v>
      </c>
      <c r="P17" s="81">
        <v>8</v>
      </c>
      <c r="Q17" s="72">
        <v>155.10000000000002</v>
      </c>
    </row>
    <row r="18" spans="1:17" x14ac:dyDescent="0.45">
      <c r="A18" s="20" t="s">
        <v>124</v>
      </c>
      <c r="B18" s="13">
        <f>B24</f>
        <v>57</v>
      </c>
      <c r="C18" s="6">
        <f>IF(B$16=0,0,B18/B$16)</f>
        <v>0.45600000000000002</v>
      </c>
      <c r="E18" s="29" t="s">
        <v>91</v>
      </c>
      <c r="F18" s="26" t="s">
        <v>46</v>
      </c>
      <c r="G18" s="14">
        <v>2</v>
      </c>
      <c r="H18" s="92">
        <f>IF(B$19=0,0,G18/B$19)</f>
        <v>1.3793103448275862E-2</v>
      </c>
      <c r="I18" s="60">
        <v>3</v>
      </c>
      <c r="K18" s="7">
        <v>16</v>
      </c>
      <c r="L18" s="65">
        <v>-11.600000000000007</v>
      </c>
      <c r="N18" s="78" t="s">
        <v>207</v>
      </c>
      <c r="O18" s="87">
        <f>IF(P18=0,0,Q18/P18)</f>
        <v>10.125</v>
      </c>
      <c r="P18" s="81">
        <v>4</v>
      </c>
      <c r="Q18" s="72">
        <v>40.5</v>
      </c>
    </row>
    <row r="19" spans="1:17" x14ac:dyDescent="0.45">
      <c r="A19" s="20" t="s">
        <v>10</v>
      </c>
      <c r="B19" s="13">
        <f>B22+B21</f>
        <v>145</v>
      </c>
      <c r="C19" s="6">
        <f>IF(B$3=0,0,B19/B$3)</f>
        <v>0.28599605522682447</v>
      </c>
      <c r="E19" s="29" t="s">
        <v>73</v>
      </c>
      <c r="F19" s="26" t="s">
        <v>28</v>
      </c>
      <c r="G19" s="14">
        <v>1</v>
      </c>
      <c r="H19" s="92">
        <f>IF(B$19=0,0,G19/B$19)</f>
        <v>6.8965517241379309E-3</v>
      </c>
      <c r="I19" s="60">
        <v>2</v>
      </c>
      <c r="K19" s="7">
        <v>17</v>
      </c>
      <c r="L19" s="65">
        <v>-7.1054273576010019E-15</v>
      </c>
      <c r="N19" s="78" t="s">
        <v>208</v>
      </c>
      <c r="O19" s="87">
        <f>IF(P19=0,0,Q19/P19)</f>
        <v>4.6499999999999986</v>
      </c>
      <c r="P19" s="81">
        <v>4</v>
      </c>
      <c r="Q19" s="72">
        <v>18.599999999999994</v>
      </c>
    </row>
    <row r="20" spans="1:17" x14ac:dyDescent="0.45">
      <c r="A20" s="21" t="s">
        <v>13</v>
      </c>
      <c r="B20" s="14">
        <v>76</v>
      </c>
      <c r="C20" s="8">
        <f>IF(B$3=0,0,B20/B$3)</f>
        <v>0.14990138067061143</v>
      </c>
      <c r="E20" s="29" t="s">
        <v>77</v>
      </c>
      <c r="F20" s="26" t="s">
        <v>32</v>
      </c>
      <c r="G20" s="14">
        <v>1</v>
      </c>
      <c r="H20" s="92">
        <f>IF(B$19=0,0,G20/B$19)</f>
        <v>6.8965517241379309E-3</v>
      </c>
      <c r="I20" s="60">
        <v>2</v>
      </c>
      <c r="K20" s="7">
        <v>18</v>
      </c>
      <c r="L20" s="65">
        <v>-7.1054273576010019E-15</v>
      </c>
      <c r="N20" s="78" t="s">
        <v>194</v>
      </c>
      <c r="O20" s="87">
        <f>IF(P20=0,0,Q20/P20)</f>
        <v>-1.0350000000000006</v>
      </c>
      <c r="P20" s="81">
        <v>20</v>
      </c>
      <c r="Q20" s="72">
        <v>-20.70000000000001</v>
      </c>
    </row>
    <row r="21" spans="1:17" x14ac:dyDescent="0.45">
      <c r="A21" s="21" t="s">
        <v>12</v>
      </c>
      <c r="B21" s="14">
        <v>69</v>
      </c>
      <c r="C21" s="8">
        <f>IF(B$19=0,0,B21/B$19)</f>
        <v>0.47586206896551725</v>
      </c>
      <c r="E21" s="29" t="s">
        <v>79</v>
      </c>
      <c r="F21" s="26" t="s">
        <v>34</v>
      </c>
      <c r="G21" s="14">
        <v>1</v>
      </c>
      <c r="H21" s="92">
        <f>IF(B$19=0,0,G21/B$19)</f>
        <v>6.8965517241379309E-3</v>
      </c>
      <c r="I21" s="60">
        <v>2</v>
      </c>
      <c r="K21" s="7">
        <v>19</v>
      </c>
      <c r="L21" s="65">
        <v>-23.100000000000009</v>
      </c>
      <c r="N21" s="78" t="s">
        <v>190</v>
      </c>
      <c r="O21" s="87">
        <f>IF(P21=0,0,Q21/P21)</f>
        <v>-2.9884615384615385</v>
      </c>
      <c r="P21" s="81">
        <v>26</v>
      </c>
      <c r="Q21" s="72">
        <v>-77.7</v>
      </c>
    </row>
    <row r="22" spans="1:17" x14ac:dyDescent="0.45">
      <c r="A22" s="21" t="s">
        <v>11</v>
      </c>
      <c r="B22" s="14">
        <v>76</v>
      </c>
      <c r="C22" s="8">
        <f>IF(B$19=0,0,B22/B$19)</f>
        <v>0.52413793103448281</v>
      </c>
      <c r="E22" s="29" t="s">
        <v>85</v>
      </c>
      <c r="F22" s="26" t="s">
        <v>40</v>
      </c>
      <c r="G22" s="14">
        <v>1</v>
      </c>
      <c r="H22" s="92">
        <f>IF(B$19=0,0,G22/B$19)</f>
        <v>6.8965517241379309E-3</v>
      </c>
      <c r="I22" s="60">
        <v>2</v>
      </c>
      <c r="K22" s="7">
        <v>20</v>
      </c>
      <c r="L22" s="65">
        <v>-31.300000000000008</v>
      </c>
      <c r="N22" s="78" t="s">
        <v>198</v>
      </c>
      <c r="O22" s="87">
        <f>IF(P22=0,0,Q22/P22)</f>
        <v>-5.5500000000000034</v>
      </c>
      <c r="P22" s="81">
        <v>14</v>
      </c>
      <c r="Q22" s="72">
        <v>-77.700000000000045</v>
      </c>
    </row>
    <row r="23" spans="1:17" x14ac:dyDescent="0.45">
      <c r="A23" s="21" t="s">
        <v>184</v>
      </c>
      <c r="B23" s="14">
        <v>61</v>
      </c>
      <c r="C23" s="8">
        <f>IF(B$19=0,0,B23/B$19)</f>
        <v>0.4206896551724138</v>
      </c>
      <c r="E23" s="29" t="s">
        <v>92</v>
      </c>
      <c r="F23" s="26" t="s">
        <v>47</v>
      </c>
      <c r="G23" s="14">
        <v>1</v>
      </c>
      <c r="H23" s="92">
        <f>IF(B$19=0,0,G23/B$19)</f>
        <v>6.8965517241379309E-3</v>
      </c>
      <c r="I23" s="60">
        <v>2</v>
      </c>
      <c r="K23" s="7">
        <v>21</v>
      </c>
      <c r="L23" s="65">
        <v>-7.1054273576010019E-15</v>
      </c>
      <c r="N23" s="78" t="s">
        <v>126</v>
      </c>
      <c r="O23" s="87">
        <f>IF(P23=0,0,Q23/P23)</f>
        <v>-27.230769230769226</v>
      </c>
      <c r="P23" s="81">
        <v>26</v>
      </c>
      <c r="Q23" s="72">
        <v>-707.99999999999989</v>
      </c>
    </row>
    <row r="24" spans="1:17" x14ac:dyDescent="0.45">
      <c r="A24" s="21" t="s">
        <v>182</v>
      </c>
      <c r="B24" s="14">
        <v>57</v>
      </c>
      <c r="C24" s="8">
        <f>IF(B$19=0,0,B24/B$19)</f>
        <v>0.39310344827586208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-4.4000000000000075</v>
      </c>
    </row>
    <row r="25" spans="1:17" x14ac:dyDescent="0.45">
      <c r="A25" s="21" t="s">
        <v>183</v>
      </c>
      <c r="B25" s="14">
        <v>27</v>
      </c>
      <c r="C25" s="8">
        <f>IF(B$19=0,0,B25/B$19)</f>
        <v>0.18620689655172415</v>
      </c>
      <c r="E25" s="29" t="s">
        <v>75</v>
      </c>
      <c r="F25" s="26" t="s">
        <v>30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37.999999999999993</v>
      </c>
    </row>
    <row r="26" spans="1:17" x14ac:dyDescent="0.45">
      <c r="A26" s="21" t="s">
        <v>5</v>
      </c>
      <c r="B26" s="18">
        <f>IF(B$19=0,0,C26/B$19)</f>
        <v>8136.5517241379312</v>
      </c>
      <c r="C26" s="10">
        <v>1179800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8911.363636363636</v>
      </c>
      <c r="C27" s="100">
        <v>784200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-28.000000000000007</v>
      </c>
    </row>
    <row r="28" spans="1:17" x14ac:dyDescent="0.45">
      <c r="A28" s="22" t="s">
        <v>167</v>
      </c>
      <c r="B28" s="99">
        <f>IF(B$18=0,0,C28/B$18)</f>
        <v>6940.3508771929828</v>
      </c>
      <c r="C28" s="100">
        <v>395600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-8.0000000000000071</v>
      </c>
    </row>
    <row r="29" spans="1:17" x14ac:dyDescent="0.45">
      <c r="A29" s="22" t="s">
        <v>165</v>
      </c>
      <c r="B29" s="99">
        <f>IF(B$20=0,0,C29/B$20)</f>
        <v>-8384.21052631579</v>
      </c>
      <c r="C29" s="100">
        <v>-637200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36.899999999999991</v>
      </c>
    </row>
    <row r="31" spans="1:17" x14ac:dyDescent="0.45">
      <c r="A31" s="21" t="s">
        <v>159</v>
      </c>
      <c r="B31" s="14">
        <v>18</v>
      </c>
      <c r="C31" s="94">
        <v>3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-3.1000000000000085</v>
      </c>
    </row>
    <row r="32" spans="1:17" x14ac:dyDescent="0.45">
      <c r="A32" s="56" t="s">
        <v>136</v>
      </c>
      <c r="B32" s="141">
        <v>7</v>
      </c>
      <c r="C32" s="142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-8.4376949871511897E-15</v>
      </c>
    </row>
    <row r="33" spans="1:12" x14ac:dyDescent="0.45">
      <c r="A33" s="24" t="s">
        <v>181</v>
      </c>
      <c r="B33" s="143">
        <v>103000</v>
      </c>
      <c r="C33" s="144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49.599999999999994</v>
      </c>
    </row>
    <row r="34" spans="1:12" x14ac:dyDescent="0.45">
      <c r="A34" s="23" t="s">
        <v>137</v>
      </c>
      <c r="B34" s="31">
        <v>2</v>
      </c>
      <c r="C34" s="11">
        <f>IF(B$3=0,0,B34/B$3)</f>
        <v>3.9447731755424065E-3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36.799999999999997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0</v>
      </c>
    </row>
    <row r="36" spans="1:12" x14ac:dyDescent="0.45">
      <c r="A36" s="56" t="s">
        <v>172</v>
      </c>
      <c r="B36" s="121">
        <v>9</v>
      </c>
      <c r="C36" s="102">
        <f t="shared" ref="C36:C48" si="2">IF(B$19=0,0,B36/B$19)</f>
        <v>6.2068965517241378E-2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33.6</v>
      </c>
    </row>
    <row r="37" spans="1:12" x14ac:dyDescent="0.45">
      <c r="A37" s="21" t="s">
        <v>168</v>
      </c>
      <c r="B37" s="14">
        <v>33</v>
      </c>
      <c r="C37" s="8">
        <f t="shared" si="2"/>
        <v>0.22758620689655173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-20.199999999999996</v>
      </c>
    </row>
    <row r="38" spans="1:12" x14ac:dyDescent="0.45">
      <c r="A38" s="21" t="s">
        <v>169</v>
      </c>
      <c r="B38" s="122">
        <v>26</v>
      </c>
      <c r="C38" s="8">
        <f t="shared" si="2"/>
        <v>0.1793103448275862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3.5527136788005009E-15</v>
      </c>
    </row>
    <row r="39" spans="1:12" x14ac:dyDescent="0.45">
      <c r="A39" s="21" t="s">
        <v>170</v>
      </c>
      <c r="B39" s="122">
        <v>21</v>
      </c>
      <c r="C39" s="8">
        <f t="shared" si="2"/>
        <v>0.14482758620689656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-34.399999999999991</v>
      </c>
    </row>
    <row r="40" spans="1:12" x14ac:dyDescent="0.45">
      <c r="A40" s="21" t="s">
        <v>171</v>
      </c>
      <c r="B40" s="122">
        <v>16</v>
      </c>
      <c r="C40" s="8">
        <f t="shared" si="2"/>
        <v>0.1103448275862069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-23.79999999999999</v>
      </c>
    </row>
    <row r="41" spans="1:12" x14ac:dyDescent="0.45">
      <c r="A41" s="21" t="s">
        <v>173</v>
      </c>
      <c r="B41" s="122">
        <v>23</v>
      </c>
      <c r="C41" s="8">
        <f t="shared" si="2"/>
        <v>0.15862068965517243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1.0658141036401503E-14</v>
      </c>
    </row>
    <row r="42" spans="1:12" x14ac:dyDescent="0.45">
      <c r="A42" s="21" t="s">
        <v>174</v>
      </c>
      <c r="B42" s="122">
        <v>10</v>
      </c>
      <c r="C42" s="8">
        <f t="shared" si="2"/>
        <v>6.8965517241379309E-2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-28.79999999999999</v>
      </c>
    </row>
    <row r="43" spans="1:12" x14ac:dyDescent="0.45">
      <c r="A43" s="21" t="s">
        <v>175</v>
      </c>
      <c r="B43" s="122">
        <v>3</v>
      </c>
      <c r="C43" s="8">
        <f t="shared" si="2"/>
        <v>2.0689655172413793E-2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-22.499999999999989</v>
      </c>
    </row>
    <row r="44" spans="1:12" x14ac:dyDescent="0.45">
      <c r="A44" s="21" t="s">
        <v>176</v>
      </c>
      <c r="B44" s="122">
        <v>1</v>
      </c>
      <c r="C44" s="8">
        <f t="shared" si="2"/>
        <v>6.8965517241379309E-3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177</v>
      </c>
      <c r="B45" s="122">
        <v>1</v>
      </c>
      <c r="C45" s="8">
        <f t="shared" si="2"/>
        <v>6.8965517241379309E-3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26.600000000000012</v>
      </c>
    </row>
    <row r="46" spans="1:12" x14ac:dyDescent="0.45">
      <c r="A46" s="21" t="s">
        <v>178</v>
      </c>
      <c r="B46" s="122">
        <v>1</v>
      </c>
      <c r="C46" s="8">
        <f t="shared" si="2"/>
        <v>6.8965517241379309E-3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-6.5999999999999908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8.8817841970012523E-15</v>
      </c>
    </row>
    <row r="48" spans="1:12" x14ac:dyDescent="0.45">
      <c r="A48" s="23" t="s">
        <v>180</v>
      </c>
      <c r="B48" s="101">
        <v>1</v>
      </c>
      <c r="C48" s="11">
        <f t="shared" si="2"/>
        <v>6.8965517241379309E-3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-27.999999999999993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50.000000000000007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7.1054273576010019E-15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-21.399999999999991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-26.599999999999991</v>
      </c>
    </row>
    <row r="53" spans="5:12" x14ac:dyDescent="0.45">
      <c r="K53" s="7">
        <v>51</v>
      </c>
      <c r="L53" s="65">
        <v>1.0658141036401503E-14</v>
      </c>
    </row>
    <row r="54" spans="5:12" x14ac:dyDescent="0.45">
      <c r="K54" s="7">
        <v>52</v>
      </c>
      <c r="L54" s="65">
        <v>-24.199999999999989</v>
      </c>
    </row>
    <row r="55" spans="5:12" x14ac:dyDescent="0.45">
      <c r="K55" s="7">
        <v>53</v>
      </c>
      <c r="L55" s="65">
        <v>-20.199999999999989</v>
      </c>
    </row>
    <row r="56" spans="5:12" x14ac:dyDescent="0.45">
      <c r="K56" s="7">
        <v>54</v>
      </c>
      <c r="L56" s="65">
        <v>1.0658141036401503E-14</v>
      </c>
    </row>
    <row r="57" spans="5:12" x14ac:dyDescent="0.45">
      <c r="K57" s="7">
        <v>55</v>
      </c>
      <c r="L57" s="65">
        <v>-17.499999999999989</v>
      </c>
    </row>
    <row r="58" spans="5:12" x14ac:dyDescent="0.45">
      <c r="K58" s="7">
        <v>56</v>
      </c>
      <c r="L58" s="65">
        <v>0.50000000000001066</v>
      </c>
    </row>
    <row r="59" spans="5:12" x14ac:dyDescent="0.45">
      <c r="K59" s="7">
        <v>57</v>
      </c>
      <c r="L59" s="65">
        <v>1.0658141036401503E-14</v>
      </c>
    </row>
    <row r="60" spans="5:12" x14ac:dyDescent="0.45">
      <c r="K60" s="7">
        <v>58</v>
      </c>
      <c r="L60" s="65">
        <v>16.600000000000012</v>
      </c>
    </row>
    <row r="61" spans="5:12" x14ac:dyDescent="0.45">
      <c r="K61" s="7">
        <v>59</v>
      </c>
      <c r="L61" s="65">
        <v>13.600000000000012</v>
      </c>
    </row>
    <row r="62" spans="5:12" x14ac:dyDescent="0.45">
      <c r="K62" s="7">
        <v>60</v>
      </c>
      <c r="L62" s="65">
        <v>1.2434497875801753E-14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2128-FC14-42E5-B139-62205313CBA1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126</v>
      </c>
      <c r="C1" s="146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13</v>
      </c>
      <c r="C2" s="148"/>
      <c r="E2" s="28" t="s">
        <v>72</v>
      </c>
      <c r="F2" s="25" t="s">
        <v>27</v>
      </c>
      <c r="G2" s="13">
        <v>31</v>
      </c>
      <c r="H2" s="91">
        <f>IF(B$19=0,0,G2/B$19)</f>
        <v>0.81578947368421051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2853.8461538461538</v>
      </c>
      <c r="P2" s="80">
        <v>13</v>
      </c>
      <c r="Q2" s="67">
        <v>37100</v>
      </c>
    </row>
    <row r="3" spans="1:17" x14ac:dyDescent="0.45">
      <c r="A3" s="21" t="s">
        <v>8</v>
      </c>
      <c r="B3" s="149">
        <v>111</v>
      </c>
      <c r="C3" s="150"/>
      <c r="E3" s="29" t="s">
        <v>66</v>
      </c>
      <c r="F3" s="26" t="s">
        <v>22</v>
      </c>
      <c r="G3" s="14">
        <v>27</v>
      </c>
      <c r="H3" s="92">
        <f>IF(B$19=0,0,G3/B$19)</f>
        <v>0.71052631578947367</v>
      </c>
      <c r="I3" s="60">
        <v>5</v>
      </c>
      <c r="K3" s="7">
        <v>1</v>
      </c>
      <c r="L3" s="65">
        <v>20.9</v>
      </c>
      <c r="N3" s="78" t="s">
        <v>129</v>
      </c>
      <c r="O3" s="84">
        <f t="shared" si="0"/>
        <v>-300</v>
      </c>
      <c r="P3" s="81">
        <v>12</v>
      </c>
      <c r="Q3" s="68">
        <v>-3600</v>
      </c>
    </row>
    <row r="4" spans="1:17" x14ac:dyDescent="0.45">
      <c r="A4" s="21" t="s">
        <v>6</v>
      </c>
      <c r="B4" s="151">
        <v>236</v>
      </c>
      <c r="C4" s="152"/>
      <c r="E4" s="29" t="s">
        <v>160</v>
      </c>
      <c r="F4" s="26" t="s">
        <v>161</v>
      </c>
      <c r="G4" s="14">
        <v>18</v>
      </c>
      <c r="H4" s="92">
        <f>IF(B$19=0,0,G4/B$19)</f>
        <v>0.47368421052631576</v>
      </c>
      <c r="I4" s="60">
        <v>3</v>
      </c>
      <c r="K4" s="7">
        <v>2</v>
      </c>
      <c r="L4" s="65">
        <v>62.5</v>
      </c>
      <c r="N4" s="78" t="s">
        <v>130</v>
      </c>
      <c r="O4" s="84">
        <f t="shared" si="0"/>
        <v>600</v>
      </c>
      <c r="P4" s="81">
        <v>12</v>
      </c>
      <c r="Q4" s="68">
        <v>7200</v>
      </c>
    </row>
    <row r="5" spans="1:17" x14ac:dyDescent="0.45">
      <c r="A5" s="21" t="s">
        <v>7</v>
      </c>
      <c r="B5" s="139">
        <f>IF(B$2=0,0,B$4/B$2)</f>
        <v>18.153846153846153</v>
      </c>
      <c r="C5" s="140"/>
      <c r="E5" s="29" t="s">
        <v>68</v>
      </c>
      <c r="F5" s="26" t="s">
        <v>12</v>
      </c>
      <c r="G5" s="14">
        <v>14</v>
      </c>
      <c r="H5" s="92">
        <f>IF(B$19=0,0,G5/B$19)</f>
        <v>0.36842105263157893</v>
      </c>
      <c r="I5" s="60">
        <v>3</v>
      </c>
      <c r="K5" s="7">
        <v>3</v>
      </c>
      <c r="L5" s="65">
        <v>40.5</v>
      </c>
      <c r="N5" s="78" t="s">
        <v>131</v>
      </c>
      <c r="O5" s="84">
        <f t="shared" si="0"/>
        <v>509.09090909090907</v>
      </c>
      <c r="P5" s="81">
        <v>11</v>
      </c>
      <c r="Q5" s="68">
        <v>5600</v>
      </c>
    </row>
    <row r="6" spans="1:17" x14ac:dyDescent="0.45">
      <c r="A6" s="21" t="s">
        <v>1</v>
      </c>
      <c r="B6" s="153">
        <f>IF(B$2=0,0,(B$7*1+B$8*2+B$9*3)/B$2)</f>
        <v>1.5384615384615385</v>
      </c>
      <c r="C6" s="154"/>
      <c r="E6" s="29" t="s">
        <v>64</v>
      </c>
      <c r="F6" s="26" t="s">
        <v>20</v>
      </c>
      <c r="G6" s="14">
        <v>11</v>
      </c>
      <c r="H6" s="92">
        <f>IF(B$19=0,0,G6/B$19)</f>
        <v>0.28947368421052633</v>
      </c>
      <c r="I6" s="60">
        <v>9</v>
      </c>
      <c r="K6" s="7">
        <v>4</v>
      </c>
      <c r="L6" s="65">
        <v>74.5</v>
      </c>
      <c r="N6" s="78" t="s">
        <v>132</v>
      </c>
      <c r="O6" s="84">
        <f t="shared" si="0"/>
        <v>-481.81818181818181</v>
      </c>
      <c r="P6" s="81">
        <v>11</v>
      </c>
      <c r="Q6" s="68">
        <v>-5300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0.53846153846153844</v>
      </c>
      <c r="E7" s="29" t="s">
        <v>89</v>
      </c>
      <c r="F7" s="26" t="s">
        <v>44</v>
      </c>
      <c r="G7" s="14">
        <v>8</v>
      </c>
      <c r="H7" s="92">
        <f>IF(B$19=0,0,G7/B$19)</f>
        <v>0.21052631578947367</v>
      </c>
      <c r="I7" s="60">
        <v>4</v>
      </c>
      <c r="K7" s="7">
        <v>5</v>
      </c>
      <c r="L7" s="65">
        <v>123.5</v>
      </c>
      <c r="N7" s="79" t="s">
        <v>133</v>
      </c>
      <c r="O7" s="85">
        <f t="shared" si="0"/>
        <v>2900</v>
      </c>
      <c r="P7" s="82">
        <v>9</v>
      </c>
      <c r="Q7" s="69">
        <v>26100</v>
      </c>
    </row>
    <row r="8" spans="1:17" x14ac:dyDescent="0.45">
      <c r="A8" s="21" t="s">
        <v>3</v>
      </c>
      <c r="B8" s="14">
        <v>5</v>
      </c>
      <c r="C8" s="8">
        <f t="shared" si="1"/>
        <v>0.38461538461538464</v>
      </c>
      <c r="E8" s="29" t="s">
        <v>67</v>
      </c>
      <c r="F8" s="26" t="s">
        <v>23</v>
      </c>
      <c r="G8" s="14">
        <v>5</v>
      </c>
      <c r="H8" s="92">
        <f>IF(B$19=0,0,G8/B$19)</f>
        <v>0.13157894736842105</v>
      </c>
      <c r="I8" s="60">
        <v>9</v>
      </c>
      <c r="K8" s="7">
        <v>6</v>
      </c>
      <c r="L8" s="65">
        <v>111.9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7.6923076923076927E-2</v>
      </c>
      <c r="E9" s="29" t="s">
        <v>69</v>
      </c>
      <c r="F9" s="26" t="s">
        <v>24</v>
      </c>
      <c r="G9" s="14">
        <v>5</v>
      </c>
      <c r="H9" s="92">
        <f>IF(B$19=0,0,G9/B$19)</f>
        <v>0.13157894736842105</v>
      </c>
      <c r="I9" s="60">
        <v>4</v>
      </c>
      <c r="K9" s="7">
        <v>7</v>
      </c>
      <c r="L9" s="65">
        <v>103.7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</v>
      </c>
      <c r="C10" s="114">
        <v>287</v>
      </c>
      <c r="E10" s="29" t="s">
        <v>83</v>
      </c>
      <c r="F10" s="26" t="s">
        <v>38</v>
      </c>
      <c r="G10" s="14">
        <v>5</v>
      </c>
      <c r="H10" s="92">
        <f>IF(B$19=0,0,G10/B$19)</f>
        <v>0.13157894736842105</v>
      </c>
      <c r="I10" s="60">
        <v>1</v>
      </c>
      <c r="K10" s="7">
        <v>8</v>
      </c>
      <c r="L10" s="65">
        <v>140.6</v>
      </c>
      <c r="N10" s="77" t="s">
        <v>152</v>
      </c>
      <c r="O10" s="86">
        <f>IF(P10=0,0,Q10/P10)</f>
        <v>23.8</v>
      </c>
      <c r="P10" s="80">
        <v>4</v>
      </c>
      <c r="Q10" s="71">
        <v>95.2</v>
      </c>
    </row>
    <row r="11" spans="1:17" x14ac:dyDescent="0.45">
      <c r="A11" s="22" t="s">
        <v>186</v>
      </c>
      <c r="B11" s="113">
        <f>IF(B8=0,0,C11/B8)</f>
        <v>-7.88</v>
      </c>
      <c r="C11" s="114">
        <v>-39.4</v>
      </c>
      <c r="E11" s="29" t="s">
        <v>70</v>
      </c>
      <c r="F11" s="26" t="s">
        <v>25</v>
      </c>
      <c r="G11" s="14">
        <v>4</v>
      </c>
      <c r="H11" s="92">
        <f>IF(B$19=0,0,G11/B$19)</f>
        <v>0.10526315789473684</v>
      </c>
      <c r="I11" s="60">
        <v>5</v>
      </c>
      <c r="K11" s="7">
        <v>9</v>
      </c>
      <c r="L11" s="65">
        <v>127.8</v>
      </c>
      <c r="N11" s="78" t="s">
        <v>153</v>
      </c>
      <c r="O11" s="87">
        <f>IF(P11=0,0,Q11/P11)</f>
        <v>13.5</v>
      </c>
      <c r="P11" s="81">
        <v>4</v>
      </c>
      <c r="Q11" s="72">
        <v>54</v>
      </c>
    </row>
    <row r="12" spans="1:17" x14ac:dyDescent="0.45">
      <c r="A12" s="22" t="s">
        <v>187</v>
      </c>
      <c r="B12" s="113">
        <f>IF(B9=0,0,C12/B9)</f>
        <v>-11.6</v>
      </c>
      <c r="C12" s="114">
        <v>-11.6</v>
      </c>
      <c r="E12" s="29" t="s">
        <v>81</v>
      </c>
      <c r="F12" s="26" t="s">
        <v>36</v>
      </c>
      <c r="G12" s="14">
        <v>3</v>
      </c>
      <c r="H12" s="92">
        <f>IF(B$19=0,0,G12/B$19)</f>
        <v>7.8947368421052627E-2</v>
      </c>
      <c r="I12" s="60">
        <v>4</v>
      </c>
      <c r="K12" s="7">
        <v>10</v>
      </c>
      <c r="L12" s="65">
        <v>134.4</v>
      </c>
      <c r="N12" s="79" t="s">
        <v>154</v>
      </c>
      <c r="O12" s="88">
        <f>IF(P12=0,0,Q12/P12)</f>
        <v>17.360000000000003</v>
      </c>
      <c r="P12" s="82">
        <v>5</v>
      </c>
      <c r="Q12" s="73">
        <v>86.800000000000011</v>
      </c>
    </row>
    <row r="13" spans="1:17" x14ac:dyDescent="0.45">
      <c r="A13" s="22" t="s">
        <v>188</v>
      </c>
      <c r="B13" s="139">
        <f>AVERAGE(B10:B12)</f>
        <v>7.173333333333332</v>
      </c>
      <c r="C13" s="140"/>
      <c r="E13" s="29" t="s">
        <v>65</v>
      </c>
      <c r="F13" s="26" t="s">
        <v>21</v>
      </c>
      <c r="G13" s="14">
        <v>2</v>
      </c>
      <c r="H13" s="92">
        <f>IF(B$19=0,0,G13/B$19)</f>
        <v>5.2631578947368418E-2</v>
      </c>
      <c r="I13" s="60">
        <v>6</v>
      </c>
      <c r="K13" s="7">
        <v>11</v>
      </c>
      <c r="L13" s="65">
        <v>212.4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86</v>
      </c>
      <c r="F14" s="26" t="s">
        <v>41</v>
      </c>
      <c r="G14" s="14">
        <v>2</v>
      </c>
      <c r="H14" s="92">
        <f>IF(B$19=0,0,G14/B$19)</f>
        <v>5.2631578947368418E-2</v>
      </c>
      <c r="I14" s="60">
        <v>5</v>
      </c>
      <c r="K14" s="7">
        <v>12</v>
      </c>
      <c r="L14" s="65">
        <v>239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27</v>
      </c>
      <c r="C15" s="12">
        <f>IF(B$3=0,0,B15/B$3)</f>
        <v>0.24324324324324326</v>
      </c>
      <c r="E15" s="29" t="s">
        <v>156</v>
      </c>
      <c r="F15" s="26" t="s">
        <v>157</v>
      </c>
      <c r="G15" s="14">
        <v>2</v>
      </c>
      <c r="H15" s="92">
        <f>IF(B$19=0,0,G15/B$19)</f>
        <v>5.2631578947368418E-2</v>
      </c>
      <c r="I15" s="60">
        <v>1</v>
      </c>
      <c r="K15" s="7">
        <v>13</v>
      </c>
      <c r="L15" s="65">
        <v>236</v>
      </c>
      <c r="N15" s="77" t="s">
        <v>164</v>
      </c>
      <c r="O15" s="86">
        <f>IF(P15=0,0,Q15/P15)</f>
        <v>82.3</v>
      </c>
      <c r="P15" s="80">
        <v>4</v>
      </c>
      <c r="Q15" s="71">
        <v>329.2</v>
      </c>
    </row>
    <row r="16" spans="1:17" x14ac:dyDescent="0.45">
      <c r="A16" s="21" t="s">
        <v>118</v>
      </c>
      <c r="B16" s="14">
        <v>29</v>
      </c>
      <c r="C16" s="8">
        <f>IF(B$3=0,0,B16/B$3)</f>
        <v>0.26126126126126126</v>
      </c>
      <c r="E16" s="29" t="s">
        <v>92</v>
      </c>
      <c r="F16" s="26" t="s">
        <v>47</v>
      </c>
      <c r="G16" s="14">
        <v>1</v>
      </c>
      <c r="H16" s="92">
        <f>IF(B$19=0,0,G16/B$19)</f>
        <v>2.6315789473684209E-2</v>
      </c>
      <c r="I16" s="60">
        <v>1</v>
      </c>
      <c r="N16" s="78" t="s">
        <v>195</v>
      </c>
      <c r="O16" s="87">
        <f>IF(P16=0,0,Q16/P16)</f>
        <v>33.800000000000004</v>
      </c>
      <c r="P16" s="81">
        <v>3</v>
      </c>
      <c r="Q16" s="72">
        <v>101.4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0.48148148148148145</v>
      </c>
      <c r="E17" s="29" t="s">
        <v>71</v>
      </c>
      <c r="F17" s="26" t="s">
        <v>26</v>
      </c>
      <c r="G17" s="14">
        <v>0</v>
      </c>
      <c r="H17" s="92">
        <f>IF(B$19=0,0,G17/B$19)</f>
        <v>0</v>
      </c>
      <c r="I17" s="60">
        <v>7</v>
      </c>
      <c r="N17" s="78" t="s">
        <v>200</v>
      </c>
      <c r="O17" s="87">
        <f>IF(P17=0,0,Q17/P17)</f>
        <v>28.9</v>
      </c>
      <c r="P17" s="81">
        <v>2</v>
      </c>
      <c r="Q17" s="72">
        <v>57.8</v>
      </c>
    </row>
    <row r="18" spans="1:17" x14ac:dyDescent="0.45">
      <c r="A18" s="20" t="s">
        <v>124</v>
      </c>
      <c r="B18" s="13">
        <f>B24</f>
        <v>16</v>
      </c>
      <c r="C18" s="6">
        <f>IF(B$16=0,0,B18/B$16)</f>
        <v>0.55172413793103448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3</v>
      </c>
      <c r="N18" s="78" t="s">
        <v>194</v>
      </c>
      <c r="O18" s="87">
        <f>IF(P18=0,0,Q18/P18)</f>
        <v>23.05</v>
      </c>
      <c r="P18" s="81">
        <v>4</v>
      </c>
      <c r="Q18" s="72">
        <v>92.2</v>
      </c>
    </row>
    <row r="19" spans="1:17" x14ac:dyDescent="0.45">
      <c r="A19" s="20" t="s">
        <v>10</v>
      </c>
      <c r="B19" s="13">
        <f>B22+B21</f>
        <v>38</v>
      </c>
      <c r="C19" s="6">
        <f>IF(B$3=0,0,B19/B$3)</f>
        <v>0.34234234234234234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N19" s="78" t="s">
        <v>198</v>
      </c>
      <c r="O19" s="87">
        <f>IF(P19=0,0,Q19/P19)</f>
        <v>14.26</v>
      </c>
      <c r="P19" s="81">
        <v>5</v>
      </c>
      <c r="Q19" s="72">
        <v>71.3</v>
      </c>
    </row>
    <row r="20" spans="1:17" x14ac:dyDescent="0.45">
      <c r="A20" s="21" t="s">
        <v>13</v>
      </c>
      <c r="B20" s="14">
        <v>14</v>
      </c>
      <c r="C20" s="8">
        <f>IF(B$3=0,0,B20/B$3)</f>
        <v>0.12612612612612611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1</v>
      </c>
      <c r="N20" s="78" t="s">
        <v>190</v>
      </c>
      <c r="O20" s="87">
        <f>IF(P20=0,0,Q20/P20)</f>
        <v>7.0125000000000002</v>
      </c>
      <c r="P20" s="81">
        <v>8</v>
      </c>
      <c r="Q20" s="72">
        <v>56.1</v>
      </c>
    </row>
    <row r="21" spans="1:17" x14ac:dyDescent="0.45">
      <c r="A21" s="21" t="s">
        <v>12</v>
      </c>
      <c r="B21" s="14">
        <v>23</v>
      </c>
      <c r="C21" s="8">
        <f>IF(B$19=0,0,B21/B$19)</f>
        <v>0.60526315789473684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15</v>
      </c>
      <c r="C22" s="8">
        <f>IF(B$19=0,0,B22/B$19)</f>
        <v>0.39473684210526316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3</v>
      </c>
    </row>
    <row r="23" spans="1:17" x14ac:dyDescent="0.45">
      <c r="A23" s="21" t="s">
        <v>184</v>
      </c>
      <c r="B23" s="14">
        <v>13</v>
      </c>
      <c r="C23" s="8">
        <f>IF(B$19=0,0,B23/B$19)</f>
        <v>0.34210526315789475</v>
      </c>
      <c r="E23" s="29" t="s">
        <v>78</v>
      </c>
      <c r="F23" s="26" t="s">
        <v>33</v>
      </c>
      <c r="G23" s="14">
        <v>0</v>
      </c>
      <c r="H23" s="92">
        <f>IF(B$19=0,0,G23/B$19)</f>
        <v>0</v>
      </c>
      <c r="I23" s="60">
        <v>5</v>
      </c>
    </row>
    <row r="24" spans="1:17" x14ac:dyDescent="0.45">
      <c r="A24" s="21" t="s">
        <v>182</v>
      </c>
      <c r="B24" s="14">
        <v>16</v>
      </c>
      <c r="C24" s="8">
        <f>IF(B$19=0,0,B24/B$19)</f>
        <v>0.42105263157894735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9</v>
      </c>
      <c r="C25" s="8">
        <f>IF(B$19=0,0,B25/B$19)</f>
        <v>0.23684210526315788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9778.9473684210534</v>
      </c>
      <c r="C26" s="10">
        <v>371600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10881.818181818182</v>
      </c>
      <c r="C27" s="100">
        <v>239400</v>
      </c>
      <c r="E27" s="29" t="s">
        <v>84</v>
      </c>
      <c r="F27" s="26" t="s">
        <v>39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8262.5</v>
      </c>
      <c r="C28" s="100">
        <v>132200</v>
      </c>
      <c r="E28" s="29" t="s">
        <v>85</v>
      </c>
      <c r="F28" s="26" t="s">
        <v>40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-6364.2857142857147</v>
      </c>
      <c r="C29" s="100">
        <v>-89100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17</v>
      </c>
      <c r="C31" s="94">
        <v>0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41">
        <v>4</v>
      </c>
      <c r="C32" s="142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4</v>
      </c>
    </row>
    <row r="33" spans="1:9" x14ac:dyDescent="0.45">
      <c r="A33" s="24" t="s">
        <v>181</v>
      </c>
      <c r="B33" s="143">
        <v>103000</v>
      </c>
      <c r="C33" s="144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9.0090090090090089E-3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2.6315789473684209E-2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6</v>
      </c>
      <c r="C37" s="8">
        <f t="shared" si="2"/>
        <v>0.15789473684210525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7</v>
      </c>
      <c r="C38" s="8">
        <f t="shared" si="2"/>
        <v>0.18421052631578946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5</v>
      </c>
      <c r="C39" s="8">
        <f t="shared" si="2"/>
        <v>0.13157894736842105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2"/>
        <v>0.13157894736842105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9</v>
      </c>
      <c r="C41" s="8">
        <f t="shared" si="2"/>
        <v>0.23684210526315788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4</v>
      </c>
      <c r="C42" s="8">
        <f t="shared" si="2"/>
        <v>0.10526315789473684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2.6315789473684209E-2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F1E55-988C-4C30-B40E-A723D01ABF2C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164</v>
      </c>
      <c r="C1" s="146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6</v>
      </c>
      <c r="C2" s="148"/>
      <c r="E2" s="28" t="s">
        <v>66</v>
      </c>
      <c r="F2" s="25" t="s">
        <v>22</v>
      </c>
      <c r="G2" s="13">
        <v>6</v>
      </c>
      <c r="H2" s="91">
        <f>IF(B$19=0,0,G2/B$19)</f>
        <v>0.6</v>
      </c>
      <c r="I2" s="59">
        <v>8</v>
      </c>
      <c r="K2" s="5">
        <v>0</v>
      </c>
      <c r="L2" s="64">
        <v>0</v>
      </c>
      <c r="N2" s="77" t="s">
        <v>128</v>
      </c>
      <c r="O2" s="83">
        <f t="shared" ref="O2:O7" si="0">IF(P2=0,0,Q2/P2)</f>
        <v>-2033.3333333333333</v>
      </c>
      <c r="P2" s="80">
        <v>6</v>
      </c>
      <c r="Q2" s="67">
        <v>-12200</v>
      </c>
    </row>
    <row r="3" spans="1:17" x14ac:dyDescent="0.45">
      <c r="A3" s="21" t="s">
        <v>8</v>
      </c>
      <c r="B3" s="149">
        <v>51</v>
      </c>
      <c r="C3" s="150"/>
      <c r="E3" s="29" t="s">
        <v>72</v>
      </c>
      <c r="F3" s="26" t="s">
        <v>27</v>
      </c>
      <c r="G3" s="14">
        <v>6</v>
      </c>
      <c r="H3" s="92">
        <f>IF(B$19=0,0,G3/B$19)</f>
        <v>0.6</v>
      </c>
      <c r="I3" s="60">
        <v>6</v>
      </c>
      <c r="K3" s="7">
        <v>1</v>
      </c>
      <c r="L3" s="65">
        <v>-31</v>
      </c>
      <c r="N3" s="78" t="s">
        <v>129</v>
      </c>
      <c r="O3" s="84">
        <f t="shared" si="0"/>
        <v>-3380</v>
      </c>
      <c r="P3" s="81">
        <v>5</v>
      </c>
      <c r="Q3" s="68">
        <v>-16900</v>
      </c>
    </row>
    <row r="4" spans="1:17" x14ac:dyDescent="0.45">
      <c r="A4" s="21" t="s">
        <v>6</v>
      </c>
      <c r="B4" s="151">
        <v>-182.90000000000003</v>
      </c>
      <c r="C4" s="152"/>
      <c r="E4" s="29" t="s">
        <v>160</v>
      </c>
      <c r="F4" s="26" t="s">
        <v>161</v>
      </c>
      <c r="G4" s="14">
        <v>4</v>
      </c>
      <c r="H4" s="92">
        <f>IF(B$19=0,0,G4/B$19)</f>
        <v>0.4</v>
      </c>
      <c r="I4" s="60">
        <v>6</v>
      </c>
      <c r="K4" s="7">
        <v>2</v>
      </c>
      <c r="L4" s="65">
        <v>-98.9</v>
      </c>
      <c r="N4" s="78" t="s">
        <v>130</v>
      </c>
      <c r="O4" s="84">
        <f t="shared" si="0"/>
        <v>-3720</v>
      </c>
      <c r="P4" s="81">
        <v>5</v>
      </c>
      <c r="Q4" s="68">
        <v>-18600</v>
      </c>
    </row>
    <row r="5" spans="1:17" x14ac:dyDescent="0.45">
      <c r="A5" s="21" t="s">
        <v>7</v>
      </c>
      <c r="B5" s="139">
        <f>IF(B$2=0,0,B$4/B$2)</f>
        <v>-30.483333333333338</v>
      </c>
      <c r="C5" s="140"/>
      <c r="E5" s="29" t="s">
        <v>64</v>
      </c>
      <c r="F5" s="26" t="s">
        <v>20</v>
      </c>
      <c r="G5" s="14">
        <v>3</v>
      </c>
      <c r="H5" s="92">
        <f>IF(B$19=0,0,G5/B$19)</f>
        <v>0.3</v>
      </c>
      <c r="I5" s="60">
        <v>8</v>
      </c>
      <c r="K5" s="7">
        <v>3</v>
      </c>
      <c r="L5" s="65">
        <v>-65.300000000000011</v>
      </c>
      <c r="N5" s="78" t="s">
        <v>131</v>
      </c>
      <c r="O5" s="84">
        <f t="shared" si="0"/>
        <v>-680</v>
      </c>
      <c r="P5" s="81">
        <v>5</v>
      </c>
      <c r="Q5" s="68">
        <v>-3400</v>
      </c>
    </row>
    <row r="6" spans="1:17" x14ac:dyDescent="0.45">
      <c r="A6" s="21" t="s">
        <v>1</v>
      </c>
      <c r="B6" s="153">
        <f>IF(B$2=0,0,(B$7*1+B$8*2+B$9*3)/B$2)</f>
        <v>2.6666666666666665</v>
      </c>
      <c r="C6" s="154"/>
      <c r="E6" s="29" t="s">
        <v>67</v>
      </c>
      <c r="F6" s="26" t="s">
        <v>23</v>
      </c>
      <c r="G6" s="14">
        <v>2</v>
      </c>
      <c r="H6" s="92">
        <f>IF(B$19=0,0,G6/B$19)</f>
        <v>0.2</v>
      </c>
      <c r="I6" s="60">
        <v>7</v>
      </c>
      <c r="K6" s="7">
        <v>4</v>
      </c>
      <c r="L6" s="65">
        <v>-99.700000000000017</v>
      </c>
      <c r="N6" s="78" t="s">
        <v>132</v>
      </c>
      <c r="O6" s="84">
        <f t="shared" si="0"/>
        <v>-50</v>
      </c>
      <c r="P6" s="81">
        <v>4</v>
      </c>
      <c r="Q6" s="68">
        <v>-200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0.16666666666666666</v>
      </c>
      <c r="E7" s="29" t="s">
        <v>68</v>
      </c>
      <c r="F7" s="26" t="s">
        <v>12</v>
      </c>
      <c r="G7" s="14">
        <v>1</v>
      </c>
      <c r="H7" s="92">
        <f>IF(B$19=0,0,G7/B$19)</f>
        <v>0.1</v>
      </c>
      <c r="I7" s="60">
        <v>10</v>
      </c>
      <c r="K7" s="7">
        <v>5</v>
      </c>
      <c r="L7" s="65">
        <v>-132.90000000000003</v>
      </c>
      <c r="N7" s="79" t="s">
        <v>133</v>
      </c>
      <c r="O7" s="85">
        <f t="shared" si="0"/>
        <v>-2700</v>
      </c>
      <c r="P7" s="82">
        <v>3</v>
      </c>
      <c r="Q7" s="69">
        <v>-8100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69</v>
      </c>
      <c r="F8" s="26" t="s">
        <v>24</v>
      </c>
      <c r="G8" s="14">
        <v>1</v>
      </c>
      <c r="H8" s="92">
        <f>IF(B$19=0,0,G8/B$19)</f>
        <v>0.1</v>
      </c>
      <c r="I8" s="60">
        <v>6</v>
      </c>
      <c r="K8" s="7">
        <v>6</v>
      </c>
      <c r="L8" s="65">
        <v>-182.90000000000003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0.83333333333333337</v>
      </c>
      <c r="E9" s="29" t="s">
        <v>70</v>
      </c>
      <c r="F9" s="26" t="s">
        <v>25</v>
      </c>
      <c r="G9" s="14">
        <v>1</v>
      </c>
      <c r="H9" s="92">
        <f>IF(B$19=0,0,G9/B$19)</f>
        <v>0.1</v>
      </c>
      <c r="I9" s="60">
        <v>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33.6</v>
      </c>
      <c r="C10" s="114">
        <v>33.6</v>
      </c>
      <c r="E10" s="29" t="s">
        <v>71</v>
      </c>
      <c r="F10" s="26" t="s">
        <v>26</v>
      </c>
      <c r="G10" s="14">
        <v>1</v>
      </c>
      <c r="H10" s="92">
        <f>IF(B$19=0,0,G10/B$19)</f>
        <v>0.1</v>
      </c>
      <c r="I10" s="60">
        <v>2</v>
      </c>
      <c r="N10" s="77" t="s">
        <v>152</v>
      </c>
      <c r="O10" s="86">
        <f>IF(P10=0,0,Q10/P10)</f>
        <v>-0.39999999999999858</v>
      </c>
      <c r="P10" s="80">
        <v>2</v>
      </c>
      <c r="Q10" s="71">
        <v>-0.79999999999999716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78</v>
      </c>
      <c r="F11" s="26" t="s">
        <v>33</v>
      </c>
      <c r="G11" s="14">
        <v>1</v>
      </c>
      <c r="H11" s="92">
        <f>IF(B$19=0,0,G11/B$19)</f>
        <v>0.1</v>
      </c>
      <c r="I11" s="60">
        <v>2</v>
      </c>
      <c r="N11" s="78" t="s">
        <v>153</v>
      </c>
      <c r="O11" s="87">
        <f>IF(P11=0,0,Q11/P11)</f>
        <v>-44.033333333333339</v>
      </c>
      <c r="P11" s="81">
        <v>3</v>
      </c>
      <c r="Q11" s="72">
        <v>-132.10000000000002</v>
      </c>
    </row>
    <row r="12" spans="1:17" x14ac:dyDescent="0.45">
      <c r="A12" s="22" t="s">
        <v>187</v>
      </c>
      <c r="B12" s="113">
        <f>IF(B9=0,0,C12/B9)</f>
        <v>-43.3</v>
      </c>
      <c r="C12" s="114">
        <v>-216.5</v>
      </c>
      <c r="E12" s="29" t="s">
        <v>81</v>
      </c>
      <c r="F12" s="26" t="s">
        <v>36</v>
      </c>
      <c r="G12" s="14">
        <v>1</v>
      </c>
      <c r="H12" s="92">
        <f>IF(B$19=0,0,G12/B$19)</f>
        <v>0.1</v>
      </c>
      <c r="I12" s="60">
        <v>2</v>
      </c>
      <c r="N12" s="79" t="s">
        <v>154</v>
      </c>
      <c r="O12" s="88">
        <f>IF(P12=0,0,Q12/P12)</f>
        <v>-50</v>
      </c>
      <c r="P12" s="82">
        <v>1</v>
      </c>
      <c r="Q12" s="73">
        <v>-50</v>
      </c>
    </row>
    <row r="13" spans="1:17" x14ac:dyDescent="0.45">
      <c r="A13" s="22" t="s">
        <v>188</v>
      </c>
      <c r="B13" s="139">
        <f>AVERAGE(B10:B12)</f>
        <v>-3.2333333333333321</v>
      </c>
      <c r="C13" s="140"/>
      <c r="E13" s="29" t="s">
        <v>83</v>
      </c>
      <c r="F13" s="26" t="s">
        <v>38</v>
      </c>
      <c r="G13" s="14">
        <v>1</v>
      </c>
      <c r="H13" s="92">
        <f>IF(B$19=0,0,G13/B$19)</f>
        <v>0.1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0.33333333333333331</v>
      </c>
      <c r="E14" s="29" t="s">
        <v>86</v>
      </c>
      <c r="F14" s="26" t="s">
        <v>41</v>
      </c>
      <c r="G14" s="14">
        <v>1</v>
      </c>
      <c r="H14" s="92">
        <f>IF(B$19=0,0,G14/B$19)</f>
        <v>0.1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</v>
      </c>
      <c r="C15" s="12">
        <f>IF(B$3=0,0,B15/B$3)</f>
        <v>0.21568627450980393</v>
      </c>
      <c r="E15" s="29" t="s">
        <v>89</v>
      </c>
      <c r="F15" s="26" t="s">
        <v>44</v>
      </c>
      <c r="G15" s="14">
        <v>1</v>
      </c>
      <c r="H15" s="92">
        <f>IF(B$19=0,0,G15/B$19)</f>
        <v>0.1</v>
      </c>
      <c r="I15" s="60">
        <v>9</v>
      </c>
      <c r="N15" s="77" t="s">
        <v>194</v>
      </c>
      <c r="O15" s="86">
        <f>IF(P15=0,0,Q15/P15)</f>
        <v>-15.799999999999997</v>
      </c>
      <c r="P15" s="80">
        <v>2</v>
      </c>
      <c r="Q15" s="71">
        <v>-31.599999999999994</v>
      </c>
    </row>
    <row r="16" spans="1:17" x14ac:dyDescent="0.45">
      <c r="A16" s="21" t="s">
        <v>118</v>
      </c>
      <c r="B16" s="14">
        <v>13</v>
      </c>
      <c r="C16" s="8">
        <f>IF(B$3=0,0,B16/B$3)</f>
        <v>0.25490196078431371</v>
      </c>
      <c r="E16" s="29" t="s">
        <v>65</v>
      </c>
      <c r="F16" s="26" t="s">
        <v>21</v>
      </c>
      <c r="G16" s="14">
        <v>0</v>
      </c>
      <c r="H16" s="92">
        <f>IF(B$19=0,0,G16/B$19)</f>
        <v>0</v>
      </c>
      <c r="I16" s="60">
        <v>8</v>
      </c>
      <c r="N16" s="78" t="s">
        <v>190</v>
      </c>
      <c r="O16" s="87">
        <f>IF(P16=0,0,Q16/P16)</f>
        <v>-26.525000000000002</v>
      </c>
      <c r="P16" s="81">
        <v>4</v>
      </c>
      <c r="Q16" s="72">
        <v>-106.10000000000001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0.27272727272727271</v>
      </c>
      <c r="E17" s="29" t="s">
        <v>73</v>
      </c>
      <c r="F17" s="26" t="s">
        <v>28</v>
      </c>
      <c r="G17" s="14">
        <v>0</v>
      </c>
      <c r="H17" s="92">
        <f>IF(B$19=0,0,G17/B$19)</f>
        <v>0</v>
      </c>
      <c r="I17" s="60">
        <v>3</v>
      </c>
      <c r="N17" s="78" t="s">
        <v>198</v>
      </c>
      <c r="O17" s="87">
        <f>IF(P17=0,0,Q17/P17)</f>
        <v>-40.900000000000006</v>
      </c>
      <c r="P17" s="81">
        <v>2</v>
      </c>
      <c r="Q17" s="72">
        <v>-81.800000000000011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0.30769230769230771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1</v>
      </c>
      <c r="N18" s="78" t="s">
        <v>126</v>
      </c>
      <c r="O18" s="87">
        <f>IF(P18=0,0,Q18/P18)</f>
        <v>-82.300000000000011</v>
      </c>
      <c r="P18" s="81">
        <v>4</v>
      </c>
      <c r="Q18" s="72">
        <v>-329.20000000000005</v>
      </c>
    </row>
    <row r="19" spans="1:17" x14ac:dyDescent="0.45">
      <c r="A19" s="20" t="s">
        <v>10</v>
      </c>
      <c r="B19" s="13">
        <f>B22+B21</f>
        <v>10</v>
      </c>
      <c r="C19" s="6">
        <f>IF(B$3=0,0,B19/B$3)</f>
        <v>0.19607843137254902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11</v>
      </c>
      <c r="C20" s="8">
        <f>IF(B$3=0,0,B20/B$3)</f>
        <v>0.21568627450980393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3</v>
      </c>
      <c r="C21" s="8">
        <f>IF(B$19=0,0,B21/B$19)</f>
        <v>0.3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7</v>
      </c>
      <c r="C22" s="8">
        <f>IF(B$19=0,0,B22/B$19)</f>
        <v>0.7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3</v>
      </c>
    </row>
    <row r="23" spans="1:17" x14ac:dyDescent="0.45">
      <c r="A23" s="21" t="s">
        <v>184</v>
      </c>
      <c r="B23" s="14">
        <v>3</v>
      </c>
      <c r="C23" s="8">
        <f>IF(B$19=0,0,B23/B$19)</f>
        <v>0.3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0.3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7340</v>
      </c>
      <c r="C26" s="10">
        <v>73400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7916.666666666667</v>
      </c>
      <c r="C27" s="100">
        <v>47500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6475</v>
      </c>
      <c r="C28" s="100">
        <v>25900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-12463.636363636364</v>
      </c>
      <c r="C29" s="100">
        <v>-137100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4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58600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1.9607843137254902E-2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0.1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0.3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0.1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67F6D-0431-4D85-85FC-8CA8342042F4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190</v>
      </c>
      <c r="C1" s="146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6</v>
      </c>
      <c r="C2" s="148"/>
      <c r="E2" s="28" t="s">
        <v>72</v>
      </c>
      <c r="F2" s="25" t="s">
        <v>27</v>
      </c>
      <c r="G2" s="13">
        <v>18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1750</v>
      </c>
      <c r="P2" s="80">
        <v>6</v>
      </c>
      <c r="Q2" s="67">
        <v>10500</v>
      </c>
    </row>
    <row r="3" spans="1:17" x14ac:dyDescent="0.45">
      <c r="A3" s="21" t="s">
        <v>8</v>
      </c>
      <c r="B3" s="149">
        <v>53</v>
      </c>
      <c r="C3" s="150"/>
      <c r="E3" s="29" t="s">
        <v>66</v>
      </c>
      <c r="F3" s="26" t="s">
        <v>22</v>
      </c>
      <c r="G3" s="14">
        <v>10</v>
      </c>
      <c r="H3" s="92">
        <f>IF(B$19=0,0,G3/B$19)</f>
        <v>0.55555555555555558</v>
      </c>
      <c r="I3" s="60">
        <v>9</v>
      </c>
      <c r="K3" s="7">
        <v>1</v>
      </c>
      <c r="L3" s="65">
        <v>10.1</v>
      </c>
      <c r="N3" s="78" t="s">
        <v>129</v>
      </c>
      <c r="O3" s="84">
        <f t="shared" si="0"/>
        <v>-2783.3333333333335</v>
      </c>
      <c r="P3" s="81">
        <v>6</v>
      </c>
      <c r="Q3" s="68">
        <v>-16700</v>
      </c>
    </row>
    <row r="4" spans="1:17" x14ac:dyDescent="0.45">
      <c r="A4" s="21" t="s">
        <v>6</v>
      </c>
      <c r="B4" s="151">
        <v>24.7</v>
      </c>
      <c r="C4" s="152"/>
      <c r="E4" s="29" t="s">
        <v>67</v>
      </c>
      <c r="F4" s="26" t="s">
        <v>23</v>
      </c>
      <c r="G4" s="14">
        <v>10</v>
      </c>
      <c r="H4" s="92">
        <f>IF(B$19=0,0,G4/B$19)</f>
        <v>0.55555555555555558</v>
      </c>
      <c r="I4" s="60">
        <v>2</v>
      </c>
      <c r="K4" s="7">
        <v>2</v>
      </c>
      <c r="L4" s="65">
        <v>36.4</v>
      </c>
      <c r="N4" s="78" t="s">
        <v>130</v>
      </c>
      <c r="O4" s="84">
        <f t="shared" si="0"/>
        <v>583.33333333333337</v>
      </c>
      <c r="P4" s="81">
        <v>6</v>
      </c>
      <c r="Q4" s="68">
        <v>3500</v>
      </c>
    </row>
    <row r="5" spans="1:17" x14ac:dyDescent="0.45">
      <c r="A5" s="21" t="s">
        <v>7</v>
      </c>
      <c r="B5" s="139">
        <f>IF(B$2=0,0,B$4/B$2)</f>
        <v>4.1166666666666663</v>
      </c>
      <c r="C5" s="140"/>
      <c r="E5" s="29" t="s">
        <v>160</v>
      </c>
      <c r="F5" s="26" t="s">
        <v>161</v>
      </c>
      <c r="G5" s="14">
        <v>8</v>
      </c>
      <c r="H5" s="92">
        <f>IF(B$19=0,0,G5/B$19)</f>
        <v>0.44444444444444442</v>
      </c>
      <c r="I5" s="60">
        <v>4</v>
      </c>
      <c r="K5" s="7">
        <v>3</v>
      </c>
      <c r="L5" s="65">
        <v>36.4</v>
      </c>
      <c r="N5" s="78" t="s">
        <v>131</v>
      </c>
      <c r="O5" s="84">
        <f t="shared" si="0"/>
        <v>-150</v>
      </c>
      <c r="P5" s="81">
        <v>6</v>
      </c>
      <c r="Q5" s="68">
        <v>-900</v>
      </c>
    </row>
    <row r="6" spans="1:17" x14ac:dyDescent="0.45">
      <c r="A6" s="21" t="s">
        <v>1</v>
      </c>
      <c r="B6" s="153">
        <f>IF(B$2=0,0,(B$7*1+B$8*2+B$9*3)/B$2)</f>
        <v>2</v>
      </c>
      <c r="C6" s="154"/>
      <c r="E6" s="29" t="s">
        <v>64</v>
      </c>
      <c r="F6" s="26" t="s">
        <v>20</v>
      </c>
      <c r="G6" s="14">
        <v>7</v>
      </c>
      <c r="H6" s="92">
        <f>IF(B$19=0,0,G6/B$19)</f>
        <v>0.3888888888888889</v>
      </c>
      <c r="I6" s="60">
        <v>6</v>
      </c>
      <c r="K6" s="7">
        <v>4</v>
      </c>
      <c r="L6" s="65">
        <v>13.299999999999997</v>
      </c>
      <c r="N6" s="78" t="s">
        <v>132</v>
      </c>
      <c r="O6" s="84">
        <f t="shared" si="0"/>
        <v>3350</v>
      </c>
      <c r="P6" s="81">
        <v>6</v>
      </c>
      <c r="Q6" s="68">
        <v>20100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0.16666666666666666</v>
      </c>
      <c r="E7" s="29" t="s">
        <v>68</v>
      </c>
      <c r="F7" s="26" t="s">
        <v>12</v>
      </c>
      <c r="G7" s="14">
        <v>6</v>
      </c>
      <c r="H7" s="92">
        <f>IF(B$19=0,0,G7/B$19)</f>
        <v>0.33333333333333331</v>
      </c>
      <c r="I7" s="60">
        <v>4</v>
      </c>
      <c r="K7" s="7">
        <v>5</v>
      </c>
      <c r="L7" s="65">
        <v>8.0999999999999979</v>
      </c>
      <c r="N7" s="79" t="s">
        <v>133</v>
      </c>
      <c r="O7" s="85">
        <f t="shared" si="0"/>
        <v>2300</v>
      </c>
      <c r="P7" s="82">
        <v>4</v>
      </c>
      <c r="Q7" s="69">
        <v>9200</v>
      </c>
    </row>
    <row r="8" spans="1:17" x14ac:dyDescent="0.45">
      <c r="A8" s="21" t="s">
        <v>3</v>
      </c>
      <c r="B8" s="14">
        <v>4</v>
      </c>
      <c r="C8" s="8">
        <f t="shared" si="1"/>
        <v>0.66666666666666663</v>
      </c>
      <c r="E8" s="29" t="s">
        <v>89</v>
      </c>
      <c r="F8" s="26" t="s">
        <v>44</v>
      </c>
      <c r="G8" s="14">
        <v>3</v>
      </c>
      <c r="H8" s="92">
        <f>IF(B$19=0,0,G8/B$19)</f>
        <v>0.16666666666666666</v>
      </c>
      <c r="I8" s="60">
        <v>7</v>
      </c>
      <c r="K8" s="7">
        <v>6</v>
      </c>
      <c r="L8" s="65">
        <v>24.7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0.16666666666666666</v>
      </c>
      <c r="E9" s="29" t="s">
        <v>65</v>
      </c>
      <c r="F9" s="26" t="s">
        <v>21</v>
      </c>
      <c r="G9" s="14">
        <v>2</v>
      </c>
      <c r="H9" s="92">
        <f>IF(B$19=0,0,G9/B$19)</f>
        <v>0.1111111111111111</v>
      </c>
      <c r="I9" s="60">
        <v>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16.600000000000001</v>
      </c>
      <c r="C10" s="114">
        <v>16.600000000000001</v>
      </c>
      <c r="E10" s="29" t="s">
        <v>70</v>
      </c>
      <c r="F10" s="26" t="s">
        <v>25</v>
      </c>
      <c r="G10" s="14">
        <v>1</v>
      </c>
      <c r="H10" s="92">
        <f>IF(B$19=0,0,G10/B$19)</f>
        <v>5.5555555555555552E-2</v>
      </c>
      <c r="I10" s="60">
        <v>7</v>
      </c>
      <c r="N10" s="77" t="s">
        <v>152</v>
      </c>
      <c r="O10" s="86">
        <f>IF(P10=0,0,Q10/P10)</f>
        <v>6.6000000000000005</v>
      </c>
      <c r="P10" s="80">
        <v>3</v>
      </c>
      <c r="Q10" s="71">
        <v>19.8</v>
      </c>
    </row>
    <row r="11" spans="1:17" x14ac:dyDescent="0.45">
      <c r="A11" s="22" t="s">
        <v>186</v>
      </c>
      <c r="B11" s="113">
        <f>IF(B8=0,0,C11/B8)</f>
        <v>7.8</v>
      </c>
      <c r="C11" s="114">
        <v>31.2</v>
      </c>
      <c r="E11" s="29" t="s">
        <v>71</v>
      </c>
      <c r="F11" s="26" t="s">
        <v>26</v>
      </c>
      <c r="G11" s="14">
        <v>1</v>
      </c>
      <c r="H11" s="92">
        <f>IF(B$19=0,0,G11/B$19)</f>
        <v>5.5555555555555552E-2</v>
      </c>
      <c r="I11" s="60">
        <v>5</v>
      </c>
      <c r="N11" s="78" t="s">
        <v>153</v>
      </c>
      <c r="O11" s="87">
        <f>IF(P11=0,0,Q11/P11)</f>
        <v>-5.2</v>
      </c>
      <c r="P11" s="81">
        <v>1</v>
      </c>
      <c r="Q11" s="72">
        <v>-5.2</v>
      </c>
    </row>
    <row r="12" spans="1:17" x14ac:dyDescent="0.45">
      <c r="A12" s="22" t="s">
        <v>187</v>
      </c>
      <c r="B12" s="113">
        <f>IF(B9=0,0,C12/B9)</f>
        <v>-23.1</v>
      </c>
      <c r="C12" s="114">
        <v>-23.1</v>
      </c>
      <c r="E12" s="29" t="s">
        <v>83</v>
      </c>
      <c r="F12" s="26" t="s">
        <v>38</v>
      </c>
      <c r="G12" s="14">
        <v>1</v>
      </c>
      <c r="H12" s="92">
        <f>IF(B$19=0,0,G12/B$19)</f>
        <v>5.5555555555555552E-2</v>
      </c>
      <c r="I12" s="60">
        <v>6</v>
      </c>
      <c r="N12" s="79" t="s">
        <v>154</v>
      </c>
      <c r="O12" s="88">
        <f>IF(P12=0,0,Q12/P12)</f>
        <v>5.05</v>
      </c>
      <c r="P12" s="82">
        <v>2</v>
      </c>
      <c r="Q12" s="73">
        <v>10.1</v>
      </c>
    </row>
    <row r="13" spans="1:17" x14ac:dyDescent="0.45">
      <c r="A13" s="22" t="s">
        <v>188</v>
      </c>
      <c r="B13" s="139">
        <f>AVERAGE(B10:B12)</f>
        <v>0.43333333333333357</v>
      </c>
      <c r="C13" s="140"/>
      <c r="E13" s="29" t="s">
        <v>86</v>
      </c>
      <c r="F13" s="26" t="s">
        <v>41</v>
      </c>
      <c r="G13" s="14">
        <v>1</v>
      </c>
      <c r="H13" s="92">
        <f>IF(B$19=0,0,G13/B$19)</f>
        <v>5.5555555555555552E-2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91</v>
      </c>
      <c r="F14" s="26" t="s">
        <v>46</v>
      </c>
      <c r="G14" s="14">
        <v>1</v>
      </c>
      <c r="H14" s="92">
        <f>IF(B$19=0,0,G14/B$19)</f>
        <v>5.5555555555555552E-2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15</v>
      </c>
      <c r="C15" s="12">
        <f>IF(B$3=0,0,B15/B$3)</f>
        <v>0.28301886792452829</v>
      </c>
      <c r="E15" s="29" t="s">
        <v>69</v>
      </c>
      <c r="F15" s="26" t="s">
        <v>24</v>
      </c>
      <c r="G15" s="14">
        <v>0</v>
      </c>
      <c r="H15" s="92">
        <f>IF(B$19=0,0,G15/B$19)</f>
        <v>0</v>
      </c>
      <c r="I15" s="60">
        <v>9</v>
      </c>
      <c r="N15" s="77" t="s">
        <v>164</v>
      </c>
      <c r="O15" s="86">
        <f>IF(P15=0,0,Q15/P15)</f>
        <v>67.650000000000006</v>
      </c>
      <c r="P15" s="80">
        <v>2</v>
      </c>
      <c r="Q15" s="71">
        <v>135.30000000000001</v>
      </c>
    </row>
    <row r="16" spans="1:17" x14ac:dyDescent="0.45">
      <c r="A16" s="21" t="s">
        <v>118</v>
      </c>
      <c r="B16" s="14">
        <v>23</v>
      </c>
      <c r="C16" s="8">
        <f>IF(B$3=0,0,B16/B$3)</f>
        <v>0.43396226415094341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194</v>
      </c>
      <c r="O16" s="87">
        <f>IF(P16=0,0,Q16/P16)</f>
        <v>30.200000000000003</v>
      </c>
      <c r="P16" s="81">
        <v>1</v>
      </c>
      <c r="Q16" s="72">
        <v>30.200000000000003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0.46666666666666667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-6.9333333333333336</v>
      </c>
      <c r="P17" s="81">
        <v>6</v>
      </c>
      <c r="Q17" s="72">
        <v>-41.6</v>
      </c>
    </row>
    <row r="18" spans="1:17" x14ac:dyDescent="0.45">
      <c r="A18" s="20" t="s">
        <v>124</v>
      </c>
      <c r="B18" s="13">
        <f>B24</f>
        <v>9</v>
      </c>
      <c r="C18" s="6">
        <f>IF(B$16=0,0,B18/B$16)</f>
        <v>0.39130434782608697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  <c r="N18" s="78" t="s">
        <v>198</v>
      </c>
      <c r="O18" s="87">
        <f>IF(P18=0,0,Q18/P18)</f>
        <v>-16.600000000000001</v>
      </c>
      <c r="P18" s="81">
        <v>3</v>
      </c>
      <c r="Q18" s="72">
        <v>-49.800000000000004</v>
      </c>
    </row>
    <row r="19" spans="1:17" x14ac:dyDescent="0.45">
      <c r="A19" s="20" t="s">
        <v>10</v>
      </c>
      <c r="B19" s="13">
        <f>B22+B21</f>
        <v>18</v>
      </c>
      <c r="C19" s="6">
        <f>IF(B$3=0,0,B19/B$3)</f>
        <v>0.33962264150943394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7</v>
      </c>
      <c r="C20" s="8">
        <f>IF(B$3=0,0,B20/B$3)</f>
        <v>0.13207547169811321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3</v>
      </c>
    </row>
    <row r="21" spans="1:17" x14ac:dyDescent="0.45">
      <c r="A21" s="21" t="s">
        <v>12</v>
      </c>
      <c r="B21" s="14">
        <v>10</v>
      </c>
      <c r="C21" s="8">
        <f>IF(B$19=0,0,B21/B$19)</f>
        <v>0.55555555555555558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5</v>
      </c>
    </row>
    <row r="22" spans="1:17" x14ac:dyDescent="0.45">
      <c r="A22" s="21" t="s">
        <v>11</v>
      </c>
      <c r="B22" s="14">
        <v>8</v>
      </c>
      <c r="C22" s="8">
        <f>IF(B$19=0,0,B22/B$19)</f>
        <v>0.44444444444444442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3</v>
      </c>
    </row>
    <row r="23" spans="1:17" x14ac:dyDescent="0.45">
      <c r="A23" s="21" t="s">
        <v>184</v>
      </c>
      <c r="B23" s="14">
        <v>7</v>
      </c>
      <c r="C23" s="8">
        <f>IF(B$19=0,0,B23/B$19)</f>
        <v>0.3888888888888889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9</v>
      </c>
      <c r="C24" s="8">
        <f>IF(B$19=0,0,B24/B$19)</f>
        <v>0.5</v>
      </c>
      <c r="E24" s="29" t="s">
        <v>81</v>
      </c>
      <c r="F24" s="26" t="s">
        <v>36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183</v>
      </c>
      <c r="B25" s="14">
        <v>2</v>
      </c>
      <c r="C25" s="8">
        <f>IF(B$19=0,0,B25/B$19)</f>
        <v>0.1111111111111111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8355.5555555555547</v>
      </c>
      <c r="C26" s="10">
        <v>150400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10711.111111111111</v>
      </c>
      <c r="C27" s="100">
        <v>96400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6000</v>
      </c>
      <c r="C28" s="100">
        <v>54000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-7571.4285714285716</v>
      </c>
      <c r="C29" s="100">
        <v>-53000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12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7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61300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5.5555555555555552E-2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0.27777777777777779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0.16666666666666666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0.1111111111111111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5.5555555555555552E-2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5.5555555555555552E-2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2</v>
      </c>
      <c r="C42" s="8">
        <f t="shared" si="2"/>
        <v>0.1111111111111111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2"/>
        <v>5.5555555555555552E-2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5.5555555555555552E-2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5.5555555555555552E-2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8F831-B0BF-4384-94B8-8C2A2C04AA83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195</v>
      </c>
      <c r="C1" s="146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3</v>
      </c>
      <c r="C2" s="148"/>
      <c r="E2" s="28" t="s">
        <v>160</v>
      </c>
      <c r="F2" s="25" t="s">
        <v>161</v>
      </c>
      <c r="G2" s="13">
        <v>3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2566.6666666666665</v>
      </c>
      <c r="P2" s="80">
        <v>3</v>
      </c>
      <c r="Q2" s="67">
        <v>7700</v>
      </c>
    </row>
    <row r="3" spans="1:17" x14ac:dyDescent="0.45">
      <c r="A3" s="21" t="s">
        <v>8</v>
      </c>
      <c r="B3" s="149">
        <v>21</v>
      </c>
      <c r="C3" s="150"/>
      <c r="E3" s="29" t="s">
        <v>69</v>
      </c>
      <c r="F3" s="26" t="s">
        <v>24</v>
      </c>
      <c r="G3" s="14">
        <v>2</v>
      </c>
      <c r="H3" s="92">
        <f>IF(B$19=0,0,G3/B$19)</f>
        <v>0.66666666666666663</v>
      </c>
      <c r="I3" s="60">
        <v>1</v>
      </c>
      <c r="K3" s="7">
        <v>1</v>
      </c>
      <c r="L3" s="65">
        <v>-33.6</v>
      </c>
      <c r="N3" s="78" t="s">
        <v>129</v>
      </c>
      <c r="O3" s="84">
        <f t="shared" si="0"/>
        <v>4066.6666666666665</v>
      </c>
      <c r="P3" s="81">
        <v>3</v>
      </c>
      <c r="Q3" s="68">
        <v>12200</v>
      </c>
    </row>
    <row r="4" spans="1:17" x14ac:dyDescent="0.45">
      <c r="A4" s="21" t="s">
        <v>6</v>
      </c>
      <c r="B4" s="151">
        <v>-40.4</v>
      </c>
      <c r="C4" s="152"/>
      <c r="E4" s="29" t="s">
        <v>64</v>
      </c>
      <c r="F4" s="26" t="s">
        <v>20</v>
      </c>
      <c r="G4" s="14">
        <v>1</v>
      </c>
      <c r="H4" s="92">
        <f>IF(B$19=0,0,G4/B$19)</f>
        <v>0.33333333333333331</v>
      </c>
      <c r="I4" s="60">
        <v>7</v>
      </c>
      <c r="K4" s="7">
        <v>2</v>
      </c>
      <c r="L4" s="65">
        <v>-36.9</v>
      </c>
      <c r="N4" s="78" t="s">
        <v>130</v>
      </c>
      <c r="O4" s="84">
        <f t="shared" si="0"/>
        <v>-2766.6666666666665</v>
      </c>
      <c r="P4" s="81">
        <v>3</v>
      </c>
      <c r="Q4" s="68">
        <v>-8300</v>
      </c>
    </row>
    <row r="5" spans="1:17" x14ac:dyDescent="0.45">
      <c r="A5" s="21" t="s">
        <v>7</v>
      </c>
      <c r="B5" s="139">
        <f>IF(B$2=0,0,B$4/B$2)</f>
        <v>-13.466666666666667</v>
      </c>
      <c r="C5" s="140"/>
      <c r="E5" s="29" t="s">
        <v>67</v>
      </c>
      <c r="F5" s="26" t="s">
        <v>23</v>
      </c>
      <c r="G5" s="14">
        <v>1</v>
      </c>
      <c r="H5" s="92">
        <f>IF(B$19=0,0,G5/B$19)</f>
        <v>0.33333333333333331</v>
      </c>
      <c r="I5" s="60">
        <v>4</v>
      </c>
      <c r="K5" s="7">
        <v>3</v>
      </c>
      <c r="L5" s="65">
        <v>-40.4</v>
      </c>
      <c r="N5" s="78" t="s">
        <v>131</v>
      </c>
      <c r="O5" s="84">
        <f t="shared" si="0"/>
        <v>-9750</v>
      </c>
      <c r="P5" s="81">
        <v>2</v>
      </c>
      <c r="Q5" s="68">
        <v>-19500</v>
      </c>
    </row>
    <row r="6" spans="1:17" x14ac:dyDescent="0.45">
      <c r="A6" s="21" t="s">
        <v>1</v>
      </c>
      <c r="B6" s="153">
        <f>IF(B$2=0,0,(B$7*1+B$8*2+B$9*3)/B$2)</f>
        <v>2.3333333333333335</v>
      </c>
      <c r="C6" s="154"/>
      <c r="E6" s="29" t="s">
        <v>72</v>
      </c>
      <c r="F6" s="26" t="s">
        <v>27</v>
      </c>
      <c r="G6" s="14">
        <v>1</v>
      </c>
      <c r="H6" s="92">
        <f>IF(B$19=0,0,G6/B$19)</f>
        <v>0.33333333333333331</v>
      </c>
      <c r="I6" s="60">
        <v>10</v>
      </c>
      <c r="N6" s="78" t="s">
        <v>132</v>
      </c>
      <c r="O6" s="84">
        <f t="shared" si="0"/>
        <v>-10500</v>
      </c>
      <c r="P6" s="81">
        <v>2</v>
      </c>
      <c r="Q6" s="68">
        <v>-21000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89</v>
      </c>
      <c r="F7" s="26" t="s">
        <v>44</v>
      </c>
      <c r="G7" s="14">
        <v>1</v>
      </c>
      <c r="H7" s="92">
        <f>IF(B$19=0,0,G7/B$19)</f>
        <v>0.33333333333333331</v>
      </c>
      <c r="I7" s="60">
        <v>2</v>
      </c>
      <c r="N7" s="79" t="s">
        <v>133</v>
      </c>
      <c r="O7" s="85">
        <f t="shared" si="0"/>
        <v>-750</v>
      </c>
      <c r="P7" s="82">
        <v>2</v>
      </c>
      <c r="Q7" s="69">
        <v>-1500</v>
      </c>
    </row>
    <row r="8" spans="1:17" x14ac:dyDescent="0.45">
      <c r="A8" s="21" t="s">
        <v>3</v>
      </c>
      <c r="B8" s="14">
        <v>2</v>
      </c>
      <c r="C8" s="8">
        <f t="shared" si="1"/>
        <v>0.66666666666666663</v>
      </c>
      <c r="E8" s="29" t="s">
        <v>65</v>
      </c>
      <c r="F8" s="26" t="s">
        <v>21</v>
      </c>
      <c r="G8" s="14">
        <v>0</v>
      </c>
      <c r="H8" s="92">
        <f>IF(B$19=0,0,G8/B$19)</f>
        <v>0</v>
      </c>
      <c r="I8" s="60">
        <v>8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66</v>
      </c>
      <c r="F9" s="26" t="s">
        <v>22</v>
      </c>
      <c r="G9" s="14">
        <v>0</v>
      </c>
      <c r="H9" s="92">
        <f>IF(B$19=0,0,G9/B$19)</f>
        <v>0</v>
      </c>
      <c r="I9" s="60">
        <v>11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68</v>
      </c>
      <c r="F10" s="26" t="s">
        <v>12</v>
      </c>
      <c r="G10" s="14">
        <v>0</v>
      </c>
      <c r="H10" s="92">
        <f>IF(B$19=0,0,G10/B$19)</f>
        <v>0</v>
      </c>
      <c r="I10" s="60">
        <v>11</v>
      </c>
      <c r="N10" s="77" t="s">
        <v>152</v>
      </c>
      <c r="O10" s="86">
        <f>IF(P10=0,0,Q10/P10)</f>
        <v>-33.6</v>
      </c>
      <c r="P10" s="80">
        <v>1</v>
      </c>
      <c r="Q10" s="71">
        <v>-33.6</v>
      </c>
    </row>
    <row r="11" spans="1:17" x14ac:dyDescent="0.45">
      <c r="A11" s="22" t="s">
        <v>186</v>
      </c>
      <c r="B11" s="113">
        <f>IF(B8=0,0,C11/B8)</f>
        <v>-3.4</v>
      </c>
      <c r="C11" s="114">
        <v>-6.8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9</v>
      </c>
      <c r="N11" s="78" t="s">
        <v>153</v>
      </c>
      <c r="O11" s="87">
        <f>IF(P11=0,0,Q11/P11)</f>
        <v>-3.3</v>
      </c>
      <c r="P11" s="81">
        <v>1</v>
      </c>
      <c r="Q11" s="72">
        <v>-3.3</v>
      </c>
    </row>
    <row r="12" spans="1:17" x14ac:dyDescent="0.45">
      <c r="A12" s="22" t="s">
        <v>187</v>
      </c>
      <c r="B12" s="113">
        <f>IF(B9=0,0,C12/B9)</f>
        <v>-33.6</v>
      </c>
      <c r="C12" s="114">
        <v>-33.6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7</v>
      </c>
      <c r="N12" s="79" t="s">
        <v>154</v>
      </c>
      <c r="O12" s="88">
        <f>IF(P12=0,0,Q12/P12)</f>
        <v>-3.5</v>
      </c>
      <c r="P12" s="82">
        <v>1</v>
      </c>
      <c r="Q12" s="73">
        <v>-3.5</v>
      </c>
    </row>
    <row r="13" spans="1:17" x14ac:dyDescent="0.45">
      <c r="A13" s="22" t="s">
        <v>188</v>
      </c>
      <c r="B13" s="139">
        <f>AVERAGE(B10:B12)</f>
        <v>-12.333333333333334</v>
      </c>
      <c r="C13" s="140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</v>
      </c>
      <c r="C15" s="12">
        <f>IF(B$3=0,0,B15/B$3)</f>
        <v>9.5238095238095233E-2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194</v>
      </c>
      <c r="O15" s="86">
        <f>IF(P15=0,0,Q15/P15)</f>
        <v>-6.5999999999999988</v>
      </c>
      <c r="P15" s="80">
        <v>3</v>
      </c>
      <c r="Q15" s="71">
        <v>-19.799999999999997</v>
      </c>
    </row>
    <row r="16" spans="1:17" x14ac:dyDescent="0.45">
      <c r="A16" s="21" t="s">
        <v>118</v>
      </c>
      <c r="B16" s="14">
        <v>5</v>
      </c>
      <c r="C16" s="8">
        <f>IF(B$3=0,0,B16/B$3)</f>
        <v>0.23809523809523808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-33.800000000000004</v>
      </c>
      <c r="P16" s="81">
        <v>3</v>
      </c>
      <c r="Q16" s="72">
        <v>-101.4</v>
      </c>
    </row>
    <row r="17" spans="1:9" x14ac:dyDescent="0.45">
      <c r="A17" s="20" t="s">
        <v>123</v>
      </c>
      <c r="B17" s="13">
        <f>B23</f>
        <v>1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5</v>
      </c>
    </row>
    <row r="19" spans="1:9" x14ac:dyDescent="0.45">
      <c r="A19" s="20" t="s">
        <v>10</v>
      </c>
      <c r="B19" s="13">
        <f>B22+B21</f>
        <v>3</v>
      </c>
      <c r="C19" s="6">
        <f>IF(B$3=0,0,B19/B$3)</f>
        <v>0.14285714285714285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9" x14ac:dyDescent="0.45">
      <c r="A20" s="21" t="s">
        <v>13</v>
      </c>
      <c r="B20" s="14">
        <v>1</v>
      </c>
      <c r="C20" s="8">
        <f>IF(B$3=0,0,B20/B$3)</f>
        <v>4.7619047619047616E-2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6</v>
      </c>
    </row>
    <row r="22" spans="1:9" x14ac:dyDescent="0.45">
      <c r="A22" s="21" t="s">
        <v>11</v>
      </c>
      <c r="B22" s="14">
        <v>3</v>
      </c>
      <c r="C22" s="8">
        <f>IF(B$19=0,0,B22/B$19)</f>
        <v>1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1</v>
      </c>
      <c r="C23" s="8">
        <f>IF(B$19=0,0,B23/B$19)</f>
        <v>0.33333333333333331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9" x14ac:dyDescent="0.45">
      <c r="A24" s="21" t="s">
        <v>182</v>
      </c>
      <c r="B24" s="14">
        <v>1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1</v>
      </c>
      <c r="C25" s="8">
        <f>IF(B$19=0,0,B25/B$19)</f>
        <v>0.33333333333333331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5800</v>
      </c>
      <c r="C26" s="10">
        <v>17400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7</v>
      </c>
    </row>
    <row r="27" spans="1:9" x14ac:dyDescent="0.45">
      <c r="A27" s="22" t="s">
        <v>166</v>
      </c>
      <c r="B27" s="99">
        <f>IF($B$19-B$18=0,0,C27/($B$19-B$18))</f>
        <v>4850</v>
      </c>
      <c r="C27" s="100">
        <v>9700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7700</v>
      </c>
      <c r="C28" s="100">
        <v>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9" x14ac:dyDescent="0.45">
      <c r="A31" s="21" t="s">
        <v>159</v>
      </c>
      <c r="B31" s="14">
        <v>15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5">
      <c r="A32" s="56" t="s">
        <v>136</v>
      </c>
      <c r="B32" s="141">
        <v>2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31700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2</v>
      </c>
      <c r="C39" s="8">
        <f t="shared" si="2"/>
        <v>0.66666666666666663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D75E-6A88-4E67-8A68-C9D67507F3BB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194</v>
      </c>
      <c r="C1" s="146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10</v>
      </c>
      <c r="C2" s="148"/>
      <c r="E2" s="28" t="s">
        <v>66</v>
      </c>
      <c r="F2" s="25" t="s">
        <v>22</v>
      </c>
      <c r="G2" s="13">
        <v>20</v>
      </c>
      <c r="H2" s="91">
        <f>IF(B$19=0,0,G2/B$19)</f>
        <v>0.83333333333333337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-1740</v>
      </c>
      <c r="P2" s="80">
        <v>10</v>
      </c>
      <c r="Q2" s="67">
        <v>-17400</v>
      </c>
    </row>
    <row r="3" spans="1:17" x14ac:dyDescent="0.45">
      <c r="A3" s="21" t="s">
        <v>8</v>
      </c>
      <c r="B3" s="149">
        <v>78</v>
      </c>
      <c r="C3" s="150"/>
      <c r="E3" s="29" t="s">
        <v>64</v>
      </c>
      <c r="F3" s="26" t="s">
        <v>20</v>
      </c>
      <c r="G3" s="14">
        <v>13</v>
      </c>
      <c r="H3" s="92">
        <f>IF(B$19=0,0,G3/B$19)</f>
        <v>0.54166666666666663</v>
      </c>
      <c r="I3" s="60">
        <v>2</v>
      </c>
      <c r="K3" s="7">
        <v>1</v>
      </c>
      <c r="L3" s="65">
        <v>55.6</v>
      </c>
      <c r="N3" s="78" t="s">
        <v>129</v>
      </c>
      <c r="O3" s="84">
        <f t="shared" si="0"/>
        <v>290</v>
      </c>
      <c r="P3" s="81">
        <v>10</v>
      </c>
      <c r="Q3" s="68">
        <v>2900</v>
      </c>
    </row>
    <row r="4" spans="1:17" x14ac:dyDescent="0.45">
      <c r="A4" s="21" t="s">
        <v>6</v>
      </c>
      <c r="B4" s="151">
        <v>6.9000000000000039</v>
      </c>
      <c r="C4" s="152"/>
      <c r="E4" s="29" t="s">
        <v>72</v>
      </c>
      <c r="F4" s="26" t="s">
        <v>27</v>
      </c>
      <c r="G4" s="14">
        <v>12</v>
      </c>
      <c r="H4" s="92">
        <f>IF(B$19=0,0,G4/B$19)</f>
        <v>0.5</v>
      </c>
      <c r="I4" s="60">
        <v>8</v>
      </c>
      <c r="K4" s="7">
        <v>2</v>
      </c>
      <c r="L4" s="65">
        <v>24.900000000000002</v>
      </c>
      <c r="N4" s="78" t="s">
        <v>130</v>
      </c>
      <c r="O4" s="84">
        <f t="shared" si="0"/>
        <v>-210</v>
      </c>
      <c r="P4" s="81">
        <v>10</v>
      </c>
      <c r="Q4" s="68">
        <v>-2100</v>
      </c>
    </row>
    <row r="5" spans="1:17" x14ac:dyDescent="0.45">
      <c r="A5" s="21" t="s">
        <v>7</v>
      </c>
      <c r="B5" s="139">
        <f>IF(B$2=0,0,B$4/B$2)</f>
        <v>0.69000000000000039</v>
      </c>
      <c r="C5" s="140"/>
      <c r="E5" s="29" t="s">
        <v>67</v>
      </c>
      <c r="F5" s="26" t="s">
        <v>23</v>
      </c>
      <c r="G5" s="14">
        <v>10</v>
      </c>
      <c r="H5" s="92">
        <f>IF(B$19=0,0,G5/B$19)</f>
        <v>0.41666666666666669</v>
      </c>
      <c r="I5" s="60">
        <v>3</v>
      </c>
      <c r="K5" s="7">
        <v>3</v>
      </c>
      <c r="L5" s="65">
        <v>-20.599999999999998</v>
      </c>
      <c r="N5" s="78" t="s">
        <v>131</v>
      </c>
      <c r="O5" s="84">
        <f t="shared" si="0"/>
        <v>2112.5</v>
      </c>
      <c r="P5" s="81">
        <v>8</v>
      </c>
      <c r="Q5" s="68">
        <v>16900</v>
      </c>
    </row>
    <row r="6" spans="1:17" x14ac:dyDescent="0.45">
      <c r="A6" s="21" t="s">
        <v>1</v>
      </c>
      <c r="B6" s="153">
        <f>IF(B$2=0,0,(B$7*1+B$8*2+B$9*3)/B$2)</f>
        <v>2.1</v>
      </c>
      <c r="C6" s="154"/>
      <c r="E6" s="29" t="s">
        <v>160</v>
      </c>
      <c r="F6" s="26" t="s">
        <v>161</v>
      </c>
      <c r="G6" s="14">
        <v>7</v>
      </c>
      <c r="H6" s="92">
        <f>IF(B$19=0,0,G6/B$19)</f>
        <v>0.29166666666666669</v>
      </c>
      <c r="I6" s="60">
        <v>9</v>
      </c>
      <c r="K6" s="7">
        <v>4</v>
      </c>
      <c r="L6" s="65">
        <v>-25</v>
      </c>
      <c r="N6" s="78" t="s">
        <v>132</v>
      </c>
      <c r="O6" s="84">
        <f t="shared" si="0"/>
        <v>1742.8571428571429</v>
      </c>
      <c r="P6" s="81">
        <v>7</v>
      </c>
      <c r="Q6" s="68">
        <v>12200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0.3</v>
      </c>
      <c r="E7" s="29" t="s">
        <v>68</v>
      </c>
      <c r="F7" s="26" t="s">
        <v>12</v>
      </c>
      <c r="G7" s="14">
        <v>4</v>
      </c>
      <c r="H7" s="92">
        <f>IF(B$19=0,0,G7/B$19)</f>
        <v>0.16666666666666666</v>
      </c>
      <c r="I7" s="60">
        <v>8</v>
      </c>
      <c r="K7" s="7">
        <v>5</v>
      </c>
      <c r="L7" s="65">
        <v>-53</v>
      </c>
      <c r="N7" s="79" t="s">
        <v>133</v>
      </c>
      <c r="O7" s="85">
        <f t="shared" si="0"/>
        <v>-550</v>
      </c>
      <c r="P7" s="82">
        <v>6</v>
      </c>
      <c r="Q7" s="69">
        <v>-3300</v>
      </c>
    </row>
    <row r="8" spans="1:17" x14ac:dyDescent="0.45">
      <c r="A8" s="21" t="s">
        <v>3</v>
      </c>
      <c r="B8" s="14">
        <v>3</v>
      </c>
      <c r="C8" s="8">
        <f t="shared" si="1"/>
        <v>0.3</v>
      </c>
      <c r="E8" s="29" t="s">
        <v>69</v>
      </c>
      <c r="F8" s="26" t="s">
        <v>24</v>
      </c>
      <c r="G8" s="14">
        <v>4</v>
      </c>
      <c r="H8" s="92">
        <f>IF(B$19=0,0,G8/B$19)</f>
        <v>0.16666666666666666</v>
      </c>
      <c r="I8" s="60">
        <v>3</v>
      </c>
      <c r="K8" s="7">
        <v>6</v>
      </c>
      <c r="L8" s="65">
        <v>-32.799999999999997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</v>
      </c>
      <c r="E9" s="29" t="s">
        <v>71</v>
      </c>
      <c r="F9" s="26" t="s">
        <v>26</v>
      </c>
      <c r="G9" s="14">
        <v>2</v>
      </c>
      <c r="H9" s="92">
        <f>IF(B$19=0,0,G9/B$19)</f>
        <v>8.3333333333333329E-2</v>
      </c>
      <c r="I9" s="60">
        <v>3</v>
      </c>
      <c r="K9" s="7">
        <v>7</v>
      </c>
      <c r="L9" s="65">
        <v>-22.199999999999996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32.766666666666666</v>
      </c>
      <c r="C10" s="114">
        <v>98.3</v>
      </c>
      <c r="E10" s="29" t="s">
        <v>81</v>
      </c>
      <c r="F10" s="26" t="s">
        <v>36</v>
      </c>
      <c r="G10" s="14">
        <v>2</v>
      </c>
      <c r="H10" s="92">
        <f>IF(B$19=0,0,G10/B$19)</f>
        <v>8.3333333333333329E-2</v>
      </c>
      <c r="I10" s="60">
        <v>3</v>
      </c>
      <c r="K10" s="7">
        <v>8</v>
      </c>
      <c r="L10" s="65">
        <v>0.30000000000000426</v>
      </c>
      <c r="N10" s="77" t="s">
        <v>152</v>
      </c>
      <c r="O10" s="86">
        <f>IF(P10=0,0,Q10/P10)</f>
        <v>-21.033333333333335</v>
      </c>
      <c r="P10" s="80">
        <v>3</v>
      </c>
      <c r="Q10" s="71">
        <v>-63.1</v>
      </c>
    </row>
    <row r="11" spans="1:17" x14ac:dyDescent="0.45">
      <c r="A11" s="22" t="s">
        <v>186</v>
      </c>
      <c r="B11" s="113">
        <f>IF(B8=0,0,C11/B8)</f>
        <v>8.7999999999999989</v>
      </c>
      <c r="C11" s="114">
        <v>26.4</v>
      </c>
      <c r="E11" s="29" t="s">
        <v>83</v>
      </c>
      <c r="F11" s="26" t="s">
        <v>38</v>
      </c>
      <c r="G11" s="14">
        <v>2</v>
      </c>
      <c r="H11" s="92">
        <f>IF(B$19=0,0,G11/B$19)</f>
        <v>8.3333333333333329E-2</v>
      </c>
      <c r="I11" s="60">
        <v>4</v>
      </c>
      <c r="K11" s="7">
        <v>9</v>
      </c>
      <c r="L11" s="65">
        <v>20.500000000000004</v>
      </c>
      <c r="N11" s="78" t="s">
        <v>153</v>
      </c>
      <c r="O11" s="87">
        <f>IF(P11=0,0,Q11/P11)</f>
        <v>6.9000000000000012</v>
      </c>
      <c r="P11" s="81">
        <v>3</v>
      </c>
      <c r="Q11" s="72">
        <v>20.700000000000003</v>
      </c>
    </row>
    <row r="12" spans="1:17" x14ac:dyDescent="0.45">
      <c r="A12" s="22" t="s">
        <v>187</v>
      </c>
      <c r="B12" s="113">
        <f>IF(B9=0,0,C12/B9)</f>
        <v>-29.45</v>
      </c>
      <c r="C12" s="114">
        <v>-117.8</v>
      </c>
      <c r="E12" s="29" t="s">
        <v>89</v>
      </c>
      <c r="F12" s="26" t="s">
        <v>44</v>
      </c>
      <c r="G12" s="14">
        <v>2</v>
      </c>
      <c r="H12" s="92">
        <f>IF(B$19=0,0,G12/B$19)</f>
        <v>8.3333333333333329E-2</v>
      </c>
      <c r="I12" s="60">
        <v>10</v>
      </c>
      <c r="K12" s="7">
        <v>10</v>
      </c>
      <c r="L12" s="65">
        <v>6.9000000000000039</v>
      </c>
      <c r="N12" s="79" t="s">
        <v>154</v>
      </c>
      <c r="O12" s="88">
        <f>IF(P12=0,0,Q12/P12)</f>
        <v>12.325000000000001</v>
      </c>
      <c r="P12" s="82">
        <v>4</v>
      </c>
      <c r="Q12" s="73">
        <v>49.300000000000004</v>
      </c>
    </row>
    <row r="13" spans="1:17" x14ac:dyDescent="0.45">
      <c r="A13" s="22" t="s">
        <v>188</v>
      </c>
      <c r="B13" s="139">
        <f>AVERAGE(B10:B12)</f>
        <v>4.0388888888888879</v>
      </c>
      <c r="C13" s="140"/>
      <c r="E13" s="29" t="s">
        <v>65</v>
      </c>
      <c r="F13" s="26" t="s">
        <v>21</v>
      </c>
      <c r="G13" s="14">
        <v>1</v>
      </c>
      <c r="H13" s="92">
        <f>IF(B$19=0,0,G13/B$19)</f>
        <v>4.1666666666666664E-2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</v>
      </c>
      <c r="E14" s="29" t="s">
        <v>70</v>
      </c>
      <c r="F14" s="26" t="s">
        <v>25</v>
      </c>
      <c r="G14" s="14">
        <v>1</v>
      </c>
      <c r="H14" s="92">
        <f>IF(B$19=0,0,G14/B$19)</f>
        <v>4.1666666666666664E-2</v>
      </c>
      <c r="I14" s="60">
        <v>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23</v>
      </c>
      <c r="C15" s="12">
        <f>IF(B$3=0,0,B15/B$3)</f>
        <v>0.29487179487179488</v>
      </c>
      <c r="E15" s="29" t="s">
        <v>73</v>
      </c>
      <c r="F15" s="26" t="s">
        <v>28</v>
      </c>
      <c r="G15" s="14">
        <v>1</v>
      </c>
      <c r="H15" s="92">
        <f>IF(B$19=0,0,G15/B$19)</f>
        <v>4.1666666666666664E-2</v>
      </c>
      <c r="I15" s="60">
        <v>1</v>
      </c>
      <c r="N15" s="77" t="s">
        <v>208</v>
      </c>
      <c r="O15" s="86">
        <f>IF(P15=0,0,Q15/P15)</f>
        <v>44.4</v>
      </c>
      <c r="P15" s="80">
        <v>1</v>
      </c>
      <c r="Q15" s="71">
        <v>44.4</v>
      </c>
    </row>
    <row r="16" spans="1:17" x14ac:dyDescent="0.45">
      <c r="A16" s="21" t="s">
        <v>118</v>
      </c>
      <c r="B16" s="14">
        <v>16</v>
      </c>
      <c r="C16" s="8">
        <f>IF(B$3=0,0,B16/B$3)</f>
        <v>0.20512820512820512</v>
      </c>
      <c r="E16" s="29" t="s">
        <v>86</v>
      </c>
      <c r="F16" s="26" t="s">
        <v>41</v>
      </c>
      <c r="G16" s="14">
        <v>1</v>
      </c>
      <c r="H16" s="92">
        <f>IF(B$19=0,0,G16/B$19)</f>
        <v>4.1666666666666664E-2</v>
      </c>
      <c r="I16" s="60">
        <v>6</v>
      </c>
      <c r="N16" s="78" t="s">
        <v>198</v>
      </c>
      <c r="O16" s="87">
        <f>IF(P16=0,0,Q16/P16)</f>
        <v>16.2</v>
      </c>
      <c r="P16" s="81">
        <v>1</v>
      </c>
      <c r="Q16" s="72">
        <v>16.2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0.56521739130434778</v>
      </c>
      <c r="E17" s="29" t="s">
        <v>91</v>
      </c>
      <c r="F17" s="26" t="s">
        <v>46</v>
      </c>
      <c r="G17" s="14">
        <v>1</v>
      </c>
      <c r="H17" s="92">
        <f>IF(B$19=0,0,G17/B$19)</f>
        <v>4.1666666666666664E-2</v>
      </c>
      <c r="I17" s="60">
        <v>2</v>
      </c>
      <c r="N17" s="78" t="s">
        <v>207</v>
      </c>
      <c r="O17" s="87">
        <f>IF(P17=0,0,Q17/P17)</f>
        <v>16.2</v>
      </c>
      <c r="P17" s="81">
        <v>1</v>
      </c>
      <c r="Q17" s="72">
        <v>16.2</v>
      </c>
    </row>
    <row r="18" spans="1:17" x14ac:dyDescent="0.45">
      <c r="A18" s="20" t="s">
        <v>124</v>
      </c>
      <c r="B18" s="13">
        <f>B24</f>
        <v>9</v>
      </c>
      <c r="C18" s="6">
        <f>IF(B$16=0,0,B18/B$16)</f>
        <v>0.5625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15.799999999999997</v>
      </c>
      <c r="P18" s="81">
        <v>2</v>
      </c>
      <c r="Q18" s="72">
        <v>31.599999999999994</v>
      </c>
    </row>
    <row r="19" spans="1:17" x14ac:dyDescent="0.45">
      <c r="A19" s="20" t="s">
        <v>10</v>
      </c>
      <c r="B19" s="13">
        <f>B22+B21</f>
        <v>24</v>
      </c>
      <c r="C19" s="6">
        <f>IF(B$3=0,0,B19/B$3)</f>
        <v>0.30769230769230771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1</v>
      </c>
      <c r="N19" s="78" t="s">
        <v>195</v>
      </c>
      <c r="O19" s="87">
        <f>IF(P19=0,0,Q19/P19)</f>
        <v>6.5999999999999988</v>
      </c>
      <c r="P19" s="81">
        <v>3</v>
      </c>
      <c r="Q19" s="72">
        <v>19.799999999999997</v>
      </c>
    </row>
    <row r="20" spans="1:17" x14ac:dyDescent="0.45">
      <c r="A20" s="21" t="s">
        <v>13</v>
      </c>
      <c r="B20" s="14">
        <v>12</v>
      </c>
      <c r="C20" s="8">
        <f>IF(B$3=0,0,B20/B$3)</f>
        <v>0.15384615384615385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  <c r="N20" s="78" t="s">
        <v>201</v>
      </c>
      <c r="O20" s="87">
        <f>IF(P20=0,0,Q20/P20)</f>
        <v>5.86</v>
      </c>
      <c r="P20" s="81">
        <v>5</v>
      </c>
      <c r="Q20" s="72">
        <v>29.3</v>
      </c>
    </row>
    <row r="21" spans="1:17" x14ac:dyDescent="0.45">
      <c r="A21" s="21" t="s">
        <v>12</v>
      </c>
      <c r="B21" s="14">
        <v>10</v>
      </c>
      <c r="C21" s="8">
        <f>IF(B$19=0,0,B21/B$19)</f>
        <v>0.41666666666666669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3</v>
      </c>
      <c r="N21" s="78" t="s">
        <v>200</v>
      </c>
      <c r="O21" s="87">
        <f>IF(P21=0,0,Q21/P21)</f>
        <v>-7.1999999999999993</v>
      </c>
      <c r="P21" s="81">
        <v>2</v>
      </c>
      <c r="Q21" s="72">
        <v>-14.399999999999999</v>
      </c>
    </row>
    <row r="22" spans="1:17" x14ac:dyDescent="0.45">
      <c r="A22" s="21" t="s">
        <v>11</v>
      </c>
      <c r="B22" s="14">
        <v>14</v>
      </c>
      <c r="C22" s="8">
        <f>IF(B$19=0,0,B22/B$19)</f>
        <v>0.58333333333333337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5</v>
      </c>
      <c r="N22" s="78" t="s">
        <v>126</v>
      </c>
      <c r="O22" s="87">
        <f>IF(P22=0,0,Q22/P22)</f>
        <v>-23.05</v>
      </c>
      <c r="P22" s="81">
        <v>4</v>
      </c>
      <c r="Q22" s="72">
        <v>-92.2</v>
      </c>
    </row>
    <row r="23" spans="1:17" x14ac:dyDescent="0.45">
      <c r="A23" s="21" t="s">
        <v>184</v>
      </c>
      <c r="B23" s="14">
        <v>13</v>
      </c>
      <c r="C23" s="8">
        <f>IF(B$19=0,0,B23/B$19)</f>
        <v>0.54166666666666663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3</v>
      </c>
      <c r="N23" s="78" t="s">
        <v>190</v>
      </c>
      <c r="O23" s="87">
        <f>IF(P23=0,0,Q23/P23)</f>
        <v>-30.200000000000003</v>
      </c>
      <c r="P23" s="81">
        <v>1</v>
      </c>
      <c r="Q23" s="72">
        <v>-30.200000000000003</v>
      </c>
    </row>
    <row r="24" spans="1:17" x14ac:dyDescent="0.45">
      <c r="A24" s="21" t="s">
        <v>182</v>
      </c>
      <c r="B24" s="14">
        <v>9</v>
      </c>
      <c r="C24" s="8">
        <f>IF(B$19=0,0,B24/B$19)</f>
        <v>0.375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8.3333333333333329E-2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7366.666666666667</v>
      </c>
      <c r="C26" s="10">
        <v>176800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7700</v>
      </c>
      <c r="C27" s="100">
        <v>115500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6811.1111111111113</v>
      </c>
      <c r="C28" s="100">
        <v>61300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-8416.6666666666661</v>
      </c>
      <c r="C29" s="100">
        <v>-101000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30</v>
      </c>
      <c r="C31" s="94">
        <v>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6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80600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4.1666666666666664E-2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7</v>
      </c>
      <c r="C37" s="8">
        <f t="shared" si="2"/>
        <v>0.29166666666666669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6</v>
      </c>
      <c r="C38" s="8">
        <f t="shared" si="2"/>
        <v>0.25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2</v>
      </c>
      <c r="C39" s="8">
        <f t="shared" si="2"/>
        <v>8.3333333333333329E-2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2</v>
      </c>
      <c r="C40" s="8">
        <f t="shared" si="2"/>
        <v>8.3333333333333329E-2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3</v>
      </c>
      <c r="C41" s="8">
        <f t="shared" si="2"/>
        <v>0.125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2</v>
      </c>
      <c r="C42" s="8">
        <f t="shared" si="2"/>
        <v>8.3333333333333329E-2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1</v>
      </c>
      <c r="C46" s="8">
        <f t="shared" si="2"/>
        <v>4.1666666666666664E-2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2659-B6DC-4C0A-B351-DEF0856C2B6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198</v>
      </c>
      <c r="C1" s="146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7</v>
      </c>
      <c r="C2" s="148"/>
      <c r="E2" s="28" t="s">
        <v>66</v>
      </c>
      <c r="F2" s="25" t="s">
        <v>22</v>
      </c>
      <c r="G2" s="13">
        <v>13</v>
      </c>
      <c r="H2" s="91">
        <f>IF(B$19=0,0,G2/B$19)</f>
        <v>0.65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0">IF(P2=0,0,Q2/P2)</f>
        <v>-3000</v>
      </c>
      <c r="P2" s="80">
        <v>7</v>
      </c>
      <c r="Q2" s="67">
        <v>-21000</v>
      </c>
    </row>
    <row r="3" spans="1:17" x14ac:dyDescent="0.45">
      <c r="A3" s="21" t="s">
        <v>8</v>
      </c>
      <c r="B3" s="149">
        <v>64</v>
      </c>
      <c r="C3" s="150"/>
      <c r="E3" s="29" t="s">
        <v>160</v>
      </c>
      <c r="F3" s="26" t="s">
        <v>161</v>
      </c>
      <c r="G3" s="14">
        <v>10</v>
      </c>
      <c r="H3" s="92">
        <f>IF(B$19=0,0,G3/B$19)</f>
        <v>0.5</v>
      </c>
      <c r="I3" s="60">
        <v>2</v>
      </c>
      <c r="K3" s="7">
        <v>1</v>
      </c>
      <c r="L3" s="65">
        <v>11.6</v>
      </c>
      <c r="N3" s="78" t="s">
        <v>129</v>
      </c>
      <c r="O3" s="84">
        <f t="shared" si="0"/>
        <v>3650</v>
      </c>
      <c r="P3" s="81">
        <v>6</v>
      </c>
      <c r="Q3" s="68">
        <v>21900</v>
      </c>
    </row>
    <row r="4" spans="1:17" x14ac:dyDescent="0.45">
      <c r="A4" s="21" t="s">
        <v>6</v>
      </c>
      <c r="B4" s="151">
        <v>25.9</v>
      </c>
      <c r="C4" s="152"/>
      <c r="E4" s="29" t="s">
        <v>64</v>
      </c>
      <c r="F4" s="26" t="s">
        <v>20</v>
      </c>
      <c r="G4" s="14">
        <v>9</v>
      </c>
      <c r="H4" s="92">
        <f>IF(B$19=0,0,G4/B$19)</f>
        <v>0.45</v>
      </c>
      <c r="I4" s="60">
        <v>3</v>
      </c>
      <c r="K4" s="7">
        <v>2</v>
      </c>
      <c r="L4" s="65">
        <v>42.9</v>
      </c>
      <c r="N4" s="78" t="s">
        <v>130</v>
      </c>
      <c r="O4" s="84">
        <f t="shared" si="0"/>
        <v>3816.6666666666665</v>
      </c>
      <c r="P4" s="81">
        <v>6</v>
      </c>
      <c r="Q4" s="68">
        <v>22900</v>
      </c>
    </row>
    <row r="5" spans="1:17" x14ac:dyDescent="0.45">
      <c r="A5" s="21" t="s">
        <v>7</v>
      </c>
      <c r="B5" s="139">
        <f>IF(B$2=0,0,B$4/B$2)</f>
        <v>3.6999999999999997</v>
      </c>
      <c r="C5" s="140"/>
      <c r="E5" s="29" t="s">
        <v>72</v>
      </c>
      <c r="F5" s="26" t="s">
        <v>27</v>
      </c>
      <c r="G5" s="14">
        <v>8</v>
      </c>
      <c r="H5" s="92">
        <f>IF(B$19=0,0,G5/B$19)</f>
        <v>0.4</v>
      </c>
      <c r="I5" s="60">
        <v>9</v>
      </c>
      <c r="K5" s="7">
        <v>3</v>
      </c>
      <c r="L5" s="65">
        <v>49.199999999999996</v>
      </c>
      <c r="N5" s="78" t="s">
        <v>131</v>
      </c>
      <c r="O5" s="84">
        <f t="shared" si="0"/>
        <v>3583.3333333333335</v>
      </c>
      <c r="P5" s="81">
        <v>6</v>
      </c>
      <c r="Q5" s="68">
        <v>21500</v>
      </c>
    </row>
    <row r="6" spans="1:17" x14ac:dyDescent="0.45">
      <c r="A6" s="21" t="s">
        <v>1</v>
      </c>
      <c r="B6" s="153">
        <f>IF(B$2=0,0,(B$7*1+B$8*2+B$9*3)/B$2)</f>
        <v>1.7142857142857142</v>
      </c>
      <c r="C6" s="154"/>
      <c r="E6" s="29" t="s">
        <v>68</v>
      </c>
      <c r="F6" s="26" t="s">
        <v>12</v>
      </c>
      <c r="G6" s="14">
        <v>6</v>
      </c>
      <c r="H6" s="92">
        <f>IF(B$19=0,0,G6/B$19)</f>
        <v>0.3</v>
      </c>
      <c r="I6" s="60">
        <v>5</v>
      </c>
      <c r="K6" s="7">
        <v>4</v>
      </c>
      <c r="L6" s="65">
        <v>75.8</v>
      </c>
      <c r="N6" s="78" t="s">
        <v>132</v>
      </c>
      <c r="O6" s="84">
        <f t="shared" si="0"/>
        <v>-283.33333333333331</v>
      </c>
      <c r="P6" s="81">
        <v>6</v>
      </c>
      <c r="Q6" s="68">
        <v>-1700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70</v>
      </c>
      <c r="F7" s="26" t="s">
        <v>25</v>
      </c>
      <c r="G7" s="14">
        <v>6</v>
      </c>
      <c r="H7" s="92">
        <f>IF(B$19=0,0,G7/B$19)</f>
        <v>0.3</v>
      </c>
      <c r="I7" s="60">
        <v>1</v>
      </c>
      <c r="K7" s="7">
        <v>5</v>
      </c>
      <c r="L7" s="65">
        <v>47.8</v>
      </c>
      <c r="N7" s="79" t="s">
        <v>133</v>
      </c>
      <c r="O7" s="85">
        <f t="shared" si="0"/>
        <v>-2660</v>
      </c>
      <c r="P7" s="82">
        <v>5</v>
      </c>
      <c r="Q7" s="69">
        <v>-13300</v>
      </c>
    </row>
    <row r="8" spans="1:17" x14ac:dyDescent="0.45">
      <c r="A8" s="21" t="s">
        <v>3</v>
      </c>
      <c r="B8" s="14">
        <v>3</v>
      </c>
      <c r="C8" s="8">
        <f t="shared" si="1"/>
        <v>0.42857142857142855</v>
      </c>
      <c r="E8" s="29" t="s">
        <v>71</v>
      </c>
      <c r="F8" s="26" t="s">
        <v>26</v>
      </c>
      <c r="G8" s="14">
        <v>3</v>
      </c>
      <c r="H8" s="92">
        <f>IF(B$19=0,0,G8/B$19)</f>
        <v>0.15</v>
      </c>
      <c r="I8" s="60">
        <v>1</v>
      </c>
      <c r="K8" s="7">
        <v>6</v>
      </c>
      <c r="L8" s="65">
        <v>26.4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0.14285714285714285</v>
      </c>
      <c r="E9" s="29" t="s">
        <v>89</v>
      </c>
      <c r="F9" s="26" t="s">
        <v>44</v>
      </c>
      <c r="G9" s="14">
        <v>3</v>
      </c>
      <c r="H9" s="92">
        <f>IF(B$19=0,0,G9/B$19)</f>
        <v>0.15</v>
      </c>
      <c r="I9" s="60">
        <v>8</v>
      </c>
      <c r="K9" s="7">
        <v>7</v>
      </c>
      <c r="L9" s="65">
        <v>25.9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23.166666666666668</v>
      </c>
      <c r="C10" s="114">
        <v>69.5</v>
      </c>
      <c r="E10" s="29" t="s">
        <v>67</v>
      </c>
      <c r="F10" s="26" t="s">
        <v>23</v>
      </c>
      <c r="G10" s="14">
        <v>2</v>
      </c>
      <c r="H10" s="92">
        <f>IF(B$19=0,0,G10/B$19)</f>
        <v>0.1</v>
      </c>
      <c r="I10" s="60">
        <v>10</v>
      </c>
      <c r="N10" s="77" t="s">
        <v>152</v>
      </c>
      <c r="O10" s="86">
        <f>IF(P10=0,0,Q10/P10)</f>
        <v>-7.5999999999999988</v>
      </c>
      <c r="P10" s="80">
        <v>3</v>
      </c>
      <c r="Q10" s="71">
        <v>-22.799999999999997</v>
      </c>
    </row>
    <row r="11" spans="1:17" x14ac:dyDescent="0.45">
      <c r="A11" s="22" t="s">
        <v>186</v>
      </c>
      <c r="B11" s="113">
        <f>IF(B8=0,0,C11/B8)</f>
        <v>-7.3999999999999995</v>
      </c>
      <c r="C11" s="114">
        <v>-22.2</v>
      </c>
      <c r="E11" s="29" t="s">
        <v>69</v>
      </c>
      <c r="F11" s="26" t="s">
        <v>24</v>
      </c>
      <c r="G11" s="14">
        <v>1</v>
      </c>
      <c r="H11" s="92">
        <f>IF(B$19=0,0,G11/B$19)</f>
        <v>0.05</v>
      </c>
      <c r="I11" s="60">
        <v>8</v>
      </c>
      <c r="N11" s="78" t="s">
        <v>153</v>
      </c>
      <c r="O11" s="87">
        <f>IF(P11=0,0,Q11/P11)</f>
        <v>8.9499999999999993</v>
      </c>
      <c r="P11" s="81">
        <v>2</v>
      </c>
      <c r="Q11" s="72">
        <v>17.899999999999999</v>
      </c>
    </row>
    <row r="12" spans="1:17" x14ac:dyDescent="0.45">
      <c r="A12" s="22" t="s">
        <v>187</v>
      </c>
      <c r="B12" s="113">
        <f>IF(B9=0,0,C12/B9)</f>
        <v>-21.4</v>
      </c>
      <c r="C12" s="114">
        <v>-21.4</v>
      </c>
      <c r="E12" s="29" t="s">
        <v>78</v>
      </c>
      <c r="F12" s="26" t="s">
        <v>33</v>
      </c>
      <c r="G12" s="14">
        <v>1</v>
      </c>
      <c r="H12" s="92">
        <f>IF(B$19=0,0,G12/B$19)</f>
        <v>0.05</v>
      </c>
      <c r="I12" s="60">
        <v>3</v>
      </c>
      <c r="N12" s="79" t="s">
        <v>154</v>
      </c>
      <c r="O12" s="88">
        <f>IF(P12=0,0,Q12/P12)</f>
        <v>15.4</v>
      </c>
      <c r="P12" s="82">
        <v>2</v>
      </c>
      <c r="Q12" s="73">
        <v>30.8</v>
      </c>
    </row>
    <row r="13" spans="1:17" x14ac:dyDescent="0.45">
      <c r="A13" s="22" t="s">
        <v>188</v>
      </c>
      <c r="B13" s="139">
        <f>AVERAGE(B10:B12)</f>
        <v>-1.8777777777777764</v>
      </c>
      <c r="C13" s="140"/>
      <c r="E13" s="29" t="s">
        <v>79</v>
      </c>
      <c r="F13" s="26" t="s">
        <v>34</v>
      </c>
      <c r="G13" s="14">
        <v>1</v>
      </c>
      <c r="H13" s="92">
        <f>IF(B$19=0,0,G13/B$19)</f>
        <v>0.05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156</v>
      </c>
      <c r="F14" s="26" t="s">
        <v>157</v>
      </c>
      <c r="G14" s="14">
        <v>1</v>
      </c>
      <c r="H14" s="92">
        <f>IF(B$19=0,0,G14/B$19)</f>
        <v>0.05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16</v>
      </c>
      <c r="C15" s="12">
        <f>IF(B$3=0,0,B15/B$3)</f>
        <v>0.25</v>
      </c>
      <c r="E15" s="29" t="s">
        <v>65</v>
      </c>
      <c r="F15" s="26" t="s">
        <v>21</v>
      </c>
      <c r="G15" s="14">
        <v>0</v>
      </c>
      <c r="H15" s="92">
        <f>IF(B$19=0,0,G15/B$19)</f>
        <v>0</v>
      </c>
      <c r="I15" s="60">
        <v>8</v>
      </c>
      <c r="N15" s="77" t="s">
        <v>164</v>
      </c>
      <c r="O15" s="86">
        <f t="shared" ref="O15:O20" si="2">IF(P15=0,0,Q15/P15)</f>
        <v>40.900000000000006</v>
      </c>
      <c r="P15" s="80">
        <v>2</v>
      </c>
      <c r="Q15" s="71">
        <v>81.800000000000011</v>
      </c>
    </row>
    <row r="16" spans="1:17" x14ac:dyDescent="0.45">
      <c r="A16" s="21" t="s">
        <v>118</v>
      </c>
      <c r="B16" s="14">
        <v>13</v>
      </c>
      <c r="C16" s="8">
        <f>IF(B$3=0,0,B16/B$3)</f>
        <v>0.203125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190</v>
      </c>
      <c r="O16" s="87">
        <f t="shared" si="2"/>
        <v>21.224999999999998</v>
      </c>
      <c r="P16" s="81">
        <v>4</v>
      </c>
      <c r="Q16" s="72">
        <v>84.899999999999991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0.625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207</v>
      </c>
      <c r="O17" s="87">
        <f t="shared" si="2"/>
        <v>17</v>
      </c>
      <c r="P17" s="81">
        <v>1</v>
      </c>
      <c r="Q17" s="72">
        <v>17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0.46153846153846156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  <c r="N18" s="78" t="s">
        <v>126</v>
      </c>
      <c r="O18" s="87">
        <f t="shared" si="2"/>
        <v>-14.259999999999996</v>
      </c>
      <c r="P18" s="81">
        <v>5</v>
      </c>
      <c r="Q18" s="72">
        <v>-71.299999999999983</v>
      </c>
    </row>
    <row r="19" spans="1:17" x14ac:dyDescent="0.45">
      <c r="A19" s="20" t="s">
        <v>10</v>
      </c>
      <c r="B19" s="13">
        <f>B22+B21</f>
        <v>20</v>
      </c>
      <c r="C19" s="6">
        <f>IF(B$3=0,0,B19/B$3)</f>
        <v>0.3125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  <c r="N19" s="78" t="s">
        <v>194</v>
      </c>
      <c r="O19" s="87">
        <f t="shared" si="2"/>
        <v>-16.2</v>
      </c>
      <c r="P19" s="81">
        <v>1</v>
      </c>
      <c r="Q19" s="72">
        <v>-16.2</v>
      </c>
    </row>
    <row r="20" spans="1:17" x14ac:dyDescent="0.45">
      <c r="A20" s="21" t="s">
        <v>13</v>
      </c>
      <c r="B20" s="14">
        <v>7</v>
      </c>
      <c r="C20" s="8">
        <f>IF(B$3=0,0,B20/B$3)</f>
        <v>0.109375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3</v>
      </c>
      <c r="N20" s="78" t="s">
        <v>208</v>
      </c>
      <c r="O20" s="87">
        <f t="shared" si="2"/>
        <v>-18.5</v>
      </c>
      <c r="P20" s="81">
        <v>1</v>
      </c>
      <c r="Q20" s="72">
        <v>-18.5</v>
      </c>
    </row>
    <row r="21" spans="1:17" x14ac:dyDescent="0.45">
      <c r="A21" s="21" t="s">
        <v>12</v>
      </c>
      <c r="B21" s="14">
        <v>7</v>
      </c>
      <c r="C21" s="8">
        <f>IF(B$19=0,0,B21/B$19)</f>
        <v>0.35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13</v>
      </c>
      <c r="C22" s="8">
        <f>IF(B$19=0,0,B22/B$19)</f>
        <v>0.65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6</v>
      </c>
    </row>
    <row r="23" spans="1:17" x14ac:dyDescent="0.45">
      <c r="A23" s="21" t="s">
        <v>184</v>
      </c>
      <c r="B23" s="14">
        <v>10</v>
      </c>
      <c r="C23" s="8">
        <f>IF(B$19=0,0,B23/B$19)</f>
        <v>0.5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6</v>
      </c>
      <c r="C24" s="8">
        <f>IF(B$19=0,0,B24/B$19)</f>
        <v>0.3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7</v>
      </c>
    </row>
    <row r="25" spans="1:17" x14ac:dyDescent="0.45">
      <c r="A25" s="21" t="s">
        <v>183</v>
      </c>
      <c r="B25" s="14">
        <v>4</v>
      </c>
      <c r="C25" s="8">
        <f>IF(B$19=0,0,B25/B$19)</f>
        <v>0.2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6405</v>
      </c>
      <c r="C26" s="10">
        <v>128100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7050</v>
      </c>
      <c r="C27" s="100">
        <v>98700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167</v>
      </c>
      <c r="B28" s="99">
        <f>IF(B$18=0,0,C28/B$18)</f>
        <v>4900</v>
      </c>
      <c r="C28" s="100">
        <v>29400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-7371.4285714285716</v>
      </c>
      <c r="C29" s="100">
        <v>-51600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14</v>
      </c>
      <c r="C31" s="94">
        <v>5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4</v>
      </c>
    </row>
    <row r="32" spans="1:17" x14ac:dyDescent="0.45">
      <c r="A32" s="56" t="s">
        <v>136</v>
      </c>
      <c r="B32" s="141">
        <v>3</v>
      </c>
      <c r="C32" s="142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43">
        <v>56300</v>
      </c>
      <c r="C33" s="144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9">
        <v>2</v>
      </c>
      <c r="C36" s="102">
        <f t="shared" ref="C36:C48" si="3">IF(B$19=0,0,B36/B$19)</f>
        <v>0.1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3"/>
        <v>0.25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0">
        <v>3</v>
      </c>
      <c r="C38" s="8">
        <f t="shared" si="3"/>
        <v>0.15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0">
        <v>5</v>
      </c>
      <c r="C39" s="8">
        <f t="shared" si="3"/>
        <v>0.25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0">
        <v>3</v>
      </c>
      <c r="C40" s="8">
        <f t="shared" si="3"/>
        <v>0.15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0">
        <v>1</v>
      </c>
      <c r="C41" s="8">
        <f t="shared" si="3"/>
        <v>0.05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0">
        <v>1</v>
      </c>
      <c r="C42" s="8">
        <f t="shared" si="3"/>
        <v>0.05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0">
        <v>0</v>
      </c>
      <c r="C43" s="8">
        <f t="shared" si="3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0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0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A1B26-2F7C-4110-8AF6-C715BFAF11B0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201</v>
      </c>
      <c r="C1" s="146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7</v>
      </c>
      <c r="C2" s="148"/>
      <c r="E2" s="28" t="s">
        <v>66</v>
      </c>
      <c r="F2" s="25" t="s">
        <v>22</v>
      </c>
      <c r="G2" s="13">
        <v>11</v>
      </c>
      <c r="H2" s="91">
        <f>IF(B$19=0,0,G2/B$19)</f>
        <v>0.73333333333333328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2300</v>
      </c>
      <c r="P2" s="80">
        <v>7</v>
      </c>
      <c r="Q2" s="67">
        <v>16100</v>
      </c>
    </row>
    <row r="3" spans="1:17" x14ac:dyDescent="0.45">
      <c r="A3" s="21" t="s">
        <v>8</v>
      </c>
      <c r="B3" s="149">
        <v>58</v>
      </c>
      <c r="C3" s="150"/>
      <c r="E3" s="29" t="s">
        <v>72</v>
      </c>
      <c r="F3" s="26" t="s">
        <v>27</v>
      </c>
      <c r="G3" s="14">
        <v>8</v>
      </c>
      <c r="H3" s="92">
        <f>IF(B$19=0,0,G3/B$19)</f>
        <v>0.53333333333333333</v>
      </c>
      <c r="I3" s="60">
        <v>7</v>
      </c>
      <c r="K3" s="7">
        <v>1</v>
      </c>
      <c r="L3" s="65">
        <v>42.4</v>
      </c>
      <c r="N3" s="78" t="s">
        <v>129</v>
      </c>
      <c r="O3" s="84">
        <f t="shared" si="0"/>
        <v>2085.7142857142858</v>
      </c>
      <c r="P3" s="81">
        <v>7</v>
      </c>
      <c r="Q3" s="68">
        <v>14600</v>
      </c>
    </row>
    <row r="4" spans="1:17" x14ac:dyDescent="0.45">
      <c r="A4" s="21" t="s">
        <v>6</v>
      </c>
      <c r="B4" s="151">
        <v>1.2000000000000028</v>
      </c>
      <c r="C4" s="152"/>
      <c r="E4" s="29" t="s">
        <v>64</v>
      </c>
      <c r="F4" s="26" t="s">
        <v>20</v>
      </c>
      <c r="G4" s="14">
        <v>6</v>
      </c>
      <c r="H4" s="92">
        <f>IF(B$19=0,0,G4/B$19)</f>
        <v>0.4</v>
      </c>
      <c r="I4" s="60">
        <v>4</v>
      </c>
      <c r="K4" s="7">
        <v>2</v>
      </c>
      <c r="L4" s="65">
        <v>50.4</v>
      </c>
      <c r="N4" s="78" t="s">
        <v>130</v>
      </c>
      <c r="O4" s="84">
        <f t="shared" si="0"/>
        <v>-3728.5714285714284</v>
      </c>
      <c r="P4" s="81">
        <v>7</v>
      </c>
      <c r="Q4" s="68">
        <v>-26100</v>
      </c>
    </row>
    <row r="5" spans="1:17" x14ac:dyDescent="0.45">
      <c r="A5" s="21" t="s">
        <v>7</v>
      </c>
      <c r="B5" s="139">
        <f>IF(B$2=0,0,B$4/B$2)</f>
        <v>0.17142857142857185</v>
      </c>
      <c r="C5" s="140"/>
      <c r="E5" s="29" t="s">
        <v>160</v>
      </c>
      <c r="F5" s="26" t="s">
        <v>161</v>
      </c>
      <c r="G5" s="14">
        <v>5</v>
      </c>
      <c r="H5" s="92">
        <f>IF(B$19=0,0,G5/B$19)</f>
        <v>0.33333333333333331</v>
      </c>
      <c r="I5" s="60">
        <v>8</v>
      </c>
      <c r="K5" s="7">
        <v>3</v>
      </c>
      <c r="L5" s="65">
        <v>10.399999999999999</v>
      </c>
      <c r="N5" s="78" t="s">
        <v>131</v>
      </c>
      <c r="O5" s="84">
        <f t="shared" si="0"/>
        <v>-2533.3333333333335</v>
      </c>
      <c r="P5" s="81">
        <v>6</v>
      </c>
      <c r="Q5" s="68">
        <v>-15200</v>
      </c>
    </row>
    <row r="6" spans="1:17" x14ac:dyDescent="0.45">
      <c r="A6" s="21" t="s">
        <v>1</v>
      </c>
      <c r="B6" s="153">
        <f>IF(B$2=0,0,(B$7*1+B$8*2+B$9*3)/B$2)</f>
        <v>2</v>
      </c>
      <c r="C6" s="154"/>
      <c r="E6" s="29" t="s">
        <v>65</v>
      </c>
      <c r="F6" s="26" t="s">
        <v>21</v>
      </c>
      <c r="G6" s="14">
        <v>3</v>
      </c>
      <c r="H6" s="92">
        <f>IF(B$19=0,0,G6/B$19)</f>
        <v>0.2</v>
      </c>
      <c r="I6" s="60">
        <v>1</v>
      </c>
      <c r="K6" s="7">
        <v>4</v>
      </c>
      <c r="L6" s="65">
        <v>60</v>
      </c>
      <c r="N6" s="78" t="s">
        <v>132</v>
      </c>
      <c r="O6" s="84">
        <f t="shared" si="0"/>
        <v>1000</v>
      </c>
      <c r="P6" s="81">
        <v>5</v>
      </c>
      <c r="Q6" s="68">
        <v>5000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67</v>
      </c>
      <c r="F7" s="26" t="s">
        <v>23</v>
      </c>
      <c r="G7" s="14">
        <v>3</v>
      </c>
      <c r="H7" s="92">
        <f>IF(B$19=0,0,G7/B$19)</f>
        <v>0.2</v>
      </c>
      <c r="I7" s="60">
        <v>7</v>
      </c>
      <c r="K7" s="7">
        <v>5</v>
      </c>
      <c r="L7" s="65">
        <v>6.2000000000000028</v>
      </c>
      <c r="N7" s="79" t="s">
        <v>133</v>
      </c>
      <c r="O7" s="85">
        <f t="shared" si="0"/>
        <v>1360</v>
      </c>
      <c r="P7" s="82">
        <v>5</v>
      </c>
      <c r="Q7" s="69">
        <v>6800</v>
      </c>
    </row>
    <row r="8" spans="1:17" x14ac:dyDescent="0.45">
      <c r="A8" s="21" t="s">
        <v>3</v>
      </c>
      <c r="B8" s="14">
        <v>1</v>
      </c>
      <c r="C8" s="8">
        <f t="shared" si="1"/>
        <v>0.14285714285714285</v>
      </c>
      <c r="E8" s="29" t="s">
        <v>86</v>
      </c>
      <c r="F8" s="26" t="s">
        <v>41</v>
      </c>
      <c r="G8" s="14">
        <v>3</v>
      </c>
      <c r="H8" s="92">
        <f>IF(B$19=0,0,G8/B$19)</f>
        <v>0.2</v>
      </c>
      <c r="I8" s="60">
        <v>1</v>
      </c>
      <c r="K8" s="7">
        <v>6</v>
      </c>
      <c r="L8" s="65">
        <v>30.000000000000004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0.42857142857142855</v>
      </c>
      <c r="E9" s="29" t="s">
        <v>89</v>
      </c>
      <c r="F9" s="26" t="s">
        <v>44</v>
      </c>
      <c r="G9" s="14">
        <v>3</v>
      </c>
      <c r="H9" s="92">
        <f>IF(B$19=0,0,G9/B$19)</f>
        <v>0.2</v>
      </c>
      <c r="I9" s="60">
        <v>5</v>
      </c>
      <c r="K9" s="7">
        <v>7</v>
      </c>
      <c r="L9" s="65">
        <v>1.2000000000000028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38.6</v>
      </c>
      <c r="C10" s="114">
        <v>115.8</v>
      </c>
      <c r="E10" s="29" t="s">
        <v>68</v>
      </c>
      <c r="F10" s="26" t="s">
        <v>12</v>
      </c>
      <c r="G10" s="14">
        <v>2</v>
      </c>
      <c r="H10" s="92">
        <f>IF(B$19=0,0,G10/B$19)</f>
        <v>0.13333333333333333</v>
      </c>
      <c r="I10" s="60">
        <v>9</v>
      </c>
      <c r="N10" s="77" t="s">
        <v>152</v>
      </c>
      <c r="O10" s="86">
        <f>IF(P10=0,0,Q10/P10)</f>
        <v>10.4</v>
      </c>
      <c r="P10" s="80">
        <v>2</v>
      </c>
      <c r="Q10" s="71">
        <v>20.8</v>
      </c>
    </row>
    <row r="11" spans="1:17" x14ac:dyDescent="0.45">
      <c r="A11" s="22" t="s">
        <v>186</v>
      </c>
      <c r="B11" s="113">
        <f>IF(B8=0,0,C11/B8)</f>
        <v>8</v>
      </c>
      <c r="C11" s="114">
        <v>8</v>
      </c>
      <c r="E11" s="29" t="s">
        <v>70</v>
      </c>
      <c r="F11" s="26" t="s">
        <v>25</v>
      </c>
      <c r="G11" s="14">
        <v>2</v>
      </c>
      <c r="H11" s="92">
        <f>IF(B$19=0,0,G11/B$19)</f>
        <v>0.13333333333333333</v>
      </c>
      <c r="I11" s="60">
        <v>3</v>
      </c>
      <c r="N11" s="78" t="s">
        <v>153</v>
      </c>
      <c r="O11" s="87">
        <f>IF(P11=0,0,Q11/P11)</f>
        <v>-17.133333333333333</v>
      </c>
      <c r="P11" s="81">
        <v>3</v>
      </c>
      <c r="Q11" s="72">
        <v>-51.4</v>
      </c>
    </row>
    <row r="12" spans="1:17" x14ac:dyDescent="0.45">
      <c r="A12" s="22" t="s">
        <v>187</v>
      </c>
      <c r="B12" s="113">
        <f>IF(B9=0,0,C12/B9)</f>
        <v>-40.866666666666667</v>
      </c>
      <c r="C12" s="114">
        <v>-122.6</v>
      </c>
      <c r="E12" s="29" t="s">
        <v>69</v>
      </c>
      <c r="F12" s="26" t="s">
        <v>24</v>
      </c>
      <c r="G12" s="14">
        <v>1</v>
      </c>
      <c r="H12" s="92">
        <f>IF(B$19=0,0,G12/B$19)</f>
        <v>6.6666666666666666E-2</v>
      </c>
      <c r="I12" s="60">
        <v>7</v>
      </c>
      <c r="N12" s="79" t="s">
        <v>154</v>
      </c>
      <c r="O12" s="88">
        <f>IF(P12=0,0,Q12/P12)</f>
        <v>15.9</v>
      </c>
      <c r="P12" s="82">
        <v>2</v>
      </c>
      <c r="Q12" s="73">
        <v>31.8</v>
      </c>
    </row>
    <row r="13" spans="1:17" x14ac:dyDescent="0.45">
      <c r="A13" s="22" t="s">
        <v>188</v>
      </c>
      <c r="B13" s="139">
        <f>AVERAGE(B10:B12)</f>
        <v>1.9111111111111114</v>
      </c>
      <c r="C13" s="140"/>
      <c r="E13" s="29" t="s">
        <v>71</v>
      </c>
      <c r="F13" s="26" t="s">
        <v>26</v>
      </c>
      <c r="G13" s="14">
        <v>1</v>
      </c>
      <c r="H13" s="92">
        <f>IF(B$19=0,0,G13/B$19)</f>
        <v>6.6666666666666666E-2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0.14285714285714285</v>
      </c>
      <c r="E14" s="29" t="s">
        <v>77</v>
      </c>
      <c r="F14" s="26" t="s">
        <v>32</v>
      </c>
      <c r="G14" s="14">
        <v>1</v>
      </c>
      <c r="H14" s="92">
        <f>IF(B$19=0,0,G14/B$19)</f>
        <v>6.6666666666666666E-2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17</v>
      </c>
      <c r="C15" s="12">
        <f>IF(B$3=0,0,B15/B$3)</f>
        <v>0.29310344827586204</v>
      </c>
      <c r="E15" s="29" t="s">
        <v>85</v>
      </c>
      <c r="F15" s="26" t="s">
        <v>40</v>
      </c>
      <c r="G15" s="14">
        <v>1</v>
      </c>
      <c r="H15" s="92">
        <f>IF(B$19=0,0,G15/B$19)</f>
        <v>6.6666666666666666E-2</v>
      </c>
      <c r="I15" s="60">
        <v>1</v>
      </c>
      <c r="N15" s="77" t="s">
        <v>200</v>
      </c>
      <c r="O15" s="86">
        <f>IF(P15=0,0,Q15/P15)</f>
        <v>27.925000000000001</v>
      </c>
      <c r="P15" s="80">
        <v>4</v>
      </c>
      <c r="Q15" s="71">
        <v>111.7</v>
      </c>
    </row>
    <row r="16" spans="1:17" x14ac:dyDescent="0.45">
      <c r="A16" s="21" t="s">
        <v>118</v>
      </c>
      <c r="B16" s="14">
        <v>11</v>
      </c>
      <c r="C16" s="8">
        <f>IF(B$3=0,0,B16/B$3)</f>
        <v>0.18965517241379309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194</v>
      </c>
      <c r="O16" s="87">
        <f>IF(P16=0,0,Q16/P16)</f>
        <v>-5.86</v>
      </c>
      <c r="P16" s="81">
        <v>5</v>
      </c>
      <c r="Q16" s="72">
        <v>-29.3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0.41176470588235292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-7.2500000000000018</v>
      </c>
      <c r="P17" s="81">
        <v>2</v>
      </c>
      <c r="Q17" s="72">
        <v>-14.500000000000004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0.54545454545454541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-14.600000000000005</v>
      </c>
      <c r="P18" s="81">
        <v>2</v>
      </c>
      <c r="Q18" s="72">
        <v>-29.20000000000001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0.25862068965517243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  <c r="N19" s="78" t="s">
        <v>198</v>
      </c>
      <c r="O19" s="87">
        <f>IF(P19=0,0,Q19/P19)</f>
        <v>-35.1</v>
      </c>
      <c r="P19" s="81">
        <v>1</v>
      </c>
      <c r="Q19" s="72">
        <v>-35.1</v>
      </c>
    </row>
    <row r="20" spans="1:17" x14ac:dyDescent="0.45">
      <c r="A20" s="21" t="s">
        <v>13</v>
      </c>
      <c r="B20" s="14">
        <v>10</v>
      </c>
      <c r="C20" s="8">
        <f>IF(B$3=0,0,B20/B$3)</f>
        <v>0.17241379310344829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5</v>
      </c>
    </row>
    <row r="21" spans="1:17" x14ac:dyDescent="0.45">
      <c r="A21" s="21" t="s">
        <v>12</v>
      </c>
      <c r="B21" s="14">
        <v>6</v>
      </c>
      <c r="C21" s="8">
        <f>IF(B$19=0,0,B21/B$19)</f>
        <v>0.4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9</v>
      </c>
      <c r="C22" s="8">
        <f>IF(B$19=0,0,B22/B$19)</f>
        <v>0.6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7</v>
      </c>
      <c r="C23" s="8">
        <f>IF(B$19=0,0,B23/B$19)</f>
        <v>0.46666666666666667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6</v>
      </c>
    </row>
    <row r="24" spans="1:17" x14ac:dyDescent="0.45">
      <c r="A24" s="21" t="s">
        <v>182</v>
      </c>
      <c r="B24" s="14">
        <v>6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0.13333333333333333</v>
      </c>
      <c r="E25" s="29" t="s">
        <v>83</v>
      </c>
      <c r="F25" s="26" t="s">
        <v>38</v>
      </c>
      <c r="G25" s="14">
        <v>0</v>
      </c>
      <c r="H25" s="92">
        <f>IF(B$19=0,0,G25/B$19)</f>
        <v>0</v>
      </c>
      <c r="I25" s="60">
        <v>7</v>
      </c>
    </row>
    <row r="26" spans="1:17" x14ac:dyDescent="0.45">
      <c r="A26" s="21" t="s">
        <v>5</v>
      </c>
      <c r="B26" s="18">
        <f>IF(B$19=0,0,C26/B$19)</f>
        <v>7693.333333333333</v>
      </c>
      <c r="C26" s="10">
        <v>115400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9900</v>
      </c>
      <c r="C27" s="100">
        <v>89100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4383.333333333333</v>
      </c>
      <c r="C28" s="100">
        <v>26300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-7820</v>
      </c>
      <c r="C29" s="100">
        <v>-78200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17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5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74600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33">
        <v>2</v>
      </c>
      <c r="C36" s="102">
        <f t="shared" ref="C36:C48" si="2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4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4">
        <v>1</v>
      </c>
      <c r="C39" s="8">
        <f t="shared" si="2"/>
        <v>6.6666666666666666E-2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4">
        <v>2</v>
      </c>
      <c r="C40" s="8">
        <f t="shared" si="2"/>
        <v>0.13333333333333333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4">
        <v>3</v>
      </c>
      <c r="C41" s="8">
        <f t="shared" si="2"/>
        <v>0.2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4">
        <v>1</v>
      </c>
      <c r="C42" s="8">
        <f t="shared" si="2"/>
        <v>6.6666666666666666E-2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4">
        <v>1</v>
      </c>
      <c r="C43" s="8">
        <f t="shared" si="2"/>
        <v>6.6666666666666666E-2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4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4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4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4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E8ED1-7CDF-4C73-8F69-E379CBF42A5C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200</v>
      </c>
      <c r="C1" s="146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4</v>
      </c>
      <c r="C2" s="148"/>
      <c r="E2" s="28" t="s">
        <v>72</v>
      </c>
      <c r="F2" s="25" t="s">
        <v>27</v>
      </c>
      <c r="G2" s="13">
        <v>7</v>
      </c>
      <c r="H2" s="91">
        <f>IF(B$19=0,0,G2/B$19)</f>
        <v>0.875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-6625</v>
      </c>
      <c r="P2" s="80">
        <v>4</v>
      </c>
      <c r="Q2" s="67">
        <v>-26500</v>
      </c>
    </row>
    <row r="3" spans="1:17" x14ac:dyDescent="0.45">
      <c r="A3" s="21" t="s">
        <v>8</v>
      </c>
      <c r="B3" s="149">
        <v>35</v>
      </c>
      <c r="C3" s="150"/>
      <c r="E3" s="29" t="s">
        <v>66</v>
      </c>
      <c r="F3" s="26" t="s">
        <v>22</v>
      </c>
      <c r="G3" s="14">
        <v>6</v>
      </c>
      <c r="H3" s="92">
        <f>IF(B$19=0,0,G3/B$19)</f>
        <v>0.75</v>
      </c>
      <c r="I3" s="60">
        <v>3</v>
      </c>
      <c r="K3" s="7">
        <v>1</v>
      </c>
      <c r="L3" s="65">
        <v>-38</v>
      </c>
      <c r="N3" s="78" t="s">
        <v>129</v>
      </c>
      <c r="O3" s="84">
        <f t="shared" si="0"/>
        <v>-1125</v>
      </c>
      <c r="P3" s="81">
        <v>4</v>
      </c>
      <c r="Q3" s="68">
        <v>-4500</v>
      </c>
    </row>
    <row r="4" spans="1:17" x14ac:dyDescent="0.45">
      <c r="A4" s="21" t="s">
        <v>6</v>
      </c>
      <c r="B4" s="151">
        <v>-51.699999999999996</v>
      </c>
      <c r="C4" s="152"/>
      <c r="E4" s="29" t="s">
        <v>89</v>
      </c>
      <c r="F4" s="26" t="s">
        <v>44</v>
      </c>
      <c r="G4" s="14">
        <v>3</v>
      </c>
      <c r="H4" s="92">
        <f>IF(B$19=0,0,G4/B$19)</f>
        <v>0.375</v>
      </c>
      <c r="I4" s="60">
        <v>1</v>
      </c>
      <c r="K4" s="7">
        <v>2</v>
      </c>
      <c r="L4" s="65">
        <v>-18</v>
      </c>
      <c r="N4" s="78" t="s">
        <v>130</v>
      </c>
      <c r="O4" s="84">
        <f t="shared" si="0"/>
        <v>6750</v>
      </c>
      <c r="P4" s="81">
        <v>4</v>
      </c>
      <c r="Q4" s="68">
        <v>27000</v>
      </c>
    </row>
    <row r="5" spans="1:17" x14ac:dyDescent="0.45">
      <c r="A5" s="21" t="s">
        <v>7</v>
      </c>
      <c r="B5" s="139">
        <f>IF(B$2=0,0,B$4/B$2)</f>
        <v>-12.924999999999999</v>
      </c>
      <c r="C5" s="140"/>
      <c r="E5" s="29" t="s">
        <v>160</v>
      </c>
      <c r="F5" s="26" t="s">
        <v>161</v>
      </c>
      <c r="G5" s="14">
        <v>3</v>
      </c>
      <c r="H5" s="92">
        <f>IF(B$19=0,0,G5/B$19)</f>
        <v>0.375</v>
      </c>
      <c r="I5" s="60">
        <v>7</v>
      </c>
      <c r="K5" s="7">
        <v>3</v>
      </c>
      <c r="L5" s="65">
        <v>-14.9</v>
      </c>
      <c r="N5" s="78" t="s">
        <v>131</v>
      </c>
      <c r="O5" s="84">
        <f t="shared" si="0"/>
        <v>-766.66666666666663</v>
      </c>
      <c r="P5" s="81">
        <v>3</v>
      </c>
      <c r="Q5" s="68">
        <v>-2300</v>
      </c>
    </row>
    <row r="6" spans="1:17" x14ac:dyDescent="0.45">
      <c r="A6" s="21" t="s">
        <v>1</v>
      </c>
      <c r="B6" s="153">
        <f>IF(B$2=0,0,(B$7*1+B$8*2+B$9*3)/B$2)</f>
        <v>2.25</v>
      </c>
      <c r="C6" s="154"/>
      <c r="E6" s="29" t="s">
        <v>64</v>
      </c>
      <c r="F6" s="26" t="s">
        <v>20</v>
      </c>
      <c r="G6" s="14">
        <v>2</v>
      </c>
      <c r="H6" s="92">
        <f>IF(B$19=0,0,G6/B$19)</f>
        <v>0.25</v>
      </c>
      <c r="I6" s="60">
        <v>10</v>
      </c>
      <c r="K6" s="7">
        <v>4</v>
      </c>
      <c r="L6" s="65">
        <v>-51.699999999999996</v>
      </c>
      <c r="N6" s="78" t="s">
        <v>132</v>
      </c>
      <c r="O6" s="84">
        <f t="shared" si="0"/>
        <v>-4000</v>
      </c>
      <c r="P6" s="81">
        <v>3</v>
      </c>
      <c r="Q6" s="68">
        <v>-12000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0.25</v>
      </c>
      <c r="E7" s="29" t="s">
        <v>68</v>
      </c>
      <c r="F7" s="26" t="s">
        <v>12</v>
      </c>
      <c r="G7" s="14">
        <v>2</v>
      </c>
      <c r="H7" s="92">
        <f>IF(B$19=0,0,G7/B$19)</f>
        <v>0.25</v>
      </c>
      <c r="I7" s="60">
        <v>7</v>
      </c>
      <c r="N7" s="79" t="s">
        <v>133</v>
      </c>
      <c r="O7" s="85">
        <f t="shared" si="0"/>
        <v>-7800</v>
      </c>
      <c r="P7" s="82">
        <v>3</v>
      </c>
      <c r="Q7" s="69">
        <v>-23400</v>
      </c>
    </row>
    <row r="8" spans="1:17" x14ac:dyDescent="0.45">
      <c r="A8" s="21" t="s">
        <v>3</v>
      </c>
      <c r="B8" s="14">
        <v>1</v>
      </c>
      <c r="C8" s="8">
        <f t="shared" si="1"/>
        <v>0.25</v>
      </c>
      <c r="E8" s="29" t="s">
        <v>65</v>
      </c>
      <c r="F8" s="26" t="s">
        <v>21</v>
      </c>
      <c r="G8" s="14">
        <v>1</v>
      </c>
      <c r="H8" s="92">
        <f>IF(B$19=0,0,G8/B$19)</f>
        <v>0.125</v>
      </c>
      <c r="I8" s="60">
        <v>3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0.5</v>
      </c>
      <c r="E9" s="29" t="s">
        <v>81</v>
      </c>
      <c r="F9" s="26" t="s">
        <v>36</v>
      </c>
      <c r="G9" s="14">
        <v>1</v>
      </c>
      <c r="H9" s="92">
        <f>IF(B$19=0,0,G9/B$19)</f>
        <v>0.125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20</v>
      </c>
      <c r="C10" s="114">
        <v>20</v>
      </c>
      <c r="E10" s="29" t="s">
        <v>83</v>
      </c>
      <c r="F10" s="26" t="s">
        <v>38</v>
      </c>
      <c r="G10" s="14">
        <v>1</v>
      </c>
      <c r="H10" s="92">
        <f>IF(B$19=0,0,G10/B$19)</f>
        <v>0.125</v>
      </c>
      <c r="I10" s="60">
        <v>2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3.1</v>
      </c>
      <c r="C11" s="114">
        <v>3.1</v>
      </c>
      <c r="E11" s="29" t="s">
        <v>67</v>
      </c>
      <c r="F11" s="26" t="s">
        <v>23</v>
      </c>
      <c r="G11" s="14">
        <v>0</v>
      </c>
      <c r="H11" s="92">
        <f>IF(B$19=0,0,G11/B$19)</f>
        <v>0</v>
      </c>
      <c r="I11" s="60">
        <v>11</v>
      </c>
      <c r="N11" s="78" t="s">
        <v>153</v>
      </c>
      <c r="O11" s="87">
        <f>IF(P11=0,0,Q11/P11)</f>
        <v>20</v>
      </c>
      <c r="P11" s="81">
        <v>1</v>
      </c>
      <c r="Q11" s="72">
        <v>20</v>
      </c>
    </row>
    <row r="12" spans="1:17" x14ac:dyDescent="0.45">
      <c r="A12" s="22" t="s">
        <v>187</v>
      </c>
      <c r="B12" s="113">
        <f>IF(B9=0,0,C12/B9)</f>
        <v>-37.4</v>
      </c>
      <c r="C12" s="114">
        <v>-74.8</v>
      </c>
      <c r="E12" s="29" t="s">
        <v>69</v>
      </c>
      <c r="F12" s="26" t="s">
        <v>24</v>
      </c>
      <c r="G12" s="14">
        <v>0</v>
      </c>
      <c r="H12" s="92">
        <f>IF(B$19=0,0,G12/B$19)</f>
        <v>0</v>
      </c>
      <c r="I12" s="60">
        <v>9</v>
      </c>
      <c r="N12" s="79" t="s">
        <v>154</v>
      </c>
      <c r="O12" s="88">
        <f>IF(P12=0,0,Q12/P12)</f>
        <v>-23.899999999999995</v>
      </c>
      <c r="P12" s="82">
        <v>3</v>
      </c>
      <c r="Q12" s="73">
        <v>-71.699999999999989</v>
      </c>
    </row>
    <row r="13" spans="1:17" x14ac:dyDescent="0.45">
      <c r="A13" s="22" t="s">
        <v>188</v>
      </c>
      <c r="B13" s="139">
        <f>AVERAGE(B10:B12)</f>
        <v>-4.7666666666666657</v>
      </c>
      <c r="C13" s="140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</v>
      </c>
      <c r="C15" s="12">
        <f>IF(B$3=0,0,B15/B$3)</f>
        <v>0.25714285714285712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194</v>
      </c>
      <c r="O15" s="86">
        <f>IF(P15=0,0,Q15/P15)</f>
        <v>7.1999999999999993</v>
      </c>
      <c r="P15" s="80">
        <v>2</v>
      </c>
      <c r="Q15" s="71">
        <v>14.399999999999999</v>
      </c>
    </row>
    <row r="16" spans="1:17" x14ac:dyDescent="0.45">
      <c r="A16" s="21" t="s">
        <v>118</v>
      </c>
      <c r="B16" s="14">
        <v>10</v>
      </c>
      <c r="C16" s="8">
        <f>IF(B$3=0,0,B16/B$3)</f>
        <v>0.2857142857142857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201</v>
      </c>
      <c r="O16" s="87">
        <f>IF(P16=0,0,Q16/P16)</f>
        <v>-27.925000000000004</v>
      </c>
      <c r="P16" s="81">
        <v>4</v>
      </c>
      <c r="Q16" s="72">
        <v>-111.70000000000002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0.22222222222222221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-28.9</v>
      </c>
      <c r="P17" s="81">
        <v>2</v>
      </c>
      <c r="Q17" s="72">
        <v>-57.8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0.22857142857142856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</row>
    <row r="20" spans="1:17" x14ac:dyDescent="0.45">
      <c r="A20" s="21" t="s">
        <v>13</v>
      </c>
      <c r="B20" s="14">
        <v>8</v>
      </c>
      <c r="C20" s="8">
        <f>IF(B$3=0,0,B20/B$3)</f>
        <v>0.22857142857142856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5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2</v>
      </c>
      <c r="C23" s="8">
        <f>IF(B$19=0,0,B23/B$19)</f>
        <v>0.25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8212.5</v>
      </c>
      <c r="C26" s="10">
        <v>65700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7</v>
      </c>
    </row>
    <row r="27" spans="1:17" x14ac:dyDescent="0.45">
      <c r="A27" s="22" t="s">
        <v>166</v>
      </c>
      <c r="B27" s="99">
        <f>IF($B$19-B$18=0,0,C27/($B$19-B$18))</f>
        <v>7725</v>
      </c>
      <c r="C27" s="100">
        <v>30900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8700</v>
      </c>
      <c r="C28" s="100">
        <v>34800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-9387.5</v>
      </c>
      <c r="C29" s="100">
        <v>-75100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12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3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45000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33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4">
        <v>1</v>
      </c>
      <c r="C38" s="8">
        <f t="shared" si="2"/>
        <v>0.125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4">
        <v>1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4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4">
        <v>2</v>
      </c>
      <c r="C41" s="8">
        <f t="shared" si="2"/>
        <v>0.25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4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4">
        <v>1</v>
      </c>
      <c r="C43" s="8">
        <f t="shared" si="2"/>
        <v>0.125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4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4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4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4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F49C-25BF-4719-95C3-27911BCF6944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208</v>
      </c>
      <c r="C1" s="146"/>
      <c r="E1" s="108" t="s">
        <v>155</v>
      </c>
      <c r="F1" s="136" t="s">
        <v>115</v>
      </c>
      <c r="G1" s="135" t="s">
        <v>116</v>
      </c>
      <c r="H1" s="90" t="s">
        <v>117</v>
      </c>
      <c r="I1" s="136" t="s">
        <v>146</v>
      </c>
      <c r="K1" s="4" t="s">
        <v>19</v>
      </c>
      <c r="L1" s="136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2</v>
      </c>
      <c r="C2" s="148"/>
      <c r="E2" s="28" t="s">
        <v>64</v>
      </c>
      <c r="F2" s="25" t="s">
        <v>20</v>
      </c>
      <c r="G2" s="13">
        <v>4</v>
      </c>
      <c r="H2" s="91">
        <f>IF(B$19=0,0,G2/B$19)</f>
        <v>0.8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5000</v>
      </c>
      <c r="P2" s="80">
        <v>2</v>
      </c>
      <c r="Q2" s="67">
        <v>10000</v>
      </c>
    </row>
    <row r="3" spans="1:17" x14ac:dyDescent="0.45">
      <c r="A3" s="21" t="s">
        <v>8</v>
      </c>
      <c r="B3" s="149">
        <v>18</v>
      </c>
      <c r="C3" s="150"/>
      <c r="E3" s="29" t="s">
        <v>68</v>
      </c>
      <c r="F3" s="26" t="s">
        <v>12</v>
      </c>
      <c r="G3" s="14">
        <v>4</v>
      </c>
      <c r="H3" s="92">
        <f>IF(B$19=0,0,G3/B$19)</f>
        <v>0.8</v>
      </c>
      <c r="I3" s="60">
        <v>1</v>
      </c>
      <c r="K3" s="7">
        <v>1</v>
      </c>
      <c r="L3" s="65">
        <v>-24.2</v>
      </c>
      <c r="N3" s="78" t="s">
        <v>129</v>
      </c>
      <c r="O3" s="84">
        <f t="shared" si="0"/>
        <v>-2600</v>
      </c>
      <c r="P3" s="81">
        <v>2</v>
      </c>
      <c r="Q3" s="68">
        <v>-5200</v>
      </c>
    </row>
    <row r="4" spans="1:17" x14ac:dyDescent="0.45">
      <c r="A4" s="21" t="s">
        <v>6</v>
      </c>
      <c r="B4" s="151">
        <v>-6.1999999999999993</v>
      </c>
      <c r="C4" s="152"/>
      <c r="E4" s="29" t="s">
        <v>67</v>
      </c>
      <c r="F4" s="26" t="s">
        <v>23</v>
      </c>
      <c r="G4" s="14">
        <v>3</v>
      </c>
      <c r="H4" s="92">
        <f>IF(B$19=0,0,G4/B$19)</f>
        <v>0.6</v>
      </c>
      <c r="I4" s="60">
        <v>1</v>
      </c>
      <c r="K4" s="7">
        <v>2</v>
      </c>
      <c r="L4" s="65">
        <v>-6.1999999999999993</v>
      </c>
      <c r="N4" s="78" t="s">
        <v>130</v>
      </c>
      <c r="O4" s="84">
        <f t="shared" si="0"/>
        <v>900</v>
      </c>
      <c r="P4" s="81">
        <v>2</v>
      </c>
      <c r="Q4" s="68">
        <v>1800</v>
      </c>
    </row>
    <row r="5" spans="1:17" x14ac:dyDescent="0.45">
      <c r="A5" s="21" t="s">
        <v>7</v>
      </c>
      <c r="B5" s="139">
        <f>IF(B$2=0,0,B$4/B$2)</f>
        <v>-3.0999999999999996</v>
      </c>
      <c r="C5" s="140"/>
      <c r="E5" s="29" t="s">
        <v>69</v>
      </c>
      <c r="F5" s="26" t="s">
        <v>24</v>
      </c>
      <c r="G5" s="14">
        <v>3</v>
      </c>
      <c r="H5" s="92">
        <f>IF(B$19=0,0,G5/B$19)</f>
        <v>0.6</v>
      </c>
      <c r="I5" s="60">
        <v>2</v>
      </c>
      <c r="N5" s="78" t="s">
        <v>131</v>
      </c>
      <c r="O5" s="84">
        <f t="shared" si="0"/>
        <v>-3750</v>
      </c>
      <c r="P5" s="81">
        <v>2</v>
      </c>
      <c r="Q5" s="68">
        <v>-7500</v>
      </c>
    </row>
    <row r="6" spans="1:17" x14ac:dyDescent="0.45">
      <c r="A6" s="21" t="s">
        <v>1</v>
      </c>
      <c r="B6" s="153">
        <f>IF(B$2=0,0,(B$7*1+B$8*2+B$9*3)/B$2)</f>
        <v>2</v>
      </c>
      <c r="C6" s="154"/>
      <c r="E6" s="29" t="s">
        <v>66</v>
      </c>
      <c r="F6" s="26" t="s">
        <v>22</v>
      </c>
      <c r="G6" s="14">
        <v>2</v>
      </c>
      <c r="H6" s="92">
        <f>IF(B$19=0,0,G6/B$19)</f>
        <v>0.4</v>
      </c>
      <c r="I6" s="60">
        <v>10</v>
      </c>
      <c r="N6" s="78" t="s">
        <v>132</v>
      </c>
      <c r="O6" s="84">
        <f t="shared" si="0"/>
        <v>-400</v>
      </c>
      <c r="P6" s="81">
        <v>2</v>
      </c>
      <c r="Q6" s="68">
        <v>-800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0.5</v>
      </c>
      <c r="E7" s="29" t="s">
        <v>65</v>
      </c>
      <c r="F7" s="26" t="s">
        <v>21</v>
      </c>
      <c r="G7" s="14">
        <v>1</v>
      </c>
      <c r="H7" s="92">
        <f>IF(B$19=0,0,G7/B$19)</f>
        <v>0.2</v>
      </c>
      <c r="I7" s="60">
        <v>1</v>
      </c>
      <c r="N7" s="79" t="s">
        <v>133</v>
      </c>
      <c r="O7" s="85">
        <f t="shared" si="0"/>
        <v>-4500</v>
      </c>
      <c r="P7" s="82">
        <v>1</v>
      </c>
      <c r="Q7" s="69">
        <v>-4500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70</v>
      </c>
      <c r="F8" s="26" t="s">
        <v>25</v>
      </c>
      <c r="G8" s="14">
        <v>1</v>
      </c>
      <c r="H8" s="92">
        <f>IF(B$19=0,0,G8/B$19)</f>
        <v>0.2</v>
      </c>
      <c r="I8" s="60">
        <v>2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0.5</v>
      </c>
      <c r="E9" s="29" t="s">
        <v>160</v>
      </c>
      <c r="F9" s="26" t="s">
        <v>161</v>
      </c>
      <c r="G9" s="14">
        <v>1</v>
      </c>
      <c r="H9" s="92">
        <f>IF(B$19=0,0,G9/B$19)</f>
        <v>0.2</v>
      </c>
      <c r="I9" s="60">
        <v>11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18</v>
      </c>
      <c r="C10" s="114">
        <v>18</v>
      </c>
      <c r="E10" s="29" t="s">
        <v>71</v>
      </c>
      <c r="F10" s="26" t="s">
        <v>26</v>
      </c>
      <c r="G10" s="14">
        <v>0</v>
      </c>
      <c r="H10" s="92">
        <f>IF(B$19=0,0,G10/B$19)</f>
        <v>0</v>
      </c>
      <c r="I10" s="60">
        <v>7</v>
      </c>
      <c r="N10" s="77" t="s">
        <v>152</v>
      </c>
      <c r="O10" s="86">
        <f>IF(P10=0,0,Q10/P10)</f>
        <v>-24.2</v>
      </c>
      <c r="P10" s="80">
        <v>1</v>
      </c>
      <c r="Q10" s="71">
        <v>-24.2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72</v>
      </c>
      <c r="F11" s="26" t="s">
        <v>27</v>
      </c>
      <c r="G11" s="14">
        <v>0</v>
      </c>
      <c r="H11" s="92">
        <f>IF(B$19=0,0,G11/B$19)</f>
        <v>0</v>
      </c>
      <c r="I11" s="60">
        <v>11</v>
      </c>
      <c r="N11" s="78" t="s">
        <v>153</v>
      </c>
      <c r="O11" s="87">
        <f>IF(P11=0,0,Q11/P11)</f>
        <v>18</v>
      </c>
      <c r="P11" s="81">
        <v>1</v>
      </c>
      <c r="Q11" s="72">
        <v>18</v>
      </c>
    </row>
    <row r="12" spans="1:17" x14ac:dyDescent="0.45">
      <c r="A12" s="22" t="s">
        <v>187</v>
      </c>
      <c r="B12" s="113">
        <f>IF(B9=0,0,C12/B9)</f>
        <v>-24.2</v>
      </c>
      <c r="C12" s="114">
        <v>-24.2</v>
      </c>
      <c r="E12" s="29" t="s">
        <v>73</v>
      </c>
      <c r="F12" s="26" t="s">
        <v>28</v>
      </c>
      <c r="G12" s="14">
        <v>0</v>
      </c>
      <c r="H12" s="92">
        <f>IF(B$19=0,0,G12/B$19)</f>
        <v>0</v>
      </c>
      <c r="I12" s="60">
        <v>3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9">
        <f>AVERAGE(B10:B12)</f>
        <v>-2.0666666666666664</v>
      </c>
      <c r="C13" s="140"/>
      <c r="E13" s="29" t="s">
        <v>74</v>
      </c>
      <c r="F13" s="26" t="s">
        <v>29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75</v>
      </c>
      <c r="F14" s="26" t="s">
        <v>30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0.22222222222222221</v>
      </c>
      <c r="E15" s="29" t="s">
        <v>76</v>
      </c>
      <c r="F15" s="26" t="s">
        <v>31</v>
      </c>
      <c r="G15" s="14">
        <v>0</v>
      </c>
      <c r="H15" s="92">
        <f>IF(B$19=0,0,G15/B$19)</f>
        <v>0</v>
      </c>
      <c r="I15" s="60">
        <v>1</v>
      </c>
      <c r="N15" s="77" t="s">
        <v>198</v>
      </c>
      <c r="O15" s="86">
        <f>IF(P15=0,0,Q15/P15)</f>
        <v>18.5</v>
      </c>
      <c r="P15" s="80">
        <v>1</v>
      </c>
      <c r="Q15" s="71">
        <v>18.5</v>
      </c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77</v>
      </c>
      <c r="F16" s="26" t="s">
        <v>32</v>
      </c>
      <c r="G16" s="14">
        <v>0</v>
      </c>
      <c r="H16" s="92">
        <f>IF(B$19=0,0,G16/B$19)</f>
        <v>0</v>
      </c>
      <c r="I16" s="60">
        <v>3</v>
      </c>
      <c r="N16" s="78" t="s">
        <v>207</v>
      </c>
      <c r="O16" s="87">
        <f>IF(P16=0,0,Q16/P16)</f>
        <v>3.6500000000000004</v>
      </c>
      <c r="P16" s="81">
        <v>2</v>
      </c>
      <c r="Q16" s="72">
        <v>7.3000000000000007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1</v>
      </c>
      <c r="E17" s="29" t="s">
        <v>78</v>
      </c>
      <c r="F17" s="26" t="s">
        <v>33</v>
      </c>
      <c r="G17" s="14">
        <v>0</v>
      </c>
      <c r="H17" s="92">
        <f>IF(B$19=0,0,G17/B$19)</f>
        <v>0</v>
      </c>
      <c r="I17" s="60">
        <v>5</v>
      </c>
      <c r="N17" s="78" t="s">
        <v>194</v>
      </c>
      <c r="O17" s="87">
        <f>IF(P17=0,0,Q17/P17)</f>
        <v>-44.4</v>
      </c>
      <c r="P17" s="81">
        <v>1</v>
      </c>
      <c r="Q17" s="72">
        <v>-44.4</v>
      </c>
    </row>
    <row r="18" spans="1:17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79</v>
      </c>
      <c r="F18" s="26" t="s">
        <v>34</v>
      </c>
      <c r="G18" s="14">
        <v>0</v>
      </c>
      <c r="H18" s="92">
        <f>IF(B$19=0,0,G18/B$19)</f>
        <v>0</v>
      </c>
      <c r="I18" s="60">
        <v>3</v>
      </c>
    </row>
    <row r="19" spans="1:17" x14ac:dyDescent="0.45">
      <c r="A19" s="20" t="s">
        <v>10</v>
      </c>
      <c r="B19" s="13">
        <f>B22+B21</f>
        <v>5</v>
      </c>
      <c r="C19" s="6">
        <f>IF(B$3=0,0,B19/B$3)</f>
        <v>0.27777777777777779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3</v>
      </c>
      <c r="C20" s="8">
        <f>IF(B$3=0,0,B20/B$3)</f>
        <v>0.16666666666666666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4</v>
      </c>
      <c r="C21" s="8">
        <f>IF(B$19=0,0,B21/B$19)</f>
        <v>0.8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</v>
      </c>
      <c r="C22" s="8">
        <f>IF(B$19=0,0,B22/B$19)</f>
        <v>0.2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4</v>
      </c>
      <c r="C23" s="8">
        <f>IF(B$19=0,0,B23/B$19)</f>
        <v>0.8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0</v>
      </c>
      <c r="C24" s="8">
        <f>IF(B$19=0,0,B24/B$19)</f>
        <v>0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1</v>
      </c>
      <c r="C25" s="8">
        <f>IF(B$19=0,0,B25/B$19)</f>
        <v>0.2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7</v>
      </c>
    </row>
    <row r="26" spans="1:17" x14ac:dyDescent="0.45">
      <c r="A26" s="21" t="s">
        <v>5</v>
      </c>
      <c r="B26" s="18">
        <f>IF(B$19=0,0,C26/B$19)</f>
        <v>7460</v>
      </c>
      <c r="C26" s="10">
        <v>37300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7460</v>
      </c>
      <c r="C27" s="100">
        <v>37300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0</v>
      </c>
      <c r="C28" s="100">
        <v>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11</v>
      </c>
    </row>
    <row r="29" spans="1:17" x14ac:dyDescent="0.45">
      <c r="A29" s="22" t="s">
        <v>165</v>
      </c>
      <c r="B29" s="99">
        <f>IF(B$20=0,0,C29/B$20)</f>
        <v>-5766.666666666667</v>
      </c>
      <c r="C29" s="100">
        <v>-17300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9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3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43000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37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8">
        <v>3</v>
      </c>
      <c r="C38" s="8">
        <f t="shared" si="2"/>
        <v>0.6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8">
        <v>1</v>
      </c>
      <c r="C39" s="8">
        <f t="shared" si="2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8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8">
        <v>1</v>
      </c>
      <c r="C41" s="8">
        <f t="shared" si="2"/>
        <v>0.2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8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8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8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8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8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8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C0992-5857-46C1-A606-E109AF7FEE3A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207</v>
      </c>
      <c r="C1" s="146"/>
      <c r="E1" s="108" t="s">
        <v>155</v>
      </c>
      <c r="F1" s="136" t="s">
        <v>115</v>
      </c>
      <c r="G1" s="135" t="s">
        <v>116</v>
      </c>
      <c r="H1" s="90" t="s">
        <v>117</v>
      </c>
      <c r="I1" s="136" t="s">
        <v>146</v>
      </c>
      <c r="K1" s="4" t="s">
        <v>19</v>
      </c>
      <c r="L1" s="136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2</v>
      </c>
      <c r="C2" s="148"/>
      <c r="E2" s="28" t="s">
        <v>66</v>
      </c>
      <c r="F2" s="25" t="s">
        <v>22</v>
      </c>
      <c r="G2" s="13">
        <v>7</v>
      </c>
      <c r="H2" s="91">
        <f>IF(B$19=0,0,G2/B$19)</f>
        <v>1.75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-3650</v>
      </c>
      <c r="P2" s="80">
        <v>2</v>
      </c>
      <c r="Q2" s="67">
        <v>-7300</v>
      </c>
    </row>
    <row r="3" spans="1:17" x14ac:dyDescent="0.45">
      <c r="A3" s="21" t="s">
        <v>8</v>
      </c>
      <c r="B3" s="149">
        <v>18</v>
      </c>
      <c r="C3" s="150"/>
      <c r="E3" s="29" t="s">
        <v>72</v>
      </c>
      <c r="F3" s="26" t="s">
        <v>27</v>
      </c>
      <c r="G3" s="14">
        <v>4</v>
      </c>
      <c r="H3" s="92">
        <f>IF(B$19=0,0,G3/B$19)</f>
        <v>1</v>
      </c>
      <c r="I3" s="60">
        <v>1</v>
      </c>
      <c r="K3" s="7">
        <v>1</v>
      </c>
      <c r="L3" s="65">
        <v>4</v>
      </c>
      <c r="N3" s="78" t="s">
        <v>129</v>
      </c>
      <c r="O3" s="84">
        <f t="shared" si="0"/>
        <v>-850</v>
      </c>
      <c r="P3" s="81">
        <v>2</v>
      </c>
      <c r="Q3" s="68">
        <v>-1700</v>
      </c>
    </row>
    <row r="4" spans="1:17" x14ac:dyDescent="0.45">
      <c r="A4" s="21" t="s">
        <v>6</v>
      </c>
      <c r="B4" s="151">
        <v>-13.5</v>
      </c>
      <c r="C4" s="152"/>
      <c r="E4" s="29" t="s">
        <v>68</v>
      </c>
      <c r="F4" s="26" t="s">
        <v>12</v>
      </c>
      <c r="G4" s="14">
        <v>2</v>
      </c>
      <c r="H4" s="92">
        <f>IF(B$19=0,0,G4/B$19)</f>
        <v>0.5</v>
      </c>
      <c r="I4" s="60">
        <v>2</v>
      </c>
      <c r="K4" s="7">
        <v>2</v>
      </c>
      <c r="L4" s="65">
        <v>-13.5</v>
      </c>
      <c r="N4" s="78" t="s">
        <v>130</v>
      </c>
      <c r="O4" s="84">
        <f t="shared" si="0"/>
        <v>-4150</v>
      </c>
      <c r="P4" s="81">
        <v>2</v>
      </c>
      <c r="Q4" s="68">
        <v>-8300</v>
      </c>
    </row>
    <row r="5" spans="1:17" x14ac:dyDescent="0.45">
      <c r="A5" s="21" t="s">
        <v>7</v>
      </c>
      <c r="B5" s="139">
        <f>IF(B$2=0,0,B$4/B$2)</f>
        <v>-6.75</v>
      </c>
      <c r="C5" s="140"/>
      <c r="E5" s="29" t="s">
        <v>64</v>
      </c>
      <c r="F5" s="26" t="s">
        <v>20</v>
      </c>
      <c r="G5" s="14">
        <v>1</v>
      </c>
      <c r="H5" s="92">
        <f>IF(B$19=0,0,G5/B$19)</f>
        <v>0.25</v>
      </c>
      <c r="I5" s="60">
        <v>10</v>
      </c>
      <c r="N5" s="78" t="s">
        <v>131</v>
      </c>
      <c r="O5" s="84">
        <f t="shared" si="0"/>
        <v>2900</v>
      </c>
      <c r="P5" s="81">
        <v>2</v>
      </c>
      <c r="Q5" s="68">
        <v>5800</v>
      </c>
    </row>
    <row r="6" spans="1:17" x14ac:dyDescent="0.45">
      <c r="A6" s="21" t="s">
        <v>1</v>
      </c>
      <c r="B6" s="153">
        <f>IF(B$2=0,0,(B$7*1+B$8*2+B$9*3)/B$2)</f>
        <v>2.5</v>
      </c>
      <c r="C6" s="154"/>
      <c r="E6" s="29" t="s">
        <v>67</v>
      </c>
      <c r="F6" s="26" t="s">
        <v>23</v>
      </c>
      <c r="G6" s="14">
        <v>1</v>
      </c>
      <c r="H6" s="92">
        <f>IF(B$19=0,0,G6/B$19)</f>
        <v>0.25</v>
      </c>
      <c r="I6" s="60">
        <v>6</v>
      </c>
      <c r="N6" s="78" t="s">
        <v>132</v>
      </c>
      <c r="O6" s="84">
        <f t="shared" si="0"/>
        <v>1850</v>
      </c>
      <c r="P6" s="81">
        <v>2</v>
      </c>
      <c r="Q6" s="68">
        <v>3700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78</v>
      </c>
      <c r="F7" s="26" t="s">
        <v>33</v>
      </c>
      <c r="G7" s="14">
        <v>1</v>
      </c>
      <c r="H7" s="92">
        <f>IF(B$19=0,0,G7/B$19)</f>
        <v>0.25</v>
      </c>
      <c r="I7" s="60">
        <v>1</v>
      </c>
      <c r="N7" s="79" t="s">
        <v>133</v>
      </c>
      <c r="O7" s="85">
        <f t="shared" si="0"/>
        <v>12000</v>
      </c>
      <c r="P7" s="82">
        <v>1</v>
      </c>
      <c r="Q7" s="69">
        <v>12000</v>
      </c>
    </row>
    <row r="8" spans="1:17" x14ac:dyDescent="0.45">
      <c r="A8" s="21" t="s">
        <v>3</v>
      </c>
      <c r="B8" s="14">
        <v>1</v>
      </c>
      <c r="C8" s="8">
        <f t="shared" si="1"/>
        <v>0.5</v>
      </c>
      <c r="E8" s="29" t="s">
        <v>89</v>
      </c>
      <c r="F8" s="26" t="s">
        <v>44</v>
      </c>
      <c r="G8" s="14">
        <v>1</v>
      </c>
      <c r="H8" s="92">
        <f>IF(B$19=0,0,G8/B$19)</f>
        <v>0.25</v>
      </c>
      <c r="I8" s="60">
        <v>3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0.5</v>
      </c>
      <c r="E9" s="29" t="s">
        <v>160</v>
      </c>
      <c r="F9" s="26" t="s">
        <v>161</v>
      </c>
      <c r="G9" s="14">
        <v>1</v>
      </c>
      <c r="H9" s="92">
        <f>IF(B$19=0,0,G9/B$19)</f>
        <v>0.25</v>
      </c>
      <c r="I9" s="60">
        <v>10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65</v>
      </c>
      <c r="F10" s="26" t="s">
        <v>21</v>
      </c>
      <c r="G10" s="14">
        <v>0</v>
      </c>
      <c r="H10" s="92">
        <f>IF(B$19=0,0,G10/B$19)</f>
        <v>0</v>
      </c>
      <c r="I10" s="60">
        <v>8</v>
      </c>
      <c r="N10" s="77" t="s">
        <v>152</v>
      </c>
      <c r="O10" s="86">
        <f>IF(P10=0,0,Q10/P10)</f>
        <v>-17.5</v>
      </c>
      <c r="P10" s="80">
        <v>1</v>
      </c>
      <c r="Q10" s="71">
        <v>-17.5</v>
      </c>
    </row>
    <row r="11" spans="1:17" x14ac:dyDescent="0.45">
      <c r="A11" s="22" t="s">
        <v>186</v>
      </c>
      <c r="B11" s="113">
        <f>IF(B8=0,0,C11/B8)</f>
        <v>4</v>
      </c>
      <c r="C11" s="114">
        <v>4</v>
      </c>
      <c r="E11" s="29" t="s">
        <v>69</v>
      </c>
      <c r="F11" s="26" t="s">
        <v>24</v>
      </c>
      <c r="G11" s="14">
        <v>0</v>
      </c>
      <c r="H11" s="92">
        <f>IF(B$19=0,0,G11/B$19)</f>
        <v>0</v>
      </c>
      <c r="I11" s="60">
        <v>9</v>
      </c>
      <c r="N11" s="78" t="s">
        <v>153</v>
      </c>
      <c r="O11" s="87">
        <f>IF(P11=0,0,Q11/P11)</f>
        <v>4</v>
      </c>
      <c r="P11" s="81">
        <v>1</v>
      </c>
      <c r="Q11" s="72">
        <v>4</v>
      </c>
    </row>
    <row r="12" spans="1:17" x14ac:dyDescent="0.45">
      <c r="A12" s="22" t="s">
        <v>187</v>
      </c>
      <c r="B12" s="113">
        <f>IF(B9=0,0,C12/B9)</f>
        <v>-17.5</v>
      </c>
      <c r="C12" s="114">
        <v>-17.5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9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9">
        <f>AVERAGE(B10:B12)</f>
        <v>-4.5</v>
      </c>
      <c r="C13" s="140"/>
      <c r="E13" s="29" t="s">
        <v>71</v>
      </c>
      <c r="F13" s="26" t="s">
        <v>26</v>
      </c>
      <c r="G13" s="14">
        <v>0</v>
      </c>
      <c r="H13" s="92">
        <f>IF(B$19=0,0,G13/B$19)</f>
        <v>0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0.22222222222222221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208</v>
      </c>
      <c r="O15" s="86">
        <f>IF(P15=0,0,Q15/P15)</f>
        <v>-3.6500000000000004</v>
      </c>
      <c r="P15" s="80">
        <v>2</v>
      </c>
      <c r="Q15" s="71">
        <v>-7.3000000000000007</v>
      </c>
    </row>
    <row r="16" spans="1:17" x14ac:dyDescent="0.45">
      <c r="A16" s="21" t="s">
        <v>118</v>
      </c>
      <c r="B16" s="14">
        <v>5</v>
      </c>
      <c r="C16" s="8">
        <f>IF(B$3=0,0,B16/B$3)</f>
        <v>0.27777777777777779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-16.2</v>
      </c>
      <c r="P16" s="81">
        <v>1</v>
      </c>
      <c r="Q16" s="72">
        <v>-16.2</v>
      </c>
    </row>
    <row r="17" spans="1:17" x14ac:dyDescent="0.45">
      <c r="A17" s="20" t="s">
        <v>123</v>
      </c>
      <c r="B17" s="13">
        <f>B23</f>
        <v>1</v>
      </c>
      <c r="C17" s="6">
        <f>IF(B$15=0,0,B17/B$15)</f>
        <v>0.25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  <c r="N17" s="78" t="s">
        <v>198</v>
      </c>
      <c r="O17" s="87">
        <f>IF(P17=0,0,Q17/P17)</f>
        <v>-17</v>
      </c>
      <c r="P17" s="81">
        <v>1</v>
      </c>
      <c r="Q17" s="72">
        <v>-17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0.4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3</v>
      </c>
    </row>
    <row r="19" spans="1:17" x14ac:dyDescent="0.45">
      <c r="A19" s="20" t="s">
        <v>10</v>
      </c>
      <c r="B19" s="13">
        <f>B22+B21</f>
        <v>4</v>
      </c>
      <c r="C19" s="6">
        <f>IF(B$3=0,0,B19/B$3)</f>
        <v>0.22222222222222221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17" x14ac:dyDescent="0.45">
      <c r="A20" s="21" t="s">
        <v>13</v>
      </c>
      <c r="B20" s="14">
        <v>3</v>
      </c>
      <c r="C20" s="8">
        <f>IF(B$3=0,0,B20/B$3)</f>
        <v>0.16666666666666666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4</v>
      </c>
      <c r="C21" s="8">
        <f>IF(B$19=0,0,B21/B$19)</f>
        <v>1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6</v>
      </c>
    </row>
    <row r="22" spans="1:17" x14ac:dyDescent="0.45">
      <c r="A22" s="21" t="s">
        <v>11</v>
      </c>
      <c r="B22" s="14">
        <v>0</v>
      </c>
      <c r="C22" s="8">
        <f>IF(B$19=0,0,B22/B$19)</f>
        <v>0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</v>
      </c>
      <c r="C23" s="8">
        <f>IF(B$19=0,0,B23/B$19)</f>
        <v>0.25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17" x14ac:dyDescent="0.45">
      <c r="A24" s="21" t="s">
        <v>182</v>
      </c>
      <c r="B24" s="14">
        <v>2</v>
      </c>
      <c r="C24" s="8">
        <f>IF(B$19=0,0,B24/B$19)</f>
        <v>0.5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10925</v>
      </c>
      <c r="C26" s="10">
        <v>43700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7</v>
      </c>
    </row>
    <row r="27" spans="1:17" x14ac:dyDescent="0.45">
      <c r="A27" s="22" t="s">
        <v>166</v>
      </c>
      <c r="B27" s="99">
        <f>IF($B$19-B$18=0,0,C27/($B$19-B$18))</f>
        <v>9850</v>
      </c>
      <c r="C27" s="100">
        <v>19700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12000</v>
      </c>
      <c r="C28" s="100">
        <v>24000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-10300</v>
      </c>
      <c r="C29" s="100">
        <v>-30900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5</v>
      </c>
      <c r="C31" s="94">
        <v>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41">
        <v>3</v>
      </c>
      <c r="C32" s="142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43">
        <v>39000</v>
      </c>
      <c r="C33" s="144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37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8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8">
        <v>2</v>
      </c>
      <c r="C39" s="8">
        <f t="shared" si="2"/>
        <v>0.5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8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8">
        <v>2</v>
      </c>
      <c r="C41" s="8">
        <f t="shared" si="2"/>
        <v>0.5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8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8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8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8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8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8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C69C8-3885-43E1-B595-5A9E5AFC39C7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207</v>
      </c>
      <c r="B1" s="36" t="s">
        <v>207</v>
      </c>
      <c r="C1" s="36" t="s">
        <v>207</v>
      </c>
      <c r="D1" s="37" t="s">
        <v>207</v>
      </c>
      <c r="E1" s="36" t="s">
        <v>207</v>
      </c>
      <c r="F1" s="36" t="s">
        <v>207</v>
      </c>
      <c r="G1" s="36" t="s">
        <v>207</v>
      </c>
      <c r="H1" s="36" t="s">
        <v>207</v>
      </c>
      <c r="I1" s="36" t="s">
        <v>207</v>
      </c>
      <c r="J1" s="36" t="s">
        <v>207</v>
      </c>
      <c r="K1" s="36" t="s">
        <v>207</v>
      </c>
      <c r="L1" s="36" t="s">
        <v>207</v>
      </c>
      <c r="M1" s="36" t="s">
        <v>207</v>
      </c>
      <c r="N1" s="36" t="s">
        <v>207</v>
      </c>
      <c r="O1" s="36" t="s">
        <v>207</v>
      </c>
      <c r="P1" s="36" t="s">
        <v>207</v>
      </c>
      <c r="Q1" s="36" t="s">
        <v>207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</v>
      </c>
      <c r="C4" s="32">
        <v>4</v>
      </c>
      <c r="D4" s="37">
        <v>2</v>
      </c>
      <c r="E4" s="33">
        <v>0</v>
      </c>
      <c r="F4" s="33">
        <v>0</v>
      </c>
      <c r="G4" s="33">
        <v>0.3</v>
      </c>
      <c r="H4" s="33">
        <v>0.2</v>
      </c>
      <c r="I4" s="34">
        <v>10566.666666666666</v>
      </c>
      <c r="J4" s="34">
        <v>-12850</v>
      </c>
      <c r="K4" s="33">
        <v>0</v>
      </c>
      <c r="L4" s="33">
        <v>0.3</v>
      </c>
      <c r="M4" s="33">
        <v>0.3</v>
      </c>
      <c r="N4" s="33">
        <v>0.33333333333333331</v>
      </c>
      <c r="O4" s="33">
        <v>0.33333333333333331</v>
      </c>
      <c r="P4" s="33">
        <v>1</v>
      </c>
    </row>
    <row r="5" spans="1:17" x14ac:dyDescent="0.45">
      <c r="A5" s="35">
        <v>2</v>
      </c>
      <c r="B5" s="32">
        <v>-13.5</v>
      </c>
      <c r="C5" s="32">
        <v>-6.75</v>
      </c>
      <c r="D5" s="37">
        <v>2.5</v>
      </c>
      <c r="E5" s="33">
        <v>0</v>
      </c>
      <c r="F5" s="33">
        <v>0.5</v>
      </c>
      <c r="G5" s="33">
        <v>0.22222222222222221</v>
      </c>
      <c r="H5" s="33">
        <v>0.16666666666666666</v>
      </c>
      <c r="I5" s="34">
        <v>10925</v>
      </c>
      <c r="J5" s="34">
        <v>-10300</v>
      </c>
      <c r="K5" s="33">
        <v>0</v>
      </c>
      <c r="L5" s="33">
        <v>0.22222222222222221</v>
      </c>
      <c r="M5" s="33">
        <v>0.27777777777777779</v>
      </c>
      <c r="N5" s="33">
        <v>0.25</v>
      </c>
      <c r="O5" s="33">
        <v>0.4</v>
      </c>
      <c r="P5" s="33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32D65-E234-4C7D-B013-CDA56BECDB74}">
  <sheetPr codeName="Sheet24"/>
  <dimension ref="A1:Q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208</v>
      </c>
      <c r="B1" s="36" t="s">
        <v>208</v>
      </c>
      <c r="C1" s="36" t="s">
        <v>208</v>
      </c>
      <c r="D1" s="37" t="s">
        <v>208</v>
      </c>
      <c r="E1" s="36" t="s">
        <v>208</v>
      </c>
      <c r="F1" s="36" t="s">
        <v>208</v>
      </c>
      <c r="G1" s="36" t="s">
        <v>208</v>
      </c>
      <c r="H1" s="36" t="s">
        <v>208</v>
      </c>
      <c r="I1" s="36" t="s">
        <v>208</v>
      </c>
      <c r="J1" s="36" t="s">
        <v>208</v>
      </c>
      <c r="K1" s="36" t="s">
        <v>208</v>
      </c>
      <c r="L1" s="36" t="s">
        <v>208</v>
      </c>
      <c r="M1" s="36" t="s">
        <v>208</v>
      </c>
      <c r="N1" s="36" t="s">
        <v>208</v>
      </c>
      <c r="O1" s="36" t="s">
        <v>208</v>
      </c>
      <c r="P1" s="36" t="s">
        <v>208</v>
      </c>
      <c r="Q1" s="36" t="s">
        <v>208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-24.2</v>
      </c>
      <c r="C4" s="32">
        <v>-24.2</v>
      </c>
      <c r="D4" s="37">
        <v>3</v>
      </c>
      <c r="E4" s="33">
        <v>0</v>
      </c>
      <c r="F4" s="33">
        <v>1</v>
      </c>
      <c r="G4" s="33">
        <v>0.2</v>
      </c>
      <c r="H4" s="33">
        <v>0.1</v>
      </c>
      <c r="I4" s="34">
        <v>4400</v>
      </c>
      <c r="J4" s="34">
        <v>-1300</v>
      </c>
      <c r="K4" s="33">
        <v>0</v>
      </c>
      <c r="L4" s="33">
        <v>0.1</v>
      </c>
      <c r="M4" s="33">
        <v>0</v>
      </c>
      <c r="N4" s="33">
        <v>1</v>
      </c>
      <c r="O4" s="33">
        <v>0</v>
      </c>
      <c r="P4" s="33">
        <v>1</v>
      </c>
    </row>
    <row r="5" spans="1:17" x14ac:dyDescent="0.45">
      <c r="A5" s="35">
        <v>2</v>
      </c>
      <c r="B5" s="32">
        <v>-6.1999999999999993</v>
      </c>
      <c r="C5" s="32">
        <v>-3.0999999999999996</v>
      </c>
      <c r="D5" s="37">
        <v>2</v>
      </c>
      <c r="E5" s="33">
        <v>0.5</v>
      </c>
      <c r="F5" s="33">
        <v>0.5</v>
      </c>
      <c r="G5" s="33">
        <v>0.27777777777777779</v>
      </c>
      <c r="H5" s="33">
        <v>0.16666666666666666</v>
      </c>
      <c r="I5" s="34">
        <v>7460</v>
      </c>
      <c r="J5" s="34">
        <v>-5766.666666666667</v>
      </c>
      <c r="K5" s="33">
        <v>0</v>
      </c>
      <c r="L5" s="33">
        <v>0.22222222222222221</v>
      </c>
      <c r="M5" s="33">
        <v>0</v>
      </c>
      <c r="N5" s="33">
        <v>1</v>
      </c>
      <c r="O5" s="33">
        <v>0</v>
      </c>
      <c r="P5" s="33">
        <v>0.8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B6F4-C3A6-4C13-A457-9A8EBA944168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200</v>
      </c>
      <c r="B1" s="36" t="s">
        <v>200</v>
      </c>
      <c r="C1" s="36" t="s">
        <v>200</v>
      </c>
      <c r="D1" s="37" t="s">
        <v>200</v>
      </c>
      <c r="E1" s="36" t="s">
        <v>200</v>
      </c>
      <c r="F1" s="36" t="s">
        <v>200</v>
      </c>
      <c r="G1" s="36" t="s">
        <v>200</v>
      </c>
      <c r="H1" s="36" t="s">
        <v>200</v>
      </c>
      <c r="I1" s="36" t="s">
        <v>200</v>
      </c>
      <c r="J1" s="36" t="s">
        <v>200</v>
      </c>
      <c r="K1" s="36" t="s">
        <v>200</v>
      </c>
      <c r="L1" s="36" t="s">
        <v>200</v>
      </c>
      <c r="M1" s="36" t="s">
        <v>200</v>
      </c>
      <c r="N1" s="36" t="s">
        <v>200</v>
      </c>
      <c r="O1" s="36" t="s">
        <v>200</v>
      </c>
      <c r="P1" s="36" t="s">
        <v>200</v>
      </c>
      <c r="Q1" s="36" t="s">
        <v>200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-38</v>
      </c>
      <c r="C4" s="32">
        <v>-38</v>
      </c>
      <c r="D4" s="37">
        <v>3</v>
      </c>
      <c r="E4" s="33">
        <v>0</v>
      </c>
      <c r="F4" s="33">
        <v>1</v>
      </c>
      <c r="G4" s="33">
        <v>7.1428571428571425E-2</v>
      </c>
      <c r="H4" s="33">
        <v>0.21428571428571427</v>
      </c>
      <c r="I4" s="34">
        <v>4800</v>
      </c>
      <c r="J4" s="34">
        <v>-6600</v>
      </c>
      <c r="K4" s="33">
        <v>0</v>
      </c>
      <c r="L4" s="33">
        <v>0.2857142857142857</v>
      </c>
      <c r="M4" s="33">
        <v>0.14285714285714285</v>
      </c>
      <c r="N4" s="33">
        <v>0.25</v>
      </c>
      <c r="O4" s="33">
        <v>0</v>
      </c>
      <c r="P4" s="33">
        <v>0</v>
      </c>
    </row>
    <row r="5" spans="1:17" x14ac:dyDescent="0.45">
      <c r="A5" s="35">
        <v>2</v>
      </c>
      <c r="B5" s="32">
        <v>-18</v>
      </c>
      <c r="C5" s="32">
        <v>-9</v>
      </c>
      <c r="D5" s="37">
        <v>2</v>
      </c>
      <c r="E5" s="33">
        <v>0.5</v>
      </c>
      <c r="F5" s="33">
        <v>0.5</v>
      </c>
      <c r="G5" s="33">
        <v>0.17647058823529413</v>
      </c>
      <c r="H5" s="33">
        <v>0.23529411764705882</v>
      </c>
      <c r="I5" s="34">
        <v>7266.666666666667</v>
      </c>
      <c r="J5" s="34">
        <v>-6950</v>
      </c>
      <c r="K5" s="33">
        <v>0</v>
      </c>
      <c r="L5" s="33">
        <v>0.23529411764705882</v>
      </c>
      <c r="M5" s="33">
        <v>0.23529411764705882</v>
      </c>
      <c r="N5" s="33">
        <v>0.25</v>
      </c>
      <c r="O5" s="33">
        <v>0.5</v>
      </c>
      <c r="P5" s="33">
        <v>0</v>
      </c>
    </row>
    <row r="6" spans="1:17" x14ac:dyDescent="0.45">
      <c r="A6" s="35">
        <v>3</v>
      </c>
      <c r="B6" s="32">
        <v>-14.9</v>
      </c>
      <c r="C6" s="32">
        <v>-4.9666666666666668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0.17857142857142858</v>
      </c>
      <c r="I6" s="34">
        <v>7671.4285714285716</v>
      </c>
      <c r="J6" s="34">
        <v>-9160</v>
      </c>
      <c r="K6" s="33">
        <v>0</v>
      </c>
      <c r="L6" s="33">
        <v>0.25</v>
      </c>
      <c r="M6" s="33">
        <v>0.2857142857142857</v>
      </c>
      <c r="N6" s="33">
        <v>0.14285714285714285</v>
      </c>
      <c r="O6" s="33">
        <v>0.5</v>
      </c>
      <c r="P6" s="33">
        <v>0.14285714285714285</v>
      </c>
    </row>
    <row r="7" spans="1:17" x14ac:dyDescent="0.45">
      <c r="A7" s="35">
        <v>4</v>
      </c>
      <c r="B7" s="32">
        <v>-51.699999999999996</v>
      </c>
      <c r="C7" s="32">
        <v>-12.924999999999999</v>
      </c>
      <c r="D7" s="37">
        <v>2.25</v>
      </c>
      <c r="E7" s="33">
        <v>0.25</v>
      </c>
      <c r="F7" s="33">
        <v>0.5</v>
      </c>
      <c r="G7" s="33">
        <v>0.22857142857142856</v>
      </c>
      <c r="H7" s="33">
        <v>0.22857142857142856</v>
      </c>
      <c r="I7" s="34">
        <v>8212.5</v>
      </c>
      <c r="J7" s="34">
        <v>-9387.5</v>
      </c>
      <c r="K7" s="33">
        <v>0</v>
      </c>
      <c r="L7" s="33">
        <v>0.25714285714285712</v>
      </c>
      <c r="M7" s="33">
        <v>0.2857142857142857</v>
      </c>
      <c r="N7" s="33">
        <v>0.22222222222222221</v>
      </c>
      <c r="O7" s="33">
        <v>0.4</v>
      </c>
      <c r="P7" s="33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479B-F3E5-43D0-992F-E2FEA8819562}">
  <sheetPr codeName="Sheet20"/>
  <dimension ref="A1:Q10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42.4</v>
      </c>
      <c r="C4" s="32">
        <v>42.4</v>
      </c>
      <c r="D4" s="37">
        <v>1</v>
      </c>
      <c r="E4" s="33">
        <v>1</v>
      </c>
      <c r="F4" s="33">
        <v>0</v>
      </c>
      <c r="G4" s="33">
        <v>0.35714285714285715</v>
      </c>
      <c r="H4" s="33">
        <v>7.1428571428571425E-2</v>
      </c>
      <c r="I4" s="34">
        <v>8980</v>
      </c>
      <c r="J4" s="34">
        <v>-12000</v>
      </c>
      <c r="K4" s="33">
        <v>0</v>
      </c>
      <c r="L4" s="33">
        <v>0.42857142857142855</v>
      </c>
      <c r="M4" s="33">
        <v>0.21428571428571427</v>
      </c>
      <c r="N4" s="33">
        <v>0.33333333333333331</v>
      </c>
      <c r="O4" s="33">
        <v>1</v>
      </c>
      <c r="P4" s="33">
        <v>0.2</v>
      </c>
    </row>
    <row r="5" spans="1:17" x14ac:dyDescent="0.45">
      <c r="A5" s="35">
        <v>2</v>
      </c>
      <c r="B5" s="32">
        <v>50.4</v>
      </c>
      <c r="C5" s="32">
        <v>25.2</v>
      </c>
      <c r="D5" s="37">
        <v>1.5</v>
      </c>
      <c r="E5" s="33">
        <v>0.5</v>
      </c>
      <c r="F5" s="33">
        <v>0</v>
      </c>
      <c r="G5" s="33">
        <v>0.35294117647058826</v>
      </c>
      <c r="H5" s="33">
        <v>5.8823529411764705E-2</v>
      </c>
      <c r="I5" s="34">
        <v>8816.6666666666661</v>
      </c>
      <c r="J5" s="34">
        <v>-12000</v>
      </c>
      <c r="K5" s="33">
        <v>0</v>
      </c>
      <c r="L5" s="33">
        <v>0.41176470588235292</v>
      </c>
      <c r="M5" s="33">
        <v>0.17647058823529413</v>
      </c>
      <c r="N5" s="33">
        <v>0.42857142857142855</v>
      </c>
      <c r="O5" s="33">
        <v>1</v>
      </c>
      <c r="P5" s="33">
        <v>0.16666666666666666</v>
      </c>
    </row>
    <row r="6" spans="1:17" x14ac:dyDescent="0.45">
      <c r="A6" s="35">
        <v>3</v>
      </c>
      <c r="B6" s="32">
        <v>10.399999999999999</v>
      </c>
      <c r="C6" s="32">
        <v>3.4666666666666663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0.10714285714285714</v>
      </c>
      <c r="I6" s="34">
        <v>7857.1428571428569</v>
      </c>
      <c r="J6" s="34">
        <v>-9933.3333333333339</v>
      </c>
      <c r="K6" s="33">
        <v>0</v>
      </c>
      <c r="L6" s="33">
        <v>0.39285714285714285</v>
      </c>
      <c r="M6" s="33">
        <v>0.25</v>
      </c>
      <c r="N6" s="33">
        <v>0.27272727272727271</v>
      </c>
      <c r="O6" s="33">
        <v>0.5714285714285714</v>
      </c>
      <c r="P6" s="33">
        <v>0.2857142857142857</v>
      </c>
    </row>
    <row r="7" spans="1:17" x14ac:dyDescent="0.45">
      <c r="A7" s="35">
        <v>4</v>
      </c>
      <c r="B7" s="32">
        <v>60</v>
      </c>
      <c r="C7" s="32">
        <v>15</v>
      </c>
      <c r="D7" s="37">
        <v>1.75</v>
      </c>
      <c r="E7" s="33">
        <v>0.5</v>
      </c>
      <c r="F7" s="33">
        <v>0.25</v>
      </c>
      <c r="G7" s="33">
        <v>0.34285714285714286</v>
      </c>
      <c r="H7" s="33">
        <v>0.11428571428571428</v>
      </c>
      <c r="I7" s="34">
        <v>8625</v>
      </c>
      <c r="J7" s="34">
        <v>-8425</v>
      </c>
      <c r="K7" s="33">
        <v>0</v>
      </c>
      <c r="L7" s="33">
        <v>0.4</v>
      </c>
      <c r="M7" s="33">
        <v>0.22857142857142856</v>
      </c>
      <c r="N7" s="33">
        <v>0.42857142857142855</v>
      </c>
      <c r="O7" s="33">
        <v>0.625</v>
      </c>
      <c r="P7" s="33">
        <v>0.33333333333333331</v>
      </c>
    </row>
    <row r="8" spans="1:17" x14ac:dyDescent="0.45">
      <c r="A8" s="35">
        <v>5</v>
      </c>
      <c r="B8" s="32">
        <v>6.2000000000000028</v>
      </c>
      <c r="C8" s="32">
        <v>1.2400000000000007</v>
      </c>
      <c r="D8" s="37">
        <v>2</v>
      </c>
      <c r="E8" s="33">
        <v>0.4</v>
      </c>
      <c r="F8" s="33">
        <v>0.4</v>
      </c>
      <c r="G8" s="33">
        <v>0.27272727272727271</v>
      </c>
      <c r="H8" s="33">
        <v>0.18181818181818182</v>
      </c>
      <c r="I8" s="34">
        <v>8625</v>
      </c>
      <c r="J8" s="34">
        <v>-8400</v>
      </c>
      <c r="K8" s="33">
        <v>0.2</v>
      </c>
      <c r="L8" s="33">
        <v>0.36363636363636365</v>
      </c>
      <c r="M8" s="33">
        <v>0.18181818181818182</v>
      </c>
      <c r="N8" s="33">
        <v>0.375</v>
      </c>
      <c r="O8" s="33">
        <v>0.625</v>
      </c>
      <c r="P8" s="33">
        <v>0.33333333333333331</v>
      </c>
    </row>
    <row r="9" spans="1:17" x14ac:dyDescent="0.45">
      <c r="A9" s="35">
        <v>6</v>
      </c>
      <c r="B9" s="32">
        <v>30.000000000000004</v>
      </c>
      <c r="C9" s="32">
        <v>5.0000000000000009</v>
      </c>
      <c r="D9" s="37">
        <v>1.8333333333333333</v>
      </c>
      <c r="E9" s="33">
        <v>0.5</v>
      </c>
      <c r="F9" s="33">
        <v>0.33333333333333331</v>
      </c>
      <c r="G9" s="33">
        <v>0.3</v>
      </c>
      <c r="H9" s="33">
        <v>0.16</v>
      </c>
      <c r="I9" s="34">
        <v>7693.333333333333</v>
      </c>
      <c r="J9" s="34">
        <v>-8400</v>
      </c>
      <c r="K9" s="33">
        <v>0.16666666666666666</v>
      </c>
      <c r="L9" s="33">
        <v>0.34</v>
      </c>
      <c r="M9" s="33">
        <v>0.18</v>
      </c>
      <c r="N9" s="33">
        <v>0.41176470588235292</v>
      </c>
      <c r="O9" s="33">
        <v>0.66666666666666663</v>
      </c>
      <c r="P9" s="33">
        <v>0.4</v>
      </c>
    </row>
    <row r="10" spans="1:17" x14ac:dyDescent="0.45">
      <c r="A10" s="35">
        <v>7</v>
      </c>
      <c r="B10" s="32">
        <v>1.2000000000000028</v>
      </c>
      <c r="C10" s="32">
        <v>0.17142857142857185</v>
      </c>
      <c r="D10" s="37">
        <v>2</v>
      </c>
      <c r="E10" s="33">
        <v>0.42857142857142855</v>
      </c>
      <c r="F10" s="33">
        <v>0.42857142857142855</v>
      </c>
      <c r="G10" s="33">
        <v>0.25862068965517243</v>
      </c>
      <c r="H10" s="33">
        <v>0.17241379310344829</v>
      </c>
      <c r="I10" s="34">
        <v>7693.333333333333</v>
      </c>
      <c r="J10" s="34">
        <v>-7820</v>
      </c>
      <c r="K10" s="33">
        <v>0.14285714285714285</v>
      </c>
      <c r="L10" s="33">
        <v>0.29310344827586204</v>
      </c>
      <c r="M10" s="33">
        <v>0.18965517241379309</v>
      </c>
      <c r="N10" s="33">
        <v>0.41176470588235292</v>
      </c>
      <c r="O10" s="33">
        <v>0.54545454545454541</v>
      </c>
      <c r="P10" s="33">
        <v>0.4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5D580-C70B-418F-90EA-A4F61FBDD8E7}">
  <sheetPr codeName="Sheet18"/>
  <dimension ref="A1:Q10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198</v>
      </c>
      <c r="B1" s="36" t="s">
        <v>198</v>
      </c>
      <c r="C1" s="36" t="s">
        <v>198</v>
      </c>
      <c r="D1" s="37" t="s">
        <v>198</v>
      </c>
      <c r="E1" s="36" t="s">
        <v>198</v>
      </c>
      <c r="F1" s="36" t="s">
        <v>198</v>
      </c>
      <c r="G1" s="36" t="s">
        <v>198</v>
      </c>
      <c r="H1" s="36" t="s">
        <v>198</v>
      </c>
      <c r="I1" s="36" t="s">
        <v>198</v>
      </c>
      <c r="J1" s="36" t="s">
        <v>198</v>
      </c>
      <c r="K1" s="36" t="s">
        <v>198</v>
      </c>
      <c r="L1" s="36" t="s">
        <v>198</v>
      </c>
      <c r="M1" s="36" t="s">
        <v>198</v>
      </c>
      <c r="N1" s="36" t="s">
        <v>198</v>
      </c>
      <c r="O1" s="36" t="s">
        <v>198</v>
      </c>
      <c r="P1" s="36" t="s">
        <v>198</v>
      </c>
      <c r="Q1" s="36" t="s">
        <v>198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11.6</v>
      </c>
      <c r="C4" s="32">
        <v>11.6</v>
      </c>
      <c r="D4" s="37">
        <v>1</v>
      </c>
      <c r="E4" s="33">
        <v>1</v>
      </c>
      <c r="F4" s="33">
        <v>0</v>
      </c>
      <c r="G4" s="33">
        <v>0.25</v>
      </c>
      <c r="H4" s="33">
        <v>0</v>
      </c>
      <c r="I4" s="34">
        <v>1800</v>
      </c>
      <c r="J4" s="34">
        <v>0</v>
      </c>
      <c r="K4" s="33">
        <v>0</v>
      </c>
      <c r="L4" s="33">
        <v>0</v>
      </c>
      <c r="M4" s="33">
        <v>0.25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42.9</v>
      </c>
      <c r="C5" s="32">
        <v>21.45</v>
      </c>
      <c r="D5" s="37">
        <v>1</v>
      </c>
      <c r="E5" s="33">
        <v>1</v>
      </c>
      <c r="F5" s="33">
        <v>0</v>
      </c>
      <c r="G5" s="33">
        <v>0.36842105263157893</v>
      </c>
      <c r="H5" s="33">
        <v>5.2631578947368418E-2</v>
      </c>
      <c r="I5" s="34">
        <v>6028.5714285714284</v>
      </c>
      <c r="J5" s="34">
        <v>-12000</v>
      </c>
      <c r="K5" s="33">
        <v>0</v>
      </c>
      <c r="L5" s="33">
        <v>0.26315789473684209</v>
      </c>
      <c r="M5" s="33">
        <v>0.15789473684210525</v>
      </c>
      <c r="N5" s="33">
        <v>0.6</v>
      </c>
      <c r="O5" s="33">
        <v>0.66666666666666663</v>
      </c>
      <c r="P5" s="33">
        <v>0.42857142857142855</v>
      </c>
    </row>
    <row r="6" spans="1:17" x14ac:dyDescent="0.45">
      <c r="A6" s="35">
        <v>3</v>
      </c>
      <c r="B6" s="32">
        <v>49.199999999999996</v>
      </c>
      <c r="C6" s="32">
        <v>16.399999999999999</v>
      </c>
      <c r="D6" s="37">
        <v>1.3333333333333333</v>
      </c>
      <c r="E6" s="33">
        <v>0.66666666666666663</v>
      </c>
      <c r="F6" s="33">
        <v>0</v>
      </c>
      <c r="G6" s="33">
        <v>0.37037037037037035</v>
      </c>
      <c r="H6" s="33">
        <v>0.1111111111111111</v>
      </c>
      <c r="I6" s="34">
        <v>6210</v>
      </c>
      <c r="J6" s="34">
        <v>-8866.6666666666661</v>
      </c>
      <c r="K6" s="33">
        <v>0</v>
      </c>
      <c r="L6" s="33">
        <v>0.25925925925925924</v>
      </c>
      <c r="M6" s="33">
        <v>0.14814814814814814</v>
      </c>
      <c r="N6" s="33">
        <v>0.7142857142857143</v>
      </c>
      <c r="O6" s="33">
        <v>0.75</v>
      </c>
      <c r="P6" s="33">
        <v>0.5</v>
      </c>
    </row>
    <row r="7" spans="1:17" x14ac:dyDescent="0.45">
      <c r="A7" s="35">
        <v>4</v>
      </c>
      <c r="B7" s="32">
        <v>75.8</v>
      </c>
      <c r="C7" s="32">
        <v>18.95</v>
      </c>
      <c r="D7" s="37">
        <v>1.25</v>
      </c>
      <c r="E7" s="33">
        <v>0.75</v>
      </c>
      <c r="F7" s="33">
        <v>0</v>
      </c>
      <c r="G7" s="33">
        <v>0.375</v>
      </c>
      <c r="H7" s="33">
        <v>0.1</v>
      </c>
      <c r="I7" s="34">
        <v>6126.666666666667</v>
      </c>
      <c r="J7" s="34">
        <v>-7625</v>
      </c>
      <c r="K7" s="33">
        <v>0</v>
      </c>
      <c r="L7" s="33">
        <v>0.25</v>
      </c>
      <c r="M7" s="33">
        <v>0.17499999999999999</v>
      </c>
      <c r="N7" s="33">
        <v>0.8</v>
      </c>
      <c r="O7" s="33">
        <v>0.5714285714285714</v>
      </c>
      <c r="P7" s="33">
        <v>0.4</v>
      </c>
    </row>
    <row r="8" spans="1:17" x14ac:dyDescent="0.45">
      <c r="A8" s="35">
        <v>5</v>
      </c>
      <c r="B8" s="32">
        <v>47.8</v>
      </c>
      <c r="C8" s="32">
        <v>9.5599999999999987</v>
      </c>
      <c r="D8" s="37">
        <v>1.4</v>
      </c>
      <c r="E8" s="33">
        <v>0.6</v>
      </c>
      <c r="F8" s="33">
        <v>0</v>
      </c>
      <c r="G8" s="33">
        <v>0.32608695652173914</v>
      </c>
      <c r="H8" s="33">
        <v>0.10869565217391304</v>
      </c>
      <c r="I8" s="34">
        <v>6126.666666666667</v>
      </c>
      <c r="J8" s="34">
        <v>-8500</v>
      </c>
      <c r="K8" s="33">
        <v>0</v>
      </c>
      <c r="L8" s="33">
        <v>0.21739130434782608</v>
      </c>
      <c r="M8" s="33">
        <v>0.17391304347826086</v>
      </c>
      <c r="N8" s="33">
        <v>0.8</v>
      </c>
      <c r="O8" s="33">
        <v>0.5</v>
      </c>
      <c r="P8" s="33">
        <v>0.4</v>
      </c>
    </row>
    <row r="9" spans="1:17" x14ac:dyDescent="0.45">
      <c r="A9" s="35">
        <v>6</v>
      </c>
      <c r="B9" s="32">
        <v>26.4</v>
      </c>
      <c r="C9" s="32">
        <v>4.3999999999999995</v>
      </c>
      <c r="D9" s="37">
        <v>1.6666666666666667</v>
      </c>
      <c r="E9" s="33">
        <v>0.5</v>
      </c>
      <c r="F9" s="33">
        <v>0.16666666666666666</v>
      </c>
      <c r="G9" s="33">
        <v>0.30357142857142855</v>
      </c>
      <c r="H9" s="33">
        <v>0.10714285714285714</v>
      </c>
      <c r="I9" s="34">
        <v>6288.2352941176468</v>
      </c>
      <c r="J9" s="34">
        <v>-7733.333333333333</v>
      </c>
      <c r="K9" s="33">
        <v>0</v>
      </c>
      <c r="L9" s="33">
        <v>0.25</v>
      </c>
      <c r="M9" s="33">
        <v>0.21428571428571427</v>
      </c>
      <c r="N9" s="33">
        <v>0.6428571428571429</v>
      </c>
      <c r="O9" s="33">
        <v>0.41666666666666669</v>
      </c>
      <c r="P9" s="33">
        <v>0.41176470588235292</v>
      </c>
    </row>
    <row r="10" spans="1:17" x14ac:dyDescent="0.45">
      <c r="A10" s="35">
        <v>7</v>
      </c>
      <c r="B10" s="32">
        <v>25.9</v>
      </c>
      <c r="C10" s="32">
        <v>3.6999999999999997</v>
      </c>
      <c r="D10" s="37">
        <v>1.7142857142857142</v>
      </c>
      <c r="E10" s="33">
        <v>0.42857142857142855</v>
      </c>
      <c r="F10" s="33">
        <v>0.14285714285714285</v>
      </c>
      <c r="G10" s="33">
        <v>0.3125</v>
      </c>
      <c r="H10" s="33">
        <v>0.109375</v>
      </c>
      <c r="I10" s="34">
        <v>6405</v>
      </c>
      <c r="J10" s="34">
        <v>-7371.4285714285716</v>
      </c>
      <c r="K10" s="33">
        <v>0</v>
      </c>
      <c r="L10" s="33">
        <v>0.25</v>
      </c>
      <c r="M10" s="33">
        <v>0.203125</v>
      </c>
      <c r="N10" s="33">
        <v>0.625</v>
      </c>
      <c r="O10" s="33">
        <v>0.46153846153846156</v>
      </c>
      <c r="P10" s="33">
        <v>0.35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DBDE8-8FF1-4BE7-B00C-8E70974340FA}">
  <sheetPr codeName="Sheet16"/>
  <dimension ref="A1:Q1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55.6</v>
      </c>
      <c r="C4" s="32">
        <v>55.6</v>
      </c>
      <c r="D4" s="37">
        <v>1</v>
      </c>
      <c r="E4" s="33">
        <v>1</v>
      </c>
      <c r="F4" s="33">
        <v>0</v>
      </c>
      <c r="G4" s="33">
        <v>0.5</v>
      </c>
      <c r="H4" s="33">
        <v>0.1</v>
      </c>
      <c r="I4" s="34">
        <v>9000</v>
      </c>
      <c r="J4" s="34">
        <v>-7700</v>
      </c>
      <c r="K4" s="33">
        <v>0</v>
      </c>
      <c r="L4" s="33">
        <v>0.5</v>
      </c>
      <c r="M4" s="33">
        <v>0.3</v>
      </c>
      <c r="N4" s="33">
        <v>0.6</v>
      </c>
      <c r="O4" s="33">
        <v>0.66666666666666663</v>
      </c>
      <c r="P4" s="33">
        <v>0.8</v>
      </c>
    </row>
    <row r="5" spans="1:17" x14ac:dyDescent="0.45">
      <c r="A5" s="35">
        <v>2</v>
      </c>
      <c r="B5" s="32">
        <v>24.900000000000002</v>
      </c>
      <c r="C5" s="32">
        <v>12.450000000000001</v>
      </c>
      <c r="D5" s="37">
        <v>2</v>
      </c>
      <c r="E5" s="33">
        <v>0.5</v>
      </c>
      <c r="F5" s="33">
        <v>0.5</v>
      </c>
      <c r="G5" s="33">
        <v>0.3125</v>
      </c>
      <c r="H5" s="33">
        <v>0.125</v>
      </c>
      <c r="I5" s="34">
        <v>9000</v>
      </c>
      <c r="J5" s="34">
        <v>-7700</v>
      </c>
      <c r="K5" s="33">
        <v>0</v>
      </c>
      <c r="L5" s="33">
        <v>0.375</v>
      </c>
      <c r="M5" s="33">
        <v>0.1875</v>
      </c>
      <c r="N5" s="33">
        <v>0.5</v>
      </c>
      <c r="O5" s="33">
        <v>0.66666666666666663</v>
      </c>
      <c r="P5" s="33">
        <v>0.8</v>
      </c>
    </row>
    <row r="6" spans="1:17" x14ac:dyDescent="0.45">
      <c r="A6" s="35">
        <v>3</v>
      </c>
      <c r="B6" s="32">
        <v>-20.599999999999998</v>
      </c>
      <c r="C6" s="32">
        <v>-6.8666666666666663</v>
      </c>
      <c r="D6" s="37">
        <v>2.3333333333333335</v>
      </c>
      <c r="E6" s="33">
        <v>0.33333333333333331</v>
      </c>
      <c r="F6" s="33">
        <v>0.66666666666666663</v>
      </c>
      <c r="G6" s="33">
        <v>0.23809523809523808</v>
      </c>
      <c r="H6" s="33">
        <v>0.19047619047619047</v>
      </c>
      <c r="I6" s="34">
        <v>9000</v>
      </c>
      <c r="J6" s="34">
        <v>-9850</v>
      </c>
      <c r="K6" s="33">
        <v>0.33333333333333331</v>
      </c>
      <c r="L6" s="33">
        <v>0.33333333333333331</v>
      </c>
      <c r="M6" s="33">
        <v>0.19047619047619047</v>
      </c>
      <c r="N6" s="33">
        <v>0.42857142857142855</v>
      </c>
      <c r="O6" s="33">
        <v>0.5</v>
      </c>
      <c r="P6" s="33">
        <v>0.8</v>
      </c>
    </row>
    <row r="7" spans="1:17" x14ac:dyDescent="0.45">
      <c r="A7" s="35">
        <v>4</v>
      </c>
      <c r="B7" s="32">
        <v>-25</v>
      </c>
      <c r="C7" s="32">
        <v>-6.25</v>
      </c>
      <c r="D7" s="37">
        <v>2.25</v>
      </c>
      <c r="E7" s="33">
        <v>0.25</v>
      </c>
      <c r="F7" s="33">
        <v>0.5</v>
      </c>
      <c r="G7" s="33">
        <v>0.25714285714285712</v>
      </c>
      <c r="H7" s="33">
        <v>0.22857142857142856</v>
      </c>
      <c r="I7" s="34">
        <v>8533.3333333333339</v>
      </c>
      <c r="J7" s="34">
        <v>-8887.5</v>
      </c>
      <c r="K7" s="33">
        <v>0.25</v>
      </c>
      <c r="L7" s="33">
        <v>0.31428571428571428</v>
      </c>
      <c r="M7" s="33">
        <v>0.17142857142857143</v>
      </c>
      <c r="N7" s="33">
        <v>0.54545454545454541</v>
      </c>
      <c r="O7" s="33">
        <v>0.5</v>
      </c>
      <c r="P7" s="33">
        <v>0.55555555555555558</v>
      </c>
    </row>
    <row r="8" spans="1:17" x14ac:dyDescent="0.45">
      <c r="A8" s="35">
        <v>5</v>
      </c>
      <c r="B8" s="32">
        <v>-53</v>
      </c>
      <c r="C8" s="32">
        <v>-10.6</v>
      </c>
      <c r="D8" s="37">
        <v>2.4</v>
      </c>
      <c r="E8" s="33">
        <v>0.2</v>
      </c>
      <c r="F8" s="33">
        <v>0.6</v>
      </c>
      <c r="G8" s="33">
        <v>0.23684210526315788</v>
      </c>
      <c r="H8" s="33">
        <v>0.26315789473684209</v>
      </c>
      <c r="I8" s="34">
        <v>8533.3333333333339</v>
      </c>
      <c r="J8" s="34">
        <v>-8810</v>
      </c>
      <c r="K8" s="33">
        <v>0.2</v>
      </c>
      <c r="L8" s="33">
        <v>0.31578947368421051</v>
      </c>
      <c r="M8" s="33">
        <v>0.15789473684210525</v>
      </c>
      <c r="N8" s="33">
        <v>0.5</v>
      </c>
      <c r="O8" s="33">
        <v>0.5</v>
      </c>
      <c r="P8" s="33">
        <v>0.55555555555555558</v>
      </c>
    </row>
    <row r="9" spans="1:17" x14ac:dyDescent="0.45">
      <c r="A9" s="35">
        <v>6</v>
      </c>
      <c r="B9" s="32">
        <v>-32.799999999999997</v>
      </c>
      <c r="C9" s="32">
        <v>-5.4666666666666659</v>
      </c>
      <c r="D9" s="37">
        <v>2.3333333333333335</v>
      </c>
      <c r="E9" s="33">
        <v>0.16666666666666666</v>
      </c>
      <c r="F9" s="33">
        <v>0.5</v>
      </c>
      <c r="G9" s="33">
        <v>0.25531914893617019</v>
      </c>
      <c r="H9" s="33">
        <v>0.23404255319148937</v>
      </c>
      <c r="I9" s="34">
        <v>8708.3333333333339</v>
      </c>
      <c r="J9" s="34">
        <v>-8481.818181818182</v>
      </c>
      <c r="K9" s="33">
        <v>0.16666666666666666</v>
      </c>
      <c r="L9" s="33">
        <v>0.34042553191489361</v>
      </c>
      <c r="M9" s="33">
        <v>0.19148936170212766</v>
      </c>
      <c r="N9" s="33">
        <v>0.4375</v>
      </c>
      <c r="O9" s="33">
        <v>0.55555555555555558</v>
      </c>
      <c r="P9" s="33">
        <v>0.41666666666666669</v>
      </c>
    </row>
    <row r="10" spans="1:17" x14ac:dyDescent="0.45">
      <c r="A10" s="35">
        <v>7</v>
      </c>
      <c r="B10" s="32">
        <v>-22.199999999999996</v>
      </c>
      <c r="C10" s="32">
        <v>-3.1714285714285708</v>
      </c>
      <c r="D10" s="37">
        <v>2.2857142857142856</v>
      </c>
      <c r="E10" s="33">
        <v>0.14285714285714285</v>
      </c>
      <c r="F10" s="33">
        <v>0.42857142857142855</v>
      </c>
      <c r="G10" s="33">
        <v>0.28301886792452829</v>
      </c>
      <c r="H10" s="33">
        <v>0.20754716981132076</v>
      </c>
      <c r="I10" s="34">
        <v>7480</v>
      </c>
      <c r="J10" s="34">
        <v>-8481.818181818182</v>
      </c>
      <c r="K10" s="33">
        <v>0.14285714285714285</v>
      </c>
      <c r="L10" s="33">
        <v>0.33962264150943394</v>
      </c>
      <c r="M10" s="33">
        <v>0.18867924528301888</v>
      </c>
      <c r="N10" s="33">
        <v>0.5</v>
      </c>
      <c r="O10" s="33">
        <v>0.6</v>
      </c>
      <c r="P10" s="33">
        <v>0.53333333333333333</v>
      </c>
    </row>
    <row r="11" spans="1:17" x14ac:dyDescent="0.45">
      <c r="A11" s="35">
        <v>8</v>
      </c>
      <c r="B11" s="32">
        <v>0.30000000000000426</v>
      </c>
      <c r="C11" s="32">
        <v>3.7500000000000533E-2</v>
      </c>
      <c r="D11" s="37">
        <v>2.125</v>
      </c>
      <c r="E11" s="33">
        <v>0.25</v>
      </c>
      <c r="F11" s="33">
        <v>0.375</v>
      </c>
      <c r="G11" s="33">
        <v>0.29508196721311475</v>
      </c>
      <c r="H11" s="33">
        <v>0.18032786885245902</v>
      </c>
      <c r="I11" s="34">
        <v>7333.333333333333</v>
      </c>
      <c r="J11" s="34">
        <v>-8481.818181818182</v>
      </c>
      <c r="K11" s="33">
        <v>0.125</v>
      </c>
      <c r="L11" s="33">
        <v>0.31147540983606559</v>
      </c>
      <c r="M11" s="33">
        <v>0.19672131147540983</v>
      </c>
      <c r="N11" s="33">
        <v>0.52631578947368418</v>
      </c>
      <c r="O11" s="33">
        <v>0.58333333333333337</v>
      </c>
      <c r="P11" s="33">
        <v>0.44444444444444442</v>
      </c>
    </row>
    <row r="12" spans="1:17" x14ac:dyDescent="0.45">
      <c r="A12" s="35">
        <v>9</v>
      </c>
      <c r="B12" s="32">
        <v>20.500000000000004</v>
      </c>
      <c r="C12" s="32">
        <v>2.2777777777777781</v>
      </c>
      <c r="D12" s="37">
        <v>2</v>
      </c>
      <c r="E12" s="33">
        <v>0.33333333333333331</v>
      </c>
      <c r="F12" s="33">
        <v>0.33333333333333331</v>
      </c>
      <c r="G12" s="33">
        <v>0.30985915492957744</v>
      </c>
      <c r="H12" s="33">
        <v>0.15492957746478872</v>
      </c>
      <c r="I12" s="34">
        <v>7322.727272727273</v>
      </c>
      <c r="J12" s="34">
        <v>-8481.818181818182</v>
      </c>
      <c r="K12" s="33">
        <v>0.1111111111111111</v>
      </c>
      <c r="L12" s="33">
        <v>0.30985915492957744</v>
      </c>
      <c r="M12" s="33">
        <v>0.18309859154929578</v>
      </c>
      <c r="N12" s="33">
        <v>0.54545454545454541</v>
      </c>
      <c r="O12" s="33">
        <v>0.61538461538461542</v>
      </c>
      <c r="P12" s="33">
        <v>0.40909090909090912</v>
      </c>
    </row>
    <row r="13" spans="1:17" x14ac:dyDescent="0.45">
      <c r="A13" s="35">
        <v>10</v>
      </c>
      <c r="B13" s="32">
        <v>6.9000000000000039</v>
      </c>
      <c r="C13" s="32">
        <v>0.69000000000000039</v>
      </c>
      <c r="D13" s="37">
        <v>2.1</v>
      </c>
      <c r="E13" s="33">
        <v>0.3</v>
      </c>
      <c r="F13" s="33">
        <v>0.4</v>
      </c>
      <c r="G13" s="33">
        <v>0.30769230769230771</v>
      </c>
      <c r="H13" s="33">
        <v>0.15384615384615385</v>
      </c>
      <c r="I13" s="34">
        <v>7366.666666666667</v>
      </c>
      <c r="J13" s="34">
        <v>-8416.6666666666661</v>
      </c>
      <c r="K13" s="33">
        <v>0.1</v>
      </c>
      <c r="L13" s="33">
        <v>0.29487179487179488</v>
      </c>
      <c r="M13" s="33">
        <v>0.20512820512820512</v>
      </c>
      <c r="N13" s="33">
        <v>0.56521739130434778</v>
      </c>
      <c r="O13" s="33">
        <v>0.5625</v>
      </c>
      <c r="P13" s="33">
        <v>0.41666666666666669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6EE74-1393-4990-B1F8-52B38F5E277F}">
  <sheetPr codeName="Sheet14"/>
  <dimension ref="A1:Q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-33.6</v>
      </c>
      <c r="C4" s="32">
        <v>-33.6</v>
      </c>
      <c r="D4" s="37">
        <v>3</v>
      </c>
      <c r="E4" s="33">
        <v>0</v>
      </c>
      <c r="F4" s="33">
        <v>1</v>
      </c>
      <c r="G4" s="33">
        <v>0.1</v>
      </c>
      <c r="H4" s="33">
        <v>0.1</v>
      </c>
      <c r="I4" s="34">
        <v>7700</v>
      </c>
      <c r="J4" s="34">
        <v>-3900</v>
      </c>
      <c r="K4" s="33">
        <v>0</v>
      </c>
      <c r="L4" s="33">
        <v>0.1</v>
      </c>
      <c r="M4" s="33">
        <v>0.2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-36.9</v>
      </c>
      <c r="C5" s="32">
        <v>-18.45</v>
      </c>
      <c r="D5" s="37">
        <v>2.5</v>
      </c>
      <c r="E5" s="33">
        <v>0</v>
      </c>
      <c r="F5" s="33">
        <v>0.5</v>
      </c>
      <c r="G5" s="33">
        <v>0.1875</v>
      </c>
      <c r="H5" s="33">
        <v>6.25E-2</v>
      </c>
      <c r="I5" s="34">
        <v>5800</v>
      </c>
      <c r="J5" s="34">
        <v>-3900</v>
      </c>
      <c r="K5" s="33">
        <v>0</v>
      </c>
      <c r="L5" s="33">
        <v>0.125</v>
      </c>
      <c r="M5" s="33">
        <v>0.1875</v>
      </c>
      <c r="N5" s="33">
        <v>0.5</v>
      </c>
      <c r="O5" s="33">
        <v>0.33333333333333331</v>
      </c>
      <c r="P5" s="33">
        <v>0</v>
      </c>
    </row>
    <row r="6" spans="1:17" x14ac:dyDescent="0.45">
      <c r="A6" s="35">
        <v>3</v>
      </c>
      <c r="B6" s="32">
        <v>-40.4</v>
      </c>
      <c r="C6" s="32">
        <v>-13.466666666666667</v>
      </c>
      <c r="D6" s="37">
        <v>2.3333333333333335</v>
      </c>
      <c r="E6" s="33">
        <v>0</v>
      </c>
      <c r="F6" s="33">
        <v>0.33333333333333331</v>
      </c>
      <c r="G6" s="33">
        <v>0.14285714285714285</v>
      </c>
      <c r="H6" s="33">
        <v>4.7619047619047616E-2</v>
      </c>
      <c r="I6" s="34">
        <v>5800</v>
      </c>
      <c r="J6" s="34">
        <v>-3900</v>
      </c>
      <c r="K6" s="33">
        <v>0</v>
      </c>
      <c r="L6" s="33">
        <v>9.5238095238095233E-2</v>
      </c>
      <c r="M6" s="33">
        <v>0.23809523809523808</v>
      </c>
      <c r="N6" s="33">
        <v>0.5</v>
      </c>
      <c r="O6" s="33">
        <v>0.2</v>
      </c>
      <c r="P6" s="33">
        <v>0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3FD93-D28D-41B1-A6EE-33F9077CA40E}">
  <sheetPr codeName="Sheet12"/>
  <dimension ref="A1:Q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190</v>
      </c>
      <c r="B1" s="36" t="s">
        <v>190</v>
      </c>
      <c r="C1" s="36" t="s">
        <v>190</v>
      </c>
      <c r="D1" s="37" t="s">
        <v>190</v>
      </c>
      <c r="E1" s="36" t="s">
        <v>190</v>
      </c>
      <c r="F1" s="36" t="s">
        <v>190</v>
      </c>
      <c r="G1" s="36" t="s">
        <v>190</v>
      </c>
      <c r="H1" s="36" t="s">
        <v>190</v>
      </c>
      <c r="I1" s="36" t="s">
        <v>190</v>
      </c>
      <c r="J1" s="36" t="s">
        <v>190</v>
      </c>
      <c r="K1" s="36" t="s">
        <v>190</v>
      </c>
      <c r="L1" s="36" t="s">
        <v>190</v>
      </c>
      <c r="M1" s="36" t="s">
        <v>190</v>
      </c>
      <c r="N1" s="36" t="s">
        <v>190</v>
      </c>
      <c r="O1" s="36" t="s">
        <v>190</v>
      </c>
      <c r="P1" s="36" t="s">
        <v>190</v>
      </c>
      <c r="Q1" s="36" t="s">
        <v>190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</v>
      </c>
      <c r="C4" s="32">
        <v>10.1</v>
      </c>
      <c r="D4" s="37">
        <v>2</v>
      </c>
      <c r="E4" s="33">
        <v>0</v>
      </c>
      <c r="F4" s="33">
        <v>0</v>
      </c>
      <c r="G4" s="33">
        <v>0.44444444444444442</v>
      </c>
      <c r="H4" s="33">
        <v>0.1111111111111111</v>
      </c>
      <c r="I4" s="34">
        <v>8400</v>
      </c>
      <c r="J4" s="34">
        <v>-8000</v>
      </c>
      <c r="K4" s="33">
        <v>0</v>
      </c>
      <c r="L4" s="33">
        <v>0.22222222222222221</v>
      </c>
      <c r="M4" s="33">
        <v>0.55555555555555558</v>
      </c>
      <c r="N4" s="33">
        <v>0.5</v>
      </c>
      <c r="O4" s="33">
        <v>0.6</v>
      </c>
      <c r="P4" s="33">
        <v>0.75</v>
      </c>
    </row>
    <row r="5" spans="1:17" x14ac:dyDescent="0.45">
      <c r="A5" s="35">
        <v>2</v>
      </c>
      <c r="B5" s="32">
        <v>36.4</v>
      </c>
      <c r="C5" s="32">
        <v>18.2</v>
      </c>
      <c r="D5" s="37">
        <v>2</v>
      </c>
      <c r="E5" s="33">
        <v>0</v>
      </c>
      <c r="F5" s="33">
        <v>0</v>
      </c>
      <c r="G5" s="33">
        <v>0.41176470588235292</v>
      </c>
      <c r="H5" s="33">
        <v>5.8823529411764705E-2</v>
      </c>
      <c r="I5" s="34">
        <v>9028.5714285714294</v>
      </c>
      <c r="J5" s="34">
        <v>-8000</v>
      </c>
      <c r="K5" s="33">
        <v>0</v>
      </c>
      <c r="L5" s="33">
        <v>0.29411764705882354</v>
      </c>
      <c r="M5" s="33">
        <v>0.47058823529411764</v>
      </c>
      <c r="N5" s="33">
        <v>0.4</v>
      </c>
      <c r="O5" s="33">
        <v>0.625</v>
      </c>
      <c r="P5" s="33">
        <v>0.5714285714285714</v>
      </c>
    </row>
    <row r="6" spans="1:17" x14ac:dyDescent="0.45">
      <c r="A6" s="35">
        <v>3</v>
      </c>
      <c r="B6" s="32">
        <v>36.4</v>
      </c>
      <c r="C6" s="32">
        <v>12.133333333333333</v>
      </c>
      <c r="D6" s="37">
        <v>2</v>
      </c>
      <c r="E6" s="33">
        <v>0</v>
      </c>
      <c r="F6" s="33">
        <v>0</v>
      </c>
      <c r="G6" s="33">
        <v>0.4</v>
      </c>
      <c r="H6" s="33">
        <v>0.12</v>
      </c>
      <c r="I6" s="34">
        <v>7780</v>
      </c>
      <c r="J6" s="34">
        <v>-6200</v>
      </c>
      <c r="K6" s="33">
        <v>0</v>
      </c>
      <c r="L6" s="33">
        <v>0.24</v>
      </c>
      <c r="M6" s="33">
        <v>0.52</v>
      </c>
      <c r="N6" s="33">
        <v>0.33333333333333331</v>
      </c>
      <c r="O6" s="33">
        <v>0.53846153846153844</v>
      </c>
      <c r="P6" s="33">
        <v>0.5</v>
      </c>
    </row>
    <row r="7" spans="1:17" x14ac:dyDescent="0.45">
      <c r="A7" s="35">
        <v>4</v>
      </c>
      <c r="B7" s="32">
        <v>13.299999999999997</v>
      </c>
      <c r="C7" s="32">
        <v>3.3249999999999993</v>
      </c>
      <c r="D7" s="37">
        <v>2.25</v>
      </c>
      <c r="E7" s="33">
        <v>0</v>
      </c>
      <c r="F7" s="33">
        <v>0.25</v>
      </c>
      <c r="G7" s="33">
        <v>0.33333333333333331</v>
      </c>
      <c r="H7" s="33">
        <v>0.1111111111111111</v>
      </c>
      <c r="I7" s="34">
        <v>7983.333333333333</v>
      </c>
      <c r="J7" s="34">
        <v>-6575</v>
      </c>
      <c r="K7" s="33">
        <v>0</v>
      </c>
      <c r="L7" s="33">
        <v>0.27777777777777779</v>
      </c>
      <c r="M7" s="33">
        <v>0.44444444444444442</v>
      </c>
      <c r="N7" s="33">
        <v>0.4</v>
      </c>
      <c r="O7" s="33">
        <v>0.4375</v>
      </c>
      <c r="P7" s="33">
        <v>0.5</v>
      </c>
    </row>
    <row r="8" spans="1:17" x14ac:dyDescent="0.45">
      <c r="A8" s="35">
        <v>5</v>
      </c>
      <c r="B8" s="32">
        <v>8.0999999999999979</v>
      </c>
      <c r="C8" s="32">
        <v>1.6199999999999997</v>
      </c>
      <c r="D8" s="37">
        <v>2.2000000000000002</v>
      </c>
      <c r="E8" s="33">
        <v>0</v>
      </c>
      <c r="F8" s="33">
        <v>0.2</v>
      </c>
      <c r="G8" s="33">
        <v>0.32608695652173914</v>
      </c>
      <c r="H8" s="33">
        <v>0.13043478260869565</v>
      </c>
      <c r="I8" s="34">
        <v>8240</v>
      </c>
      <c r="J8" s="34">
        <v>-7550</v>
      </c>
      <c r="K8" s="33">
        <v>0</v>
      </c>
      <c r="L8" s="33">
        <v>0.2608695652173913</v>
      </c>
      <c r="M8" s="33">
        <v>0.43478260869565216</v>
      </c>
      <c r="N8" s="33">
        <v>0.41666666666666669</v>
      </c>
      <c r="O8" s="33">
        <v>0.4</v>
      </c>
      <c r="P8" s="33">
        <v>0.53333333333333333</v>
      </c>
    </row>
    <row r="9" spans="1:17" x14ac:dyDescent="0.45">
      <c r="A9" s="35">
        <v>6</v>
      </c>
      <c r="B9" s="32">
        <v>24.7</v>
      </c>
      <c r="C9" s="32">
        <v>4.1166666666666663</v>
      </c>
      <c r="D9" s="37">
        <v>2</v>
      </c>
      <c r="E9" s="33">
        <v>0.16666666666666666</v>
      </c>
      <c r="F9" s="33">
        <v>0.16666666666666666</v>
      </c>
      <c r="G9" s="33">
        <v>0.33962264150943394</v>
      </c>
      <c r="H9" s="33">
        <v>0.13207547169811321</v>
      </c>
      <c r="I9" s="34">
        <v>8355.5555555555547</v>
      </c>
      <c r="J9" s="34">
        <v>-7571.4285714285716</v>
      </c>
      <c r="K9" s="33">
        <v>0</v>
      </c>
      <c r="L9" s="33">
        <v>0.28301886792452829</v>
      </c>
      <c r="M9" s="33">
        <v>0.43396226415094341</v>
      </c>
      <c r="N9" s="33">
        <v>0.46666666666666667</v>
      </c>
      <c r="O9" s="33">
        <v>0.39130434782608697</v>
      </c>
      <c r="P9" s="33">
        <v>0.55555555555555558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D12BE-AE58-4C91-B0FE-B05CE8E248CF}">
  <sheetPr codeName="Sheet10"/>
  <dimension ref="A1:Q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-31</v>
      </c>
      <c r="C4" s="32">
        <v>-31</v>
      </c>
      <c r="D4" s="37">
        <v>3</v>
      </c>
      <c r="E4" s="33">
        <v>0</v>
      </c>
      <c r="F4" s="33">
        <v>1</v>
      </c>
      <c r="G4" s="33">
        <v>0.22222222222222221</v>
      </c>
      <c r="H4" s="33">
        <v>0.1111111111111111</v>
      </c>
      <c r="I4" s="34">
        <v>7950</v>
      </c>
      <c r="J4" s="34">
        <v>-12000</v>
      </c>
      <c r="K4" s="33">
        <v>0</v>
      </c>
      <c r="L4" s="33">
        <v>0.22222222222222221</v>
      </c>
      <c r="M4" s="33">
        <v>0.1111111111111111</v>
      </c>
      <c r="N4" s="33">
        <v>0.5</v>
      </c>
      <c r="O4" s="33">
        <v>1</v>
      </c>
      <c r="P4" s="33">
        <v>0.5</v>
      </c>
    </row>
    <row r="5" spans="1:17" x14ac:dyDescent="0.45">
      <c r="A5" s="35">
        <v>2</v>
      </c>
      <c r="B5" s="32">
        <v>-98.9</v>
      </c>
      <c r="C5" s="32">
        <v>-49.45</v>
      </c>
      <c r="D5" s="37">
        <v>3</v>
      </c>
      <c r="E5" s="33">
        <v>0</v>
      </c>
      <c r="F5" s="33">
        <v>1</v>
      </c>
      <c r="G5" s="33">
        <v>0.17647058823529413</v>
      </c>
      <c r="H5" s="33">
        <v>0.17647058823529413</v>
      </c>
      <c r="I5" s="34">
        <v>9300</v>
      </c>
      <c r="J5" s="34">
        <v>-23866.666666666668</v>
      </c>
      <c r="K5" s="33">
        <v>0.5</v>
      </c>
      <c r="L5" s="33">
        <v>0.29411764705882354</v>
      </c>
      <c r="M5" s="33">
        <v>0.11764705882352941</v>
      </c>
      <c r="N5" s="33">
        <v>0.4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-65.300000000000011</v>
      </c>
      <c r="C6" s="32">
        <v>-21.766666666666669</v>
      </c>
      <c r="D6" s="37">
        <v>2.3333333333333335</v>
      </c>
      <c r="E6" s="33">
        <v>0.33333333333333331</v>
      </c>
      <c r="F6" s="33">
        <v>0.66666666666666663</v>
      </c>
      <c r="G6" s="33">
        <v>0.30769230769230771</v>
      </c>
      <c r="H6" s="33">
        <v>0.15384615384615385</v>
      </c>
      <c r="I6" s="34">
        <v>7312.5</v>
      </c>
      <c r="J6" s="34">
        <v>-20900</v>
      </c>
      <c r="K6" s="33">
        <v>0.33333333333333331</v>
      </c>
      <c r="L6" s="33">
        <v>0.19230769230769232</v>
      </c>
      <c r="M6" s="33">
        <v>0.23076923076923078</v>
      </c>
      <c r="N6" s="33">
        <v>0.4</v>
      </c>
      <c r="O6" s="33">
        <v>0.5</v>
      </c>
      <c r="P6" s="33">
        <v>0.375</v>
      </c>
    </row>
    <row r="7" spans="1:17" x14ac:dyDescent="0.45">
      <c r="A7" s="35">
        <v>4</v>
      </c>
      <c r="B7" s="32">
        <v>-99.700000000000017</v>
      </c>
      <c r="C7" s="32">
        <v>-24.925000000000004</v>
      </c>
      <c r="D7" s="37">
        <v>2.5</v>
      </c>
      <c r="E7" s="33">
        <v>0.25</v>
      </c>
      <c r="F7" s="33">
        <v>0.75</v>
      </c>
      <c r="G7" s="33">
        <v>0.25</v>
      </c>
      <c r="H7" s="33">
        <v>0.15625</v>
      </c>
      <c r="I7" s="34">
        <v>7312.5</v>
      </c>
      <c r="J7" s="34">
        <v>-18260</v>
      </c>
      <c r="K7" s="33">
        <v>0.25</v>
      </c>
      <c r="L7" s="33">
        <v>0.15625</v>
      </c>
      <c r="M7" s="33">
        <v>0.28125</v>
      </c>
      <c r="N7" s="33">
        <v>0.4</v>
      </c>
      <c r="O7" s="33">
        <v>0.33333333333333331</v>
      </c>
      <c r="P7" s="33">
        <v>0.375</v>
      </c>
    </row>
    <row r="8" spans="1:17" x14ac:dyDescent="0.45">
      <c r="A8" s="35">
        <v>5</v>
      </c>
      <c r="B8" s="32">
        <v>-132.90000000000003</v>
      </c>
      <c r="C8" s="32">
        <v>-26.580000000000005</v>
      </c>
      <c r="D8" s="37">
        <v>2.6</v>
      </c>
      <c r="E8" s="33">
        <v>0.2</v>
      </c>
      <c r="F8" s="33">
        <v>0.8</v>
      </c>
      <c r="G8" s="33">
        <v>0.22222222222222221</v>
      </c>
      <c r="H8" s="33">
        <v>0.2</v>
      </c>
      <c r="I8" s="34">
        <v>7340</v>
      </c>
      <c r="J8" s="34">
        <v>-12566.666666666666</v>
      </c>
      <c r="K8" s="33">
        <v>0.2</v>
      </c>
      <c r="L8" s="33">
        <v>0.22222222222222221</v>
      </c>
      <c r="M8" s="33">
        <v>0.28888888888888886</v>
      </c>
      <c r="N8" s="33">
        <v>0.3</v>
      </c>
      <c r="O8" s="33">
        <v>0.30769230769230771</v>
      </c>
      <c r="P8" s="33">
        <v>0.3</v>
      </c>
    </row>
    <row r="9" spans="1:17" x14ac:dyDescent="0.45">
      <c r="A9" s="35">
        <v>6</v>
      </c>
      <c r="B9" s="32">
        <v>-182.90000000000003</v>
      </c>
      <c r="C9" s="32">
        <v>-30.483333333333338</v>
      </c>
      <c r="D9" s="37">
        <v>2.6666666666666665</v>
      </c>
      <c r="E9" s="33">
        <v>0.16666666666666666</v>
      </c>
      <c r="F9" s="33">
        <v>0.83333333333333337</v>
      </c>
      <c r="G9" s="33">
        <v>0.19607843137254902</v>
      </c>
      <c r="H9" s="33">
        <v>0.21568627450980393</v>
      </c>
      <c r="I9" s="34">
        <v>7340</v>
      </c>
      <c r="J9" s="34">
        <v>-12463.636363636364</v>
      </c>
      <c r="K9" s="33">
        <v>0.33333333333333331</v>
      </c>
      <c r="L9" s="33">
        <v>0.21568627450980393</v>
      </c>
      <c r="M9" s="33">
        <v>0.25490196078431371</v>
      </c>
      <c r="N9" s="33">
        <v>0.27272727272727271</v>
      </c>
      <c r="O9" s="33">
        <v>0.30769230769230771</v>
      </c>
      <c r="P9" s="33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ECC0-EC3D-4766-918B-0393B02DE824}">
  <sheetPr codeName="Sheet8"/>
  <dimension ref="A1:Q1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20.9</v>
      </c>
      <c r="C4" s="32">
        <v>20.9</v>
      </c>
      <c r="D4" s="37">
        <v>1</v>
      </c>
      <c r="E4" s="33">
        <v>1</v>
      </c>
      <c r="F4" s="33">
        <v>0</v>
      </c>
      <c r="G4" s="33">
        <v>0.33333333333333331</v>
      </c>
      <c r="H4" s="33">
        <v>0.1111111111111111</v>
      </c>
      <c r="I4" s="34">
        <v>10666.666666666666</v>
      </c>
      <c r="J4" s="34">
        <v>-3900</v>
      </c>
      <c r="K4" s="33">
        <v>0</v>
      </c>
      <c r="L4" s="33">
        <v>0.22222222222222221</v>
      </c>
      <c r="M4" s="33">
        <v>0.22222222222222221</v>
      </c>
      <c r="N4" s="33">
        <v>0.5</v>
      </c>
      <c r="O4" s="33">
        <v>0.5</v>
      </c>
      <c r="P4" s="33">
        <v>0.66666666666666663</v>
      </c>
    </row>
    <row r="5" spans="1:17" x14ac:dyDescent="0.45">
      <c r="A5" s="35">
        <v>2</v>
      </c>
      <c r="B5" s="32">
        <v>62.5</v>
      </c>
      <c r="C5" s="32">
        <v>31.25</v>
      </c>
      <c r="D5" s="37">
        <v>1</v>
      </c>
      <c r="E5" s="33">
        <v>1</v>
      </c>
      <c r="F5" s="33">
        <v>0</v>
      </c>
      <c r="G5" s="33">
        <v>0.35294117647058826</v>
      </c>
      <c r="H5" s="33">
        <v>0.17647058823529413</v>
      </c>
      <c r="I5" s="34">
        <v>14266.666666666666</v>
      </c>
      <c r="J5" s="34">
        <v>-5966.666666666667</v>
      </c>
      <c r="K5" s="33">
        <v>0</v>
      </c>
      <c r="L5" s="33">
        <v>0.17647058823529413</v>
      </c>
      <c r="M5" s="33">
        <v>0.35294117647058826</v>
      </c>
      <c r="N5" s="33">
        <v>0.33333333333333331</v>
      </c>
      <c r="O5" s="33">
        <v>0.5</v>
      </c>
      <c r="P5" s="33">
        <v>0.66666666666666663</v>
      </c>
    </row>
    <row r="6" spans="1:17" x14ac:dyDescent="0.45">
      <c r="A6" s="35">
        <v>3</v>
      </c>
      <c r="B6" s="32">
        <v>40.5</v>
      </c>
      <c r="C6" s="32">
        <v>13.5</v>
      </c>
      <c r="D6" s="37">
        <v>1.3333333333333333</v>
      </c>
      <c r="E6" s="33">
        <v>0.66666666666666663</v>
      </c>
      <c r="F6" s="33">
        <v>0</v>
      </c>
      <c r="G6" s="33">
        <v>0.25925925925925924</v>
      </c>
      <c r="H6" s="33">
        <v>0.1111111111111111</v>
      </c>
      <c r="I6" s="34">
        <v>12628.571428571429</v>
      </c>
      <c r="J6" s="34">
        <v>-5966.666666666667</v>
      </c>
      <c r="K6" s="33">
        <v>0</v>
      </c>
      <c r="L6" s="33">
        <v>0.25925925925925924</v>
      </c>
      <c r="M6" s="33">
        <v>0.22222222222222221</v>
      </c>
      <c r="N6" s="33">
        <v>0.2857142857142857</v>
      </c>
      <c r="O6" s="33">
        <v>0.5</v>
      </c>
      <c r="P6" s="33">
        <v>0.7142857142857143</v>
      </c>
    </row>
    <row r="7" spans="1:17" x14ac:dyDescent="0.45">
      <c r="A7" s="35">
        <v>4</v>
      </c>
      <c r="B7" s="32">
        <v>74.5</v>
      </c>
      <c r="C7" s="32">
        <v>18.625</v>
      </c>
      <c r="D7" s="37">
        <v>1.25</v>
      </c>
      <c r="E7" s="33">
        <v>0.75</v>
      </c>
      <c r="F7" s="33">
        <v>0</v>
      </c>
      <c r="G7" s="33">
        <v>0.30303030303030304</v>
      </c>
      <c r="H7" s="33">
        <v>0.12121212121212122</v>
      </c>
      <c r="I7" s="34">
        <v>11640</v>
      </c>
      <c r="J7" s="34">
        <v>-4975</v>
      </c>
      <c r="K7" s="33">
        <v>0</v>
      </c>
      <c r="L7" s="33">
        <v>0.27272727272727271</v>
      </c>
      <c r="M7" s="33">
        <v>0.21212121212121213</v>
      </c>
      <c r="N7" s="33">
        <v>0.44444444444444442</v>
      </c>
      <c r="O7" s="33">
        <v>0.42857142857142855</v>
      </c>
      <c r="P7" s="33">
        <v>0.8</v>
      </c>
    </row>
    <row r="8" spans="1:17" x14ac:dyDescent="0.45">
      <c r="A8" s="35">
        <v>5</v>
      </c>
      <c r="B8" s="32">
        <v>123.5</v>
      </c>
      <c r="C8" s="32">
        <v>24.7</v>
      </c>
      <c r="D8" s="37">
        <v>1.2</v>
      </c>
      <c r="E8" s="33">
        <v>0.8</v>
      </c>
      <c r="F8" s="33">
        <v>0</v>
      </c>
      <c r="G8" s="33">
        <v>0.34210526315789475</v>
      </c>
      <c r="H8" s="33">
        <v>0.10526315789473684</v>
      </c>
      <c r="I8" s="34">
        <v>11723.076923076924</v>
      </c>
      <c r="J8" s="34">
        <v>-4975</v>
      </c>
      <c r="K8" s="33">
        <v>0</v>
      </c>
      <c r="L8" s="33">
        <v>0.23684210526315788</v>
      </c>
      <c r="M8" s="33">
        <v>0.23684210526315788</v>
      </c>
      <c r="N8" s="33">
        <v>0.44444444444444442</v>
      </c>
      <c r="O8" s="33">
        <v>0.55555555555555558</v>
      </c>
      <c r="P8" s="33">
        <v>0.69230769230769229</v>
      </c>
    </row>
    <row r="9" spans="1:17" x14ac:dyDescent="0.45">
      <c r="A9" s="35">
        <v>6</v>
      </c>
      <c r="B9" s="32">
        <v>111.9</v>
      </c>
      <c r="C9" s="32">
        <v>18.650000000000002</v>
      </c>
      <c r="D9" s="37">
        <v>1.5</v>
      </c>
      <c r="E9" s="33">
        <v>0.66666666666666663</v>
      </c>
      <c r="F9" s="33">
        <v>0.16666666666666666</v>
      </c>
      <c r="G9" s="33">
        <v>0.30434782608695654</v>
      </c>
      <c r="H9" s="33">
        <v>0.15217391304347827</v>
      </c>
      <c r="I9" s="34">
        <v>11457.142857142857</v>
      </c>
      <c r="J9" s="34">
        <v>-4642.8571428571431</v>
      </c>
      <c r="K9" s="33">
        <v>0</v>
      </c>
      <c r="L9" s="33">
        <v>0.2391304347826087</v>
      </c>
      <c r="M9" s="33">
        <v>0.2391304347826087</v>
      </c>
      <c r="N9" s="33">
        <v>0.36363636363636365</v>
      </c>
      <c r="O9" s="33">
        <v>0.54545454545454541</v>
      </c>
      <c r="P9" s="33">
        <v>0.6428571428571429</v>
      </c>
    </row>
    <row r="10" spans="1:17" x14ac:dyDescent="0.45">
      <c r="A10" s="35">
        <v>7</v>
      </c>
      <c r="B10" s="32">
        <v>103.7</v>
      </c>
      <c r="C10" s="32">
        <v>14.814285714285715</v>
      </c>
      <c r="D10" s="37">
        <v>1.5714285714285714</v>
      </c>
      <c r="E10" s="33">
        <v>0.5714285714285714</v>
      </c>
      <c r="F10" s="33">
        <v>0.14285714285714285</v>
      </c>
      <c r="G10" s="33">
        <v>0.2982456140350877</v>
      </c>
      <c r="H10" s="33">
        <v>0.14035087719298245</v>
      </c>
      <c r="I10" s="34">
        <v>10476.470588235294</v>
      </c>
      <c r="J10" s="34">
        <v>-4550</v>
      </c>
      <c r="K10" s="33">
        <v>0</v>
      </c>
      <c r="L10" s="33">
        <v>0.22807017543859648</v>
      </c>
      <c r="M10" s="33">
        <v>0.22807017543859648</v>
      </c>
      <c r="N10" s="33">
        <v>0.38461538461538464</v>
      </c>
      <c r="O10" s="33">
        <v>0.61538461538461542</v>
      </c>
      <c r="P10" s="33">
        <v>0.70588235294117652</v>
      </c>
    </row>
    <row r="11" spans="1:17" x14ac:dyDescent="0.45">
      <c r="A11" s="35">
        <v>8</v>
      </c>
      <c r="B11" s="32">
        <v>140.6</v>
      </c>
      <c r="C11" s="32">
        <v>17.574999999999999</v>
      </c>
      <c r="D11" s="37">
        <v>1.5</v>
      </c>
      <c r="E11" s="33">
        <v>0.625</v>
      </c>
      <c r="F11" s="33">
        <v>0.125</v>
      </c>
      <c r="G11" s="33">
        <v>0.29411764705882354</v>
      </c>
      <c r="H11" s="33">
        <v>0.13235294117647059</v>
      </c>
      <c r="I11" s="34">
        <v>11005</v>
      </c>
      <c r="J11" s="34">
        <v>-5377.7777777777774</v>
      </c>
      <c r="K11" s="33">
        <v>0</v>
      </c>
      <c r="L11" s="33">
        <v>0.22058823529411764</v>
      </c>
      <c r="M11" s="33">
        <v>0.23529411764705882</v>
      </c>
      <c r="N11" s="33">
        <v>0.4</v>
      </c>
      <c r="O11" s="33">
        <v>0.5625</v>
      </c>
      <c r="P11" s="33">
        <v>0.7</v>
      </c>
    </row>
    <row r="12" spans="1:17" x14ac:dyDescent="0.45">
      <c r="A12" s="35">
        <v>9</v>
      </c>
      <c r="B12" s="32">
        <v>127.8</v>
      </c>
      <c r="C12" s="32">
        <v>14.2</v>
      </c>
      <c r="D12" s="37">
        <v>1.5555555555555556</v>
      </c>
      <c r="E12" s="33">
        <v>0.55555555555555558</v>
      </c>
      <c r="F12" s="33">
        <v>0.1111111111111111</v>
      </c>
      <c r="G12" s="33">
        <v>0.28000000000000003</v>
      </c>
      <c r="H12" s="33">
        <v>0.12</v>
      </c>
      <c r="I12" s="34">
        <v>10666.666666666666</v>
      </c>
      <c r="J12" s="34">
        <v>-5377.7777777777774</v>
      </c>
      <c r="K12" s="33">
        <v>0</v>
      </c>
      <c r="L12" s="33">
        <v>0.22666666666666666</v>
      </c>
      <c r="M12" s="33">
        <v>0.22666666666666666</v>
      </c>
      <c r="N12" s="33">
        <v>0.35294117647058826</v>
      </c>
      <c r="O12" s="33">
        <v>0.52941176470588236</v>
      </c>
      <c r="P12" s="33">
        <v>0.66666666666666663</v>
      </c>
    </row>
    <row r="13" spans="1:17" x14ac:dyDescent="0.45">
      <c r="A13" s="35">
        <v>10</v>
      </c>
      <c r="B13" s="32">
        <v>134.4</v>
      </c>
      <c r="C13" s="32">
        <v>13.440000000000001</v>
      </c>
      <c r="D13" s="37">
        <v>1.6</v>
      </c>
      <c r="E13" s="33">
        <v>0.5</v>
      </c>
      <c r="F13" s="33">
        <v>0.1</v>
      </c>
      <c r="G13" s="33">
        <v>0.28409090909090912</v>
      </c>
      <c r="H13" s="33">
        <v>0.125</v>
      </c>
      <c r="I13" s="34">
        <v>10080</v>
      </c>
      <c r="J13" s="34">
        <v>-5754.545454545455</v>
      </c>
      <c r="K13" s="33">
        <v>0</v>
      </c>
      <c r="L13" s="33">
        <v>0.22727272727272727</v>
      </c>
      <c r="M13" s="33">
        <v>0.25</v>
      </c>
      <c r="N13" s="33">
        <v>0.4</v>
      </c>
      <c r="O13" s="33">
        <v>0.5</v>
      </c>
      <c r="P13" s="33">
        <v>0.68</v>
      </c>
    </row>
    <row r="14" spans="1:17" x14ac:dyDescent="0.45">
      <c r="A14" s="35">
        <v>11</v>
      </c>
      <c r="B14" s="32">
        <v>212.4</v>
      </c>
      <c r="C14" s="32">
        <v>19.309090909090909</v>
      </c>
      <c r="D14" s="37">
        <v>1.5454545454545454</v>
      </c>
      <c r="E14" s="33">
        <v>0.54545454545454541</v>
      </c>
      <c r="F14" s="33">
        <v>9.0909090909090912E-2</v>
      </c>
      <c r="G14" s="33">
        <v>0.32978723404255317</v>
      </c>
      <c r="H14" s="33">
        <v>0.11702127659574468</v>
      </c>
      <c r="I14" s="34">
        <v>9967.7419354838712</v>
      </c>
      <c r="J14" s="34">
        <v>-5754.545454545455</v>
      </c>
      <c r="K14" s="33">
        <v>0</v>
      </c>
      <c r="L14" s="33">
        <v>0.24468085106382978</v>
      </c>
      <c r="M14" s="33">
        <v>0.25531914893617019</v>
      </c>
      <c r="N14" s="33">
        <v>0.47826086956521741</v>
      </c>
      <c r="O14" s="33">
        <v>0.54166666666666663</v>
      </c>
      <c r="P14" s="33">
        <v>0.64516129032258063</v>
      </c>
    </row>
    <row r="15" spans="1:17" x14ac:dyDescent="0.45">
      <c r="A15" s="35">
        <v>12</v>
      </c>
      <c r="B15" s="32">
        <v>239</v>
      </c>
      <c r="C15" s="32">
        <v>19.916666666666668</v>
      </c>
      <c r="D15" s="37">
        <v>1.5</v>
      </c>
      <c r="E15" s="33">
        <v>0.58333333333333337</v>
      </c>
      <c r="F15" s="33">
        <v>8.3333333333333329E-2</v>
      </c>
      <c r="G15" s="33">
        <v>0.34615384615384615</v>
      </c>
      <c r="H15" s="33">
        <v>0.125</v>
      </c>
      <c r="I15" s="34">
        <v>9775</v>
      </c>
      <c r="J15" s="34">
        <v>-6238.4615384615381</v>
      </c>
      <c r="K15" s="33">
        <v>0</v>
      </c>
      <c r="L15" s="33">
        <v>0.24038461538461539</v>
      </c>
      <c r="M15" s="33">
        <v>0.25961538461538464</v>
      </c>
      <c r="N15" s="33">
        <v>0.48</v>
      </c>
      <c r="O15" s="33">
        <v>0.55555555555555558</v>
      </c>
      <c r="P15" s="33">
        <v>0.61111111111111116</v>
      </c>
    </row>
    <row r="16" spans="1:17" x14ac:dyDescent="0.45">
      <c r="A16" s="35">
        <v>13</v>
      </c>
      <c r="B16" s="32">
        <v>236</v>
      </c>
      <c r="C16" s="32">
        <v>18.153846153846153</v>
      </c>
      <c r="D16" s="37">
        <v>1.5384615384615385</v>
      </c>
      <c r="E16" s="33">
        <v>0.53846153846153844</v>
      </c>
      <c r="F16" s="33">
        <v>7.6923076923076927E-2</v>
      </c>
      <c r="G16" s="33">
        <v>0.34234234234234234</v>
      </c>
      <c r="H16" s="33">
        <v>0.12612612612612611</v>
      </c>
      <c r="I16" s="34">
        <v>9778.9473684210534</v>
      </c>
      <c r="J16" s="34">
        <v>-6364.2857142857147</v>
      </c>
      <c r="K16" s="33">
        <v>0</v>
      </c>
      <c r="L16" s="33">
        <v>0.24324324324324326</v>
      </c>
      <c r="M16" s="33">
        <v>0.26126126126126126</v>
      </c>
      <c r="N16" s="33">
        <v>0.48148148148148145</v>
      </c>
      <c r="O16" s="33">
        <v>0.55172413793103448</v>
      </c>
      <c r="P16" s="33">
        <v>0.60526315789473684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67E0F-22CF-4B38-B1D6-2F10606F123F}">
  <sheetPr codeName="Sheet6"/>
  <dimension ref="A1:Q2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-1.7763568394002505E-15</v>
      </c>
      <c r="C4" s="32">
        <v>-5.9211894646675012E-16</v>
      </c>
      <c r="D4" s="37">
        <v>2</v>
      </c>
      <c r="E4" s="33">
        <v>0.33333333333333331</v>
      </c>
      <c r="F4" s="33">
        <v>0.33333333333333331</v>
      </c>
      <c r="G4" s="33">
        <v>0.33333333333333331</v>
      </c>
      <c r="H4" s="33">
        <v>0.1111111111111111</v>
      </c>
      <c r="I4" s="34">
        <v>9055.5555555555547</v>
      </c>
      <c r="J4" s="34">
        <v>-7966.666666666667</v>
      </c>
      <c r="K4" s="33">
        <v>0</v>
      </c>
      <c r="L4" s="33">
        <v>0.22222222222222221</v>
      </c>
      <c r="M4" s="33">
        <v>0.29629629629629628</v>
      </c>
      <c r="N4" s="33">
        <v>0.5</v>
      </c>
      <c r="O4" s="33">
        <v>0.625</v>
      </c>
      <c r="P4" s="33">
        <v>0.66666666666666663</v>
      </c>
    </row>
    <row r="5" spans="1:17" x14ac:dyDescent="0.45">
      <c r="A5" s="35">
        <v>2</v>
      </c>
      <c r="B5" s="32">
        <v>-7.1054273576010019E-15</v>
      </c>
      <c r="C5" s="32">
        <v>-1.1842378929335002E-15</v>
      </c>
      <c r="D5" s="37">
        <v>2</v>
      </c>
      <c r="E5" s="33">
        <v>0.33333333333333331</v>
      </c>
      <c r="F5" s="33">
        <v>0.33333333333333331</v>
      </c>
      <c r="G5" s="33">
        <v>0.31372549019607843</v>
      </c>
      <c r="H5" s="33">
        <v>0.13725490196078433</v>
      </c>
      <c r="I5" s="34">
        <v>11043.75</v>
      </c>
      <c r="J5" s="34">
        <v>-13928.571428571429</v>
      </c>
      <c r="K5" s="33">
        <v>0.16666666666666666</v>
      </c>
      <c r="L5" s="33">
        <v>0.25490196078431371</v>
      </c>
      <c r="M5" s="33">
        <v>0.31372549019607843</v>
      </c>
      <c r="N5" s="33">
        <v>0.38461538461538464</v>
      </c>
      <c r="O5" s="33">
        <v>0.5625</v>
      </c>
      <c r="P5" s="33">
        <v>0.5625</v>
      </c>
    </row>
    <row r="6" spans="1:17" x14ac:dyDescent="0.45">
      <c r="A6" s="35">
        <v>3</v>
      </c>
      <c r="B6" s="32">
        <v>-7.1054273576010019E-15</v>
      </c>
      <c r="C6" s="32">
        <v>-7.894919286223335E-16</v>
      </c>
      <c r="D6" s="37">
        <v>2</v>
      </c>
      <c r="E6" s="33">
        <v>0.33333333333333331</v>
      </c>
      <c r="F6" s="33">
        <v>0.33333333333333331</v>
      </c>
      <c r="G6" s="33">
        <v>0.2839506172839506</v>
      </c>
      <c r="H6" s="33">
        <v>0.1111111111111111</v>
      </c>
      <c r="I6" s="34">
        <v>10095.652173913044</v>
      </c>
      <c r="J6" s="34">
        <v>-12122.222222222223</v>
      </c>
      <c r="K6" s="33">
        <v>0.1111111111111111</v>
      </c>
      <c r="L6" s="33">
        <v>0.2839506172839506</v>
      </c>
      <c r="M6" s="33">
        <v>0.25925925925925924</v>
      </c>
      <c r="N6" s="33">
        <v>0.39130434782608697</v>
      </c>
      <c r="O6" s="33">
        <v>0.5714285714285714</v>
      </c>
      <c r="P6" s="33">
        <v>0.60869565217391308</v>
      </c>
    </row>
    <row r="7" spans="1:17" x14ac:dyDescent="0.45">
      <c r="A7" s="35">
        <v>4</v>
      </c>
      <c r="B7" s="32">
        <v>-7.1054273576010019E-15</v>
      </c>
      <c r="C7" s="32">
        <v>-5.9211894646675012E-16</v>
      </c>
      <c r="D7" s="37">
        <v>2</v>
      </c>
      <c r="E7" s="33">
        <v>0.33333333333333331</v>
      </c>
      <c r="F7" s="33">
        <v>0.33333333333333331</v>
      </c>
      <c r="G7" s="33">
        <v>0.28282828282828282</v>
      </c>
      <c r="H7" s="33">
        <v>0.1111111111111111</v>
      </c>
      <c r="I7" s="34">
        <v>9639.2857142857138</v>
      </c>
      <c r="J7" s="34">
        <v>-10800</v>
      </c>
      <c r="K7" s="33">
        <v>8.3333333333333329E-2</v>
      </c>
      <c r="L7" s="33">
        <v>0.27272727272727271</v>
      </c>
      <c r="M7" s="33">
        <v>0.23232323232323232</v>
      </c>
      <c r="N7" s="33">
        <v>0.44444444444444442</v>
      </c>
      <c r="O7" s="33">
        <v>0.52173913043478259</v>
      </c>
      <c r="P7" s="33">
        <v>0.6071428571428571</v>
      </c>
    </row>
    <row r="8" spans="1:17" x14ac:dyDescent="0.45">
      <c r="A8" s="35">
        <v>5</v>
      </c>
      <c r="B8" s="32">
        <v>-7.1054273576010019E-15</v>
      </c>
      <c r="C8" s="32">
        <v>-4.7369515717340012E-16</v>
      </c>
      <c r="D8" s="37">
        <v>2</v>
      </c>
      <c r="E8" s="33">
        <v>0.33333333333333331</v>
      </c>
      <c r="F8" s="33">
        <v>0.33333333333333331</v>
      </c>
      <c r="G8" s="33">
        <v>0.27192982456140352</v>
      </c>
      <c r="H8" s="33">
        <v>0.11403508771929824</v>
      </c>
      <c r="I8" s="34">
        <v>9867.7419354838712</v>
      </c>
      <c r="J8" s="34">
        <v>-10984.615384615385</v>
      </c>
      <c r="K8" s="33">
        <v>0.13333333333333333</v>
      </c>
      <c r="L8" s="33">
        <v>0.24561403508771928</v>
      </c>
      <c r="M8" s="33">
        <v>0.24561403508771928</v>
      </c>
      <c r="N8" s="33">
        <v>0.42857142857142855</v>
      </c>
      <c r="O8" s="33">
        <v>0.5</v>
      </c>
      <c r="P8" s="33">
        <v>0.58064516129032262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0.26811594202898553</v>
      </c>
      <c r="H9" s="33">
        <v>0.13043478260869565</v>
      </c>
      <c r="I9" s="34">
        <v>8975.6756756756749</v>
      </c>
      <c r="J9" s="34">
        <v>-9222.2222222222226</v>
      </c>
      <c r="K9" s="33">
        <v>0.1111111111111111</v>
      </c>
      <c r="L9" s="33">
        <v>0.22463768115942029</v>
      </c>
      <c r="M9" s="33">
        <v>0.26811594202898553</v>
      </c>
      <c r="N9" s="33">
        <v>0.38709677419354838</v>
      </c>
      <c r="O9" s="33">
        <v>0.48648648648648651</v>
      </c>
      <c r="P9" s="33">
        <v>0.51351351351351349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0.27485380116959063</v>
      </c>
      <c r="H10" s="33">
        <v>0.12280701754385964</v>
      </c>
      <c r="I10" s="34">
        <v>8646.8085106382987</v>
      </c>
      <c r="J10" s="34">
        <v>-9028.5714285714294</v>
      </c>
      <c r="K10" s="33">
        <v>9.5238095238095233E-2</v>
      </c>
      <c r="L10" s="33">
        <v>0.24561403508771928</v>
      </c>
      <c r="M10" s="33">
        <v>0.25146198830409355</v>
      </c>
      <c r="N10" s="33">
        <v>0.42857142857142855</v>
      </c>
      <c r="O10" s="33">
        <v>0.48837209302325579</v>
      </c>
      <c r="P10" s="33">
        <v>0.55319148936170215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0.26760563380281688</v>
      </c>
      <c r="H11" s="33">
        <v>0.13615023474178403</v>
      </c>
      <c r="I11" s="34">
        <v>8559.6491228070172</v>
      </c>
      <c r="J11" s="34">
        <v>-8727.5862068965525</v>
      </c>
      <c r="K11" s="33">
        <v>8.3333333333333329E-2</v>
      </c>
      <c r="L11" s="33">
        <v>0.26291079812206575</v>
      </c>
      <c r="M11" s="33">
        <v>0.23474178403755869</v>
      </c>
      <c r="N11" s="33">
        <v>0.42857142857142855</v>
      </c>
      <c r="O11" s="33">
        <v>0.5</v>
      </c>
      <c r="P11" s="33">
        <v>0.49122807017543857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0.27027027027027029</v>
      </c>
      <c r="H12" s="33">
        <v>0.14414414414414414</v>
      </c>
      <c r="I12" s="34">
        <v>8548.3333333333339</v>
      </c>
      <c r="J12" s="34">
        <v>-8690.625</v>
      </c>
      <c r="K12" s="33">
        <v>7.407407407407407E-2</v>
      </c>
      <c r="L12" s="33">
        <v>0.26126126126126126</v>
      </c>
      <c r="M12" s="33">
        <v>0.23423423423423423</v>
      </c>
      <c r="N12" s="33">
        <v>0.43103448275862066</v>
      </c>
      <c r="O12" s="33">
        <v>0.51923076923076927</v>
      </c>
      <c r="P12" s="33">
        <v>0.46666666666666667</v>
      </c>
    </row>
    <row r="13" spans="1:17" x14ac:dyDescent="0.45">
      <c r="A13" s="35">
        <v>10</v>
      </c>
      <c r="B13" s="32">
        <v>-8.4376949871511897E-15</v>
      </c>
      <c r="C13" s="32">
        <v>-2.8125649957170631E-16</v>
      </c>
      <c r="D13" s="37">
        <v>2</v>
      </c>
      <c r="E13" s="33">
        <v>0.33333333333333331</v>
      </c>
      <c r="F13" s="33">
        <v>0.33333333333333331</v>
      </c>
      <c r="G13" s="33">
        <v>0.26666666666666666</v>
      </c>
      <c r="H13" s="33">
        <v>0.14117647058823529</v>
      </c>
      <c r="I13" s="34">
        <v>8660.2941176470595</v>
      </c>
      <c r="J13" s="34">
        <v>-9052.7777777777774</v>
      </c>
      <c r="K13" s="33">
        <v>6.6666666666666666E-2</v>
      </c>
      <c r="L13" s="33">
        <v>0.2627450980392157</v>
      </c>
      <c r="M13" s="33">
        <v>0.24705882352941178</v>
      </c>
      <c r="N13" s="33">
        <v>0.38805970149253732</v>
      </c>
      <c r="O13" s="33">
        <v>0.49206349206349204</v>
      </c>
      <c r="P13" s="33">
        <v>0.47058823529411764</v>
      </c>
    </row>
    <row r="14" spans="1:17" x14ac:dyDescent="0.45">
      <c r="A14" s="35">
        <v>11</v>
      </c>
      <c r="B14" s="32">
        <v>0</v>
      </c>
      <c r="C14" s="32">
        <v>0</v>
      </c>
      <c r="D14" s="37">
        <v>2</v>
      </c>
      <c r="E14" s="33">
        <v>0.33333333333333331</v>
      </c>
      <c r="F14" s="33">
        <v>0.33333333333333331</v>
      </c>
      <c r="G14" s="33">
        <v>0.27173913043478259</v>
      </c>
      <c r="H14" s="33">
        <v>0.14492753623188406</v>
      </c>
      <c r="I14" s="34">
        <v>8710.6666666666661</v>
      </c>
      <c r="J14" s="34">
        <v>-8977.5</v>
      </c>
      <c r="K14" s="33">
        <v>6.0606060606060608E-2</v>
      </c>
      <c r="L14" s="33">
        <v>0.26811594202898553</v>
      </c>
      <c r="M14" s="33">
        <v>0.24275362318840579</v>
      </c>
      <c r="N14" s="33">
        <v>0.40540540540540543</v>
      </c>
      <c r="O14" s="33">
        <v>0.47761194029850745</v>
      </c>
      <c r="P14" s="33">
        <v>0.46666666666666667</v>
      </c>
    </row>
    <row r="15" spans="1:17" x14ac:dyDescent="0.45">
      <c r="A15" s="35">
        <v>12</v>
      </c>
      <c r="B15" s="32">
        <v>3.5527136788005009E-15</v>
      </c>
      <c r="C15" s="32">
        <v>9.8686491077791687E-17</v>
      </c>
      <c r="D15" s="37">
        <v>2</v>
      </c>
      <c r="E15" s="33">
        <v>0.33333333333333331</v>
      </c>
      <c r="F15" s="33">
        <v>0.33333333333333331</v>
      </c>
      <c r="G15" s="33">
        <v>0.27392739273927391</v>
      </c>
      <c r="H15" s="33">
        <v>0.15181518151815182</v>
      </c>
      <c r="I15" s="34">
        <v>8573.4939759036151</v>
      </c>
      <c r="J15" s="34">
        <v>-8908.6956521739139</v>
      </c>
      <c r="K15" s="33">
        <v>8.3333333333333329E-2</v>
      </c>
      <c r="L15" s="33">
        <v>0.264026402640264</v>
      </c>
      <c r="M15" s="33">
        <v>0.24422442244224424</v>
      </c>
      <c r="N15" s="33">
        <v>0.38750000000000001</v>
      </c>
      <c r="O15" s="33">
        <v>0.48648648648648651</v>
      </c>
      <c r="P15" s="33">
        <v>0.44578313253012047</v>
      </c>
    </row>
    <row r="16" spans="1:17" x14ac:dyDescent="0.45">
      <c r="A16" s="35">
        <v>13</v>
      </c>
      <c r="B16" s="32">
        <v>1.0658141036401503E-14</v>
      </c>
      <c r="C16" s="32">
        <v>2.7328566760003855E-16</v>
      </c>
      <c r="D16" s="37">
        <v>2</v>
      </c>
      <c r="E16" s="33">
        <v>0.33333333333333331</v>
      </c>
      <c r="F16" s="33">
        <v>0.33333333333333331</v>
      </c>
      <c r="G16" s="33">
        <v>0.27725856697819312</v>
      </c>
      <c r="H16" s="33">
        <v>0.14641744548286603</v>
      </c>
      <c r="I16" s="34">
        <v>8215.7303370786522</v>
      </c>
      <c r="J16" s="34">
        <v>-8882.978723404256</v>
      </c>
      <c r="K16" s="33">
        <v>7.6923076923076927E-2</v>
      </c>
      <c r="L16" s="33">
        <v>0.25856697819314639</v>
      </c>
      <c r="M16" s="33">
        <v>0.24610591900311526</v>
      </c>
      <c r="N16" s="33">
        <v>0.40963855421686746</v>
      </c>
      <c r="O16" s="33">
        <v>0.48101265822784811</v>
      </c>
      <c r="P16" s="33">
        <v>0.47191011235955055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0.27536231884057971</v>
      </c>
      <c r="H17" s="33">
        <v>0.14782608695652175</v>
      </c>
      <c r="I17" s="34">
        <v>8114.7368421052633</v>
      </c>
      <c r="J17" s="34">
        <v>-8688.2352941176468</v>
      </c>
      <c r="K17" s="33">
        <v>7.1428571428571425E-2</v>
      </c>
      <c r="L17" s="33">
        <v>0.24927536231884059</v>
      </c>
      <c r="M17" s="33">
        <v>0.24347826086956523</v>
      </c>
      <c r="N17" s="33">
        <v>0.43023255813953487</v>
      </c>
      <c r="O17" s="33">
        <v>0.47619047619047616</v>
      </c>
      <c r="P17" s="33">
        <v>0.4631578947368421</v>
      </c>
    </row>
    <row r="18" spans="1:16" x14ac:dyDescent="0.45">
      <c r="A18" s="35">
        <v>15</v>
      </c>
      <c r="B18" s="32">
        <v>8.8817841970012523E-15</v>
      </c>
      <c r="C18" s="32">
        <v>1.9737298215558337E-16</v>
      </c>
      <c r="D18" s="37">
        <v>2</v>
      </c>
      <c r="E18" s="33">
        <v>0.33333333333333331</v>
      </c>
      <c r="F18" s="33">
        <v>0.33333333333333331</v>
      </c>
      <c r="G18" s="33">
        <v>0.27604166666666669</v>
      </c>
      <c r="H18" s="33">
        <v>0.15104166666666666</v>
      </c>
      <c r="I18" s="34">
        <v>7958.4905660377362</v>
      </c>
      <c r="J18" s="34">
        <v>-8339.6551724137935</v>
      </c>
      <c r="K18" s="33">
        <v>6.6666666666666666E-2</v>
      </c>
      <c r="L18" s="33">
        <v>0.25260416666666669</v>
      </c>
      <c r="M18" s="33">
        <v>0.25</v>
      </c>
      <c r="N18" s="33">
        <v>0.44329896907216493</v>
      </c>
      <c r="O18" s="33">
        <v>0.45833333333333331</v>
      </c>
      <c r="P18" s="33">
        <v>0.45283018867924529</v>
      </c>
    </row>
    <row r="19" spans="1:16" x14ac:dyDescent="0.45">
      <c r="A19" s="35">
        <v>16</v>
      </c>
      <c r="B19" s="32">
        <v>7.1054273576010019E-15</v>
      </c>
      <c r="C19" s="32">
        <v>1.4802973661668753E-16</v>
      </c>
      <c r="D19" s="37">
        <v>2</v>
      </c>
      <c r="E19" s="33">
        <v>0.33333333333333331</v>
      </c>
      <c r="F19" s="33">
        <v>0.33333333333333331</v>
      </c>
      <c r="G19" s="33">
        <v>0.27860696517412936</v>
      </c>
      <c r="H19" s="33">
        <v>0.15174129353233831</v>
      </c>
      <c r="I19" s="34">
        <v>8041.0714285714284</v>
      </c>
      <c r="J19" s="34">
        <v>-8519.6721311475412</v>
      </c>
      <c r="K19" s="33">
        <v>8.3333333333333329E-2</v>
      </c>
      <c r="L19" s="33">
        <v>0.25124378109452739</v>
      </c>
      <c r="M19" s="33">
        <v>0.2462686567164179</v>
      </c>
      <c r="N19" s="33">
        <v>0.45544554455445546</v>
      </c>
      <c r="O19" s="33">
        <v>0.46464646464646464</v>
      </c>
      <c r="P19" s="33">
        <v>0.45535714285714285</v>
      </c>
    </row>
    <row r="20" spans="1:16" x14ac:dyDescent="0.45">
      <c r="A20" s="35">
        <v>17</v>
      </c>
      <c r="B20" s="32">
        <v>1.0658141036401503E-14</v>
      </c>
      <c r="C20" s="32">
        <v>2.0898315757650005E-16</v>
      </c>
      <c r="D20" s="37">
        <v>2</v>
      </c>
      <c r="E20" s="33">
        <v>0.33333333333333331</v>
      </c>
      <c r="F20" s="33">
        <v>0.33333333333333331</v>
      </c>
      <c r="G20" s="33">
        <v>0.28240740740740738</v>
      </c>
      <c r="H20" s="33">
        <v>0.15277777777777779</v>
      </c>
      <c r="I20" s="34">
        <v>8084.4262295081971</v>
      </c>
      <c r="J20" s="34">
        <v>-8490.9090909090901</v>
      </c>
      <c r="K20" s="33">
        <v>7.8431372549019607E-2</v>
      </c>
      <c r="L20" s="33">
        <v>0.25231481481481483</v>
      </c>
      <c r="M20" s="33">
        <v>0.25462962962962965</v>
      </c>
      <c r="N20" s="33">
        <v>0.44954128440366975</v>
      </c>
      <c r="O20" s="33">
        <v>0.45454545454545453</v>
      </c>
      <c r="P20" s="33">
        <v>0.45901639344262296</v>
      </c>
    </row>
    <row r="21" spans="1:16" x14ac:dyDescent="0.45">
      <c r="A21" s="35">
        <v>18</v>
      </c>
      <c r="B21" s="32">
        <v>1.0658141036401503E-14</v>
      </c>
      <c r="C21" s="32">
        <v>1.9737298215558337E-16</v>
      </c>
      <c r="D21" s="37">
        <v>2</v>
      </c>
      <c r="E21" s="33">
        <v>0.33333333333333331</v>
      </c>
      <c r="F21" s="33">
        <v>0.33333333333333331</v>
      </c>
      <c r="G21" s="33">
        <v>0.28354978354978355</v>
      </c>
      <c r="H21" s="33">
        <v>0.14935064935064934</v>
      </c>
      <c r="I21" s="34">
        <v>8060.3053435114507</v>
      </c>
      <c r="J21" s="34">
        <v>-8513.04347826087</v>
      </c>
      <c r="K21" s="33">
        <v>7.407407407407407E-2</v>
      </c>
      <c r="L21" s="33">
        <v>0.25108225108225107</v>
      </c>
      <c r="M21" s="33">
        <v>0.24675324675324675</v>
      </c>
      <c r="N21" s="33">
        <v>0.45689655172413796</v>
      </c>
      <c r="O21" s="33">
        <v>0.45614035087719296</v>
      </c>
      <c r="P21" s="33">
        <v>0.47328244274809161</v>
      </c>
    </row>
    <row r="22" spans="1:16" x14ac:dyDescent="0.45">
      <c r="A22" s="35">
        <v>19</v>
      </c>
      <c r="B22" s="32">
        <v>1.0658141036401503E-14</v>
      </c>
      <c r="C22" s="32">
        <v>1.8698493046318425E-16</v>
      </c>
      <c r="D22" s="37">
        <v>2</v>
      </c>
      <c r="E22" s="33">
        <v>0.33333333333333331</v>
      </c>
      <c r="F22" s="33">
        <v>0.33333333333333331</v>
      </c>
      <c r="G22" s="33">
        <v>0.2839506172839506</v>
      </c>
      <c r="H22" s="33">
        <v>0.15020576131687244</v>
      </c>
      <c r="I22" s="34">
        <v>8098.550724637681</v>
      </c>
      <c r="J22" s="34">
        <v>-8408.2191780821922</v>
      </c>
      <c r="K22" s="33">
        <v>7.0175438596491224E-2</v>
      </c>
      <c r="L22" s="33">
        <v>0.25102880658436216</v>
      </c>
      <c r="M22" s="33">
        <v>0.24074074074074073</v>
      </c>
      <c r="N22" s="33">
        <v>0.46721311475409838</v>
      </c>
      <c r="O22" s="33">
        <v>0.46153846153846156</v>
      </c>
      <c r="P22" s="33">
        <v>0.47101449275362317</v>
      </c>
    </row>
    <row r="23" spans="1:16" x14ac:dyDescent="0.45">
      <c r="A23" s="35">
        <v>20</v>
      </c>
      <c r="B23" s="32">
        <v>1.2434497875801753E-14</v>
      </c>
      <c r="C23" s="32">
        <v>2.0724163126336256E-16</v>
      </c>
      <c r="D23" s="37">
        <v>2</v>
      </c>
      <c r="E23" s="33">
        <v>0.33333333333333331</v>
      </c>
      <c r="F23" s="33">
        <v>0.33333333333333331</v>
      </c>
      <c r="G23" s="33">
        <v>0.28599605522682447</v>
      </c>
      <c r="H23" s="33">
        <v>0.14990138067061143</v>
      </c>
      <c r="I23" s="34">
        <v>8136.5517241379312</v>
      </c>
      <c r="J23" s="34">
        <v>-8384.21052631579</v>
      </c>
      <c r="K23" s="33">
        <v>6.6666666666666666E-2</v>
      </c>
      <c r="L23" s="33">
        <v>0.25246548323471402</v>
      </c>
      <c r="M23" s="33">
        <v>0.2465483234714004</v>
      </c>
      <c r="N23" s="33">
        <v>0.4765625</v>
      </c>
      <c r="O23" s="33">
        <v>0.45600000000000002</v>
      </c>
      <c r="P23" s="33">
        <v>0.47586206896551725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744</vt:i4>
      </vt:variant>
    </vt:vector>
  </HeadingPairs>
  <TitlesOfParts>
    <vt:vector size="786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2020-10-08T07:52:26Z</dcterms:modified>
</cp:coreProperties>
</file>