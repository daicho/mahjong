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1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2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4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5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7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8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771EADBB-E8F0-415C-ABB4-FD3EF618CF81}" xr6:coauthVersionLast="45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892" r:id="rId6"/>
    <sheet name="だいち" sheetId="6894" r:id="rId7"/>
    <sheet name="れんたろう" sheetId="6896" r:id="rId8"/>
    <sheet name="たかの" sheetId="6898" r:id="rId9"/>
    <sheet name="まっつん" sheetId="6900" r:id="rId10"/>
    <sheet name="いちかわ" sheetId="6902" r:id="rId11"/>
    <sheet name="ただ" sheetId="6904" r:id="rId12"/>
    <sheet name="たか" sheetId="6906" r:id="rId13"/>
    <sheet name="のり" sheetId="6908" r:id="rId14"/>
    <sheet name="りくと" sheetId="6910" r:id="rId15"/>
    <sheet name="わさび" sheetId="6912" r:id="rId16"/>
    <sheet name="わさび2" sheetId="6913" state="hidden" r:id="rId17"/>
    <sheet name="りくと2" sheetId="6911" state="hidden" r:id="rId18"/>
    <sheet name="のり2" sheetId="6909" state="hidden" r:id="rId19"/>
    <sheet name="たか2" sheetId="6907" state="hidden" r:id="rId20"/>
    <sheet name="ただ2" sheetId="6905" state="hidden" r:id="rId21"/>
    <sheet name="いちかわ2" sheetId="6903" state="hidden" r:id="rId22"/>
    <sheet name="まっつん2" sheetId="6901" state="hidden" r:id="rId23"/>
    <sheet name="たかの2" sheetId="6899" state="hidden" r:id="rId24"/>
    <sheet name="れんたろう2" sheetId="6897" state="hidden" r:id="rId25"/>
    <sheet name="だいち2" sheetId="6895" state="hidden" r:id="rId26"/>
    <sheet name="全体2" sheetId="6893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6" i="6910" l="1"/>
  <c r="P19" i="6900"/>
  <c r="P16" i="6896" l="1"/>
  <c r="P18" i="6900"/>
  <c r="P15" i="6910" l="1"/>
  <c r="P21" i="6896"/>
  <c r="P16" i="6898" l="1"/>
  <c r="P20" i="6900"/>
  <c r="P21" i="6904"/>
  <c r="P17" i="6900"/>
  <c r="P19" i="6906" l="1"/>
  <c r="P15" i="6898"/>
  <c r="P19" i="6910" l="1"/>
  <c r="P19" i="6894"/>
  <c r="P19" i="6902" l="1"/>
  <c r="P18" i="6898"/>
  <c r="P15" i="6904" l="1"/>
  <c r="P18" i="6904"/>
  <c r="P20" i="6910"/>
  <c r="P17" i="6912"/>
  <c r="P17" i="6902"/>
  <c r="P23" i="6902"/>
  <c r="P15" i="6912"/>
  <c r="P16" i="6912"/>
  <c r="C35" i="6912"/>
  <c r="B30" i="6912"/>
  <c r="C21" i="6912"/>
  <c r="B20" i="6912"/>
  <c r="H50" i="6912" s="1"/>
  <c r="B19" i="6912"/>
  <c r="B29" i="6912" s="1"/>
  <c r="C18" i="6912"/>
  <c r="B18" i="6912"/>
  <c r="C17" i="6912"/>
  <c r="C16" i="6912"/>
  <c r="C15" i="6912"/>
  <c r="B13" i="6912"/>
  <c r="P12" i="6912"/>
  <c r="B12" i="6912"/>
  <c r="P11" i="6912"/>
  <c r="B11" i="6912"/>
  <c r="P10" i="6912"/>
  <c r="C10" i="6912"/>
  <c r="C9" i="6912"/>
  <c r="C8" i="6912"/>
  <c r="P7" i="6912"/>
  <c r="B7" i="6912"/>
  <c r="P6" i="6912"/>
  <c r="P5" i="6912"/>
  <c r="B5" i="6912"/>
  <c r="P4" i="6912"/>
  <c r="P3" i="6912"/>
  <c r="P2" i="6912"/>
  <c r="P19" i="6892"/>
  <c r="P17" i="6910"/>
  <c r="P18" i="6910"/>
  <c r="C35" i="6910"/>
  <c r="B30" i="6910"/>
  <c r="C21" i="6910"/>
  <c r="B20" i="6910"/>
  <c r="H50" i="6910" s="1"/>
  <c r="B19" i="6910"/>
  <c r="B29" i="6910" s="1"/>
  <c r="B18" i="6910"/>
  <c r="C18" i="6910" s="1"/>
  <c r="C17" i="6910"/>
  <c r="C16" i="6910"/>
  <c r="C15" i="6910"/>
  <c r="B13" i="6910"/>
  <c r="P12" i="6910"/>
  <c r="B12" i="6910"/>
  <c r="P11" i="6910"/>
  <c r="B11" i="6910"/>
  <c r="P10" i="6910"/>
  <c r="C10" i="6910"/>
  <c r="C9" i="6910"/>
  <c r="C8" i="6910"/>
  <c r="P7" i="6910"/>
  <c r="B7" i="6910"/>
  <c r="P6" i="6910"/>
  <c r="P5" i="6910"/>
  <c r="B5" i="6910"/>
  <c r="P4" i="6910"/>
  <c r="P3" i="6910"/>
  <c r="P2" i="6910"/>
  <c r="P17" i="6892"/>
  <c r="B14" i="6910" l="1"/>
  <c r="C19" i="6910"/>
  <c r="B14" i="6912"/>
  <c r="C19" i="6912"/>
  <c r="C20" i="6912"/>
  <c r="H3" i="6912"/>
  <c r="H8" i="6912"/>
  <c r="H33" i="6912"/>
  <c r="C42" i="6912"/>
  <c r="C46" i="6912"/>
  <c r="H51" i="6912"/>
  <c r="H2" i="6912"/>
  <c r="H11" i="6912"/>
  <c r="H16" i="6912"/>
  <c r="H19" i="6912"/>
  <c r="C24" i="6912"/>
  <c r="B28" i="6912"/>
  <c r="H34" i="6912"/>
  <c r="H39" i="6912"/>
  <c r="H43" i="6912"/>
  <c r="H47" i="6912"/>
  <c r="H9" i="6912"/>
  <c r="H22" i="6912"/>
  <c r="H26" i="6912"/>
  <c r="H29" i="6912"/>
  <c r="H35" i="6912"/>
  <c r="C39" i="6912"/>
  <c r="C43" i="6912"/>
  <c r="C47" i="6912"/>
  <c r="H52" i="6912"/>
  <c r="H14" i="6912"/>
  <c r="H17" i="6912"/>
  <c r="C25" i="6912"/>
  <c r="H40" i="6912"/>
  <c r="H44" i="6912"/>
  <c r="H48" i="6912"/>
  <c r="H25" i="6912"/>
  <c r="C38" i="6912"/>
  <c r="H6" i="6912"/>
  <c r="H12" i="6912"/>
  <c r="H20" i="6912"/>
  <c r="H23" i="6912"/>
  <c r="H27" i="6912"/>
  <c r="H30" i="6912"/>
  <c r="H36" i="6912"/>
  <c r="C40" i="6912"/>
  <c r="C44" i="6912"/>
  <c r="C48" i="6912"/>
  <c r="H5" i="6912"/>
  <c r="H18" i="6912"/>
  <c r="C22" i="6912"/>
  <c r="C26" i="6912"/>
  <c r="H37" i="6912"/>
  <c r="H41" i="6912"/>
  <c r="H45" i="6912"/>
  <c r="H49" i="6912"/>
  <c r="H4" i="6912"/>
  <c r="H13" i="6912"/>
  <c r="H15" i="6912"/>
  <c r="H24" i="6912"/>
  <c r="H28" i="6912"/>
  <c r="H31" i="6912"/>
  <c r="C37" i="6912"/>
  <c r="C41" i="6912"/>
  <c r="C45" i="6912"/>
  <c r="C49" i="6912"/>
  <c r="H10" i="6912"/>
  <c r="H7" i="6912"/>
  <c r="H21" i="6912"/>
  <c r="C23" i="6912"/>
  <c r="B27" i="6912"/>
  <c r="H32" i="6912"/>
  <c r="H38" i="6912"/>
  <c r="H42" i="6912"/>
  <c r="H46" i="6912"/>
  <c r="C20" i="6910"/>
  <c r="H6" i="6910"/>
  <c r="H13" i="6910"/>
  <c r="C38" i="6910"/>
  <c r="C42" i="6910"/>
  <c r="H51" i="6910"/>
  <c r="H2" i="6910"/>
  <c r="H8" i="6910"/>
  <c r="H11" i="6910"/>
  <c r="H20" i="6910"/>
  <c r="C24" i="6910"/>
  <c r="B28" i="6910"/>
  <c r="H34" i="6910"/>
  <c r="H39" i="6910"/>
  <c r="H43" i="6910"/>
  <c r="H47" i="6910"/>
  <c r="H3" i="6910"/>
  <c r="H22" i="6910"/>
  <c r="H26" i="6910"/>
  <c r="H29" i="6910"/>
  <c r="H35" i="6910"/>
  <c r="C39" i="6910"/>
  <c r="C43" i="6910"/>
  <c r="C47" i="6910"/>
  <c r="H52" i="6910"/>
  <c r="H15" i="6910"/>
  <c r="H17" i="6910"/>
  <c r="C25" i="6910"/>
  <c r="H40" i="6910"/>
  <c r="H44" i="6910"/>
  <c r="H48" i="6910"/>
  <c r="H25" i="6910"/>
  <c r="H33" i="6910"/>
  <c r="C46" i="6910"/>
  <c r="H7" i="6910"/>
  <c r="H10" i="6910"/>
  <c r="H21" i="6910"/>
  <c r="H23" i="6910"/>
  <c r="H27" i="6910"/>
  <c r="H30" i="6910"/>
  <c r="H36" i="6910"/>
  <c r="C40" i="6910"/>
  <c r="C44" i="6910"/>
  <c r="C48" i="6910"/>
  <c r="H5" i="6910"/>
  <c r="H18" i="6910"/>
  <c r="C22" i="6910"/>
  <c r="C26" i="6910"/>
  <c r="H37" i="6910"/>
  <c r="H41" i="6910"/>
  <c r="H45" i="6910"/>
  <c r="H49" i="6910"/>
  <c r="H4" i="6910"/>
  <c r="H14" i="6910"/>
  <c r="H16" i="6910"/>
  <c r="H24" i="6910"/>
  <c r="H28" i="6910"/>
  <c r="H31" i="6910"/>
  <c r="C37" i="6910"/>
  <c r="C41" i="6910"/>
  <c r="C45" i="6910"/>
  <c r="C49" i="6910"/>
  <c r="H9" i="6910"/>
  <c r="H19" i="6910"/>
  <c r="H12" i="6910"/>
  <c r="C23" i="6910"/>
  <c r="B27" i="6910"/>
  <c r="H32" i="6910"/>
  <c r="H38" i="6910"/>
  <c r="H42" i="6910"/>
  <c r="H46" i="6910"/>
  <c r="P20" i="6896" l="1"/>
  <c r="P19" i="6904"/>
  <c r="P15" i="6902"/>
  <c r="P16" i="6904"/>
  <c r="P22" i="6904"/>
  <c r="P18" i="6906"/>
  <c r="P18" i="6902"/>
  <c r="P20" i="6906"/>
  <c r="P17" i="6896"/>
  <c r="P15" i="6896"/>
  <c r="P17" i="6908" l="1"/>
  <c r="P16" i="6906"/>
  <c r="P15" i="6894"/>
  <c r="P16" i="6894"/>
  <c r="P16" i="6908"/>
  <c r="P15" i="6908"/>
  <c r="C45" i="6908"/>
  <c r="C35" i="6908"/>
  <c r="B30" i="6908"/>
  <c r="C21" i="6908"/>
  <c r="B20" i="6908"/>
  <c r="H51" i="6908" s="1"/>
  <c r="B19" i="6908"/>
  <c r="B29" i="6908" s="1"/>
  <c r="B18" i="6908"/>
  <c r="C18" i="6908" s="1"/>
  <c r="C17" i="6908"/>
  <c r="C16" i="6908"/>
  <c r="C15" i="6908"/>
  <c r="B13" i="6908"/>
  <c r="P12" i="6908"/>
  <c r="B12" i="6908"/>
  <c r="P11" i="6908"/>
  <c r="H15" i="6908"/>
  <c r="B11" i="6908"/>
  <c r="P10" i="6908"/>
  <c r="C10" i="6908"/>
  <c r="C9" i="6908"/>
  <c r="C8" i="6908"/>
  <c r="P7" i="6908"/>
  <c r="B7" i="6908"/>
  <c r="P6" i="6908"/>
  <c r="P5" i="6908"/>
  <c r="B5" i="6908"/>
  <c r="P4" i="6908"/>
  <c r="P3" i="6908"/>
  <c r="P2" i="6908"/>
  <c r="P17" i="6906"/>
  <c r="P15" i="6906"/>
  <c r="C35" i="6906"/>
  <c r="B30" i="6906"/>
  <c r="C21" i="6906"/>
  <c r="B20" i="6906"/>
  <c r="H50" i="6906" s="1"/>
  <c r="B19" i="6906"/>
  <c r="B29" i="6906" s="1"/>
  <c r="B18" i="6906"/>
  <c r="C18" i="6906" s="1"/>
  <c r="C17" i="6906"/>
  <c r="C16" i="6906"/>
  <c r="C15" i="6906"/>
  <c r="B13" i="6906"/>
  <c r="P12" i="6906"/>
  <c r="B12" i="6906"/>
  <c r="P11" i="6906"/>
  <c r="B11" i="6906"/>
  <c r="P10" i="6906"/>
  <c r="C10" i="6906"/>
  <c r="C9" i="6906"/>
  <c r="C8" i="6906"/>
  <c r="P7" i="6906"/>
  <c r="B7" i="6906"/>
  <c r="P6" i="6906"/>
  <c r="P5" i="6906"/>
  <c r="B5" i="6906"/>
  <c r="P4" i="6906"/>
  <c r="P3" i="6906"/>
  <c r="P2" i="6906"/>
  <c r="P21" i="6902"/>
  <c r="P16" i="6902"/>
  <c r="P15" i="6892"/>
  <c r="P16" i="6892"/>
  <c r="B14" i="6906" l="1"/>
  <c r="H26" i="6908"/>
  <c r="H31" i="6908"/>
  <c r="C47" i="6908"/>
  <c r="H34" i="6908"/>
  <c r="H11" i="6908"/>
  <c r="C39" i="6908"/>
  <c r="H18" i="6908"/>
  <c r="H40" i="6908"/>
  <c r="H47" i="6908"/>
  <c r="H13" i="6908"/>
  <c r="H24" i="6908"/>
  <c r="H19" i="6908"/>
  <c r="C24" i="6908"/>
  <c r="H41" i="6908"/>
  <c r="B14" i="6908"/>
  <c r="C19" i="6908"/>
  <c r="H48" i="6908"/>
  <c r="C25" i="6908"/>
  <c r="H35" i="6908"/>
  <c r="C41" i="6908"/>
  <c r="H7" i="6908"/>
  <c r="H14" i="6908"/>
  <c r="H16" i="6908"/>
  <c r="C20" i="6908"/>
  <c r="C26" i="6908"/>
  <c r="H43" i="6908"/>
  <c r="H49" i="6908"/>
  <c r="H8" i="6908"/>
  <c r="H23" i="6908"/>
  <c r="H28" i="6908"/>
  <c r="H37" i="6908"/>
  <c r="C43" i="6908"/>
  <c r="C49" i="6908"/>
  <c r="H6" i="6908"/>
  <c r="H2" i="6908"/>
  <c r="H21" i="6908"/>
  <c r="B28" i="6908"/>
  <c r="C37" i="6908"/>
  <c r="H44" i="6908"/>
  <c r="H5" i="6908"/>
  <c r="H3" i="6908"/>
  <c r="H12" i="6908"/>
  <c r="H17" i="6908"/>
  <c r="C22" i="6908"/>
  <c r="H29" i="6908"/>
  <c r="H39" i="6908"/>
  <c r="H45" i="6908"/>
  <c r="H52" i="6908"/>
  <c r="H22" i="6908"/>
  <c r="H10" i="6908"/>
  <c r="H27" i="6908"/>
  <c r="H30" i="6908"/>
  <c r="H36" i="6908"/>
  <c r="C40" i="6908"/>
  <c r="C44" i="6908"/>
  <c r="C48" i="6908"/>
  <c r="H20" i="6908"/>
  <c r="H9" i="6908"/>
  <c r="C23" i="6908"/>
  <c r="B27" i="6908"/>
  <c r="H32" i="6908"/>
  <c r="H38" i="6908"/>
  <c r="H42" i="6908"/>
  <c r="H46" i="6908"/>
  <c r="H50" i="6908"/>
  <c r="H25" i="6908"/>
  <c r="H4" i="6908"/>
  <c r="H33" i="6908"/>
  <c r="C38" i="6908"/>
  <c r="C42" i="6908"/>
  <c r="C46" i="6908"/>
  <c r="C19" i="6906"/>
  <c r="C20" i="6906"/>
  <c r="H3" i="6906"/>
  <c r="H7" i="6906"/>
  <c r="C38" i="6906"/>
  <c r="C46" i="6906"/>
  <c r="H2" i="6906"/>
  <c r="H19" i="6906"/>
  <c r="H22" i="6906"/>
  <c r="C24" i="6906"/>
  <c r="B28" i="6906"/>
  <c r="H34" i="6906"/>
  <c r="H39" i="6906"/>
  <c r="H43" i="6906"/>
  <c r="H47" i="6906"/>
  <c r="H5" i="6906"/>
  <c r="H24" i="6906"/>
  <c r="H11" i="6906"/>
  <c r="H29" i="6906"/>
  <c r="H35" i="6906"/>
  <c r="C39" i="6906"/>
  <c r="C43" i="6906"/>
  <c r="C47" i="6906"/>
  <c r="H52" i="6906"/>
  <c r="H17" i="6906"/>
  <c r="H20" i="6906"/>
  <c r="C25" i="6906"/>
  <c r="H40" i="6906"/>
  <c r="H44" i="6906"/>
  <c r="H48" i="6906"/>
  <c r="H16" i="6906"/>
  <c r="H33" i="6906"/>
  <c r="C42" i="6906"/>
  <c r="H51" i="6906"/>
  <c r="H12" i="6906"/>
  <c r="H9" i="6906"/>
  <c r="H10" i="6906"/>
  <c r="H23" i="6906"/>
  <c r="H25" i="6906"/>
  <c r="H27" i="6906"/>
  <c r="H30" i="6906"/>
  <c r="H36" i="6906"/>
  <c r="C40" i="6906"/>
  <c r="C44" i="6906"/>
  <c r="C48" i="6906"/>
  <c r="H4" i="6906"/>
  <c r="H14" i="6906"/>
  <c r="C22" i="6906"/>
  <c r="C26" i="6906"/>
  <c r="H37" i="6906"/>
  <c r="H41" i="6906"/>
  <c r="H45" i="6906"/>
  <c r="H49" i="6906"/>
  <c r="H6" i="6906"/>
  <c r="H13" i="6906"/>
  <c r="H18" i="6906"/>
  <c r="H26" i="6906"/>
  <c r="H28" i="6906"/>
  <c r="H31" i="6906"/>
  <c r="C37" i="6906"/>
  <c r="C41" i="6906"/>
  <c r="C45" i="6906"/>
  <c r="C49" i="6906"/>
  <c r="H8" i="6906"/>
  <c r="H21" i="6906"/>
  <c r="H15" i="6906"/>
  <c r="C23" i="6906"/>
  <c r="B27" i="6906"/>
  <c r="H32" i="6906"/>
  <c r="H38" i="6906"/>
  <c r="H42" i="6906"/>
  <c r="H46" i="6906"/>
  <c r="P20" i="6898" l="1"/>
  <c r="P20" i="6904"/>
  <c r="P17" i="6904"/>
  <c r="C35" i="6904"/>
  <c r="B30" i="6904"/>
  <c r="C21" i="6904"/>
  <c r="B20" i="6904"/>
  <c r="H51" i="6904" s="1"/>
  <c r="C19" i="6904"/>
  <c r="B19" i="6904"/>
  <c r="B29" i="6904" s="1"/>
  <c r="B18" i="6904"/>
  <c r="C18" i="6904" s="1"/>
  <c r="C17" i="6904"/>
  <c r="C16" i="6904"/>
  <c r="C15" i="6904"/>
  <c r="B13" i="6904"/>
  <c r="P12" i="6904"/>
  <c r="B12" i="6904"/>
  <c r="P11" i="6904"/>
  <c r="B11" i="6904"/>
  <c r="P10" i="6904"/>
  <c r="C10" i="6904"/>
  <c r="C9" i="6904"/>
  <c r="C8" i="6904"/>
  <c r="P7" i="6904"/>
  <c r="B7" i="6904"/>
  <c r="P6" i="6904"/>
  <c r="P5" i="6904"/>
  <c r="B5" i="6904"/>
  <c r="P4" i="6904"/>
  <c r="P3" i="6904"/>
  <c r="P2" i="6904"/>
  <c r="P22" i="6894"/>
  <c r="P24" i="6892"/>
  <c r="B14" i="6904" l="1"/>
  <c r="H3" i="6904"/>
  <c r="C20" i="6904"/>
  <c r="H30" i="6904"/>
  <c r="H35" i="6904"/>
  <c r="C42" i="6904"/>
  <c r="H22" i="6904"/>
  <c r="H10" i="6904"/>
  <c r="H24" i="6904"/>
  <c r="H15" i="6904"/>
  <c r="C24" i="6904"/>
  <c r="B28" i="6904"/>
  <c r="H36" i="6904"/>
  <c r="H41" i="6904"/>
  <c r="H44" i="6904"/>
  <c r="H48" i="6904"/>
  <c r="H4" i="6904"/>
  <c r="H28" i="6904"/>
  <c r="H14" i="6904"/>
  <c r="H32" i="6904"/>
  <c r="H37" i="6904"/>
  <c r="C39" i="6904"/>
  <c r="C43" i="6904"/>
  <c r="C47" i="6904"/>
  <c r="H52" i="6904"/>
  <c r="H18" i="6904"/>
  <c r="H25" i="6904"/>
  <c r="C25" i="6904"/>
  <c r="H42" i="6904"/>
  <c r="H45" i="6904"/>
  <c r="H49" i="6904"/>
  <c r="H9" i="6904"/>
  <c r="C38" i="6904"/>
  <c r="C46" i="6904"/>
  <c r="H2" i="6904"/>
  <c r="H8" i="6904"/>
  <c r="H7" i="6904"/>
  <c r="H27" i="6904"/>
  <c r="H17" i="6904"/>
  <c r="H31" i="6904"/>
  <c r="H33" i="6904"/>
  <c r="H38" i="6904"/>
  <c r="C40" i="6904"/>
  <c r="C44" i="6904"/>
  <c r="C48" i="6904"/>
  <c r="H5" i="6904"/>
  <c r="H26" i="6904"/>
  <c r="C22" i="6904"/>
  <c r="C26" i="6904"/>
  <c r="H39" i="6904"/>
  <c r="H21" i="6904"/>
  <c r="H46" i="6904"/>
  <c r="H50" i="6904"/>
  <c r="H6" i="6904"/>
  <c r="H11" i="6904"/>
  <c r="H23" i="6904"/>
  <c r="H29" i="6904"/>
  <c r="H19" i="6904"/>
  <c r="H20" i="6904"/>
  <c r="C37" i="6904"/>
  <c r="C41" i="6904"/>
  <c r="C45" i="6904"/>
  <c r="C49" i="6904"/>
  <c r="H12" i="6904"/>
  <c r="H13" i="6904"/>
  <c r="H16" i="6904"/>
  <c r="C23" i="6904"/>
  <c r="B27" i="6904"/>
  <c r="H34" i="6904"/>
  <c r="H40" i="6904"/>
  <c r="H43" i="6904"/>
  <c r="H47" i="6904"/>
  <c r="P18" i="6894" l="1"/>
  <c r="P21" i="6894"/>
  <c r="P22" i="6902"/>
  <c r="P20" i="6902"/>
  <c r="C35" i="6902"/>
  <c r="B30" i="6902"/>
  <c r="C21" i="6902"/>
  <c r="B20" i="6902"/>
  <c r="H50" i="6902" s="1"/>
  <c r="B19" i="6902"/>
  <c r="B29" i="6902" s="1"/>
  <c r="B18" i="6902"/>
  <c r="C18" i="6902" s="1"/>
  <c r="C17" i="6902"/>
  <c r="C16" i="6902"/>
  <c r="C15" i="6902"/>
  <c r="B13" i="6902"/>
  <c r="P12" i="6902"/>
  <c r="B12" i="6902"/>
  <c r="P11" i="6902"/>
  <c r="B11" i="6902"/>
  <c r="P10" i="6902"/>
  <c r="C10" i="6902"/>
  <c r="C9" i="6902"/>
  <c r="C8" i="6902"/>
  <c r="P7" i="6902"/>
  <c r="B7" i="6902"/>
  <c r="P6" i="6902"/>
  <c r="P5" i="6902"/>
  <c r="B5" i="6902"/>
  <c r="P4" i="6902"/>
  <c r="P3" i="6902"/>
  <c r="P2" i="6902"/>
  <c r="P21" i="6892"/>
  <c r="P16" i="6900"/>
  <c r="P15" i="6900"/>
  <c r="C35" i="6900"/>
  <c r="B30" i="6900"/>
  <c r="C21" i="6900"/>
  <c r="B20" i="6900"/>
  <c r="H51" i="6900" s="1"/>
  <c r="B19" i="6900"/>
  <c r="B29" i="6900" s="1"/>
  <c r="B18" i="6900"/>
  <c r="C18" i="6900" s="1"/>
  <c r="C17" i="6900"/>
  <c r="C16" i="6900"/>
  <c r="C15" i="6900"/>
  <c r="B13" i="6900"/>
  <c r="P12" i="6900"/>
  <c r="B12" i="6900"/>
  <c r="P11" i="6900"/>
  <c r="B11" i="6900"/>
  <c r="P10" i="6900"/>
  <c r="C10" i="6900"/>
  <c r="C9" i="6900"/>
  <c r="C8" i="6900"/>
  <c r="P7" i="6900"/>
  <c r="B7" i="6900"/>
  <c r="P6" i="6900"/>
  <c r="P5" i="6900"/>
  <c r="B5" i="6900"/>
  <c r="P4" i="6900"/>
  <c r="P3" i="6900"/>
  <c r="P2" i="6900"/>
  <c r="P23" i="6892"/>
  <c r="C19" i="6900" l="1"/>
  <c r="B14" i="6900"/>
  <c r="H22" i="6900"/>
  <c r="C23" i="6900"/>
  <c r="B28" i="6900"/>
  <c r="C37" i="6900"/>
  <c r="H7" i="6900"/>
  <c r="H13" i="6900"/>
  <c r="C45" i="6900"/>
  <c r="B14" i="6902"/>
  <c r="C19" i="6902"/>
  <c r="C20" i="6902"/>
  <c r="H3" i="6902"/>
  <c r="H27" i="6902"/>
  <c r="H33" i="6902"/>
  <c r="C42" i="6902"/>
  <c r="C46" i="6902"/>
  <c r="H51" i="6902"/>
  <c r="H2" i="6902"/>
  <c r="H9" i="6902"/>
  <c r="H19" i="6902"/>
  <c r="H23" i="6902"/>
  <c r="C24" i="6902"/>
  <c r="B28" i="6902"/>
  <c r="H34" i="6902"/>
  <c r="H39" i="6902"/>
  <c r="H43" i="6902"/>
  <c r="H47" i="6902"/>
  <c r="H5" i="6902"/>
  <c r="H25" i="6902"/>
  <c r="H11" i="6902"/>
  <c r="H30" i="6902"/>
  <c r="H35" i="6902"/>
  <c r="C39" i="6902"/>
  <c r="C43" i="6902"/>
  <c r="C47" i="6902"/>
  <c r="H52" i="6902"/>
  <c r="H18" i="6902"/>
  <c r="H21" i="6902"/>
  <c r="C25" i="6902"/>
  <c r="H40" i="6902"/>
  <c r="H44" i="6902"/>
  <c r="H48" i="6902"/>
  <c r="H8" i="6902"/>
  <c r="C38" i="6902"/>
  <c r="H6" i="6902"/>
  <c r="H15" i="6902"/>
  <c r="H24" i="6902"/>
  <c r="H13" i="6902"/>
  <c r="H28" i="6902"/>
  <c r="H14" i="6902"/>
  <c r="H36" i="6902"/>
  <c r="C40" i="6902"/>
  <c r="C44" i="6902"/>
  <c r="C48" i="6902"/>
  <c r="H4" i="6902"/>
  <c r="H22" i="6902"/>
  <c r="C22" i="6902"/>
  <c r="C26" i="6902"/>
  <c r="H37" i="6902"/>
  <c r="H41" i="6902"/>
  <c r="H45" i="6902"/>
  <c r="H49" i="6902"/>
  <c r="H7" i="6902"/>
  <c r="H10" i="6902"/>
  <c r="H20" i="6902"/>
  <c r="H26" i="6902"/>
  <c r="H29" i="6902"/>
  <c r="H31" i="6902"/>
  <c r="C37" i="6902"/>
  <c r="C41" i="6902"/>
  <c r="C45" i="6902"/>
  <c r="C49" i="6902"/>
  <c r="H12" i="6902"/>
  <c r="H16" i="6902"/>
  <c r="H17" i="6902"/>
  <c r="C23" i="6902"/>
  <c r="B27" i="6902"/>
  <c r="H32" i="6902"/>
  <c r="H38" i="6902"/>
  <c r="H42" i="6902"/>
  <c r="H46" i="6902"/>
  <c r="H9" i="6900"/>
  <c r="H47" i="6900"/>
  <c r="H29" i="6900"/>
  <c r="H46" i="6900"/>
  <c r="H14" i="6900"/>
  <c r="H24" i="6900"/>
  <c r="C25" i="6900"/>
  <c r="H31" i="6900"/>
  <c r="C39" i="6900"/>
  <c r="C47" i="6900"/>
  <c r="H19" i="6900"/>
  <c r="C49" i="6900"/>
  <c r="H20" i="6900"/>
  <c r="H27" i="6900"/>
  <c r="H32" i="6900"/>
  <c r="H6" i="6900"/>
  <c r="H23" i="6900"/>
  <c r="H15" i="6900"/>
  <c r="C26" i="6900"/>
  <c r="H42" i="6900"/>
  <c r="H50" i="6900"/>
  <c r="C24" i="6900"/>
  <c r="C20" i="6900"/>
  <c r="H34" i="6900"/>
  <c r="H4" i="6900"/>
  <c r="H21" i="6900"/>
  <c r="C22" i="6900"/>
  <c r="H28" i="6900"/>
  <c r="H43" i="6900"/>
  <c r="H5" i="6900"/>
  <c r="H3" i="6900"/>
  <c r="H38" i="6900"/>
  <c r="H2" i="6900"/>
  <c r="H12" i="6900"/>
  <c r="H39" i="6900"/>
  <c r="H17" i="6900"/>
  <c r="C41" i="6900"/>
  <c r="H11" i="6900"/>
  <c r="H35" i="6900"/>
  <c r="H8" i="6900"/>
  <c r="H16" i="6900"/>
  <c r="H18" i="6900"/>
  <c r="H25" i="6900"/>
  <c r="B27" i="6900"/>
  <c r="C43" i="6900"/>
  <c r="H52" i="6900"/>
  <c r="H40" i="6900"/>
  <c r="H44" i="6900"/>
  <c r="H48" i="6900"/>
  <c r="H30" i="6900"/>
  <c r="H36" i="6900"/>
  <c r="C40" i="6900"/>
  <c r="C44" i="6900"/>
  <c r="C48" i="6900"/>
  <c r="H37" i="6900"/>
  <c r="H41" i="6900"/>
  <c r="H45" i="6900"/>
  <c r="H49" i="6900"/>
  <c r="H26" i="6900"/>
  <c r="H10" i="6900"/>
  <c r="H33" i="6900"/>
  <c r="C38" i="6900"/>
  <c r="C42" i="6900"/>
  <c r="C46" i="6900"/>
  <c r="P17" i="6898" l="1"/>
  <c r="P19" i="6898"/>
  <c r="C35" i="6898"/>
  <c r="B30" i="6898"/>
  <c r="C21" i="6898"/>
  <c r="B20" i="6898"/>
  <c r="H23" i="6898" s="1"/>
  <c r="B19" i="6898"/>
  <c r="B29" i="6898" s="1"/>
  <c r="B18" i="6898"/>
  <c r="C18" i="6898" s="1"/>
  <c r="C17" i="6898"/>
  <c r="C16" i="6898"/>
  <c r="C15" i="6898"/>
  <c r="B13" i="6898"/>
  <c r="P12" i="6898"/>
  <c r="B12" i="6898"/>
  <c r="P11" i="6898"/>
  <c r="B11" i="6898"/>
  <c r="B14" i="6898" s="1"/>
  <c r="P10" i="6898"/>
  <c r="C10" i="6898"/>
  <c r="C9" i="6898"/>
  <c r="C8" i="6898"/>
  <c r="P7" i="6898"/>
  <c r="B7" i="6898"/>
  <c r="P6" i="6898"/>
  <c r="P5" i="6898"/>
  <c r="B5" i="6898"/>
  <c r="P4" i="6898"/>
  <c r="P3" i="6898"/>
  <c r="P2" i="6898"/>
  <c r="P18" i="6896"/>
  <c r="P19" i="6896"/>
  <c r="C35" i="6896"/>
  <c r="B30" i="6896"/>
  <c r="C21" i="6896"/>
  <c r="B20" i="6896"/>
  <c r="H51" i="6896" s="1"/>
  <c r="B19" i="6896"/>
  <c r="B29" i="6896" s="1"/>
  <c r="B18" i="6896"/>
  <c r="C18" i="6896" s="1"/>
  <c r="C17" i="6896"/>
  <c r="C16" i="6896"/>
  <c r="C15" i="6896"/>
  <c r="B13" i="6896"/>
  <c r="P12" i="6896"/>
  <c r="B12" i="6896"/>
  <c r="P11" i="6896"/>
  <c r="B11" i="6896"/>
  <c r="P10" i="6896"/>
  <c r="C10" i="6896"/>
  <c r="C9" i="6896"/>
  <c r="C8" i="6896"/>
  <c r="P7" i="6896"/>
  <c r="B7" i="6896"/>
  <c r="P6" i="6896"/>
  <c r="P5" i="6896"/>
  <c r="B5" i="6896"/>
  <c r="P4" i="6896"/>
  <c r="P3" i="6896"/>
  <c r="P2" i="6896"/>
  <c r="P22" i="6892"/>
  <c r="P20" i="6894"/>
  <c r="P17" i="6894"/>
  <c r="C35" i="6894"/>
  <c r="B30" i="6894"/>
  <c r="C21" i="6894"/>
  <c r="B20" i="6894"/>
  <c r="H15" i="6894" s="1"/>
  <c r="B19" i="6894"/>
  <c r="B29" i="6894" s="1"/>
  <c r="B18" i="6894"/>
  <c r="C18" i="6894" s="1"/>
  <c r="C17" i="6894"/>
  <c r="C16" i="6894"/>
  <c r="C15" i="6894"/>
  <c r="B13" i="6894"/>
  <c r="P12" i="6894"/>
  <c r="B12" i="6894"/>
  <c r="P11" i="6894"/>
  <c r="B11" i="6894"/>
  <c r="P10" i="6894"/>
  <c r="C10" i="6894"/>
  <c r="C9" i="6894"/>
  <c r="C8" i="6894"/>
  <c r="P7" i="6894"/>
  <c r="B7" i="6894"/>
  <c r="P6" i="6894"/>
  <c r="P5" i="6894"/>
  <c r="B5" i="6894"/>
  <c r="P4" i="6894"/>
  <c r="P3" i="6894"/>
  <c r="P2" i="6894"/>
  <c r="P20" i="6892"/>
  <c r="P18" i="6892"/>
  <c r="C35" i="6892"/>
  <c r="B30" i="6892"/>
  <c r="C21" i="6892"/>
  <c r="B20" i="6892"/>
  <c r="H17" i="6892" s="1"/>
  <c r="B19" i="6892"/>
  <c r="B29" i="6892" s="1"/>
  <c r="B18" i="6892"/>
  <c r="C18" i="6892" s="1"/>
  <c r="C17" i="6892"/>
  <c r="C16" i="6892"/>
  <c r="C15" i="6892"/>
  <c r="B13" i="6892"/>
  <c r="P12" i="6892"/>
  <c r="B12" i="6892"/>
  <c r="P11" i="6892"/>
  <c r="B11" i="6892"/>
  <c r="P10" i="6892"/>
  <c r="C10" i="6892"/>
  <c r="C9" i="6892"/>
  <c r="C8" i="6892"/>
  <c r="P7" i="6892"/>
  <c r="B7" i="6892"/>
  <c r="P6" i="6892"/>
  <c r="P5" i="6892"/>
  <c r="B5" i="6892"/>
  <c r="P4" i="6892"/>
  <c r="P3" i="6892"/>
  <c r="P2" i="6892"/>
  <c r="B14" i="6894" l="1"/>
  <c r="B14" i="6896"/>
  <c r="C19" i="6896"/>
  <c r="C19" i="6894"/>
  <c r="B14" i="6892"/>
  <c r="C19" i="6898"/>
  <c r="C20" i="6898"/>
  <c r="H2" i="6898"/>
  <c r="H8" i="6898"/>
  <c r="H33" i="6898"/>
  <c r="C46" i="6898"/>
  <c r="H11" i="6898"/>
  <c r="H16" i="6898"/>
  <c r="H27" i="6898"/>
  <c r="H17" i="6898"/>
  <c r="H31" i="6898"/>
  <c r="H35" i="6898"/>
  <c r="C39" i="6898"/>
  <c r="C43" i="6898"/>
  <c r="C47" i="6898"/>
  <c r="H52" i="6898"/>
  <c r="H21" i="6898"/>
  <c r="H24" i="6898"/>
  <c r="C25" i="6898"/>
  <c r="H40" i="6898"/>
  <c r="H44" i="6898"/>
  <c r="H48" i="6898"/>
  <c r="H7" i="6898"/>
  <c r="H30" i="6898"/>
  <c r="C22" i="6898"/>
  <c r="H49" i="6898"/>
  <c r="H12" i="6898"/>
  <c r="H36" i="6898"/>
  <c r="C44" i="6898"/>
  <c r="H4" i="6898"/>
  <c r="H22" i="6898"/>
  <c r="H9" i="6898"/>
  <c r="H26" i="6898"/>
  <c r="H18" i="6898"/>
  <c r="C40" i="6898"/>
  <c r="C48" i="6898"/>
  <c r="H25" i="6898"/>
  <c r="C26" i="6898"/>
  <c r="H37" i="6898"/>
  <c r="H41" i="6898"/>
  <c r="H45" i="6898"/>
  <c r="H6" i="6898"/>
  <c r="H13" i="6898"/>
  <c r="H28" i="6898"/>
  <c r="H19" i="6898"/>
  <c r="H32" i="6898"/>
  <c r="C37" i="6898"/>
  <c r="C41" i="6898"/>
  <c r="C45" i="6898"/>
  <c r="C49" i="6898"/>
  <c r="H10" i="6898"/>
  <c r="H15" i="6898"/>
  <c r="H14" i="6898"/>
  <c r="C23" i="6898"/>
  <c r="B27" i="6898"/>
  <c r="H20" i="6898"/>
  <c r="H38" i="6898"/>
  <c r="H42" i="6898"/>
  <c r="H46" i="6898"/>
  <c r="H50" i="6898"/>
  <c r="C42" i="6898"/>
  <c r="C24" i="6898"/>
  <c r="B28" i="6898"/>
  <c r="H34" i="6898"/>
  <c r="H39" i="6898"/>
  <c r="H43" i="6898"/>
  <c r="H47" i="6898"/>
  <c r="H5" i="6898"/>
  <c r="H29" i="6898"/>
  <c r="C38" i="6898"/>
  <c r="H51" i="6898"/>
  <c r="H3" i="6898"/>
  <c r="C20" i="6896"/>
  <c r="H3" i="6896"/>
  <c r="H8" i="6896"/>
  <c r="H34" i="6896"/>
  <c r="C42" i="6896"/>
  <c r="C46" i="6896"/>
  <c r="H17" i="6896"/>
  <c r="H2" i="6896"/>
  <c r="H9" i="6896"/>
  <c r="H24" i="6896"/>
  <c r="H19" i="6896"/>
  <c r="C24" i="6896"/>
  <c r="B28" i="6896"/>
  <c r="H35" i="6896"/>
  <c r="H40" i="6896"/>
  <c r="H44" i="6896"/>
  <c r="H48" i="6896"/>
  <c r="H5" i="6896"/>
  <c r="H28" i="6896"/>
  <c r="H13" i="6896"/>
  <c r="H31" i="6896"/>
  <c r="H36" i="6896"/>
  <c r="C39" i="6896"/>
  <c r="C43" i="6896"/>
  <c r="C47" i="6896"/>
  <c r="H52" i="6896"/>
  <c r="H18" i="6896"/>
  <c r="H25" i="6896"/>
  <c r="C25" i="6896"/>
  <c r="H41" i="6896"/>
  <c r="H45" i="6896"/>
  <c r="H49" i="6896"/>
  <c r="H20" i="6896"/>
  <c r="C38" i="6896"/>
  <c r="H7" i="6896"/>
  <c r="H11" i="6896"/>
  <c r="H27" i="6896"/>
  <c r="H15" i="6896"/>
  <c r="H30" i="6896"/>
  <c r="H22" i="6896"/>
  <c r="H37" i="6896"/>
  <c r="C40" i="6896"/>
  <c r="C44" i="6896"/>
  <c r="C48" i="6896"/>
  <c r="H4" i="6896"/>
  <c r="H26" i="6896"/>
  <c r="C22" i="6896"/>
  <c r="C26" i="6896"/>
  <c r="H38" i="6896"/>
  <c r="H42" i="6896"/>
  <c r="H46" i="6896"/>
  <c r="H50" i="6896"/>
  <c r="H6" i="6896"/>
  <c r="H12" i="6896"/>
  <c r="H23" i="6896"/>
  <c r="H29" i="6896"/>
  <c r="H21" i="6896"/>
  <c r="H32" i="6896"/>
  <c r="C37" i="6896"/>
  <c r="C41" i="6896"/>
  <c r="C45" i="6896"/>
  <c r="C49" i="6896"/>
  <c r="H10" i="6896"/>
  <c r="H16" i="6896"/>
  <c r="H14" i="6896"/>
  <c r="C23" i="6896"/>
  <c r="B27" i="6896"/>
  <c r="H33" i="6896"/>
  <c r="H39" i="6896"/>
  <c r="H43" i="6896"/>
  <c r="H47" i="6896"/>
  <c r="C19" i="6892"/>
  <c r="H17" i="6894"/>
  <c r="B28" i="6894"/>
  <c r="H18" i="6894"/>
  <c r="C23" i="6894"/>
  <c r="H11" i="6894"/>
  <c r="H42" i="6894"/>
  <c r="H48" i="6894"/>
  <c r="C47" i="6894"/>
  <c r="H20" i="6894"/>
  <c r="H16" i="6894"/>
  <c r="H38" i="6894"/>
  <c r="H44" i="6894"/>
  <c r="H49" i="6894"/>
  <c r="H37" i="6894"/>
  <c r="H21" i="6894"/>
  <c r="H29" i="6894"/>
  <c r="H39" i="6894"/>
  <c r="C43" i="6894"/>
  <c r="C48" i="6894"/>
  <c r="H24" i="6894"/>
  <c r="H2" i="6894"/>
  <c r="H50" i="6894"/>
  <c r="H3" i="6894"/>
  <c r="C20" i="6894"/>
  <c r="C25" i="6894"/>
  <c r="H19" i="6894"/>
  <c r="C26" i="6894"/>
  <c r="C39" i="6894"/>
  <c r="C44" i="6894"/>
  <c r="H51" i="6894"/>
  <c r="C24" i="6894"/>
  <c r="H8" i="6894"/>
  <c r="H27" i="6894"/>
  <c r="H25" i="6894"/>
  <c r="H40" i="6894"/>
  <c r="H45" i="6894"/>
  <c r="H7" i="6894"/>
  <c r="H9" i="6894"/>
  <c r="H22" i="6894"/>
  <c r="H14" i="6894"/>
  <c r="H33" i="6894"/>
  <c r="H4" i="6894"/>
  <c r="H28" i="6894"/>
  <c r="C22" i="6894"/>
  <c r="H32" i="6894"/>
  <c r="H35" i="6894"/>
  <c r="H41" i="6894"/>
  <c r="H46" i="6894"/>
  <c r="H5" i="6894"/>
  <c r="H43" i="6894"/>
  <c r="H13" i="6894"/>
  <c r="H31" i="6894"/>
  <c r="H6" i="6894"/>
  <c r="H12" i="6894"/>
  <c r="H26" i="6894"/>
  <c r="H30" i="6894"/>
  <c r="B27" i="6894"/>
  <c r="H36" i="6894"/>
  <c r="C40" i="6894"/>
  <c r="H47" i="6894"/>
  <c r="H52" i="6894"/>
  <c r="C37" i="6894"/>
  <c r="C41" i="6894"/>
  <c r="C45" i="6894"/>
  <c r="C49" i="6894"/>
  <c r="H23" i="6894"/>
  <c r="H10" i="6894"/>
  <c r="H34" i="6894"/>
  <c r="C38" i="6894"/>
  <c r="C42" i="6894"/>
  <c r="C46" i="6894"/>
  <c r="H36" i="6892"/>
  <c r="H37" i="6892"/>
  <c r="H9" i="6892"/>
  <c r="C23" i="6892"/>
  <c r="B27" i="6892"/>
  <c r="H11" i="6892"/>
  <c r="C24" i="6892"/>
  <c r="H44" i="6892"/>
  <c r="H13" i="6892"/>
  <c r="H48" i="6892"/>
  <c r="C43" i="6892"/>
  <c r="H47" i="6892"/>
  <c r="H3" i="6892"/>
  <c r="H31" i="6892"/>
  <c r="H15" i="6892"/>
  <c r="H28" i="6892"/>
  <c r="C47" i="6892"/>
  <c r="H16" i="6892"/>
  <c r="B28" i="6892"/>
  <c r="H2" i="6892"/>
  <c r="H51" i="6892"/>
  <c r="C20" i="6892"/>
  <c r="H27" i="6892"/>
  <c r="H5" i="6892"/>
  <c r="H40" i="6892"/>
  <c r="H41" i="6892"/>
  <c r="H19" i="6892"/>
  <c r="H32" i="6892"/>
  <c r="C39" i="6892"/>
  <c r="H21" i="6892"/>
  <c r="H43" i="6892"/>
  <c r="H52" i="6892"/>
  <c r="H49" i="6892"/>
  <c r="C25" i="6892"/>
  <c r="H42" i="6892"/>
  <c r="H7" i="6892"/>
  <c r="H26" i="6892"/>
  <c r="H14" i="6892"/>
  <c r="H18" i="6892"/>
  <c r="H38" i="6892"/>
  <c r="C40" i="6892"/>
  <c r="C48" i="6892"/>
  <c r="H4" i="6892"/>
  <c r="H24" i="6892"/>
  <c r="C22" i="6892"/>
  <c r="C26" i="6892"/>
  <c r="H39" i="6892"/>
  <c r="H29" i="6892"/>
  <c r="H46" i="6892"/>
  <c r="H50" i="6892"/>
  <c r="H20" i="6892"/>
  <c r="H45" i="6892"/>
  <c r="H10" i="6892"/>
  <c r="H34" i="6892"/>
  <c r="C44" i="6892"/>
  <c r="H6" i="6892"/>
  <c r="H12" i="6892"/>
  <c r="H30" i="6892"/>
  <c r="H33" i="6892"/>
  <c r="H23" i="6892"/>
  <c r="H25" i="6892"/>
  <c r="C37" i="6892"/>
  <c r="C41" i="6892"/>
  <c r="C45" i="6892"/>
  <c r="C49" i="6892"/>
  <c r="H22" i="6892"/>
  <c r="H8" i="6892"/>
  <c r="H35" i="6892"/>
  <c r="C38" i="6892"/>
  <c r="C42" i="6892"/>
  <c r="C46" i="6892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<sst xmlns="http://schemas.openxmlformats.org/spreadsheetml/2006/main" count="2975" uniqueCount="250">
  <si>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</si>
  <si>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</si>
  <si>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</si>
  <si>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</si>
  <si>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</si>
  <si>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</si>
  <si>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</si>
  <si>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</si>
  <si>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</si>
  <si>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</si>
  <si>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</si>
  <si>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</si>
  <si>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</si>
  <si>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</si>
  <si>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</si>
  <si>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</si>
  <si>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</si>
  <si>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</si>
  <si>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</si>
  <si>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</si>
  <si>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</si>
  <si>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</si>
  <si>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</si>
  <si>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</si>
  <si>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</si>
  <si>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</si>
  <si>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</si>
  <si>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</si>
  <si>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</si>
  <si>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</si>
  <si>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</si>
  <si>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</si>
  <si>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</si>
  <si>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</si>
  <si>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</si>
  <si>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</si>
  <si>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</si>
  <si>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</si>
  <si>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</si>
  <si>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</si>
  <si>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</si>
  <si>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</si>
  <si>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</si>
  <si>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</si>
  <si>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</si>
  <si>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</si>
  <si>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</si>
  <si>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</si>
  <si>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</si>
  <si>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</si>
  <si>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</si>
  <si>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</si>
  <si>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</si>
  <si>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</si>
  <si>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</si>
  <si>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</si>
  <si>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</si>
  <si>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</si>
  <si>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</si>
  <si>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</si>
  <si>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</si>
  <si>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</si>
  <si>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</si>
  <si>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</si>
  <si>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</si>
  <si>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</si>
  <si>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</si>
  <si>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</si>
  <si>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</si>
  <si>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</si>
  <si>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</si>
  <si>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</si>
  <si>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</si>
  <si>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</si>
  <si>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</si>
  <si>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</si>
  <si>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</si>
  <si>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</si>
  <si>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</si>
  <si>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</si>
  <si>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</si>
  <si>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</si>
  <si>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</si>
  <si>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</si>
  <si>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</si>
  <si>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</si>
  <si>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</si>
  <si>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</si>
  <si>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</si>
  <si>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</si>
  <si>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</si>
  <si>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</si>
  <si>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</si>
  <si>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</si>
  <si>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</si>
  <si>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</si>
  <si>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</si>
  <si>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</si>
  <si>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</si>
  <si>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</si>
  <si>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</si>
  <si>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</si>
  <si>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</si>
  <si>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</si>
  <si>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</si>
  <si>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</si>
  <si>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</si>
  <si>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</si>
  <si>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</si>
  <si>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</si>
  <si>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</si>
  <si>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</si>
  <si>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</si>
  <si>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</si>
  <si>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</si>
  <si>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</si>
  <si>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</si>
  <si>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</si>
  <si>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</si>
  <si>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</si>
  <si>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</si>
  <si>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</si>
  <si>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</si>
  <si>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</si>
  <si>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</si>
  <si>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</si>
  <si>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</si>
  <si>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</si>
  <si>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</si>
  <si>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</si>
  <si>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</si>
  <si>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</si>
  <si>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</si>
  <si>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</si>
  <si>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</si>
  <si>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</si>
  <si>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</si>
  <si>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</si>
  <si>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</si>
  <si>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</si>
  <si>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</si>
  <si>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</si>
  <si>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</si>
  <si>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</si>
  <si>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</si>
  <si>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</si>
  <si>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</si>
  <si>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</si>
  <si>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</si>
  <si>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</si>
  <si>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</si>
  <si>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</si>
  <si>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</si>
  <si>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</si>
  <si>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</si>
  <si>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</si>
  <si>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</si>
  <si>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</si>
  <si>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</si>
  <si>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</si>
  <si>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</si>
  <si>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</si>
  <si>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</si>
  <si>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</si>
  <si>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</si>
  <si>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</si>
  <si>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</si>
  <si>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</si>
  <si>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</si>
  <si>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</si>
  <si>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</si>
  <si>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</si>
  <si>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</si>
  <si>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</si>
  <si>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</si>
  <si>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</si>
  <si>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</si>
  <si>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</si>
  <si>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</si>
  <si>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</si>
  <si>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</si>
  <si>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</si>
  <si>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</si>
  <si>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</si>
  <si>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</si>
  <si>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</si>
  <si>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</si>
  <si>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</si>
  <si>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</si>
  <si>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</si>
  <si>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</si>
  <si>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</si>
  <si>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</si>
  <si>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</si>
  <si>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</si>
  <si>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</si>
  <si>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</si>
  <si>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</si>
  <si>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</si>
  <si>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</si>
  <si>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</si>
  <si>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</si>
  <si>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</si>
  <si>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</si>
  <si>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</si>
  <si>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</si>
  <si>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</si>
  <si>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</si>
  <si>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</si>
  <si>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</si>
  <si>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</si>
  <si>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</si>
  <si>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</si>
  <si>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</si>
  <si>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</si>
  <si>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</si>
  <si>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</si>
  <si>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</si>
  <si>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</si>
  <si>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</si>
  <si>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</si>
  <si>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</si>
  <si>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</si>
  <si>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</si>
  <si>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</si>
  <si>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わさび</t>
    <phoneticPr fontId="1"/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</si>
  <si>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</si>
  <si>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</si>
  <si>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</si>
  <si>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</si>
  <si>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</si>
  <si>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</si>
  <si>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</si>
  <si>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</si>
  <si>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</si>
  <si>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</si>
  <si>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</si>
  <si>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</si>
  <si>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</si>
  <si>
    <t>2020-11-09@0.xlsm</t>
  </si>
  <si>
    <t>Sheet5</t>
  </si>
  <si>
    <t>2020-11-10@0.xlsm</t>
  </si>
  <si>
    <t>2020-11-11@0.xlsm</t>
  </si>
  <si>
    <t>2020-11-12@0.xlsm</t>
  </si>
  <si>
    <t>2020-11-14@0.xlsm</t>
  </si>
  <si>
    <t>Sheet7</t>
  </si>
  <si>
    <t>Sheet6</t>
  </si>
  <si>
    <t>2020-11-15@0.xlsm</t>
  </si>
  <si>
    <t>2020-11-17@0.xlsm</t>
  </si>
  <si>
    <t>2020-11-18@0.xlsm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</si>
</sst>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全体!$K$2:$K$278</c:f>
              <c:numCache>
                <c:formatCode>General</c:formatCode>
                <c:ptCount val="2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</c:numCache>
            </c:numRef>
          </c:xVal>
          <c:yVal>
            <c:numRef>
              <c:f>全体!$L$2:$L$278</c:f>
              <c:numCache>
                <c:formatCode>\+0.0;\-0.0;\±0</c:formatCode>
                <c:ptCount val="277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  <c:pt idx="187">
                  <c:v>-12.799999999999986</c:v>
                </c:pt>
                <c:pt idx="188">
                  <c:v>29.400000000000016</c:v>
                </c:pt>
                <c:pt idx="189">
                  <c:v>1.7763568394002505E-14</c:v>
                </c:pt>
                <c:pt idx="190">
                  <c:v>43.90000000000002</c:v>
                </c:pt>
                <c:pt idx="191">
                  <c:v>-1.8999999999999773</c:v>
                </c:pt>
                <c:pt idx="192">
                  <c:v>2.2648549702353193E-14</c:v>
                </c:pt>
                <c:pt idx="193">
                  <c:v>4.1000000000000227</c:v>
                </c:pt>
                <c:pt idx="194">
                  <c:v>-30.999999999999979</c:v>
                </c:pt>
                <c:pt idx="195">
                  <c:v>2.1316282072803006E-14</c:v>
                </c:pt>
                <c:pt idx="196">
                  <c:v>-18.399999999999977</c:v>
                </c:pt>
                <c:pt idx="197">
                  <c:v>-20.199999999999978</c:v>
                </c:pt>
                <c:pt idx="198">
                  <c:v>2.1316282072803006E-14</c:v>
                </c:pt>
                <c:pt idx="199">
                  <c:v>-2.3999999999999786</c:v>
                </c:pt>
                <c:pt idx="200">
                  <c:v>-32.699999999999982</c:v>
                </c:pt>
                <c:pt idx="201">
                  <c:v>2.1316282072803006E-14</c:v>
                </c:pt>
                <c:pt idx="202">
                  <c:v>-21.699999999999978</c:v>
                </c:pt>
                <c:pt idx="203">
                  <c:v>8.4000000000000234</c:v>
                </c:pt>
                <c:pt idx="204">
                  <c:v>2.3092638912203256E-14</c:v>
                </c:pt>
                <c:pt idx="205">
                  <c:v>44.000000000000021</c:v>
                </c:pt>
                <c:pt idx="206">
                  <c:v>3.3000000000000185</c:v>
                </c:pt>
                <c:pt idx="207">
                  <c:v>1.865174681370263E-14</c:v>
                </c:pt>
                <c:pt idx="208">
                  <c:v>-6.1999999999999815</c:v>
                </c:pt>
                <c:pt idx="209">
                  <c:v>-31.899999999999981</c:v>
                </c:pt>
                <c:pt idx="210">
                  <c:v>1.7763568394002505E-14</c:v>
                </c:pt>
                <c:pt idx="211">
                  <c:v>-0.89999999999998226</c:v>
                </c:pt>
                <c:pt idx="212">
                  <c:v>39.800000000000018</c:v>
                </c:pt>
                <c:pt idx="213">
                  <c:v>2.1316282072803006E-14</c:v>
                </c:pt>
                <c:pt idx="214">
                  <c:v>-53.899999999999977</c:v>
                </c:pt>
                <c:pt idx="215">
                  <c:v>-1.6999999999999744</c:v>
                </c:pt>
                <c:pt idx="216">
                  <c:v>2.55351295663786E-14</c:v>
                </c:pt>
                <c:pt idx="217">
                  <c:v>-18.399999999999974</c:v>
                </c:pt>
                <c:pt idx="218">
                  <c:v>-16.799999999999972</c:v>
                </c:pt>
                <c:pt idx="219">
                  <c:v>2.8421709430404007E-14</c:v>
                </c:pt>
                <c:pt idx="220">
                  <c:v>36.200000000000031</c:v>
                </c:pt>
                <c:pt idx="221">
                  <c:v>34.800000000000033</c:v>
                </c:pt>
                <c:pt idx="222">
                  <c:v>3.5527136788005009E-14</c:v>
                </c:pt>
                <c:pt idx="223">
                  <c:v>-24.499999999999964</c:v>
                </c:pt>
                <c:pt idx="224">
                  <c:v>-0.59999999999996589</c:v>
                </c:pt>
                <c:pt idx="225">
                  <c:v>3.4083846855992306E-14</c:v>
                </c:pt>
                <c:pt idx="226">
                  <c:v>35.500000000000036</c:v>
                </c:pt>
                <c:pt idx="227">
                  <c:v>10.000000000000036</c:v>
                </c:pt>
                <c:pt idx="228">
                  <c:v>3.5527136788005009E-14</c:v>
                </c:pt>
                <c:pt idx="229">
                  <c:v>14.300000000000036</c:v>
                </c:pt>
                <c:pt idx="230">
                  <c:v>-3.3999999999999631</c:v>
                </c:pt>
                <c:pt idx="231">
                  <c:v>3.6859404417555197E-14</c:v>
                </c:pt>
                <c:pt idx="232">
                  <c:v>-22.699999999999964</c:v>
                </c:pt>
                <c:pt idx="233">
                  <c:v>12.300000000000036</c:v>
                </c:pt>
                <c:pt idx="234">
                  <c:v>3.5527136788005009E-14</c:v>
                </c:pt>
                <c:pt idx="235">
                  <c:v>-5.5999999999999641</c:v>
                </c:pt>
                <c:pt idx="236">
                  <c:v>-22.199999999999967</c:v>
                </c:pt>
                <c:pt idx="237">
                  <c:v>3.1974423109204508E-14</c:v>
                </c:pt>
                <c:pt idx="238">
                  <c:v>50.900000000000034</c:v>
                </c:pt>
                <c:pt idx="239">
                  <c:v>-1.9999999999999645</c:v>
                </c:pt>
                <c:pt idx="240">
                  <c:v>3.5527136788005009E-14</c:v>
                </c:pt>
                <c:pt idx="241">
                  <c:v>-25.999999999999964</c:v>
                </c:pt>
                <c:pt idx="242">
                  <c:v>-4.4999999999999645</c:v>
                </c:pt>
                <c:pt idx="243">
                  <c:v>3.5527136788005009E-14</c:v>
                </c:pt>
                <c:pt idx="244">
                  <c:v>-40.699999999999967</c:v>
                </c:pt>
                <c:pt idx="245">
                  <c:v>-4.1999999999999673</c:v>
                </c:pt>
                <c:pt idx="246">
                  <c:v>3.2862601528904634E-14</c:v>
                </c:pt>
                <c:pt idx="247">
                  <c:v>4.700000000000033</c:v>
                </c:pt>
                <c:pt idx="248">
                  <c:v>44.60000000000003</c:v>
                </c:pt>
                <c:pt idx="249">
                  <c:v>2.8421709430404007E-14</c:v>
                </c:pt>
                <c:pt idx="250">
                  <c:v>15.400000000000029</c:v>
                </c:pt>
                <c:pt idx="251">
                  <c:v>17.800000000000029</c:v>
                </c:pt>
                <c:pt idx="252">
                  <c:v>2.8421709430404007E-14</c:v>
                </c:pt>
                <c:pt idx="253">
                  <c:v>5.1000000000000281</c:v>
                </c:pt>
                <c:pt idx="254">
                  <c:v>22.900000000000027</c:v>
                </c:pt>
                <c:pt idx="255">
                  <c:v>2.8421709430404007E-14</c:v>
                </c:pt>
                <c:pt idx="256">
                  <c:v>-11.499999999999972</c:v>
                </c:pt>
                <c:pt idx="257">
                  <c:v>-0.49999999999997158</c:v>
                </c:pt>
                <c:pt idx="258">
                  <c:v>2.8421709430404007E-14</c:v>
                </c:pt>
                <c:pt idx="259">
                  <c:v>-5.0999999999999712</c:v>
                </c:pt>
                <c:pt idx="260">
                  <c:v>45.300000000000026</c:v>
                </c:pt>
                <c:pt idx="261">
                  <c:v>2.8421709430404007E-14</c:v>
                </c:pt>
                <c:pt idx="262">
                  <c:v>-6.8999999999999719</c:v>
                </c:pt>
                <c:pt idx="263">
                  <c:v>18.800000000000026</c:v>
                </c:pt>
                <c:pt idx="264">
                  <c:v>2.4868995751603507E-14</c:v>
                </c:pt>
                <c:pt idx="265">
                  <c:v>-19.299999999999976</c:v>
                </c:pt>
                <c:pt idx="266">
                  <c:v>-17.699999999999974</c:v>
                </c:pt>
                <c:pt idx="267">
                  <c:v>2.4868995751603507E-14</c:v>
                </c:pt>
                <c:pt idx="268">
                  <c:v>0.70000000000002482</c:v>
                </c:pt>
                <c:pt idx="269">
                  <c:v>-36.299999999999976</c:v>
                </c:pt>
                <c:pt idx="270">
                  <c:v>2.1316282072803006E-14</c:v>
                </c:pt>
                <c:pt idx="271">
                  <c:v>12.500000000000021</c:v>
                </c:pt>
                <c:pt idx="272">
                  <c:v>-24.499999999999979</c:v>
                </c:pt>
                <c:pt idx="273">
                  <c:v>2.1316282072803006E-14</c:v>
                </c:pt>
                <c:pt idx="274">
                  <c:v>8.7000000000000206</c:v>
                </c:pt>
                <c:pt idx="275">
                  <c:v>-21.999999999999979</c:v>
                </c:pt>
                <c:pt idx="276">
                  <c:v>2.1316282072803006E-14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0B-4708-88E3-40EE9FF68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-39.855072463768117</c:v>
                </c:pt>
                <c:pt idx="1">
                  <c:v>41.198501872659179</c:v>
                </c:pt>
                <c:pt idx="2">
                  <c:v>-22.222222222222221</c:v>
                </c:pt>
                <c:pt idx="3">
                  <c:v>-7.7519379844961236</c:v>
                </c:pt>
                <c:pt idx="4">
                  <c:v>21.09704641350211</c:v>
                </c:pt>
                <c:pt idx="5">
                  <c:v>14.925373134328359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F4-494D-A825-E26873BF6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59</c:v>
                </c:pt>
                <c:pt idx="1">
                  <c:v>128</c:v>
                </c:pt>
                <c:pt idx="2">
                  <c:v>134</c:v>
                </c:pt>
                <c:pt idx="3">
                  <c:v>126</c:v>
                </c:pt>
                <c:pt idx="4">
                  <c:v>95</c:v>
                </c:pt>
                <c:pt idx="5">
                  <c:v>63</c:v>
                </c:pt>
                <c:pt idx="6">
                  <c:v>33</c:v>
                </c:pt>
                <c:pt idx="7">
                  <c:v>20</c:v>
                </c:pt>
                <c:pt idx="8">
                  <c:v>13</c:v>
                </c:pt>
                <c:pt idx="9">
                  <c:v>8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76-4616-91A6-913E7EB78A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全体!$K$2:$K$278</c:f>
              <c:numCache>
                <c:formatCode>General</c:formatCode>
                <c:ptCount val="2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</c:numCache>
            </c:numRef>
          </c:xVal>
          <c:yVal>
            <c:numRef>
              <c:f>全体!$M$2:$M$278</c:f>
              <c:numCache>
                <c:formatCode>0</c:formatCode>
                <c:ptCount val="277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  <c:pt idx="187">
                  <c:v>1597.6672105193993</c:v>
                </c:pt>
                <c:pt idx="188">
                  <c:v>1605.439207256283</c:v>
                </c:pt>
                <c:pt idx="189">
                  <c:v>1600.2765720127452</c:v>
                </c:pt>
                <c:pt idx="190">
                  <c:v>1608.3389125806686</c:v>
                </c:pt>
                <c:pt idx="191">
                  <c:v>1600.2068791051847</c:v>
                </c:pt>
                <c:pt idx="192">
                  <c:v>1600.7096378305537</c:v>
                </c:pt>
                <c:pt idx="193">
                  <c:v>1601.6053800035704</c:v>
                </c:pt>
                <c:pt idx="194">
                  <c:v>1595.4397477235491</c:v>
                </c:pt>
                <c:pt idx="195">
                  <c:v>1601.2091092372077</c:v>
                </c:pt>
                <c:pt idx="196">
                  <c:v>1597.5598545817845</c:v>
                </c:pt>
                <c:pt idx="197">
                  <c:v>1596.9204954542938</c:v>
                </c:pt>
                <c:pt idx="198">
                  <c:v>1600.2449724815681</c:v>
                </c:pt>
                <c:pt idx="199">
                  <c:v>1599.4815026466786</c:v>
                </c:pt>
                <c:pt idx="200">
                  <c:v>1593.7006136307984</c:v>
                </c:pt>
                <c:pt idx="201">
                  <c:v>1599.2944099490137</c:v>
                </c:pt>
                <c:pt idx="202">
                  <c:v>1595.4466434893195</c:v>
                </c:pt>
                <c:pt idx="203">
                  <c:v>1600.9459636283837</c:v>
                </c:pt>
                <c:pt idx="204">
                  <c:v>1599.4822878466134</c:v>
                </c:pt>
                <c:pt idx="205">
                  <c:v>1607.4593941195337</c:v>
                </c:pt>
                <c:pt idx="206">
                  <c:v>1600.1426377548166</c:v>
                </c:pt>
                <c:pt idx="207">
                  <c:v>1599.6017819282877</c:v>
                </c:pt>
                <c:pt idx="208">
                  <c:v>1598.458171236718</c:v>
                </c:pt>
                <c:pt idx="209">
                  <c:v>1593.8114222092977</c:v>
                </c:pt>
                <c:pt idx="210">
                  <c:v>1599.560553676042</c:v>
                </c:pt>
                <c:pt idx="211">
                  <c:v>1599.3711903539856</c:v>
                </c:pt>
                <c:pt idx="212">
                  <c:v>1606.6709632118618</c:v>
                </c:pt>
                <c:pt idx="213">
                  <c:v>1599.4369374325906</c:v>
                </c:pt>
                <c:pt idx="214">
                  <c:v>1589.4923158079951</c:v>
                </c:pt>
                <c:pt idx="215">
                  <c:v>1598.705361913147</c:v>
                </c:pt>
                <c:pt idx="216">
                  <c:v>1598.7731297416681</c:v>
                </c:pt>
                <c:pt idx="217">
                  <c:v>1595.450490963218</c:v>
                </c:pt>
                <c:pt idx="218">
                  <c:v>1595.7477880174388</c:v>
                </c:pt>
                <c:pt idx="219">
                  <c:v>1598.7793012893342</c:v>
                </c:pt>
                <c:pt idx="220">
                  <c:v>1605.5306254815982</c:v>
                </c:pt>
                <c:pt idx="221">
                  <c:v>1605.4734417287086</c:v>
                </c:pt>
                <c:pt idx="222">
                  <c:v>1599.4046010783363</c:v>
                </c:pt>
                <c:pt idx="223">
                  <c:v>1595.0341734718663</c:v>
                </c:pt>
                <c:pt idx="224">
                  <c:v>1599.4019684310351</c:v>
                </c:pt>
                <c:pt idx="225">
                  <c:v>1599.5495566204488</c:v>
                </c:pt>
                <c:pt idx="226">
                  <c:v>1605.9782592807262</c:v>
                </c:pt>
                <c:pt idx="227">
                  <c:v>1601.3883897250419</c:v>
                </c:pt>
                <c:pt idx="228">
                  <c:v>1599.6160593866916</c:v>
                </c:pt>
                <c:pt idx="229">
                  <c:v>1602.4323630303716</c:v>
                </c:pt>
                <c:pt idx="230">
                  <c:v>1599.4717688521894</c:v>
                </c:pt>
                <c:pt idx="231">
                  <c:v>1600.3269382390763</c:v>
                </c:pt>
                <c:pt idx="232">
                  <c:v>1596.4789766096419</c:v>
                </c:pt>
                <c:pt idx="233">
                  <c:v>1603.040102749984</c:v>
                </c:pt>
                <c:pt idx="234">
                  <c:v>1601.0478621334842</c:v>
                </c:pt>
                <c:pt idx="235">
                  <c:v>1600.2675749606833</c:v>
                </c:pt>
                <c:pt idx="236">
                  <c:v>1597.5119695109192</c:v>
                </c:pt>
                <c:pt idx="237">
                  <c:v>1601.7568976938537</c:v>
                </c:pt>
                <c:pt idx="238">
                  <c:v>1611.1483563076906</c:v>
                </c:pt>
                <c:pt idx="239">
                  <c:v>1601.7994661698444</c:v>
                </c:pt>
                <c:pt idx="240">
                  <c:v>1602.3886693728255</c:v>
                </c:pt>
                <c:pt idx="241">
                  <c:v>1597.9223373565885</c:v>
                </c:pt>
                <c:pt idx="242">
                  <c:v>1602.032803332449</c:v>
                </c:pt>
                <c:pt idx="243">
                  <c:v>1603.0586065124544</c:v>
                </c:pt>
                <c:pt idx="244">
                  <c:v>1595.9422548733796</c:v>
                </c:pt>
                <c:pt idx="245">
                  <c:v>1602.7646013441392</c:v>
                </c:pt>
                <c:pt idx="246">
                  <c:v>1603.7320137360744</c:v>
                </c:pt>
                <c:pt idx="247">
                  <c:v>1604.783621653658</c:v>
                </c:pt>
                <c:pt idx="248">
                  <c:v>1612.1649199237361</c:v>
                </c:pt>
                <c:pt idx="249">
                  <c:v>1604.2919304041936</c:v>
                </c:pt>
                <c:pt idx="250">
                  <c:v>1607.1401788217686</c:v>
                </c:pt>
                <c:pt idx="251">
                  <c:v>1607.631337748838</c:v>
                </c:pt>
                <c:pt idx="252">
                  <c:v>1604.4835497223448</c:v>
                </c:pt>
                <c:pt idx="253">
                  <c:v>1605.4766484240108</c:v>
                </c:pt>
                <c:pt idx="254">
                  <c:v>1608.7497885334667</c:v>
                </c:pt>
                <c:pt idx="255">
                  <c:v>1604.6772898022659</c:v>
                </c:pt>
                <c:pt idx="256">
                  <c:v>1602.9392260634522</c:v>
                </c:pt>
                <c:pt idx="257">
                  <c:v>1605.2615907070715</c:v>
                </c:pt>
                <c:pt idx="258">
                  <c:v>1605.680021162829</c:v>
                </c:pt>
                <c:pt idx="259">
                  <c:v>1605.0879410358521</c:v>
                </c:pt>
                <c:pt idx="260">
                  <c:v>1614.4894133896369</c:v>
                </c:pt>
                <c:pt idx="261">
                  <c:v>1606.608476909299</c:v>
                </c:pt>
                <c:pt idx="262">
                  <c:v>1605.3508260478432</c:v>
                </c:pt>
                <c:pt idx="263">
                  <c:v>1609.9687210915561</c:v>
                </c:pt>
                <c:pt idx="264">
                  <c:v>1606.5489087650067</c:v>
                </c:pt>
                <c:pt idx="265">
                  <c:v>1602.9216153124166</c:v>
                </c:pt>
                <c:pt idx="266">
                  <c:v>1603.0780856205422</c:v>
                </c:pt>
                <c:pt idx="267">
                  <c:v>1606.131617106819</c:v>
                </c:pt>
                <c:pt idx="268">
                  <c:v>1606.3168274041782</c:v>
                </c:pt>
                <c:pt idx="269">
                  <c:v>1599.7149264397531</c:v>
                </c:pt>
                <c:pt idx="270">
                  <c:v>1606.3466368811146</c:v>
                </c:pt>
                <c:pt idx="271">
                  <c:v>1607.8505570598279</c:v>
                </c:pt>
                <c:pt idx="272">
                  <c:v>1600.435453717469</c:v>
                </c:pt>
                <c:pt idx="273">
                  <c:v>1604.1348409951643</c:v>
                </c:pt>
                <c:pt idx="274">
                  <c:v>1605.7720319491932</c:v>
                </c:pt>
                <c:pt idx="275">
                  <c:v>1600.3073997574979</c:v>
                </c:pt>
                <c:pt idx="276">
                  <c:v>1604.361555358953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A6-4DFC-BFB0-0AFEB650FA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だいち!$K$2:$K$78</c:f>
              <c:numCache>
                <c:formatCode>General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だいち!$L$2:$L$78</c:f>
              <c:numCache>
                <c:formatCode>\+0.0;\-0.0;\±0</c:formatCode>
                <c:ptCount val="77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  <c:pt idx="51">
                  <c:v>68.399999999999963</c:v>
                </c:pt>
                <c:pt idx="52">
                  <c:v>22.599999999999966</c:v>
                </c:pt>
                <c:pt idx="53">
                  <c:v>53.599999999999966</c:v>
                </c:pt>
                <c:pt idx="54">
                  <c:v>31.899999999999967</c:v>
                </c:pt>
                <c:pt idx="55">
                  <c:v>-8.8000000000000362</c:v>
                </c:pt>
                <c:pt idx="56">
                  <c:v>-34.500000000000036</c:v>
                </c:pt>
                <c:pt idx="57">
                  <c:v>-74.30000000000004</c:v>
                </c:pt>
                <c:pt idx="58">
                  <c:v>-72.700000000000045</c:v>
                </c:pt>
                <c:pt idx="59">
                  <c:v>-36.500000000000043</c:v>
                </c:pt>
                <c:pt idx="60">
                  <c:v>-35.900000000000041</c:v>
                </c:pt>
                <c:pt idx="61">
                  <c:v>-0.40000000000004121</c:v>
                </c:pt>
                <c:pt idx="62">
                  <c:v>-18.100000000000041</c:v>
                </c:pt>
                <c:pt idx="63">
                  <c:v>-40.80000000000004</c:v>
                </c:pt>
                <c:pt idx="64">
                  <c:v>-18.600000000000041</c:v>
                </c:pt>
                <c:pt idx="65">
                  <c:v>-71.500000000000043</c:v>
                </c:pt>
                <c:pt idx="66">
                  <c:v>-97.500000000000043</c:v>
                </c:pt>
                <c:pt idx="67">
                  <c:v>-93.30000000000004</c:v>
                </c:pt>
                <c:pt idx="68">
                  <c:v>-53.400000000000041</c:v>
                </c:pt>
                <c:pt idx="69">
                  <c:v>-38.000000000000043</c:v>
                </c:pt>
                <c:pt idx="70">
                  <c:v>-20.200000000000042</c:v>
                </c:pt>
                <c:pt idx="71">
                  <c:v>-31.700000000000042</c:v>
                </c:pt>
                <c:pt idx="72">
                  <c:v>18.699999999999957</c:v>
                </c:pt>
                <c:pt idx="73">
                  <c:v>11.799999999999956</c:v>
                </c:pt>
                <c:pt idx="74">
                  <c:v>-7.5000000000000444</c:v>
                </c:pt>
                <c:pt idx="75">
                  <c:v>28.799999999999955</c:v>
                </c:pt>
                <c:pt idx="76">
                  <c:v>50.799999999999955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35-4AB4-8653-8CA38B24F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-25</c:v>
                </c:pt>
                <c:pt idx="1">
                  <c:v>-1384.9315068493152</c:v>
                </c:pt>
                <c:pt idx="2">
                  <c:v>-662.16216216216219</c:v>
                </c:pt>
                <c:pt idx="3">
                  <c:v>658.33333333333337</c:v>
                </c:pt>
                <c:pt idx="4">
                  <c:v>171.21212121212122</c:v>
                </c:pt>
                <c:pt idx="5">
                  <c:v>128.57142857142858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D8-4B06-B451-88BB8D613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14</c:v>
                </c:pt>
                <c:pt idx="1">
                  <c:v>33</c:v>
                </c:pt>
                <c:pt idx="2">
                  <c:v>44</c:v>
                </c:pt>
                <c:pt idx="3">
                  <c:v>34</c:v>
                </c:pt>
                <c:pt idx="4">
                  <c:v>34</c:v>
                </c:pt>
                <c:pt idx="5">
                  <c:v>23</c:v>
                </c:pt>
                <c:pt idx="6">
                  <c:v>8</c:v>
                </c:pt>
                <c:pt idx="7">
                  <c:v>2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A9-4490-9EDD-78EBFE47F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だいち!$K$2:$K$78</c:f>
              <c:numCache>
                <c:formatCode>General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だいち!$M$2:$M$78</c:f>
              <c:numCache>
                <c:formatCode>0</c:formatCode>
                <c:ptCount val="77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  <c:pt idx="51">
                  <c:v>1788.8356828322449</c:v>
                </c:pt>
                <c:pt idx="52">
                  <c:v>1779.6206687352515</c:v>
                </c:pt>
                <c:pt idx="53">
                  <c:v>1784.28494472284</c:v>
                </c:pt>
                <c:pt idx="54">
                  <c:v>1779.327235054503</c:v>
                </c:pt>
                <c:pt idx="55">
                  <c:v>1770.9792716441759</c:v>
                </c:pt>
                <c:pt idx="56">
                  <c:v>1765.2973960143108</c:v>
                </c:pt>
                <c:pt idx="57">
                  <c:v>1757.111611638225</c:v>
                </c:pt>
                <c:pt idx="58">
                  <c:v>1756.4389419683957</c:v>
                </c:pt>
                <c:pt idx="59">
                  <c:v>1762.2443083165854</c:v>
                </c:pt>
                <c:pt idx="60">
                  <c:v>1761.414842466686</c:v>
                </c:pt>
                <c:pt idx="61">
                  <c:v>1766.8723534118858</c:v>
                </c:pt>
                <c:pt idx="62">
                  <c:v>1762.9251192914144</c:v>
                </c:pt>
                <c:pt idx="63">
                  <c:v>1758.1015685756659</c:v>
                </c:pt>
                <c:pt idx="64">
                  <c:v>1761.3829591642118</c:v>
                </c:pt>
                <c:pt idx="65">
                  <c:v>1751.1326614092266</c:v>
                </c:pt>
                <c:pt idx="66">
                  <c:v>1745.7738654407713</c:v>
                </c:pt>
                <c:pt idx="67">
                  <c:v>1745.8832222481267</c:v>
                </c:pt>
                <c:pt idx="68">
                  <c:v>1752.417922914638</c:v>
                </c:pt>
                <c:pt idx="69">
                  <c:v>1754.3774153771501</c:v>
                </c:pt>
                <c:pt idx="70">
                  <c:v>1756.7571508848871</c:v>
                </c:pt>
                <c:pt idx="71">
                  <c:v>1754.1066079795778</c:v>
                </c:pt>
                <c:pt idx="72">
                  <c:v>1762.6139683317003</c:v>
                </c:pt>
                <c:pt idx="73">
                  <c:v>1760.4202845217101</c:v>
                </c:pt>
                <c:pt idx="74">
                  <c:v>1755.8697628145799</c:v>
                </c:pt>
                <c:pt idx="75">
                  <c:v>1761.5645442376924</c:v>
                </c:pt>
                <c:pt idx="76">
                  <c:v>1764.6511569722663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2D-4C09-9024-E8240E432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れんたろう!$L$2:$L$43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  <c:pt idx="20">
                  <c:v>-101.2</c:v>
                </c:pt>
                <c:pt idx="21">
                  <c:v>-99.3</c:v>
                </c:pt>
                <c:pt idx="22">
                  <c:v>-95.2</c:v>
                </c:pt>
                <c:pt idx="23">
                  <c:v>-75</c:v>
                </c:pt>
                <c:pt idx="24">
                  <c:v>-77.400000000000006</c:v>
                </c:pt>
                <c:pt idx="25">
                  <c:v>-83.600000000000009</c:v>
                </c:pt>
                <c:pt idx="26">
                  <c:v>-84.500000000000014</c:v>
                </c:pt>
                <c:pt idx="27">
                  <c:v>-32.300000000000011</c:v>
                </c:pt>
                <c:pt idx="28">
                  <c:v>-67.100000000000009</c:v>
                </c:pt>
                <c:pt idx="29">
                  <c:v>-63.70000000000001</c:v>
                </c:pt>
                <c:pt idx="30">
                  <c:v>-76.000000000000014</c:v>
                </c:pt>
                <c:pt idx="31">
                  <c:v>-92.600000000000023</c:v>
                </c:pt>
                <c:pt idx="32">
                  <c:v>-41.700000000000024</c:v>
                </c:pt>
                <c:pt idx="33">
                  <c:v>-37.200000000000024</c:v>
                </c:pt>
                <c:pt idx="34">
                  <c:v>-77.900000000000034</c:v>
                </c:pt>
                <c:pt idx="35">
                  <c:v>-73.200000000000031</c:v>
                </c:pt>
                <c:pt idx="36">
                  <c:v>-91.000000000000028</c:v>
                </c:pt>
                <c:pt idx="37">
                  <c:v>-85.900000000000034</c:v>
                </c:pt>
                <c:pt idx="38">
                  <c:v>-74.900000000000034</c:v>
                </c:pt>
                <c:pt idx="39">
                  <c:v>-120.20000000000003</c:v>
                </c:pt>
                <c:pt idx="40">
                  <c:v>-119.50000000000003</c:v>
                </c:pt>
                <c:pt idx="41">
                  <c:v>-150.20000000000002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94-4DA2-B22F-7768C8007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1743.9024390243903</c:v>
                </c:pt>
                <c:pt idx="1">
                  <c:v>-169.23076923076923</c:v>
                </c:pt>
                <c:pt idx="2">
                  <c:v>-464.10256410256409</c:v>
                </c:pt>
                <c:pt idx="3">
                  <c:v>-286.84210526315792</c:v>
                </c:pt>
                <c:pt idx="4">
                  <c:v>-31.428571428571427</c:v>
                </c:pt>
                <c:pt idx="5">
                  <c:v>-913.79310344827582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04-418F-BDE6-A24FEB13F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8</c:v>
                </c:pt>
                <c:pt idx="1">
                  <c:v>9</c:v>
                </c:pt>
                <c:pt idx="2">
                  <c:v>18</c:v>
                </c:pt>
                <c:pt idx="3">
                  <c:v>20</c:v>
                </c:pt>
                <c:pt idx="4">
                  <c:v>17</c:v>
                </c:pt>
                <c:pt idx="5">
                  <c:v>10</c:v>
                </c:pt>
                <c:pt idx="6">
                  <c:v>6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1-43D6-BC5F-ED584B7A3A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れんたろう!$M$2:$M$43</c:f>
              <c:numCache>
                <c:formatCode>0</c:formatCode>
                <c:ptCount val="42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  <c:pt idx="20">
                  <c:v>1634.1175651983078</c:v>
                </c:pt>
                <c:pt idx="21">
                  <c:v>1634.416859807118</c:v>
                </c:pt>
                <c:pt idx="22">
                  <c:v>1635.1103586482752</c:v>
                </c:pt>
                <c:pt idx="23">
                  <c:v>1638.2056964963856</c:v>
                </c:pt>
                <c:pt idx="24">
                  <c:v>1637.2144623174072</c:v>
                </c:pt>
                <c:pt idx="25">
                  <c:v>1635.8451755435028</c:v>
                </c:pt>
                <c:pt idx="26">
                  <c:v>1635.4381044902418</c:v>
                </c:pt>
                <c:pt idx="27">
                  <c:v>1644.3754758633004</c:v>
                </c:pt>
                <c:pt idx="28">
                  <c:v>1638.0732230081205</c:v>
                </c:pt>
                <c:pt idx="29">
                  <c:v>1638.6967836700719</c:v>
                </c:pt>
                <c:pt idx="30">
                  <c:v>1636.4906029680515</c:v>
                </c:pt>
                <c:pt idx="31">
                  <c:v>1633.5176593502431</c:v>
                </c:pt>
                <c:pt idx="32">
                  <c:v>1642.7185533941417</c:v>
                </c:pt>
                <c:pt idx="33">
                  <c:v>1643.5002420737769</c:v>
                </c:pt>
                <c:pt idx="34">
                  <c:v>1636.1412406213342</c:v>
                </c:pt>
                <c:pt idx="35">
                  <c:v>1636.9983931776062</c:v>
                </c:pt>
                <c:pt idx="36">
                  <c:v>1633.6744028185406</c:v>
                </c:pt>
                <c:pt idx="37">
                  <c:v>1634.4923564016294</c:v>
                </c:pt>
                <c:pt idx="38">
                  <c:v>1636.6254022632197</c:v>
                </c:pt>
                <c:pt idx="39">
                  <c:v>1628.6116498496403</c:v>
                </c:pt>
                <c:pt idx="40">
                  <c:v>1628.6619799505424</c:v>
                </c:pt>
                <c:pt idx="41">
                  <c:v>1623.0600080708391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A-4486-9A79-96ACD96F2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たかの!$L$2:$L$37</c:f>
              <c:numCache>
                <c:formatCode>\+0.0;\-0.0;\±0</c:formatCode>
                <c:ptCount val="36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  <c:pt idx="31">
                  <c:v>13.599999999999989</c:v>
                </c:pt>
                <c:pt idx="32">
                  <c:v>-9.3000000000000096</c:v>
                </c:pt>
                <c:pt idx="33">
                  <c:v>8.3999999999999897</c:v>
                </c:pt>
                <c:pt idx="34">
                  <c:v>-28.600000000000009</c:v>
                </c:pt>
                <c:pt idx="35">
                  <c:v>-19.900000000000009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42-48BE-A627-A1395E1BB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331.42857142857144</c:v>
                </c:pt>
                <c:pt idx="1">
                  <c:v>-1211.4285714285713</c:v>
                </c:pt>
                <c:pt idx="2">
                  <c:v>1348.5714285714287</c:v>
                </c:pt>
                <c:pt idx="3">
                  <c:v>-305.71428571428572</c:v>
                </c:pt>
                <c:pt idx="4">
                  <c:v>-1311.4285714285713</c:v>
                </c:pt>
                <c:pt idx="5">
                  <c:v>867.85714285714289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27-4248-8672-80E8FE614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11</c:v>
                </c:pt>
                <c:pt idx="1">
                  <c:v>22</c:v>
                </c:pt>
                <c:pt idx="2">
                  <c:v>16</c:v>
                </c:pt>
                <c:pt idx="3">
                  <c:v>19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4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5B-4A99-8F9E-37815362D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たかの!$M$2:$M$37</c:f>
              <c:numCache>
                <c:formatCode>0</c:formatCode>
                <c:ptCount val="36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  <c:pt idx="24">
                  <c:v>1456.9028974082835</c:v>
                </c:pt>
                <c:pt idx="25">
                  <c:v>1465.8254800238337</c:v>
                </c:pt>
                <c:pt idx="26">
                  <c:v>1460.4745271436907</c:v>
                </c:pt>
                <c:pt idx="27">
                  <c:v>1459.8536799808285</c:v>
                </c:pt>
                <c:pt idx="28">
                  <c:v>1468.6685579009436</c:v>
                </c:pt>
                <c:pt idx="29">
                  <c:v>1465.0825465535379</c:v>
                </c:pt>
                <c:pt idx="30">
                  <c:v>1461.3380512742167</c:v>
                </c:pt>
                <c:pt idx="31">
                  <c:v>1462.7040229665713</c:v>
                </c:pt>
                <c:pt idx="32">
                  <c:v>1459.5077988287719</c:v>
                </c:pt>
                <c:pt idx="33">
                  <c:v>1463.4227520357992</c:v>
                </c:pt>
                <c:pt idx="34">
                  <c:v>1457.6782155235844</c:v>
                </c:pt>
                <c:pt idx="35">
                  <c:v>1460.1941462304428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D6-4787-99C7-D8559F23CB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  <c:pt idx="11">
                  <c:v>-108.9</c:v>
                </c:pt>
                <c:pt idx="12">
                  <c:v>-92.100000000000009</c:v>
                </c:pt>
                <c:pt idx="13">
                  <c:v>-93.500000000000014</c:v>
                </c:pt>
                <c:pt idx="14">
                  <c:v>-79.200000000000017</c:v>
                </c:pt>
                <c:pt idx="15">
                  <c:v>-44.200000000000017</c:v>
                </c:pt>
                <c:pt idx="16">
                  <c:v>-49.800000000000018</c:v>
                </c:pt>
                <c:pt idx="17">
                  <c:v>-47.800000000000018</c:v>
                </c:pt>
                <c:pt idx="18">
                  <c:v>-22.100000000000019</c:v>
                </c:pt>
                <c:pt idx="19">
                  <c:v>-9.6000000000000192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1C-444D-9BB6-0896CB9C4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-68.421052631578945</c:v>
                </c:pt>
                <c:pt idx="1">
                  <c:v>715.78947368421052</c:v>
                </c:pt>
                <c:pt idx="2">
                  <c:v>484.21052631578948</c:v>
                </c:pt>
                <c:pt idx="3">
                  <c:v>-2811.7647058823532</c:v>
                </c:pt>
                <c:pt idx="4">
                  <c:v>2106.25</c:v>
                </c:pt>
                <c:pt idx="5">
                  <c:v>-1153.8461538461538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08-4BDB-96B2-983CAED07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1</c:v>
                </c:pt>
                <c:pt idx="1">
                  <c:v>8</c:v>
                </c:pt>
                <c:pt idx="2">
                  <c:v>8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E-49A9-BEE8-A5A54E9193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まっつん!$M$2:$M$21</c:f>
              <c:numCache>
                <c:formatCode>0</c:formatCode>
                <c:ptCount val="20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  <c:pt idx="11">
                  <c:v>1509.7550712924706</c:v>
                </c:pt>
                <c:pt idx="12">
                  <c:v>1513.3025408647156</c:v>
                </c:pt>
                <c:pt idx="13">
                  <c:v>1513.7987256195274</c:v>
                </c:pt>
                <c:pt idx="14">
                  <c:v>1517.1299332658102</c:v>
                </c:pt>
                <c:pt idx="15">
                  <c:v>1524.1671536662154</c:v>
                </c:pt>
                <c:pt idx="16">
                  <c:v>1523.8481507442182</c:v>
                </c:pt>
                <c:pt idx="17">
                  <c:v>1524.9050618397528</c:v>
                </c:pt>
                <c:pt idx="18">
                  <c:v>1530.0056314687142</c:v>
                </c:pt>
                <c:pt idx="19">
                  <c:v>1531.9675976799019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4F-4F8B-8D94-69D3CDDDF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いちかわ!$L$2:$L$36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  <c:pt idx="29">
                  <c:v>127.89999999999998</c:v>
                </c:pt>
                <c:pt idx="30">
                  <c:v>164.39999999999998</c:v>
                </c:pt>
                <c:pt idx="31">
                  <c:v>119.79999999999998</c:v>
                </c:pt>
                <c:pt idx="32">
                  <c:v>100.99999999999999</c:v>
                </c:pt>
                <c:pt idx="33">
                  <c:v>102.59999999999998</c:v>
                </c:pt>
                <c:pt idx="34">
                  <c:v>65.59999999999998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22-41B4-921E-BAEC7440C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338.23529411764707</c:v>
                </c:pt>
                <c:pt idx="1">
                  <c:v>1438.2352941176471</c:v>
                </c:pt>
                <c:pt idx="2">
                  <c:v>1991.1764705882354</c:v>
                </c:pt>
                <c:pt idx="3">
                  <c:v>-506.45161290322579</c:v>
                </c:pt>
                <c:pt idx="4">
                  <c:v>-1551.851851851852</c:v>
                </c:pt>
                <c:pt idx="5">
                  <c:v>260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81-4211-9898-EF1A484BF0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7</c:v>
                </c:pt>
                <c:pt idx="1">
                  <c:v>19</c:v>
                </c:pt>
                <c:pt idx="2">
                  <c:v>15</c:v>
                </c:pt>
                <c:pt idx="3">
                  <c:v>12</c:v>
                </c:pt>
                <c:pt idx="4">
                  <c:v>11</c:v>
                </c:pt>
                <c:pt idx="5">
                  <c:v>9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9B-4F6F-A2DA-B683FE5314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いちかわ!$M$2:$M$36</c:f>
              <c:numCache>
                <c:formatCode>0</c:formatCode>
                <c:ptCount val="35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  <c:pt idx="25">
                  <c:v>1516.6351487297718</c:v>
                </c:pt>
                <c:pt idx="26">
                  <c:v>1522.6913378373931</c:v>
                </c:pt>
                <c:pt idx="27">
                  <c:v>1523.2151898103687</c:v>
                </c:pt>
                <c:pt idx="28">
                  <c:v>1520.3458986715063</c:v>
                </c:pt>
                <c:pt idx="29">
                  <c:v>1524.9218232794774</c:v>
                </c:pt>
                <c:pt idx="30">
                  <c:v>1532.1702923398004</c:v>
                </c:pt>
                <c:pt idx="31">
                  <c:v>1524.7772705857617</c:v>
                </c:pt>
                <c:pt idx="32">
                  <c:v>1521.8686069622472</c:v>
                </c:pt>
                <c:pt idx="33">
                  <c:v>1522.5113953204736</c:v>
                </c:pt>
                <c:pt idx="34">
                  <c:v>1515.6083269485507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37-4BC0-A2E2-0B0E87D99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ただ!$L$2:$L$40</c:f>
              <c:numCache>
                <c:formatCode>\+0.0;\-0.0;\±0</c:formatCode>
                <c:ptCount val="39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  <c:pt idx="37">
                  <c:v>335.09999999999997</c:v>
                </c:pt>
                <c:pt idx="38">
                  <c:v>329.99999999999994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89-4A7B-9FDC-DCA514D05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68.421052631578945</c:v>
                </c:pt>
                <c:pt idx="1">
                  <c:v>2065.7142857142858</c:v>
                </c:pt>
                <c:pt idx="2">
                  <c:v>77.777777777777771</c:v>
                </c:pt>
                <c:pt idx="3">
                  <c:v>2585.294117647059</c:v>
                </c:pt>
                <c:pt idx="4">
                  <c:v>1851.6129032258063</c:v>
                </c:pt>
                <c:pt idx="5">
                  <c:v>-32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2D-420F-8707-9FDD1D607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11</c:v>
                </c:pt>
                <c:pt idx="1">
                  <c:v>25</c:v>
                </c:pt>
                <c:pt idx="2">
                  <c:v>26</c:v>
                </c:pt>
                <c:pt idx="3">
                  <c:v>17</c:v>
                </c:pt>
                <c:pt idx="4">
                  <c:v>17</c:v>
                </c:pt>
                <c:pt idx="5">
                  <c:v>3</c:v>
                </c:pt>
                <c:pt idx="6">
                  <c:v>8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2F-44CF-837A-F6593AC70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ただ!$M$2:$M$40</c:f>
              <c:numCache>
                <c:formatCode>0</c:formatCode>
                <c:ptCount val="39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  <c:pt idx="33">
                  <c:v>1587.6675893178376</c:v>
                </c:pt>
                <c:pt idx="34">
                  <c:v>1587.2015837819306</c:v>
                </c:pt>
                <c:pt idx="35">
                  <c:v>1591.6163742792389</c:v>
                </c:pt>
                <c:pt idx="36">
                  <c:v>1589.9026760335635</c:v>
                </c:pt>
                <c:pt idx="37">
                  <c:v>1590.413259977362</c:v>
                </c:pt>
                <c:pt idx="38">
                  <c:v>1589.912780417498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A6-470E-97F2-E7FD62B8CC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7-448F-9A81-043449A2B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-1394.4444444444443</c:v>
                </c:pt>
                <c:pt idx="1">
                  <c:v>-1588.8888888888889</c:v>
                </c:pt>
                <c:pt idx="2">
                  <c:v>-3911.1111111111113</c:v>
                </c:pt>
                <c:pt idx="3">
                  <c:v>-670.58823529411768</c:v>
                </c:pt>
                <c:pt idx="4">
                  <c:v>-457.14285714285717</c:v>
                </c:pt>
                <c:pt idx="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21-4830-88CF-91A74111A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</c:v>
                </c:pt>
                <c:pt idx="3">
                  <c:v>6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7D-435A-99DF-72E37A30F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たか!$M$2:$M$20</c:f>
              <c:numCache>
                <c:formatCode>0</c:formatCode>
                <c:ptCount val="19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  <c:pt idx="17">
                  <c:v>1480.3444555939693</c:v>
                </c:pt>
                <c:pt idx="18">
                  <c:v>1475.2783888604056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12-475F-8A32-3AE747E0C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25-451C-AA89-3B3B508088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FE-4BD4-8260-4C783695A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D6-4978-B4FA-5410B3CEE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のり!$M$2:$M$6</c:f>
              <c:numCache>
                <c:formatCode>0</c:formatCode>
                <c:ptCount val="5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06-44B6-BF4D-F14E5E931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りくと!$L$2:$L$11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  <c:pt idx="9">
                  <c:v>-21.200000000000003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61-45BD-B2F5-70D9FF8F6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-5122.2222222222226</c:v>
                </c:pt>
                <c:pt idx="1">
                  <c:v>7637.5</c:v>
                </c:pt>
                <c:pt idx="2">
                  <c:v>-1566.6666666666667</c:v>
                </c:pt>
                <c:pt idx="3">
                  <c:v>-4922.2222222222226</c:v>
                </c:pt>
                <c:pt idx="4">
                  <c:v>775</c:v>
                </c:pt>
                <c:pt idx="5">
                  <c:v>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21-45FB-91AA-3D0067E41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5</c:v>
                </c:pt>
                <c:pt idx="3">
                  <c:v>5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2-48ED-9E59-17978EE24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りくと!$M$2:$M$11</c:f>
              <c:numCache>
                <c:formatCode>0</c:formatCode>
                <c:ptCount val="10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  <c:pt idx="7">
                  <c:v>1384.3245217500992</c:v>
                </c:pt>
                <c:pt idx="8">
                  <c:v>1392.9145746195986</c:v>
                </c:pt>
                <c:pt idx="9">
                  <c:v>1397.8590871718811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3A-4E9E-9305-B162184C9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3-4CE3-BC35-E83FCBB52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15-4DE2-BF32-B4541A391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4-4396-B15F-540128F7D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9E-457A-A4D2-F34008451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りくと2!$B$1:$B$2</c:f>
              <c:strCache>
                <c:ptCount val="2"/>
                <c:pt idx="0">
                  <c:v>りくと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りくと2!$B$3:$B$12</c:f>
              <c:numCache>
                <c:formatCode>\+0.0;\-0.0;\±0</c:formatCode>
                <c:ptCount val="10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  <c:pt idx="9">
                  <c:v>-21.200000000000003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1316282072803006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りくと2!$C$1:$C$2</c:f>
              <c:strCache>
                <c:ptCount val="2"/>
                <c:pt idx="0">
                  <c:v>りくと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りくと2!$C$3:$C$12</c:f>
              <c:numCache>
                <c:formatCode>\+0.0;\-0.0;\±0</c:formatCode>
                <c:ptCount val="10"/>
                <c:pt idx="1">
                  <c:v>-24.2</c:v>
                </c:pt>
                <c:pt idx="2">
                  <c:v>-3.0999999999999996</c:v>
                </c:pt>
                <c:pt idx="3">
                  <c:v>6.0333333333333341</c:v>
                </c:pt>
                <c:pt idx="4">
                  <c:v>-3.6749999999999989</c:v>
                </c:pt>
                <c:pt idx="5">
                  <c:v>-13.36</c:v>
                </c:pt>
                <c:pt idx="6">
                  <c:v>-19.716666666666665</c:v>
                </c:pt>
                <c:pt idx="7">
                  <c:v>-12.342857142857143</c:v>
                </c:pt>
                <c:pt idx="8">
                  <c:v>-5.7125000000000004</c:v>
                </c:pt>
                <c:pt idx="9">
                  <c:v>-2.3555555555555561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7232906060880453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りくと2!$D$1:$D$2</c:f>
              <c:strCache>
                <c:ptCount val="2"/>
                <c:pt idx="0">
                  <c:v>りくと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りくと2!$D$3:$D$12</c:f>
              <c:numCache>
                <c:formatCode>0.00\ "位"</c:formatCode>
                <c:ptCount val="10"/>
                <c:pt idx="1">
                  <c:v>3</c:v>
                </c:pt>
                <c:pt idx="2">
                  <c:v>2</c:v>
                </c:pt>
                <c:pt idx="3">
                  <c:v>1.6666666666666667</c:v>
                </c:pt>
                <c:pt idx="4">
                  <c:v>2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2.1428571428571428</c:v>
                </c:pt>
                <c:pt idx="8">
                  <c:v>2</c:v>
                </c:pt>
                <c:pt idx="9">
                  <c:v>1.8888888888888888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63768115942029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りくと2!$E$1:$E$2</c:f>
              <c:strCache>
                <c:ptCount val="2"/>
                <c:pt idx="0">
                  <c:v>りくと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りくと2!$E$3:$E$12</c:f>
              <c:numCache>
                <c:formatCode>0.0%</c:formatCode>
                <c:ptCount val="10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6956521739130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りくと2!$F$1:$F$2</c:f>
              <c:strCache>
                <c:ptCount val="2"/>
                <c:pt idx="0">
                  <c:v>りくと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りくと2!$F$3:$F$12</c:f>
              <c:numCache>
                <c:formatCode>0.0%</c:formatCode>
                <c:ptCount val="10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0.66666666666666663</c:v>
                </c:pt>
                <c:pt idx="7">
                  <c:v>0.5714285714285714</c:v>
                </c:pt>
                <c:pt idx="8">
                  <c:v>0.5</c:v>
                </c:pt>
                <c:pt idx="9">
                  <c:v>0.44444444444444442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りくと2!$G$1:$G$2</c:f>
              <c:strCache>
                <c:ptCount val="2"/>
                <c:pt idx="0">
                  <c:v>りくと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りくと2!$G$3:$G$12</c:f>
              <c:numCache>
                <c:formatCode>0.0%</c:formatCode>
                <c:ptCount val="10"/>
                <c:pt idx="1">
                  <c:v>0.2</c:v>
                </c:pt>
                <c:pt idx="2">
                  <c:v>0.27777777777777779</c:v>
                </c:pt>
                <c:pt idx="3">
                  <c:v>0.29166666666666669</c:v>
                </c:pt>
                <c:pt idx="4">
                  <c:v>0.25</c:v>
                </c:pt>
                <c:pt idx="5">
                  <c:v>0.25</c:v>
                </c:pt>
                <c:pt idx="6">
                  <c:v>0.22448979591836735</c:v>
                </c:pt>
                <c:pt idx="7">
                  <c:v>0.26315789473684209</c:v>
                </c:pt>
                <c:pt idx="8">
                  <c:v>0.29230769230769232</c:v>
                </c:pt>
                <c:pt idx="9">
                  <c:v>0.29729729729729731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6152183311716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りくと2!$H$1:$H$2</c:f>
              <c:strCache>
                <c:ptCount val="2"/>
                <c:pt idx="0">
                  <c:v>りくと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りくと2!$H$3:$H$12</c:f>
              <c:numCache>
                <c:formatCode>0.0%</c:formatCode>
                <c:ptCount val="10"/>
                <c:pt idx="1">
                  <c:v>0.1</c:v>
                </c:pt>
                <c:pt idx="2">
                  <c:v>0.16666666666666666</c:v>
                </c:pt>
                <c:pt idx="3">
                  <c:v>0.20833333333333334</c:v>
                </c:pt>
                <c:pt idx="4">
                  <c:v>0.1388888888888889</c:v>
                </c:pt>
                <c:pt idx="5">
                  <c:v>0.15</c:v>
                </c:pt>
                <c:pt idx="6">
                  <c:v>0.18367346938775511</c:v>
                </c:pt>
                <c:pt idx="7">
                  <c:v>0.17543859649122806</c:v>
                </c:pt>
                <c:pt idx="8">
                  <c:v>0.16923076923076924</c:v>
                </c:pt>
                <c:pt idx="9">
                  <c:v>0.14864864864864866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4721141374837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りくと2!$I$1:$I$2</c:f>
              <c:strCache>
                <c:ptCount val="2"/>
                <c:pt idx="0">
                  <c:v>りくと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りくと2!$I$3:$I$12</c:f>
              <c:numCache>
                <c:formatCode>0</c:formatCode>
                <c:ptCount val="10"/>
                <c:pt idx="1">
                  <c:v>4400</c:v>
                </c:pt>
                <c:pt idx="2">
                  <c:v>7460</c:v>
                </c:pt>
                <c:pt idx="3">
                  <c:v>9314.2857142857138</c:v>
                </c:pt>
                <c:pt idx="4">
                  <c:v>9022.2222222222226</c:v>
                </c:pt>
                <c:pt idx="5">
                  <c:v>8330</c:v>
                </c:pt>
                <c:pt idx="6">
                  <c:v>8272.7272727272721</c:v>
                </c:pt>
                <c:pt idx="7">
                  <c:v>7946.666666666667</c:v>
                </c:pt>
                <c:pt idx="8">
                  <c:v>8526.3157894736851</c:v>
                </c:pt>
                <c:pt idx="9">
                  <c:v>8727.2727272727279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983.50364963503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りくと2!$J$1:$J$2</c:f>
              <c:strCache>
                <c:ptCount val="2"/>
                <c:pt idx="0">
                  <c:v>りくと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りくと2!$J$3:$J$12</c:f>
              <c:numCache>
                <c:formatCode>0</c:formatCode>
                <c:ptCount val="10"/>
                <c:pt idx="1">
                  <c:v>-1300</c:v>
                </c:pt>
                <c:pt idx="2">
                  <c:v>-5766.666666666667</c:v>
                </c:pt>
                <c:pt idx="3">
                  <c:v>-6380</c:v>
                </c:pt>
                <c:pt idx="4">
                  <c:v>-6380</c:v>
                </c:pt>
                <c:pt idx="5">
                  <c:v>-5966.666666666667</c:v>
                </c:pt>
                <c:pt idx="6">
                  <c:v>-7666.666666666667</c:v>
                </c:pt>
                <c:pt idx="7">
                  <c:v>-7480</c:v>
                </c:pt>
                <c:pt idx="8">
                  <c:v>-7154.545454545455</c:v>
                </c:pt>
                <c:pt idx="9">
                  <c:v>-7154.545454545455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348.03149606299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りくと2!$K$1:$K$2</c:f>
              <c:strCache>
                <c:ptCount val="2"/>
                <c:pt idx="0">
                  <c:v>りくと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りくと2!$K$3:$K$12</c:f>
              <c:numCache>
                <c:formatCode>0.0%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2463768115942032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りくと2!$L$1:$L$2</c:f>
              <c:strCache>
                <c:ptCount val="2"/>
                <c:pt idx="0">
                  <c:v>りくと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りくと2!$L$3:$L$12</c:f>
              <c:numCache>
                <c:formatCode>0.0%</c:formatCode>
                <c:ptCount val="10"/>
                <c:pt idx="1">
                  <c:v>0.1</c:v>
                </c:pt>
                <c:pt idx="2">
                  <c:v>0.22222222222222221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0.20408163265306123</c:v>
                </c:pt>
                <c:pt idx="7">
                  <c:v>0.21052631578947367</c:v>
                </c:pt>
                <c:pt idx="8">
                  <c:v>0.2</c:v>
                </c:pt>
                <c:pt idx="9">
                  <c:v>0.21621621621621623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86511024643320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りくと2!$M$1:$M$2</c:f>
              <c:strCache>
                <c:ptCount val="2"/>
                <c:pt idx="0">
                  <c:v>りくと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りくと2!$M$3:$M$12</c:f>
              <c:numCache>
                <c:formatCode>0.0%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8.3333333333333329E-2</c:v>
                </c:pt>
                <c:pt idx="4">
                  <c:v>5.5555555555555552E-2</c:v>
                </c:pt>
                <c:pt idx="5">
                  <c:v>0.05</c:v>
                </c:pt>
                <c:pt idx="6">
                  <c:v>6.1224489795918366E-2</c:v>
                </c:pt>
                <c:pt idx="7">
                  <c:v>0.10526315789473684</c:v>
                </c:pt>
                <c:pt idx="8">
                  <c:v>0.13846153846153847</c:v>
                </c:pt>
                <c:pt idx="9">
                  <c:v>0.12162162162162163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130134025075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りくと2!$N$1:$N$2</c:f>
              <c:strCache>
                <c:ptCount val="2"/>
                <c:pt idx="0">
                  <c:v>りくと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りくと2!$N$3:$N$12</c:f>
              <c:numCache>
                <c:formatCode>0.0%</c:formatCode>
                <c:ptCount val="10"/>
                <c:pt idx="1">
                  <c:v>1</c:v>
                </c:pt>
                <c:pt idx="2">
                  <c:v>1</c:v>
                </c:pt>
                <c:pt idx="3">
                  <c:v>0.83333333333333337</c:v>
                </c:pt>
                <c:pt idx="4">
                  <c:v>0.77777777777777779</c:v>
                </c:pt>
                <c:pt idx="5">
                  <c:v>0.7</c:v>
                </c:pt>
                <c:pt idx="6">
                  <c:v>0.7</c:v>
                </c:pt>
                <c:pt idx="7">
                  <c:v>0.75</c:v>
                </c:pt>
                <c:pt idx="8">
                  <c:v>0.76923076923076927</c:v>
                </c:pt>
                <c:pt idx="9">
                  <c:v>0.6875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21739130434782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りくと2!$O$1:$O$2</c:f>
              <c:strCache>
                <c:ptCount val="2"/>
                <c:pt idx="0">
                  <c:v>りくと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りくと2!$O$3:$O$12</c:f>
              <c:numCache>
                <c:formatCode>0.0%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0.66666666666666663</c:v>
                </c:pt>
                <c:pt idx="7">
                  <c:v>0.33333333333333331</c:v>
                </c:pt>
                <c:pt idx="8">
                  <c:v>0.44444444444444442</c:v>
                </c:pt>
                <c:pt idx="9">
                  <c:v>0.44444444444444442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0560747663551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りくと2!$P$1:$P$2</c:f>
              <c:strCache>
                <c:ptCount val="2"/>
                <c:pt idx="0">
                  <c:v>りくと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りくと2!$P$3:$P$12</c:f>
              <c:numCache>
                <c:formatCode>0.0%</c:formatCode>
                <c:ptCount val="10"/>
                <c:pt idx="1">
                  <c:v>1</c:v>
                </c:pt>
                <c:pt idx="2">
                  <c:v>0.8</c:v>
                </c:pt>
                <c:pt idx="3">
                  <c:v>0.7142857142857143</c:v>
                </c:pt>
                <c:pt idx="4">
                  <c:v>0.77777777777777779</c:v>
                </c:pt>
                <c:pt idx="5">
                  <c:v>0.8</c:v>
                </c:pt>
                <c:pt idx="6">
                  <c:v>0.72727272727272729</c:v>
                </c:pt>
                <c:pt idx="7">
                  <c:v>0.6</c:v>
                </c:pt>
                <c:pt idx="8">
                  <c:v>0.47368421052631576</c:v>
                </c:pt>
                <c:pt idx="9">
                  <c:v>0.54545454545454541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7956204379562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I33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6" x14ac:dyDescent="0.45">
      <c r="A1" s="1">
        <v>32874</v>
      </c>
      <c r="B1" s="1">
        <v>2958465</v>
      </c>
    </row>
    <row r="2" spans="1:6" x14ac:dyDescent="0.45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5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5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5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5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5">
      <c r="A7" s="2" t="s">
        <v>218</v>
      </c>
      <c r="B7" s="3">
        <v>44118.006006944444</v>
      </c>
      <c r="C7" s="2" t="s">
        <v>127</v>
      </c>
    </row>
    <row r="8" spans="1:6" x14ac:dyDescent="0.45">
      <c r="A8" s="2" t="s">
        <v>219</v>
      </c>
      <c r="B8" s="3">
        <v>44118.006006944444</v>
      </c>
      <c r="C8" s="2" t="s">
        <v>127</v>
      </c>
    </row>
    <row r="9" spans="1:6" x14ac:dyDescent="0.45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5">
      <c r="A10" s="2" t="s">
        <v>222</v>
      </c>
      <c r="B10" s="3">
        <v>44118.006006944444</v>
      </c>
      <c r="C10" s="2" t="s">
        <v>127</v>
      </c>
    </row>
    <row r="11" spans="1:6" x14ac:dyDescent="0.45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5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5">
      <c r="A13" s="2" t="s">
        <v>226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5">
      <c r="A14" s="2" t="s">
        <v>227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5">
      <c r="A15" s="2" t="s">
        <v>228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5">
      <c r="A16" s="2" t="s">
        <v>229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9" x14ac:dyDescent="0.45">
      <c r="A17" s="2" t="s">
        <v>230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9" x14ac:dyDescent="0.45">
      <c r="A18" s="2" t="s">
        <v>231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9" x14ac:dyDescent="0.45">
      <c r="A19" s="2" t="s">
        <v>232</v>
      </c>
      <c r="B19" s="3">
        <v>44126.860625000001</v>
      </c>
      <c r="C19" s="2" t="s">
        <v>127</v>
      </c>
      <c r="D19" s="2" t="s">
        <v>188</v>
      </c>
    </row>
    <row r="20" spans="1:9" x14ac:dyDescent="0.45">
      <c r="A20" s="2" t="s">
        <v>233</v>
      </c>
      <c r="B20" s="3">
        <v>44127.875057870369</v>
      </c>
      <c r="C20" s="2" t="s">
        <v>127</v>
      </c>
      <c r="D20" s="2" t="s">
        <v>188</v>
      </c>
    </row>
    <row r="21" spans="1:9" x14ac:dyDescent="0.45">
      <c r="A21" s="2" t="s">
        <v>234</v>
      </c>
      <c r="B21" s="3">
        <v>44129.719571759262</v>
      </c>
      <c r="C21" s="2" t="s">
        <v>127</v>
      </c>
      <c r="D21" s="2" t="s">
        <v>188</v>
      </c>
    </row>
    <row r="22" spans="1:9" x14ac:dyDescent="0.45">
      <c r="A22" s="2" t="s">
        <v>235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9" x14ac:dyDescent="0.45">
      <c r="A23" s="2" t="s">
        <v>236</v>
      </c>
      <c r="B23" s="3">
        <v>44131.760706018518</v>
      </c>
      <c r="C23" s="2" t="s">
        <v>127</v>
      </c>
      <c r="D23" s="2" t="s">
        <v>188</v>
      </c>
    </row>
    <row r="24" spans="1:9" x14ac:dyDescent="0.45">
      <c r="A24" s="2" t="s">
        <v>237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9" x14ac:dyDescent="0.45">
      <c r="A25" s="2" t="s">
        <v>238</v>
      </c>
      <c r="B25" s="3">
        <v>44133.763518518521</v>
      </c>
      <c r="C25" s="2" t="s">
        <v>127</v>
      </c>
      <c r="D25" s="2" t="s">
        <v>188</v>
      </c>
    </row>
    <row r="26" spans="1:9" x14ac:dyDescent="0.45">
      <c r="A26" s="2" t="s">
        <v>239</v>
      </c>
      <c r="B26" s="3">
        <v>44144.827731481484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240</v>
      </c>
    </row>
    <row r="27" spans="1:9" x14ac:dyDescent="0.45">
      <c r="A27" s="2" t="s">
        <v>241</v>
      </c>
      <c r="B27" s="3">
        <v>44145.876342592594</v>
      </c>
      <c r="C27" s="2" t="s">
        <v>127</v>
      </c>
      <c r="D27" s="2" t="s">
        <v>188</v>
      </c>
      <c r="E27" s="2" t="s">
        <v>191</v>
      </c>
      <c r="F27" s="2" t="s">
        <v>194</v>
      </c>
    </row>
    <row r="28" spans="1:9" x14ac:dyDescent="0.45">
      <c r="A28" s="2" t="s">
        <v>242</v>
      </c>
      <c r="B28" s="3">
        <v>44146.71334490741</v>
      </c>
      <c r="C28" s="2" t="s">
        <v>127</v>
      </c>
      <c r="D28" s="2" t="s">
        <v>188</v>
      </c>
      <c r="E28" s="2" t="s">
        <v>191</v>
      </c>
    </row>
    <row r="29" spans="1:9" x14ac:dyDescent="0.45">
      <c r="A29" s="2" t="s">
        <v>243</v>
      </c>
      <c r="B29" s="3">
        <v>44147.875798611109</v>
      </c>
      <c r="C29" s="2" t="s">
        <v>127</v>
      </c>
      <c r="D29" s="2" t="s">
        <v>188</v>
      </c>
    </row>
    <row r="30" spans="1:9" x14ac:dyDescent="0.45">
      <c r="A30" s="2" t="s">
        <v>244</v>
      </c>
      <c r="B30" s="3">
        <v>44150.099849537037</v>
      </c>
      <c r="C30" s="2" t="s">
        <v>127</v>
      </c>
      <c r="D30" s="2" t="s">
        <v>188</v>
      </c>
      <c r="E30" s="2" t="s">
        <v>191</v>
      </c>
      <c r="F30" s="2" t="s">
        <v>194</v>
      </c>
      <c r="G30" s="2" t="s">
        <v>240</v>
      </c>
      <c r="H30" s="2" t="s">
        <v>246</v>
      </c>
      <c r="I30" s="2" t="s">
        <v>245</v>
      </c>
    </row>
    <row r="31" spans="1:9" x14ac:dyDescent="0.45">
      <c r="A31" s="2" t="s">
        <v>247</v>
      </c>
      <c r="B31" s="3">
        <v>44150.72215277778</v>
      </c>
      <c r="C31" s="2" t="s">
        <v>127</v>
      </c>
      <c r="D31" s="2" t="s">
        <v>188</v>
      </c>
    </row>
    <row r="32" spans="1:9" x14ac:dyDescent="0.45">
      <c r="A32" s="2" t="s">
        <v>248</v>
      </c>
      <c r="B32" s="3">
        <v>44152.771898148145</v>
      </c>
      <c r="C32" s="2" t="s">
        <v>127</v>
      </c>
      <c r="D32" s="2" t="s">
        <v>188</v>
      </c>
    </row>
    <row r="33" spans="1:7" x14ac:dyDescent="0.45">
      <c r="A33" s="2" t="s">
        <v>249</v>
      </c>
      <c r="B33" s="3">
        <v>44153.792916666665</v>
      </c>
      <c r="C33" s="2" t="s">
        <v>127</v>
      </c>
      <c r="D33" s="2" t="s">
        <v>188</v>
      </c>
      <c r="E33" s="2" t="s">
        <v>191</v>
      </c>
      <c r="F33" s="2" t="s">
        <v>194</v>
      </c>
      <c r="G33" s="2" t="s">
        <v>240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6" x14ac:dyDescent="0.45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5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4"/>
  <sheetViews>
    <sheetView workbookViewId="0"/>
  </sheetViews>
  <sheetFormatPr defaultRowHeight="18" x14ac:dyDescent="0.45"/>
  <cols>
    <col min="1" max="1" width="11" customWidth="1"/>
    <col min="2" max="2" width="9" style="120" customWidth="1"/>
    <col min="3" max="3" width="9" style="120"/>
  </cols>
  <sheetData>
    <row r="1" spans="1:3" x14ac:dyDescent="0.45">
      <c r="A1" t="s">
        <v>225</v>
      </c>
    </row>
    <row r="2" spans="1:3" x14ac:dyDescent="0.45">
      <c r="A2" t="s">
        <v>126</v>
      </c>
      <c r="B2" s="120">
        <v>76</v>
      </c>
      <c r="C2" s="120">
        <v>1842.3339395535957</v>
      </c>
    </row>
    <row r="3" spans="1:3" x14ac:dyDescent="0.45">
      <c r="A3" t="s">
        <v>163</v>
      </c>
      <c r="B3" s="120">
        <v>41</v>
      </c>
      <c r="C3" s="120">
        <v>1653.1699313523677</v>
      </c>
    </row>
    <row r="4" spans="1:3" x14ac:dyDescent="0.45">
      <c r="A4" t="s">
        <v>139</v>
      </c>
      <c r="B4" s="120">
        <v>276</v>
      </c>
      <c r="C4" s="120">
        <v>1594.5463045050694</v>
      </c>
    </row>
    <row r="5" spans="1:3" x14ac:dyDescent="0.45">
      <c r="A5" t="s">
        <v>190</v>
      </c>
      <c r="B5" s="120">
        <v>19</v>
      </c>
      <c r="C5" s="120">
        <v>1524.3778689305989</v>
      </c>
    </row>
    <row r="6" spans="1:3" x14ac:dyDescent="0.45">
      <c r="A6" t="s">
        <v>192</v>
      </c>
      <c r="B6" s="120">
        <v>38</v>
      </c>
      <c r="C6" s="120">
        <v>1517.1288342047803</v>
      </c>
    </row>
    <row r="7" spans="1:3" x14ac:dyDescent="0.45">
      <c r="A7" t="s">
        <v>211</v>
      </c>
      <c r="B7" s="120">
        <v>34</v>
      </c>
      <c r="C7" s="120">
        <v>1488.8318648771276</v>
      </c>
    </row>
    <row r="8" spans="1:3" x14ac:dyDescent="0.45">
      <c r="A8" t="s">
        <v>210</v>
      </c>
      <c r="C8" s="120">
        <v>1483.0119085897741</v>
      </c>
    </row>
    <row r="9" spans="1:3" x14ac:dyDescent="0.45">
      <c r="A9" t="s">
        <v>198</v>
      </c>
      <c r="C9" s="120">
        <v>1463.4239467393418</v>
      </c>
    </row>
    <row r="10" spans="1:3" x14ac:dyDescent="0.45">
      <c r="A10" t="s">
        <v>189</v>
      </c>
      <c r="B10" s="120">
        <v>35</v>
      </c>
      <c r="C10" s="120">
        <v>1433.30445236539</v>
      </c>
    </row>
    <row r="11" spans="1:3" x14ac:dyDescent="0.45">
      <c r="A11" t="s">
        <v>195</v>
      </c>
      <c r="B11" s="120">
        <v>9</v>
      </c>
      <c r="C11" s="120">
        <v>1392.8042574192286</v>
      </c>
    </row>
    <row r="12" spans="1:3" x14ac:dyDescent="0.45">
      <c r="A12" t="s">
        <v>199</v>
      </c>
      <c r="C12" s="120">
        <v>1382.1789004547948</v>
      </c>
    </row>
    <row r="13" spans="1:3" x14ac:dyDescent="0.45">
      <c r="A13" t="s">
        <v>193</v>
      </c>
      <c r="B13" s="120">
        <v>4</v>
      </c>
      <c r="C13" s="120">
        <v>1348.2487416206377</v>
      </c>
    </row>
    <row r="14" spans="1:3" x14ac:dyDescent="0.45">
      <c r="A14" t="s">
        <v>201</v>
      </c>
      <c r="C14" s="120">
        <v>1500.437982464869</v>
      </c>
    </row>
    <row r="15" spans="1:3" x14ac:dyDescent="0.45">
      <c r="A15" t="s">
        <v>202</v>
      </c>
      <c r="C15" s="120">
        <v>1491.5152195648213</v>
      </c>
    </row>
    <row r="16" spans="1:3" x14ac:dyDescent="0.45">
      <c r="A16" t="s">
        <v>209</v>
      </c>
      <c r="C16" s="120">
        <v>1484.4200922656562</v>
      </c>
    </row>
    <row r="17" spans="1:8" x14ac:dyDescent="0.45">
      <c r="A17" t="s">
        <v>204</v>
      </c>
      <c r="C17" s="120">
        <v>1519.3079580555725</v>
      </c>
      <c r="G17" s="120"/>
      <c r="H17" s="120"/>
    </row>
    <row r="18" spans="1:8" x14ac:dyDescent="0.45">
      <c r="A18" t="s">
        <v>200</v>
      </c>
      <c r="C18" s="120">
        <v>1519.2052586122145</v>
      </c>
      <c r="G18" s="120"/>
      <c r="H18" s="120"/>
    </row>
    <row r="19" spans="1:8" x14ac:dyDescent="0.45">
      <c r="A19" t="s">
        <v>203</v>
      </c>
      <c r="C19" s="120">
        <v>1503.1020000000001</v>
      </c>
      <c r="G19" s="120"/>
      <c r="H19" s="120"/>
    </row>
    <row r="20" spans="1:8" x14ac:dyDescent="0.45">
      <c r="A20" t="s">
        <v>205</v>
      </c>
      <c r="C20" s="120">
        <v>1489.2889468180317</v>
      </c>
      <c r="G20" s="120"/>
      <c r="H20" s="120"/>
    </row>
    <row r="21" spans="1:8" x14ac:dyDescent="0.45">
      <c r="A21" t="s">
        <v>207</v>
      </c>
      <c r="C21" s="120">
        <v>1484.6521503082251</v>
      </c>
      <c r="G21" s="120"/>
      <c r="H21" s="120"/>
    </row>
    <row r="22" spans="1:8" x14ac:dyDescent="0.45">
      <c r="A22" t="s">
        <v>206</v>
      </c>
      <c r="C22" s="120">
        <v>1476.2954110473599</v>
      </c>
      <c r="G22" s="120"/>
      <c r="H22" s="120"/>
    </row>
    <row r="23" spans="1:8" x14ac:dyDescent="0.45">
      <c r="A23" t="s">
        <v>221</v>
      </c>
      <c r="B23" s="120">
        <v>2</v>
      </c>
      <c r="C23" s="120">
        <v>1500</v>
      </c>
    </row>
    <row r="24" spans="1:8" x14ac:dyDescent="0.45">
      <c r="A24" t="s">
        <v>216</v>
      </c>
      <c r="B24" s="120">
        <v>18</v>
      </c>
      <c r="C24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5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5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5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5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5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5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5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5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5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5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5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5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5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5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5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5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5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5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5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5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5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5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5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5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5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5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5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5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5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5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5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5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5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5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5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5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5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5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5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5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5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5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/>
  </sheetViews>
  <sheetFormatPr defaultColWidth="9" defaultRowHeight="18" x14ac:dyDescent="0.45"/>
  <cols>
    <col min="1" max="1" width="6" style="46" customWidth="1"/>
    <col min="2" max="2" width="10.59765625" style="49" customWidth="1"/>
    <col min="3" max="3" width="10.59765625" style="114" customWidth="1"/>
    <col min="4" max="4" width="10.59765625" style="47" customWidth="1"/>
    <col min="5" max="5" width="10.59765625" style="48" customWidth="1"/>
    <col min="6" max="6" width="10.59765625" style="49" customWidth="1"/>
    <col min="7" max="7" width="10.59765625" style="61" customWidth="1"/>
    <col min="8" max="8" width="10.59765625" style="49" customWidth="1"/>
    <col min="9" max="9" width="10.59765625" style="53" customWidth="1"/>
    <col min="10" max="10" width="10.59765625" style="49" customWidth="1"/>
    <col min="11" max="11" width="10.59765625" style="50" customWidth="1"/>
    <col min="12" max="12" width="10.59765625" style="49" customWidth="1"/>
    <col min="13" max="13" width="10.59765625" style="51" customWidth="1"/>
    <col min="14" max="14" width="10.59765625" style="49" customWidth="1"/>
    <col min="15" max="15" width="10.59765625" style="51" customWidth="1"/>
    <col min="16" max="16" width="10.59765625" style="49" customWidth="1"/>
    <col min="17" max="17" width="10.59765625" style="52" customWidth="1"/>
    <col min="18" max="18" width="10.59765625" style="49" customWidth="1"/>
    <col min="19" max="19" width="10.59765625" style="52" customWidth="1"/>
    <col min="20" max="20" width="10.59765625" style="49" customWidth="1"/>
    <col min="21" max="21" width="10.59765625" style="53" customWidth="1"/>
    <col min="22" max="22" width="10.59765625" style="49" customWidth="1"/>
    <col min="23" max="23" width="10.59765625" style="53" customWidth="1"/>
    <col min="24" max="24" width="10.59765625" style="49" customWidth="1"/>
    <col min="25" max="25" width="10.59765625" style="51" customWidth="1"/>
    <col min="26" max="26" width="10.59765625" style="49" customWidth="1"/>
    <col min="27" max="27" width="10.59765625" style="52" customWidth="1"/>
    <col min="28" max="28" width="10.59765625" style="49" customWidth="1"/>
    <col min="29" max="29" width="10.59765625" style="52" customWidth="1"/>
    <col min="30" max="30" width="10.59765625" style="49" customWidth="1"/>
    <col min="31" max="31" width="10.59765625" style="52" customWidth="1"/>
    <col min="32" max="32" width="10.59765625" style="49" customWidth="1"/>
    <col min="33" max="33" width="10.59765625" style="52" customWidth="1"/>
    <col min="34" max="34" width="10.59765625" style="49" customWidth="1"/>
    <col min="35" max="35" width="10.59765625" style="52" customWidth="1"/>
    <col min="36" max="36" width="10.59765625" style="49" customWidth="1"/>
    <col min="37" max="37" width="10.59765625" style="56" customWidth="1"/>
    <col min="38" max="16384" width="9" style="37"/>
  </cols>
  <sheetData>
    <row r="1" spans="1:37" x14ac:dyDescent="0.45">
      <c r="A1" s="36"/>
      <c r="B1" s="147" t="s">
        <v>9</v>
      </c>
      <c r="C1" s="148"/>
      <c r="D1" s="141" t="s">
        <v>6</v>
      </c>
      <c r="E1" s="142"/>
      <c r="F1" s="141" t="s">
        <v>7</v>
      </c>
      <c r="G1" s="142"/>
      <c r="H1" s="147" t="s">
        <v>196</v>
      </c>
      <c r="I1" s="148"/>
      <c r="J1" s="141" t="s">
        <v>15</v>
      </c>
      <c r="K1" s="142"/>
      <c r="L1" s="141" t="s">
        <v>14</v>
      </c>
      <c r="M1" s="142"/>
      <c r="N1" s="141" t="s">
        <v>149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180</v>
      </c>
      <c r="AK1" s="142"/>
    </row>
    <row r="2" spans="1:37" x14ac:dyDescent="0.45">
      <c r="A2" s="36" t="s">
        <v>208</v>
      </c>
      <c r="B2" s="143">
        <v>0.8780882337722794</v>
      </c>
      <c r="C2" s="144"/>
      <c r="D2" s="143">
        <v>0.23426930092135118</v>
      </c>
      <c r="E2" s="144"/>
      <c r="F2" s="143">
        <v>0.28538865453472823</v>
      </c>
      <c r="G2" s="144"/>
      <c r="H2" s="145"/>
      <c r="I2" s="146"/>
      <c r="J2" s="143">
        <v>0.10497963681242414</v>
      </c>
      <c r="K2" s="144"/>
      <c r="L2" s="143">
        <v>9.5707511648551263E-2</v>
      </c>
      <c r="M2" s="144"/>
      <c r="N2" s="143">
        <v>9.0622836700941775E-2</v>
      </c>
      <c r="O2" s="144"/>
      <c r="P2" s="143">
        <v>0.4253184295860642</v>
      </c>
      <c r="Q2" s="144"/>
      <c r="R2" s="143">
        <v>-0.1424199214187114</v>
      </c>
      <c r="S2" s="144"/>
      <c r="T2" s="143">
        <v>0.64719806294062465</v>
      </c>
      <c r="U2" s="144"/>
      <c r="V2" s="143">
        <v>0.10832693276381633</v>
      </c>
      <c r="W2" s="144"/>
      <c r="X2" s="143">
        <v>-0.16506257107551461</v>
      </c>
      <c r="Y2" s="144"/>
      <c r="Z2" s="143">
        <v>7.0408177371446584E-2</v>
      </c>
      <c r="AA2" s="144"/>
      <c r="AB2" s="143">
        <v>-0.13795130836366612</v>
      </c>
      <c r="AC2" s="144"/>
      <c r="AD2" s="143">
        <v>0.34381890404647614</v>
      </c>
      <c r="AE2" s="144"/>
      <c r="AF2" s="143">
        <v>0.31922165719247075</v>
      </c>
      <c r="AG2" s="144"/>
      <c r="AH2" s="143">
        <v>0.16548929382151117</v>
      </c>
      <c r="AI2" s="144"/>
      <c r="AJ2" s="143">
        <v>0.913262649538643</v>
      </c>
      <c r="AK2" s="144"/>
    </row>
    <row r="3" spans="1:37" x14ac:dyDescent="0.45">
      <c r="A3" s="38">
        <v>1</v>
      </c>
      <c r="B3" s="41" t="s">
        <v>139</v>
      </c>
      <c r="C3" s="113">
        <v>92</v>
      </c>
      <c r="D3" s="39" t="s">
        <v>192</v>
      </c>
      <c r="E3" s="40">
        <v>329.99999999999994</v>
      </c>
      <c r="F3" s="41" t="s">
        <v>192</v>
      </c>
      <c r="G3" s="60">
        <v>8.6842105263157876</v>
      </c>
      <c r="H3" s="41" t="s">
        <v>126</v>
      </c>
      <c r="I3" s="45">
        <v>1764.6511569722663</v>
      </c>
      <c r="J3" s="41" t="s">
        <v>192</v>
      </c>
      <c r="K3" s="42">
        <v>1.7105263157894737</v>
      </c>
      <c r="L3" s="41" t="s">
        <v>195</v>
      </c>
      <c r="M3" s="43">
        <v>0.55555555555555558</v>
      </c>
      <c r="N3" s="41" t="s">
        <v>192</v>
      </c>
      <c r="O3" s="43">
        <v>0.18421052631578946</v>
      </c>
      <c r="P3" s="41" t="s">
        <v>192</v>
      </c>
      <c r="Q3" s="44">
        <v>0.34662576687116564</v>
      </c>
      <c r="R3" s="41" t="s">
        <v>190</v>
      </c>
      <c r="S3" s="44">
        <v>9.6774193548387094E-2</v>
      </c>
      <c r="T3" s="41" t="s">
        <v>221</v>
      </c>
      <c r="U3" s="45">
        <v>10925</v>
      </c>
      <c r="V3" s="41" t="s">
        <v>190</v>
      </c>
      <c r="W3" s="45">
        <v>-5560</v>
      </c>
      <c r="X3" s="41" t="s">
        <v>193</v>
      </c>
      <c r="Y3" s="43">
        <v>0</v>
      </c>
      <c r="Z3" s="41" t="s">
        <v>189</v>
      </c>
      <c r="AA3" s="44">
        <v>0.27450980392156865</v>
      </c>
      <c r="AB3" s="41" t="s">
        <v>189</v>
      </c>
      <c r="AC3" s="44">
        <v>0.29738562091503268</v>
      </c>
      <c r="AD3" s="41" t="s">
        <v>195</v>
      </c>
      <c r="AE3" s="44">
        <v>0.6875</v>
      </c>
      <c r="AF3" s="41" t="s">
        <v>211</v>
      </c>
      <c r="AG3" s="44">
        <v>0.49230769230769234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5">
      <c r="A4" s="46">
        <v>2</v>
      </c>
      <c r="B4" s="49" t="s">
        <v>126</v>
      </c>
      <c r="C4" s="114">
        <v>76</v>
      </c>
      <c r="D4" s="47" t="s">
        <v>211</v>
      </c>
      <c r="E4" s="48">
        <v>65.59999999999998</v>
      </c>
      <c r="F4" s="49" t="s">
        <v>211</v>
      </c>
      <c r="G4" s="61">
        <v>1.9294117647058817</v>
      </c>
      <c r="H4" s="49" t="s">
        <v>163</v>
      </c>
      <c r="I4" s="53">
        <v>1623.0600080708391</v>
      </c>
      <c r="J4" s="49" t="s">
        <v>195</v>
      </c>
      <c r="K4" s="50">
        <v>1.8888888888888888</v>
      </c>
      <c r="L4" s="49" t="s">
        <v>192</v>
      </c>
      <c r="M4" s="51">
        <v>0.47368421052631576</v>
      </c>
      <c r="N4" s="49" t="s">
        <v>190</v>
      </c>
      <c r="O4" s="51">
        <v>0.21052631578947367</v>
      </c>
      <c r="P4" s="49" t="s">
        <v>126</v>
      </c>
      <c r="Q4" s="52">
        <v>0.31645569620253167</v>
      </c>
      <c r="R4" s="49" t="s">
        <v>192</v>
      </c>
      <c r="S4" s="52">
        <v>0.1196319018404908</v>
      </c>
      <c r="T4" s="49" t="s">
        <v>195</v>
      </c>
      <c r="U4" s="53">
        <v>8727.2727272727279</v>
      </c>
      <c r="V4" s="49" t="s">
        <v>211</v>
      </c>
      <c r="W4" s="53">
        <v>-6691.8918918918916</v>
      </c>
      <c r="X4" s="49" t="s">
        <v>221</v>
      </c>
      <c r="Y4" s="51">
        <v>0</v>
      </c>
      <c r="Z4" s="49" t="s">
        <v>193</v>
      </c>
      <c r="AA4" s="52">
        <v>0.25714285714285712</v>
      </c>
      <c r="AB4" s="49" t="s">
        <v>193</v>
      </c>
      <c r="AC4" s="52">
        <v>0.2857142857142857</v>
      </c>
      <c r="AD4" s="49" t="s">
        <v>190</v>
      </c>
      <c r="AE4" s="52">
        <v>0.58333333333333337</v>
      </c>
      <c r="AF4" s="49" t="s">
        <v>192</v>
      </c>
      <c r="AG4" s="52">
        <v>0.47560975609756095</v>
      </c>
      <c r="AH4" s="49" t="s">
        <v>195</v>
      </c>
      <c r="AI4" s="52">
        <v>0.54545454545454541</v>
      </c>
      <c r="AJ4" s="49" t="s">
        <v>139</v>
      </c>
      <c r="AK4" s="56">
        <v>103000</v>
      </c>
    </row>
    <row r="5" spans="1:37" x14ac:dyDescent="0.45">
      <c r="A5" s="46">
        <v>3</v>
      </c>
      <c r="B5" s="49" t="s">
        <v>163</v>
      </c>
      <c r="C5" s="114">
        <v>41</v>
      </c>
      <c r="D5" s="47" t="s">
        <v>126</v>
      </c>
      <c r="E5" s="48">
        <v>50.799999999999955</v>
      </c>
      <c r="F5" s="49" t="s">
        <v>126</v>
      </c>
      <c r="G5" s="61">
        <v>0.66842105263157836</v>
      </c>
      <c r="H5" s="49" t="s">
        <v>139</v>
      </c>
      <c r="I5" s="53">
        <v>1604.361555358953</v>
      </c>
      <c r="J5" s="49" t="s">
        <v>190</v>
      </c>
      <c r="K5" s="50">
        <v>1.9473684210526316</v>
      </c>
      <c r="L5" s="49" t="s">
        <v>211</v>
      </c>
      <c r="M5" s="51">
        <v>0.38235294117647056</v>
      </c>
      <c r="N5" s="49" t="s">
        <v>139</v>
      </c>
      <c r="O5" s="51">
        <v>0.33333333333333331</v>
      </c>
      <c r="P5" s="49" t="s">
        <v>211</v>
      </c>
      <c r="Q5" s="52">
        <v>0.30685920577617326</v>
      </c>
      <c r="R5" s="49" t="s">
        <v>211</v>
      </c>
      <c r="S5" s="52">
        <v>0.13357400722021662</v>
      </c>
      <c r="T5" s="49" t="s">
        <v>163</v>
      </c>
      <c r="U5" s="53">
        <v>8634.0425531914898</v>
      </c>
      <c r="V5" s="49" t="s">
        <v>126</v>
      </c>
      <c r="W5" s="53">
        <v>-6826.8907563025214</v>
      </c>
      <c r="X5" s="49" t="s">
        <v>189</v>
      </c>
      <c r="Y5" s="51">
        <v>2.8571428571428571E-2</v>
      </c>
      <c r="Z5" s="49" t="s">
        <v>163</v>
      </c>
      <c r="AA5" s="52">
        <v>0.25428571428571428</v>
      </c>
      <c r="AB5" s="49" t="s">
        <v>221</v>
      </c>
      <c r="AC5" s="52">
        <v>0.27777777777777779</v>
      </c>
      <c r="AD5" s="49" t="s">
        <v>211</v>
      </c>
      <c r="AE5" s="52">
        <v>0.57894736842105265</v>
      </c>
      <c r="AF5" s="49" t="s">
        <v>126</v>
      </c>
      <c r="AG5" s="52">
        <v>0.45522388059701491</v>
      </c>
      <c r="AH5" s="49" t="s">
        <v>189</v>
      </c>
      <c r="AI5" s="52">
        <v>0.48351648351648352</v>
      </c>
      <c r="AJ5" s="49" t="s">
        <v>192</v>
      </c>
      <c r="AK5" s="56">
        <v>98800</v>
      </c>
    </row>
    <row r="6" spans="1:37" x14ac:dyDescent="0.45">
      <c r="A6" s="46">
        <v>4</v>
      </c>
      <c r="B6" s="49" t="s">
        <v>192</v>
      </c>
      <c r="C6" s="114">
        <v>38</v>
      </c>
      <c r="D6" s="47" t="s">
        <v>139</v>
      </c>
      <c r="E6" s="48">
        <v>2.1316282072803006E-14</v>
      </c>
      <c r="F6" s="49" t="s">
        <v>139</v>
      </c>
      <c r="G6" s="61">
        <v>7.7232906060880453E-17</v>
      </c>
      <c r="H6" s="49" t="s">
        <v>192</v>
      </c>
      <c r="I6" s="53">
        <v>1589.912780417498</v>
      </c>
      <c r="J6" s="49" t="s">
        <v>211</v>
      </c>
      <c r="K6" s="50">
        <v>1.9705882352941178</v>
      </c>
      <c r="L6" s="49" t="s">
        <v>189</v>
      </c>
      <c r="M6" s="51">
        <v>0.34285714285714286</v>
      </c>
      <c r="N6" s="49" t="s">
        <v>189</v>
      </c>
      <c r="O6" s="51">
        <v>0.34285714285714286</v>
      </c>
      <c r="P6" s="49" t="s">
        <v>189</v>
      </c>
      <c r="Q6" s="52">
        <v>0.29738562091503268</v>
      </c>
      <c r="R6" s="49" t="s">
        <v>195</v>
      </c>
      <c r="S6" s="52">
        <v>0.14864864864864866</v>
      </c>
      <c r="T6" s="49" t="s">
        <v>193</v>
      </c>
      <c r="U6" s="53">
        <v>8212.5</v>
      </c>
      <c r="V6" s="49" t="s">
        <v>195</v>
      </c>
      <c r="W6" s="53">
        <v>-7154.545454545455</v>
      </c>
      <c r="X6" s="49" t="s">
        <v>190</v>
      </c>
      <c r="Y6" s="51">
        <v>5.2631578947368418E-2</v>
      </c>
      <c r="Z6" s="49" t="s">
        <v>126</v>
      </c>
      <c r="AA6" s="52">
        <v>0.24841772151898733</v>
      </c>
      <c r="AB6" s="49" t="s">
        <v>192</v>
      </c>
      <c r="AC6" s="52">
        <v>0.25153374233128833</v>
      </c>
      <c r="AD6" s="49" t="s">
        <v>126</v>
      </c>
      <c r="AE6" s="52">
        <v>0.56687898089171973</v>
      </c>
      <c r="AF6" s="49" t="s">
        <v>195</v>
      </c>
      <c r="AG6" s="52">
        <v>0.44444444444444442</v>
      </c>
      <c r="AH6" s="49" t="s">
        <v>126</v>
      </c>
      <c r="AI6" s="52">
        <v>0.46</v>
      </c>
      <c r="AJ6" s="49" t="s">
        <v>163</v>
      </c>
      <c r="AK6" s="56">
        <v>94700</v>
      </c>
    </row>
    <row r="7" spans="1:37" x14ac:dyDescent="0.45">
      <c r="A7" s="46">
        <v>5</v>
      </c>
      <c r="B7" s="49" t="s">
        <v>189</v>
      </c>
      <c r="C7" s="114">
        <v>35</v>
      </c>
      <c r="D7" s="47" t="s">
        <v>190</v>
      </c>
      <c r="E7" s="48">
        <v>-9.6000000000000192</v>
      </c>
      <c r="F7" s="49" t="s">
        <v>190</v>
      </c>
      <c r="G7" s="61">
        <v>-0.50526315789473786</v>
      </c>
      <c r="H7" s="49" t="s">
        <v>190</v>
      </c>
      <c r="I7" s="53">
        <v>1531.9675976799019</v>
      </c>
      <c r="J7" s="49" t="s">
        <v>139</v>
      </c>
      <c r="K7" s="50">
        <v>1.9963768115942029</v>
      </c>
      <c r="L7" s="49" t="s">
        <v>139</v>
      </c>
      <c r="M7" s="51">
        <v>0.33695652173913043</v>
      </c>
      <c r="N7" s="49" t="s">
        <v>211</v>
      </c>
      <c r="O7" s="51">
        <v>0.35294117647058826</v>
      </c>
      <c r="P7" s="49" t="s">
        <v>195</v>
      </c>
      <c r="Q7" s="52">
        <v>0.29729729729729731</v>
      </c>
      <c r="R7" s="49" t="s">
        <v>139</v>
      </c>
      <c r="S7" s="52">
        <v>0.16472114137483787</v>
      </c>
      <c r="T7" s="49" t="s">
        <v>126</v>
      </c>
      <c r="U7" s="53">
        <v>8139</v>
      </c>
      <c r="V7" s="49" t="s">
        <v>139</v>
      </c>
      <c r="W7" s="53">
        <v>-7348.0314960629921</v>
      </c>
      <c r="X7" s="49" t="s">
        <v>192</v>
      </c>
      <c r="Y7" s="51">
        <v>5.2631578947368418E-2</v>
      </c>
      <c r="Z7" s="49" t="s">
        <v>139</v>
      </c>
      <c r="AA7" s="52">
        <v>0.23865110246433205</v>
      </c>
      <c r="AB7" s="49" t="s">
        <v>163</v>
      </c>
      <c r="AC7" s="52">
        <v>0.24</v>
      </c>
      <c r="AD7" s="49" t="s">
        <v>192</v>
      </c>
      <c r="AE7" s="52">
        <v>0.52941176470588236</v>
      </c>
      <c r="AF7" s="49" t="s">
        <v>139</v>
      </c>
      <c r="AG7" s="52">
        <v>0.42056074766355139</v>
      </c>
      <c r="AH7" s="49" t="s">
        <v>163</v>
      </c>
      <c r="AI7" s="52">
        <v>0.45744680851063829</v>
      </c>
      <c r="AJ7" s="49" t="s">
        <v>211</v>
      </c>
      <c r="AK7" s="56">
        <v>80600</v>
      </c>
    </row>
    <row r="8" spans="1:37" x14ac:dyDescent="0.45">
      <c r="A8" s="46">
        <v>6</v>
      </c>
      <c r="B8" s="49" t="s">
        <v>211</v>
      </c>
      <c r="C8" s="114">
        <v>34</v>
      </c>
      <c r="D8" s="47" t="s">
        <v>221</v>
      </c>
      <c r="E8" s="48">
        <v>-13.5</v>
      </c>
      <c r="F8" s="49" t="s">
        <v>189</v>
      </c>
      <c r="G8" s="61">
        <v>-0.56857142857142884</v>
      </c>
      <c r="H8" s="49" t="s">
        <v>211</v>
      </c>
      <c r="I8" s="53">
        <v>1515.6083269485507</v>
      </c>
      <c r="J8" s="49" t="s">
        <v>189</v>
      </c>
      <c r="K8" s="50">
        <v>2</v>
      </c>
      <c r="L8" s="49" t="s">
        <v>126</v>
      </c>
      <c r="M8" s="51">
        <v>0.31578947368421051</v>
      </c>
      <c r="N8" s="49" t="s">
        <v>126</v>
      </c>
      <c r="O8" s="51">
        <v>0.35526315789473684</v>
      </c>
      <c r="P8" s="49" t="s">
        <v>139</v>
      </c>
      <c r="Q8" s="52">
        <v>0.29615218331171639</v>
      </c>
      <c r="R8" s="49" t="s">
        <v>221</v>
      </c>
      <c r="S8" s="52">
        <v>0.16666666666666666</v>
      </c>
      <c r="T8" s="49" t="s">
        <v>190</v>
      </c>
      <c r="U8" s="53">
        <v>8118.4210526315792</v>
      </c>
      <c r="V8" s="49" t="s">
        <v>192</v>
      </c>
      <c r="W8" s="53">
        <v>-7448.7179487179483</v>
      </c>
      <c r="X8" s="49" t="s">
        <v>211</v>
      </c>
      <c r="Y8" s="51">
        <v>5.8823529411764705E-2</v>
      </c>
      <c r="Z8" s="49" t="s">
        <v>190</v>
      </c>
      <c r="AA8" s="52">
        <v>0.23225806451612904</v>
      </c>
      <c r="AB8" s="49" t="s">
        <v>211</v>
      </c>
      <c r="AC8" s="52">
        <v>0.23465703971119134</v>
      </c>
      <c r="AD8" s="49" t="s">
        <v>139</v>
      </c>
      <c r="AE8" s="52">
        <v>0.52173913043478259</v>
      </c>
      <c r="AF8" s="49" t="s">
        <v>193</v>
      </c>
      <c r="AG8" s="52">
        <v>0.4</v>
      </c>
      <c r="AH8" s="49" t="s">
        <v>139</v>
      </c>
      <c r="AI8" s="52">
        <v>0.43795620437956206</v>
      </c>
      <c r="AJ8" s="49" t="s">
        <v>190</v>
      </c>
      <c r="AK8" s="56">
        <v>80000</v>
      </c>
    </row>
    <row r="9" spans="1:37" x14ac:dyDescent="0.45">
      <c r="A9" s="46">
        <v>7</v>
      </c>
      <c r="B9" s="49" t="s">
        <v>190</v>
      </c>
      <c r="C9" s="114">
        <v>19</v>
      </c>
      <c r="D9" s="47" t="s">
        <v>189</v>
      </c>
      <c r="E9" s="48">
        <v>-19.900000000000009</v>
      </c>
      <c r="F9" s="49" t="s">
        <v>195</v>
      </c>
      <c r="G9" s="61">
        <v>-2.3555555555555561</v>
      </c>
      <c r="H9" s="49" t="s">
        <v>221</v>
      </c>
      <c r="I9" s="53">
        <v>1497.379788</v>
      </c>
      <c r="J9" s="49" t="s">
        <v>126</v>
      </c>
      <c r="K9" s="50">
        <v>2.0394736842105261</v>
      </c>
      <c r="L9" s="49" t="s">
        <v>163</v>
      </c>
      <c r="M9" s="51">
        <v>0.26829268292682928</v>
      </c>
      <c r="N9" s="49" t="s">
        <v>163</v>
      </c>
      <c r="O9" s="51">
        <v>0.36585365853658536</v>
      </c>
      <c r="P9" s="49" t="s">
        <v>163</v>
      </c>
      <c r="Q9" s="52">
        <v>0.26857142857142857</v>
      </c>
      <c r="R9" s="49" t="s">
        <v>189</v>
      </c>
      <c r="S9" s="52">
        <v>0.17647058823529413</v>
      </c>
      <c r="T9" s="49" t="s">
        <v>139</v>
      </c>
      <c r="U9" s="53">
        <v>7983.5036496350367</v>
      </c>
      <c r="V9" s="49" t="s">
        <v>189</v>
      </c>
      <c r="W9" s="53">
        <v>-7775.9259259259261</v>
      </c>
      <c r="X9" s="49" t="s">
        <v>126</v>
      </c>
      <c r="Y9" s="51">
        <v>6.5789473684210523E-2</v>
      </c>
      <c r="Z9" s="49" t="s">
        <v>216</v>
      </c>
      <c r="AA9" s="52">
        <v>0.22857142857142856</v>
      </c>
      <c r="AB9" s="49" t="s">
        <v>139</v>
      </c>
      <c r="AC9" s="52">
        <v>0.2313013402507566</v>
      </c>
      <c r="AD9" s="49" t="s">
        <v>189</v>
      </c>
      <c r="AE9" s="52">
        <v>0.47619047619047616</v>
      </c>
      <c r="AF9" s="49" t="s">
        <v>221</v>
      </c>
      <c r="AG9" s="52">
        <v>0.4</v>
      </c>
      <c r="AH9" s="49" t="s">
        <v>216</v>
      </c>
      <c r="AI9" s="52">
        <v>0.43333333333333335</v>
      </c>
      <c r="AJ9" s="49" t="s">
        <v>216</v>
      </c>
      <c r="AK9" s="56">
        <v>74600</v>
      </c>
    </row>
    <row r="10" spans="1:37" x14ac:dyDescent="0.45">
      <c r="A10" s="46">
        <v>8</v>
      </c>
      <c r="B10" s="49" t="s">
        <v>216</v>
      </c>
      <c r="C10" s="114">
        <v>18</v>
      </c>
      <c r="D10" s="47" t="s">
        <v>195</v>
      </c>
      <c r="E10" s="48">
        <v>-21.200000000000003</v>
      </c>
      <c r="F10" s="49" t="s">
        <v>163</v>
      </c>
      <c r="G10" s="61">
        <v>-3.6634146341463421</v>
      </c>
      <c r="H10" s="49" t="s">
        <v>216</v>
      </c>
      <c r="I10" s="53">
        <v>1475.2783888604056</v>
      </c>
      <c r="J10" s="49" t="s">
        <v>163</v>
      </c>
      <c r="K10" s="50">
        <v>2.0975609756097562</v>
      </c>
      <c r="L10" s="49" t="s">
        <v>190</v>
      </c>
      <c r="M10" s="51">
        <v>0.26315789473684209</v>
      </c>
      <c r="N10" s="49" t="s">
        <v>216</v>
      </c>
      <c r="O10" s="51">
        <v>0.44444444444444442</v>
      </c>
      <c r="P10" s="49" t="s">
        <v>190</v>
      </c>
      <c r="Q10" s="52">
        <v>0.24516129032258063</v>
      </c>
      <c r="R10" s="49" t="s">
        <v>126</v>
      </c>
      <c r="S10" s="52">
        <v>0.18829113924050633</v>
      </c>
      <c r="T10" s="49" t="s">
        <v>211</v>
      </c>
      <c r="U10" s="53">
        <v>7845.8823529411766</v>
      </c>
      <c r="V10" s="49" t="s">
        <v>216</v>
      </c>
      <c r="W10" s="53">
        <v>-7886.2068965517237</v>
      </c>
      <c r="X10" s="49" t="s">
        <v>139</v>
      </c>
      <c r="Y10" s="51">
        <v>7.2463768115942032E-2</v>
      </c>
      <c r="Z10" s="49" t="s">
        <v>221</v>
      </c>
      <c r="AA10" s="52">
        <v>0.22222222222222221</v>
      </c>
      <c r="AB10" s="49" t="s">
        <v>126</v>
      </c>
      <c r="AC10" s="52">
        <v>0.21202531645569619</v>
      </c>
      <c r="AD10" s="49" t="s">
        <v>163</v>
      </c>
      <c r="AE10" s="52">
        <v>0.4606741573033708</v>
      </c>
      <c r="AF10" s="49" t="s">
        <v>189</v>
      </c>
      <c r="AG10" s="52">
        <v>0.39560439560439559</v>
      </c>
      <c r="AH10" s="49" t="s">
        <v>192</v>
      </c>
      <c r="AI10" s="52">
        <v>0.41592920353982299</v>
      </c>
      <c r="AJ10" s="49" t="s">
        <v>189</v>
      </c>
      <c r="AK10" s="56">
        <v>69000</v>
      </c>
    </row>
    <row r="11" spans="1:37" x14ac:dyDescent="0.45">
      <c r="A11" s="46">
        <v>9</v>
      </c>
      <c r="B11" s="49" t="s">
        <v>195</v>
      </c>
      <c r="C11" s="114">
        <v>9</v>
      </c>
      <c r="D11" s="47" t="s">
        <v>193</v>
      </c>
      <c r="E11" s="48">
        <v>-51.699999999999996</v>
      </c>
      <c r="F11" s="49" t="s">
        <v>221</v>
      </c>
      <c r="G11" s="61">
        <v>-6.75</v>
      </c>
      <c r="H11" s="49" t="s">
        <v>189</v>
      </c>
      <c r="I11" s="53">
        <v>1460.1941462304428</v>
      </c>
      <c r="J11" s="49" t="s">
        <v>216</v>
      </c>
      <c r="K11" s="50">
        <v>2.2222222222222223</v>
      </c>
      <c r="L11" s="49" t="s">
        <v>193</v>
      </c>
      <c r="M11" s="51">
        <v>0.25</v>
      </c>
      <c r="N11" s="49" t="s">
        <v>195</v>
      </c>
      <c r="O11" s="51">
        <v>0.44444444444444442</v>
      </c>
      <c r="P11" s="49" t="s">
        <v>193</v>
      </c>
      <c r="Q11" s="52">
        <v>0.22857142857142856</v>
      </c>
      <c r="R11" s="49" t="s">
        <v>163</v>
      </c>
      <c r="S11" s="52">
        <v>0.18857142857142858</v>
      </c>
      <c r="T11" s="49" t="s">
        <v>192</v>
      </c>
      <c r="U11" s="53">
        <v>7695.575221238938</v>
      </c>
      <c r="V11" s="49" t="s">
        <v>163</v>
      </c>
      <c r="W11" s="53">
        <v>-8066.666666666667</v>
      </c>
      <c r="X11" s="49" t="s">
        <v>216</v>
      </c>
      <c r="Y11" s="51">
        <v>0.1111111111111111</v>
      </c>
      <c r="Z11" s="49" t="s">
        <v>195</v>
      </c>
      <c r="AA11" s="52">
        <v>0.21621621621621623</v>
      </c>
      <c r="AB11" s="49" t="s">
        <v>190</v>
      </c>
      <c r="AC11" s="52">
        <v>0.2</v>
      </c>
      <c r="AD11" s="49" t="s">
        <v>216</v>
      </c>
      <c r="AE11" s="52">
        <v>0.4375</v>
      </c>
      <c r="AF11" s="49" t="s">
        <v>190</v>
      </c>
      <c r="AG11" s="52">
        <v>0.38709677419354838</v>
      </c>
      <c r="AH11" s="49" t="s">
        <v>211</v>
      </c>
      <c r="AI11" s="52">
        <v>0.41176470588235292</v>
      </c>
      <c r="AJ11" s="49" t="s">
        <v>195</v>
      </c>
      <c r="AK11" s="56">
        <v>65700</v>
      </c>
    </row>
    <row r="12" spans="1:37" x14ac:dyDescent="0.45">
      <c r="A12" s="46">
        <v>10</v>
      </c>
      <c r="B12" s="49" t="s">
        <v>193</v>
      </c>
      <c r="C12" s="114">
        <v>4</v>
      </c>
      <c r="D12" s="47" t="s">
        <v>163</v>
      </c>
      <c r="E12" s="48">
        <v>-150.20000000000002</v>
      </c>
      <c r="F12" s="49" t="s">
        <v>216</v>
      </c>
      <c r="G12" s="61">
        <v>-10.016666666666667</v>
      </c>
      <c r="H12" s="49" t="s">
        <v>195</v>
      </c>
      <c r="I12" s="53">
        <v>1397.8590871718811</v>
      </c>
      <c r="J12" s="49" t="s">
        <v>193</v>
      </c>
      <c r="K12" s="50">
        <v>2.25</v>
      </c>
      <c r="L12" s="49" t="s">
        <v>216</v>
      </c>
      <c r="M12" s="51">
        <v>0.22222222222222221</v>
      </c>
      <c r="N12" s="49" t="s">
        <v>193</v>
      </c>
      <c r="O12" s="51">
        <v>0.5</v>
      </c>
      <c r="P12" s="49" t="s">
        <v>221</v>
      </c>
      <c r="Q12" s="52">
        <v>0.22222222222222221</v>
      </c>
      <c r="R12" s="49" t="s">
        <v>216</v>
      </c>
      <c r="S12" s="52">
        <v>0.20714285714285716</v>
      </c>
      <c r="T12" s="49" t="s">
        <v>189</v>
      </c>
      <c r="U12" s="53">
        <v>7334.065934065934</v>
      </c>
      <c r="V12" s="49" t="s">
        <v>193</v>
      </c>
      <c r="W12" s="53">
        <v>-9387.5</v>
      </c>
      <c r="X12" s="49" t="s">
        <v>163</v>
      </c>
      <c r="Y12" s="51">
        <v>0.12195121951219512</v>
      </c>
      <c r="Z12" s="49" t="s">
        <v>192</v>
      </c>
      <c r="AA12" s="52">
        <v>0.20858895705521471</v>
      </c>
      <c r="AB12" s="49" t="s">
        <v>216</v>
      </c>
      <c r="AC12" s="52">
        <v>0.17142857142857143</v>
      </c>
      <c r="AD12" s="49" t="s">
        <v>221</v>
      </c>
      <c r="AE12" s="52">
        <v>0.25</v>
      </c>
      <c r="AF12" s="49" t="s">
        <v>163</v>
      </c>
      <c r="AG12" s="52">
        <v>0.33333333333333331</v>
      </c>
      <c r="AH12" s="49" t="s">
        <v>193</v>
      </c>
      <c r="AI12" s="52">
        <v>0.25</v>
      </c>
      <c r="AJ12" s="49" t="s">
        <v>193</v>
      </c>
      <c r="AK12" s="56">
        <v>45000</v>
      </c>
    </row>
    <row r="13" spans="1:37" x14ac:dyDescent="0.45">
      <c r="A13" s="46">
        <v>11</v>
      </c>
      <c r="B13" s="49" t="s">
        <v>221</v>
      </c>
      <c r="C13" s="114">
        <v>2</v>
      </c>
      <c r="D13" s="47" t="s">
        <v>216</v>
      </c>
      <c r="E13" s="48">
        <v>-180.3</v>
      </c>
      <c r="F13" s="49" t="s">
        <v>193</v>
      </c>
      <c r="G13" s="61">
        <v>-12.924999999999999</v>
      </c>
      <c r="H13" s="49" t="s">
        <v>193</v>
      </c>
      <c r="I13" s="53">
        <v>1343.1099105729741</v>
      </c>
      <c r="J13" s="49" t="s">
        <v>221</v>
      </c>
      <c r="K13" s="50">
        <v>2.5</v>
      </c>
      <c r="L13" s="49" t="s">
        <v>221</v>
      </c>
      <c r="M13" s="51">
        <v>0</v>
      </c>
      <c r="N13" s="49" t="s">
        <v>221</v>
      </c>
      <c r="O13" s="51">
        <v>0.5</v>
      </c>
      <c r="P13" s="49" t="s">
        <v>216</v>
      </c>
      <c r="Q13" s="52">
        <v>0.21428571428571427</v>
      </c>
      <c r="R13" s="49" t="s">
        <v>193</v>
      </c>
      <c r="S13" s="52">
        <v>0.22857142857142856</v>
      </c>
      <c r="T13" s="49" t="s">
        <v>216</v>
      </c>
      <c r="U13" s="53">
        <v>7183.333333333333</v>
      </c>
      <c r="V13" s="49" t="s">
        <v>221</v>
      </c>
      <c r="W13" s="53">
        <v>-10300</v>
      </c>
      <c r="X13" s="49" t="s">
        <v>195</v>
      </c>
      <c r="Y13" s="51">
        <v>0.22222222222222221</v>
      </c>
      <c r="Z13" s="49" t="s">
        <v>211</v>
      </c>
      <c r="AA13" s="52">
        <v>0.20577617328519857</v>
      </c>
      <c r="AB13" s="49" t="s">
        <v>195</v>
      </c>
      <c r="AC13" s="52">
        <v>0.12162162162162163</v>
      </c>
      <c r="AD13" s="49" t="s">
        <v>193</v>
      </c>
      <c r="AE13" s="52">
        <v>0.22222222222222221</v>
      </c>
      <c r="AF13" s="49" t="s">
        <v>216</v>
      </c>
      <c r="AG13" s="52">
        <v>0.29166666666666669</v>
      </c>
      <c r="AH13" s="49" t="s">
        <v>190</v>
      </c>
      <c r="AI13" s="52">
        <v>0.21052631578947367</v>
      </c>
      <c r="AJ13" s="49" t="s">
        <v>221</v>
      </c>
      <c r="AK13" s="56">
        <v>39000</v>
      </c>
    </row>
  </sheetData>
  <sortState xmlns:xlrd2="http://schemas.microsoft.com/office/spreadsheetml/2017/richdata2" ref="AJ3:AK66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65DD2-E908-4E36-8FEB-C8124C78CBEE}">
  <sheetPr codeName="Sheet4"/>
  <dimension ref="A1:R278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276</v>
      </c>
      <c r="C2" s="134"/>
      <c r="E2" s="26" t="s">
        <v>66</v>
      </c>
      <c r="F2" s="23" t="s">
        <v>22</v>
      </c>
      <c r="G2" s="11">
        <v>528</v>
      </c>
      <c r="H2" s="87">
        <f>IF(B$20=0,0,G2/B$20)</f>
        <v>0.77080291970802917</v>
      </c>
      <c r="I2" s="57">
        <v>5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-39.855072463768117</v>
      </c>
      <c r="Q2" s="76">
        <v>276</v>
      </c>
      <c r="R2" s="63">
        <v>-11000</v>
      </c>
    </row>
    <row r="3" spans="1:18" x14ac:dyDescent="0.45">
      <c r="A3" s="19" t="s">
        <v>8</v>
      </c>
      <c r="B3" s="135">
        <v>2313</v>
      </c>
      <c r="C3" s="136"/>
      <c r="E3" s="27" t="s">
        <v>72</v>
      </c>
      <c r="F3" s="24" t="s">
        <v>27</v>
      </c>
      <c r="G3" s="12">
        <v>405</v>
      </c>
      <c r="H3" s="88">
        <f>IF(B$20=0,0,G3/B$20)</f>
        <v>0.59124087591240881</v>
      </c>
      <c r="I3" s="58">
        <v>6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41.198501872659179</v>
      </c>
      <c r="Q3" s="77">
        <v>267</v>
      </c>
      <c r="R3" s="64">
        <v>11000</v>
      </c>
    </row>
    <row r="4" spans="1:18" x14ac:dyDescent="0.45">
      <c r="A4" s="19" t="s">
        <v>6</v>
      </c>
      <c r="B4" s="137">
        <v>2.1316282072803006E-14</v>
      </c>
      <c r="C4" s="138"/>
      <c r="E4" s="27" t="s">
        <v>64</v>
      </c>
      <c r="F4" s="24" t="s">
        <v>20</v>
      </c>
      <c r="G4" s="12">
        <v>279</v>
      </c>
      <c r="H4" s="88">
        <f>IF(B$20=0,0,G4/B$20)</f>
        <v>0.40729927007299271</v>
      </c>
      <c r="I4" s="58">
        <v>6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-22.222222222222221</v>
      </c>
      <c r="Q4" s="77">
        <v>270</v>
      </c>
      <c r="R4" s="64">
        <v>-6000</v>
      </c>
    </row>
    <row r="5" spans="1:18" x14ac:dyDescent="0.45">
      <c r="A5" s="19" t="s">
        <v>7</v>
      </c>
      <c r="B5" s="125">
        <f>IF(B$2=0,0,B$4/B$2)</f>
        <v>7.7232906060880453E-17</v>
      </c>
      <c r="C5" s="126"/>
      <c r="E5" s="27" t="s">
        <v>159</v>
      </c>
      <c r="F5" s="24" t="s">
        <v>160</v>
      </c>
      <c r="G5" s="12">
        <v>271</v>
      </c>
      <c r="H5" s="88">
        <f>IF(B$20=0,0,G5/B$20)</f>
        <v>0.39562043795620438</v>
      </c>
      <c r="I5" s="58">
        <v>6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-7.7519379844961236</v>
      </c>
      <c r="Q5" s="77">
        <v>258</v>
      </c>
      <c r="R5" s="64">
        <v>-2000</v>
      </c>
    </row>
    <row r="6" spans="1:18" x14ac:dyDescent="0.45">
      <c r="A6" s="19" t="s">
        <v>196</v>
      </c>
      <c r="B6" s="129">
        <v>1604.361555358953</v>
      </c>
      <c r="C6" s="130"/>
      <c r="E6" s="27" t="s">
        <v>68</v>
      </c>
      <c r="F6" s="24" t="s">
        <v>12</v>
      </c>
      <c r="G6" s="12">
        <v>202</v>
      </c>
      <c r="H6" s="88">
        <f>IF(B$20=0,0,G6/B$20)</f>
        <v>0.29489051094890512</v>
      </c>
      <c r="I6" s="58">
        <v>7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21.09704641350211</v>
      </c>
      <c r="Q6" s="77">
        <v>237</v>
      </c>
      <c r="R6" s="64">
        <v>5000</v>
      </c>
    </row>
    <row r="7" spans="1:18" x14ac:dyDescent="0.45">
      <c r="A7" s="19" t="s">
        <v>1</v>
      </c>
      <c r="B7" s="139">
        <f>IF(B$2=0,0,(B$8*1+B$9*2+B$10*3)/B$2)</f>
        <v>1.9963768115942029</v>
      </c>
      <c r="C7" s="140"/>
      <c r="E7" s="27" t="s">
        <v>67</v>
      </c>
      <c r="F7" s="24" t="s">
        <v>23</v>
      </c>
      <c r="G7" s="12">
        <v>150</v>
      </c>
      <c r="H7" s="88">
        <f>IF(B$20=0,0,G7/B$20)</f>
        <v>0.21897810218978103</v>
      </c>
      <c r="I7" s="58">
        <v>7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14.925373134328359</v>
      </c>
      <c r="Q7" s="78">
        <v>201</v>
      </c>
      <c r="R7" s="65">
        <v>3000</v>
      </c>
    </row>
    <row r="8" spans="1:18" x14ac:dyDescent="0.45">
      <c r="A8" s="19" t="s">
        <v>2</v>
      </c>
      <c r="B8" s="12">
        <v>93</v>
      </c>
      <c r="C8" s="6">
        <f t="shared" ref="C8:C15" si="1">IF(B$2=0,0,B8/B$2)</f>
        <v>0.33695652173913043</v>
      </c>
      <c r="E8" s="27" t="s">
        <v>89</v>
      </c>
      <c r="F8" s="24" t="s">
        <v>44</v>
      </c>
      <c r="G8" s="12">
        <v>100</v>
      </c>
      <c r="H8" s="88">
        <f>IF(B$20=0,0,G8/B$20)</f>
        <v>0.145985401459854</v>
      </c>
      <c r="I8" s="58">
        <v>6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5">
      <c r="A9" s="19" t="s">
        <v>3</v>
      </c>
      <c r="B9" s="12">
        <v>91</v>
      </c>
      <c r="C9" s="6">
        <f t="shared" si="1"/>
        <v>0.32971014492753625</v>
      </c>
      <c r="E9" s="27" t="s">
        <v>69</v>
      </c>
      <c r="F9" s="24" t="s">
        <v>24</v>
      </c>
      <c r="G9" s="12">
        <v>89</v>
      </c>
      <c r="H9" s="88">
        <f>IF(B$20=0,0,G9/B$20)</f>
        <v>0.12992700729927006</v>
      </c>
      <c r="I9" s="58">
        <v>4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92</v>
      </c>
      <c r="C10" s="7">
        <f t="shared" si="1"/>
        <v>0.33333333333333331</v>
      </c>
      <c r="E10" s="27" t="s">
        <v>70</v>
      </c>
      <c r="F10" s="24" t="s">
        <v>25</v>
      </c>
      <c r="G10" s="12">
        <v>73</v>
      </c>
      <c r="H10" s="88">
        <f>IF(B$20=0,0,G10/B$20)</f>
        <v>0.10656934306569343</v>
      </c>
      <c r="I10" s="58">
        <v>4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1.8543478260869568</v>
      </c>
      <c r="Q10" s="76">
        <v>92</v>
      </c>
      <c r="R10" s="67">
        <v>170.60000000000002</v>
      </c>
    </row>
    <row r="11" spans="1:18" x14ac:dyDescent="0.45">
      <c r="A11" s="20" t="s">
        <v>184</v>
      </c>
      <c r="B11" s="109">
        <f>IF(B8=0,0,C11/B8)</f>
        <v>33.416129032258056</v>
      </c>
      <c r="C11" s="110">
        <v>3107.6999999999994</v>
      </c>
      <c r="E11" s="27" t="s">
        <v>65</v>
      </c>
      <c r="F11" s="24" t="s">
        <v>21</v>
      </c>
      <c r="G11" s="12">
        <v>59</v>
      </c>
      <c r="H11" s="88">
        <f>IF(B$20=0,0,G11/B$20)</f>
        <v>8.6131386861313872E-2</v>
      </c>
      <c r="I11" s="58">
        <v>6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-3.6152173913043475</v>
      </c>
      <c r="Q11" s="77">
        <v>92</v>
      </c>
      <c r="R11" s="68">
        <v>-332.59999999999997</v>
      </c>
    </row>
    <row r="12" spans="1:18" x14ac:dyDescent="0.45">
      <c r="A12" s="20" t="s">
        <v>185</v>
      </c>
      <c r="B12" s="109">
        <f>IF(B9=0,0,C12/B9)</f>
        <v>-0.6604395604395602</v>
      </c>
      <c r="C12" s="110">
        <v>-60.09999999999998</v>
      </c>
      <c r="E12" s="27" t="s">
        <v>71</v>
      </c>
      <c r="F12" s="24" t="s">
        <v>26</v>
      </c>
      <c r="G12" s="12">
        <v>40</v>
      </c>
      <c r="H12" s="88">
        <f>IF(B$20=0,0,G12/B$20)</f>
        <v>5.8394160583941604E-2</v>
      </c>
      <c r="I12" s="58">
        <v>5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1.7608695652173909</v>
      </c>
      <c r="Q12" s="78">
        <v>92</v>
      </c>
      <c r="R12" s="69">
        <v>161.99999999999997</v>
      </c>
    </row>
    <row r="13" spans="1:18" x14ac:dyDescent="0.45">
      <c r="A13" s="20" t="s">
        <v>186</v>
      </c>
      <c r="B13" s="109">
        <f>IF(B10=0,0,C13/B10)</f>
        <v>-33.126086956521746</v>
      </c>
      <c r="C13" s="110">
        <v>-3047.6000000000004</v>
      </c>
      <c r="E13" s="27" t="s">
        <v>86</v>
      </c>
      <c r="F13" s="24" t="s">
        <v>41</v>
      </c>
      <c r="G13" s="12">
        <v>35</v>
      </c>
      <c r="H13" s="88">
        <f>IF(B$20=0,0,G13/B$20)</f>
        <v>5.1094890510948905E-2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-0.12346582823441803</v>
      </c>
      <c r="C14" s="126"/>
      <c r="E14" s="27" t="s">
        <v>83</v>
      </c>
      <c r="F14" s="24" t="s">
        <v>38</v>
      </c>
      <c r="G14" s="12">
        <v>28</v>
      </c>
      <c r="H14" s="88">
        <f>IF(B$20=0,0,G14/B$20)</f>
        <v>4.0875912408759124E-2</v>
      </c>
      <c r="I14" s="58">
        <v>6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20</v>
      </c>
      <c r="C15" s="9">
        <f t="shared" si="1"/>
        <v>7.2463768115942032E-2</v>
      </c>
      <c r="E15" s="27" t="s">
        <v>81</v>
      </c>
      <c r="F15" s="24" t="s">
        <v>36</v>
      </c>
      <c r="G15" s="12">
        <v>24</v>
      </c>
      <c r="H15" s="88">
        <f>IF(B$20=0,0,G15/B$20)</f>
        <v>3.5036496350364967E-2</v>
      </c>
      <c r="I15" s="58">
        <v>7</v>
      </c>
      <c r="K15" s="74">
        <v>13</v>
      </c>
      <c r="L15" s="119">
        <v>48.999999999999993</v>
      </c>
      <c r="M15" s="117">
        <v>1603.6953056015411</v>
      </c>
      <c r="O15" s="73" t="s">
        <v>193</v>
      </c>
      <c r="P15" s="82">
        <f>IF(Q15=0,0,R15/Q15)</f>
        <v>19.387500000000003</v>
      </c>
      <c r="Q15" s="76">
        <v>8</v>
      </c>
      <c r="R15" s="67">
        <v>155.10000000000002</v>
      </c>
    </row>
    <row r="16" spans="1:18" x14ac:dyDescent="0.45">
      <c r="A16" s="22" t="s">
        <v>121</v>
      </c>
      <c r="B16" s="15">
        <v>552</v>
      </c>
      <c r="C16" s="10">
        <f>IF(B$3=0,0,B16/B$3)</f>
        <v>0.23865110246433205</v>
      </c>
      <c r="E16" s="27" t="s">
        <v>78</v>
      </c>
      <c r="F16" s="24" t="s">
        <v>33</v>
      </c>
      <c r="G16" s="12">
        <v>17</v>
      </c>
      <c r="H16" s="88">
        <f>IF(B$20=0,0,G16/B$20)</f>
        <v>2.4817518248175182E-2</v>
      </c>
      <c r="I16" s="58">
        <v>6</v>
      </c>
      <c r="K16" s="74">
        <v>14</v>
      </c>
      <c r="L16" s="119">
        <v>3.4999999999999929</v>
      </c>
      <c r="M16" s="117">
        <v>1595.6091337679318</v>
      </c>
      <c r="O16" s="74" t="s">
        <v>216</v>
      </c>
      <c r="P16" s="83">
        <f>IF(Q16=0,0,R16/Q16)</f>
        <v>15.025000000000002</v>
      </c>
      <c r="Q16" s="77">
        <v>36</v>
      </c>
      <c r="R16" s="68">
        <v>540.90000000000009</v>
      </c>
    </row>
    <row r="17" spans="1:18" x14ac:dyDescent="0.45">
      <c r="A17" s="19" t="s">
        <v>118</v>
      </c>
      <c r="B17" s="12">
        <v>535</v>
      </c>
      <c r="C17" s="6">
        <f>IF(B$3=0,0,B17/B$3)</f>
        <v>0.2313013402507566</v>
      </c>
      <c r="E17" s="27" t="s">
        <v>155</v>
      </c>
      <c r="F17" s="24" t="s">
        <v>156</v>
      </c>
      <c r="G17" s="12">
        <v>14</v>
      </c>
      <c r="H17" s="88">
        <f>IF(B$20=0,0,G17/B$20)</f>
        <v>2.0437956204379562E-2</v>
      </c>
      <c r="I17" s="58">
        <v>3</v>
      </c>
      <c r="K17" s="74">
        <v>15</v>
      </c>
      <c r="L17" s="119">
        <v>-7.1054273576010019E-15</v>
      </c>
      <c r="M17" s="117">
        <v>1595.1314789653243</v>
      </c>
      <c r="O17" s="74" t="s">
        <v>221</v>
      </c>
      <c r="P17" s="83">
        <f>IF(Q17=0,0,R17/Q17)</f>
        <v>10.125</v>
      </c>
      <c r="Q17" s="77">
        <v>4</v>
      </c>
      <c r="R17" s="68">
        <v>40.5</v>
      </c>
    </row>
    <row r="18" spans="1:18" x14ac:dyDescent="0.45">
      <c r="A18" s="18" t="s">
        <v>123</v>
      </c>
      <c r="B18" s="11">
        <f>B24</f>
        <v>288</v>
      </c>
      <c r="C18" s="5">
        <f>IF(B$16=0,0,B18/B$16)</f>
        <v>0.52173913043478259</v>
      </c>
      <c r="E18" s="27" t="s">
        <v>91</v>
      </c>
      <c r="F18" s="24" t="s">
        <v>46</v>
      </c>
      <c r="G18" s="12">
        <v>13</v>
      </c>
      <c r="H18" s="88">
        <f>IF(B$20=0,0,G18/B$20)</f>
        <v>1.8978102189781021E-2</v>
      </c>
      <c r="I18" s="58">
        <v>4</v>
      </c>
      <c r="K18" s="74">
        <v>16</v>
      </c>
      <c r="L18" s="119">
        <v>-11.600000000000007</v>
      </c>
      <c r="M18" s="117">
        <v>1593.0666900915323</v>
      </c>
      <c r="O18" s="74" t="s">
        <v>163</v>
      </c>
      <c r="P18" s="83">
        <f>IF(Q18=0,0,R18/Q18)</f>
        <v>5.495121951219514</v>
      </c>
      <c r="Q18" s="77">
        <v>82</v>
      </c>
      <c r="R18" s="68">
        <v>450.60000000000014</v>
      </c>
    </row>
    <row r="19" spans="1:18" x14ac:dyDescent="0.45">
      <c r="A19" s="18" t="s">
        <v>124</v>
      </c>
      <c r="B19" s="11">
        <f>B25</f>
        <v>225</v>
      </c>
      <c r="C19" s="5">
        <f>IF(B$17=0,0,B19/B$17)</f>
        <v>0.42056074766355139</v>
      </c>
      <c r="E19" s="27" t="s">
        <v>79</v>
      </c>
      <c r="F19" s="24" t="s">
        <v>34</v>
      </c>
      <c r="G19" s="12">
        <v>10</v>
      </c>
      <c r="H19" s="88">
        <f>IF(B$20=0,0,G19/B$20)</f>
        <v>1.4598540145985401E-2</v>
      </c>
      <c r="I19" s="58">
        <v>4</v>
      </c>
      <c r="K19" s="74">
        <v>17</v>
      </c>
      <c r="L19" s="119">
        <v>-7.1054273576010019E-15</v>
      </c>
      <c r="M19" s="117">
        <v>1595.1902899509832</v>
      </c>
      <c r="O19" s="74" t="s">
        <v>195</v>
      </c>
      <c r="P19" s="83">
        <f>IF(Q19=0,0,R19/Q19)</f>
        <v>3.5333333333333377</v>
      </c>
      <c r="Q19" s="77">
        <v>18</v>
      </c>
      <c r="R19" s="68">
        <v>63.60000000000008</v>
      </c>
    </row>
    <row r="20" spans="1:18" x14ac:dyDescent="0.45">
      <c r="A20" s="18" t="s">
        <v>10</v>
      </c>
      <c r="B20" s="11">
        <f>B23+B22</f>
        <v>685</v>
      </c>
      <c r="C20" s="5">
        <f>IF(B$3=0,0,B20/B$3)</f>
        <v>0.29615218331171639</v>
      </c>
      <c r="E20" s="27" t="s">
        <v>73</v>
      </c>
      <c r="F20" s="24" t="s">
        <v>28</v>
      </c>
      <c r="G20" s="12">
        <v>6</v>
      </c>
      <c r="H20" s="88">
        <f>IF(B$20=0,0,G20/B$20)</f>
        <v>8.7591240875912416E-3</v>
      </c>
      <c r="I20" s="58">
        <v>5</v>
      </c>
      <c r="K20" s="74">
        <v>18</v>
      </c>
      <c r="L20" s="119">
        <v>-7.1054273576010019E-15</v>
      </c>
      <c r="M20" s="117">
        <v>1595.2131482112773</v>
      </c>
      <c r="O20" s="74" t="s">
        <v>189</v>
      </c>
      <c r="P20" s="83">
        <f>IF(Q20=0,0,R20/Q20)</f>
        <v>0.85285714285714376</v>
      </c>
      <c r="Q20" s="77">
        <v>70</v>
      </c>
      <c r="R20" s="68">
        <v>59.70000000000006</v>
      </c>
    </row>
    <row r="21" spans="1:18" x14ac:dyDescent="0.45">
      <c r="A21" s="19" t="s">
        <v>13</v>
      </c>
      <c r="B21" s="12">
        <v>381</v>
      </c>
      <c r="C21" s="6">
        <f>IF(B$3=0,0,B21/B$3)</f>
        <v>0.16472114137483787</v>
      </c>
      <c r="E21" s="27" t="s">
        <v>75</v>
      </c>
      <c r="F21" s="24" t="s">
        <v>30</v>
      </c>
      <c r="G21" s="12">
        <v>3</v>
      </c>
      <c r="H21" s="88">
        <f>IF(B$20=0,0,G21/B$20)</f>
        <v>4.3795620437956208E-3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190</v>
      </c>
      <c r="P21" s="83">
        <f>IF(Q21=0,0,R21/Q21)</f>
        <v>0.7578947368421044</v>
      </c>
      <c r="Q21" s="77">
        <v>38</v>
      </c>
      <c r="R21" s="68">
        <v>28.799999999999969</v>
      </c>
    </row>
    <row r="22" spans="1:18" x14ac:dyDescent="0.45">
      <c r="A22" s="19" t="s">
        <v>12</v>
      </c>
      <c r="B22" s="12">
        <v>300</v>
      </c>
      <c r="C22" s="6">
        <f>IF(B$20=0,0,B22/B$20)</f>
        <v>0.43795620437956206</v>
      </c>
      <c r="E22" s="27" t="s">
        <v>85</v>
      </c>
      <c r="F22" s="24" t="s">
        <v>40</v>
      </c>
      <c r="G22" s="12">
        <v>3</v>
      </c>
      <c r="H22" s="88">
        <f>IF(B$20=0,0,G22/B$20)</f>
        <v>4.3795620437956208E-3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126</v>
      </c>
      <c r="P22" s="83">
        <f>IF(Q22=0,0,R22/Q22)</f>
        <v>-1.0026315789473657</v>
      </c>
      <c r="Q22" s="77">
        <v>152</v>
      </c>
      <c r="R22" s="68">
        <v>-152.39999999999958</v>
      </c>
    </row>
    <row r="23" spans="1:18" x14ac:dyDescent="0.45">
      <c r="A23" s="19" t="s">
        <v>11</v>
      </c>
      <c r="B23" s="12">
        <v>385</v>
      </c>
      <c r="C23" s="6">
        <f>IF(B$20=0,0,B23/B$20)</f>
        <v>0.56204379562043794</v>
      </c>
      <c r="E23" s="27" t="s">
        <v>88</v>
      </c>
      <c r="F23" s="24" t="s">
        <v>43</v>
      </c>
      <c r="G23" s="12">
        <v>3</v>
      </c>
      <c r="H23" s="88">
        <f>IF(B$20=0,0,G23/B$20)</f>
        <v>4.3795620437956208E-3</v>
      </c>
      <c r="I23" s="58">
        <v>4</v>
      </c>
      <c r="K23" s="74">
        <v>21</v>
      </c>
      <c r="L23" s="119">
        <v>-7.1054273576010019E-15</v>
      </c>
      <c r="M23" s="117">
        <v>1595.4468589894411</v>
      </c>
      <c r="O23" s="74" t="s">
        <v>211</v>
      </c>
      <c r="P23" s="83">
        <f>IF(Q23=0,0,R23/Q23)</f>
        <v>-2.8941176470588243</v>
      </c>
      <c r="Q23" s="77">
        <v>68</v>
      </c>
      <c r="R23" s="68">
        <v>-196.80000000000007</v>
      </c>
    </row>
    <row r="24" spans="1:18" x14ac:dyDescent="0.45">
      <c r="A24" s="19" t="s">
        <v>183</v>
      </c>
      <c r="B24" s="12">
        <v>288</v>
      </c>
      <c r="C24" s="6">
        <f>IF(B$20=0,0,B24/B$20)</f>
        <v>0.42043795620437957</v>
      </c>
      <c r="E24" s="27" t="s">
        <v>77</v>
      </c>
      <c r="F24" s="24" t="s">
        <v>32</v>
      </c>
      <c r="G24" s="12">
        <v>2</v>
      </c>
      <c r="H24" s="88">
        <f>IF(B$20=0,0,G24/B$20)</f>
        <v>2.9197080291970801E-3</v>
      </c>
      <c r="I24" s="58">
        <v>2</v>
      </c>
      <c r="K24" s="74">
        <v>22</v>
      </c>
      <c r="L24" s="119">
        <v>-4.4000000000000075</v>
      </c>
      <c r="M24" s="117">
        <v>1594.0581778355045</v>
      </c>
      <c r="O24" s="74" t="s">
        <v>192</v>
      </c>
      <c r="P24" s="83">
        <f>IF(Q24=0,0,R24/Q24)</f>
        <v>-13.026315789473689</v>
      </c>
      <c r="Q24" s="77">
        <v>76</v>
      </c>
      <c r="R24" s="68">
        <v>-990.00000000000034</v>
      </c>
    </row>
    <row r="25" spans="1:18" x14ac:dyDescent="0.45">
      <c r="A25" s="19" t="s">
        <v>181</v>
      </c>
      <c r="B25" s="12">
        <v>225</v>
      </c>
      <c r="C25" s="6">
        <f>IF(B$20=0,0,B25/B$20)</f>
        <v>0.32846715328467152</v>
      </c>
      <c r="E25" s="27" t="s">
        <v>92</v>
      </c>
      <c r="F25" s="24" t="s">
        <v>47</v>
      </c>
      <c r="G25" s="12">
        <v>2</v>
      </c>
      <c r="H25" s="88">
        <f>IF(B$20=0,0,G25/B$20)</f>
        <v>2.9197080291970801E-3</v>
      </c>
      <c r="I25" s="58">
        <v>3</v>
      </c>
      <c r="K25" s="74">
        <v>23</v>
      </c>
      <c r="L25" s="119">
        <v>37.999999999999993</v>
      </c>
      <c r="M25" s="117">
        <v>1601.1018287684915</v>
      </c>
    </row>
    <row r="26" spans="1:18" x14ac:dyDescent="0.45">
      <c r="A26" s="19" t="s">
        <v>182</v>
      </c>
      <c r="B26" s="12">
        <v>172</v>
      </c>
      <c r="C26" s="6">
        <f>IF(B$20=0,0,B26/B$20)</f>
        <v>0.25109489051094891</v>
      </c>
      <c r="E26" s="27" t="s">
        <v>80</v>
      </c>
      <c r="F26" s="24" t="s">
        <v>35</v>
      </c>
      <c r="G26" s="12">
        <v>1</v>
      </c>
      <c r="H26" s="88">
        <f>IF(B$20=0,0,G26/B$20)</f>
        <v>1.4598540145985401E-3</v>
      </c>
      <c r="I26" s="58">
        <v>2</v>
      </c>
      <c r="K26" s="74">
        <v>24</v>
      </c>
      <c r="L26" s="119">
        <v>-7.1054273576010019E-15</v>
      </c>
      <c r="M26" s="117">
        <v>1593.6312177958805</v>
      </c>
    </row>
    <row r="27" spans="1:18" x14ac:dyDescent="0.45">
      <c r="A27" s="19" t="s">
        <v>5</v>
      </c>
      <c r="B27" s="16">
        <f>IF(B$20=0,0,C27/B$20)</f>
        <v>7983.5036496350367</v>
      </c>
      <c r="C27" s="8">
        <v>5468700</v>
      </c>
      <c r="E27" s="27" t="s">
        <v>90</v>
      </c>
      <c r="F27" s="24" t="s">
        <v>45</v>
      </c>
      <c r="G27" s="12">
        <v>1</v>
      </c>
      <c r="H27" s="88">
        <f>IF(B$20=0,0,G27/B$20)</f>
        <v>1.4598540145985401E-3</v>
      </c>
      <c r="I27" s="58">
        <v>2</v>
      </c>
      <c r="K27" s="74">
        <v>25</v>
      </c>
      <c r="L27" s="119">
        <v>-28.000000000000007</v>
      </c>
      <c r="M27" s="117">
        <v>1587.7054304891053</v>
      </c>
    </row>
    <row r="28" spans="1:18" x14ac:dyDescent="0.45">
      <c r="A28" s="20" t="s">
        <v>165</v>
      </c>
      <c r="B28" s="95">
        <f>IF($B$20-B$19=0,0,C28/($B$20-B$19))</f>
        <v>8612.608695652174</v>
      </c>
      <c r="C28" s="96">
        <v>3961800</v>
      </c>
      <c r="E28" s="27" t="s">
        <v>93</v>
      </c>
      <c r="F28" s="24" t="s">
        <v>48</v>
      </c>
      <c r="G28" s="12">
        <v>1</v>
      </c>
      <c r="H28" s="88">
        <f>IF(B$20=0,0,G28/B$20)</f>
        <v>1.4598540145985401E-3</v>
      </c>
      <c r="I28" s="58">
        <v>2</v>
      </c>
      <c r="K28" s="74">
        <v>26</v>
      </c>
      <c r="L28" s="119">
        <v>-8.0000000000000071</v>
      </c>
      <c r="M28" s="117">
        <v>1590.4551979061707</v>
      </c>
    </row>
    <row r="29" spans="1:18" x14ac:dyDescent="0.45">
      <c r="A29" s="20" t="s">
        <v>166</v>
      </c>
      <c r="B29" s="95">
        <f>IF(B$19=0,0,C29/B$19)</f>
        <v>6697.333333333333</v>
      </c>
      <c r="C29" s="96">
        <v>1506900</v>
      </c>
      <c r="E29" s="27" t="s">
        <v>102</v>
      </c>
      <c r="F29" s="24" t="s">
        <v>57</v>
      </c>
      <c r="G29" s="12">
        <v>1</v>
      </c>
      <c r="H29" s="88">
        <f>IF(B$20=0,0,G29/B$20)</f>
        <v>1.4598540145985401E-3</v>
      </c>
      <c r="I29" s="58">
        <v>2</v>
      </c>
      <c r="K29" s="74">
        <v>27</v>
      </c>
      <c r="L29" s="119">
        <v>-7.1054273576010019E-15</v>
      </c>
      <c r="M29" s="117">
        <v>1591.0284667187336</v>
      </c>
    </row>
    <row r="30" spans="1:18" x14ac:dyDescent="0.45">
      <c r="A30" s="20" t="s">
        <v>164</v>
      </c>
      <c r="B30" s="95">
        <f>IF(B$21=0,0,C30/B$21)</f>
        <v>-7348.0314960629921</v>
      </c>
      <c r="C30" s="96">
        <v>-2799600</v>
      </c>
      <c r="E30" s="27" t="s">
        <v>74</v>
      </c>
      <c r="F30" s="24" t="s">
        <v>29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36.899999999999991</v>
      </c>
      <c r="M30" s="117">
        <v>1597.5382959184212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76</v>
      </c>
      <c r="F31" s="24" t="s">
        <v>31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-3.1000000000000085</v>
      </c>
      <c r="M31" s="117">
        <v>1590.1670661429107</v>
      </c>
    </row>
    <row r="32" spans="1:18" x14ac:dyDescent="0.45">
      <c r="A32" s="19" t="s">
        <v>158</v>
      </c>
      <c r="B32" s="12">
        <v>48</v>
      </c>
      <c r="C32" s="90">
        <v>5</v>
      </c>
      <c r="E32" s="27" t="s">
        <v>82</v>
      </c>
      <c r="F32" s="24" t="s">
        <v>37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5">
      <c r="A33" s="54" t="s">
        <v>136</v>
      </c>
      <c r="B33" s="127">
        <v>7</v>
      </c>
      <c r="C33" s="128"/>
      <c r="E33" s="27" t="s">
        <v>84</v>
      </c>
      <c r="F33" s="24" t="s">
        <v>39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5">
      <c r="A34" s="22" t="s">
        <v>180</v>
      </c>
      <c r="B34" s="129">
        <v>103000</v>
      </c>
      <c r="C34" s="130"/>
      <c r="E34" s="27" t="s">
        <v>87</v>
      </c>
      <c r="F34" s="24" t="s">
        <v>42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5">
      <c r="A35" s="21" t="s">
        <v>137</v>
      </c>
      <c r="B35" s="29">
        <v>7</v>
      </c>
      <c r="C35" s="9">
        <f>IF(B$3=0,0,B35/B$3)</f>
        <v>3.0263726761781237E-3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5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5">
      <c r="A37" s="54" t="s">
        <v>171</v>
      </c>
      <c r="B37" s="123">
        <v>59</v>
      </c>
      <c r="C37" s="98">
        <f t="shared" ref="C37:C49" si="2">IF(B$20=0,0,B37/B$20)</f>
        <v>8.6131386861313872E-2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5">
      <c r="A38" s="19" t="s">
        <v>167</v>
      </c>
      <c r="B38" s="12">
        <v>128</v>
      </c>
      <c r="C38" s="6">
        <f t="shared" si="2"/>
        <v>0.18686131386861313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5">
      <c r="A39" s="19" t="s">
        <v>168</v>
      </c>
      <c r="B39" s="124">
        <v>134</v>
      </c>
      <c r="C39" s="6">
        <f t="shared" si="2"/>
        <v>0.19562043795620437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5">
      <c r="A40" s="19" t="s">
        <v>169</v>
      </c>
      <c r="B40" s="124">
        <v>126</v>
      </c>
      <c r="C40" s="6">
        <f t="shared" si="2"/>
        <v>0.18394160583941604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5">
      <c r="A41" s="19" t="s">
        <v>170</v>
      </c>
      <c r="B41" s="124">
        <v>95</v>
      </c>
      <c r="C41" s="6">
        <f t="shared" si="2"/>
        <v>0.13868613138686131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5">
      <c r="A42" s="19" t="s">
        <v>172</v>
      </c>
      <c r="B42" s="124">
        <v>63</v>
      </c>
      <c r="C42" s="6">
        <f t="shared" si="2"/>
        <v>9.1970802919708022E-2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5">
      <c r="A43" s="19" t="s">
        <v>173</v>
      </c>
      <c r="B43" s="124">
        <v>33</v>
      </c>
      <c r="C43" s="6">
        <f t="shared" si="2"/>
        <v>4.8175182481751823E-2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5">
      <c r="A44" s="19" t="s">
        <v>174</v>
      </c>
      <c r="B44" s="124">
        <v>20</v>
      </c>
      <c r="C44" s="6">
        <f t="shared" si="2"/>
        <v>2.9197080291970802E-2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5">
      <c r="A45" s="19" t="s">
        <v>175</v>
      </c>
      <c r="B45" s="124">
        <v>13</v>
      </c>
      <c r="C45" s="6">
        <f t="shared" si="2"/>
        <v>1.8978102189781021E-2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5">
      <c r="A46" s="19" t="s">
        <v>176</v>
      </c>
      <c r="B46" s="124">
        <v>8</v>
      </c>
      <c r="C46" s="6">
        <f t="shared" si="2"/>
        <v>1.167883211678832E-2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5">
      <c r="A47" s="19" t="s">
        <v>177</v>
      </c>
      <c r="B47" s="124">
        <v>2</v>
      </c>
      <c r="C47" s="6">
        <f t="shared" si="2"/>
        <v>2.9197080291970801E-3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5">
      <c r="A49" s="21" t="s">
        <v>179</v>
      </c>
      <c r="B49" s="97">
        <v>4</v>
      </c>
      <c r="C49" s="9">
        <f t="shared" si="2"/>
        <v>5.8394160583941602E-3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5">
      <c r="K53" s="74">
        <v>51</v>
      </c>
      <c r="L53" s="119">
        <v>1.0658141036401503E-14</v>
      </c>
      <c r="M53" s="117">
        <v>1590.4180304736462</v>
      </c>
    </row>
    <row r="54" spans="1:13" x14ac:dyDescent="0.45">
      <c r="K54" s="74">
        <v>52</v>
      </c>
      <c r="L54" s="119">
        <v>-24.199999999999989</v>
      </c>
      <c r="M54" s="117">
        <v>1585.5015222908044</v>
      </c>
    </row>
    <row r="55" spans="1:13" x14ac:dyDescent="0.45">
      <c r="K55" s="74">
        <v>53</v>
      </c>
      <c r="L55" s="119">
        <v>-20.199999999999989</v>
      </c>
      <c r="M55" s="117">
        <v>1585.6905131570595</v>
      </c>
    </row>
    <row r="56" spans="1:13" x14ac:dyDescent="0.45">
      <c r="K56" s="74">
        <v>54</v>
      </c>
      <c r="L56" s="119">
        <v>1.0658141036401503E-14</v>
      </c>
      <c r="M56" s="117">
        <v>1588.7943700781173</v>
      </c>
    </row>
    <row r="57" spans="1:13" x14ac:dyDescent="0.45">
      <c r="K57" s="74">
        <v>55</v>
      </c>
      <c r="L57" s="119">
        <v>-17.499999999999989</v>
      </c>
      <c r="M57" s="117">
        <v>1584.9436038576484</v>
      </c>
    </row>
    <row r="58" spans="1:13" x14ac:dyDescent="0.45">
      <c r="K58" s="74">
        <v>56</v>
      </c>
      <c r="L58" s="119">
        <v>0.50000000000001066</v>
      </c>
      <c r="M58" s="117">
        <v>1587.5059422345025</v>
      </c>
    </row>
    <row r="59" spans="1:13" x14ac:dyDescent="0.45">
      <c r="K59" s="74">
        <v>57</v>
      </c>
      <c r="L59" s="119">
        <v>1.0658141036401503E-14</v>
      </c>
      <c r="M59" s="117">
        <v>1586.7229065810955</v>
      </c>
    </row>
    <row r="60" spans="1:13" x14ac:dyDescent="0.45">
      <c r="K60" s="74">
        <v>58</v>
      </c>
      <c r="L60" s="119">
        <v>16.600000000000012</v>
      </c>
      <c r="M60" s="117">
        <v>1589.7965691416089</v>
      </c>
    </row>
    <row r="61" spans="1:13" x14ac:dyDescent="0.45">
      <c r="K61" s="74">
        <v>59</v>
      </c>
      <c r="L61" s="119">
        <v>13.600000000000012</v>
      </c>
      <c r="M61" s="117">
        <v>1589.3237897267593</v>
      </c>
    </row>
    <row r="62" spans="1:13" x14ac:dyDescent="0.45">
      <c r="K62" s="74">
        <v>60</v>
      </c>
      <c r="L62" s="119">
        <v>1.2434497875801753E-14</v>
      </c>
      <c r="M62" s="117">
        <v>1586.9458469883987</v>
      </c>
    </row>
    <row r="63" spans="1:13" x14ac:dyDescent="0.45">
      <c r="K63" s="74">
        <v>61</v>
      </c>
      <c r="L63" s="119">
        <v>-13.999999999999988</v>
      </c>
      <c r="M63" s="117">
        <v>1584.6241719064683</v>
      </c>
    </row>
    <row r="64" spans="1:13" x14ac:dyDescent="0.45">
      <c r="K64" s="74">
        <v>62</v>
      </c>
      <c r="L64" s="119">
        <v>-39.699999999999989</v>
      </c>
      <c r="M64" s="117">
        <v>1580.2104268750295</v>
      </c>
    </row>
    <row r="65" spans="11:13" x14ac:dyDescent="0.45">
      <c r="K65" s="74">
        <v>63</v>
      </c>
      <c r="L65" s="119">
        <v>1.4210854715202004E-14</v>
      </c>
      <c r="M65" s="117">
        <v>1587.5951643137794</v>
      </c>
    </row>
    <row r="66" spans="11:13" x14ac:dyDescent="0.45">
      <c r="K66" s="74">
        <v>64</v>
      </c>
      <c r="L66" s="119">
        <v>-19.799999999999986</v>
      </c>
      <c r="M66" s="117">
        <v>1584.2255933278966</v>
      </c>
    </row>
    <row r="67" spans="11:13" x14ac:dyDescent="0.45">
      <c r="K67" s="74">
        <v>65</v>
      </c>
      <c r="L67" s="119">
        <v>-50.899999999999991</v>
      </c>
      <c r="M67" s="117">
        <v>1578.8422397679292</v>
      </c>
    </row>
    <row r="68" spans="11:13" x14ac:dyDescent="0.45">
      <c r="K68" s="74">
        <v>66</v>
      </c>
      <c r="L68" s="119">
        <v>7.1054273576010019E-15</v>
      </c>
      <c r="M68" s="117">
        <v>1588.2511863293216</v>
      </c>
    </row>
    <row r="69" spans="11:13" x14ac:dyDescent="0.45">
      <c r="K69" s="74">
        <v>67</v>
      </c>
      <c r="L69" s="119">
        <v>-26.699999999999992</v>
      </c>
      <c r="M69" s="117">
        <v>1583.6356792113456</v>
      </c>
    </row>
    <row r="70" spans="11:13" x14ac:dyDescent="0.45">
      <c r="K70" s="74">
        <v>68</v>
      </c>
      <c r="L70" s="119">
        <v>7.0000000000000107</v>
      </c>
      <c r="M70" s="117">
        <v>1589.9198651360775</v>
      </c>
    </row>
    <row r="71" spans="11:13" x14ac:dyDescent="0.45">
      <c r="K71" s="74">
        <v>69</v>
      </c>
      <c r="L71" s="119">
        <v>1.0658141036401503E-14</v>
      </c>
      <c r="M71" s="117">
        <v>1588.8403459452611</v>
      </c>
    </row>
    <row r="72" spans="11:13" x14ac:dyDescent="0.45">
      <c r="K72" s="74">
        <v>70</v>
      </c>
      <c r="L72" s="119">
        <v>-24.399999999999988</v>
      </c>
      <c r="M72" s="117">
        <v>1584.4493038695896</v>
      </c>
    </row>
    <row r="73" spans="11:13" x14ac:dyDescent="0.45">
      <c r="K73" s="74">
        <v>71</v>
      </c>
      <c r="L73" s="119">
        <v>-24.299999999999986</v>
      </c>
      <c r="M73" s="117">
        <v>1584.4946080463722</v>
      </c>
    </row>
    <row r="74" spans="11:13" x14ac:dyDescent="0.45">
      <c r="K74" s="74">
        <v>72</v>
      </c>
      <c r="L74" s="119">
        <v>1.4210854715202004E-14</v>
      </c>
      <c r="M74" s="117">
        <v>1588.895640398094</v>
      </c>
    </row>
    <row r="75" spans="11:13" x14ac:dyDescent="0.45">
      <c r="K75" s="74">
        <v>73</v>
      </c>
      <c r="L75" s="119">
        <v>8.2000000000000135</v>
      </c>
      <c r="M75" s="117">
        <v>1590.3722665557054</v>
      </c>
    </row>
    <row r="76" spans="11:13" x14ac:dyDescent="0.45">
      <c r="K76" s="74">
        <v>74</v>
      </c>
      <c r="L76" s="119">
        <v>32.800000000000011</v>
      </c>
      <c r="M76" s="117">
        <v>1594.7920329563713</v>
      </c>
    </row>
    <row r="77" spans="11:13" x14ac:dyDescent="0.45">
      <c r="K77" s="74">
        <v>75</v>
      </c>
      <c r="L77" s="119">
        <v>1.4210854715202004E-14</v>
      </c>
      <c r="M77" s="117">
        <v>1588.853280758633</v>
      </c>
    </row>
    <row r="78" spans="11:13" x14ac:dyDescent="0.45">
      <c r="K78" s="74">
        <v>76</v>
      </c>
      <c r="L78" s="119">
        <v>-14.299999999999986</v>
      </c>
      <c r="M78" s="117">
        <v>1586.3761610740812</v>
      </c>
    </row>
    <row r="79" spans="11:13" x14ac:dyDescent="0.45">
      <c r="K79" s="74">
        <v>77</v>
      </c>
      <c r="L79" s="119">
        <v>-14.799999999999986</v>
      </c>
      <c r="M79" s="117">
        <v>1586.3979041076368</v>
      </c>
    </row>
    <row r="80" spans="11:13" x14ac:dyDescent="0.45">
      <c r="K80" s="74">
        <v>78</v>
      </c>
      <c r="L80" s="119">
        <v>1.4210854715202004E-14</v>
      </c>
      <c r="M80" s="117">
        <v>1589.173516682991</v>
      </c>
    </row>
    <row r="81" spans="11:13" x14ac:dyDescent="0.45">
      <c r="K81" s="74">
        <v>79</v>
      </c>
      <c r="L81" s="119">
        <v>-6.8999999999999861</v>
      </c>
      <c r="M81" s="117">
        <v>1588.026475582893</v>
      </c>
    </row>
    <row r="82" spans="11:13" x14ac:dyDescent="0.45">
      <c r="K82" s="74">
        <v>80</v>
      </c>
      <c r="L82" s="119">
        <v>20.100000000000016</v>
      </c>
      <c r="M82" s="117">
        <v>1592.9883167293956</v>
      </c>
    </row>
    <row r="83" spans="11:13" x14ac:dyDescent="0.45">
      <c r="K83" s="74">
        <v>81</v>
      </c>
      <c r="L83" s="119">
        <v>1.4210854715202004E-14</v>
      </c>
      <c r="M83" s="117">
        <v>1589.4423868290191</v>
      </c>
    </row>
    <row r="84" spans="11:13" x14ac:dyDescent="0.45">
      <c r="K84" s="74">
        <v>82</v>
      </c>
      <c r="L84" s="119">
        <v>-0.69999999999998574</v>
      </c>
      <c r="M84" s="117">
        <v>1589.409732508045</v>
      </c>
    </row>
    <row r="85" spans="11:13" x14ac:dyDescent="0.45">
      <c r="K85" s="74">
        <v>83</v>
      </c>
      <c r="L85" s="119">
        <v>-24.199999999999985</v>
      </c>
      <c r="M85" s="117">
        <v>1585.2732741129967</v>
      </c>
    </row>
    <row r="86" spans="11:13" x14ac:dyDescent="0.45">
      <c r="K86" s="74">
        <v>84</v>
      </c>
      <c r="L86" s="119">
        <v>1.4210854715202004E-14</v>
      </c>
      <c r="M86" s="117">
        <v>1589.7476344683187</v>
      </c>
    </row>
    <row r="87" spans="11:13" x14ac:dyDescent="0.45">
      <c r="K87" s="74">
        <v>85</v>
      </c>
      <c r="L87" s="119">
        <v>33.500000000000014</v>
      </c>
      <c r="M87" s="117">
        <v>1595.1791486615089</v>
      </c>
    </row>
    <row r="88" spans="11:13" x14ac:dyDescent="0.45">
      <c r="K88" s="74">
        <v>86</v>
      </c>
      <c r="L88" s="119">
        <v>34.500000000000014</v>
      </c>
      <c r="M88" s="117">
        <v>1594.7280737695398</v>
      </c>
    </row>
    <row r="89" spans="11:13" x14ac:dyDescent="0.45">
      <c r="K89" s="74">
        <v>87</v>
      </c>
      <c r="L89" s="119">
        <v>1.4210854715202004E-14</v>
      </c>
      <c r="M89" s="117">
        <v>1587.8897053269227</v>
      </c>
    </row>
    <row r="90" spans="11:13" x14ac:dyDescent="0.45">
      <c r="K90" s="74">
        <v>88</v>
      </c>
      <c r="L90" s="119">
        <v>-24.699999999999985</v>
      </c>
      <c r="M90" s="117">
        <v>1583.8223670949612</v>
      </c>
    </row>
    <row r="91" spans="11:13" x14ac:dyDescent="0.45">
      <c r="K91" s="74">
        <v>89</v>
      </c>
      <c r="L91" s="119">
        <v>-4.0999999999999837</v>
      </c>
      <c r="M91" s="117">
        <v>1587.9334328923915</v>
      </c>
    </row>
    <row r="92" spans="11:13" x14ac:dyDescent="0.45">
      <c r="K92" s="74">
        <v>90</v>
      </c>
      <c r="L92" s="119">
        <v>1.5987211554602254E-14</v>
      </c>
      <c r="M92" s="117">
        <v>1589.049832295037</v>
      </c>
    </row>
    <row r="93" spans="11:13" x14ac:dyDescent="0.45">
      <c r="K93" s="74">
        <v>91</v>
      </c>
      <c r="L93" s="119">
        <v>-37.899999999999984</v>
      </c>
      <c r="M93" s="117">
        <v>1582.5995333012668</v>
      </c>
    </row>
    <row r="94" spans="11:13" x14ac:dyDescent="0.45">
      <c r="K94" s="74">
        <v>92</v>
      </c>
      <c r="L94" s="119">
        <v>-13.099999999999984</v>
      </c>
      <c r="M94" s="117">
        <v>1587.4739361014592</v>
      </c>
    </row>
    <row r="95" spans="11:13" x14ac:dyDescent="0.45">
      <c r="K95" s="74">
        <v>93</v>
      </c>
      <c r="L95" s="119">
        <v>1.5987211554602254E-14</v>
      </c>
      <c r="M95" s="117">
        <v>1590.2130924848504</v>
      </c>
    </row>
    <row r="96" spans="11:13" x14ac:dyDescent="0.45">
      <c r="K96" s="74">
        <v>94</v>
      </c>
      <c r="L96" s="119">
        <v>-41.399999999999984</v>
      </c>
      <c r="M96" s="117">
        <v>1583.1258139299414</v>
      </c>
    </row>
    <row r="97" spans="11:13" x14ac:dyDescent="0.45">
      <c r="K97" s="74">
        <v>95</v>
      </c>
      <c r="L97" s="119">
        <v>-49.59999999999998</v>
      </c>
      <c r="M97" s="117">
        <v>1582.0570590463617</v>
      </c>
    </row>
    <row r="98" spans="11:13" x14ac:dyDescent="0.45">
      <c r="K98" s="74">
        <v>96</v>
      </c>
      <c r="L98" s="119">
        <v>2.1316282072803006E-14</v>
      </c>
      <c r="M98" s="117">
        <v>1591.3987166920836</v>
      </c>
    </row>
    <row r="99" spans="11:13" x14ac:dyDescent="0.45">
      <c r="K99" s="74">
        <v>97</v>
      </c>
      <c r="L99" s="119">
        <v>3.6000000000000214</v>
      </c>
      <c r="M99" s="117">
        <v>1592.236324391931</v>
      </c>
    </row>
    <row r="100" spans="11:13" x14ac:dyDescent="0.45">
      <c r="K100" s="74">
        <v>98</v>
      </c>
      <c r="L100" s="119">
        <v>-46.499999999999979</v>
      </c>
      <c r="M100" s="117">
        <v>1583.4029064455794</v>
      </c>
    </row>
    <row r="101" spans="11:13" x14ac:dyDescent="0.45">
      <c r="K101" s="74">
        <v>99</v>
      </c>
      <c r="L101" s="119">
        <v>2.1316282072803006E-14</v>
      </c>
      <c r="M101" s="117">
        <v>1592.010489006906</v>
      </c>
    </row>
    <row r="102" spans="11:13" x14ac:dyDescent="0.45">
      <c r="K102" s="74">
        <v>100</v>
      </c>
      <c r="L102" s="119">
        <v>28.300000000000022</v>
      </c>
      <c r="M102" s="117">
        <v>1596.5344260728646</v>
      </c>
    </row>
    <row r="103" spans="11:13" x14ac:dyDescent="0.45">
      <c r="K103" s="74">
        <v>101</v>
      </c>
      <c r="L103" s="119">
        <v>-8.7999999999999794</v>
      </c>
      <c r="M103" s="117">
        <v>1589.2592195164273</v>
      </c>
    </row>
    <row r="104" spans="11:13" x14ac:dyDescent="0.45">
      <c r="K104" s="74">
        <v>102</v>
      </c>
      <c r="L104" s="119">
        <v>2.1316282072803006E-14</v>
      </c>
      <c r="M104" s="117">
        <v>1590.2896641993286</v>
      </c>
    </row>
    <row r="105" spans="11:13" x14ac:dyDescent="0.45">
      <c r="K105" s="74">
        <v>103</v>
      </c>
      <c r="L105" s="119">
        <v>-31.09999999999998</v>
      </c>
      <c r="M105" s="117">
        <v>1584.1319262141326</v>
      </c>
    </row>
    <row r="106" spans="11:13" x14ac:dyDescent="0.45">
      <c r="K106" s="74">
        <v>104</v>
      </c>
      <c r="L106" s="119">
        <v>11.600000000000023</v>
      </c>
      <c r="M106" s="117">
        <v>1591.2951346568477</v>
      </c>
    </row>
    <row r="107" spans="11:13" x14ac:dyDescent="0.45">
      <c r="K107" s="74">
        <v>105</v>
      </c>
      <c r="L107" s="119">
        <v>2.3092638912203256E-14</v>
      </c>
      <c r="M107" s="117">
        <v>1588.6413638489066</v>
      </c>
    </row>
    <row r="108" spans="11:13" x14ac:dyDescent="0.45">
      <c r="K108" s="74">
        <v>106</v>
      </c>
      <c r="L108" s="119">
        <v>58.500000000000021</v>
      </c>
      <c r="M108" s="117">
        <v>1599.2455156658132</v>
      </c>
    </row>
    <row r="109" spans="11:13" x14ac:dyDescent="0.45">
      <c r="K109" s="74">
        <v>107</v>
      </c>
      <c r="L109" s="119">
        <v>24.100000000000023</v>
      </c>
      <c r="M109" s="117">
        <v>1593.0640425718184</v>
      </c>
    </row>
    <row r="110" spans="11:13" x14ac:dyDescent="0.45">
      <c r="K110" s="74">
        <v>108</v>
      </c>
      <c r="L110" s="119">
        <v>2.1316282072803006E-14</v>
      </c>
      <c r="M110" s="117">
        <v>1588.7736583163876</v>
      </c>
    </row>
    <row r="111" spans="11:13" x14ac:dyDescent="0.45">
      <c r="K111" s="74">
        <v>109</v>
      </c>
      <c r="L111" s="119">
        <v>-15.599999999999978</v>
      </c>
      <c r="M111" s="117">
        <v>1586.0390163664892</v>
      </c>
    </row>
    <row r="112" spans="11:13" x14ac:dyDescent="0.45">
      <c r="K112" s="74">
        <v>110</v>
      </c>
      <c r="L112" s="119">
        <v>-7.7999999999999785</v>
      </c>
      <c r="M112" s="117">
        <v>1587.5327822682902</v>
      </c>
    </row>
    <row r="113" spans="11:13" x14ac:dyDescent="0.45">
      <c r="K113" s="74">
        <v>111</v>
      </c>
      <c r="L113" s="119">
        <v>2.1316282072803006E-14</v>
      </c>
      <c r="M113" s="117">
        <v>1589.0175855746804</v>
      </c>
    </row>
    <row r="114" spans="11:13" x14ac:dyDescent="0.45">
      <c r="K114" s="74">
        <v>112</v>
      </c>
      <c r="L114" s="119">
        <v>18.100000000000023</v>
      </c>
      <c r="M114" s="117">
        <v>1592.3474800612323</v>
      </c>
    </row>
    <row r="115" spans="11:13" x14ac:dyDescent="0.45">
      <c r="K115" s="74">
        <v>113</v>
      </c>
      <c r="L115" s="119">
        <v>1.4000000000000234</v>
      </c>
      <c r="M115" s="117">
        <v>1589.3933951808649</v>
      </c>
    </row>
    <row r="116" spans="11:13" x14ac:dyDescent="0.45">
      <c r="K116" s="74">
        <v>114</v>
      </c>
      <c r="L116" s="119">
        <v>2.3536728122053319E-14</v>
      </c>
      <c r="M116" s="117">
        <v>1589.2110348097797</v>
      </c>
    </row>
    <row r="117" spans="11:13" x14ac:dyDescent="0.45">
      <c r="K117" s="74">
        <v>115</v>
      </c>
      <c r="L117" s="119">
        <v>-4.5999999999999766</v>
      </c>
      <c r="M117" s="117">
        <v>1588.7057686009209</v>
      </c>
    </row>
    <row r="118" spans="11:13" x14ac:dyDescent="0.45">
      <c r="K118" s="74">
        <v>116</v>
      </c>
      <c r="L118" s="119">
        <v>-26.899999999999977</v>
      </c>
      <c r="M118" s="117">
        <v>1585.0175339893153</v>
      </c>
    </row>
    <row r="119" spans="11:13" x14ac:dyDescent="0.45">
      <c r="K119" s="74">
        <v>117</v>
      </c>
      <c r="L119" s="119">
        <v>2.1316282072803006E-14</v>
      </c>
      <c r="M119" s="117">
        <v>1590.2074287853795</v>
      </c>
    </row>
    <row r="120" spans="11:13" x14ac:dyDescent="0.45">
      <c r="K120" s="74">
        <v>118</v>
      </c>
      <c r="L120" s="119">
        <v>31.90000000000002</v>
      </c>
      <c r="M120" s="117">
        <v>1596.3801842126672</v>
      </c>
    </row>
    <row r="121" spans="11:13" x14ac:dyDescent="0.45">
      <c r="K121" s="74">
        <v>119</v>
      </c>
      <c r="L121" s="119">
        <v>33.500000000000021</v>
      </c>
      <c r="M121" s="117">
        <v>1597.0619031073913</v>
      </c>
    </row>
    <row r="122" spans="11:13" x14ac:dyDescent="0.45">
      <c r="K122" s="74">
        <v>120</v>
      </c>
      <c r="L122" s="119">
        <v>2.1316282072803006E-14</v>
      </c>
      <c r="M122" s="117">
        <v>1591.4215316887471</v>
      </c>
    </row>
    <row r="123" spans="11:13" x14ac:dyDescent="0.45">
      <c r="K123" s="74">
        <v>121</v>
      </c>
      <c r="L123" s="119">
        <v>-45.699999999999982</v>
      </c>
      <c r="M123" s="117">
        <v>1583.6190024986147</v>
      </c>
    </row>
    <row r="124" spans="11:13" x14ac:dyDescent="0.45">
      <c r="K124" s="74">
        <v>122</v>
      </c>
      <c r="L124" s="119">
        <v>-43.59999999999998</v>
      </c>
      <c r="M124" s="117">
        <v>1584.467288483623</v>
      </c>
    </row>
    <row r="125" spans="11:13" x14ac:dyDescent="0.45">
      <c r="K125" s="74">
        <v>123</v>
      </c>
      <c r="L125" s="119">
        <v>2.1316282072803006E-14</v>
      </c>
      <c r="M125" s="117">
        <v>1592.7804847527211</v>
      </c>
    </row>
    <row r="126" spans="11:13" x14ac:dyDescent="0.45">
      <c r="K126" s="74">
        <v>124</v>
      </c>
      <c r="L126" s="119">
        <v>42.000000000000021</v>
      </c>
      <c r="M126" s="117">
        <v>1600.5338018442048</v>
      </c>
    </row>
    <row r="127" spans="11:13" x14ac:dyDescent="0.45">
      <c r="K127" s="74">
        <v>125</v>
      </c>
      <c r="L127" s="119">
        <v>-7.6999999999999815</v>
      </c>
      <c r="M127" s="117">
        <v>1591.7345990331396</v>
      </c>
    </row>
    <row r="128" spans="11:13" x14ac:dyDescent="0.45">
      <c r="K128" s="74">
        <v>126</v>
      </c>
      <c r="L128" s="119">
        <v>1.865174681370263E-14</v>
      </c>
      <c r="M128" s="117">
        <v>1593.3201914389408</v>
      </c>
    </row>
    <row r="129" spans="11:13" x14ac:dyDescent="0.45">
      <c r="K129" s="74">
        <v>127</v>
      </c>
      <c r="L129" s="119">
        <v>-0.99999999999998135</v>
      </c>
      <c r="M129" s="117">
        <v>1593.3302702903072</v>
      </c>
    </row>
    <row r="130" spans="11:13" x14ac:dyDescent="0.45">
      <c r="K130" s="74">
        <v>128</v>
      </c>
      <c r="L130" s="119">
        <v>-54.999999999999979</v>
      </c>
      <c r="M130" s="117">
        <v>1583.8002886685654</v>
      </c>
    </row>
    <row r="131" spans="11:13" x14ac:dyDescent="0.45">
      <c r="K131" s="74">
        <v>129</v>
      </c>
      <c r="L131" s="119">
        <v>2.1316282072803006E-14</v>
      </c>
      <c r="M131" s="117">
        <v>1593.947486936554</v>
      </c>
    </row>
    <row r="132" spans="11:13" x14ac:dyDescent="0.45">
      <c r="K132" s="74">
        <v>130</v>
      </c>
      <c r="L132" s="119">
        <v>39.600000000000023</v>
      </c>
      <c r="M132" s="117">
        <v>1601.2618020149348</v>
      </c>
    </row>
    <row r="133" spans="11:13" x14ac:dyDescent="0.45">
      <c r="K133" s="74">
        <v>131</v>
      </c>
      <c r="L133" s="119">
        <v>6.8000000000000256</v>
      </c>
      <c r="M133" s="117">
        <v>1595.5002312028453</v>
      </c>
    </row>
    <row r="134" spans="11:13" x14ac:dyDescent="0.45">
      <c r="K134" s="74">
        <v>132</v>
      </c>
      <c r="L134" s="119">
        <v>2.5757174171303632E-14</v>
      </c>
      <c r="M134" s="117">
        <v>1594.4532298156282</v>
      </c>
    </row>
    <row r="135" spans="11:13" x14ac:dyDescent="0.45">
      <c r="K135" s="74">
        <v>133</v>
      </c>
      <c r="L135" s="119">
        <v>-25.399999999999974</v>
      </c>
      <c r="M135" s="117">
        <v>1590.0645104367345</v>
      </c>
    </row>
    <row r="136" spans="11:13" x14ac:dyDescent="0.45">
      <c r="K136" s="74">
        <v>134</v>
      </c>
      <c r="L136" s="119">
        <v>-30.799999999999976</v>
      </c>
      <c r="M136" s="117">
        <v>1589.302123374114</v>
      </c>
    </row>
    <row r="137" spans="11:13" x14ac:dyDescent="0.45">
      <c r="K137" s="74">
        <v>135</v>
      </c>
      <c r="L137" s="119">
        <v>2.4868995751603507E-14</v>
      </c>
      <c r="M137" s="117">
        <v>1595.0603106338692</v>
      </c>
    </row>
    <row r="138" spans="11:13" x14ac:dyDescent="0.45">
      <c r="K138" s="74">
        <v>136</v>
      </c>
      <c r="L138" s="119">
        <v>28.300000000000026</v>
      </c>
      <c r="M138" s="117">
        <v>1600.2019487700661</v>
      </c>
    </row>
    <row r="139" spans="11:13" x14ac:dyDescent="0.45">
      <c r="K139" s="74">
        <v>137</v>
      </c>
      <c r="L139" s="119">
        <v>31.000000000000025</v>
      </c>
      <c r="M139" s="117">
        <v>1600.7047370774458</v>
      </c>
    </row>
    <row r="140" spans="11:13" x14ac:dyDescent="0.45">
      <c r="K140" s="74">
        <v>138</v>
      </c>
      <c r="L140" s="119">
        <v>2.4868995751603507E-14</v>
      </c>
      <c r="M140" s="117">
        <v>1595.138508654981</v>
      </c>
    </row>
    <row r="141" spans="11:13" x14ac:dyDescent="0.45">
      <c r="K141" s="74">
        <v>139</v>
      </c>
      <c r="L141" s="119">
        <v>7.5000000000000249</v>
      </c>
      <c r="M141" s="117">
        <v>1596.5356776030512</v>
      </c>
    </row>
    <row r="142" spans="11:13" x14ac:dyDescent="0.45">
      <c r="K142" s="74">
        <v>140</v>
      </c>
      <c r="L142" s="119">
        <v>-29.399999999999974</v>
      </c>
      <c r="M142" s="117">
        <v>1589.932463537433</v>
      </c>
    </row>
    <row r="143" spans="11:13" x14ac:dyDescent="0.45">
      <c r="K143" s="74">
        <v>141</v>
      </c>
      <c r="L143" s="119">
        <v>2.4868995751603507E-14</v>
      </c>
      <c r="M143" s="117">
        <v>1595.3028687562085</v>
      </c>
    </row>
    <row r="144" spans="11:13" x14ac:dyDescent="0.45">
      <c r="K144" s="74">
        <v>142</v>
      </c>
      <c r="L144" s="119">
        <v>8.9000000000000252</v>
      </c>
      <c r="M144" s="117">
        <v>1597.3050515436712</v>
      </c>
    </row>
    <row r="145" spans="11:13" x14ac:dyDescent="0.45">
      <c r="K145" s="74">
        <v>143</v>
      </c>
      <c r="L145" s="119">
        <v>45.700000000000024</v>
      </c>
      <c r="M145" s="117">
        <v>1604.3172212344091</v>
      </c>
    </row>
    <row r="146" spans="11:13" x14ac:dyDescent="0.45">
      <c r="K146" s="74">
        <v>144</v>
      </c>
      <c r="L146" s="119">
        <v>2.1316282072803006E-14</v>
      </c>
      <c r="M146" s="117">
        <v>1596.4373179070026</v>
      </c>
    </row>
    <row r="147" spans="11:13" x14ac:dyDescent="0.45">
      <c r="K147" s="74">
        <v>145</v>
      </c>
      <c r="L147" s="119">
        <v>22.100000000000023</v>
      </c>
      <c r="M147" s="117">
        <v>1600.8086939995605</v>
      </c>
    </row>
    <row r="148" spans="11:13" x14ac:dyDescent="0.45">
      <c r="K148" s="74">
        <v>146</v>
      </c>
      <c r="L148" s="119">
        <v>-5.4999999999999787</v>
      </c>
      <c r="M148" s="117">
        <v>1596.2078418355632</v>
      </c>
    </row>
    <row r="149" spans="11:13" x14ac:dyDescent="0.45">
      <c r="K149" s="74">
        <v>147</v>
      </c>
      <c r="L149" s="119">
        <v>2.1316282072803006E-14</v>
      </c>
      <c r="M149" s="117">
        <v>1597.5925947845499</v>
      </c>
    </row>
    <row r="150" spans="11:13" x14ac:dyDescent="0.45">
      <c r="K150" s="74">
        <v>148</v>
      </c>
      <c r="L150" s="119">
        <v>73.800000000000011</v>
      </c>
      <c r="M150" s="117">
        <v>1610.7890392158426</v>
      </c>
    </row>
    <row r="151" spans="11:13" x14ac:dyDescent="0.45">
      <c r="K151" s="74">
        <v>149</v>
      </c>
      <c r="L151" s="119">
        <v>21.70000000000001</v>
      </c>
      <c r="M151" s="117">
        <v>1601.2443049805477</v>
      </c>
    </row>
    <row r="152" spans="11:13" x14ac:dyDescent="0.45">
      <c r="K152" s="74">
        <v>150</v>
      </c>
      <c r="L152" s="119">
        <v>1.0658141036401503E-14</v>
      </c>
      <c r="M152" s="117">
        <v>1597.2288391506643</v>
      </c>
    </row>
    <row r="153" spans="11:13" x14ac:dyDescent="0.45">
      <c r="K153" s="74">
        <v>151</v>
      </c>
      <c r="L153" s="119">
        <v>31.20000000000001</v>
      </c>
      <c r="M153" s="117">
        <v>1602.7594661157602</v>
      </c>
    </row>
    <row r="154" spans="11:13" x14ac:dyDescent="0.45">
      <c r="K154" s="74">
        <v>152</v>
      </c>
      <c r="L154" s="119">
        <v>51.500000000000014</v>
      </c>
      <c r="M154" s="117">
        <v>1606.2949093190657</v>
      </c>
    </row>
    <row r="155" spans="11:13" x14ac:dyDescent="0.45">
      <c r="K155" s="74">
        <v>153</v>
      </c>
      <c r="L155" s="119">
        <v>1.4210854715202004E-14</v>
      </c>
      <c r="M155" s="117">
        <v>1596.8851398631514</v>
      </c>
    </row>
    <row r="156" spans="11:13" x14ac:dyDescent="0.45">
      <c r="K156" s="74">
        <v>154</v>
      </c>
      <c r="L156" s="119">
        <v>-39.299999999999983</v>
      </c>
      <c r="M156" s="117">
        <v>1590.2318290239725</v>
      </c>
    </row>
    <row r="157" spans="11:13" x14ac:dyDescent="0.45">
      <c r="K157" s="74">
        <v>155</v>
      </c>
      <c r="L157" s="119">
        <v>21.000000000000014</v>
      </c>
      <c r="M157" s="117">
        <v>1601.5464380498288</v>
      </c>
    </row>
    <row r="158" spans="11:13" x14ac:dyDescent="0.45">
      <c r="K158" s="74">
        <v>156</v>
      </c>
      <c r="L158" s="119">
        <v>1.4210854715202004E-14</v>
      </c>
      <c r="M158" s="117">
        <v>1598.1591594215299</v>
      </c>
    </row>
    <row r="159" spans="11:13" x14ac:dyDescent="0.45">
      <c r="K159" s="74">
        <v>157</v>
      </c>
      <c r="L159" s="119">
        <v>4.1000000000000139</v>
      </c>
      <c r="M159" s="117">
        <v>1599.1062044650007</v>
      </c>
    </row>
    <row r="160" spans="11:13" x14ac:dyDescent="0.45">
      <c r="K160" s="74">
        <v>158</v>
      </c>
      <c r="L160" s="119">
        <v>-36.199999999999982</v>
      </c>
      <c r="M160" s="117">
        <v>1592.0555672382106</v>
      </c>
    </row>
    <row r="161" spans="11:13" x14ac:dyDescent="0.45">
      <c r="K161" s="74">
        <v>159</v>
      </c>
      <c r="L161" s="119">
        <v>2.1316282072803006E-14</v>
      </c>
      <c r="M161" s="117">
        <v>1598.8172338347813</v>
      </c>
    </row>
    <row r="162" spans="11:13" x14ac:dyDescent="0.45">
      <c r="K162" s="74">
        <v>160</v>
      </c>
      <c r="L162" s="119">
        <v>69.700000000000017</v>
      </c>
      <c r="M162" s="117">
        <v>1611.2203304317727</v>
      </c>
    </row>
    <row r="163" spans="11:13" x14ac:dyDescent="0.45">
      <c r="K163" s="74">
        <v>161</v>
      </c>
      <c r="L163" s="119">
        <v>46.300000000000018</v>
      </c>
      <c r="M163" s="117">
        <v>1606.7910084491821</v>
      </c>
    </row>
    <row r="164" spans="11:13" x14ac:dyDescent="0.45">
      <c r="K164" s="74">
        <v>162</v>
      </c>
      <c r="L164" s="119">
        <v>2.1316282072803006E-14</v>
      </c>
      <c r="M164" s="117">
        <v>1598.266262398487</v>
      </c>
    </row>
    <row r="165" spans="11:13" x14ac:dyDescent="0.45">
      <c r="K165" s="74">
        <v>163</v>
      </c>
      <c r="L165" s="119">
        <v>20.500000000000021</v>
      </c>
      <c r="M165" s="117">
        <v>1601.8166648240961</v>
      </c>
    </row>
    <row r="166" spans="11:13" x14ac:dyDescent="0.45">
      <c r="K166" s="74">
        <v>164</v>
      </c>
      <c r="L166" s="119">
        <v>24.90000000000002</v>
      </c>
      <c r="M166" s="117">
        <v>1602.4477648351515</v>
      </c>
    </row>
    <row r="167" spans="11:13" x14ac:dyDescent="0.45">
      <c r="K167" s="74">
        <v>165</v>
      </c>
      <c r="L167" s="119">
        <v>2.1316282072803006E-14</v>
      </c>
      <c r="M167" s="117">
        <v>1597.8010782461406</v>
      </c>
    </row>
    <row r="168" spans="11:13" x14ac:dyDescent="0.45">
      <c r="K168" s="74">
        <v>166</v>
      </c>
      <c r="L168" s="119">
        <v>47.000000000000021</v>
      </c>
      <c r="M168" s="117">
        <v>1606.2922717766637</v>
      </c>
    </row>
    <row r="169" spans="11:13" x14ac:dyDescent="0.45">
      <c r="K169" s="74">
        <v>167</v>
      </c>
      <c r="L169" s="119">
        <v>-1.9999999999999787</v>
      </c>
      <c r="M169" s="117">
        <v>1597.4525181460037</v>
      </c>
    </row>
    <row r="170" spans="11:13" x14ac:dyDescent="0.45">
      <c r="K170" s="74">
        <v>168</v>
      </c>
      <c r="L170" s="119">
        <v>2.1316282072803006E-14</v>
      </c>
      <c r="M170" s="117">
        <v>1597.8458030371278</v>
      </c>
    </row>
    <row r="171" spans="11:13" x14ac:dyDescent="0.45">
      <c r="K171" s="74">
        <v>169</v>
      </c>
      <c r="L171" s="119">
        <v>-3.5999999999999788</v>
      </c>
      <c r="M171" s="117">
        <v>1597.234728218905</v>
      </c>
    </row>
    <row r="172" spans="11:13" x14ac:dyDescent="0.45">
      <c r="K172" s="74">
        <v>170</v>
      </c>
      <c r="L172" s="119">
        <v>-33.999999999999979</v>
      </c>
      <c r="M172" s="117">
        <v>1591.8033198495916</v>
      </c>
    </row>
    <row r="173" spans="11:13" x14ac:dyDescent="0.45">
      <c r="K173" s="74">
        <v>171</v>
      </c>
      <c r="L173" s="119">
        <v>2.1316282072803006E-14</v>
      </c>
      <c r="M173" s="117">
        <v>1597.9964999304941</v>
      </c>
    </row>
    <row r="174" spans="11:13" x14ac:dyDescent="0.45">
      <c r="K174" s="74">
        <v>172</v>
      </c>
      <c r="L174" s="119">
        <v>2.1316282072803006E-14</v>
      </c>
      <c r="M174" s="117">
        <v>1598.2005209309111</v>
      </c>
    </row>
    <row r="175" spans="11:13" x14ac:dyDescent="0.45">
      <c r="K175" s="74">
        <v>173</v>
      </c>
      <c r="L175" s="119">
        <v>27.300000000000022</v>
      </c>
      <c r="M175" s="117">
        <v>1603.3173178053257</v>
      </c>
    </row>
    <row r="176" spans="11:13" x14ac:dyDescent="0.45">
      <c r="K176" s="74">
        <v>174</v>
      </c>
      <c r="L176" s="119">
        <v>2.1316282072803006E-14</v>
      </c>
      <c r="M176" s="117">
        <v>1598.5754138984937</v>
      </c>
    </row>
    <row r="177" spans="11:13" x14ac:dyDescent="0.45">
      <c r="K177" s="74">
        <v>175</v>
      </c>
      <c r="L177" s="119">
        <v>-52.399999999999977</v>
      </c>
      <c r="M177" s="117">
        <v>1589.3439614151027</v>
      </c>
    </row>
    <row r="178" spans="11:13" x14ac:dyDescent="0.45">
      <c r="K178" s="74">
        <v>176</v>
      </c>
      <c r="L178" s="119">
        <v>-13.299999999999976</v>
      </c>
      <c r="M178" s="117">
        <v>1596.6378976466121</v>
      </c>
    </row>
    <row r="179" spans="11:13" x14ac:dyDescent="0.45">
      <c r="K179" s="74">
        <v>177</v>
      </c>
      <c r="L179" s="119">
        <v>2.4868995751603507E-14</v>
      </c>
      <c r="M179" s="117">
        <v>1599.2440702607325</v>
      </c>
    </row>
    <row r="180" spans="11:13" x14ac:dyDescent="0.45">
      <c r="K180" s="74">
        <v>178</v>
      </c>
      <c r="L180" s="119">
        <v>50.800000000000026</v>
      </c>
      <c r="M180" s="117">
        <v>1608.4646058391681</v>
      </c>
    </row>
    <row r="181" spans="11:13" x14ac:dyDescent="0.45">
      <c r="K181" s="74">
        <v>179</v>
      </c>
      <c r="L181" s="119">
        <v>66.40000000000002</v>
      </c>
      <c r="M181" s="117">
        <v>1611.2938182041332</v>
      </c>
    </row>
    <row r="182" spans="11:13" x14ac:dyDescent="0.45">
      <c r="K182" s="74">
        <v>180</v>
      </c>
      <c r="L182" s="119">
        <v>1.4210854715202004E-14</v>
      </c>
      <c r="M182" s="117">
        <v>1599.3460552949084</v>
      </c>
    </row>
    <row r="183" spans="11:13" x14ac:dyDescent="0.45">
      <c r="K183" s="74">
        <v>181</v>
      </c>
      <c r="L183" s="119">
        <v>44.600000000000016</v>
      </c>
      <c r="M183" s="117">
        <v>1607.4499789631391</v>
      </c>
    </row>
    <row r="184" spans="11:13" x14ac:dyDescent="0.45">
      <c r="K184" s="74">
        <v>182</v>
      </c>
      <c r="L184" s="119">
        <v>-2.8999999999999844</v>
      </c>
      <c r="M184" s="117">
        <v>1598.9272790893601</v>
      </c>
    </row>
    <row r="185" spans="11:13" x14ac:dyDescent="0.45">
      <c r="K185" s="74">
        <v>183</v>
      </c>
      <c r="L185" s="119">
        <v>1.5543122344752192E-14</v>
      </c>
      <c r="M185" s="117">
        <v>1599.5277154148239</v>
      </c>
    </row>
    <row r="186" spans="11:13" x14ac:dyDescent="0.45">
      <c r="K186" s="74">
        <v>184</v>
      </c>
      <c r="L186" s="119">
        <v>-24.899999999999984</v>
      </c>
      <c r="M186" s="117">
        <v>1595.120549122335</v>
      </c>
    </row>
    <row r="187" spans="11:13" x14ac:dyDescent="0.45">
      <c r="K187" s="74">
        <v>185</v>
      </c>
      <c r="L187" s="119">
        <v>-28.199999999999985</v>
      </c>
      <c r="M187" s="117">
        <v>1594.6278258276009</v>
      </c>
    </row>
    <row r="188" spans="11:13" x14ac:dyDescent="0.45">
      <c r="K188" s="74">
        <v>186</v>
      </c>
      <c r="L188" s="119">
        <v>1.4210854715202004E-14</v>
      </c>
      <c r="M188" s="117">
        <v>1599.8080588726352</v>
      </c>
    </row>
    <row r="189" spans="11:13" x14ac:dyDescent="0.45">
      <c r="K189" s="74">
        <v>187</v>
      </c>
      <c r="L189" s="119">
        <v>-12.799999999999986</v>
      </c>
      <c r="M189" s="117">
        <v>1597.6672105193993</v>
      </c>
    </row>
    <row r="190" spans="11:13" x14ac:dyDescent="0.45">
      <c r="K190" s="74">
        <v>188</v>
      </c>
      <c r="L190" s="119">
        <v>29.400000000000016</v>
      </c>
      <c r="M190" s="117">
        <v>1605.439207256283</v>
      </c>
    </row>
    <row r="191" spans="11:13" x14ac:dyDescent="0.45">
      <c r="K191" s="74">
        <v>189</v>
      </c>
      <c r="L191" s="119">
        <v>1.7763568394002505E-14</v>
      </c>
      <c r="M191" s="117">
        <v>1600.2765720127452</v>
      </c>
    </row>
    <row r="192" spans="11:13" x14ac:dyDescent="0.45">
      <c r="K192" s="74">
        <v>190</v>
      </c>
      <c r="L192" s="119">
        <v>43.90000000000002</v>
      </c>
      <c r="M192" s="117">
        <v>1608.3389125806686</v>
      </c>
    </row>
    <row r="193" spans="11:13" x14ac:dyDescent="0.45">
      <c r="K193" s="74">
        <v>191</v>
      </c>
      <c r="L193" s="119">
        <v>-1.8999999999999773</v>
      </c>
      <c r="M193" s="117">
        <v>1600.2068791051847</v>
      </c>
    </row>
    <row r="194" spans="11:13" x14ac:dyDescent="0.45">
      <c r="K194" s="74">
        <v>192</v>
      </c>
      <c r="L194" s="119">
        <v>2.2648549702353193E-14</v>
      </c>
      <c r="M194" s="117">
        <v>1600.7096378305537</v>
      </c>
    </row>
    <row r="195" spans="11:13" x14ac:dyDescent="0.45">
      <c r="K195" s="74">
        <v>193</v>
      </c>
      <c r="L195" s="119">
        <v>4.1000000000000227</v>
      </c>
      <c r="M195" s="117">
        <v>1601.6053800035704</v>
      </c>
    </row>
    <row r="196" spans="11:13" x14ac:dyDescent="0.45">
      <c r="K196" s="74">
        <v>194</v>
      </c>
      <c r="L196" s="119">
        <v>-30.999999999999979</v>
      </c>
      <c r="M196" s="117">
        <v>1595.4397477235491</v>
      </c>
    </row>
    <row r="197" spans="11:13" x14ac:dyDescent="0.45">
      <c r="K197" s="74">
        <v>195</v>
      </c>
      <c r="L197" s="119">
        <v>2.1316282072803006E-14</v>
      </c>
      <c r="M197" s="117">
        <v>1601.2091092372077</v>
      </c>
    </row>
    <row r="198" spans="11:13" x14ac:dyDescent="0.45">
      <c r="K198" s="74">
        <v>196</v>
      </c>
      <c r="L198" s="119">
        <v>-18.399999999999977</v>
      </c>
      <c r="M198" s="117">
        <v>1597.5598545817845</v>
      </c>
    </row>
    <row r="199" spans="11:13" x14ac:dyDescent="0.45">
      <c r="K199" s="74">
        <v>197</v>
      </c>
      <c r="L199" s="119">
        <v>-20.199999999999978</v>
      </c>
      <c r="M199" s="117">
        <v>1596.9204954542938</v>
      </c>
    </row>
    <row r="200" spans="11:13" x14ac:dyDescent="0.45">
      <c r="K200" s="74">
        <v>198</v>
      </c>
      <c r="L200" s="119">
        <v>2.1316282072803006E-14</v>
      </c>
      <c r="M200" s="117">
        <v>1600.2449724815681</v>
      </c>
    </row>
    <row r="201" spans="11:13" x14ac:dyDescent="0.45">
      <c r="K201" s="74">
        <v>199</v>
      </c>
      <c r="L201" s="119">
        <v>-2.3999999999999786</v>
      </c>
      <c r="M201" s="117">
        <v>1599.4815026466786</v>
      </c>
    </row>
    <row r="202" spans="11:13" x14ac:dyDescent="0.45">
      <c r="K202" s="74">
        <v>200</v>
      </c>
      <c r="L202" s="119">
        <v>-32.699999999999982</v>
      </c>
      <c r="M202" s="117">
        <v>1593.7006136307984</v>
      </c>
    </row>
    <row r="203" spans="11:13" x14ac:dyDescent="0.45">
      <c r="K203" s="74">
        <v>201</v>
      </c>
      <c r="L203" s="119">
        <v>2.1316282072803006E-14</v>
      </c>
      <c r="M203" s="117">
        <v>1599.2944099490137</v>
      </c>
    </row>
    <row r="204" spans="11:13" x14ac:dyDescent="0.45">
      <c r="K204" s="74">
        <v>202</v>
      </c>
      <c r="L204" s="119">
        <v>-21.699999999999978</v>
      </c>
      <c r="M204" s="117">
        <v>1595.4466434893195</v>
      </c>
    </row>
    <row r="205" spans="11:13" x14ac:dyDescent="0.45">
      <c r="K205" s="74">
        <v>203</v>
      </c>
      <c r="L205" s="119">
        <v>8.4000000000000234</v>
      </c>
      <c r="M205" s="117">
        <v>1600.9459636283837</v>
      </c>
    </row>
    <row r="206" spans="11:13" x14ac:dyDescent="0.45">
      <c r="K206" s="74">
        <v>204</v>
      </c>
      <c r="L206" s="119">
        <v>2.3092638912203256E-14</v>
      </c>
      <c r="M206" s="117">
        <v>1599.4822878466134</v>
      </c>
    </row>
    <row r="207" spans="11:13" x14ac:dyDescent="0.45">
      <c r="K207" s="74">
        <v>205</v>
      </c>
      <c r="L207" s="119">
        <v>44.000000000000021</v>
      </c>
      <c r="M207" s="117">
        <v>1607.4593941195337</v>
      </c>
    </row>
    <row r="208" spans="11:13" x14ac:dyDescent="0.45">
      <c r="K208" s="74">
        <v>206</v>
      </c>
      <c r="L208" s="119">
        <v>3.3000000000000185</v>
      </c>
      <c r="M208" s="117">
        <v>1600.1426377548166</v>
      </c>
    </row>
    <row r="209" spans="11:13" x14ac:dyDescent="0.45">
      <c r="K209" s="74">
        <v>207</v>
      </c>
      <c r="L209" s="119">
        <v>1.865174681370263E-14</v>
      </c>
      <c r="M209" s="117">
        <v>1599.6017819282877</v>
      </c>
    </row>
    <row r="210" spans="11:13" x14ac:dyDescent="0.45">
      <c r="K210" s="74">
        <v>208</v>
      </c>
      <c r="L210" s="119">
        <v>-6.1999999999999815</v>
      </c>
      <c r="M210" s="117">
        <v>1598.458171236718</v>
      </c>
    </row>
    <row r="211" spans="11:13" x14ac:dyDescent="0.45">
      <c r="K211" s="74">
        <v>209</v>
      </c>
      <c r="L211" s="119">
        <v>-31.899999999999981</v>
      </c>
      <c r="M211" s="117">
        <v>1593.8114222092977</v>
      </c>
    </row>
    <row r="212" spans="11:13" x14ac:dyDescent="0.45">
      <c r="K212" s="74">
        <v>210</v>
      </c>
      <c r="L212" s="119">
        <v>1.7763568394002505E-14</v>
      </c>
      <c r="M212" s="117">
        <v>1599.560553676042</v>
      </c>
    </row>
    <row r="213" spans="11:13" x14ac:dyDescent="0.45">
      <c r="K213" s="74">
        <v>211</v>
      </c>
      <c r="L213" s="119">
        <v>-0.89999999999998226</v>
      </c>
      <c r="M213" s="117">
        <v>1599.3711903539856</v>
      </c>
    </row>
    <row r="214" spans="11:13" x14ac:dyDescent="0.45">
      <c r="K214" s="74">
        <v>212</v>
      </c>
      <c r="L214" s="119">
        <v>39.800000000000018</v>
      </c>
      <c r="M214" s="117">
        <v>1606.6709632118618</v>
      </c>
    </row>
    <row r="215" spans="11:13" x14ac:dyDescent="0.45">
      <c r="K215" s="74">
        <v>213</v>
      </c>
      <c r="L215" s="119">
        <v>2.1316282072803006E-14</v>
      </c>
      <c r="M215" s="117">
        <v>1599.4369374325906</v>
      </c>
    </row>
    <row r="216" spans="11:13" x14ac:dyDescent="0.45">
      <c r="K216" s="74">
        <v>214</v>
      </c>
      <c r="L216" s="119">
        <v>-53.899999999999977</v>
      </c>
      <c r="M216" s="117">
        <v>1589.4923158079951</v>
      </c>
    </row>
    <row r="217" spans="11:13" x14ac:dyDescent="0.45">
      <c r="K217" s="74">
        <v>215</v>
      </c>
      <c r="L217" s="119">
        <v>-1.6999999999999744</v>
      </c>
      <c r="M217" s="117">
        <v>1598.705361913147</v>
      </c>
    </row>
    <row r="218" spans="11:13" x14ac:dyDescent="0.45">
      <c r="K218" s="74">
        <v>216</v>
      </c>
      <c r="L218" s="119">
        <v>2.55351295663786E-14</v>
      </c>
      <c r="M218" s="117">
        <v>1598.7731297416681</v>
      </c>
    </row>
    <row r="219" spans="11:13" x14ac:dyDescent="0.45">
      <c r="K219" s="74">
        <v>217</v>
      </c>
      <c r="L219" s="119">
        <v>-18.399999999999974</v>
      </c>
      <c r="M219" s="117">
        <v>1595.450490963218</v>
      </c>
    </row>
    <row r="220" spans="11:13" x14ac:dyDescent="0.45">
      <c r="K220" s="74">
        <v>218</v>
      </c>
      <c r="L220" s="119">
        <v>-16.799999999999972</v>
      </c>
      <c r="M220" s="117">
        <v>1595.7477880174388</v>
      </c>
    </row>
    <row r="221" spans="11:13" x14ac:dyDescent="0.45">
      <c r="K221" s="74">
        <v>219</v>
      </c>
      <c r="L221" s="119">
        <v>2.8421709430404007E-14</v>
      </c>
      <c r="M221" s="117">
        <v>1598.7793012893342</v>
      </c>
    </row>
    <row r="222" spans="11:13" x14ac:dyDescent="0.45">
      <c r="K222" s="74">
        <v>220</v>
      </c>
      <c r="L222" s="119">
        <v>36.200000000000031</v>
      </c>
      <c r="M222" s="117">
        <v>1605.5306254815982</v>
      </c>
    </row>
    <row r="223" spans="11:13" x14ac:dyDescent="0.45">
      <c r="K223" s="74">
        <v>221</v>
      </c>
      <c r="L223" s="119">
        <v>34.800000000000033</v>
      </c>
      <c r="M223" s="117">
        <v>1605.4734417287086</v>
      </c>
    </row>
    <row r="224" spans="11:13" x14ac:dyDescent="0.45">
      <c r="K224" s="74">
        <v>222</v>
      </c>
      <c r="L224" s="119">
        <v>3.5527136788005009E-14</v>
      </c>
      <c r="M224" s="117">
        <v>1599.4046010783363</v>
      </c>
    </row>
    <row r="225" spans="11:13" x14ac:dyDescent="0.45">
      <c r="K225" s="74">
        <v>223</v>
      </c>
      <c r="L225" s="119">
        <v>-24.499999999999964</v>
      </c>
      <c r="M225" s="117">
        <v>1595.0341734718663</v>
      </c>
    </row>
    <row r="226" spans="11:13" x14ac:dyDescent="0.45">
      <c r="K226" s="74">
        <v>224</v>
      </c>
      <c r="L226" s="119">
        <v>-0.59999999999996589</v>
      </c>
      <c r="M226" s="117">
        <v>1599.4019684310351</v>
      </c>
    </row>
    <row r="227" spans="11:13" x14ac:dyDescent="0.45">
      <c r="K227" s="74">
        <v>225</v>
      </c>
      <c r="L227" s="119">
        <v>3.4083846855992306E-14</v>
      </c>
      <c r="M227" s="117">
        <v>1599.5495566204488</v>
      </c>
    </row>
    <row r="228" spans="11:13" x14ac:dyDescent="0.45">
      <c r="K228" s="74">
        <v>226</v>
      </c>
      <c r="L228" s="119">
        <v>35.500000000000036</v>
      </c>
      <c r="M228" s="117">
        <v>1605.9782592807262</v>
      </c>
    </row>
    <row r="229" spans="11:13" x14ac:dyDescent="0.45">
      <c r="K229" s="74">
        <v>227</v>
      </c>
      <c r="L229" s="119">
        <v>10.000000000000036</v>
      </c>
      <c r="M229" s="117">
        <v>1601.3883897250419</v>
      </c>
    </row>
    <row r="230" spans="11:13" x14ac:dyDescent="0.45">
      <c r="K230" s="74">
        <v>228</v>
      </c>
      <c r="L230" s="119">
        <v>3.5527136788005009E-14</v>
      </c>
      <c r="M230" s="117">
        <v>1599.6160593866916</v>
      </c>
    </row>
    <row r="231" spans="11:13" x14ac:dyDescent="0.45">
      <c r="K231" s="74">
        <v>229</v>
      </c>
      <c r="L231" s="119">
        <v>14.300000000000036</v>
      </c>
      <c r="M231" s="117">
        <v>1602.4323630303716</v>
      </c>
    </row>
    <row r="232" spans="11:13" x14ac:dyDescent="0.45">
      <c r="K232" s="74">
        <v>230</v>
      </c>
      <c r="L232" s="119">
        <v>-3.3999999999999631</v>
      </c>
      <c r="M232" s="117">
        <v>1599.4717688521894</v>
      </c>
    </row>
    <row r="233" spans="11:13" x14ac:dyDescent="0.45">
      <c r="K233" s="74">
        <v>231</v>
      </c>
      <c r="L233" s="119">
        <v>3.6859404417555197E-14</v>
      </c>
      <c r="M233" s="117">
        <v>1600.3269382390763</v>
      </c>
    </row>
    <row r="234" spans="11:13" x14ac:dyDescent="0.45">
      <c r="K234" s="74">
        <v>232</v>
      </c>
      <c r="L234" s="119">
        <v>-22.699999999999964</v>
      </c>
      <c r="M234" s="117">
        <v>1596.4789766096419</v>
      </c>
    </row>
    <row r="235" spans="11:13" x14ac:dyDescent="0.45">
      <c r="K235" s="74">
        <v>233</v>
      </c>
      <c r="L235" s="119">
        <v>12.300000000000036</v>
      </c>
      <c r="M235" s="117">
        <v>1603.040102749984</v>
      </c>
    </row>
    <row r="236" spans="11:13" x14ac:dyDescent="0.45">
      <c r="K236" s="74">
        <v>234</v>
      </c>
      <c r="L236" s="119">
        <v>3.5527136788005009E-14</v>
      </c>
      <c r="M236" s="117">
        <v>1601.0478621334842</v>
      </c>
    </row>
    <row r="237" spans="11:13" x14ac:dyDescent="0.45">
      <c r="K237" s="74">
        <v>235</v>
      </c>
      <c r="L237" s="119">
        <v>-5.5999999999999641</v>
      </c>
      <c r="M237" s="117">
        <v>1600.2675749606833</v>
      </c>
    </row>
    <row r="238" spans="11:13" x14ac:dyDescent="0.45">
      <c r="K238" s="74">
        <v>236</v>
      </c>
      <c r="L238" s="119">
        <v>-22.199999999999967</v>
      </c>
      <c r="M238" s="117">
        <v>1597.5119695109192</v>
      </c>
    </row>
    <row r="239" spans="11:13" x14ac:dyDescent="0.45">
      <c r="K239" s="74">
        <v>237</v>
      </c>
      <c r="L239" s="119">
        <v>3.1974423109204508E-14</v>
      </c>
      <c r="M239" s="117">
        <v>1601.7568976938537</v>
      </c>
    </row>
    <row r="240" spans="11:13" x14ac:dyDescent="0.45">
      <c r="K240" s="74">
        <v>238</v>
      </c>
      <c r="L240" s="119">
        <v>50.900000000000034</v>
      </c>
      <c r="M240" s="117">
        <v>1611.1483563076906</v>
      </c>
    </row>
    <row r="241" spans="11:13" x14ac:dyDescent="0.45">
      <c r="K241" s="74">
        <v>239</v>
      </c>
      <c r="L241" s="119">
        <v>-1.9999999999999645</v>
      </c>
      <c r="M241" s="117">
        <v>1601.7994661698444</v>
      </c>
    </row>
    <row r="242" spans="11:13" x14ac:dyDescent="0.45">
      <c r="K242" s="74">
        <v>240</v>
      </c>
      <c r="L242" s="119">
        <v>3.5527136788005009E-14</v>
      </c>
      <c r="M242" s="117">
        <v>1602.3886693728255</v>
      </c>
    </row>
    <row r="243" spans="11:13" x14ac:dyDescent="0.45">
      <c r="K243" s="74">
        <v>241</v>
      </c>
      <c r="L243" s="119">
        <v>-25.999999999999964</v>
      </c>
      <c r="M243" s="117">
        <v>1597.9223373565885</v>
      </c>
    </row>
    <row r="244" spans="11:13" x14ac:dyDescent="0.45">
      <c r="K244" s="74">
        <v>242</v>
      </c>
      <c r="L244" s="119">
        <v>-4.4999999999999645</v>
      </c>
      <c r="M244" s="117">
        <v>1602.032803332449</v>
      </c>
    </row>
    <row r="245" spans="11:13" x14ac:dyDescent="0.45">
      <c r="K245" s="74">
        <v>243</v>
      </c>
      <c r="L245" s="119">
        <v>3.5527136788005009E-14</v>
      </c>
      <c r="M245" s="117">
        <v>1603.0586065124544</v>
      </c>
    </row>
    <row r="246" spans="11:13" x14ac:dyDescent="0.45">
      <c r="K246" s="74">
        <v>244</v>
      </c>
      <c r="L246" s="119">
        <v>-40.699999999999967</v>
      </c>
      <c r="M246" s="117">
        <v>1595.9422548733796</v>
      </c>
    </row>
    <row r="247" spans="11:13" x14ac:dyDescent="0.45">
      <c r="K247" s="74">
        <v>245</v>
      </c>
      <c r="L247" s="119">
        <v>-4.1999999999999673</v>
      </c>
      <c r="M247" s="117">
        <v>1602.7646013441392</v>
      </c>
    </row>
    <row r="248" spans="11:13" x14ac:dyDescent="0.45">
      <c r="K248" s="74">
        <v>246</v>
      </c>
      <c r="L248" s="119">
        <v>3.2862601528904634E-14</v>
      </c>
      <c r="M248" s="117">
        <v>1603.7320137360744</v>
      </c>
    </row>
    <row r="249" spans="11:13" x14ac:dyDescent="0.45">
      <c r="K249" s="74">
        <v>247</v>
      </c>
      <c r="L249" s="119">
        <v>4.700000000000033</v>
      </c>
      <c r="M249" s="117">
        <v>1604.783621653658</v>
      </c>
    </row>
    <row r="250" spans="11:13" x14ac:dyDescent="0.45">
      <c r="K250" s="74">
        <v>248</v>
      </c>
      <c r="L250" s="119">
        <v>44.60000000000003</v>
      </c>
      <c r="M250" s="117">
        <v>1612.1649199237361</v>
      </c>
    </row>
    <row r="251" spans="11:13" x14ac:dyDescent="0.45">
      <c r="K251" s="74">
        <v>249</v>
      </c>
      <c r="L251" s="119">
        <v>2.8421709430404007E-14</v>
      </c>
      <c r="M251" s="117">
        <v>1604.2919304041936</v>
      </c>
    </row>
    <row r="252" spans="11:13" x14ac:dyDescent="0.45">
      <c r="K252" s="74">
        <v>250</v>
      </c>
      <c r="L252" s="119">
        <v>15.400000000000029</v>
      </c>
      <c r="M252" s="117">
        <v>1607.1401788217686</v>
      </c>
    </row>
    <row r="253" spans="11:13" x14ac:dyDescent="0.45">
      <c r="K253" s="74">
        <v>251</v>
      </c>
      <c r="L253" s="119">
        <v>17.800000000000029</v>
      </c>
      <c r="M253" s="117">
        <v>1607.631337748838</v>
      </c>
    </row>
    <row r="254" spans="11:13" x14ac:dyDescent="0.45">
      <c r="K254" s="74">
        <v>252</v>
      </c>
      <c r="L254" s="119">
        <v>2.8421709430404007E-14</v>
      </c>
      <c r="M254" s="117">
        <v>1604.4835497223448</v>
      </c>
    </row>
    <row r="255" spans="11:13" x14ac:dyDescent="0.45">
      <c r="K255" s="74">
        <v>253</v>
      </c>
      <c r="L255" s="119">
        <v>5.1000000000000281</v>
      </c>
      <c r="M255" s="117">
        <v>1605.4766484240108</v>
      </c>
    </row>
    <row r="256" spans="11:13" x14ac:dyDescent="0.45">
      <c r="K256" s="74">
        <v>254</v>
      </c>
      <c r="L256" s="119">
        <v>22.900000000000027</v>
      </c>
      <c r="M256" s="117">
        <v>1608.7497885334667</v>
      </c>
    </row>
    <row r="257" spans="11:13" x14ac:dyDescent="0.45">
      <c r="K257" s="74">
        <v>255</v>
      </c>
      <c r="L257" s="119">
        <v>2.8421709430404007E-14</v>
      </c>
      <c r="M257" s="117">
        <v>1604.6772898022659</v>
      </c>
    </row>
    <row r="258" spans="11:13" x14ac:dyDescent="0.45">
      <c r="K258" s="74">
        <v>256</v>
      </c>
      <c r="L258" s="119">
        <v>-11.499999999999972</v>
      </c>
      <c r="M258" s="117">
        <v>1602.9392260634522</v>
      </c>
    </row>
    <row r="259" spans="11:13" x14ac:dyDescent="0.45">
      <c r="K259" s="74">
        <v>257</v>
      </c>
      <c r="L259" s="119">
        <v>-0.49999999999997158</v>
      </c>
      <c r="M259" s="117">
        <v>1605.2615907070715</v>
      </c>
    </row>
    <row r="260" spans="11:13" x14ac:dyDescent="0.45">
      <c r="K260" s="74">
        <v>258</v>
      </c>
      <c r="L260" s="119">
        <v>2.8421709430404007E-14</v>
      </c>
      <c r="M260" s="117">
        <v>1605.680021162829</v>
      </c>
    </row>
    <row r="261" spans="11:13" x14ac:dyDescent="0.45">
      <c r="K261" s="74">
        <v>259</v>
      </c>
      <c r="L261" s="119">
        <v>-5.0999999999999712</v>
      </c>
      <c r="M261" s="117">
        <v>1605.0879410358521</v>
      </c>
    </row>
    <row r="262" spans="11:13" x14ac:dyDescent="0.45">
      <c r="K262" s="74">
        <v>260</v>
      </c>
      <c r="L262" s="119">
        <v>45.300000000000026</v>
      </c>
      <c r="M262" s="117">
        <v>1614.4894133896369</v>
      </c>
    </row>
    <row r="263" spans="11:13" x14ac:dyDescent="0.45">
      <c r="K263" s="74">
        <v>261</v>
      </c>
      <c r="L263" s="119">
        <v>2.8421709430404007E-14</v>
      </c>
      <c r="M263" s="117">
        <v>1606.608476909299</v>
      </c>
    </row>
    <row r="264" spans="11:13" x14ac:dyDescent="0.45">
      <c r="K264" s="74">
        <v>262</v>
      </c>
      <c r="L264" s="119">
        <v>-6.8999999999999719</v>
      </c>
      <c r="M264" s="117">
        <v>1605.3508260478432</v>
      </c>
    </row>
    <row r="265" spans="11:13" x14ac:dyDescent="0.45">
      <c r="K265" s="74">
        <v>263</v>
      </c>
      <c r="L265" s="119">
        <v>18.800000000000026</v>
      </c>
      <c r="M265" s="117">
        <v>1609.9687210915561</v>
      </c>
    </row>
    <row r="266" spans="11:13" x14ac:dyDescent="0.45">
      <c r="K266" s="74">
        <v>264</v>
      </c>
      <c r="L266" s="119">
        <v>2.4868995751603507E-14</v>
      </c>
      <c r="M266" s="117">
        <v>1606.5489087650067</v>
      </c>
    </row>
    <row r="267" spans="11:13" x14ac:dyDescent="0.45">
      <c r="K267" s="74">
        <v>265</v>
      </c>
      <c r="L267" s="119">
        <v>-19.299999999999976</v>
      </c>
      <c r="M267" s="117">
        <v>1602.9216153124166</v>
      </c>
    </row>
    <row r="268" spans="11:13" x14ac:dyDescent="0.45">
      <c r="K268" s="74">
        <v>266</v>
      </c>
      <c r="L268" s="119">
        <v>-17.699999999999974</v>
      </c>
      <c r="M268" s="117">
        <v>1603.0780856205422</v>
      </c>
    </row>
    <row r="269" spans="11:13" x14ac:dyDescent="0.45">
      <c r="K269" s="74">
        <v>267</v>
      </c>
      <c r="L269" s="119">
        <v>2.4868995751603507E-14</v>
      </c>
      <c r="M269" s="117">
        <v>1606.131617106819</v>
      </c>
    </row>
    <row r="270" spans="11:13" x14ac:dyDescent="0.45">
      <c r="K270" s="74">
        <v>268</v>
      </c>
      <c r="L270" s="119">
        <v>0.70000000000002482</v>
      </c>
      <c r="M270" s="117">
        <v>1606.3168274041782</v>
      </c>
    </row>
    <row r="271" spans="11:13" x14ac:dyDescent="0.45">
      <c r="K271" s="74">
        <v>269</v>
      </c>
      <c r="L271" s="119">
        <v>-36.299999999999976</v>
      </c>
      <c r="M271" s="117">
        <v>1599.7149264397531</v>
      </c>
    </row>
    <row r="272" spans="11:13" x14ac:dyDescent="0.45">
      <c r="K272" s="74">
        <v>270</v>
      </c>
      <c r="L272" s="119">
        <v>2.1316282072803006E-14</v>
      </c>
      <c r="M272" s="117">
        <v>1606.3466368811146</v>
      </c>
    </row>
    <row r="273" spans="11:13" x14ac:dyDescent="0.45">
      <c r="K273" s="74">
        <v>271</v>
      </c>
      <c r="L273" s="119">
        <v>12.500000000000021</v>
      </c>
      <c r="M273" s="117">
        <v>1607.8505570598279</v>
      </c>
    </row>
    <row r="274" spans="11:13" x14ac:dyDescent="0.45">
      <c r="K274" s="74">
        <v>272</v>
      </c>
      <c r="L274" s="119">
        <v>-24.499999999999979</v>
      </c>
      <c r="M274" s="117">
        <v>1600.435453717469</v>
      </c>
    </row>
    <row r="275" spans="11:13" x14ac:dyDescent="0.45">
      <c r="K275" s="74">
        <v>273</v>
      </c>
      <c r="L275" s="119">
        <v>2.1316282072803006E-14</v>
      </c>
      <c r="M275" s="117">
        <v>1604.1348409951643</v>
      </c>
    </row>
    <row r="276" spans="11:13" x14ac:dyDescent="0.45">
      <c r="K276" s="74">
        <v>274</v>
      </c>
      <c r="L276" s="119">
        <v>8.7000000000000206</v>
      </c>
      <c r="M276" s="117">
        <v>1605.7720319491932</v>
      </c>
    </row>
    <row r="277" spans="11:13" x14ac:dyDescent="0.45">
      <c r="K277" s="74">
        <v>275</v>
      </c>
      <c r="L277" s="119">
        <v>-21.999999999999979</v>
      </c>
      <c r="M277" s="117">
        <v>1600.3073997574979</v>
      </c>
    </row>
    <row r="278" spans="11:13" x14ac:dyDescent="0.45">
      <c r="K278" s="74">
        <v>276</v>
      </c>
      <c r="L278" s="119">
        <v>2.1316282072803006E-14</v>
      </c>
      <c r="M278" s="117">
        <v>1604.361555358953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F97BE-15B6-4A16-A834-1EA860E5E449}">
  <sheetPr codeName="Sheet7"/>
  <dimension ref="A1:R78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76</v>
      </c>
      <c r="C2" s="134"/>
      <c r="E2" s="26" t="s">
        <v>66</v>
      </c>
      <c r="F2" s="23" t="s">
        <v>22</v>
      </c>
      <c r="G2" s="11">
        <v>153</v>
      </c>
      <c r="H2" s="87">
        <f>IF(B$20=0,0,G2/B$20)</f>
        <v>0.76500000000000001</v>
      </c>
      <c r="I2" s="57">
        <v>6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-25</v>
      </c>
      <c r="Q2" s="76">
        <v>76</v>
      </c>
      <c r="R2" s="63">
        <v>-1900</v>
      </c>
    </row>
    <row r="3" spans="1:18" x14ac:dyDescent="0.45">
      <c r="A3" s="19" t="s">
        <v>8</v>
      </c>
      <c r="B3" s="135">
        <v>632</v>
      </c>
      <c r="C3" s="136"/>
      <c r="E3" s="27" t="s">
        <v>72</v>
      </c>
      <c r="F3" s="24" t="s">
        <v>27</v>
      </c>
      <c r="G3" s="12">
        <v>111</v>
      </c>
      <c r="H3" s="88">
        <f>IF(B$20=0,0,G3/B$20)</f>
        <v>0.55500000000000005</v>
      </c>
      <c r="I3" s="58">
        <v>8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-1384.9315068493152</v>
      </c>
      <c r="Q3" s="77">
        <v>73</v>
      </c>
      <c r="R3" s="64">
        <v>-101100</v>
      </c>
    </row>
    <row r="4" spans="1:18" x14ac:dyDescent="0.45">
      <c r="A4" s="19" t="s">
        <v>6</v>
      </c>
      <c r="B4" s="137">
        <v>50.799999999999955</v>
      </c>
      <c r="C4" s="138"/>
      <c r="E4" s="27" t="s">
        <v>64</v>
      </c>
      <c r="F4" s="24" t="s">
        <v>20</v>
      </c>
      <c r="G4" s="12">
        <v>81</v>
      </c>
      <c r="H4" s="88">
        <f>IF(B$20=0,0,G4/B$20)</f>
        <v>0.40500000000000003</v>
      </c>
      <c r="I4" s="58">
        <v>7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-662.16216216216219</v>
      </c>
      <c r="Q4" s="77">
        <v>74</v>
      </c>
      <c r="R4" s="64">
        <v>-49000</v>
      </c>
    </row>
    <row r="5" spans="1:18" x14ac:dyDescent="0.45">
      <c r="A5" s="19" t="s">
        <v>7</v>
      </c>
      <c r="B5" s="125">
        <f>IF(B$2=0,0,B$4/B$2)</f>
        <v>0.66842105263157836</v>
      </c>
      <c r="C5" s="126"/>
      <c r="E5" s="27" t="s">
        <v>159</v>
      </c>
      <c r="F5" s="24" t="s">
        <v>160</v>
      </c>
      <c r="G5" s="12">
        <v>73</v>
      </c>
      <c r="H5" s="88">
        <f>IF(B$20=0,0,G5/B$20)</f>
        <v>0.36499999999999999</v>
      </c>
      <c r="I5" s="58">
        <v>8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658.33333333333337</v>
      </c>
      <c r="Q5" s="77">
        <v>72</v>
      </c>
      <c r="R5" s="64">
        <v>47400</v>
      </c>
    </row>
    <row r="6" spans="1:18" x14ac:dyDescent="0.45">
      <c r="A6" s="19" t="s">
        <v>196</v>
      </c>
      <c r="B6" s="129">
        <v>1764.6511569722663</v>
      </c>
      <c r="C6" s="130"/>
      <c r="E6" s="27" t="s">
        <v>68</v>
      </c>
      <c r="F6" s="24" t="s">
        <v>12</v>
      </c>
      <c r="G6" s="12">
        <v>59</v>
      </c>
      <c r="H6" s="88">
        <f>IF(B$20=0,0,G6/B$20)</f>
        <v>0.29499999999999998</v>
      </c>
      <c r="I6" s="58">
        <v>6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171.21212121212122</v>
      </c>
      <c r="Q6" s="77">
        <v>66</v>
      </c>
      <c r="R6" s="64">
        <v>11300</v>
      </c>
    </row>
    <row r="7" spans="1:18" x14ac:dyDescent="0.45">
      <c r="A7" s="19" t="s">
        <v>1</v>
      </c>
      <c r="B7" s="139">
        <f>IF(B$2=0,0,(B$8*1+B$9*2+B$10*3)/B$2)</f>
        <v>2.0394736842105261</v>
      </c>
      <c r="C7" s="140"/>
      <c r="E7" s="27" t="s">
        <v>67</v>
      </c>
      <c r="F7" s="24" t="s">
        <v>23</v>
      </c>
      <c r="G7" s="12">
        <v>44</v>
      </c>
      <c r="H7" s="88">
        <f>IF(B$20=0,0,G7/B$20)</f>
        <v>0.22</v>
      </c>
      <c r="I7" s="58">
        <v>6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128.57142857142858</v>
      </c>
      <c r="Q7" s="78">
        <v>56</v>
      </c>
      <c r="R7" s="65">
        <v>7200</v>
      </c>
    </row>
    <row r="8" spans="1:18" x14ac:dyDescent="0.45">
      <c r="A8" s="19" t="s">
        <v>2</v>
      </c>
      <c r="B8" s="12">
        <v>24</v>
      </c>
      <c r="C8" s="6">
        <f t="shared" ref="C8:C15" si="1">IF(B$2=0,0,B8/B$2)</f>
        <v>0.31578947368421051</v>
      </c>
      <c r="E8" s="27" t="s">
        <v>69</v>
      </c>
      <c r="F8" s="24" t="s">
        <v>24</v>
      </c>
      <c r="G8" s="12">
        <v>37</v>
      </c>
      <c r="H8" s="88">
        <f>IF(B$20=0,0,G8/B$20)</f>
        <v>0.185</v>
      </c>
      <c r="I8" s="58">
        <v>2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5">
      <c r="A9" s="19" t="s">
        <v>3</v>
      </c>
      <c r="B9" s="12">
        <v>25</v>
      </c>
      <c r="C9" s="6">
        <f t="shared" si="1"/>
        <v>0.32894736842105265</v>
      </c>
      <c r="E9" s="27" t="s">
        <v>70</v>
      </c>
      <c r="F9" s="24" t="s">
        <v>25</v>
      </c>
      <c r="G9" s="12">
        <v>29</v>
      </c>
      <c r="H9" s="88">
        <f>IF(B$20=0,0,G9/B$20)</f>
        <v>0.14499999999999999</v>
      </c>
      <c r="I9" s="58">
        <v>1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27</v>
      </c>
      <c r="C10" s="7">
        <f t="shared" si="1"/>
        <v>0.35526315789473684</v>
      </c>
      <c r="E10" s="27" t="s">
        <v>89</v>
      </c>
      <c r="F10" s="24" t="s">
        <v>44</v>
      </c>
      <c r="G10" s="12">
        <v>27</v>
      </c>
      <c r="H10" s="88">
        <f>IF(B$20=0,0,G10/B$20)</f>
        <v>0.13500000000000001</v>
      </c>
      <c r="I10" s="58">
        <v>7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4.3222222222222211</v>
      </c>
      <c r="Q10" s="76">
        <v>27</v>
      </c>
      <c r="R10" s="67">
        <v>116.69999999999997</v>
      </c>
    </row>
    <row r="11" spans="1:18" x14ac:dyDescent="0.45">
      <c r="A11" s="20" t="s">
        <v>184</v>
      </c>
      <c r="B11" s="109">
        <f>IF(B8=0,0,C11/B8)</f>
        <v>36.491666666666667</v>
      </c>
      <c r="C11" s="110">
        <v>875.8</v>
      </c>
      <c r="E11" s="27" t="s">
        <v>65</v>
      </c>
      <c r="F11" s="24" t="s">
        <v>21</v>
      </c>
      <c r="G11" s="12">
        <v>16</v>
      </c>
      <c r="H11" s="88">
        <f>IF(B$20=0,0,G11/B$20)</f>
        <v>0.08</v>
      </c>
      <c r="I11" s="58">
        <v>8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-7.1535714285714276</v>
      </c>
      <c r="Q11" s="77">
        <v>28</v>
      </c>
      <c r="R11" s="68">
        <v>-200.29999999999998</v>
      </c>
    </row>
    <row r="12" spans="1:18" x14ac:dyDescent="0.45">
      <c r="A12" s="20" t="s">
        <v>185</v>
      </c>
      <c r="B12" s="109">
        <f>IF(B9=0,0,C12/B9)</f>
        <v>-2.2919999999999998</v>
      </c>
      <c r="C12" s="110">
        <v>-57.29999999999999</v>
      </c>
      <c r="E12" s="27" t="s">
        <v>71</v>
      </c>
      <c r="F12" s="24" t="s">
        <v>26</v>
      </c>
      <c r="G12" s="12">
        <v>11</v>
      </c>
      <c r="H12" s="88">
        <f>IF(B$20=0,0,G12/B$20)</f>
        <v>5.5E-2</v>
      </c>
      <c r="I12" s="58">
        <v>6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6.4</v>
      </c>
      <c r="Q12" s="78">
        <v>21</v>
      </c>
      <c r="R12" s="69">
        <v>134.4</v>
      </c>
    </row>
    <row r="13" spans="1:18" x14ac:dyDescent="0.45">
      <c r="A13" s="20" t="s">
        <v>186</v>
      </c>
      <c r="B13" s="109">
        <f>IF(B10=0,0,C13/B10)</f>
        <v>-28.433333333333334</v>
      </c>
      <c r="C13" s="110">
        <v>-767.7</v>
      </c>
      <c r="E13" s="27" t="s">
        <v>86</v>
      </c>
      <c r="F13" s="24" t="s">
        <v>41</v>
      </c>
      <c r="G13" s="12">
        <v>11</v>
      </c>
      <c r="H13" s="88">
        <f>IF(B$20=0,0,G13/B$20)</f>
        <v>5.5E-2</v>
      </c>
      <c r="I13" s="58">
        <v>4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1.9221111111111107</v>
      </c>
      <c r="C14" s="126"/>
      <c r="E14" s="27" t="s">
        <v>83</v>
      </c>
      <c r="F14" s="24" t="s">
        <v>38</v>
      </c>
      <c r="G14" s="12">
        <v>10</v>
      </c>
      <c r="H14" s="88">
        <f>IF(B$20=0,0,G14/B$20)</f>
        <v>0.05</v>
      </c>
      <c r="I14" s="58">
        <v>4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5</v>
      </c>
      <c r="C15" s="9">
        <f t="shared" si="1"/>
        <v>6.5789473684210523E-2</v>
      </c>
      <c r="E15" s="27" t="s">
        <v>155</v>
      </c>
      <c r="F15" s="24" t="s">
        <v>156</v>
      </c>
      <c r="G15" s="12">
        <v>10</v>
      </c>
      <c r="H15" s="88">
        <f>IF(B$20=0,0,G15/B$20)</f>
        <v>0.05</v>
      </c>
      <c r="I15" s="58">
        <v>1</v>
      </c>
      <c r="K15" s="74">
        <v>13</v>
      </c>
      <c r="L15" s="119">
        <v>236</v>
      </c>
      <c r="M15" s="117">
        <v>1865.6935040107483</v>
      </c>
      <c r="O15" s="73" t="s">
        <v>193</v>
      </c>
      <c r="P15" s="82">
        <f>IF(Q15=0,0,R15/Q15)</f>
        <v>28.9</v>
      </c>
      <c r="Q15" s="76">
        <v>2</v>
      </c>
      <c r="R15" s="67">
        <v>57.8</v>
      </c>
    </row>
    <row r="16" spans="1:18" x14ac:dyDescent="0.45">
      <c r="A16" s="22" t="s">
        <v>121</v>
      </c>
      <c r="B16" s="15">
        <v>157</v>
      </c>
      <c r="C16" s="10">
        <f>IF(B$3=0,0,B16/B$3)</f>
        <v>0.24841772151898733</v>
      </c>
      <c r="E16" s="27" t="s">
        <v>91</v>
      </c>
      <c r="F16" s="24" t="s">
        <v>46</v>
      </c>
      <c r="G16" s="12">
        <v>5</v>
      </c>
      <c r="H16" s="88">
        <f>IF(B$20=0,0,G16/B$20)</f>
        <v>2.5000000000000001E-2</v>
      </c>
      <c r="I16" s="58">
        <v>2</v>
      </c>
      <c r="K16" s="74">
        <v>14</v>
      </c>
      <c r="L16" s="119">
        <v>222</v>
      </c>
      <c r="M16" s="117">
        <v>1861.6993429866839</v>
      </c>
      <c r="O16" s="74" t="s">
        <v>216</v>
      </c>
      <c r="P16" s="83">
        <f>IF(Q16=0,0,R16/Q16)</f>
        <v>11.879999999999999</v>
      </c>
      <c r="Q16" s="77">
        <v>10</v>
      </c>
      <c r="R16" s="68">
        <v>118.79999999999998</v>
      </c>
    </row>
    <row r="17" spans="1:18" x14ac:dyDescent="0.45">
      <c r="A17" s="19" t="s">
        <v>118</v>
      </c>
      <c r="B17" s="12">
        <v>134</v>
      </c>
      <c r="C17" s="6">
        <f>IF(B$3=0,0,B17/B$3)</f>
        <v>0.21202531645569619</v>
      </c>
      <c r="E17" s="27" t="s">
        <v>81</v>
      </c>
      <c r="F17" s="24" t="s">
        <v>36</v>
      </c>
      <c r="G17" s="12">
        <v>4</v>
      </c>
      <c r="H17" s="88">
        <f>IF(B$20=0,0,G17/B$20)</f>
        <v>0.02</v>
      </c>
      <c r="I17" s="58">
        <v>10</v>
      </c>
      <c r="K17" s="74">
        <v>15</v>
      </c>
      <c r="L17" s="119">
        <v>190.9</v>
      </c>
      <c r="M17" s="117">
        <v>1854.6511469287639</v>
      </c>
      <c r="O17" s="74" t="s">
        <v>163</v>
      </c>
      <c r="P17" s="83">
        <f>IF(Q17=0,0,R17/Q17)</f>
        <v>10.658823529411768</v>
      </c>
      <c r="Q17" s="77">
        <v>34</v>
      </c>
      <c r="R17" s="68">
        <v>362.40000000000009</v>
      </c>
    </row>
    <row r="18" spans="1:18" x14ac:dyDescent="0.45">
      <c r="A18" s="18" t="s">
        <v>123</v>
      </c>
      <c r="B18" s="11">
        <f>B24</f>
        <v>89</v>
      </c>
      <c r="C18" s="5">
        <f>IF(B$16=0,0,B18/B$16)</f>
        <v>0.56687898089171973</v>
      </c>
      <c r="E18" s="27" t="s">
        <v>78</v>
      </c>
      <c r="F18" s="24" t="s">
        <v>33</v>
      </c>
      <c r="G18" s="12">
        <v>3</v>
      </c>
      <c r="H18" s="88">
        <f>IF(B$20=0,0,G18/B$20)</f>
        <v>1.4999999999999999E-2</v>
      </c>
      <c r="I18" s="58">
        <v>7</v>
      </c>
      <c r="K18" s="74">
        <v>16</v>
      </c>
      <c r="L18" s="119">
        <v>164.20000000000002</v>
      </c>
      <c r="M18" s="117">
        <v>1848.4372400471914</v>
      </c>
      <c r="O18" s="74" t="s">
        <v>211</v>
      </c>
      <c r="P18" s="83">
        <f>IF(Q18=0,0,R18/Q18)</f>
        <v>4.1523809523809527</v>
      </c>
      <c r="Q18" s="77">
        <v>21</v>
      </c>
      <c r="R18" s="68">
        <v>87.2</v>
      </c>
    </row>
    <row r="19" spans="1:18" x14ac:dyDescent="0.45">
      <c r="A19" s="18" t="s">
        <v>124</v>
      </c>
      <c r="B19" s="11">
        <f>B25</f>
        <v>61</v>
      </c>
      <c r="C19" s="5">
        <f>IF(B$17=0,0,B19/B$17)</f>
        <v>0.45522388059701491</v>
      </c>
      <c r="E19" s="27" t="s">
        <v>73</v>
      </c>
      <c r="F19" s="24" t="s">
        <v>28</v>
      </c>
      <c r="G19" s="12">
        <v>2</v>
      </c>
      <c r="H19" s="88">
        <f>IF(B$20=0,0,G19/B$20)</f>
        <v>0.01</v>
      </c>
      <c r="I19" s="58">
        <v>3</v>
      </c>
      <c r="K19" s="74">
        <v>17</v>
      </c>
      <c r="L19" s="119">
        <v>164.3</v>
      </c>
      <c r="M19" s="117">
        <v>1846.8986166069083</v>
      </c>
      <c r="O19" s="74" t="s">
        <v>195</v>
      </c>
      <c r="P19" s="83">
        <f>IF(Q19=0,0,R19/Q19)</f>
        <v>-0.44999999999999812</v>
      </c>
      <c r="Q19" s="77">
        <v>6</v>
      </c>
      <c r="R19" s="68">
        <v>-2.6999999999999886</v>
      </c>
    </row>
    <row r="20" spans="1:18" x14ac:dyDescent="0.45">
      <c r="A20" s="18" t="s">
        <v>10</v>
      </c>
      <c r="B20" s="11">
        <f>B23+B22</f>
        <v>200</v>
      </c>
      <c r="C20" s="5">
        <f>IF(B$3=0,0,B20/B$3)</f>
        <v>0.31645569620253167</v>
      </c>
      <c r="E20" s="27" t="s">
        <v>75</v>
      </c>
      <c r="F20" s="24" t="s">
        <v>30</v>
      </c>
      <c r="G20" s="12">
        <v>1</v>
      </c>
      <c r="H20" s="88">
        <f>IF(B$20=0,0,G20/B$20)</f>
        <v>5.0000000000000001E-3</v>
      </c>
      <c r="I20" s="58">
        <v>3</v>
      </c>
      <c r="K20" s="74">
        <v>18</v>
      </c>
      <c r="L20" s="119">
        <v>188.9</v>
      </c>
      <c r="M20" s="117">
        <v>1849.7792249072668</v>
      </c>
      <c r="O20" s="74" t="s">
        <v>189</v>
      </c>
      <c r="P20" s="83">
        <f>IF(Q20=0,0,R20/Q20)</f>
        <v>-1.8156249999999998</v>
      </c>
      <c r="Q20" s="77">
        <v>32</v>
      </c>
      <c r="R20" s="68">
        <v>-58.099999999999994</v>
      </c>
    </row>
    <row r="21" spans="1:18" x14ac:dyDescent="0.45">
      <c r="A21" s="19" t="s">
        <v>13</v>
      </c>
      <c r="B21" s="12">
        <v>119</v>
      </c>
      <c r="C21" s="6">
        <f>IF(B$3=0,0,B21/B$3)</f>
        <v>0.18829113924050633</v>
      </c>
      <c r="E21" s="27" t="s">
        <v>79</v>
      </c>
      <c r="F21" s="24" t="s">
        <v>34</v>
      </c>
      <c r="G21" s="12">
        <v>1</v>
      </c>
      <c r="H21" s="88">
        <f>IF(B$20=0,0,G21/B$20)</f>
        <v>5.0000000000000001E-3</v>
      </c>
      <c r="I21" s="58">
        <v>6</v>
      </c>
      <c r="K21" s="74">
        <v>19</v>
      </c>
      <c r="L21" s="119">
        <v>174.6</v>
      </c>
      <c r="M21" s="117">
        <v>1845.7365495578231</v>
      </c>
      <c r="O21" s="74" t="s">
        <v>190</v>
      </c>
      <c r="P21" s="83">
        <f>IF(Q21=0,0,R21/Q21)</f>
        <v>-1.9800000000000006</v>
      </c>
      <c r="Q21" s="77">
        <v>15</v>
      </c>
      <c r="R21" s="68">
        <v>-29.70000000000001</v>
      </c>
    </row>
    <row r="22" spans="1:18" x14ac:dyDescent="0.45">
      <c r="A22" s="19" t="s">
        <v>12</v>
      </c>
      <c r="B22" s="12">
        <v>92</v>
      </c>
      <c r="C22" s="6">
        <f>IF(B$20=0,0,B22/B$20)</f>
        <v>0.46</v>
      </c>
      <c r="E22" s="27" t="s">
        <v>80</v>
      </c>
      <c r="F22" s="24" t="s">
        <v>35</v>
      </c>
      <c r="G22" s="12">
        <v>1</v>
      </c>
      <c r="H22" s="88">
        <f>IF(B$20=0,0,G22/B$20)</f>
        <v>5.0000000000000001E-3</v>
      </c>
      <c r="I22" s="58">
        <v>1</v>
      </c>
      <c r="K22" s="74">
        <v>20</v>
      </c>
      <c r="L22" s="119">
        <v>154.5</v>
      </c>
      <c r="M22" s="117">
        <v>1840.6741302604762</v>
      </c>
      <c r="O22" s="74" t="s">
        <v>192</v>
      </c>
      <c r="P22" s="83">
        <f>IF(Q22=0,0,R22/Q22)</f>
        <v>-11.978125</v>
      </c>
      <c r="Q22" s="77">
        <v>32</v>
      </c>
      <c r="R22" s="68">
        <v>-383.3</v>
      </c>
    </row>
    <row r="23" spans="1:18" x14ac:dyDescent="0.45">
      <c r="A23" s="19" t="s">
        <v>11</v>
      </c>
      <c r="B23" s="12">
        <v>108</v>
      </c>
      <c r="C23" s="6">
        <f>IF(B$20=0,0,B23/B$20)</f>
        <v>0.54</v>
      </c>
      <c r="E23" s="27" t="s">
        <v>85</v>
      </c>
      <c r="F23" s="24" t="s">
        <v>40</v>
      </c>
      <c r="G23" s="12">
        <v>1</v>
      </c>
      <c r="H23" s="88">
        <f>IF(B$20=0,0,G23/B$20)</f>
        <v>5.0000000000000001E-3</v>
      </c>
      <c r="I23" s="58">
        <v>3</v>
      </c>
      <c r="K23" s="74">
        <v>21</v>
      </c>
      <c r="L23" s="119">
        <v>131</v>
      </c>
      <c r="M23" s="117">
        <v>1835.0300854789134</v>
      </c>
    </row>
    <row r="24" spans="1:18" x14ac:dyDescent="0.45">
      <c r="A24" s="19" t="s">
        <v>183</v>
      </c>
      <c r="B24" s="12">
        <v>89</v>
      </c>
      <c r="C24" s="6">
        <f>IF(B$20=0,0,B24/B$20)</f>
        <v>0.44500000000000001</v>
      </c>
      <c r="E24" s="27" t="s">
        <v>90</v>
      </c>
      <c r="F24" s="24" t="s">
        <v>45</v>
      </c>
      <c r="G24" s="12">
        <v>1</v>
      </c>
      <c r="H24" s="88">
        <f>IF(B$20=0,0,G24/B$20)</f>
        <v>5.0000000000000001E-3</v>
      </c>
      <c r="I24" s="58">
        <v>1</v>
      </c>
      <c r="K24" s="74">
        <v>22</v>
      </c>
      <c r="L24" s="119">
        <v>106.3</v>
      </c>
      <c r="M24" s="117">
        <v>1829.4799049660398</v>
      </c>
    </row>
    <row r="25" spans="1:18" x14ac:dyDescent="0.45">
      <c r="A25" s="19" t="s">
        <v>181</v>
      </c>
      <c r="B25" s="12">
        <v>61</v>
      </c>
      <c r="C25" s="6">
        <f>IF(B$20=0,0,B25/B$20)</f>
        <v>0.30499999999999999</v>
      </c>
      <c r="E25" s="27" t="s">
        <v>92</v>
      </c>
      <c r="F25" s="24" t="s">
        <v>47</v>
      </c>
      <c r="G25" s="12">
        <v>1</v>
      </c>
      <c r="H25" s="88">
        <f>IF(B$20=0,0,G25/B$20)</f>
        <v>5.0000000000000001E-3</v>
      </c>
      <c r="I25" s="58">
        <v>2</v>
      </c>
      <c r="K25" s="74">
        <v>23</v>
      </c>
      <c r="L25" s="119">
        <v>119.39999999999999</v>
      </c>
      <c r="M25" s="117">
        <v>1830.7670255362436</v>
      </c>
    </row>
    <row r="26" spans="1:18" x14ac:dyDescent="0.45">
      <c r="A26" s="19" t="s">
        <v>182</v>
      </c>
      <c r="B26" s="12">
        <v>50</v>
      </c>
      <c r="C26" s="6">
        <f>IF(B$20=0,0,B26/B$20)</f>
        <v>0.25</v>
      </c>
      <c r="E26" s="27" t="s">
        <v>74</v>
      </c>
      <c r="F26" s="24" t="s">
        <v>29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111.19999999999999</v>
      </c>
      <c r="M26" s="117">
        <v>1828.2124233830261</v>
      </c>
    </row>
    <row r="27" spans="1:18" x14ac:dyDescent="0.45">
      <c r="A27" s="19" t="s">
        <v>5</v>
      </c>
      <c r="B27" s="16">
        <f>IF(B$20=0,0,C27/B$20)</f>
        <v>8139</v>
      </c>
      <c r="C27" s="8">
        <v>1627800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157.69999999999999</v>
      </c>
      <c r="M27" s="117">
        <v>1835.351148842728</v>
      </c>
    </row>
    <row r="28" spans="1:18" x14ac:dyDescent="0.45">
      <c r="A28" s="20" t="s">
        <v>165</v>
      </c>
      <c r="B28" s="95">
        <f>IF($B$20-B$19=0,0,C28/($B$20-B$19))</f>
        <v>8538.8489208633091</v>
      </c>
      <c r="C28" s="96">
        <v>1186900</v>
      </c>
      <c r="E28" s="27" t="s">
        <v>77</v>
      </c>
      <c r="F28" s="24" t="s">
        <v>32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216.2</v>
      </c>
      <c r="M28" s="117">
        <v>1844.4750419496715</v>
      </c>
    </row>
    <row r="29" spans="1:18" x14ac:dyDescent="0.45">
      <c r="A29" s="20" t="s">
        <v>166</v>
      </c>
      <c r="B29" s="95">
        <f>IF(B$19=0,0,C29/B$19)</f>
        <v>7227.8688524590161</v>
      </c>
      <c r="C29" s="96">
        <v>440900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5">
      <c r="A30" s="20" t="s">
        <v>164</v>
      </c>
      <c r="B30" s="95">
        <f>IF(B$21=0,0,C30/B$21)</f>
        <v>-6826.8907563025214</v>
      </c>
      <c r="C30" s="96">
        <v>-812400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183.9</v>
      </c>
      <c r="M30" s="117">
        <v>1835.7649545477857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179.3</v>
      </c>
      <c r="M31" s="117">
        <v>1833.780364820499</v>
      </c>
    </row>
    <row r="32" spans="1:18" x14ac:dyDescent="0.45">
      <c r="A32" s="19" t="s">
        <v>158</v>
      </c>
      <c r="B32" s="12">
        <v>17</v>
      </c>
      <c r="C32" s="90">
        <v>5</v>
      </c>
      <c r="E32" s="27" t="s">
        <v>88</v>
      </c>
      <c r="F32" s="24" t="s">
        <v>43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211.20000000000002</v>
      </c>
      <c r="M32" s="117">
        <v>1838.4916826315759</v>
      </c>
    </row>
    <row r="33" spans="1:13" x14ac:dyDescent="0.45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213.3</v>
      </c>
      <c r="M33" s="117">
        <v>1837.8107325357864</v>
      </c>
    </row>
    <row r="34" spans="1:13" x14ac:dyDescent="0.45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5">
      <c r="A35" s="21" t="s">
        <v>137</v>
      </c>
      <c r="B35" s="29">
        <v>1</v>
      </c>
      <c r="C35" s="9">
        <f>IF(B$3=0,0,B35/B$3)</f>
        <v>1.5822784810126582E-3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5">
      <c r="A37" s="54" t="s">
        <v>171</v>
      </c>
      <c r="B37" s="123">
        <v>14</v>
      </c>
      <c r="C37" s="98">
        <f t="shared" ref="C37:C49" si="2">IF(B$20=0,0,B37/B$20)</f>
        <v>7.0000000000000007E-2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5">
      <c r="A38" s="19" t="s">
        <v>167</v>
      </c>
      <c r="B38" s="12">
        <v>33</v>
      </c>
      <c r="C38" s="6">
        <f t="shared" si="2"/>
        <v>0.16500000000000001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5">
      <c r="A39" s="19" t="s">
        <v>168</v>
      </c>
      <c r="B39" s="124">
        <v>44</v>
      </c>
      <c r="C39" s="6">
        <f t="shared" si="2"/>
        <v>0.22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5">
      <c r="A40" s="19" t="s">
        <v>169</v>
      </c>
      <c r="B40" s="124">
        <v>34</v>
      </c>
      <c r="C40" s="6">
        <f t="shared" si="2"/>
        <v>0.17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5">
      <c r="A41" s="19" t="s">
        <v>170</v>
      </c>
      <c r="B41" s="124">
        <v>34</v>
      </c>
      <c r="C41" s="6">
        <f t="shared" si="2"/>
        <v>0.17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5">
      <c r="A42" s="19" t="s">
        <v>172</v>
      </c>
      <c r="B42" s="124">
        <v>23</v>
      </c>
      <c r="C42" s="6">
        <f t="shared" si="2"/>
        <v>0.115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5">
      <c r="A43" s="19" t="s">
        <v>173</v>
      </c>
      <c r="B43" s="124">
        <v>8</v>
      </c>
      <c r="C43" s="6">
        <f t="shared" si="2"/>
        <v>0.04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5">
      <c r="A44" s="19" t="s">
        <v>174</v>
      </c>
      <c r="B44" s="124">
        <v>2</v>
      </c>
      <c r="C44" s="6">
        <f t="shared" si="2"/>
        <v>0.01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5">
      <c r="A45" s="19" t="s">
        <v>175</v>
      </c>
      <c r="B45" s="124">
        <v>4</v>
      </c>
      <c r="C45" s="6">
        <f t="shared" si="2"/>
        <v>0.02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5">
      <c r="A46" s="19" t="s">
        <v>176</v>
      </c>
      <c r="B46" s="124">
        <v>2</v>
      </c>
      <c r="C46" s="6">
        <f t="shared" si="2"/>
        <v>0.01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117.99999999999997</v>
      </c>
      <c r="M46" s="117">
        <v>1805.5187097904541</v>
      </c>
    </row>
    <row r="47" spans="1:13" x14ac:dyDescent="0.45">
      <c r="A47" s="19" t="s">
        <v>177</v>
      </c>
      <c r="B47" s="124">
        <v>1</v>
      </c>
      <c r="C47" s="6">
        <f t="shared" si="2"/>
        <v>5.0000000000000001E-3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5">
      <c r="A49" s="21" t="s">
        <v>179</v>
      </c>
      <c r="B49" s="97">
        <v>1</v>
      </c>
      <c r="C49" s="9">
        <f t="shared" si="2"/>
        <v>5.0000000000000001E-3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  <row r="53" spans="1:13" x14ac:dyDescent="0.45">
      <c r="K53" s="74">
        <v>51</v>
      </c>
      <c r="L53" s="119">
        <v>68.399999999999963</v>
      </c>
      <c r="M53" s="117">
        <v>1788.8356828322449</v>
      </c>
    </row>
    <row r="54" spans="1:13" x14ac:dyDescent="0.45">
      <c r="K54" s="74">
        <v>52</v>
      </c>
      <c r="L54" s="119">
        <v>22.599999999999966</v>
      </c>
      <c r="M54" s="117">
        <v>1779.6206687352515</v>
      </c>
    </row>
    <row r="55" spans="1:13" x14ac:dyDescent="0.45">
      <c r="K55" s="74">
        <v>53</v>
      </c>
      <c r="L55" s="119">
        <v>53.599999999999966</v>
      </c>
      <c r="M55" s="117">
        <v>1784.28494472284</v>
      </c>
    </row>
    <row r="56" spans="1:13" x14ac:dyDescent="0.45">
      <c r="K56" s="74">
        <v>54</v>
      </c>
      <c r="L56" s="119">
        <v>31.899999999999967</v>
      </c>
      <c r="M56" s="117">
        <v>1779.327235054503</v>
      </c>
    </row>
    <row r="57" spans="1:13" x14ac:dyDescent="0.45">
      <c r="K57" s="74">
        <v>55</v>
      </c>
      <c r="L57" s="119">
        <v>-8.8000000000000362</v>
      </c>
      <c r="M57" s="117">
        <v>1770.9792716441759</v>
      </c>
    </row>
    <row r="58" spans="1:13" x14ac:dyDescent="0.45">
      <c r="K58" s="74">
        <v>56</v>
      </c>
      <c r="L58" s="119">
        <v>-34.500000000000036</v>
      </c>
      <c r="M58" s="117">
        <v>1765.2973960143108</v>
      </c>
    </row>
    <row r="59" spans="1:13" x14ac:dyDescent="0.45">
      <c r="K59" s="74">
        <v>57</v>
      </c>
      <c r="L59" s="119">
        <v>-74.30000000000004</v>
      </c>
      <c r="M59" s="117">
        <v>1757.111611638225</v>
      </c>
    </row>
    <row r="60" spans="1:13" x14ac:dyDescent="0.45">
      <c r="K60" s="74">
        <v>58</v>
      </c>
      <c r="L60" s="119">
        <v>-72.700000000000045</v>
      </c>
      <c r="M60" s="117">
        <v>1756.4389419683957</v>
      </c>
    </row>
    <row r="61" spans="1:13" x14ac:dyDescent="0.45">
      <c r="K61" s="74">
        <v>59</v>
      </c>
      <c r="L61" s="119">
        <v>-36.500000000000043</v>
      </c>
      <c r="M61" s="117">
        <v>1762.2443083165854</v>
      </c>
    </row>
    <row r="62" spans="1:13" x14ac:dyDescent="0.45">
      <c r="K62" s="74">
        <v>60</v>
      </c>
      <c r="L62" s="119">
        <v>-35.900000000000041</v>
      </c>
      <c r="M62" s="117">
        <v>1761.414842466686</v>
      </c>
    </row>
    <row r="63" spans="1:13" x14ac:dyDescent="0.45">
      <c r="K63" s="74">
        <v>61</v>
      </c>
      <c r="L63" s="119">
        <v>-0.40000000000004121</v>
      </c>
      <c r="M63" s="117">
        <v>1766.8723534118858</v>
      </c>
    </row>
    <row r="64" spans="1:13" x14ac:dyDescent="0.45">
      <c r="K64" s="74">
        <v>62</v>
      </c>
      <c r="L64" s="119">
        <v>-18.100000000000041</v>
      </c>
      <c r="M64" s="117">
        <v>1762.9251192914144</v>
      </c>
    </row>
    <row r="65" spans="11:13" x14ac:dyDescent="0.45">
      <c r="K65" s="74">
        <v>63</v>
      </c>
      <c r="L65" s="119">
        <v>-40.80000000000004</v>
      </c>
      <c r="M65" s="117">
        <v>1758.1015685756659</v>
      </c>
    </row>
    <row r="66" spans="11:13" x14ac:dyDescent="0.45">
      <c r="K66" s="74">
        <v>64</v>
      </c>
      <c r="L66" s="119">
        <v>-18.600000000000041</v>
      </c>
      <c r="M66" s="117">
        <v>1761.3829591642118</v>
      </c>
    </row>
    <row r="67" spans="11:13" x14ac:dyDescent="0.45">
      <c r="K67" s="74">
        <v>65</v>
      </c>
      <c r="L67" s="119">
        <v>-71.500000000000043</v>
      </c>
      <c r="M67" s="117">
        <v>1751.1326614092266</v>
      </c>
    </row>
    <row r="68" spans="11:13" x14ac:dyDescent="0.45">
      <c r="K68" s="74">
        <v>66</v>
      </c>
      <c r="L68" s="119">
        <v>-97.500000000000043</v>
      </c>
      <c r="M68" s="117">
        <v>1745.7738654407713</v>
      </c>
    </row>
    <row r="69" spans="11:13" x14ac:dyDescent="0.45">
      <c r="K69" s="74">
        <v>67</v>
      </c>
      <c r="L69" s="119">
        <v>-93.30000000000004</v>
      </c>
      <c r="M69" s="117">
        <v>1745.8832222481267</v>
      </c>
    </row>
    <row r="70" spans="11:13" x14ac:dyDescent="0.45">
      <c r="K70" s="74">
        <v>68</v>
      </c>
      <c r="L70" s="119">
        <v>-53.400000000000041</v>
      </c>
      <c r="M70" s="117">
        <v>1752.417922914638</v>
      </c>
    </row>
    <row r="71" spans="11:13" x14ac:dyDescent="0.45">
      <c r="K71" s="74">
        <v>69</v>
      </c>
      <c r="L71" s="119">
        <v>-38.000000000000043</v>
      </c>
      <c r="M71" s="117">
        <v>1754.3774153771501</v>
      </c>
    </row>
    <row r="72" spans="11:13" x14ac:dyDescent="0.45">
      <c r="K72" s="74">
        <v>70</v>
      </c>
      <c r="L72" s="119">
        <v>-20.200000000000042</v>
      </c>
      <c r="M72" s="117">
        <v>1756.7571508848871</v>
      </c>
    </row>
    <row r="73" spans="11:13" x14ac:dyDescent="0.45">
      <c r="K73" s="74">
        <v>71</v>
      </c>
      <c r="L73" s="119">
        <v>-31.700000000000042</v>
      </c>
      <c r="M73" s="117">
        <v>1754.1066079795778</v>
      </c>
    </row>
    <row r="74" spans="11:13" x14ac:dyDescent="0.45">
      <c r="K74" s="74">
        <v>72</v>
      </c>
      <c r="L74" s="119">
        <v>18.699999999999957</v>
      </c>
      <c r="M74" s="117">
        <v>1762.6139683317003</v>
      </c>
    </row>
    <row r="75" spans="11:13" x14ac:dyDescent="0.45">
      <c r="K75" s="74">
        <v>73</v>
      </c>
      <c r="L75" s="119">
        <v>11.799999999999956</v>
      </c>
      <c r="M75" s="117">
        <v>1760.4202845217101</v>
      </c>
    </row>
    <row r="76" spans="11:13" x14ac:dyDescent="0.45">
      <c r="K76" s="74">
        <v>74</v>
      </c>
      <c r="L76" s="119">
        <v>-7.5000000000000444</v>
      </c>
      <c r="M76" s="117">
        <v>1755.8697628145799</v>
      </c>
    </row>
    <row r="77" spans="11:13" x14ac:dyDescent="0.45">
      <c r="K77" s="74">
        <v>75</v>
      </c>
      <c r="L77" s="119">
        <v>28.799999999999955</v>
      </c>
      <c r="M77" s="117">
        <v>1761.5645442376924</v>
      </c>
    </row>
    <row r="78" spans="11:13" x14ac:dyDescent="0.45">
      <c r="K78" s="74">
        <v>76</v>
      </c>
      <c r="L78" s="119">
        <v>50.799999999999955</v>
      </c>
      <c r="M78" s="117">
        <v>1764.6511569722663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DEC60-B58E-4A45-B092-D82BACCE0C59}">
  <sheetPr codeName="Sheet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41</v>
      </c>
      <c r="C2" s="134"/>
      <c r="E2" s="26" t="s">
        <v>66</v>
      </c>
      <c r="F2" s="23" t="s">
        <v>22</v>
      </c>
      <c r="G2" s="11">
        <v>89</v>
      </c>
      <c r="H2" s="87">
        <f>IF(B$20=0,0,G2/B$20)</f>
        <v>0.94680851063829785</v>
      </c>
      <c r="I2" s="57">
        <v>2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1743.9024390243903</v>
      </c>
      <c r="Q2" s="76">
        <v>41</v>
      </c>
      <c r="R2" s="63">
        <v>71500</v>
      </c>
    </row>
    <row r="3" spans="1:18" x14ac:dyDescent="0.45">
      <c r="A3" s="19" t="s">
        <v>8</v>
      </c>
      <c r="B3" s="135">
        <v>350</v>
      </c>
      <c r="C3" s="136"/>
      <c r="E3" s="27" t="s">
        <v>72</v>
      </c>
      <c r="F3" s="24" t="s">
        <v>27</v>
      </c>
      <c r="G3" s="12">
        <v>52</v>
      </c>
      <c r="H3" s="88">
        <f>IF(B$20=0,0,G3/B$20)</f>
        <v>0.55319148936170215</v>
      </c>
      <c r="I3" s="58">
        <v>9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-169.23076923076923</v>
      </c>
      <c r="Q3" s="77">
        <v>39</v>
      </c>
      <c r="R3" s="64">
        <v>-6600</v>
      </c>
    </row>
    <row r="4" spans="1:18" x14ac:dyDescent="0.45">
      <c r="A4" s="19" t="s">
        <v>6</v>
      </c>
      <c r="B4" s="137">
        <v>-150.20000000000002</v>
      </c>
      <c r="C4" s="138"/>
      <c r="E4" s="27" t="s">
        <v>64</v>
      </c>
      <c r="F4" s="24" t="s">
        <v>20</v>
      </c>
      <c r="G4" s="12">
        <v>40</v>
      </c>
      <c r="H4" s="88">
        <f>IF(B$20=0,0,G4/B$20)</f>
        <v>0.42553191489361702</v>
      </c>
      <c r="I4" s="58">
        <v>5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-464.10256410256409</v>
      </c>
      <c r="Q4" s="77">
        <v>39</v>
      </c>
      <c r="R4" s="64">
        <v>-18100</v>
      </c>
    </row>
    <row r="5" spans="1:18" x14ac:dyDescent="0.45">
      <c r="A5" s="19" t="s">
        <v>7</v>
      </c>
      <c r="B5" s="125">
        <f>IF(B$2=0,0,B$4/B$2)</f>
        <v>-3.6634146341463421</v>
      </c>
      <c r="C5" s="126"/>
      <c r="E5" s="27" t="s">
        <v>159</v>
      </c>
      <c r="F5" s="24" t="s">
        <v>160</v>
      </c>
      <c r="G5" s="12">
        <v>39</v>
      </c>
      <c r="H5" s="88">
        <f>IF(B$20=0,0,G5/B$20)</f>
        <v>0.41489361702127658</v>
      </c>
      <c r="I5" s="58">
        <v>4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-286.84210526315792</v>
      </c>
      <c r="Q5" s="77">
        <v>38</v>
      </c>
      <c r="R5" s="64">
        <v>-10900</v>
      </c>
    </row>
    <row r="6" spans="1:18" x14ac:dyDescent="0.45">
      <c r="A6" s="19" t="s">
        <v>196</v>
      </c>
      <c r="B6" s="129">
        <v>1623.0600080708391</v>
      </c>
      <c r="C6" s="130"/>
      <c r="E6" s="27" t="s">
        <v>68</v>
      </c>
      <c r="F6" s="24" t="s">
        <v>12</v>
      </c>
      <c r="G6" s="12">
        <v>32</v>
      </c>
      <c r="H6" s="88">
        <f>IF(B$20=0,0,G6/B$20)</f>
        <v>0.34042553191489361</v>
      </c>
      <c r="I6" s="58">
        <v>3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-31.428571428571427</v>
      </c>
      <c r="Q6" s="77">
        <v>35</v>
      </c>
      <c r="R6" s="64">
        <v>-1100</v>
      </c>
    </row>
    <row r="7" spans="1:18" x14ac:dyDescent="0.45">
      <c r="A7" s="19" t="s">
        <v>1</v>
      </c>
      <c r="B7" s="139">
        <f>IF(B$2=0,0,(B$8*1+B$9*2+B$10*3)/B$2)</f>
        <v>2.0975609756097562</v>
      </c>
      <c r="C7" s="140"/>
      <c r="E7" s="27" t="s">
        <v>67</v>
      </c>
      <c r="F7" s="24" t="s">
        <v>23</v>
      </c>
      <c r="G7" s="12">
        <v>20</v>
      </c>
      <c r="H7" s="88">
        <f>IF(B$20=0,0,G7/B$20)</f>
        <v>0.21276595744680851</v>
      </c>
      <c r="I7" s="58">
        <v>8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-913.79310344827582</v>
      </c>
      <c r="Q7" s="78">
        <v>29</v>
      </c>
      <c r="R7" s="65">
        <v>-26500</v>
      </c>
    </row>
    <row r="8" spans="1:18" x14ac:dyDescent="0.45">
      <c r="A8" s="19" t="s">
        <v>2</v>
      </c>
      <c r="B8" s="12">
        <v>11</v>
      </c>
      <c r="C8" s="6">
        <f t="shared" ref="C8:C15" si="1">IF(B$2=0,0,B8/B$2)</f>
        <v>0.26829268292682928</v>
      </c>
      <c r="E8" s="27" t="s">
        <v>89</v>
      </c>
      <c r="F8" s="24" t="s">
        <v>44</v>
      </c>
      <c r="G8" s="12">
        <v>16</v>
      </c>
      <c r="H8" s="88">
        <f>IF(B$20=0,0,G8/B$20)</f>
        <v>0.1702127659574468</v>
      </c>
      <c r="I8" s="58">
        <v>5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5">
      <c r="A9" s="19" t="s">
        <v>3</v>
      </c>
      <c r="B9" s="12">
        <v>15</v>
      </c>
      <c r="C9" s="6">
        <f t="shared" si="1"/>
        <v>0.36585365853658536</v>
      </c>
      <c r="E9" s="27" t="s">
        <v>69</v>
      </c>
      <c r="F9" s="24" t="s">
        <v>24</v>
      </c>
      <c r="G9" s="12">
        <v>11</v>
      </c>
      <c r="H9" s="88">
        <f>IF(B$20=0,0,G9/B$20)</f>
        <v>0.11702127659574468</v>
      </c>
      <c r="I9" s="58">
        <v>6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15</v>
      </c>
      <c r="C10" s="7">
        <f t="shared" si="1"/>
        <v>0.36585365853658536</v>
      </c>
      <c r="E10" s="27" t="s">
        <v>65</v>
      </c>
      <c r="F10" s="24" t="s">
        <v>21</v>
      </c>
      <c r="G10" s="12">
        <v>8</v>
      </c>
      <c r="H10" s="88">
        <f>IF(B$20=0,0,G10/B$20)</f>
        <v>8.5106382978723402E-2</v>
      </c>
      <c r="I10" s="58">
        <v>7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-2.6058823529411761</v>
      </c>
      <c r="Q10" s="76">
        <v>17</v>
      </c>
      <c r="R10" s="67">
        <v>-44.3</v>
      </c>
    </row>
    <row r="11" spans="1:18" x14ac:dyDescent="0.45">
      <c r="A11" s="20" t="s">
        <v>184</v>
      </c>
      <c r="B11" s="109">
        <f>IF(B8=0,0,C11/B8)</f>
        <v>36.518181818181809</v>
      </c>
      <c r="C11" s="110">
        <v>401.69999999999993</v>
      </c>
      <c r="E11" s="27" t="s">
        <v>70</v>
      </c>
      <c r="F11" s="24" t="s">
        <v>25</v>
      </c>
      <c r="G11" s="12">
        <v>8</v>
      </c>
      <c r="H11" s="88">
        <f>IF(B$20=0,0,G11/B$20)</f>
        <v>8.5106382978723402E-2</v>
      </c>
      <c r="I11" s="58">
        <v>6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-2.200000000000002</v>
      </c>
      <c r="Q11" s="77">
        <v>11</v>
      </c>
      <c r="R11" s="68">
        <v>-24.200000000000021</v>
      </c>
    </row>
    <row r="12" spans="1:18" x14ac:dyDescent="0.45">
      <c r="A12" s="20" t="s">
        <v>185</v>
      </c>
      <c r="B12" s="109">
        <f>IF(B9=0,0,C12/B9)</f>
        <v>1.4266666666666663</v>
      </c>
      <c r="C12" s="110">
        <v>21.399999999999995</v>
      </c>
      <c r="E12" s="27" t="s">
        <v>71</v>
      </c>
      <c r="F12" s="24" t="s">
        <v>26</v>
      </c>
      <c r="G12" s="12">
        <v>7</v>
      </c>
      <c r="H12" s="88">
        <f>IF(B$20=0,0,G12/B$20)</f>
        <v>7.4468085106382975E-2</v>
      </c>
      <c r="I12" s="58">
        <v>3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-6.2846153846153845</v>
      </c>
      <c r="Q12" s="78">
        <v>13</v>
      </c>
      <c r="R12" s="69">
        <v>-81.7</v>
      </c>
    </row>
    <row r="13" spans="1:18" x14ac:dyDescent="0.45">
      <c r="A13" s="20" t="s">
        <v>186</v>
      </c>
      <c r="B13" s="109">
        <f>IF(B10=0,0,C13/B10)</f>
        <v>-38.220000000000006</v>
      </c>
      <c r="C13" s="110">
        <v>-573.30000000000007</v>
      </c>
      <c r="E13" s="27" t="s">
        <v>86</v>
      </c>
      <c r="F13" s="24" t="s">
        <v>41</v>
      </c>
      <c r="G13" s="12">
        <v>6</v>
      </c>
      <c r="H13" s="88">
        <f>IF(B$20=0,0,G13/B$20)</f>
        <v>6.3829787234042548E-2</v>
      </c>
      <c r="I13" s="58">
        <v>3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-9.171717171717593E-2</v>
      </c>
      <c r="C14" s="126"/>
      <c r="E14" s="27" t="s">
        <v>81</v>
      </c>
      <c r="F14" s="24" t="s">
        <v>36</v>
      </c>
      <c r="G14" s="12">
        <v>5</v>
      </c>
      <c r="H14" s="88">
        <f>IF(B$20=0,0,G14/B$20)</f>
        <v>5.3191489361702128E-2</v>
      </c>
      <c r="I14" s="58">
        <v>2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5</v>
      </c>
      <c r="C15" s="9">
        <f t="shared" si="1"/>
        <v>0.12195121951219512</v>
      </c>
      <c r="E15" s="27" t="s">
        <v>83</v>
      </c>
      <c r="F15" s="24" t="s">
        <v>38</v>
      </c>
      <c r="G15" s="12">
        <v>4</v>
      </c>
      <c r="H15" s="88">
        <f>IF(B$20=0,0,G15/B$20)</f>
        <v>4.2553191489361701E-2</v>
      </c>
      <c r="I15" s="58">
        <v>5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>IF(Q15=0,0,R15/Q15)</f>
        <v>35.614285714285714</v>
      </c>
      <c r="Q15" s="76">
        <v>7</v>
      </c>
      <c r="R15" s="67">
        <v>249.3</v>
      </c>
    </row>
    <row r="16" spans="1:18" x14ac:dyDescent="0.45">
      <c r="A16" s="22" t="s">
        <v>121</v>
      </c>
      <c r="B16" s="15">
        <v>89</v>
      </c>
      <c r="C16" s="10">
        <f>IF(B$3=0,0,B16/B$3)</f>
        <v>0.25428571428571428</v>
      </c>
      <c r="E16" s="27" t="s">
        <v>78</v>
      </c>
      <c r="F16" s="24" t="s">
        <v>33</v>
      </c>
      <c r="G16" s="12">
        <v>3</v>
      </c>
      <c r="H16" s="88">
        <f>IF(B$20=0,0,G16/B$20)</f>
        <v>3.1914893617021274E-2</v>
      </c>
      <c r="I16" s="58">
        <v>5</v>
      </c>
      <c r="K16" s="74">
        <v>14</v>
      </c>
      <c r="L16" s="119">
        <v>-125.80000000000004</v>
      </c>
      <c r="M16" s="117">
        <v>1630.1668189337324</v>
      </c>
      <c r="O16" s="74" t="s">
        <v>190</v>
      </c>
      <c r="P16" s="83">
        <f>IF(Q16=0,0,R16/Q16)</f>
        <v>8.7333333333333361</v>
      </c>
      <c r="Q16" s="77">
        <v>6</v>
      </c>
      <c r="R16" s="68">
        <v>52.400000000000013</v>
      </c>
    </row>
    <row r="17" spans="1:18" x14ac:dyDescent="0.45">
      <c r="A17" s="19" t="s">
        <v>118</v>
      </c>
      <c r="B17" s="12">
        <v>84</v>
      </c>
      <c r="C17" s="6">
        <f>IF(B$3=0,0,B17/B$3)</f>
        <v>0.24</v>
      </c>
      <c r="E17" s="27" t="s">
        <v>155</v>
      </c>
      <c r="F17" s="24" t="s">
        <v>156</v>
      </c>
      <c r="G17" s="12">
        <v>3</v>
      </c>
      <c r="H17" s="88">
        <f>IF(B$20=0,0,G17/B$20)</f>
        <v>3.1914893617021274E-2</v>
      </c>
      <c r="I17" s="58">
        <v>2</v>
      </c>
      <c r="K17" s="74">
        <v>15</v>
      </c>
      <c r="L17" s="119">
        <v>-165.10000000000002</v>
      </c>
      <c r="M17" s="117">
        <v>1623.3138180201299</v>
      </c>
      <c r="O17" s="74" t="s">
        <v>211</v>
      </c>
      <c r="P17" s="83">
        <f>IF(Q17=0,0,R17/Q17)</f>
        <v>-3.9166666666666674</v>
      </c>
      <c r="Q17" s="77">
        <v>12</v>
      </c>
      <c r="R17" s="68">
        <v>-47.000000000000007</v>
      </c>
    </row>
    <row r="18" spans="1:18" x14ac:dyDescent="0.45">
      <c r="A18" s="18" t="s">
        <v>123</v>
      </c>
      <c r="B18" s="11">
        <f>B24</f>
        <v>41</v>
      </c>
      <c r="C18" s="5">
        <f>IF(B$16=0,0,B18/B$16)</f>
        <v>0.4606741573033708</v>
      </c>
      <c r="E18" s="27" t="s">
        <v>73</v>
      </c>
      <c r="F18" s="24" t="s">
        <v>28</v>
      </c>
      <c r="G18" s="12">
        <v>1</v>
      </c>
      <c r="H18" s="88">
        <f>IF(B$20=0,0,G18/B$20)</f>
        <v>1.0638297872340425E-2</v>
      </c>
      <c r="I18" s="58">
        <v>2</v>
      </c>
      <c r="K18" s="74">
        <v>16</v>
      </c>
      <c r="L18" s="119">
        <v>-95.40000000000002</v>
      </c>
      <c r="M18" s="117">
        <v>1635.5699351120093</v>
      </c>
      <c r="O18" s="74" t="s">
        <v>126</v>
      </c>
      <c r="P18" s="83">
        <f>IF(Q18=0,0,R18/Q18)</f>
        <v>-10.658823529411768</v>
      </c>
      <c r="Q18" s="77">
        <v>34</v>
      </c>
      <c r="R18" s="68">
        <v>-362.40000000000009</v>
      </c>
    </row>
    <row r="19" spans="1:18" x14ac:dyDescent="0.45">
      <c r="A19" s="18" t="s">
        <v>124</v>
      </c>
      <c r="B19" s="11">
        <f>B25</f>
        <v>28</v>
      </c>
      <c r="C19" s="5">
        <f>IF(B$17=0,0,B19/B$17)</f>
        <v>0.33333333333333331</v>
      </c>
      <c r="E19" s="27" t="s">
        <v>79</v>
      </c>
      <c r="F19" s="24" t="s">
        <v>34</v>
      </c>
      <c r="G19" s="12">
        <v>1</v>
      </c>
      <c r="H19" s="88">
        <f>IF(B$20=0,0,G19/B$20)</f>
        <v>1.0638297872340425E-2</v>
      </c>
      <c r="I19" s="58">
        <v>5</v>
      </c>
      <c r="K19" s="74">
        <v>17</v>
      </c>
      <c r="L19" s="119">
        <v>-91.000000000000014</v>
      </c>
      <c r="M19" s="117">
        <v>1635.9985155013371</v>
      </c>
      <c r="O19" s="74" t="s">
        <v>189</v>
      </c>
      <c r="P19" s="83">
        <f>IF(Q19=0,0,R19/Q19)</f>
        <v>-10.833333333333334</v>
      </c>
      <c r="Q19" s="77">
        <v>12</v>
      </c>
      <c r="R19" s="68">
        <v>-130</v>
      </c>
    </row>
    <row r="20" spans="1:18" x14ac:dyDescent="0.45">
      <c r="A20" s="18" t="s">
        <v>10</v>
      </c>
      <c r="B20" s="11">
        <f>B23+B22</f>
        <v>94</v>
      </c>
      <c r="C20" s="5">
        <f>IF(B$3=0,0,B20/B$3)</f>
        <v>0.26857142857142857</v>
      </c>
      <c r="E20" s="27" t="s">
        <v>85</v>
      </c>
      <c r="F20" s="24" t="s">
        <v>40</v>
      </c>
      <c r="G20" s="12">
        <v>1</v>
      </c>
      <c r="H20" s="88">
        <f>IF(B$20=0,0,G20/B$20)</f>
        <v>1.0638297872340425E-2</v>
      </c>
      <c r="I20" s="58">
        <v>2</v>
      </c>
      <c r="K20" s="74">
        <v>18</v>
      </c>
      <c r="L20" s="119">
        <v>-91.000000000000014</v>
      </c>
      <c r="M20" s="117">
        <v>1635.974524408329</v>
      </c>
      <c r="O20" s="74" t="s">
        <v>192</v>
      </c>
      <c r="P20" s="83">
        <f>IF(Q20=0,0,R20/Q20)</f>
        <v>-14.800000000000002</v>
      </c>
      <c r="Q20" s="77">
        <v>9</v>
      </c>
      <c r="R20" s="68">
        <v>-133.20000000000002</v>
      </c>
    </row>
    <row r="21" spans="1:18" x14ac:dyDescent="0.45">
      <c r="A21" s="19" t="s">
        <v>13</v>
      </c>
      <c r="B21" s="12">
        <v>66</v>
      </c>
      <c r="C21" s="6">
        <f>IF(B$3=0,0,B21/B$3)</f>
        <v>0.18857142857142858</v>
      </c>
      <c r="E21" s="27" t="s">
        <v>88</v>
      </c>
      <c r="F21" s="24" t="s">
        <v>43</v>
      </c>
      <c r="G21" s="12">
        <v>1</v>
      </c>
      <c r="H21" s="88">
        <f>IF(B$20=0,0,G21/B$20)</f>
        <v>1.0638297872340425E-2</v>
      </c>
      <c r="I21" s="58">
        <v>2</v>
      </c>
      <c r="K21" s="74">
        <v>19</v>
      </c>
      <c r="L21" s="119">
        <v>-143.4</v>
      </c>
      <c r="M21" s="117">
        <v>1626.518677261879</v>
      </c>
      <c r="O21" s="74" t="s">
        <v>195</v>
      </c>
      <c r="P21" s="83">
        <f>IF(Q21=0,0,R21/Q21)</f>
        <v>-39.85</v>
      </c>
      <c r="Q21" s="77">
        <v>2</v>
      </c>
      <c r="R21" s="68">
        <v>-79.7</v>
      </c>
    </row>
    <row r="22" spans="1:18" x14ac:dyDescent="0.45">
      <c r="A22" s="19" t="s">
        <v>12</v>
      </c>
      <c r="B22" s="12">
        <v>43</v>
      </c>
      <c r="C22" s="6">
        <f>IF(B$20=0,0,B22/B$20)</f>
        <v>0.45744680851063829</v>
      </c>
      <c r="E22" s="27" t="s">
        <v>91</v>
      </c>
      <c r="F22" s="24" t="s">
        <v>46</v>
      </c>
      <c r="G22" s="12">
        <v>1</v>
      </c>
      <c r="H22" s="88">
        <f>IF(B$20=0,0,G22/B$20)</f>
        <v>1.0638297872340425E-2</v>
      </c>
      <c r="I22" s="58">
        <v>5</v>
      </c>
      <c r="K22" s="74">
        <v>20</v>
      </c>
      <c r="L22" s="119">
        <v>-101.2</v>
      </c>
      <c r="M22" s="117">
        <v>1634.1175651983078</v>
      </c>
    </row>
    <row r="23" spans="1:18" x14ac:dyDescent="0.45">
      <c r="A23" s="19" t="s">
        <v>11</v>
      </c>
      <c r="B23" s="12">
        <v>51</v>
      </c>
      <c r="C23" s="6">
        <f>IF(B$20=0,0,B23/B$20)</f>
        <v>0.54255319148936165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-99.3</v>
      </c>
      <c r="M23" s="117">
        <v>1634.416859807118</v>
      </c>
    </row>
    <row r="24" spans="1:18" x14ac:dyDescent="0.45">
      <c r="A24" s="19" t="s">
        <v>183</v>
      </c>
      <c r="B24" s="12">
        <v>41</v>
      </c>
      <c r="C24" s="6">
        <f>IF(B$20=0,0,B24/B$20)</f>
        <v>0.43617021276595747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-95.2</v>
      </c>
      <c r="M24" s="117">
        <v>1635.1103586482752</v>
      </c>
    </row>
    <row r="25" spans="1:18" x14ac:dyDescent="0.45">
      <c r="A25" s="19" t="s">
        <v>181</v>
      </c>
      <c r="B25" s="12">
        <v>28</v>
      </c>
      <c r="C25" s="6">
        <f>IF(B$20=0,0,B25/B$20)</f>
        <v>0.2978723404255319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-75</v>
      </c>
      <c r="M25" s="117">
        <v>1638.2056964963856</v>
      </c>
    </row>
    <row r="26" spans="1:18" x14ac:dyDescent="0.45">
      <c r="A26" s="19" t="s">
        <v>182</v>
      </c>
      <c r="B26" s="12">
        <v>25</v>
      </c>
      <c r="C26" s="6">
        <f>IF(B$20=0,0,B26/B$20)</f>
        <v>0.26595744680851063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-77.400000000000006</v>
      </c>
      <c r="M26" s="117">
        <v>1637.2144623174072</v>
      </c>
    </row>
    <row r="27" spans="1:18" x14ac:dyDescent="0.45">
      <c r="A27" s="19" t="s">
        <v>5</v>
      </c>
      <c r="B27" s="16">
        <f>IF(B$20=0,0,C27/B$20)</f>
        <v>8634.0425531914898</v>
      </c>
      <c r="C27" s="8">
        <v>811600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-83.600000000000009</v>
      </c>
      <c r="M27" s="117">
        <v>1635.8451755435028</v>
      </c>
    </row>
    <row r="28" spans="1:18" x14ac:dyDescent="0.45">
      <c r="A28" s="20" t="s">
        <v>165</v>
      </c>
      <c r="B28" s="95">
        <f>IF($B$20-B$19=0,0,C28/($B$20-B$19))</f>
        <v>9045.454545454546</v>
      </c>
      <c r="C28" s="96">
        <v>597000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-84.500000000000014</v>
      </c>
      <c r="M28" s="117">
        <v>1635.4381044902418</v>
      </c>
    </row>
    <row r="29" spans="1:18" x14ac:dyDescent="0.45">
      <c r="A29" s="20" t="s">
        <v>166</v>
      </c>
      <c r="B29" s="95">
        <f>IF(B$19=0,0,C29/B$19)</f>
        <v>7664.2857142857147</v>
      </c>
      <c r="C29" s="96">
        <v>214600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-32.300000000000011</v>
      </c>
      <c r="M29" s="117">
        <v>1644.3754758633004</v>
      </c>
    </row>
    <row r="30" spans="1:18" x14ac:dyDescent="0.45">
      <c r="A30" s="20" t="s">
        <v>164</v>
      </c>
      <c r="B30" s="95">
        <f>IF(B$21=0,0,C30/B$21)</f>
        <v>-8066.666666666667</v>
      </c>
      <c r="C30" s="96">
        <v>-532400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-67.100000000000009</v>
      </c>
      <c r="M30" s="117">
        <v>1638.0732230081205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-63.70000000000001</v>
      </c>
      <c r="M31" s="117">
        <v>1638.6967836700719</v>
      </c>
    </row>
    <row r="32" spans="1:18" x14ac:dyDescent="0.45">
      <c r="A32" s="19" t="s">
        <v>158</v>
      </c>
      <c r="B32" s="12">
        <v>19</v>
      </c>
      <c r="C32" s="90">
        <v>2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-76.000000000000014</v>
      </c>
      <c r="M32" s="117">
        <v>1636.4906029680515</v>
      </c>
    </row>
    <row r="33" spans="1:13" x14ac:dyDescent="0.45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-92.600000000000023</v>
      </c>
      <c r="M33" s="117">
        <v>1633.5176593502431</v>
      </c>
    </row>
    <row r="34" spans="1:13" x14ac:dyDescent="0.45">
      <c r="A34" s="22" t="s">
        <v>180</v>
      </c>
      <c r="B34" s="129">
        <v>94700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-41.700000000000024</v>
      </c>
      <c r="M34" s="117">
        <v>1642.7185533941417</v>
      </c>
    </row>
    <row r="35" spans="1:13" x14ac:dyDescent="0.45">
      <c r="A35" s="21" t="s">
        <v>137</v>
      </c>
      <c r="B35" s="29">
        <v>1</v>
      </c>
      <c r="C35" s="9">
        <f>IF(B$3=0,0,B35/B$3)</f>
        <v>2.8571428571428571E-3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-37.200000000000024</v>
      </c>
      <c r="M35" s="117">
        <v>1643.5002420737769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-77.900000000000034</v>
      </c>
      <c r="M36" s="117">
        <v>1636.1412406213342</v>
      </c>
    </row>
    <row r="37" spans="1:13" x14ac:dyDescent="0.45">
      <c r="A37" s="54" t="s">
        <v>171</v>
      </c>
      <c r="B37" s="123">
        <v>8</v>
      </c>
      <c r="C37" s="98">
        <f t="shared" ref="C37:C49" si="2">IF(B$20=0,0,B37/B$20)</f>
        <v>8.5106382978723402E-2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-73.200000000000031</v>
      </c>
      <c r="M37" s="117">
        <v>1636.9983931776062</v>
      </c>
    </row>
    <row r="38" spans="1:13" x14ac:dyDescent="0.45">
      <c r="A38" s="19" t="s">
        <v>167</v>
      </c>
      <c r="B38" s="12">
        <v>9</v>
      </c>
      <c r="C38" s="6">
        <f t="shared" si="2"/>
        <v>9.5744680851063829E-2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-91.000000000000028</v>
      </c>
      <c r="M38" s="117">
        <v>1633.6744028185406</v>
      </c>
    </row>
    <row r="39" spans="1:13" x14ac:dyDescent="0.45">
      <c r="A39" s="19" t="s">
        <v>168</v>
      </c>
      <c r="B39" s="124">
        <v>18</v>
      </c>
      <c r="C39" s="6">
        <f t="shared" si="2"/>
        <v>0.19148936170212766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-85.900000000000034</v>
      </c>
      <c r="M39" s="117">
        <v>1634.4923564016294</v>
      </c>
    </row>
    <row r="40" spans="1:13" x14ac:dyDescent="0.45">
      <c r="A40" s="19" t="s">
        <v>169</v>
      </c>
      <c r="B40" s="124">
        <v>20</v>
      </c>
      <c r="C40" s="6">
        <f t="shared" si="2"/>
        <v>0.21276595744680851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-74.900000000000034</v>
      </c>
      <c r="M40" s="117">
        <v>1636.6254022632197</v>
      </c>
    </row>
    <row r="41" spans="1:13" x14ac:dyDescent="0.45">
      <c r="A41" s="19" t="s">
        <v>170</v>
      </c>
      <c r="B41" s="124">
        <v>17</v>
      </c>
      <c r="C41" s="6">
        <f t="shared" si="2"/>
        <v>0.18085106382978725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-120.20000000000003</v>
      </c>
      <c r="M41" s="117">
        <v>1628.6116498496403</v>
      </c>
    </row>
    <row r="42" spans="1:13" x14ac:dyDescent="0.45">
      <c r="A42" s="19" t="s">
        <v>172</v>
      </c>
      <c r="B42" s="124">
        <v>10</v>
      </c>
      <c r="C42" s="6">
        <f t="shared" si="2"/>
        <v>0.10638297872340426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-119.50000000000003</v>
      </c>
      <c r="M42" s="117">
        <v>1628.6619799505424</v>
      </c>
    </row>
    <row r="43" spans="1:13" x14ac:dyDescent="0.45">
      <c r="A43" s="19" t="s">
        <v>173</v>
      </c>
      <c r="B43" s="124">
        <v>6</v>
      </c>
      <c r="C43" s="6">
        <f t="shared" si="2"/>
        <v>6.3829787234042548E-2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-150.20000000000002</v>
      </c>
      <c r="M43" s="117">
        <v>1623.0600080708391</v>
      </c>
    </row>
    <row r="44" spans="1:13" x14ac:dyDescent="0.45">
      <c r="A44" s="19" t="s">
        <v>174</v>
      </c>
      <c r="B44" s="124">
        <v>3</v>
      </c>
      <c r="C44" s="6">
        <f t="shared" si="2"/>
        <v>3.1914893617021274E-2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5">
      <c r="A45" s="19" t="s">
        <v>175</v>
      </c>
      <c r="B45" s="124">
        <v>2</v>
      </c>
      <c r="C45" s="6">
        <f t="shared" si="2"/>
        <v>2.1276595744680851E-2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5">
      <c r="A46" s="19" t="s">
        <v>176</v>
      </c>
      <c r="B46" s="124">
        <v>1</v>
      </c>
      <c r="C46" s="6">
        <f t="shared" si="2"/>
        <v>1.0638297872340425E-2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13" x14ac:dyDescent="0.45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1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0954B-8BE5-402D-8C7B-31E367C741D4}">
  <sheetPr codeName="Sheet1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35</v>
      </c>
      <c r="C2" s="134"/>
      <c r="E2" s="26" t="s">
        <v>72</v>
      </c>
      <c r="F2" s="23" t="s">
        <v>27</v>
      </c>
      <c r="G2" s="11">
        <v>59</v>
      </c>
      <c r="H2" s="87">
        <f>IF(B$20=0,0,G2/B$20)</f>
        <v>0.64835164835164838</v>
      </c>
      <c r="I2" s="57">
        <v>3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331.42857142857144</v>
      </c>
      <c r="Q2" s="76">
        <v>35</v>
      </c>
      <c r="R2" s="63">
        <v>11600</v>
      </c>
    </row>
    <row r="3" spans="1:18" x14ac:dyDescent="0.45">
      <c r="A3" s="19" t="s">
        <v>8</v>
      </c>
      <c r="B3" s="135">
        <v>306</v>
      </c>
      <c r="C3" s="136"/>
      <c r="E3" s="27" t="s">
        <v>66</v>
      </c>
      <c r="F3" s="24" t="s">
        <v>22</v>
      </c>
      <c r="G3" s="12">
        <v>58</v>
      </c>
      <c r="H3" s="88">
        <f>IF(B$20=0,0,G3/B$20)</f>
        <v>0.63736263736263732</v>
      </c>
      <c r="I3" s="58">
        <v>10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-1211.4285714285713</v>
      </c>
      <c r="Q3" s="77">
        <v>35</v>
      </c>
      <c r="R3" s="64">
        <v>-42400</v>
      </c>
    </row>
    <row r="4" spans="1:18" x14ac:dyDescent="0.45">
      <c r="A4" s="19" t="s">
        <v>6</v>
      </c>
      <c r="B4" s="137">
        <v>-19.900000000000009</v>
      </c>
      <c r="C4" s="138"/>
      <c r="E4" s="27" t="s">
        <v>64</v>
      </c>
      <c r="F4" s="24" t="s">
        <v>20</v>
      </c>
      <c r="G4" s="12">
        <v>39</v>
      </c>
      <c r="H4" s="88">
        <f>IF(B$20=0,0,G4/B$20)</f>
        <v>0.42857142857142855</v>
      </c>
      <c r="I4" s="58">
        <v>4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1348.5714285714287</v>
      </c>
      <c r="Q4" s="77">
        <v>35</v>
      </c>
      <c r="R4" s="64">
        <v>47200</v>
      </c>
    </row>
    <row r="5" spans="1:18" x14ac:dyDescent="0.45">
      <c r="A5" s="19" t="s">
        <v>7</v>
      </c>
      <c r="B5" s="125">
        <f>IF(B$2=0,0,B$4/B$2)</f>
        <v>-0.56857142857142884</v>
      </c>
      <c r="C5" s="126"/>
      <c r="E5" s="27" t="s">
        <v>159</v>
      </c>
      <c r="F5" s="24" t="s">
        <v>160</v>
      </c>
      <c r="G5" s="12">
        <v>29</v>
      </c>
      <c r="H5" s="88">
        <f>IF(B$20=0,0,G5/B$20)</f>
        <v>0.31868131868131866</v>
      </c>
      <c r="I5" s="58">
        <v>9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-305.71428571428572</v>
      </c>
      <c r="Q5" s="77">
        <v>35</v>
      </c>
      <c r="R5" s="64">
        <v>-10700</v>
      </c>
    </row>
    <row r="6" spans="1:18" x14ac:dyDescent="0.45">
      <c r="A6" s="19" t="s">
        <v>196</v>
      </c>
      <c r="B6" s="129">
        <v>1460.1941462304428</v>
      </c>
      <c r="C6" s="130"/>
      <c r="E6" s="27" t="s">
        <v>68</v>
      </c>
      <c r="F6" s="24" t="s">
        <v>12</v>
      </c>
      <c r="G6" s="12">
        <v>28</v>
      </c>
      <c r="H6" s="88">
        <f>IF(B$20=0,0,G6/B$20)</f>
        <v>0.30769230769230771</v>
      </c>
      <c r="I6" s="58">
        <v>4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-1311.4285714285713</v>
      </c>
      <c r="Q6" s="77">
        <v>35</v>
      </c>
      <c r="R6" s="64">
        <v>-45900</v>
      </c>
    </row>
    <row r="7" spans="1:18" x14ac:dyDescent="0.45">
      <c r="A7" s="19" t="s">
        <v>1</v>
      </c>
      <c r="B7" s="139">
        <f>IF(B$2=0,0,(B$8*1+B$9*2+B$10*3)/B$2)</f>
        <v>2</v>
      </c>
      <c r="C7" s="140"/>
      <c r="E7" s="27" t="s">
        <v>67</v>
      </c>
      <c r="F7" s="24" t="s">
        <v>23</v>
      </c>
      <c r="G7" s="12">
        <v>25</v>
      </c>
      <c r="H7" s="88">
        <f>IF(B$20=0,0,G7/B$20)</f>
        <v>0.27472527472527475</v>
      </c>
      <c r="I7" s="58">
        <v>3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867.85714285714289</v>
      </c>
      <c r="Q7" s="78">
        <v>28</v>
      </c>
      <c r="R7" s="65">
        <v>24300</v>
      </c>
    </row>
    <row r="8" spans="1:18" x14ac:dyDescent="0.45">
      <c r="A8" s="19" t="s">
        <v>2</v>
      </c>
      <c r="B8" s="12">
        <v>12</v>
      </c>
      <c r="C8" s="6">
        <f t="shared" ref="C8:C15" si="1">IF(B$2=0,0,B8/B$2)</f>
        <v>0.34285714285714286</v>
      </c>
      <c r="E8" s="27" t="s">
        <v>89</v>
      </c>
      <c r="F8" s="24" t="s">
        <v>44</v>
      </c>
      <c r="G8" s="12">
        <v>11</v>
      </c>
      <c r="H8" s="88">
        <f>IF(B$20=0,0,G8/B$20)</f>
        <v>0.12087912087912088</v>
      </c>
      <c r="I8" s="58">
        <v>9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5">
      <c r="A9" s="19" t="s">
        <v>3</v>
      </c>
      <c r="B9" s="12">
        <v>11</v>
      </c>
      <c r="C9" s="6">
        <f t="shared" si="1"/>
        <v>0.31428571428571428</v>
      </c>
      <c r="E9" s="27" t="s">
        <v>70</v>
      </c>
      <c r="F9" s="24" t="s">
        <v>25</v>
      </c>
      <c r="G9" s="12">
        <v>9</v>
      </c>
      <c r="H9" s="88">
        <f>IF(B$20=0,0,G9/B$20)</f>
        <v>9.8901098901098897E-2</v>
      </c>
      <c r="I9" s="58">
        <v>5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12</v>
      </c>
      <c r="C10" s="7">
        <f t="shared" si="1"/>
        <v>0.34285714285714286</v>
      </c>
      <c r="E10" s="27" t="s">
        <v>65</v>
      </c>
      <c r="F10" s="24" t="s">
        <v>21</v>
      </c>
      <c r="G10" s="12">
        <v>8</v>
      </c>
      <c r="H10" s="88">
        <f>IF(B$20=0,0,G10/B$20)</f>
        <v>8.7912087912087919E-2</v>
      </c>
      <c r="I10" s="58">
        <v>5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8.64</v>
      </c>
      <c r="Q10" s="76">
        <v>10</v>
      </c>
      <c r="R10" s="67">
        <v>86.4</v>
      </c>
    </row>
    <row r="11" spans="1:18" x14ac:dyDescent="0.45">
      <c r="A11" s="20" t="s">
        <v>184</v>
      </c>
      <c r="B11" s="109">
        <f>IF(B8=0,0,C11/B8)</f>
        <v>25.724999999999998</v>
      </c>
      <c r="C11" s="110">
        <v>308.7</v>
      </c>
      <c r="E11" s="27" t="s">
        <v>69</v>
      </c>
      <c r="F11" s="24" t="s">
        <v>24</v>
      </c>
      <c r="G11" s="12">
        <v>8</v>
      </c>
      <c r="H11" s="88">
        <f>IF(B$20=0,0,G11/B$20)</f>
        <v>8.7912087912087919E-2</v>
      </c>
      <c r="I11" s="58">
        <v>7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-5.7</v>
      </c>
      <c r="Q11" s="77">
        <v>11</v>
      </c>
      <c r="R11" s="68">
        <v>-62.7</v>
      </c>
    </row>
    <row r="12" spans="1:18" x14ac:dyDescent="0.45">
      <c r="A12" s="20" t="s">
        <v>185</v>
      </c>
      <c r="B12" s="109">
        <f>IF(B9=0,0,C12/B9)</f>
        <v>4.918181818181818</v>
      </c>
      <c r="C12" s="110">
        <v>54.099999999999994</v>
      </c>
      <c r="E12" s="27" t="s">
        <v>83</v>
      </c>
      <c r="F12" s="24" t="s">
        <v>38</v>
      </c>
      <c r="G12" s="12">
        <v>5</v>
      </c>
      <c r="H12" s="88">
        <f>IF(B$20=0,0,G12/B$20)</f>
        <v>5.4945054945054944E-2</v>
      </c>
      <c r="I12" s="58">
        <v>3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-3.1142857142857161</v>
      </c>
      <c r="Q12" s="78">
        <v>14</v>
      </c>
      <c r="R12" s="69">
        <v>-43.600000000000023</v>
      </c>
    </row>
    <row r="13" spans="1:18" x14ac:dyDescent="0.45">
      <c r="A13" s="20" t="s">
        <v>186</v>
      </c>
      <c r="B13" s="109">
        <f>IF(B10=0,0,C13/B10)</f>
        <v>-31.891666666666666</v>
      </c>
      <c r="C13" s="110">
        <v>-382.7</v>
      </c>
      <c r="E13" s="27" t="s">
        <v>71</v>
      </c>
      <c r="F13" s="24" t="s">
        <v>26</v>
      </c>
      <c r="G13" s="12">
        <v>4</v>
      </c>
      <c r="H13" s="88">
        <f>IF(B$20=0,0,G13/B$20)</f>
        <v>4.3956043956043959E-2</v>
      </c>
      <c r="I13" s="58">
        <v>7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-0.41616161616161662</v>
      </c>
      <c r="C14" s="126"/>
      <c r="E14" s="27" t="s">
        <v>81</v>
      </c>
      <c r="F14" s="24" t="s">
        <v>36</v>
      </c>
      <c r="G14" s="12">
        <v>4</v>
      </c>
      <c r="H14" s="88">
        <f>IF(B$20=0,0,G14/B$20)</f>
        <v>4.3956043956043959E-2</v>
      </c>
      <c r="I14" s="58">
        <v>5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2.8571428571428571E-2</v>
      </c>
      <c r="E15" s="27" t="s">
        <v>78</v>
      </c>
      <c r="F15" s="24" t="s">
        <v>33</v>
      </c>
      <c r="G15" s="12">
        <v>3</v>
      </c>
      <c r="H15" s="88">
        <f>IF(B$20=0,0,G15/B$20)</f>
        <v>3.2967032967032968E-2</v>
      </c>
      <c r="I15" s="58">
        <v>4</v>
      </c>
      <c r="K15" s="74">
        <v>13</v>
      </c>
      <c r="L15" s="119">
        <v>35.000000000000007</v>
      </c>
      <c r="M15" s="117">
        <v>1449.5174194108242</v>
      </c>
      <c r="O15" s="73" t="s">
        <v>216</v>
      </c>
      <c r="P15" s="82">
        <f>IF(Q15=0,0,R15/Q15)</f>
        <v>35.5</v>
      </c>
      <c r="Q15" s="76">
        <v>1</v>
      </c>
      <c r="R15" s="67">
        <v>35.5</v>
      </c>
    </row>
    <row r="16" spans="1:18" x14ac:dyDescent="0.45">
      <c r="A16" s="22" t="s">
        <v>121</v>
      </c>
      <c r="B16" s="15">
        <v>84</v>
      </c>
      <c r="C16" s="10">
        <f>IF(B$3=0,0,B16/B$3)</f>
        <v>0.27450980392156865</v>
      </c>
      <c r="E16" s="27" t="s">
        <v>79</v>
      </c>
      <c r="F16" s="24" t="s">
        <v>34</v>
      </c>
      <c r="G16" s="12">
        <v>3</v>
      </c>
      <c r="H16" s="88">
        <f>IF(B$20=0,0,G16/B$20)</f>
        <v>3.2967032967032968E-2</v>
      </c>
      <c r="I16" s="58">
        <v>2</v>
      </c>
      <c r="K16" s="74">
        <v>14</v>
      </c>
      <c r="L16" s="119">
        <v>42.800000000000004</v>
      </c>
      <c r="M16" s="117">
        <v>1451.8303148943594</v>
      </c>
      <c r="O16" s="74" t="s">
        <v>190</v>
      </c>
      <c r="P16" s="83">
        <f>IF(Q16=0,0,R16/Q16)</f>
        <v>13.200000000000003</v>
      </c>
      <c r="Q16" s="77">
        <v>2</v>
      </c>
      <c r="R16" s="68">
        <v>26.400000000000006</v>
      </c>
    </row>
    <row r="17" spans="1:18" x14ac:dyDescent="0.45">
      <c r="A17" s="19" t="s">
        <v>118</v>
      </c>
      <c r="B17" s="12">
        <v>91</v>
      </c>
      <c r="C17" s="6">
        <f>IF(B$3=0,0,B17/B$3)</f>
        <v>0.29738562091503268</v>
      </c>
      <c r="E17" s="27" t="s">
        <v>86</v>
      </c>
      <c r="F17" s="24" t="s">
        <v>41</v>
      </c>
      <c r="G17" s="12">
        <v>2</v>
      </c>
      <c r="H17" s="88">
        <f>IF(B$20=0,0,G17/B$20)</f>
        <v>2.197802197802198E-2</v>
      </c>
      <c r="I17" s="58">
        <v>8</v>
      </c>
      <c r="K17" s="74">
        <v>15</v>
      </c>
      <c r="L17" s="119">
        <v>60.900000000000006</v>
      </c>
      <c r="M17" s="117">
        <v>1455.9833330049933</v>
      </c>
      <c r="O17" s="74" t="s">
        <v>163</v>
      </c>
      <c r="P17" s="83">
        <f>IF(Q17=0,0,R17/Q17)</f>
        <v>10.833333333333336</v>
      </c>
      <c r="Q17" s="77">
        <v>12</v>
      </c>
      <c r="R17" s="68">
        <v>130.00000000000003</v>
      </c>
    </row>
    <row r="18" spans="1:18" x14ac:dyDescent="0.45">
      <c r="A18" s="18" t="s">
        <v>123</v>
      </c>
      <c r="B18" s="11">
        <f>B24</f>
        <v>40</v>
      </c>
      <c r="C18" s="5">
        <f>IF(B$16=0,0,B18/B$16)</f>
        <v>0.47619047619047616</v>
      </c>
      <c r="E18" s="27" t="s">
        <v>91</v>
      </c>
      <c r="F18" s="24" t="s">
        <v>46</v>
      </c>
      <c r="G18" s="12">
        <v>2</v>
      </c>
      <c r="H18" s="88">
        <f>IF(B$20=0,0,G18/B$20)</f>
        <v>2.197802197802198E-2</v>
      </c>
      <c r="I18" s="58">
        <v>3</v>
      </c>
      <c r="K18" s="74">
        <v>16</v>
      </c>
      <c r="L18" s="119">
        <v>38.600000000000009</v>
      </c>
      <c r="M18" s="117">
        <v>1453.0914330069634</v>
      </c>
      <c r="O18" s="74" t="s">
        <v>211</v>
      </c>
      <c r="P18" s="83">
        <f>IF(Q18=0,0,R18/Q18)</f>
        <v>3.8333333333333344</v>
      </c>
      <c r="Q18" s="77">
        <v>6</v>
      </c>
      <c r="R18" s="68">
        <v>23.000000000000007</v>
      </c>
    </row>
    <row r="19" spans="1:18" x14ac:dyDescent="0.45">
      <c r="A19" s="18" t="s">
        <v>124</v>
      </c>
      <c r="B19" s="11">
        <f>B25</f>
        <v>36</v>
      </c>
      <c r="C19" s="5">
        <f>IF(B$17=0,0,B19/B$17)</f>
        <v>0.39560439560439559</v>
      </c>
      <c r="E19" s="27" t="s">
        <v>88</v>
      </c>
      <c r="F19" s="24" t="s">
        <v>43</v>
      </c>
      <c r="G19" s="12">
        <v>1</v>
      </c>
      <c r="H19" s="88">
        <f>IF(B$20=0,0,G19/B$20)</f>
        <v>1.098901098901099E-2</v>
      </c>
      <c r="I19" s="58">
        <v>1</v>
      </c>
      <c r="K19" s="74">
        <v>17</v>
      </c>
      <c r="L19" s="119">
        <v>7.6000000000000085</v>
      </c>
      <c r="M19" s="117">
        <v>1448.4108844089217</v>
      </c>
      <c r="O19" s="74" t="s">
        <v>126</v>
      </c>
      <c r="P19" s="83">
        <f>IF(Q19=0,0,R19/Q19)</f>
        <v>1.8156249999999989</v>
      </c>
      <c r="Q19" s="77">
        <v>32</v>
      </c>
      <c r="R19" s="68">
        <v>58.099999999999966</v>
      </c>
    </row>
    <row r="20" spans="1:18" x14ac:dyDescent="0.45">
      <c r="A20" s="18" t="s">
        <v>10</v>
      </c>
      <c r="B20" s="11">
        <f>B23+B22</f>
        <v>91</v>
      </c>
      <c r="C20" s="5">
        <f>IF(B$3=0,0,B20/B$3)</f>
        <v>0.29738562091503268</v>
      </c>
      <c r="E20" s="27" t="s">
        <v>93</v>
      </c>
      <c r="F20" s="24" t="s">
        <v>48</v>
      </c>
      <c r="G20" s="12">
        <v>1</v>
      </c>
      <c r="H20" s="88">
        <f>IF(B$20=0,0,G20/B$20)</f>
        <v>1.098901098901099E-2</v>
      </c>
      <c r="I20" s="58">
        <v>1</v>
      </c>
      <c r="K20" s="74">
        <v>18</v>
      </c>
      <c r="L20" s="119">
        <v>15.100000000000009</v>
      </c>
      <c r="M20" s="117">
        <v>1450.6884191024681</v>
      </c>
      <c r="O20" s="74" t="s">
        <v>192</v>
      </c>
      <c r="P20" s="83">
        <f>IF(Q20=0,0,R20/Q20)</f>
        <v>-19.570588235294121</v>
      </c>
      <c r="Q20" s="77">
        <v>17</v>
      </c>
      <c r="R20" s="68">
        <v>-332.70000000000005</v>
      </c>
    </row>
    <row r="21" spans="1:18" x14ac:dyDescent="0.45">
      <c r="A21" s="19" t="s">
        <v>13</v>
      </c>
      <c r="B21" s="12">
        <v>54</v>
      </c>
      <c r="C21" s="6">
        <f>IF(B$3=0,0,B21/B$3)</f>
        <v>0.17647058823529413</v>
      </c>
      <c r="E21" s="27" t="s">
        <v>73</v>
      </c>
      <c r="F21" s="24" t="s">
        <v>28</v>
      </c>
      <c r="G21" s="12">
        <v>0</v>
      </c>
      <c r="H21" s="88">
        <f>IF(B$20=0,0,G21/B$20)</f>
        <v>0</v>
      </c>
      <c r="I21" s="58">
        <v>6</v>
      </c>
      <c r="K21" s="74">
        <v>19</v>
      </c>
      <c r="L21" s="119">
        <v>42.400000000000006</v>
      </c>
      <c r="M21" s="117">
        <v>1456.6902885878533</v>
      </c>
    </row>
    <row r="22" spans="1:18" x14ac:dyDescent="0.45">
      <c r="A22" s="19" t="s">
        <v>12</v>
      </c>
      <c r="B22" s="12">
        <v>44</v>
      </c>
      <c r="C22" s="6">
        <f>IF(B$20=0,0,B22/B$20)</f>
        <v>0.48351648351648352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81.5</v>
      </c>
      <c r="M22" s="117">
        <v>1464.7801468563262</v>
      </c>
    </row>
    <row r="23" spans="1:18" x14ac:dyDescent="0.45">
      <c r="A23" s="19" t="s">
        <v>11</v>
      </c>
      <c r="B23" s="12">
        <v>47</v>
      </c>
      <c r="C23" s="6">
        <f>IF(B$20=0,0,B23/B$20)</f>
        <v>0.51648351648351654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5</v>
      </c>
      <c r="K23" s="74">
        <v>21</v>
      </c>
      <c r="L23" s="119">
        <v>15.099999999999994</v>
      </c>
      <c r="M23" s="117">
        <v>1453.7114659751883</v>
      </c>
    </row>
    <row r="24" spans="1:18" x14ac:dyDescent="0.45">
      <c r="A24" s="19" t="s">
        <v>183</v>
      </c>
      <c r="B24" s="12">
        <v>40</v>
      </c>
      <c r="C24" s="6">
        <f>IF(B$20=0,0,B24/B$20)</f>
        <v>0.43956043956043955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17.999999999999993</v>
      </c>
      <c r="M24" s="117">
        <v>1455.1831971793372</v>
      </c>
    </row>
    <row r="25" spans="1:18" x14ac:dyDescent="0.45">
      <c r="A25" s="19" t="s">
        <v>181</v>
      </c>
      <c r="B25" s="12">
        <v>36</v>
      </c>
      <c r="C25" s="6">
        <f>IF(B$20=0,0,B25/B$20)</f>
        <v>0.39560439560439559</v>
      </c>
      <c r="E25" s="27" t="s">
        <v>77</v>
      </c>
      <c r="F25" s="24" t="s">
        <v>32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46.199999999999989</v>
      </c>
      <c r="M25" s="117">
        <v>1461.2000979962611</v>
      </c>
    </row>
    <row r="26" spans="1:18" x14ac:dyDescent="0.45">
      <c r="A26" s="19" t="s">
        <v>182</v>
      </c>
      <c r="B26" s="12">
        <v>15</v>
      </c>
      <c r="C26" s="6">
        <f>IF(B$20=0,0,B26/B$20)</f>
        <v>0.16483516483516483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16.79999999999999</v>
      </c>
      <c r="M26" s="117">
        <v>1456.9028974082835</v>
      </c>
    </row>
    <row r="27" spans="1:18" x14ac:dyDescent="0.45">
      <c r="A27" s="19" t="s">
        <v>5</v>
      </c>
      <c r="B27" s="16">
        <f>IF(B$20=0,0,C27/B$20)</f>
        <v>7334.065934065934</v>
      </c>
      <c r="C27" s="8">
        <v>667400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60.699999999999989</v>
      </c>
      <c r="M27" s="117">
        <v>1465.8254800238337</v>
      </c>
    </row>
    <row r="28" spans="1:18" x14ac:dyDescent="0.45">
      <c r="A28" s="20" t="s">
        <v>165</v>
      </c>
      <c r="B28" s="95">
        <f>IF($B$20-B$19=0,0,C28/($B$20-B$19))</f>
        <v>8638.181818181818</v>
      </c>
      <c r="C28" s="96">
        <v>475100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25.599999999999987</v>
      </c>
      <c r="M28" s="117">
        <v>1460.4745271436907</v>
      </c>
    </row>
    <row r="29" spans="1:18" x14ac:dyDescent="0.45">
      <c r="A29" s="20" t="s">
        <v>166</v>
      </c>
      <c r="B29" s="95">
        <f>IF(B$19=0,0,C29/B$19)</f>
        <v>5341.666666666667</v>
      </c>
      <c r="C29" s="96">
        <v>192300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5</v>
      </c>
      <c r="K29" s="74">
        <v>27</v>
      </c>
      <c r="L29" s="119">
        <v>17.199999999999989</v>
      </c>
      <c r="M29" s="117">
        <v>1459.8536799808285</v>
      </c>
    </row>
    <row r="30" spans="1:18" x14ac:dyDescent="0.45">
      <c r="A30" s="20" t="s">
        <v>164</v>
      </c>
      <c r="B30" s="95">
        <f>IF(B$21=0,0,C30/B$21)</f>
        <v>-7775.9259259259261</v>
      </c>
      <c r="C30" s="96">
        <v>-419900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61.199999999999989</v>
      </c>
      <c r="M30" s="117">
        <v>1468.6685579009436</v>
      </c>
    </row>
    <row r="31" spans="1:18" x14ac:dyDescent="0.45">
      <c r="A31" s="19" t="s">
        <v>157</v>
      </c>
      <c r="B31" s="12">
        <v>4</v>
      </c>
      <c r="C31" s="90">
        <v>1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36.699999999999989</v>
      </c>
      <c r="M31" s="117">
        <v>1465.0825465535379</v>
      </c>
    </row>
    <row r="32" spans="1:18" x14ac:dyDescent="0.45">
      <c r="A32" s="19" t="s">
        <v>158</v>
      </c>
      <c r="B32" s="12">
        <v>21</v>
      </c>
      <c r="C32" s="90">
        <v>10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11.199999999999989</v>
      </c>
      <c r="M32" s="117">
        <v>1461.3380512742167</v>
      </c>
    </row>
    <row r="33" spans="1:13" x14ac:dyDescent="0.45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13.599999999999989</v>
      </c>
      <c r="M33" s="117">
        <v>1462.7040229665713</v>
      </c>
    </row>
    <row r="34" spans="1:13" x14ac:dyDescent="0.45">
      <c r="A34" s="22" t="s">
        <v>180</v>
      </c>
      <c r="B34" s="129">
        <v>69000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-9.3000000000000096</v>
      </c>
      <c r="M34" s="117">
        <v>1459.5077988287719</v>
      </c>
    </row>
    <row r="35" spans="1:13" x14ac:dyDescent="0.45">
      <c r="A35" s="21" t="s">
        <v>137</v>
      </c>
      <c r="B35" s="29">
        <v>1</v>
      </c>
      <c r="C35" s="9">
        <f>IF(B$3=0,0,B35/B$3)</f>
        <v>3.2679738562091504E-3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8.3999999999999897</v>
      </c>
      <c r="M35" s="117">
        <v>1463.4227520357992</v>
      </c>
    </row>
    <row r="36" spans="1:13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-28.600000000000009</v>
      </c>
      <c r="M36" s="117">
        <v>1457.6782155235844</v>
      </c>
    </row>
    <row r="37" spans="1:13" x14ac:dyDescent="0.45">
      <c r="A37" s="54" t="s">
        <v>171</v>
      </c>
      <c r="B37" s="123">
        <v>11</v>
      </c>
      <c r="C37" s="98">
        <f t="shared" ref="C37:C49" si="2">IF(B$20=0,0,B37/B$20)</f>
        <v>0.12087912087912088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-19.900000000000009</v>
      </c>
      <c r="M37" s="117">
        <v>1460.1941462304428</v>
      </c>
    </row>
    <row r="38" spans="1:13" x14ac:dyDescent="0.45">
      <c r="A38" s="19" t="s">
        <v>167</v>
      </c>
      <c r="B38" s="12">
        <v>22</v>
      </c>
      <c r="C38" s="6">
        <f t="shared" si="2"/>
        <v>0.24175824175824176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13" x14ac:dyDescent="0.45">
      <c r="A39" s="19" t="s">
        <v>168</v>
      </c>
      <c r="B39" s="124">
        <v>16</v>
      </c>
      <c r="C39" s="6">
        <f t="shared" si="2"/>
        <v>0.17582417582417584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13" x14ac:dyDescent="0.45">
      <c r="A40" s="19" t="s">
        <v>169</v>
      </c>
      <c r="B40" s="124">
        <v>19</v>
      </c>
      <c r="C40" s="6">
        <f t="shared" si="2"/>
        <v>0.2087912087912088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13" x14ac:dyDescent="0.45">
      <c r="A41" s="19" t="s">
        <v>170</v>
      </c>
      <c r="B41" s="124">
        <v>5</v>
      </c>
      <c r="C41" s="6">
        <f t="shared" si="2"/>
        <v>5.4945054945054944E-2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13" x14ac:dyDescent="0.45">
      <c r="A42" s="19" t="s">
        <v>172</v>
      </c>
      <c r="B42" s="124">
        <v>4</v>
      </c>
      <c r="C42" s="6">
        <f t="shared" si="2"/>
        <v>4.3956043956043959E-2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13" x14ac:dyDescent="0.45">
      <c r="A43" s="19" t="s">
        <v>173</v>
      </c>
      <c r="B43" s="124">
        <v>4</v>
      </c>
      <c r="C43" s="6">
        <f t="shared" si="2"/>
        <v>4.3956043956043959E-2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13" x14ac:dyDescent="0.45">
      <c r="A44" s="19" t="s">
        <v>174</v>
      </c>
      <c r="B44" s="124">
        <v>2</v>
      </c>
      <c r="C44" s="6">
        <f t="shared" si="2"/>
        <v>2.197802197802198E-2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13" x14ac:dyDescent="0.45">
      <c r="A45" s="19" t="s">
        <v>175</v>
      </c>
      <c r="B45" s="124">
        <v>4</v>
      </c>
      <c r="C45" s="6">
        <f t="shared" si="2"/>
        <v>4.3956043956043959E-2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13" x14ac:dyDescent="0.45">
      <c r="A46" s="19" t="s">
        <v>176</v>
      </c>
      <c r="B46" s="124">
        <v>3</v>
      </c>
      <c r="C46" s="6">
        <f t="shared" si="2"/>
        <v>3.2967032967032968E-2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1</v>
      </c>
      <c r="C49" s="9">
        <f t="shared" si="2"/>
        <v>1.098901098901099E-2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B0CBF-76F1-4D97-B8FF-C0A3EC60F132}">
  <sheetPr codeName="Sheet1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19</v>
      </c>
      <c r="C2" s="134"/>
      <c r="E2" s="26" t="s">
        <v>66</v>
      </c>
      <c r="F2" s="23" t="s">
        <v>22</v>
      </c>
      <c r="G2" s="11">
        <v>35</v>
      </c>
      <c r="H2" s="87">
        <f>IF(B$20=0,0,G2/B$20)</f>
        <v>0.92105263157894735</v>
      </c>
      <c r="I2" s="57">
        <v>3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-68.421052631578945</v>
      </c>
      <c r="Q2" s="76">
        <v>19</v>
      </c>
      <c r="R2" s="63">
        <v>-1300</v>
      </c>
    </row>
    <row r="3" spans="1:18" x14ac:dyDescent="0.45">
      <c r="A3" s="19" t="s">
        <v>8</v>
      </c>
      <c r="B3" s="135">
        <v>155</v>
      </c>
      <c r="C3" s="136"/>
      <c r="E3" s="27" t="s">
        <v>72</v>
      </c>
      <c r="F3" s="24" t="s">
        <v>27</v>
      </c>
      <c r="G3" s="12">
        <v>24</v>
      </c>
      <c r="H3" s="88">
        <f>IF(B$20=0,0,G3/B$20)</f>
        <v>0.63157894736842102</v>
      </c>
      <c r="I3" s="58">
        <v>5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715.78947368421052</v>
      </c>
      <c r="Q3" s="77">
        <v>19</v>
      </c>
      <c r="R3" s="64">
        <v>13600</v>
      </c>
    </row>
    <row r="4" spans="1:18" x14ac:dyDescent="0.45">
      <c r="A4" s="19" t="s">
        <v>6</v>
      </c>
      <c r="B4" s="137">
        <v>-9.6000000000000192</v>
      </c>
      <c r="C4" s="138"/>
      <c r="E4" s="27" t="s">
        <v>64</v>
      </c>
      <c r="F4" s="24" t="s">
        <v>20</v>
      </c>
      <c r="G4" s="12">
        <v>21</v>
      </c>
      <c r="H4" s="88">
        <f>IF(B$20=0,0,G4/B$20)</f>
        <v>0.55263157894736847</v>
      </c>
      <c r="I4" s="58">
        <v>1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484.21052631578948</v>
      </c>
      <c r="Q4" s="77">
        <v>19</v>
      </c>
      <c r="R4" s="64">
        <v>9200</v>
      </c>
    </row>
    <row r="5" spans="1:18" x14ac:dyDescent="0.45">
      <c r="A5" s="19" t="s">
        <v>7</v>
      </c>
      <c r="B5" s="125">
        <f>IF(B$2=0,0,B$4/B$2)</f>
        <v>-0.50526315789473786</v>
      </c>
      <c r="C5" s="126"/>
      <c r="E5" s="27" t="s">
        <v>159</v>
      </c>
      <c r="F5" s="24" t="s">
        <v>160</v>
      </c>
      <c r="G5" s="12">
        <v>16</v>
      </c>
      <c r="H5" s="88">
        <f>IF(B$20=0,0,G5/B$20)</f>
        <v>0.42105263157894735</v>
      </c>
      <c r="I5" s="58">
        <v>3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-2811.7647058823532</v>
      </c>
      <c r="Q5" s="77">
        <v>17</v>
      </c>
      <c r="R5" s="64">
        <v>-47800</v>
      </c>
    </row>
    <row r="6" spans="1:18" x14ac:dyDescent="0.45">
      <c r="A6" s="19" t="s">
        <v>196</v>
      </c>
      <c r="B6" s="129">
        <v>1531.9675976799019</v>
      </c>
      <c r="C6" s="130"/>
      <c r="E6" s="27" t="s">
        <v>67</v>
      </c>
      <c r="F6" s="24" t="s">
        <v>23</v>
      </c>
      <c r="G6" s="12">
        <v>12</v>
      </c>
      <c r="H6" s="88">
        <f>IF(B$20=0,0,G6/B$20)</f>
        <v>0.31578947368421051</v>
      </c>
      <c r="I6" s="58">
        <v>2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2106.25</v>
      </c>
      <c r="Q6" s="77">
        <v>16</v>
      </c>
      <c r="R6" s="64">
        <v>33700</v>
      </c>
    </row>
    <row r="7" spans="1:18" x14ac:dyDescent="0.45">
      <c r="A7" s="19" t="s">
        <v>1</v>
      </c>
      <c r="B7" s="139">
        <f>IF(B$2=0,0,(B$8*1+B$9*2+B$10*3)/B$2)</f>
        <v>1.9473684210526316</v>
      </c>
      <c r="C7" s="140"/>
      <c r="E7" s="27" t="s">
        <v>65</v>
      </c>
      <c r="F7" s="24" t="s">
        <v>21</v>
      </c>
      <c r="G7" s="12">
        <v>8</v>
      </c>
      <c r="H7" s="88">
        <f>IF(B$20=0,0,G7/B$20)</f>
        <v>0.21052631578947367</v>
      </c>
      <c r="I7" s="58">
        <v>1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-1153.8461538461538</v>
      </c>
      <c r="Q7" s="78">
        <v>13</v>
      </c>
      <c r="R7" s="65">
        <v>-15000</v>
      </c>
    </row>
    <row r="8" spans="1:18" x14ac:dyDescent="0.45">
      <c r="A8" s="19" t="s">
        <v>2</v>
      </c>
      <c r="B8" s="12">
        <v>5</v>
      </c>
      <c r="C8" s="6">
        <f t="shared" ref="C8:C15" si="1">IF(B$2=0,0,B8/B$2)</f>
        <v>0.26315789473684209</v>
      </c>
      <c r="E8" s="27" t="s">
        <v>68</v>
      </c>
      <c r="F8" s="24" t="s">
        <v>12</v>
      </c>
      <c r="G8" s="12">
        <v>7</v>
      </c>
      <c r="H8" s="88">
        <f>IF(B$20=0,0,G8/B$20)</f>
        <v>0.18421052631578946</v>
      </c>
      <c r="I8" s="58">
        <v>11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5">
      <c r="A9" s="19" t="s">
        <v>3</v>
      </c>
      <c r="B9" s="12">
        <v>10</v>
      </c>
      <c r="C9" s="6">
        <f t="shared" si="1"/>
        <v>0.52631578947368418</v>
      </c>
      <c r="E9" s="27" t="s">
        <v>69</v>
      </c>
      <c r="F9" s="24" t="s">
        <v>24</v>
      </c>
      <c r="G9" s="12">
        <v>5</v>
      </c>
      <c r="H9" s="88">
        <f>IF(B$20=0,0,G9/B$20)</f>
        <v>0.13157894736842105</v>
      </c>
      <c r="I9" s="58">
        <v>3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4</v>
      </c>
      <c r="C10" s="7">
        <f t="shared" si="1"/>
        <v>0.21052631578947367</v>
      </c>
      <c r="E10" s="27" t="s">
        <v>89</v>
      </c>
      <c r="F10" s="24" t="s">
        <v>44</v>
      </c>
      <c r="G10" s="12">
        <v>5</v>
      </c>
      <c r="H10" s="88">
        <f>IF(B$20=0,0,G10/B$20)</f>
        <v>0.13157894736842105</v>
      </c>
      <c r="I10" s="58">
        <v>8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-12.585714285714285</v>
      </c>
      <c r="Q10" s="76">
        <v>7</v>
      </c>
      <c r="R10" s="67">
        <v>-88.1</v>
      </c>
    </row>
    <row r="11" spans="1:18" x14ac:dyDescent="0.45">
      <c r="A11" s="20" t="s">
        <v>184</v>
      </c>
      <c r="B11" s="109">
        <f>IF(B8=0,0,C11/B8)</f>
        <v>29.359999999999996</v>
      </c>
      <c r="C11" s="110">
        <v>146.79999999999998</v>
      </c>
      <c r="E11" s="27" t="s">
        <v>70</v>
      </c>
      <c r="F11" s="24" t="s">
        <v>25</v>
      </c>
      <c r="G11" s="12">
        <v>2</v>
      </c>
      <c r="H11" s="88">
        <f>IF(B$20=0,0,G11/B$20)</f>
        <v>5.2631578947368418E-2</v>
      </c>
      <c r="I11" s="58">
        <v>7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3.7800000000000002</v>
      </c>
      <c r="Q11" s="77">
        <v>5</v>
      </c>
      <c r="R11" s="68">
        <v>18.900000000000002</v>
      </c>
    </row>
    <row r="12" spans="1:18" x14ac:dyDescent="0.45">
      <c r="A12" s="20" t="s">
        <v>185</v>
      </c>
      <c r="B12" s="109">
        <f>IF(B9=0,0,C12/B9)</f>
        <v>-0.6399999999999999</v>
      </c>
      <c r="C12" s="110">
        <v>-6.3999999999999986</v>
      </c>
      <c r="E12" s="27" t="s">
        <v>79</v>
      </c>
      <c r="F12" s="24" t="s">
        <v>34</v>
      </c>
      <c r="G12" s="12">
        <v>2</v>
      </c>
      <c r="H12" s="88">
        <f>IF(B$20=0,0,G12/B$20)</f>
        <v>5.2631578947368418E-2</v>
      </c>
      <c r="I12" s="58">
        <v>1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8.514285714285716</v>
      </c>
      <c r="Q12" s="78">
        <v>7</v>
      </c>
      <c r="R12" s="69">
        <v>59.600000000000009</v>
      </c>
    </row>
    <row r="13" spans="1:18" x14ac:dyDescent="0.45">
      <c r="A13" s="20" t="s">
        <v>186</v>
      </c>
      <c r="B13" s="109">
        <f>IF(B10=0,0,C13/B10)</f>
        <v>-37.5</v>
      </c>
      <c r="C13" s="110">
        <v>-150</v>
      </c>
      <c r="E13" s="27" t="s">
        <v>81</v>
      </c>
      <c r="F13" s="24" t="s">
        <v>36</v>
      </c>
      <c r="G13" s="12">
        <v>2</v>
      </c>
      <c r="H13" s="88">
        <f>IF(B$20=0,0,G13/B$20)</f>
        <v>5.2631578947368418E-2</v>
      </c>
      <c r="I13" s="58">
        <v>3</v>
      </c>
      <c r="K13" s="74">
        <v>11</v>
      </c>
      <c r="L13" s="119">
        <v>-108.9</v>
      </c>
      <c r="M13" s="117">
        <v>1509.7550712924706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-2.9266666666666681</v>
      </c>
      <c r="C14" s="126"/>
      <c r="E14" s="27" t="s">
        <v>86</v>
      </c>
      <c r="F14" s="24" t="s">
        <v>41</v>
      </c>
      <c r="G14" s="12">
        <v>2</v>
      </c>
      <c r="H14" s="88">
        <f>IF(B$20=0,0,G14/B$20)</f>
        <v>5.2631578947368418E-2</v>
      </c>
      <c r="I14" s="58">
        <v>5</v>
      </c>
      <c r="K14" s="74">
        <v>12</v>
      </c>
      <c r="L14" s="119">
        <v>-92.100000000000009</v>
      </c>
      <c r="M14" s="117">
        <v>1513.3025408647156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5.2631578947368418E-2</v>
      </c>
      <c r="E15" s="27" t="s">
        <v>83</v>
      </c>
      <c r="F15" s="24" t="s">
        <v>38</v>
      </c>
      <c r="G15" s="12">
        <v>1</v>
      </c>
      <c r="H15" s="88">
        <f>IF(B$20=0,0,G15/B$20)</f>
        <v>2.6315789473684209E-2</v>
      </c>
      <c r="I15" s="58">
        <v>7</v>
      </c>
      <c r="K15" s="74">
        <v>13</v>
      </c>
      <c r="L15" s="119">
        <v>-93.500000000000014</v>
      </c>
      <c r="M15" s="117">
        <v>1513.7987256195274</v>
      </c>
      <c r="O15" s="73" t="s">
        <v>211</v>
      </c>
      <c r="P15" s="82">
        <f>IF(Q15=0,0,R15/Q15)</f>
        <v>7.6857142857142859</v>
      </c>
      <c r="Q15" s="76">
        <v>7</v>
      </c>
      <c r="R15" s="67">
        <v>53.800000000000004</v>
      </c>
    </row>
    <row r="16" spans="1:18" x14ac:dyDescent="0.45">
      <c r="A16" s="22" t="s">
        <v>121</v>
      </c>
      <c r="B16" s="15">
        <v>36</v>
      </c>
      <c r="C16" s="10">
        <f>IF(B$3=0,0,B16/B$3)</f>
        <v>0.23225806451612904</v>
      </c>
      <c r="E16" s="27" t="s">
        <v>71</v>
      </c>
      <c r="F16" s="24" t="s">
        <v>26</v>
      </c>
      <c r="G16" s="12">
        <v>0</v>
      </c>
      <c r="H16" s="88">
        <f>IF(B$20=0,0,G16/B$20)</f>
        <v>0</v>
      </c>
      <c r="I16" s="58">
        <v>8</v>
      </c>
      <c r="K16" s="74">
        <v>14</v>
      </c>
      <c r="L16" s="119">
        <v>-79.200000000000017</v>
      </c>
      <c r="M16" s="117">
        <v>1517.1299332658102</v>
      </c>
      <c r="O16" s="74" t="s">
        <v>126</v>
      </c>
      <c r="P16" s="83">
        <f>IF(Q16=0,0,R16/Q16)</f>
        <v>1.9799999999999993</v>
      </c>
      <c r="Q16" s="77">
        <v>15</v>
      </c>
      <c r="R16" s="68">
        <v>29.699999999999989</v>
      </c>
    </row>
    <row r="17" spans="1:18" x14ac:dyDescent="0.45">
      <c r="A17" s="19" t="s">
        <v>118</v>
      </c>
      <c r="B17" s="12">
        <v>31</v>
      </c>
      <c r="C17" s="6">
        <f>IF(B$3=0,0,B17/B$3)</f>
        <v>0.2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-44.200000000000017</v>
      </c>
      <c r="M17" s="117">
        <v>1524.1671536662154</v>
      </c>
      <c r="O17" s="74" t="s">
        <v>192</v>
      </c>
      <c r="P17" s="83">
        <f>IF(Q17=0,0,R17/Q17)</f>
        <v>-3.0714285714285707</v>
      </c>
      <c r="Q17" s="77">
        <v>7</v>
      </c>
      <c r="R17" s="68">
        <v>-21.499999999999996</v>
      </c>
    </row>
    <row r="18" spans="1:18" x14ac:dyDescent="0.45">
      <c r="A18" s="18" t="s">
        <v>123</v>
      </c>
      <c r="B18" s="11">
        <f>B24</f>
        <v>21</v>
      </c>
      <c r="C18" s="5">
        <f>IF(B$16=0,0,B18/B$16)</f>
        <v>0.58333333333333337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-49.800000000000018</v>
      </c>
      <c r="M18" s="117">
        <v>1523.8481507442182</v>
      </c>
      <c r="O18" s="74" t="s">
        <v>163</v>
      </c>
      <c r="P18" s="83">
        <f>IF(Q18=0,0,R18/Q18)</f>
        <v>-8.7333333333333325</v>
      </c>
      <c r="Q18" s="77">
        <v>6</v>
      </c>
      <c r="R18" s="68">
        <v>-52.4</v>
      </c>
    </row>
    <row r="19" spans="1:18" x14ac:dyDescent="0.45">
      <c r="A19" s="18" t="s">
        <v>124</v>
      </c>
      <c r="B19" s="11">
        <f>B25</f>
        <v>12</v>
      </c>
      <c r="C19" s="5">
        <f>IF(B$17=0,0,B19/B$17)</f>
        <v>0.38709677419354838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-47.800000000000018</v>
      </c>
      <c r="M19" s="117">
        <v>1524.9050618397528</v>
      </c>
      <c r="O19" s="74" t="s">
        <v>195</v>
      </c>
      <c r="P19" s="83">
        <f>IF(Q19=0,0,R19/Q19)</f>
        <v>-12</v>
      </c>
      <c r="Q19" s="77">
        <v>1</v>
      </c>
      <c r="R19" s="68">
        <v>-12</v>
      </c>
    </row>
    <row r="20" spans="1:18" x14ac:dyDescent="0.45">
      <c r="A20" s="18" t="s">
        <v>10</v>
      </c>
      <c r="B20" s="11">
        <f>B23+B22</f>
        <v>38</v>
      </c>
      <c r="C20" s="5">
        <f>IF(B$3=0,0,B20/B$3)</f>
        <v>0.24516129032258063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-22.100000000000019</v>
      </c>
      <c r="M20" s="117">
        <v>1530.0056314687142</v>
      </c>
      <c r="O20" s="74" t="s">
        <v>189</v>
      </c>
      <c r="P20" s="83">
        <f>IF(Q20=0,0,R20/Q20)</f>
        <v>-13.200000000000003</v>
      </c>
      <c r="Q20" s="77">
        <v>2</v>
      </c>
      <c r="R20" s="68">
        <v>-26.400000000000006</v>
      </c>
    </row>
    <row r="21" spans="1:18" x14ac:dyDescent="0.45">
      <c r="A21" s="19" t="s">
        <v>13</v>
      </c>
      <c r="B21" s="12">
        <v>15</v>
      </c>
      <c r="C21" s="6">
        <f>IF(B$3=0,0,B21/B$3)</f>
        <v>9.6774193548387094E-2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3</v>
      </c>
      <c r="K21" s="74">
        <v>19</v>
      </c>
      <c r="L21" s="119">
        <v>-9.6000000000000192</v>
      </c>
      <c r="M21" s="117">
        <v>1531.9675976799019</v>
      </c>
    </row>
    <row r="22" spans="1:18" x14ac:dyDescent="0.45">
      <c r="A22" s="19" t="s">
        <v>12</v>
      </c>
      <c r="B22" s="12">
        <v>8</v>
      </c>
      <c r="C22" s="6">
        <f>IF(B$20=0,0,B22/B$20)</f>
        <v>0.21052631578947367</v>
      </c>
      <c r="E22" s="27" t="s">
        <v>78</v>
      </c>
      <c r="F22" s="24" t="s">
        <v>33</v>
      </c>
      <c r="G22" s="12">
        <v>0</v>
      </c>
      <c r="H22" s="88">
        <f>IF(B$20=0,0,G22/B$20)</f>
        <v>0</v>
      </c>
      <c r="I22" s="58">
        <v>8</v>
      </c>
    </row>
    <row r="23" spans="1:18" x14ac:dyDescent="0.45">
      <c r="A23" s="19" t="s">
        <v>11</v>
      </c>
      <c r="B23" s="12">
        <v>30</v>
      </c>
      <c r="C23" s="6">
        <f>IF(B$20=0,0,B23/B$20)</f>
        <v>0.78947368421052633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5">
      <c r="A24" s="19" t="s">
        <v>183</v>
      </c>
      <c r="B24" s="12">
        <v>21</v>
      </c>
      <c r="C24" s="6">
        <f>IF(B$20=0,0,B24/B$20)</f>
        <v>0.55263157894736847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12</v>
      </c>
      <c r="C25" s="6">
        <f>IF(B$20=0,0,B25/B$20)</f>
        <v>0.31578947368421051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5</v>
      </c>
      <c r="C26" s="6">
        <f>IF(B$20=0,0,B26/B$20)</f>
        <v>0.13157894736842105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5</v>
      </c>
    </row>
    <row r="27" spans="1:18" x14ac:dyDescent="0.45">
      <c r="A27" s="19" t="s">
        <v>5</v>
      </c>
      <c r="B27" s="16">
        <f>IF(B$20=0,0,C27/B$20)</f>
        <v>8118.4210526315792</v>
      </c>
      <c r="C27" s="8">
        <v>308500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8123.0769230769229</v>
      </c>
      <c r="C28" s="96">
        <v>211200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8108.333333333333</v>
      </c>
      <c r="C29" s="96">
        <v>97300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-5560</v>
      </c>
      <c r="C30" s="96">
        <v>-83400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5">
      <c r="A31" s="19" t="s">
        <v>157</v>
      </c>
      <c r="B31" s="12">
        <v>3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28</v>
      </c>
      <c r="C32" s="90">
        <v>10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80000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2.6315789473684209E-2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8</v>
      </c>
      <c r="C38" s="6">
        <f t="shared" si="2"/>
        <v>0.21052631578947367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8</v>
      </c>
      <c r="C39" s="6">
        <f t="shared" si="2"/>
        <v>0.21052631578947367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10</v>
      </c>
      <c r="C40" s="6">
        <f t="shared" si="2"/>
        <v>0.26315789473684209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3</v>
      </c>
      <c r="C41" s="6">
        <f t="shared" si="2"/>
        <v>7.8947368421052627E-2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4</v>
      </c>
      <c r="C42" s="6">
        <f t="shared" si="2"/>
        <v>0.10526315789473684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3</v>
      </c>
      <c r="C44" s="6">
        <f t="shared" si="2"/>
        <v>7.8947368421052627E-2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1</v>
      </c>
      <c r="C45" s="6">
        <f t="shared" si="2"/>
        <v>2.6315789473684209E-2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F1CDB-2796-4712-AE74-C542B28C762F}">
  <sheetPr codeName="Sheet1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34</v>
      </c>
      <c r="C2" s="134"/>
      <c r="E2" s="26" t="s">
        <v>66</v>
      </c>
      <c r="F2" s="23" t="s">
        <v>22</v>
      </c>
      <c r="G2" s="11">
        <v>62</v>
      </c>
      <c r="H2" s="87">
        <f>IF(B$20=0,0,G2/B$20)</f>
        <v>0.72941176470588232</v>
      </c>
      <c r="I2" s="57">
        <v>9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338.23529411764707</v>
      </c>
      <c r="Q2" s="76">
        <v>34</v>
      </c>
      <c r="R2" s="63">
        <v>11500</v>
      </c>
    </row>
    <row r="3" spans="1:18" x14ac:dyDescent="0.45">
      <c r="A3" s="19" t="s">
        <v>8</v>
      </c>
      <c r="B3" s="135">
        <v>277</v>
      </c>
      <c r="C3" s="136"/>
      <c r="E3" s="27" t="s">
        <v>72</v>
      </c>
      <c r="F3" s="24" t="s">
        <v>27</v>
      </c>
      <c r="G3" s="12">
        <v>50</v>
      </c>
      <c r="H3" s="88">
        <f>IF(B$20=0,0,G3/B$20)</f>
        <v>0.58823529411764708</v>
      </c>
      <c r="I3" s="58">
        <v>7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1438.2352941176471</v>
      </c>
      <c r="Q3" s="77">
        <v>34</v>
      </c>
      <c r="R3" s="64">
        <v>48900</v>
      </c>
    </row>
    <row r="4" spans="1:18" x14ac:dyDescent="0.45">
      <c r="A4" s="19" t="s">
        <v>6</v>
      </c>
      <c r="B4" s="137">
        <v>65.59999999999998</v>
      </c>
      <c r="C4" s="138"/>
      <c r="E4" s="27" t="s">
        <v>64</v>
      </c>
      <c r="F4" s="24" t="s">
        <v>20</v>
      </c>
      <c r="G4" s="12">
        <v>34</v>
      </c>
      <c r="H4" s="88">
        <f>IF(B$20=0,0,G4/B$20)</f>
        <v>0.4</v>
      </c>
      <c r="I4" s="58">
        <v>8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1991.1764705882354</v>
      </c>
      <c r="Q4" s="77">
        <v>34</v>
      </c>
      <c r="R4" s="64">
        <v>67700</v>
      </c>
    </row>
    <row r="5" spans="1:18" x14ac:dyDescent="0.45">
      <c r="A5" s="19" t="s">
        <v>7</v>
      </c>
      <c r="B5" s="125">
        <f>IF(B$2=0,0,B$4/B$2)</f>
        <v>1.9294117647058817</v>
      </c>
      <c r="C5" s="126"/>
      <c r="E5" s="27" t="s">
        <v>159</v>
      </c>
      <c r="F5" s="24" t="s">
        <v>160</v>
      </c>
      <c r="G5" s="12">
        <v>24</v>
      </c>
      <c r="H5" s="88">
        <f>IF(B$20=0,0,G5/B$20)</f>
        <v>0.28235294117647058</v>
      </c>
      <c r="I5" s="58">
        <v>10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-506.45161290322579</v>
      </c>
      <c r="Q5" s="77">
        <v>31</v>
      </c>
      <c r="R5" s="64">
        <v>-15700</v>
      </c>
    </row>
    <row r="6" spans="1:18" x14ac:dyDescent="0.45">
      <c r="A6" s="19" t="s">
        <v>196</v>
      </c>
      <c r="B6" s="129">
        <v>1515.6083269485507</v>
      </c>
      <c r="C6" s="130"/>
      <c r="E6" s="27" t="s">
        <v>67</v>
      </c>
      <c r="F6" s="24" t="s">
        <v>23</v>
      </c>
      <c r="G6" s="12">
        <v>21</v>
      </c>
      <c r="H6" s="88">
        <f>IF(B$20=0,0,G6/B$20)</f>
        <v>0.24705882352941178</v>
      </c>
      <c r="I6" s="58">
        <v>5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-1551.851851851852</v>
      </c>
      <c r="Q6" s="77">
        <v>27</v>
      </c>
      <c r="R6" s="64">
        <v>-41900</v>
      </c>
    </row>
    <row r="7" spans="1:18" x14ac:dyDescent="0.45">
      <c r="A7" s="19" t="s">
        <v>1</v>
      </c>
      <c r="B7" s="139">
        <f>IF(B$2=0,0,(B$8*1+B$9*2+B$10*3)/B$2)</f>
        <v>1.9705882352941178</v>
      </c>
      <c r="C7" s="140"/>
      <c r="E7" s="27" t="s">
        <v>68</v>
      </c>
      <c r="F7" s="24" t="s">
        <v>12</v>
      </c>
      <c r="G7" s="12">
        <v>21</v>
      </c>
      <c r="H7" s="88">
        <f>IF(B$20=0,0,G7/B$20)</f>
        <v>0.24705882352941178</v>
      </c>
      <c r="I7" s="58">
        <v>10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260</v>
      </c>
      <c r="Q7" s="78">
        <v>25</v>
      </c>
      <c r="R7" s="65">
        <v>6500</v>
      </c>
    </row>
    <row r="8" spans="1:18" x14ac:dyDescent="0.45">
      <c r="A8" s="19" t="s">
        <v>2</v>
      </c>
      <c r="B8" s="12">
        <v>13</v>
      </c>
      <c r="C8" s="6">
        <f t="shared" ref="C8:C15" si="1">IF(B$2=0,0,B8/B$2)</f>
        <v>0.38235294117647056</v>
      </c>
      <c r="E8" s="27" t="s">
        <v>89</v>
      </c>
      <c r="F8" s="24" t="s">
        <v>44</v>
      </c>
      <c r="G8" s="12">
        <v>17</v>
      </c>
      <c r="H8" s="88">
        <f>IF(B$20=0,0,G8/B$20)</f>
        <v>0.2</v>
      </c>
      <c r="I8" s="58">
        <v>3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5">
      <c r="A9" s="19" t="s">
        <v>3</v>
      </c>
      <c r="B9" s="12">
        <v>9</v>
      </c>
      <c r="C9" s="6">
        <f t="shared" si="1"/>
        <v>0.26470588235294118</v>
      </c>
      <c r="E9" s="27" t="s">
        <v>69</v>
      </c>
      <c r="F9" s="24" t="s">
        <v>24</v>
      </c>
      <c r="G9" s="12">
        <v>11</v>
      </c>
      <c r="H9" s="88">
        <f>IF(B$20=0,0,G9/B$20)</f>
        <v>0.12941176470588237</v>
      </c>
      <c r="I9" s="58">
        <v>5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12</v>
      </c>
      <c r="C10" s="7">
        <f t="shared" si="1"/>
        <v>0.35294117647058826</v>
      </c>
      <c r="E10" s="27" t="s">
        <v>71</v>
      </c>
      <c r="F10" s="24" t="s">
        <v>26</v>
      </c>
      <c r="G10" s="12">
        <v>7</v>
      </c>
      <c r="H10" s="88">
        <f>IF(B$20=0,0,G10/B$20)</f>
        <v>8.2352941176470587E-2</v>
      </c>
      <c r="I10" s="58">
        <v>1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-6.5571428571428569</v>
      </c>
      <c r="Q10" s="76">
        <v>7</v>
      </c>
      <c r="R10" s="67">
        <v>-45.9</v>
      </c>
    </row>
    <row r="11" spans="1:18" x14ac:dyDescent="0.45">
      <c r="A11" s="20" t="s">
        <v>184</v>
      </c>
      <c r="B11" s="109">
        <f>IF(B8=0,0,C11/B8)</f>
        <v>31.938461538461539</v>
      </c>
      <c r="C11" s="110">
        <v>415.2</v>
      </c>
      <c r="E11" s="27" t="s">
        <v>86</v>
      </c>
      <c r="F11" s="24" t="s">
        <v>41</v>
      </c>
      <c r="G11" s="12">
        <v>7</v>
      </c>
      <c r="H11" s="88">
        <f>IF(B$20=0,0,G11/B$20)</f>
        <v>8.2352941176470587E-2</v>
      </c>
      <c r="I11" s="58">
        <v>2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2.5250000000000008</v>
      </c>
      <c r="Q11" s="77">
        <v>12</v>
      </c>
      <c r="R11" s="68">
        <v>30.300000000000011</v>
      </c>
    </row>
    <row r="12" spans="1:18" x14ac:dyDescent="0.45">
      <c r="A12" s="20" t="s">
        <v>185</v>
      </c>
      <c r="B12" s="109">
        <f>IF(B9=0,0,C12/B9)</f>
        <v>0.86666666666666636</v>
      </c>
      <c r="C12" s="110">
        <v>7.7999999999999972</v>
      </c>
      <c r="E12" s="27" t="s">
        <v>65</v>
      </c>
      <c r="F12" s="24" t="s">
        <v>21</v>
      </c>
      <c r="G12" s="12">
        <v>5</v>
      </c>
      <c r="H12" s="88">
        <f>IF(B$20=0,0,G12/B$20)</f>
        <v>5.8823529411764705E-2</v>
      </c>
      <c r="I12" s="58">
        <v>9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5.4133333333333331</v>
      </c>
      <c r="Q12" s="78">
        <v>15</v>
      </c>
      <c r="R12" s="69">
        <v>81.2</v>
      </c>
    </row>
    <row r="13" spans="1:18" x14ac:dyDescent="0.45">
      <c r="A13" s="20" t="s">
        <v>186</v>
      </c>
      <c r="B13" s="109">
        <f>IF(B10=0,0,C13/B10)</f>
        <v>-29.783333333333335</v>
      </c>
      <c r="C13" s="110">
        <v>-357.40000000000003</v>
      </c>
      <c r="E13" s="27" t="s">
        <v>83</v>
      </c>
      <c r="F13" s="24" t="s">
        <v>38</v>
      </c>
      <c r="G13" s="12">
        <v>5</v>
      </c>
      <c r="H13" s="88">
        <f>IF(B$20=0,0,G13/B$20)</f>
        <v>5.8823529411764705E-2</v>
      </c>
      <c r="I13" s="58">
        <v>2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1.007264957264957</v>
      </c>
      <c r="C14" s="126"/>
      <c r="E14" s="27" t="s">
        <v>91</v>
      </c>
      <c r="F14" s="24" t="s">
        <v>46</v>
      </c>
      <c r="G14" s="12">
        <v>5</v>
      </c>
      <c r="H14" s="88">
        <f>IF(B$20=0,0,G14/B$20)</f>
        <v>5.8823529411764705E-2</v>
      </c>
      <c r="I14" s="58">
        <v>1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5.8823529411764705E-2</v>
      </c>
      <c r="E15" s="27" t="s">
        <v>70</v>
      </c>
      <c r="F15" s="24" t="s">
        <v>25</v>
      </c>
      <c r="G15" s="12">
        <v>4</v>
      </c>
      <c r="H15" s="88">
        <f>IF(B$20=0,0,G15/B$20)</f>
        <v>4.7058823529411764E-2</v>
      </c>
      <c r="I15" s="58">
        <v>8</v>
      </c>
      <c r="K15" s="74">
        <v>13</v>
      </c>
      <c r="L15" s="119">
        <v>65.800000000000011</v>
      </c>
      <c r="M15" s="117">
        <v>1506.4847379755383</v>
      </c>
      <c r="O15" s="73" t="s">
        <v>192</v>
      </c>
      <c r="P15" s="82">
        <f>IF(Q15=0,0,R15/Q15)</f>
        <v>28.800000000000004</v>
      </c>
      <c r="Q15" s="76">
        <v>4</v>
      </c>
      <c r="R15" s="67">
        <v>115.20000000000002</v>
      </c>
    </row>
    <row r="16" spans="1:18" x14ac:dyDescent="0.45">
      <c r="A16" s="22" t="s">
        <v>121</v>
      </c>
      <c r="B16" s="15">
        <v>57</v>
      </c>
      <c r="C16" s="10">
        <f>IF(B$3=0,0,B16/B$3)</f>
        <v>0.20577617328519857</v>
      </c>
      <c r="E16" s="27" t="s">
        <v>78</v>
      </c>
      <c r="F16" s="24" t="s">
        <v>33</v>
      </c>
      <c r="G16" s="12">
        <v>3</v>
      </c>
      <c r="H16" s="88">
        <f>IF(B$20=0,0,G16/B$20)</f>
        <v>3.5294117647058823E-2</v>
      </c>
      <c r="I16" s="58">
        <v>3</v>
      </c>
      <c r="K16" s="74">
        <v>14</v>
      </c>
      <c r="L16" s="119">
        <v>99.300000000000011</v>
      </c>
      <c r="M16" s="117">
        <v>1512.415829547685</v>
      </c>
      <c r="O16" s="74" t="s">
        <v>216</v>
      </c>
      <c r="P16" s="83">
        <f>IF(Q16=0,0,R16/Q16)</f>
        <v>16.453846153846158</v>
      </c>
      <c r="Q16" s="77">
        <v>13</v>
      </c>
      <c r="R16" s="68">
        <v>213.90000000000003</v>
      </c>
    </row>
    <row r="17" spans="1:18" x14ac:dyDescent="0.45">
      <c r="A17" s="19" t="s">
        <v>118</v>
      </c>
      <c r="B17" s="12">
        <v>65</v>
      </c>
      <c r="C17" s="6">
        <f>IF(B$3=0,0,B17/B$3)</f>
        <v>0.23465703971119134</v>
      </c>
      <c r="E17" s="27" t="s">
        <v>81</v>
      </c>
      <c r="F17" s="24" t="s">
        <v>36</v>
      </c>
      <c r="G17" s="12">
        <v>3</v>
      </c>
      <c r="H17" s="88">
        <f>IF(B$20=0,0,G17/B$20)</f>
        <v>3.5294117647058823E-2</v>
      </c>
      <c r="I17" s="58">
        <v>6</v>
      </c>
      <c r="K17" s="74">
        <v>15</v>
      </c>
      <c r="L17" s="119">
        <v>75.200000000000017</v>
      </c>
      <c r="M17" s="117">
        <v>1508.6093345703989</v>
      </c>
      <c r="O17" s="74" t="s">
        <v>221</v>
      </c>
      <c r="P17" s="83">
        <f>IF(Q17=0,0,R17/Q17)</f>
        <v>16.2</v>
      </c>
      <c r="Q17" s="77">
        <v>1</v>
      </c>
      <c r="R17" s="68">
        <v>16.2</v>
      </c>
    </row>
    <row r="18" spans="1:18" x14ac:dyDescent="0.45">
      <c r="A18" s="18" t="s">
        <v>123</v>
      </c>
      <c r="B18" s="11">
        <f>B24</f>
        <v>33</v>
      </c>
      <c r="C18" s="5">
        <f>IF(B$16=0,0,B18/B$16)</f>
        <v>0.57894736842105265</v>
      </c>
      <c r="E18" s="27" t="s">
        <v>73</v>
      </c>
      <c r="F18" s="24" t="s">
        <v>28</v>
      </c>
      <c r="G18" s="12">
        <v>2</v>
      </c>
      <c r="H18" s="88">
        <f>IF(B$20=0,0,G18/B$20)</f>
        <v>2.3529411764705882E-2</v>
      </c>
      <c r="I18" s="58">
        <v>1</v>
      </c>
      <c r="K18" s="74">
        <v>16</v>
      </c>
      <c r="L18" s="119">
        <v>83.000000000000014</v>
      </c>
      <c r="M18" s="117">
        <v>1510.5676785629764</v>
      </c>
      <c r="O18" s="74" t="s">
        <v>163</v>
      </c>
      <c r="P18" s="83">
        <f>IF(Q18=0,0,R18/Q18)</f>
        <v>3.9166666666666674</v>
      </c>
      <c r="Q18" s="77">
        <v>12</v>
      </c>
      <c r="R18" s="68">
        <v>47.000000000000007</v>
      </c>
    </row>
    <row r="19" spans="1:18" x14ac:dyDescent="0.45">
      <c r="A19" s="18" t="s">
        <v>124</v>
      </c>
      <c r="B19" s="11">
        <f>B25</f>
        <v>32</v>
      </c>
      <c r="C19" s="5">
        <f>IF(B$17=0,0,B19/B$17)</f>
        <v>0.49230769230769234</v>
      </c>
      <c r="E19" s="27" t="s">
        <v>75</v>
      </c>
      <c r="F19" s="24" t="s">
        <v>30</v>
      </c>
      <c r="G19" s="12">
        <v>1</v>
      </c>
      <c r="H19" s="88">
        <f>IF(B$20=0,0,G19/B$20)</f>
        <v>1.1764705882352941E-2</v>
      </c>
      <c r="I19" s="58">
        <v>2</v>
      </c>
      <c r="K19" s="74">
        <v>17</v>
      </c>
      <c r="L19" s="119">
        <v>81.600000000000009</v>
      </c>
      <c r="M19" s="117">
        <v>1510.8582724915987</v>
      </c>
      <c r="O19" s="74" t="s">
        <v>189</v>
      </c>
      <c r="P19" s="83">
        <f>IF(Q19=0,0,R19/Q19)</f>
        <v>-3.8333333333333344</v>
      </c>
      <c r="Q19" s="77">
        <v>6</v>
      </c>
      <c r="R19" s="68">
        <v>-23.000000000000007</v>
      </c>
    </row>
    <row r="20" spans="1:18" x14ac:dyDescent="0.45">
      <c r="A20" s="18" t="s">
        <v>10</v>
      </c>
      <c r="B20" s="11">
        <f>B23+B22</f>
        <v>85</v>
      </c>
      <c r="C20" s="5">
        <f>IF(B$3=0,0,B20/B$3)</f>
        <v>0.30685920577617326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83.2</v>
      </c>
      <c r="M20" s="117">
        <v>1512.053122856649</v>
      </c>
      <c r="O20" s="74" t="s">
        <v>126</v>
      </c>
      <c r="P20" s="83">
        <f>IF(Q20=0,0,R20/Q20)</f>
        <v>-4.1523809523809518</v>
      </c>
      <c r="Q20" s="77">
        <v>21</v>
      </c>
      <c r="R20" s="68">
        <v>-87.199999999999989</v>
      </c>
    </row>
    <row r="21" spans="1:18" x14ac:dyDescent="0.45">
      <c r="A21" s="19" t="s">
        <v>13</v>
      </c>
      <c r="B21" s="12">
        <v>37</v>
      </c>
      <c r="C21" s="6">
        <f>IF(B$3=0,0,B21/B$3)</f>
        <v>0.13357400722021662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126.80000000000001</v>
      </c>
      <c r="M21" s="117">
        <v>1520.8008041195092</v>
      </c>
      <c r="O21" s="74" t="s">
        <v>193</v>
      </c>
      <c r="P21" s="83">
        <f>IF(Q21=0,0,R21/Q21)</f>
        <v>-7.1999999999999993</v>
      </c>
      <c r="Q21" s="77">
        <v>2</v>
      </c>
      <c r="R21" s="68">
        <v>-14.399999999999999</v>
      </c>
    </row>
    <row r="22" spans="1:18" x14ac:dyDescent="0.45">
      <c r="A22" s="19" t="s">
        <v>12</v>
      </c>
      <c r="B22" s="12">
        <v>35</v>
      </c>
      <c r="C22" s="6">
        <f>IF(B$20=0,0,B22/B$20)</f>
        <v>0.41176470588235292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163</v>
      </c>
      <c r="M22" s="117">
        <v>1527.9899992947921</v>
      </c>
      <c r="O22" s="74" t="s">
        <v>190</v>
      </c>
      <c r="P22" s="83">
        <f>IF(Q22=0,0,R22/Q22)</f>
        <v>-7.6857142857142877</v>
      </c>
      <c r="Q22" s="77">
        <v>7</v>
      </c>
      <c r="R22" s="68">
        <v>-53.800000000000011</v>
      </c>
    </row>
    <row r="23" spans="1:18" x14ac:dyDescent="0.45">
      <c r="A23" s="19" t="s">
        <v>11</v>
      </c>
      <c r="B23" s="12">
        <v>50</v>
      </c>
      <c r="C23" s="6">
        <f>IF(B$20=0,0,B23/B$20)</f>
        <v>0.58823529411764708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7</v>
      </c>
      <c r="K23" s="74">
        <v>21</v>
      </c>
      <c r="L23" s="119">
        <v>116.7</v>
      </c>
      <c r="M23" s="117">
        <v>1519.9380592990233</v>
      </c>
      <c r="O23" s="74" t="s">
        <v>195</v>
      </c>
      <c r="P23" s="83">
        <f>IF(Q23=0,0,R23/Q23)</f>
        <v>-8.5500000000000007</v>
      </c>
      <c r="Q23" s="77">
        <v>2</v>
      </c>
      <c r="R23" s="68">
        <v>-17.100000000000001</v>
      </c>
    </row>
    <row r="24" spans="1:18" x14ac:dyDescent="0.45">
      <c r="A24" s="19" t="s">
        <v>183</v>
      </c>
      <c r="B24" s="12">
        <v>33</v>
      </c>
      <c r="C24" s="6">
        <f>IF(B$20=0,0,B24/B$20)</f>
        <v>0.38823529411764707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137.19999999999999</v>
      </c>
      <c r="M24" s="117">
        <v>1523.9584309432291</v>
      </c>
    </row>
    <row r="25" spans="1:18" x14ac:dyDescent="0.45">
      <c r="A25" s="19" t="s">
        <v>181</v>
      </c>
      <c r="B25" s="12">
        <v>32</v>
      </c>
      <c r="C25" s="6">
        <f>IF(B$20=0,0,B25/B$20)</f>
        <v>0.37647058823529411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139.19999999999999</v>
      </c>
      <c r="M25" s="117">
        <v>1524.7926803575697</v>
      </c>
    </row>
    <row r="26" spans="1:18" x14ac:dyDescent="0.45">
      <c r="A26" s="19" t="s">
        <v>182</v>
      </c>
      <c r="B26" s="12">
        <v>20</v>
      </c>
      <c r="C26" s="6">
        <f>IF(B$20=0,0,B26/B$20)</f>
        <v>0.23529411764705882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5">
      <c r="A27" s="19" t="s">
        <v>5</v>
      </c>
      <c r="B27" s="16">
        <f>IF(B$20=0,0,C27/B$20)</f>
        <v>7845.8823529411766</v>
      </c>
      <c r="C27" s="8">
        <v>666900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5</v>
      </c>
      <c r="K27" s="74">
        <v>25</v>
      </c>
      <c r="L27" s="119">
        <v>90.399999999999977</v>
      </c>
      <c r="M27" s="117">
        <v>1516.6351487297718</v>
      </c>
    </row>
    <row r="28" spans="1:18" x14ac:dyDescent="0.45">
      <c r="A28" s="20" t="s">
        <v>165</v>
      </c>
      <c r="B28" s="95">
        <f>IF($B$20-B$19=0,0,C28/($B$20-B$19))</f>
        <v>8150.9433962264147</v>
      </c>
      <c r="C28" s="96">
        <v>432000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123.09999999999998</v>
      </c>
      <c r="M28" s="117">
        <v>1522.6913378373931</v>
      </c>
    </row>
    <row r="29" spans="1:18" x14ac:dyDescent="0.45">
      <c r="A29" s="20" t="s">
        <v>166</v>
      </c>
      <c r="B29" s="95">
        <f>IF(B$19=0,0,C29/B$19)</f>
        <v>7340.625</v>
      </c>
      <c r="C29" s="96">
        <v>234900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5</v>
      </c>
      <c r="K29" s="74">
        <v>27</v>
      </c>
      <c r="L29" s="119">
        <v>124.79999999999998</v>
      </c>
      <c r="M29" s="117">
        <v>1523.2151898103687</v>
      </c>
    </row>
    <row r="30" spans="1:18" x14ac:dyDescent="0.45">
      <c r="A30" s="20" t="s">
        <v>164</v>
      </c>
      <c r="B30" s="95">
        <f>IF(B$21=0,0,C30/B$21)</f>
        <v>-6691.8918918918916</v>
      </c>
      <c r="C30" s="96">
        <v>-247600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106.39999999999998</v>
      </c>
      <c r="M30" s="117">
        <v>1520.3458986715063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  <c r="K31" s="74">
        <v>29</v>
      </c>
      <c r="L31" s="119">
        <v>127.89999999999998</v>
      </c>
      <c r="M31" s="117">
        <v>1524.9218232794774</v>
      </c>
    </row>
    <row r="32" spans="1:18" x14ac:dyDescent="0.45">
      <c r="A32" s="19" t="s">
        <v>158</v>
      </c>
      <c r="B32" s="12">
        <v>30</v>
      </c>
      <c r="C32" s="90">
        <v>13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164.39999999999998</v>
      </c>
      <c r="M32" s="117">
        <v>1532.1702923398004</v>
      </c>
    </row>
    <row r="33" spans="1:13" x14ac:dyDescent="0.45">
      <c r="A33" s="54" t="s">
        <v>136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119.79999999999998</v>
      </c>
      <c r="M33" s="117">
        <v>1524.7772705857617</v>
      </c>
    </row>
    <row r="34" spans="1:13" x14ac:dyDescent="0.45">
      <c r="A34" s="22" t="s">
        <v>180</v>
      </c>
      <c r="B34" s="129">
        <v>80600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100.99999999999999</v>
      </c>
      <c r="M34" s="117">
        <v>1521.8686069622472</v>
      </c>
    </row>
    <row r="35" spans="1:13" x14ac:dyDescent="0.45">
      <c r="A35" s="21" t="s">
        <v>137</v>
      </c>
      <c r="B35" s="29">
        <v>3</v>
      </c>
      <c r="C35" s="9">
        <f>IF(B$3=0,0,B35/B$3)</f>
        <v>1.0830324909747292E-2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102.59999999999998</v>
      </c>
      <c r="M35" s="117">
        <v>1522.5113953204736</v>
      </c>
    </row>
    <row r="36" spans="1:13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65.59999999999998</v>
      </c>
      <c r="M36" s="117">
        <v>1515.6083269485507</v>
      </c>
    </row>
    <row r="37" spans="1:13" x14ac:dyDescent="0.45">
      <c r="A37" s="54" t="s">
        <v>171</v>
      </c>
      <c r="B37" s="123">
        <v>7</v>
      </c>
      <c r="C37" s="98">
        <f t="shared" ref="C37:C49" si="2">IF(B$20=0,0,B37/B$20)</f>
        <v>8.2352941176470587E-2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13" x14ac:dyDescent="0.45">
      <c r="A38" s="19" t="s">
        <v>167</v>
      </c>
      <c r="B38" s="12">
        <v>19</v>
      </c>
      <c r="C38" s="6">
        <f t="shared" si="2"/>
        <v>0.22352941176470589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13" x14ac:dyDescent="0.45">
      <c r="A39" s="19" t="s">
        <v>168</v>
      </c>
      <c r="B39" s="124">
        <v>15</v>
      </c>
      <c r="C39" s="6">
        <f t="shared" si="2"/>
        <v>0.17647058823529413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13" x14ac:dyDescent="0.45">
      <c r="A40" s="19" t="s">
        <v>169</v>
      </c>
      <c r="B40" s="124">
        <v>12</v>
      </c>
      <c r="C40" s="6">
        <f t="shared" si="2"/>
        <v>0.14117647058823529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13" x14ac:dyDescent="0.45">
      <c r="A41" s="19" t="s">
        <v>170</v>
      </c>
      <c r="B41" s="124">
        <v>11</v>
      </c>
      <c r="C41" s="6">
        <f t="shared" si="2"/>
        <v>0.12941176470588237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13" x14ac:dyDescent="0.45">
      <c r="A42" s="19" t="s">
        <v>172</v>
      </c>
      <c r="B42" s="124">
        <v>9</v>
      </c>
      <c r="C42" s="6">
        <f t="shared" si="2"/>
        <v>0.10588235294117647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13" x14ac:dyDescent="0.45">
      <c r="A43" s="19" t="s">
        <v>173</v>
      </c>
      <c r="B43" s="124">
        <v>5</v>
      </c>
      <c r="C43" s="6">
        <f t="shared" si="2"/>
        <v>5.8823529411764705E-2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13" x14ac:dyDescent="0.45">
      <c r="A44" s="19" t="s">
        <v>174</v>
      </c>
      <c r="B44" s="124">
        <v>4</v>
      </c>
      <c r="C44" s="6">
        <f t="shared" si="2"/>
        <v>4.7058823529411764E-2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13" x14ac:dyDescent="0.45">
      <c r="A45" s="19" t="s">
        <v>175</v>
      </c>
      <c r="B45" s="124">
        <v>1</v>
      </c>
      <c r="C45" s="6">
        <f t="shared" si="2"/>
        <v>1.1764705882352941E-2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13" x14ac:dyDescent="0.45">
      <c r="A46" s="19" t="s">
        <v>176</v>
      </c>
      <c r="B46" s="124">
        <v>1</v>
      </c>
      <c r="C46" s="6">
        <f t="shared" si="2"/>
        <v>1.1764705882352941E-2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5">
      <c r="A47" s="19" t="s">
        <v>177</v>
      </c>
      <c r="B47" s="124">
        <v>1</v>
      </c>
      <c r="C47" s="6">
        <f t="shared" si="2"/>
        <v>1.1764705882352941E-2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2F089-D714-4333-BBF8-559A58232910}">
  <sheetPr codeName="Sheet1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38</v>
      </c>
      <c r="C2" s="134"/>
      <c r="E2" s="26" t="s">
        <v>66</v>
      </c>
      <c r="F2" s="23" t="s">
        <v>22</v>
      </c>
      <c r="G2" s="11">
        <v>84</v>
      </c>
      <c r="H2" s="87">
        <f>IF(B$20=0,0,G2/B$20)</f>
        <v>0.74336283185840712</v>
      </c>
      <c r="I2" s="57">
        <v>8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68.421052631578945</v>
      </c>
      <c r="Q2" s="76">
        <v>38</v>
      </c>
      <c r="R2" s="63">
        <v>2600</v>
      </c>
    </row>
    <row r="3" spans="1:18" x14ac:dyDescent="0.45">
      <c r="A3" s="19" t="s">
        <v>8</v>
      </c>
      <c r="B3" s="135">
        <v>326</v>
      </c>
      <c r="C3" s="136"/>
      <c r="E3" s="27" t="s">
        <v>72</v>
      </c>
      <c r="F3" s="24" t="s">
        <v>27</v>
      </c>
      <c r="G3" s="12">
        <v>72</v>
      </c>
      <c r="H3" s="88">
        <f>IF(B$20=0,0,G3/B$20)</f>
        <v>0.63716814159292035</v>
      </c>
      <c r="I3" s="58">
        <v>4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2065.7142857142858</v>
      </c>
      <c r="Q3" s="77">
        <v>35</v>
      </c>
      <c r="R3" s="64">
        <v>72300</v>
      </c>
    </row>
    <row r="4" spans="1:18" x14ac:dyDescent="0.45">
      <c r="A4" s="19" t="s">
        <v>6</v>
      </c>
      <c r="B4" s="137">
        <v>329.99999999999994</v>
      </c>
      <c r="C4" s="138"/>
      <c r="E4" s="27" t="s">
        <v>159</v>
      </c>
      <c r="F4" s="24" t="s">
        <v>160</v>
      </c>
      <c r="G4" s="12">
        <v>58</v>
      </c>
      <c r="H4" s="88">
        <f>IF(B$20=0,0,G4/B$20)</f>
        <v>0.51327433628318586</v>
      </c>
      <c r="I4" s="58">
        <v>2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77.777777777777771</v>
      </c>
      <c r="Q4" s="77">
        <v>36</v>
      </c>
      <c r="R4" s="64">
        <v>2800</v>
      </c>
    </row>
    <row r="5" spans="1:18" x14ac:dyDescent="0.45">
      <c r="A5" s="19" t="s">
        <v>7</v>
      </c>
      <c r="B5" s="125">
        <f>IF(B$2=0,0,B$4/B$2)</f>
        <v>8.6842105263157876</v>
      </c>
      <c r="C5" s="126"/>
      <c r="E5" s="27" t="s">
        <v>64</v>
      </c>
      <c r="F5" s="24" t="s">
        <v>20</v>
      </c>
      <c r="G5" s="12">
        <v>37</v>
      </c>
      <c r="H5" s="88">
        <f>IF(B$20=0,0,G5/B$20)</f>
        <v>0.32743362831858408</v>
      </c>
      <c r="I5" s="58">
        <v>9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2585.294117647059</v>
      </c>
      <c r="Q5" s="77">
        <v>34</v>
      </c>
      <c r="R5" s="64">
        <v>87900</v>
      </c>
    </row>
    <row r="6" spans="1:18" x14ac:dyDescent="0.45">
      <c r="A6" s="19" t="s">
        <v>196</v>
      </c>
      <c r="B6" s="129">
        <v>1589.912780417498</v>
      </c>
      <c r="C6" s="130"/>
      <c r="E6" s="27" t="s">
        <v>68</v>
      </c>
      <c r="F6" s="24" t="s">
        <v>12</v>
      </c>
      <c r="G6" s="12">
        <v>30</v>
      </c>
      <c r="H6" s="88">
        <f>IF(B$20=0,0,G6/B$20)</f>
        <v>0.26548672566371684</v>
      </c>
      <c r="I6" s="58">
        <v>8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1851.6129032258063</v>
      </c>
      <c r="Q6" s="77">
        <v>31</v>
      </c>
      <c r="R6" s="64">
        <v>57400</v>
      </c>
    </row>
    <row r="7" spans="1:18" x14ac:dyDescent="0.45">
      <c r="A7" s="19" t="s">
        <v>1</v>
      </c>
      <c r="B7" s="139">
        <f>IF(B$2=0,0,(B$8*1+B$9*2+B$10*3)/B$2)</f>
        <v>1.7105263157894737</v>
      </c>
      <c r="C7" s="140"/>
      <c r="E7" s="27" t="s">
        <v>70</v>
      </c>
      <c r="F7" s="24" t="s">
        <v>25</v>
      </c>
      <c r="G7" s="12">
        <v>16</v>
      </c>
      <c r="H7" s="88">
        <f>IF(B$20=0,0,G7/B$20)</f>
        <v>0.1415929203539823</v>
      </c>
      <c r="I7" s="58">
        <v>2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-32</v>
      </c>
      <c r="Q7" s="78">
        <v>25</v>
      </c>
      <c r="R7" s="65">
        <v>-800</v>
      </c>
    </row>
    <row r="8" spans="1:18" x14ac:dyDescent="0.45">
      <c r="A8" s="19" t="s">
        <v>2</v>
      </c>
      <c r="B8" s="12">
        <v>18</v>
      </c>
      <c r="C8" s="6">
        <f t="shared" ref="C8:C15" si="1">IF(B$2=0,0,B8/B$2)</f>
        <v>0.47368421052631576</v>
      </c>
      <c r="E8" s="27" t="s">
        <v>67</v>
      </c>
      <c r="F8" s="24" t="s">
        <v>23</v>
      </c>
      <c r="G8" s="12">
        <v>15</v>
      </c>
      <c r="H8" s="88">
        <f>IF(B$20=0,0,G8/B$20)</f>
        <v>0.13274336283185842</v>
      </c>
      <c r="I8" s="58">
        <v>10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5">
      <c r="A9" s="19" t="s">
        <v>3</v>
      </c>
      <c r="B9" s="12">
        <v>13</v>
      </c>
      <c r="C9" s="6">
        <f t="shared" si="1"/>
        <v>0.34210526315789475</v>
      </c>
      <c r="E9" s="27" t="s">
        <v>89</v>
      </c>
      <c r="F9" s="24" t="s">
        <v>44</v>
      </c>
      <c r="G9" s="12">
        <v>13</v>
      </c>
      <c r="H9" s="88">
        <f>IF(B$20=0,0,G9/B$20)</f>
        <v>0.11504424778761062</v>
      </c>
      <c r="I9" s="58">
        <v>10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7</v>
      </c>
      <c r="C10" s="7">
        <f t="shared" si="1"/>
        <v>0.18421052631578946</v>
      </c>
      <c r="E10" s="27" t="s">
        <v>69</v>
      </c>
      <c r="F10" s="24" t="s">
        <v>24</v>
      </c>
      <c r="G10" s="12">
        <v>9</v>
      </c>
      <c r="H10" s="88">
        <f>IF(B$20=0,0,G10/B$20)</f>
        <v>7.9646017699115043E-2</v>
      </c>
      <c r="I10" s="58">
        <v>8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16.837499999999999</v>
      </c>
      <c r="Q10" s="76">
        <v>16</v>
      </c>
      <c r="R10" s="67">
        <v>269.39999999999998</v>
      </c>
    </row>
    <row r="11" spans="1:18" x14ac:dyDescent="0.45">
      <c r="A11" s="20" t="s">
        <v>184</v>
      </c>
      <c r="B11" s="109">
        <f>IF(B8=0,0,C11/B8)</f>
        <v>35.81111111111111</v>
      </c>
      <c r="C11" s="110">
        <v>644.6</v>
      </c>
      <c r="E11" s="27" t="s">
        <v>71</v>
      </c>
      <c r="F11" s="24" t="s">
        <v>26</v>
      </c>
      <c r="G11" s="12">
        <v>9</v>
      </c>
      <c r="H11" s="88">
        <f>IF(B$20=0,0,G11/B$20)</f>
        <v>7.9646017699115043E-2</v>
      </c>
      <c r="I11" s="58">
        <v>2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0.52142857142857169</v>
      </c>
      <c r="Q11" s="77">
        <v>14</v>
      </c>
      <c r="R11" s="68">
        <v>7.3000000000000043</v>
      </c>
    </row>
    <row r="12" spans="1:18" x14ac:dyDescent="0.45">
      <c r="A12" s="20" t="s">
        <v>185</v>
      </c>
      <c r="B12" s="109">
        <f>IF(B9=0,0,C12/B9)</f>
        <v>-5.1307692307692303</v>
      </c>
      <c r="C12" s="110">
        <v>-66.699999999999989</v>
      </c>
      <c r="E12" s="27" t="s">
        <v>65</v>
      </c>
      <c r="F12" s="24" t="s">
        <v>21</v>
      </c>
      <c r="G12" s="12">
        <v>5</v>
      </c>
      <c r="H12" s="88">
        <f>IF(B$20=0,0,G12/B$20)</f>
        <v>4.4247787610619468E-2</v>
      </c>
      <c r="I12" s="58">
        <v>10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6.6624999999999996</v>
      </c>
      <c r="Q12" s="78">
        <v>8</v>
      </c>
      <c r="R12" s="69">
        <v>53.3</v>
      </c>
    </row>
    <row r="13" spans="1:18" x14ac:dyDescent="0.45">
      <c r="A13" s="20" t="s">
        <v>186</v>
      </c>
      <c r="B13" s="109">
        <f>IF(B10=0,0,C13/B10)</f>
        <v>-35.414285714285718</v>
      </c>
      <c r="C13" s="110">
        <v>-247.9</v>
      </c>
      <c r="E13" s="27" t="s">
        <v>78</v>
      </c>
      <c r="F13" s="24" t="s">
        <v>33</v>
      </c>
      <c r="G13" s="12">
        <v>4</v>
      </c>
      <c r="H13" s="88">
        <f>IF(B$20=0,0,G13/B$20)</f>
        <v>3.5398230088495575E-2</v>
      </c>
      <c r="I13" s="58">
        <v>2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-1.5779812779812801</v>
      </c>
      <c r="C14" s="126"/>
      <c r="E14" s="27" t="s">
        <v>86</v>
      </c>
      <c r="F14" s="24" t="s">
        <v>41</v>
      </c>
      <c r="G14" s="12">
        <v>4</v>
      </c>
      <c r="H14" s="88">
        <f>IF(B$20=0,0,G14/B$20)</f>
        <v>3.5398230088495575E-2</v>
      </c>
      <c r="I14" s="58">
        <v>7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5.2631578947368418E-2</v>
      </c>
      <c r="E15" s="27" t="s">
        <v>79</v>
      </c>
      <c r="F15" s="24" t="s">
        <v>34</v>
      </c>
      <c r="G15" s="12">
        <v>3</v>
      </c>
      <c r="H15" s="88">
        <f>IF(B$20=0,0,G15/B$20)</f>
        <v>2.6548672566371681E-2</v>
      </c>
      <c r="I15" s="58">
        <v>3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 t="shared" ref="P15:P22" si="2">IF(Q15=0,0,R15/Q15)</f>
        <v>36.479999999999997</v>
      </c>
      <c r="Q15" s="76">
        <v>5</v>
      </c>
      <c r="R15" s="67">
        <v>182.39999999999998</v>
      </c>
    </row>
    <row r="16" spans="1:18" x14ac:dyDescent="0.45">
      <c r="A16" s="22" t="s">
        <v>121</v>
      </c>
      <c r="B16" s="15">
        <v>68</v>
      </c>
      <c r="C16" s="10">
        <f>IF(B$3=0,0,B16/B$3)</f>
        <v>0.20858895705521471</v>
      </c>
      <c r="E16" s="27" t="s">
        <v>81</v>
      </c>
      <c r="F16" s="24" t="s">
        <v>36</v>
      </c>
      <c r="G16" s="12">
        <v>3</v>
      </c>
      <c r="H16" s="88">
        <f>IF(B$20=0,0,G16/B$20)</f>
        <v>2.6548672566371681E-2</v>
      </c>
      <c r="I16" s="58">
        <v>9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 t="shared" si="2"/>
        <v>35.1</v>
      </c>
      <c r="Q16" s="77">
        <v>1</v>
      </c>
      <c r="R16" s="68">
        <v>35.1</v>
      </c>
    </row>
    <row r="17" spans="1:18" x14ac:dyDescent="0.45">
      <c r="A17" s="19" t="s">
        <v>118</v>
      </c>
      <c r="B17" s="12">
        <v>82</v>
      </c>
      <c r="C17" s="6">
        <f>IF(B$3=0,0,B17/B$3)</f>
        <v>0.25153374233128833</v>
      </c>
      <c r="E17" s="27" t="s">
        <v>83</v>
      </c>
      <c r="F17" s="24" t="s">
        <v>38</v>
      </c>
      <c r="G17" s="12">
        <v>2</v>
      </c>
      <c r="H17" s="88">
        <f>IF(B$20=0,0,G17/B$20)</f>
        <v>1.7699115044247787E-2</v>
      </c>
      <c r="I17" s="58">
        <v>8</v>
      </c>
      <c r="K17" s="74">
        <v>15</v>
      </c>
      <c r="L17" s="119">
        <v>22.500000000000004</v>
      </c>
      <c r="M17" s="117">
        <v>1526.5944319692035</v>
      </c>
      <c r="O17" s="74" t="s">
        <v>189</v>
      </c>
      <c r="P17" s="83">
        <f t="shared" si="2"/>
        <v>19.570588235294117</v>
      </c>
      <c r="Q17" s="77">
        <v>17</v>
      </c>
      <c r="R17" s="68">
        <v>332.7</v>
      </c>
    </row>
    <row r="18" spans="1:18" x14ac:dyDescent="0.45">
      <c r="A18" s="18" t="s">
        <v>123</v>
      </c>
      <c r="B18" s="11">
        <f>B24</f>
        <v>36</v>
      </c>
      <c r="C18" s="5">
        <f>IF(B$16=0,0,B18/B$16)</f>
        <v>0.52941176470588236</v>
      </c>
      <c r="E18" s="27" t="s">
        <v>73</v>
      </c>
      <c r="F18" s="24" t="s">
        <v>28</v>
      </c>
      <c r="G18" s="12">
        <v>1</v>
      </c>
      <c r="H18" s="88">
        <f>IF(B$20=0,0,G18/B$20)</f>
        <v>8.8495575221238937E-3</v>
      </c>
      <c r="I18" s="58">
        <v>4</v>
      </c>
      <c r="K18" s="74">
        <v>16</v>
      </c>
      <c r="L18" s="119">
        <v>64.5</v>
      </c>
      <c r="M18" s="117">
        <v>1534.7448653773884</v>
      </c>
      <c r="O18" s="74" t="s">
        <v>221</v>
      </c>
      <c r="P18" s="83">
        <f t="shared" si="2"/>
        <v>17</v>
      </c>
      <c r="Q18" s="77">
        <v>1</v>
      </c>
      <c r="R18" s="68">
        <v>17</v>
      </c>
    </row>
    <row r="19" spans="1:18" x14ac:dyDescent="0.45">
      <c r="A19" s="18" t="s">
        <v>124</v>
      </c>
      <c r="B19" s="11">
        <f>B25</f>
        <v>39</v>
      </c>
      <c r="C19" s="5">
        <f>IF(B$17=0,0,B19/B$17)</f>
        <v>0.47560975609756095</v>
      </c>
      <c r="E19" s="27" t="s">
        <v>88</v>
      </c>
      <c r="F19" s="24" t="s">
        <v>43</v>
      </c>
      <c r="G19" s="12">
        <v>1</v>
      </c>
      <c r="H19" s="88">
        <f>IF(B$20=0,0,G19/B$20)</f>
        <v>8.8495575221238937E-3</v>
      </c>
      <c r="I19" s="58">
        <v>3</v>
      </c>
      <c r="K19" s="74">
        <v>17</v>
      </c>
      <c r="L19" s="119">
        <v>10.5</v>
      </c>
      <c r="M19" s="117">
        <v>1525.5663961851239</v>
      </c>
      <c r="O19" s="74" t="s">
        <v>163</v>
      </c>
      <c r="P19" s="83">
        <f t="shared" si="2"/>
        <v>14.799999999999999</v>
      </c>
      <c r="Q19" s="77">
        <v>9</v>
      </c>
      <c r="R19" s="68">
        <v>133.19999999999999</v>
      </c>
    </row>
    <row r="20" spans="1:18" x14ac:dyDescent="0.45">
      <c r="A20" s="18" t="s">
        <v>10</v>
      </c>
      <c r="B20" s="11">
        <f>B23+B22</f>
        <v>113</v>
      </c>
      <c r="C20" s="5">
        <f>IF(B$3=0,0,B20/B$3)</f>
        <v>0.34662576687116564</v>
      </c>
      <c r="E20" s="27" t="s">
        <v>92</v>
      </c>
      <c r="F20" s="24" t="s">
        <v>47</v>
      </c>
      <c r="G20" s="12">
        <v>1</v>
      </c>
      <c r="H20" s="88">
        <f>IF(B$20=0,0,G20/B$20)</f>
        <v>8.8495575221238937E-3</v>
      </c>
      <c r="I20" s="58">
        <v>1</v>
      </c>
      <c r="K20" s="74">
        <v>18</v>
      </c>
      <c r="L20" s="119">
        <v>-22.299999999999997</v>
      </c>
      <c r="M20" s="117">
        <v>1520.2589978080132</v>
      </c>
      <c r="O20" s="74" t="s">
        <v>126</v>
      </c>
      <c r="P20" s="83">
        <f t="shared" si="2"/>
        <v>11.978124999999997</v>
      </c>
      <c r="Q20" s="77">
        <v>32</v>
      </c>
      <c r="R20" s="68">
        <v>383.2999999999999</v>
      </c>
    </row>
    <row r="21" spans="1:18" x14ac:dyDescent="0.45">
      <c r="A21" s="19" t="s">
        <v>13</v>
      </c>
      <c r="B21" s="12">
        <v>39</v>
      </c>
      <c r="C21" s="6">
        <f>IF(B$3=0,0,B21/B$3)</f>
        <v>0.1196319018404908</v>
      </c>
      <c r="E21" s="27" t="s">
        <v>102</v>
      </c>
      <c r="F21" s="24" t="s">
        <v>57</v>
      </c>
      <c r="G21" s="12">
        <v>1</v>
      </c>
      <c r="H21" s="88">
        <f>IF(B$20=0,0,G21/B$20)</f>
        <v>8.8495575221238937E-3</v>
      </c>
      <c r="I21" s="58">
        <v>1</v>
      </c>
      <c r="K21" s="74">
        <v>19</v>
      </c>
      <c r="L21" s="119">
        <v>8.5000000000000036</v>
      </c>
      <c r="M21" s="117">
        <v>1526.4314438211652</v>
      </c>
      <c r="O21" s="74" t="s">
        <v>190</v>
      </c>
      <c r="P21" s="83">
        <f t="shared" si="2"/>
        <v>3.0714285714285707</v>
      </c>
      <c r="Q21" s="77">
        <v>7</v>
      </c>
      <c r="R21" s="68">
        <v>21.499999999999996</v>
      </c>
    </row>
    <row r="22" spans="1:18" x14ac:dyDescent="0.45">
      <c r="A22" s="19" t="s">
        <v>12</v>
      </c>
      <c r="B22" s="12">
        <v>47</v>
      </c>
      <c r="C22" s="6">
        <f>IF(B$20=0,0,B22/B$20)</f>
        <v>0.41592920353982299</v>
      </c>
      <c r="E22" s="27" t="s">
        <v>155</v>
      </c>
      <c r="F22" s="24" t="s">
        <v>156</v>
      </c>
      <c r="G22" s="12">
        <v>1</v>
      </c>
      <c r="H22" s="88">
        <f>IF(B$20=0,0,G22/B$20)</f>
        <v>8.8495575221238937E-3</v>
      </c>
      <c r="I22" s="58">
        <v>4</v>
      </c>
      <c r="K22" s="74">
        <v>20</v>
      </c>
      <c r="L22" s="119">
        <v>36.800000000000004</v>
      </c>
      <c r="M22" s="117">
        <v>1531.9848551582381</v>
      </c>
      <c r="O22" s="74" t="s">
        <v>211</v>
      </c>
      <c r="P22" s="83">
        <f t="shared" si="2"/>
        <v>-28.799999999999997</v>
      </c>
      <c r="Q22" s="77">
        <v>4</v>
      </c>
      <c r="R22" s="68">
        <v>-115.19999999999999</v>
      </c>
    </row>
    <row r="23" spans="1:18" x14ac:dyDescent="0.45">
      <c r="A23" s="19" t="s">
        <v>11</v>
      </c>
      <c r="B23" s="12">
        <v>66</v>
      </c>
      <c r="C23" s="6">
        <f>IF(B$20=0,0,B23/B$20)</f>
        <v>0.58407079646017701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66.2</v>
      </c>
      <c r="M23" s="117">
        <v>1537.7029460272888</v>
      </c>
    </row>
    <row r="24" spans="1:18" x14ac:dyDescent="0.45">
      <c r="A24" s="19" t="s">
        <v>183</v>
      </c>
      <c r="B24" s="12">
        <v>36</v>
      </c>
      <c r="C24" s="6">
        <f>IF(B$20=0,0,B24/B$20)</f>
        <v>0.31858407079646017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103</v>
      </c>
      <c r="M24" s="117">
        <v>1545.0727283511251</v>
      </c>
    </row>
    <row r="25" spans="1:18" x14ac:dyDescent="0.45">
      <c r="A25" s="19" t="s">
        <v>181</v>
      </c>
      <c r="B25" s="12">
        <v>39</v>
      </c>
      <c r="C25" s="6">
        <f>IF(B$20=0,0,B25/B$20)</f>
        <v>0.34513274336283184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125.1</v>
      </c>
      <c r="M25" s="117">
        <v>1549.7522919810183</v>
      </c>
    </row>
    <row r="26" spans="1:18" x14ac:dyDescent="0.45">
      <c r="A26" s="19" t="s">
        <v>182</v>
      </c>
      <c r="B26" s="12">
        <v>38</v>
      </c>
      <c r="C26" s="6">
        <f>IF(B$20=0,0,B26/B$20)</f>
        <v>0.33628318584070799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198.89999999999998</v>
      </c>
      <c r="M26" s="117">
        <v>1563.2357782291322</v>
      </c>
    </row>
    <row r="27" spans="1:18" x14ac:dyDescent="0.45">
      <c r="A27" s="19" t="s">
        <v>5</v>
      </c>
      <c r="B27" s="16">
        <f>IF(B$20=0,0,C27/B$20)</f>
        <v>7695.575221238938</v>
      </c>
      <c r="C27" s="8">
        <v>869600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230.09999999999997</v>
      </c>
      <c r="M27" s="117">
        <v>1568.9703635597573</v>
      </c>
    </row>
    <row r="28" spans="1:18" x14ac:dyDescent="0.45">
      <c r="A28" s="20" t="s">
        <v>165</v>
      </c>
      <c r="B28" s="95">
        <f>IF($B$20-B$19=0,0,C28/($B$20-B$19))</f>
        <v>9013.5135135135133</v>
      </c>
      <c r="C28" s="96">
        <v>667000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290.39999999999998</v>
      </c>
      <c r="M28" s="117">
        <v>1580.4125413783988</v>
      </c>
    </row>
    <row r="29" spans="1:18" x14ac:dyDescent="0.45">
      <c r="A29" s="20" t="s">
        <v>166</v>
      </c>
      <c r="B29" s="95">
        <f>IF(B$19=0,0,C29/B$19)</f>
        <v>5194.8717948717949</v>
      </c>
      <c r="C29" s="96">
        <v>202600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250.09999999999997</v>
      </c>
      <c r="M29" s="117">
        <v>1573.4740661301284</v>
      </c>
    </row>
    <row r="30" spans="1:18" x14ac:dyDescent="0.45">
      <c r="A30" s="20" t="s">
        <v>164</v>
      </c>
      <c r="B30" s="95">
        <f>IF(B$21=0,0,C30/B$21)</f>
        <v>-7448.7179487179483</v>
      </c>
      <c r="C30" s="96">
        <v>-290500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226.69999999999996</v>
      </c>
      <c r="M30" s="117">
        <v>1569.2712217333476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201.79999999999995</v>
      </c>
      <c r="M31" s="117">
        <v>1564.8235944029475</v>
      </c>
    </row>
    <row r="32" spans="1:18" x14ac:dyDescent="0.45">
      <c r="A32" s="19" t="s">
        <v>158</v>
      </c>
      <c r="B32" s="12">
        <v>65</v>
      </c>
      <c r="C32" s="90">
        <v>65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252.59999999999997</v>
      </c>
      <c r="M32" s="117">
        <v>1574.2506528365298</v>
      </c>
    </row>
    <row r="33" spans="1:13" x14ac:dyDescent="0.45">
      <c r="A33" s="54" t="s">
        <v>136</v>
      </c>
      <c r="B33" s="127">
        <v>7</v>
      </c>
      <c r="C33" s="128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6</v>
      </c>
      <c r="K33" s="74">
        <v>31</v>
      </c>
      <c r="L33" s="119">
        <v>297.2</v>
      </c>
      <c r="M33" s="117">
        <v>1582.5051489195105</v>
      </c>
    </row>
    <row r="34" spans="1:13" x14ac:dyDescent="0.45">
      <c r="A34" s="22" t="s">
        <v>180</v>
      </c>
      <c r="B34" s="129">
        <v>98800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293.89999999999998</v>
      </c>
      <c r="M34" s="117">
        <v>1582.0881180259935</v>
      </c>
    </row>
    <row r="35" spans="1:13" x14ac:dyDescent="0.45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324</v>
      </c>
      <c r="M35" s="117">
        <v>1587.6675893178376</v>
      </c>
    </row>
    <row r="36" spans="1:13" x14ac:dyDescent="0.45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320.7</v>
      </c>
      <c r="M36" s="117">
        <v>1587.2015837819306</v>
      </c>
    </row>
    <row r="37" spans="1:13" x14ac:dyDescent="0.45">
      <c r="A37" s="54" t="s">
        <v>171</v>
      </c>
      <c r="B37" s="123">
        <v>11</v>
      </c>
      <c r="C37" s="98">
        <f t="shared" ref="C37:C49" si="3">IF(B$20=0,0,B37/B$20)</f>
        <v>9.7345132743362831E-2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344.59999999999997</v>
      </c>
      <c r="M37" s="117">
        <v>1591.6163742792389</v>
      </c>
    </row>
    <row r="38" spans="1:13" x14ac:dyDescent="0.45">
      <c r="A38" s="19" t="s">
        <v>167</v>
      </c>
      <c r="B38" s="12">
        <v>25</v>
      </c>
      <c r="C38" s="6">
        <f t="shared" si="3"/>
        <v>0.22123893805309736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334.59999999999997</v>
      </c>
      <c r="M38" s="117">
        <v>1589.9026760335635</v>
      </c>
    </row>
    <row r="39" spans="1:13" x14ac:dyDescent="0.45">
      <c r="A39" s="19" t="s">
        <v>168</v>
      </c>
      <c r="B39" s="124">
        <v>26</v>
      </c>
      <c r="C39" s="6">
        <f t="shared" si="3"/>
        <v>0.23008849557522124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335.09999999999997</v>
      </c>
      <c r="M39" s="117">
        <v>1590.413259977362</v>
      </c>
    </row>
    <row r="40" spans="1:13" x14ac:dyDescent="0.45">
      <c r="A40" s="19" t="s">
        <v>169</v>
      </c>
      <c r="B40" s="124">
        <v>17</v>
      </c>
      <c r="C40" s="6">
        <f t="shared" si="3"/>
        <v>0.15044247787610621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329.99999999999994</v>
      </c>
      <c r="M40" s="117">
        <v>1589.912780417498</v>
      </c>
    </row>
    <row r="41" spans="1:13" x14ac:dyDescent="0.45">
      <c r="A41" s="19" t="s">
        <v>170</v>
      </c>
      <c r="B41" s="124">
        <v>17</v>
      </c>
      <c r="C41" s="6">
        <f t="shared" si="3"/>
        <v>0.15044247787610621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</row>
    <row r="42" spans="1:13" x14ac:dyDescent="0.45">
      <c r="A42" s="19" t="s">
        <v>172</v>
      </c>
      <c r="B42" s="124">
        <v>3</v>
      </c>
      <c r="C42" s="6">
        <f t="shared" si="3"/>
        <v>2.6548672566371681E-2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</row>
    <row r="43" spans="1:13" x14ac:dyDescent="0.45">
      <c r="A43" s="19" t="s">
        <v>173</v>
      </c>
      <c r="B43" s="124">
        <v>8</v>
      </c>
      <c r="C43" s="6">
        <f t="shared" si="3"/>
        <v>7.0796460176991149E-2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13" x14ac:dyDescent="0.45">
      <c r="A44" s="19" t="s">
        <v>174</v>
      </c>
      <c r="B44" s="124">
        <v>2</v>
      </c>
      <c r="C44" s="6">
        <f t="shared" si="3"/>
        <v>1.7699115044247787E-2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5">
      <c r="A45" s="19" t="s">
        <v>175</v>
      </c>
      <c r="B45" s="124">
        <v>1</v>
      </c>
      <c r="C45" s="6">
        <f t="shared" si="3"/>
        <v>8.8495575221238937E-3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5">
      <c r="A46" s="19" t="s">
        <v>176</v>
      </c>
      <c r="B46" s="124">
        <v>1</v>
      </c>
      <c r="C46" s="6">
        <f t="shared" si="3"/>
        <v>8.8495575221238937E-3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13" x14ac:dyDescent="0.45">
      <c r="A47" s="19" t="s">
        <v>177</v>
      </c>
      <c r="B47" s="124">
        <v>0</v>
      </c>
      <c r="C47" s="6">
        <f t="shared" si="3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5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2</v>
      </c>
      <c r="C49" s="9">
        <f t="shared" si="3"/>
        <v>1.7699115044247787E-2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7BCF3-B003-419F-9A01-7D54A7803046}">
  <sheetPr codeName="Sheet1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18</v>
      </c>
      <c r="C2" s="134"/>
      <c r="E2" s="26" t="s">
        <v>66</v>
      </c>
      <c r="F2" s="23" t="s">
        <v>22</v>
      </c>
      <c r="G2" s="11">
        <v>15</v>
      </c>
      <c r="H2" s="87">
        <f>IF(B$20=0,0,G2/B$20)</f>
        <v>0.5</v>
      </c>
      <c r="I2" s="57">
        <v>11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-1394.4444444444443</v>
      </c>
      <c r="Q2" s="76">
        <v>18</v>
      </c>
      <c r="R2" s="63">
        <v>-25100</v>
      </c>
    </row>
    <row r="3" spans="1:18" x14ac:dyDescent="0.45">
      <c r="A3" s="19" t="s">
        <v>8</v>
      </c>
      <c r="B3" s="135">
        <v>140</v>
      </c>
      <c r="C3" s="136"/>
      <c r="E3" s="27" t="s">
        <v>72</v>
      </c>
      <c r="F3" s="24" t="s">
        <v>27</v>
      </c>
      <c r="G3" s="12">
        <v>15</v>
      </c>
      <c r="H3" s="88">
        <f>IF(B$20=0,0,G3/B$20)</f>
        <v>0.5</v>
      </c>
      <c r="I3" s="58">
        <v>10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-1588.8888888888889</v>
      </c>
      <c r="Q3" s="77">
        <v>18</v>
      </c>
      <c r="R3" s="64">
        <v>-28600</v>
      </c>
    </row>
    <row r="4" spans="1:18" x14ac:dyDescent="0.45">
      <c r="A4" s="19" t="s">
        <v>6</v>
      </c>
      <c r="B4" s="137">
        <v>-180.3</v>
      </c>
      <c r="C4" s="138"/>
      <c r="E4" s="27" t="s">
        <v>64</v>
      </c>
      <c r="F4" s="24" t="s">
        <v>20</v>
      </c>
      <c r="G4" s="12">
        <v>13</v>
      </c>
      <c r="H4" s="88">
        <f>IF(B$20=0,0,G4/B$20)</f>
        <v>0.43333333333333335</v>
      </c>
      <c r="I4" s="58">
        <v>3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-3911.1111111111113</v>
      </c>
      <c r="Q4" s="77">
        <v>18</v>
      </c>
      <c r="R4" s="64">
        <v>-70400</v>
      </c>
    </row>
    <row r="5" spans="1:18" x14ac:dyDescent="0.45">
      <c r="A5" s="19" t="s">
        <v>7</v>
      </c>
      <c r="B5" s="125">
        <f>IF(B$2=0,0,B$4/B$2)</f>
        <v>-10.016666666666667</v>
      </c>
      <c r="C5" s="126"/>
      <c r="E5" s="27" t="s">
        <v>159</v>
      </c>
      <c r="F5" s="24" t="s">
        <v>160</v>
      </c>
      <c r="G5" s="12">
        <v>12</v>
      </c>
      <c r="H5" s="88">
        <f>IF(B$20=0,0,G5/B$20)</f>
        <v>0.4</v>
      </c>
      <c r="I5" s="58">
        <v>5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-670.58823529411768</v>
      </c>
      <c r="Q5" s="77">
        <v>17</v>
      </c>
      <c r="R5" s="64">
        <v>-11400</v>
      </c>
    </row>
    <row r="6" spans="1:18" x14ac:dyDescent="0.45">
      <c r="A6" s="19" t="s">
        <v>196</v>
      </c>
      <c r="B6" s="129">
        <v>1475.2783888604056</v>
      </c>
      <c r="C6" s="130"/>
      <c r="E6" s="27" t="s">
        <v>68</v>
      </c>
      <c r="F6" s="24" t="s">
        <v>12</v>
      </c>
      <c r="G6" s="12">
        <v>9</v>
      </c>
      <c r="H6" s="88">
        <f>IF(B$20=0,0,G6/B$20)</f>
        <v>0.3</v>
      </c>
      <c r="I6" s="58">
        <v>5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-457.14285714285717</v>
      </c>
      <c r="Q6" s="77">
        <v>14</v>
      </c>
      <c r="R6" s="64">
        <v>-6400</v>
      </c>
    </row>
    <row r="7" spans="1:18" x14ac:dyDescent="0.45">
      <c r="A7" s="19" t="s">
        <v>1</v>
      </c>
      <c r="B7" s="139">
        <f>IF(B$2=0,0,(B$8*1+B$9*2+B$10*3)/B$2)</f>
        <v>2.2222222222222223</v>
      </c>
      <c r="C7" s="140"/>
      <c r="E7" s="27" t="s">
        <v>89</v>
      </c>
      <c r="F7" s="24" t="s">
        <v>44</v>
      </c>
      <c r="G7" s="12">
        <v>6</v>
      </c>
      <c r="H7" s="88">
        <f>IF(B$20=0,0,G7/B$20)</f>
        <v>0.2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1700</v>
      </c>
      <c r="Q7" s="78">
        <v>12</v>
      </c>
      <c r="R7" s="65">
        <v>20400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0.22222222222222221</v>
      </c>
      <c r="E8" s="27" t="s">
        <v>65</v>
      </c>
      <c r="F8" s="24" t="s">
        <v>21</v>
      </c>
      <c r="G8" s="12">
        <v>5</v>
      </c>
      <c r="H8" s="88">
        <f>IF(B$20=0,0,G8/B$20)</f>
        <v>0.16666666666666666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5">
      <c r="A9" s="19" t="s">
        <v>3</v>
      </c>
      <c r="B9" s="12">
        <v>6</v>
      </c>
      <c r="C9" s="6">
        <f t="shared" si="1"/>
        <v>0.33333333333333331</v>
      </c>
      <c r="E9" s="27" t="s">
        <v>67</v>
      </c>
      <c r="F9" s="24" t="s">
        <v>23</v>
      </c>
      <c r="G9" s="12">
        <v>4</v>
      </c>
      <c r="H9" s="88">
        <f>IF(B$20=0,0,G9/B$20)</f>
        <v>0.13333333333333333</v>
      </c>
      <c r="I9" s="58">
        <v>9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8</v>
      </c>
      <c r="C10" s="7">
        <f t="shared" si="1"/>
        <v>0.44444444444444442</v>
      </c>
      <c r="E10" s="27" t="s">
        <v>70</v>
      </c>
      <c r="F10" s="24" t="s">
        <v>25</v>
      </c>
      <c r="G10" s="12">
        <v>4</v>
      </c>
      <c r="H10" s="88">
        <f>IF(B$20=0,0,G10/B$20)</f>
        <v>0.13333333333333333</v>
      </c>
      <c r="I10" s="58">
        <v>3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-13.649999999999999</v>
      </c>
      <c r="Q10" s="76">
        <v>6</v>
      </c>
      <c r="R10" s="67">
        <v>-81.899999999999991</v>
      </c>
    </row>
    <row r="11" spans="1:18" x14ac:dyDescent="0.45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-22.083333333333332</v>
      </c>
      <c r="Q11" s="77">
        <v>6</v>
      </c>
      <c r="R11" s="68">
        <v>-132.5</v>
      </c>
    </row>
    <row r="12" spans="1:18" x14ac:dyDescent="0.45">
      <c r="A12" s="20" t="s">
        <v>185</v>
      </c>
      <c r="B12" s="109">
        <f>IF(B9=0,0,C12/B9)</f>
        <v>-3.35</v>
      </c>
      <c r="C12" s="110">
        <v>-20.100000000000001</v>
      </c>
      <c r="E12" s="27" t="s">
        <v>69</v>
      </c>
      <c r="F12" s="24" t="s">
        <v>24</v>
      </c>
      <c r="G12" s="12">
        <v>2</v>
      </c>
      <c r="H12" s="88">
        <f>IF(B$20=0,0,G12/B$20)</f>
        <v>6.6666666666666666E-2</v>
      </c>
      <c r="I12" s="58">
        <v>9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5">
      <c r="A13" s="20" t="s">
        <v>186</v>
      </c>
      <c r="B13" s="109">
        <f>IF(B10=0,0,C13/B10)</f>
        <v>-39.462499999999999</v>
      </c>
      <c r="C13" s="110">
        <v>-315.7</v>
      </c>
      <c r="E13" s="27" t="s">
        <v>71</v>
      </c>
      <c r="F13" s="24" t="s">
        <v>26</v>
      </c>
      <c r="G13" s="12">
        <v>2</v>
      </c>
      <c r="H13" s="88">
        <f>IF(B$20=0,0,G13/B$20)</f>
        <v>6.6666666666666666E-2</v>
      </c>
      <c r="I13" s="58">
        <v>4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-1.3125</v>
      </c>
      <c r="C14" s="126"/>
      <c r="E14" s="27" t="s">
        <v>77</v>
      </c>
      <c r="F14" s="24" t="s">
        <v>32</v>
      </c>
      <c r="G14" s="12">
        <v>2</v>
      </c>
      <c r="H14" s="88">
        <f>IF(B$20=0,0,G14/B$20)</f>
        <v>6.6666666666666666E-2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0.1111111111111111</v>
      </c>
      <c r="E15" s="27" t="s">
        <v>81</v>
      </c>
      <c r="F15" s="24" t="s">
        <v>36</v>
      </c>
      <c r="G15" s="12">
        <v>1</v>
      </c>
      <c r="H15" s="88">
        <f>IF(B$20=0,0,G15/B$20)</f>
        <v>3.3333333333333333E-2</v>
      </c>
      <c r="I15" s="58">
        <v>8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5">
      <c r="A16" s="22" t="s">
        <v>121</v>
      </c>
      <c r="B16" s="15">
        <v>32</v>
      </c>
      <c r="C16" s="10">
        <f>IF(B$3=0,0,B16/B$3)</f>
        <v>0.22857142857142856</v>
      </c>
      <c r="E16" s="27" t="s">
        <v>85</v>
      </c>
      <c r="F16" s="24" t="s">
        <v>40</v>
      </c>
      <c r="G16" s="12">
        <v>1</v>
      </c>
      <c r="H16" s="88">
        <f>IF(B$20=0,0,G16/B$20)</f>
        <v>3.3333333333333333E-2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-11.879999999999999</v>
      </c>
      <c r="Q16" s="77">
        <v>10</v>
      </c>
      <c r="R16" s="68">
        <v>-118.8</v>
      </c>
    </row>
    <row r="17" spans="1:18" x14ac:dyDescent="0.45">
      <c r="A17" s="19" t="s">
        <v>118</v>
      </c>
      <c r="B17" s="12">
        <v>24</v>
      </c>
      <c r="C17" s="6">
        <f>IF(B$3=0,0,B17/B$3)</f>
        <v>0.17142857142857143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 t="shared" si="2"/>
        <v>-16.453846153846158</v>
      </c>
      <c r="Q17" s="77">
        <v>13</v>
      </c>
      <c r="R17" s="68">
        <v>-213.90000000000003</v>
      </c>
    </row>
    <row r="18" spans="1:18" x14ac:dyDescent="0.45">
      <c r="A18" s="18" t="s">
        <v>123</v>
      </c>
      <c r="B18" s="11">
        <f>B24</f>
        <v>14</v>
      </c>
      <c r="C18" s="5">
        <f>IF(B$16=0,0,B18/B$16)</f>
        <v>0.4375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5">
      <c r="A19" s="18" t="s">
        <v>124</v>
      </c>
      <c r="B19" s="11">
        <f>B25</f>
        <v>7</v>
      </c>
      <c r="C19" s="5">
        <f>IF(B$17=0,0,B19/B$17)</f>
        <v>0.29166666666666669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-150</v>
      </c>
      <c r="M19" s="117">
        <v>1480.3444555939693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5">
      <c r="A20" s="18" t="s">
        <v>10</v>
      </c>
      <c r="B20" s="11">
        <f>B23+B22</f>
        <v>30</v>
      </c>
      <c r="C20" s="5">
        <f>IF(B$3=0,0,B20/B$3)</f>
        <v>0.21428571428571427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-180.3</v>
      </c>
      <c r="M20" s="117">
        <v>1475.2783888604056</v>
      </c>
      <c r="O20" s="74" t="s">
        <v>163</v>
      </c>
      <c r="P20" s="83">
        <f t="shared" si="2"/>
        <v>-35.614285714285714</v>
      </c>
      <c r="Q20" s="77">
        <v>7</v>
      </c>
      <c r="R20" s="68">
        <v>-249.3</v>
      </c>
    </row>
    <row r="21" spans="1:18" x14ac:dyDescent="0.45">
      <c r="A21" s="19" t="s">
        <v>13</v>
      </c>
      <c r="B21" s="12">
        <v>29</v>
      </c>
      <c r="C21" s="6">
        <f>IF(B$3=0,0,B21/B$3)</f>
        <v>0.20714285714285716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8</v>
      </c>
    </row>
    <row r="22" spans="1:18" x14ac:dyDescent="0.45">
      <c r="A22" s="19" t="s">
        <v>12</v>
      </c>
      <c r="B22" s="12">
        <v>13</v>
      </c>
      <c r="C22" s="6">
        <f>IF(B$20=0,0,B22/B$20)</f>
        <v>0.43333333333333335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7</v>
      </c>
    </row>
    <row r="23" spans="1:18" x14ac:dyDescent="0.45">
      <c r="A23" s="19" t="s">
        <v>11</v>
      </c>
      <c r="B23" s="12">
        <v>17</v>
      </c>
      <c r="C23" s="6">
        <f>IF(B$20=0,0,B23/B$20)</f>
        <v>0.56666666666666665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5">
      <c r="A24" s="19" t="s">
        <v>183</v>
      </c>
      <c r="B24" s="12">
        <v>14</v>
      </c>
      <c r="C24" s="6">
        <f>IF(B$20=0,0,B24/B$20)</f>
        <v>0.46666666666666667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7</v>
      </c>
      <c r="C25" s="6">
        <f>IF(B$20=0,0,B25/B$20)</f>
        <v>0.23333333333333334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9</v>
      </c>
    </row>
    <row r="26" spans="1:18" x14ac:dyDescent="0.45">
      <c r="A26" s="19" t="s">
        <v>182</v>
      </c>
      <c r="B26" s="12">
        <v>9</v>
      </c>
      <c r="C26" s="6">
        <f>IF(B$20=0,0,B26/B$20)</f>
        <v>0.3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7183.333333333333</v>
      </c>
      <c r="C27" s="8">
        <v>215500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7878.260869565217</v>
      </c>
      <c r="C28" s="96">
        <v>181200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-7886.2068965517237</v>
      </c>
      <c r="C30" s="96">
        <v>-228700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17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6</v>
      </c>
      <c r="C37" s="98">
        <f t="shared" ref="C37:C49" si="3">IF(B$20=0,0,B37/B$20)</f>
        <v>0.2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6</v>
      </c>
      <c r="C38" s="6">
        <f t="shared" si="3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3"/>
        <v>3.3333333333333333E-2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6</v>
      </c>
      <c r="C40" s="6">
        <f t="shared" si="3"/>
        <v>0.2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5</v>
      </c>
      <c r="C41" s="6">
        <f t="shared" si="3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3</v>
      </c>
      <c r="C42" s="6">
        <f t="shared" si="3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3"/>
        <v>6.6666666666666666E-2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3"/>
        <v>3.3333333333333333E-2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42F72-2CE2-4F00-9BF3-2E919059608B}">
  <sheetPr codeName="Sheet2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0.875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-6625</v>
      </c>
      <c r="Q2" s="76">
        <v>4</v>
      </c>
      <c r="R2" s="63">
        <v>-26500</v>
      </c>
    </row>
    <row r="3" spans="1:18" x14ac:dyDescent="0.45">
      <c r="A3" s="19" t="s">
        <v>8</v>
      </c>
      <c r="B3" s="135">
        <v>35</v>
      </c>
      <c r="C3" s="136"/>
      <c r="E3" s="27" t="s">
        <v>66</v>
      </c>
      <c r="F3" s="24" t="s">
        <v>22</v>
      </c>
      <c r="G3" s="12">
        <v>6</v>
      </c>
      <c r="H3" s="88">
        <f>IF(B$20=0,0,G3/B$20)</f>
        <v>0.75</v>
      </c>
      <c r="I3" s="58">
        <v>7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-1125</v>
      </c>
      <c r="Q3" s="77">
        <v>4</v>
      </c>
      <c r="R3" s="64">
        <v>-4500</v>
      </c>
    </row>
    <row r="4" spans="1:18" x14ac:dyDescent="0.45">
      <c r="A4" s="19" t="s">
        <v>6</v>
      </c>
      <c r="B4" s="137">
        <v>-51.699999999999996</v>
      </c>
      <c r="C4" s="138"/>
      <c r="E4" s="27" t="s">
        <v>89</v>
      </c>
      <c r="F4" s="24" t="s">
        <v>44</v>
      </c>
      <c r="G4" s="12">
        <v>3</v>
      </c>
      <c r="H4" s="88">
        <f>IF(B$20=0,0,G4/B$20)</f>
        <v>0.375</v>
      </c>
      <c r="I4" s="58">
        <v>1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6750</v>
      </c>
      <c r="Q4" s="77">
        <v>4</v>
      </c>
      <c r="R4" s="64">
        <v>27000</v>
      </c>
    </row>
    <row r="5" spans="1:18" x14ac:dyDescent="0.45">
      <c r="A5" s="19" t="s">
        <v>7</v>
      </c>
      <c r="B5" s="125">
        <f>IF(B$2=0,0,B$4/B$2)</f>
        <v>-12.924999999999999</v>
      </c>
      <c r="C5" s="126"/>
      <c r="E5" s="27" t="s">
        <v>159</v>
      </c>
      <c r="F5" s="24" t="s">
        <v>160</v>
      </c>
      <c r="G5" s="12">
        <v>3</v>
      </c>
      <c r="H5" s="88">
        <f>IF(B$20=0,0,G5/B$20)</f>
        <v>0.375</v>
      </c>
      <c r="I5" s="58">
        <v>7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-766.66666666666663</v>
      </c>
      <c r="Q5" s="77">
        <v>3</v>
      </c>
      <c r="R5" s="64">
        <v>-2300</v>
      </c>
    </row>
    <row r="6" spans="1:18" x14ac:dyDescent="0.45">
      <c r="A6" s="19" t="s">
        <v>196</v>
      </c>
      <c r="B6" s="129">
        <v>1343.1099105729741</v>
      </c>
      <c r="C6" s="130"/>
      <c r="E6" s="27" t="s">
        <v>64</v>
      </c>
      <c r="F6" s="24" t="s">
        <v>20</v>
      </c>
      <c r="G6" s="12">
        <v>2</v>
      </c>
      <c r="H6" s="88">
        <f>IF(B$20=0,0,G6/B$20)</f>
        <v>0.25</v>
      </c>
      <c r="I6" s="58">
        <v>10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3</v>
      </c>
      <c r="R6" s="64">
        <v>-12000</v>
      </c>
    </row>
    <row r="7" spans="1:18" x14ac:dyDescent="0.45">
      <c r="A7" s="19" t="s">
        <v>1</v>
      </c>
      <c r="B7" s="139">
        <f>IF(B$2=0,0,(B$8*1+B$9*2+B$10*3)/B$2)</f>
        <v>2.25</v>
      </c>
      <c r="C7" s="140"/>
      <c r="E7" s="27" t="s">
        <v>68</v>
      </c>
      <c r="F7" s="24" t="s">
        <v>12</v>
      </c>
      <c r="G7" s="12">
        <v>2</v>
      </c>
      <c r="H7" s="88">
        <f>IF(B$20=0,0,G7/B$20)</f>
        <v>0.25</v>
      </c>
      <c r="I7" s="58">
        <v>9</v>
      </c>
      <c r="O7" s="75" t="s">
        <v>133</v>
      </c>
      <c r="P7" s="81">
        <f t="shared" si="0"/>
        <v>-7800</v>
      </c>
      <c r="Q7" s="78">
        <v>3</v>
      </c>
      <c r="R7" s="65">
        <v>-23400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0.25</v>
      </c>
      <c r="E8" s="27" t="s">
        <v>65</v>
      </c>
      <c r="F8" s="24" t="s">
        <v>21</v>
      </c>
      <c r="G8" s="12">
        <v>1</v>
      </c>
      <c r="H8" s="88">
        <f>IF(B$20=0,0,G8/B$20)</f>
        <v>0.125</v>
      </c>
      <c r="I8" s="58">
        <v>4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0.25</v>
      </c>
      <c r="E9" s="27" t="s">
        <v>81</v>
      </c>
      <c r="F9" s="24" t="s">
        <v>36</v>
      </c>
      <c r="G9" s="12">
        <v>1</v>
      </c>
      <c r="H9" s="88">
        <f>IF(B$20=0,0,G9/B$20)</f>
        <v>0.125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0.5</v>
      </c>
      <c r="E10" s="27" t="s">
        <v>83</v>
      </c>
      <c r="F10" s="24" t="s">
        <v>38</v>
      </c>
      <c r="G10" s="12">
        <v>1</v>
      </c>
      <c r="H10" s="88">
        <f>IF(B$20=0,0,G10/B$20)</f>
        <v>0.125</v>
      </c>
      <c r="I10" s="58">
        <v>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20</v>
      </c>
      <c r="C11" s="110">
        <v>20</v>
      </c>
      <c r="E11" s="27" t="s">
        <v>67</v>
      </c>
      <c r="F11" s="24" t="s">
        <v>23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20</v>
      </c>
      <c r="Q11" s="77">
        <v>1</v>
      </c>
      <c r="R11" s="68">
        <v>20</v>
      </c>
    </row>
    <row r="12" spans="1:18" x14ac:dyDescent="0.45">
      <c r="A12" s="20" t="s">
        <v>185</v>
      </c>
      <c r="B12" s="109">
        <f>IF(B9=0,0,C12/B9)</f>
        <v>3.1</v>
      </c>
      <c r="C12" s="110">
        <v>3.1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-23.899999999999995</v>
      </c>
      <c r="Q12" s="78">
        <v>3</v>
      </c>
      <c r="R12" s="69">
        <v>-71.699999999999989</v>
      </c>
    </row>
    <row r="13" spans="1:18" x14ac:dyDescent="0.45">
      <c r="A13" s="20" t="s">
        <v>186</v>
      </c>
      <c r="B13" s="109">
        <f>IF(B10=0,0,C13/B10)</f>
        <v>-37.4</v>
      </c>
      <c r="C13" s="110">
        <v>-74.8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-4.7666666666666657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211</v>
      </c>
      <c r="P15" s="82">
        <f>IF(Q15=0,0,R15/Q15)</f>
        <v>7.1999999999999993</v>
      </c>
      <c r="Q15" s="76">
        <v>2</v>
      </c>
      <c r="R15" s="67">
        <v>14.399999999999999</v>
      </c>
    </row>
    <row r="16" spans="1:18" x14ac:dyDescent="0.45">
      <c r="A16" s="22" t="s">
        <v>121</v>
      </c>
      <c r="B16" s="15">
        <v>9</v>
      </c>
      <c r="C16" s="10">
        <f>IF(B$3=0,0,B16/B$3)</f>
        <v>0.25714285714285712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216</v>
      </c>
      <c r="P16" s="83">
        <f>IF(Q16=0,0,R16/Q16)</f>
        <v>-27.925000000000004</v>
      </c>
      <c r="Q16" s="77">
        <v>4</v>
      </c>
      <c r="R16" s="68">
        <v>-111.70000000000002</v>
      </c>
    </row>
    <row r="17" spans="1:18" x14ac:dyDescent="0.45">
      <c r="A17" s="19" t="s">
        <v>118</v>
      </c>
      <c r="B17" s="12">
        <v>10</v>
      </c>
      <c r="C17" s="6">
        <f>IF(B$3=0,0,B17/B$3)</f>
        <v>0.2857142857142857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  <c r="O17" s="74" t="s">
        <v>126</v>
      </c>
      <c r="P17" s="83">
        <f>IF(Q17=0,0,R17/Q17)</f>
        <v>-28.9</v>
      </c>
      <c r="Q17" s="77">
        <v>2</v>
      </c>
      <c r="R17" s="68">
        <v>-57.8</v>
      </c>
    </row>
    <row r="18" spans="1:18" x14ac:dyDescent="0.45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3</v>
      </c>
    </row>
    <row r="20" spans="1:18" x14ac:dyDescent="0.45">
      <c r="A20" s="18" t="s">
        <v>10</v>
      </c>
      <c r="B20" s="11">
        <f>B23+B22</f>
        <v>8</v>
      </c>
      <c r="C20" s="5">
        <f>IF(B$3=0,0,B20/B$3)</f>
        <v>0.22857142857142856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8</v>
      </c>
    </row>
    <row r="21" spans="1:18" x14ac:dyDescent="0.45">
      <c r="A21" s="19" t="s">
        <v>13</v>
      </c>
      <c r="B21" s="12">
        <v>8</v>
      </c>
      <c r="C21" s="6">
        <f>IF(B$3=0,0,B21/B$3)</f>
        <v>0.22857142857142856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7</v>
      </c>
    </row>
    <row r="22" spans="1:18" x14ac:dyDescent="0.45">
      <c r="A22" s="19" t="s">
        <v>12</v>
      </c>
      <c r="B22" s="12">
        <v>2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3</v>
      </c>
    </row>
    <row r="23" spans="1:18" x14ac:dyDescent="0.45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2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4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2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8212.5</v>
      </c>
      <c r="C27" s="8">
        <v>65700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7725</v>
      </c>
      <c r="C28" s="96">
        <v>30900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8700</v>
      </c>
      <c r="C29" s="96">
        <v>34800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-9387.5</v>
      </c>
      <c r="C30" s="96">
        <v>-75100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45000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</v>
      </c>
      <c r="C38" s="6">
        <f t="shared" si="2"/>
        <v>0.25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2"/>
        <v>0.125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</v>
      </c>
      <c r="C40" s="6">
        <f t="shared" si="2"/>
        <v>0.125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2"/>
        <v>0.25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0.125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54B0B-994B-4B66-9FB9-9E7AD05D511D}">
  <sheetPr codeName="Sheet2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9</v>
      </c>
      <c r="C2" s="134"/>
      <c r="E2" s="26" t="s">
        <v>66</v>
      </c>
      <c r="F2" s="23" t="s">
        <v>22</v>
      </c>
      <c r="G2" s="11">
        <v>19</v>
      </c>
      <c r="H2" s="87">
        <f>IF(B$20=0,0,G2/B$20)</f>
        <v>0.86363636363636365</v>
      </c>
      <c r="I2" s="57">
        <v>4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-5122.2222222222226</v>
      </c>
      <c r="Q2" s="76">
        <v>9</v>
      </c>
      <c r="R2" s="63">
        <v>-46100</v>
      </c>
    </row>
    <row r="3" spans="1:18" x14ac:dyDescent="0.45">
      <c r="A3" s="19" t="s">
        <v>8</v>
      </c>
      <c r="B3" s="135">
        <v>74</v>
      </c>
      <c r="C3" s="136"/>
      <c r="E3" s="27" t="s">
        <v>159</v>
      </c>
      <c r="F3" s="24" t="s">
        <v>160</v>
      </c>
      <c r="G3" s="12">
        <v>16</v>
      </c>
      <c r="H3" s="88">
        <f>IF(B$20=0,0,G3/B$20)</f>
        <v>0.72727272727272729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7637.5</v>
      </c>
      <c r="Q3" s="77">
        <v>8</v>
      </c>
      <c r="R3" s="64">
        <v>61100</v>
      </c>
    </row>
    <row r="4" spans="1:18" x14ac:dyDescent="0.45">
      <c r="A4" s="19" t="s">
        <v>6</v>
      </c>
      <c r="B4" s="137">
        <v>-21.200000000000003</v>
      </c>
      <c r="C4" s="138"/>
      <c r="E4" s="27" t="s">
        <v>68</v>
      </c>
      <c r="F4" s="24" t="s">
        <v>12</v>
      </c>
      <c r="G4" s="12">
        <v>12</v>
      </c>
      <c r="H4" s="88">
        <f>IF(B$20=0,0,G4/B$20)</f>
        <v>0.54545454545454541</v>
      </c>
      <c r="I4" s="58">
        <v>1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-1566.6666666666667</v>
      </c>
      <c r="Q4" s="77">
        <v>9</v>
      </c>
      <c r="R4" s="64">
        <v>-14100</v>
      </c>
    </row>
    <row r="5" spans="1:18" x14ac:dyDescent="0.45">
      <c r="A5" s="19" t="s">
        <v>7</v>
      </c>
      <c r="B5" s="125">
        <f>IF(B$2=0,0,B$4/B$2)</f>
        <v>-2.3555555555555561</v>
      </c>
      <c r="C5" s="126"/>
      <c r="E5" s="27" t="s">
        <v>64</v>
      </c>
      <c r="F5" s="24" t="s">
        <v>20</v>
      </c>
      <c r="G5" s="12">
        <v>11</v>
      </c>
      <c r="H5" s="88">
        <f>IF(B$20=0,0,G5/B$20)</f>
        <v>0.5</v>
      </c>
      <c r="I5" s="58">
        <v>2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-4922.2222222222226</v>
      </c>
      <c r="Q5" s="77">
        <v>9</v>
      </c>
      <c r="R5" s="64">
        <v>-44300</v>
      </c>
    </row>
    <row r="6" spans="1:18" x14ac:dyDescent="0.45">
      <c r="A6" s="19" t="s">
        <v>196</v>
      </c>
      <c r="B6" s="129">
        <v>1397.8590871718811</v>
      </c>
      <c r="C6" s="130"/>
      <c r="E6" s="27" t="s">
        <v>72</v>
      </c>
      <c r="F6" s="24" t="s">
        <v>27</v>
      </c>
      <c r="G6" s="12">
        <v>11</v>
      </c>
      <c r="H6" s="88">
        <f>IF(B$20=0,0,G6/B$20)</f>
        <v>0.5</v>
      </c>
      <c r="I6" s="58">
        <v>10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775</v>
      </c>
      <c r="Q6" s="77">
        <v>8</v>
      </c>
      <c r="R6" s="64">
        <v>6200</v>
      </c>
    </row>
    <row r="7" spans="1:18" x14ac:dyDescent="0.45">
      <c r="A7" s="19" t="s">
        <v>1</v>
      </c>
      <c r="B7" s="139">
        <f>IF(B$2=0,0,(B$8*1+B$9*2+B$10*3)/B$2)</f>
        <v>1.8888888888888888</v>
      </c>
      <c r="C7" s="140"/>
      <c r="E7" s="27" t="s">
        <v>67</v>
      </c>
      <c r="F7" s="24" t="s">
        <v>23</v>
      </c>
      <c r="G7" s="12">
        <v>8</v>
      </c>
      <c r="H7" s="88">
        <f>IF(B$20=0,0,G7/B$20)</f>
        <v>0.36363636363636365</v>
      </c>
      <c r="I7" s="58">
        <v>1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750</v>
      </c>
      <c r="Q7" s="78">
        <v>8</v>
      </c>
      <c r="R7" s="65">
        <v>6000</v>
      </c>
    </row>
    <row r="8" spans="1:18" x14ac:dyDescent="0.45">
      <c r="A8" s="19" t="s">
        <v>2</v>
      </c>
      <c r="B8" s="12">
        <v>5</v>
      </c>
      <c r="C8" s="6">
        <f t="shared" ref="C8:C15" si="1">IF(B$2=0,0,B8/B$2)</f>
        <v>0.55555555555555558</v>
      </c>
      <c r="E8" s="27" t="s">
        <v>69</v>
      </c>
      <c r="F8" s="24" t="s">
        <v>24</v>
      </c>
      <c r="G8" s="12">
        <v>6</v>
      </c>
      <c r="H8" s="88">
        <f>IF(B$20=0,0,G8/B$20)</f>
        <v>0.27272727272727271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1"/>
        <v>0</v>
      </c>
      <c r="E9" s="27" t="s">
        <v>65</v>
      </c>
      <c r="F9" s="24" t="s">
        <v>21</v>
      </c>
      <c r="G9" s="12">
        <v>3</v>
      </c>
      <c r="H9" s="88">
        <f>IF(B$20=0,0,G9/B$20)</f>
        <v>0.13636363636363635</v>
      </c>
      <c r="I9" s="58">
        <v>3</v>
      </c>
      <c r="K9" s="74">
        <v>7</v>
      </c>
      <c r="L9" s="119">
        <v>-86.4</v>
      </c>
      <c r="M9" s="117">
        <v>1384.3245217500992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4</v>
      </c>
      <c r="C10" s="7">
        <f t="shared" si="1"/>
        <v>0.44444444444444442</v>
      </c>
      <c r="E10" s="27" t="s">
        <v>70</v>
      </c>
      <c r="F10" s="24" t="s">
        <v>25</v>
      </c>
      <c r="G10" s="12">
        <v>1</v>
      </c>
      <c r="H10" s="88">
        <f>IF(B$20=0,0,G10/B$20)</f>
        <v>4.5454545454545456E-2</v>
      </c>
      <c r="I10" s="58">
        <v>9</v>
      </c>
      <c r="K10" s="74">
        <v>8</v>
      </c>
      <c r="L10" s="119">
        <v>-45.7</v>
      </c>
      <c r="M10" s="117">
        <v>1392.9145746195986</v>
      </c>
      <c r="O10" s="73" t="s">
        <v>151</v>
      </c>
      <c r="P10" s="82">
        <f>IF(Q10=0,0,R10/Q10)</f>
        <v>-24.2</v>
      </c>
      <c r="Q10" s="76">
        <v>1</v>
      </c>
      <c r="R10" s="67">
        <v>-24.2</v>
      </c>
    </row>
    <row r="11" spans="1:18" x14ac:dyDescent="0.45">
      <c r="A11" s="20" t="s">
        <v>184</v>
      </c>
      <c r="B11" s="109">
        <f>IF(B8=0,0,C11/B8)</f>
        <v>27.879999999999995</v>
      </c>
      <c r="C11" s="110">
        <v>139.39999999999998</v>
      </c>
      <c r="E11" s="27" t="s">
        <v>75</v>
      </c>
      <c r="F11" s="24" t="s">
        <v>30</v>
      </c>
      <c r="G11" s="12">
        <v>1</v>
      </c>
      <c r="H11" s="88">
        <f>IF(B$20=0,0,G11/B$20)</f>
        <v>4.5454545454545456E-2</v>
      </c>
      <c r="I11" s="58">
        <v>1</v>
      </c>
      <c r="K11" s="74">
        <v>9</v>
      </c>
      <c r="L11" s="119">
        <v>-21.200000000000003</v>
      </c>
      <c r="M11" s="117">
        <v>1397.8590871718811</v>
      </c>
      <c r="O11" s="74" t="s">
        <v>152</v>
      </c>
      <c r="P11" s="83">
        <f>IF(Q11=0,0,R11/Q11)</f>
        <v>2.2000000000000006</v>
      </c>
      <c r="Q11" s="77">
        <v>3</v>
      </c>
      <c r="R11" s="68">
        <v>6.6000000000000014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81</v>
      </c>
      <c r="F12" s="24" t="s">
        <v>36</v>
      </c>
      <c r="G12" s="12">
        <v>1</v>
      </c>
      <c r="H12" s="88">
        <f>IF(B$20=0,0,G12/B$20)</f>
        <v>4.5454545454545456E-2</v>
      </c>
      <c r="I12" s="58">
        <v>4</v>
      </c>
      <c r="O12" s="75" t="s">
        <v>153</v>
      </c>
      <c r="P12" s="84">
        <f>IF(Q12=0,0,R12/Q12)</f>
        <v>-0.72000000000000031</v>
      </c>
      <c r="Q12" s="78">
        <v>5</v>
      </c>
      <c r="R12" s="69">
        <v>-3.6000000000000014</v>
      </c>
    </row>
    <row r="13" spans="1:18" x14ac:dyDescent="0.45">
      <c r="A13" s="20" t="s">
        <v>186</v>
      </c>
      <c r="B13" s="109">
        <f>IF(B10=0,0,C13/B10)</f>
        <v>-40.15</v>
      </c>
      <c r="C13" s="110">
        <v>-160.6</v>
      </c>
      <c r="E13" s="27" t="s">
        <v>89</v>
      </c>
      <c r="F13" s="24" t="s">
        <v>44</v>
      </c>
      <c r="G13" s="12">
        <v>1</v>
      </c>
      <c r="H13" s="88">
        <f>IF(B$20=0,0,G13/B$20)</f>
        <v>4.5454545454545456E-2</v>
      </c>
      <c r="I13" s="58">
        <v>11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-4.0900000000000007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0.22222222222222221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163</v>
      </c>
      <c r="P15" s="82">
        <f>IF(Q15=0,0,R15/Q15)</f>
        <v>39.850000000000009</v>
      </c>
      <c r="Q15" s="76">
        <v>2</v>
      </c>
      <c r="R15" s="67">
        <v>79.700000000000017</v>
      </c>
    </row>
    <row r="16" spans="1:18" x14ac:dyDescent="0.45">
      <c r="A16" s="22" t="s">
        <v>121</v>
      </c>
      <c r="B16" s="15">
        <v>16</v>
      </c>
      <c r="C16" s="10">
        <f>IF(B$3=0,0,B16/B$3)</f>
        <v>0.21621621621621623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190</v>
      </c>
      <c r="P16" s="83">
        <f>IF(Q16=0,0,R16/Q16)</f>
        <v>12</v>
      </c>
      <c r="Q16" s="77">
        <v>1</v>
      </c>
      <c r="R16" s="68">
        <v>12</v>
      </c>
    </row>
    <row r="17" spans="1:18" x14ac:dyDescent="0.45">
      <c r="A17" s="19" t="s">
        <v>118</v>
      </c>
      <c r="B17" s="12">
        <v>9</v>
      </c>
      <c r="C17" s="6">
        <f>IF(B$3=0,0,B17/B$3)</f>
        <v>0.12162162162162163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211</v>
      </c>
      <c r="P17" s="83">
        <f>IF(Q17=0,0,R17/Q17)</f>
        <v>8.5500000000000007</v>
      </c>
      <c r="Q17" s="77">
        <v>2</v>
      </c>
      <c r="R17" s="68">
        <v>17.100000000000001</v>
      </c>
    </row>
    <row r="18" spans="1:18" x14ac:dyDescent="0.45">
      <c r="A18" s="18" t="s">
        <v>123</v>
      </c>
      <c r="B18" s="11">
        <f>B24</f>
        <v>11</v>
      </c>
      <c r="C18" s="5">
        <f>IF(B$16=0,0,B18/B$16)</f>
        <v>0.6875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  <c r="O18" s="74" t="s">
        <v>221</v>
      </c>
      <c r="P18" s="83">
        <f>IF(Q18=0,0,R18/Q18)</f>
        <v>3.6500000000000004</v>
      </c>
      <c r="Q18" s="77">
        <v>2</v>
      </c>
      <c r="R18" s="68">
        <v>7.3000000000000007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0.44444444444444442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8</v>
      </c>
      <c r="O19" s="74" t="s">
        <v>126</v>
      </c>
      <c r="P19" s="83">
        <f>IF(Q19=0,0,R19/Q19)</f>
        <v>0.45000000000000046</v>
      </c>
      <c r="Q19" s="77">
        <v>6</v>
      </c>
      <c r="R19" s="68">
        <v>2.7000000000000028</v>
      </c>
    </row>
    <row r="20" spans="1:18" x14ac:dyDescent="0.45">
      <c r="A20" s="18" t="s">
        <v>10</v>
      </c>
      <c r="B20" s="11">
        <f>B23+B22</f>
        <v>22</v>
      </c>
      <c r="C20" s="5">
        <f>IF(B$3=0,0,B20/B$3)</f>
        <v>0.29729729729729731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7</v>
      </c>
      <c r="O20" s="74" t="s">
        <v>192</v>
      </c>
      <c r="P20" s="83">
        <f>IF(Q20=0,0,R20/Q20)</f>
        <v>-36.479999999999997</v>
      </c>
      <c r="Q20" s="77">
        <v>5</v>
      </c>
      <c r="R20" s="68">
        <v>-182.39999999999998</v>
      </c>
    </row>
    <row r="21" spans="1:18" x14ac:dyDescent="0.45">
      <c r="A21" s="19" t="s">
        <v>13</v>
      </c>
      <c r="B21" s="12">
        <v>11</v>
      </c>
      <c r="C21" s="6">
        <f>IF(B$3=0,0,B21/B$3)</f>
        <v>0.14864864864864866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18" x14ac:dyDescent="0.45">
      <c r="A22" s="19" t="s">
        <v>12</v>
      </c>
      <c r="B22" s="12">
        <v>12</v>
      </c>
      <c r="C22" s="6">
        <f>IF(B$20=0,0,B22/B$20)</f>
        <v>0.54545454545454541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10</v>
      </c>
      <c r="C23" s="6">
        <f>IF(B$20=0,0,B23/B$20)</f>
        <v>0.45454545454545453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5">
      <c r="A24" s="19" t="s">
        <v>183</v>
      </c>
      <c r="B24" s="12">
        <v>11</v>
      </c>
      <c r="C24" s="6">
        <f>IF(B$20=0,0,B24/B$20)</f>
        <v>0.5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4</v>
      </c>
      <c r="C25" s="6">
        <f>IF(B$20=0,0,B25/B$20)</f>
        <v>0.18181818181818182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7</v>
      </c>
      <c r="C26" s="6">
        <f>IF(B$20=0,0,B26/B$20)</f>
        <v>0.31818181818181818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8727.2727272727279</v>
      </c>
      <c r="C27" s="8">
        <v>192000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8933.3333333333339</v>
      </c>
      <c r="C28" s="96">
        <v>160800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7800</v>
      </c>
      <c r="C29" s="96">
        <v>31200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-7154.545454545455</v>
      </c>
      <c r="C30" s="96">
        <v>-78700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5">
      <c r="A31" s="19" t="s">
        <v>157</v>
      </c>
      <c r="B31" s="12">
        <v>2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16</v>
      </c>
      <c r="C32" s="90">
        <v>16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65700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1.3513513513513514E-2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4</v>
      </c>
      <c r="C38" s="6">
        <f t="shared" si="2"/>
        <v>0.18181818181818182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5</v>
      </c>
      <c r="C39" s="6">
        <f t="shared" si="2"/>
        <v>0.22727272727272727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5</v>
      </c>
      <c r="C40" s="6">
        <f t="shared" si="2"/>
        <v>0.22727272727272727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3</v>
      </c>
      <c r="C41" s="6">
        <f t="shared" si="2"/>
        <v>0.13636363636363635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3</v>
      </c>
      <c r="C42" s="6">
        <f t="shared" si="2"/>
        <v>0.13636363636363635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2"/>
        <v>9.0909090909090912E-2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1368-171F-4585-BDE9-E4BD1169404F}">
  <sheetPr codeName="Sheet2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221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</v>
      </c>
      <c r="C2" s="134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5">
      <c r="A3" s="19" t="s">
        <v>8</v>
      </c>
      <c r="B3" s="135">
        <v>18</v>
      </c>
      <c r="C3" s="136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5">
      <c r="A4" s="19" t="s">
        <v>6</v>
      </c>
      <c r="B4" s="137">
        <v>-13.5</v>
      </c>
      <c r="C4" s="138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5">
      <c r="A5" s="19" t="s">
        <v>7</v>
      </c>
      <c r="B5" s="125">
        <f>IF(B$2=0,0,B$4/B$2)</f>
        <v>-6.75</v>
      </c>
      <c r="C5" s="126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10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5">
      <c r="A6" s="19" t="s">
        <v>196</v>
      </c>
      <c r="B6" s="129">
        <v>1497.379788</v>
      </c>
      <c r="C6" s="130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4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5">
      <c r="A7" s="19" t="s">
        <v>1</v>
      </c>
      <c r="B7" s="139">
        <f>IF(B$2=0,0,(B$8*1+B$9*2+B$10*3)/B$2)</f>
        <v>2.5</v>
      </c>
      <c r="C7" s="140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5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11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10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5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-4.5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5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5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5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</row>
    <row r="19" spans="1:18" x14ac:dyDescent="0.45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7</v>
      </c>
    </row>
    <row r="20" spans="1:18" x14ac:dyDescent="0.45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3</v>
      </c>
    </row>
    <row r="21" spans="1:18" x14ac:dyDescent="0.45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11</v>
      </c>
    </row>
    <row r="22" spans="1:18" x14ac:dyDescent="0.45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5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5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39000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6419B-B8E6-4578-B5CA-AF41D426B576}">
  <sheetPr codeName="Sheet26"/>
  <dimension ref="A1:Q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5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B0188-87C9-4894-85F4-DA9C7887EC0B}">
  <sheetPr codeName="Sheet24"/>
  <dimension ref="A1:Q12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5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5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5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5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  <row r="10" spans="1:17" x14ac:dyDescent="0.45">
      <c r="A10" s="33">
        <v>7</v>
      </c>
      <c r="B10" s="30">
        <v>-86.4</v>
      </c>
      <c r="C10" s="30">
        <v>-12.342857142857143</v>
      </c>
      <c r="D10" s="35">
        <v>2.1428571428571428</v>
      </c>
      <c r="E10" s="31">
        <v>0.42857142857142855</v>
      </c>
      <c r="F10" s="31">
        <v>0.5714285714285714</v>
      </c>
      <c r="G10" s="31">
        <v>0.26315789473684209</v>
      </c>
      <c r="H10" s="31">
        <v>0.17543859649122806</v>
      </c>
      <c r="I10" s="32">
        <v>7946.666666666667</v>
      </c>
      <c r="J10" s="32">
        <v>-7480</v>
      </c>
      <c r="K10" s="31">
        <v>0.2857142857142857</v>
      </c>
      <c r="L10" s="31">
        <v>0.21052631578947367</v>
      </c>
      <c r="M10" s="31">
        <v>0.10526315789473684</v>
      </c>
      <c r="N10" s="31">
        <v>0.75</v>
      </c>
      <c r="O10" s="31">
        <v>0.33333333333333331</v>
      </c>
      <c r="P10" s="31">
        <v>0.6</v>
      </c>
    </row>
    <row r="11" spans="1:17" x14ac:dyDescent="0.45">
      <c r="A11" s="33">
        <v>8</v>
      </c>
      <c r="B11" s="30">
        <v>-45.7</v>
      </c>
      <c r="C11" s="30">
        <v>-5.7125000000000004</v>
      </c>
      <c r="D11" s="35">
        <v>2</v>
      </c>
      <c r="E11" s="31">
        <v>0.5</v>
      </c>
      <c r="F11" s="31">
        <v>0.5</v>
      </c>
      <c r="G11" s="31">
        <v>0.29230769230769232</v>
      </c>
      <c r="H11" s="31">
        <v>0.16923076923076924</v>
      </c>
      <c r="I11" s="32">
        <v>8526.3157894736851</v>
      </c>
      <c r="J11" s="32">
        <v>-7154.545454545455</v>
      </c>
      <c r="K11" s="31">
        <v>0.25</v>
      </c>
      <c r="L11" s="31">
        <v>0.2</v>
      </c>
      <c r="M11" s="31">
        <v>0.13846153846153847</v>
      </c>
      <c r="N11" s="31">
        <v>0.76923076923076927</v>
      </c>
      <c r="O11" s="31">
        <v>0.44444444444444442</v>
      </c>
      <c r="P11" s="31">
        <v>0.47368421052631576</v>
      </c>
    </row>
    <row r="12" spans="1:17" x14ac:dyDescent="0.45">
      <c r="A12" s="33">
        <v>9</v>
      </c>
      <c r="B12" s="30">
        <v>-21.200000000000003</v>
      </c>
      <c r="C12" s="30">
        <v>-2.3555555555555561</v>
      </c>
      <c r="D12" s="35">
        <v>1.8888888888888888</v>
      </c>
      <c r="E12" s="31">
        <v>0.55555555555555558</v>
      </c>
      <c r="F12" s="31">
        <v>0.44444444444444442</v>
      </c>
      <c r="G12" s="31">
        <v>0.29729729729729731</v>
      </c>
      <c r="H12" s="31">
        <v>0.14864864864864866</v>
      </c>
      <c r="I12" s="32">
        <v>8727.2727272727279</v>
      </c>
      <c r="J12" s="32">
        <v>-7154.545454545455</v>
      </c>
      <c r="K12" s="31">
        <v>0.22222222222222221</v>
      </c>
      <c r="L12" s="31">
        <v>0.21621621621621623</v>
      </c>
      <c r="M12" s="31">
        <v>0.12162162162162163</v>
      </c>
      <c r="N12" s="31">
        <v>0.6875</v>
      </c>
      <c r="O12" s="31">
        <v>0.44444444444444442</v>
      </c>
      <c r="P12" s="31">
        <v>0.54545454545454541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2DEA6-0140-44DE-BDE5-4A272D593F70}">
  <sheetPr codeName="Sheet22"/>
  <dimension ref="A1:Q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5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5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5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BF506-00EF-4F64-A889-066789A7275E}">
  <sheetPr codeName="Sheet20"/>
  <dimension ref="A1:Q21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5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5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5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5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5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5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5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5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5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5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5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5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5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5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5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  <row r="20" spans="1:16" x14ac:dyDescent="0.45">
      <c r="A20" s="33">
        <v>17</v>
      </c>
      <c r="B20" s="30">
        <v>-150</v>
      </c>
      <c r="C20" s="30">
        <v>-8.8235294117647065</v>
      </c>
      <c r="D20" s="35">
        <v>2.1764705882352939</v>
      </c>
      <c r="E20" s="31">
        <v>0.23529411764705882</v>
      </c>
      <c r="F20" s="31">
        <v>0.41176470588235292</v>
      </c>
      <c r="G20" s="31">
        <v>0.22900763358778625</v>
      </c>
      <c r="H20" s="31">
        <v>0.21374045801526717</v>
      </c>
      <c r="I20" s="32">
        <v>7183.333333333333</v>
      </c>
      <c r="J20" s="32">
        <v>-8132.1428571428569</v>
      </c>
      <c r="K20" s="31">
        <v>0.11764705882352941</v>
      </c>
      <c r="L20" s="31">
        <v>0.22900763358778625</v>
      </c>
      <c r="M20" s="31">
        <v>0.17557251908396945</v>
      </c>
      <c r="N20" s="31">
        <v>0.46666666666666667</v>
      </c>
      <c r="O20" s="31">
        <v>0.30434782608695654</v>
      </c>
      <c r="P20" s="31">
        <v>0.43333333333333335</v>
      </c>
    </row>
    <row r="21" spans="1:16" x14ac:dyDescent="0.45">
      <c r="A21" s="33">
        <v>18</v>
      </c>
      <c r="B21" s="30">
        <v>-180.3</v>
      </c>
      <c r="C21" s="30">
        <v>-10.016666666666667</v>
      </c>
      <c r="D21" s="35">
        <v>2.2222222222222223</v>
      </c>
      <c r="E21" s="31">
        <v>0.22222222222222221</v>
      </c>
      <c r="F21" s="31">
        <v>0.44444444444444442</v>
      </c>
      <c r="G21" s="31">
        <v>0.21428571428571427</v>
      </c>
      <c r="H21" s="31">
        <v>0.20714285714285716</v>
      </c>
      <c r="I21" s="32">
        <v>7183.333333333333</v>
      </c>
      <c r="J21" s="32">
        <v>-7886.2068965517237</v>
      </c>
      <c r="K21" s="31">
        <v>0.1111111111111111</v>
      </c>
      <c r="L21" s="31">
        <v>0.22857142857142856</v>
      </c>
      <c r="M21" s="31">
        <v>0.17142857142857143</v>
      </c>
      <c r="N21" s="31">
        <v>0.4375</v>
      </c>
      <c r="O21" s="31">
        <v>0.29166666666666669</v>
      </c>
      <c r="P21" s="31">
        <v>0.43333333333333335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A0CA8-74CF-4DF4-92EB-312E8B0E0C76}">
  <sheetPr codeName="Sheet18"/>
  <dimension ref="A1:Q41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5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5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5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5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5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5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5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5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5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5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5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5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5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5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5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5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5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5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5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5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5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5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5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5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5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5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5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5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5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5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  <row r="36" spans="1:16" x14ac:dyDescent="0.45">
      <c r="A36" s="33">
        <v>33</v>
      </c>
      <c r="B36" s="30">
        <v>324</v>
      </c>
      <c r="C36" s="30">
        <v>9.8181818181818183</v>
      </c>
      <c r="D36" s="35">
        <v>1.696969696969697</v>
      </c>
      <c r="E36" s="31">
        <v>0.51515151515151514</v>
      </c>
      <c r="F36" s="31">
        <v>0.21212121212121213</v>
      </c>
      <c r="G36" s="31">
        <v>0.34246575342465752</v>
      </c>
      <c r="H36" s="31">
        <v>0.13356164383561644</v>
      </c>
      <c r="I36" s="32">
        <v>7924</v>
      </c>
      <c r="J36" s="32">
        <v>-7448.7179487179483</v>
      </c>
      <c r="K36" s="31">
        <v>6.0606060606060608E-2</v>
      </c>
      <c r="L36" s="31">
        <v>0.22602739726027396</v>
      </c>
      <c r="M36" s="31">
        <v>0.26027397260273971</v>
      </c>
      <c r="N36" s="31">
        <v>0.51515151515151514</v>
      </c>
      <c r="O36" s="31">
        <v>0.47368421052631576</v>
      </c>
      <c r="P36" s="31">
        <v>0.4</v>
      </c>
    </row>
    <row r="37" spans="1:16" x14ac:dyDescent="0.45">
      <c r="A37" s="33">
        <v>34</v>
      </c>
      <c r="B37" s="30">
        <v>320.7</v>
      </c>
      <c r="C37" s="30">
        <v>9.4323529411764699</v>
      </c>
      <c r="D37" s="35">
        <v>1.7058823529411764</v>
      </c>
      <c r="E37" s="31">
        <v>0.5</v>
      </c>
      <c r="F37" s="31">
        <v>0.20588235294117646</v>
      </c>
      <c r="G37" s="31">
        <v>0.34448160535117056</v>
      </c>
      <c r="H37" s="31">
        <v>0.13043478260869565</v>
      </c>
      <c r="I37" s="32">
        <v>7923.3009708737864</v>
      </c>
      <c r="J37" s="32">
        <v>-7448.7179487179483</v>
      </c>
      <c r="K37" s="31">
        <v>5.8823529411764705E-2</v>
      </c>
      <c r="L37" s="31">
        <v>0.22408026755852842</v>
      </c>
      <c r="M37" s="31">
        <v>0.2608695652173913</v>
      </c>
      <c r="N37" s="31">
        <v>0.52238805970149249</v>
      </c>
      <c r="O37" s="31">
        <v>0.47435897435897434</v>
      </c>
      <c r="P37" s="31">
        <v>0.40776699029126212</v>
      </c>
    </row>
    <row r="38" spans="1:16" x14ac:dyDescent="0.45">
      <c r="A38" s="33">
        <v>35</v>
      </c>
      <c r="B38" s="30">
        <v>344.59999999999997</v>
      </c>
      <c r="C38" s="30">
        <v>9.8457142857142852</v>
      </c>
      <c r="D38" s="35">
        <v>1.6857142857142857</v>
      </c>
      <c r="E38" s="31">
        <v>0.51428571428571423</v>
      </c>
      <c r="F38" s="31">
        <v>0.2</v>
      </c>
      <c r="G38" s="31">
        <v>0.35294117647058826</v>
      </c>
      <c r="H38" s="31">
        <v>0.12745098039215685</v>
      </c>
      <c r="I38" s="32">
        <v>7805.5555555555557</v>
      </c>
      <c r="J38" s="32">
        <v>-7448.7179487179483</v>
      </c>
      <c r="K38" s="31">
        <v>5.7142857142857141E-2</v>
      </c>
      <c r="L38" s="31">
        <v>0.21895424836601307</v>
      </c>
      <c r="M38" s="31">
        <v>0.2581699346405229</v>
      </c>
      <c r="N38" s="31">
        <v>0.52238805970149249</v>
      </c>
      <c r="O38" s="31">
        <v>0.48101265822784811</v>
      </c>
      <c r="P38" s="31">
        <v>0.41666666666666669</v>
      </c>
    </row>
    <row r="39" spans="1:16" x14ac:dyDescent="0.45">
      <c r="A39" s="33">
        <v>36</v>
      </c>
      <c r="B39" s="30">
        <v>334.59999999999997</v>
      </c>
      <c r="C39" s="30">
        <v>9.2944444444444443</v>
      </c>
      <c r="D39" s="35">
        <v>1.6944444444444444</v>
      </c>
      <c r="E39" s="31">
        <v>0.5</v>
      </c>
      <c r="F39" s="31">
        <v>0.19444444444444445</v>
      </c>
      <c r="G39" s="31">
        <v>0.34615384615384615</v>
      </c>
      <c r="H39" s="31">
        <v>0.125</v>
      </c>
      <c r="I39" s="32">
        <v>7805.5555555555557</v>
      </c>
      <c r="J39" s="32">
        <v>-7448.7179487179483</v>
      </c>
      <c r="K39" s="31">
        <v>5.5555555555555552E-2</v>
      </c>
      <c r="L39" s="31">
        <v>0.21474358974358973</v>
      </c>
      <c r="M39" s="31">
        <v>0.25641025641025639</v>
      </c>
      <c r="N39" s="31">
        <v>0.52238805970149249</v>
      </c>
      <c r="O39" s="31">
        <v>0.47499999999999998</v>
      </c>
      <c r="P39" s="31">
        <v>0.41666666666666669</v>
      </c>
    </row>
    <row r="40" spans="1:16" x14ac:dyDescent="0.45">
      <c r="A40" s="33">
        <v>37</v>
      </c>
      <c r="B40" s="30">
        <v>335.09999999999997</v>
      </c>
      <c r="C40" s="30">
        <v>9.0567567567567551</v>
      </c>
      <c r="D40" s="35">
        <v>1.7027027027027026</v>
      </c>
      <c r="E40" s="31">
        <v>0.48648648648648651</v>
      </c>
      <c r="F40" s="31">
        <v>0.1891891891891892</v>
      </c>
      <c r="G40" s="31">
        <v>0.34579439252336447</v>
      </c>
      <c r="H40" s="31">
        <v>0.12149532710280374</v>
      </c>
      <c r="I40" s="32">
        <v>7767.5675675675675</v>
      </c>
      <c r="J40" s="32">
        <v>-7448.7179487179483</v>
      </c>
      <c r="K40" s="31">
        <v>5.4054054054054057E-2</v>
      </c>
      <c r="L40" s="31">
        <v>0.2087227414330218</v>
      </c>
      <c r="M40" s="31">
        <v>0.2554517133956386</v>
      </c>
      <c r="N40" s="31">
        <v>0.52238805970149249</v>
      </c>
      <c r="O40" s="31">
        <v>0.47560975609756095</v>
      </c>
      <c r="P40" s="31">
        <v>0.4144144144144144</v>
      </c>
    </row>
    <row r="41" spans="1:16" x14ac:dyDescent="0.45">
      <c r="A41" s="33">
        <v>38</v>
      </c>
      <c r="B41" s="30">
        <v>329.99999999999994</v>
      </c>
      <c r="C41" s="30">
        <v>8.6842105263157876</v>
      </c>
      <c r="D41" s="35">
        <v>1.7105263157894737</v>
      </c>
      <c r="E41" s="31">
        <v>0.47368421052631576</v>
      </c>
      <c r="F41" s="31">
        <v>0.18421052631578946</v>
      </c>
      <c r="G41" s="31">
        <v>0.34662576687116564</v>
      </c>
      <c r="H41" s="31">
        <v>0.1196319018404908</v>
      </c>
      <c r="I41" s="32">
        <v>7695.575221238938</v>
      </c>
      <c r="J41" s="32">
        <v>-7448.7179487179483</v>
      </c>
      <c r="K41" s="31">
        <v>5.2631578947368418E-2</v>
      </c>
      <c r="L41" s="31">
        <v>0.20858895705521471</v>
      </c>
      <c r="M41" s="31">
        <v>0.25153374233128833</v>
      </c>
      <c r="N41" s="31">
        <v>0.52941176470588236</v>
      </c>
      <c r="O41" s="31">
        <v>0.47560975609756095</v>
      </c>
      <c r="P41" s="31">
        <v>0.41592920353982299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AEE92-920B-4A70-9C5A-0A59F0437585}">
  <sheetPr codeName="Sheet16"/>
  <dimension ref="A1:Q3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5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5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5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5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5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5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5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5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5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5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5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5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5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5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5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5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5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5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5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5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5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5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5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  <row r="28" spans="1:16" x14ac:dyDescent="0.45">
      <c r="A28" s="33">
        <v>25</v>
      </c>
      <c r="B28" s="30">
        <v>90.399999999999977</v>
      </c>
      <c r="C28" s="30">
        <v>3.6159999999999992</v>
      </c>
      <c r="D28" s="35">
        <v>1.92</v>
      </c>
      <c r="E28" s="31">
        <v>0.4</v>
      </c>
      <c r="F28" s="31">
        <v>0.32</v>
      </c>
      <c r="G28" s="31">
        <v>0.31282051282051282</v>
      </c>
      <c r="H28" s="31">
        <v>0.15384615384615385</v>
      </c>
      <c r="I28" s="32">
        <v>8293.442622950819</v>
      </c>
      <c r="J28" s="32">
        <v>-6940</v>
      </c>
      <c r="K28" s="31">
        <v>0.08</v>
      </c>
      <c r="L28" s="31">
        <v>0.2153846153846154</v>
      </c>
      <c r="M28" s="31">
        <v>0.23589743589743589</v>
      </c>
      <c r="N28" s="31">
        <v>0.5714285714285714</v>
      </c>
      <c r="O28" s="31">
        <v>0.52173913043478259</v>
      </c>
      <c r="P28" s="31">
        <v>0.39344262295081966</v>
      </c>
    </row>
    <row r="29" spans="1:16" x14ac:dyDescent="0.45">
      <c r="A29" s="33">
        <v>26</v>
      </c>
      <c r="B29" s="30">
        <v>123.09999999999998</v>
      </c>
      <c r="C29" s="30">
        <v>4.7346153846153838</v>
      </c>
      <c r="D29" s="35">
        <v>1.8846153846153846</v>
      </c>
      <c r="E29" s="31">
        <v>0.42307692307692307</v>
      </c>
      <c r="F29" s="31">
        <v>0.30769230769230771</v>
      </c>
      <c r="G29" s="31">
        <v>0.31862745098039214</v>
      </c>
      <c r="H29" s="31">
        <v>0.14705882352941177</v>
      </c>
      <c r="I29" s="32">
        <v>8015.3846153846152</v>
      </c>
      <c r="J29" s="32">
        <v>-6940</v>
      </c>
      <c r="K29" s="31">
        <v>7.6923076923076927E-2</v>
      </c>
      <c r="L29" s="31">
        <v>0.21568627450980393</v>
      </c>
      <c r="M29" s="31">
        <v>0.24019607843137256</v>
      </c>
      <c r="N29" s="31">
        <v>0.56818181818181823</v>
      </c>
      <c r="O29" s="31">
        <v>0.51020408163265307</v>
      </c>
      <c r="P29" s="31">
        <v>0.4</v>
      </c>
    </row>
    <row r="30" spans="1:16" x14ac:dyDescent="0.45">
      <c r="A30" s="33">
        <v>27</v>
      </c>
      <c r="B30" s="30">
        <v>124.79999999999998</v>
      </c>
      <c r="C30" s="30">
        <v>4.6222222222222218</v>
      </c>
      <c r="D30" s="35">
        <v>1.8888888888888888</v>
      </c>
      <c r="E30" s="31">
        <v>0.40740740740740738</v>
      </c>
      <c r="F30" s="31">
        <v>0.29629629629629628</v>
      </c>
      <c r="G30" s="31">
        <v>0.32863849765258218</v>
      </c>
      <c r="H30" s="31">
        <v>0.14553990610328638</v>
      </c>
      <c r="I30" s="32">
        <v>7895.7142857142853</v>
      </c>
      <c r="J30" s="32">
        <v>-7103.2258064516127</v>
      </c>
      <c r="K30" s="31">
        <v>7.407407407407407E-2</v>
      </c>
      <c r="L30" s="31">
        <v>0.20657276995305165</v>
      </c>
      <c r="M30" s="31">
        <v>0.23943661971830985</v>
      </c>
      <c r="N30" s="31">
        <v>0.56818181818181823</v>
      </c>
      <c r="O30" s="31">
        <v>0.52941176470588236</v>
      </c>
      <c r="P30" s="31">
        <v>0.38571428571428573</v>
      </c>
    </row>
    <row r="31" spans="1:16" x14ac:dyDescent="0.45">
      <c r="A31" s="33">
        <v>28</v>
      </c>
      <c r="B31" s="30">
        <v>106.39999999999998</v>
      </c>
      <c r="C31" s="30">
        <v>3.7999999999999994</v>
      </c>
      <c r="D31" s="35">
        <v>1.9285714285714286</v>
      </c>
      <c r="E31" s="31">
        <v>0.39285714285714285</v>
      </c>
      <c r="F31" s="31">
        <v>0.32142857142857145</v>
      </c>
      <c r="G31" s="31">
        <v>0.32126696832579188</v>
      </c>
      <c r="H31" s="31">
        <v>0.14479638009049775</v>
      </c>
      <c r="I31" s="32">
        <v>7802.8169014084506</v>
      </c>
      <c r="J31" s="32">
        <v>-6971.875</v>
      </c>
      <c r="K31" s="31">
        <v>7.1428571428571425E-2</v>
      </c>
      <c r="L31" s="31">
        <v>0.20361990950226244</v>
      </c>
      <c r="M31" s="31">
        <v>0.23981900452488689</v>
      </c>
      <c r="N31" s="31">
        <v>0.57777777777777772</v>
      </c>
      <c r="O31" s="31">
        <v>0.50943396226415094</v>
      </c>
      <c r="P31" s="31">
        <v>0.38028169014084506</v>
      </c>
    </row>
    <row r="32" spans="1:16" x14ac:dyDescent="0.45">
      <c r="A32" s="33">
        <v>29</v>
      </c>
      <c r="B32" s="30">
        <v>127.89999999999998</v>
      </c>
      <c r="C32" s="30">
        <v>4.4103448275862061</v>
      </c>
      <c r="D32" s="35">
        <v>1.896551724137931</v>
      </c>
      <c r="E32" s="31">
        <v>0.41379310344827586</v>
      </c>
      <c r="F32" s="31">
        <v>0.31034482758620691</v>
      </c>
      <c r="G32" s="31">
        <v>0.32327586206896552</v>
      </c>
      <c r="H32" s="31">
        <v>0.14655172413793102</v>
      </c>
      <c r="I32" s="32">
        <v>7929.333333333333</v>
      </c>
      <c r="J32" s="32">
        <v>-6911.7647058823532</v>
      </c>
      <c r="K32" s="31">
        <v>6.8965517241379309E-2</v>
      </c>
      <c r="L32" s="31">
        <v>0.20258620689655171</v>
      </c>
      <c r="M32" s="31">
        <v>0.23706896551724138</v>
      </c>
      <c r="N32" s="31">
        <v>0.5957446808510638</v>
      </c>
      <c r="O32" s="31">
        <v>0.52727272727272723</v>
      </c>
      <c r="P32" s="31">
        <v>0.4</v>
      </c>
    </row>
    <row r="33" spans="1:16" x14ac:dyDescent="0.45">
      <c r="A33" s="33">
        <v>30</v>
      </c>
      <c r="B33" s="30">
        <v>164.39999999999998</v>
      </c>
      <c r="C33" s="30">
        <v>5.4799999999999995</v>
      </c>
      <c r="D33" s="35">
        <v>1.8666666666666667</v>
      </c>
      <c r="E33" s="31">
        <v>0.43333333333333335</v>
      </c>
      <c r="F33" s="31">
        <v>0.3</v>
      </c>
      <c r="G33" s="31">
        <v>0.33054393305439328</v>
      </c>
      <c r="H33" s="31">
        <v>0.14225941422594143</v>
      </c>
      <c r="I33" s="32">
        <v>7898.7341772151894</v>
      </c>
      <c r="J33" s="32">
        <v>-6911.7647058823532</v>
      </c>
      <c r="K33" s="31">
        <v>6.6666666666666666E-2</v>
      </c>
      <c r="L33" s="31">
        <v>0.20083682008368201</v>
      </c>
      <c r="M33" s="31">
        <v>0.24267782426778242</v>
      </c>
      <c r="N33" s="31">
        <v>0.60416666666666663</v>
      </c>
      <c r="O33" s="31">
        <v>0.53448275862068961</v>
      </c>
      <c r="P33" s="31">
        <v>0.4050632911392405</v>
      </c>
    </row>
    <row r="34" spans="1:16" x14ac:dyDescent="0.45">
      <c r="A34" s="33">
        <v>31</v>
      </c>
      <c r="B34" s="30">
        <v>119.79999999999998</v>
      </c>
      <c r="C34" s="30">
        <v>3.8645161290322574</v>
      </c>
      <c r="D34" s="35">
        <v>1.903225806451613</v>
      </c>
      <c r="E34" s="31">
        <v>0.41935483870967744</v>
      </c>
      <c r="F34" s="31">
        <v>0.32258064516129031</v>
      </c>
      <c r="G34" s="31">
        <v>0.31872509960159362</v>
      </c>
      <c r="H34" s="31">
        <v>0.1394422310756972</v>
      </c>
      <c r="I34" s="32">
        <v>7840</v>
      </c>
      <c r="J34" s="32">
        <v>-6771.4285714285716</v>
      </c>
      <c r="K34" s="31">
        <v>6.4516129032258063E-2</v>
      </c>
      <c r="L34" s="31">
        <v>0.20717131474103587</v>
      </c>
      <c r="M34" s="31">
        <v>0.23904382470119523</v>
      </c>
      <c r="N34" s="31">
        <v>0.57692307692307687</v>
      </c>
      <c r="O34" s="31">
        <v>0.51666666666666672</v>
      </c>
      <c r="P34" s="31">
        <v>0.4</v>
      </c>
    </row>
    <row r="35" spans="1:16" x14ac:dyDescent="0.45">
      <c r="A35" s="33">
        <v>32</v>
      </c>
      <c r="B35" s="30">
        <v>100.99999999999999</v>
      </c>
      <c r="C35" s="30">
        <v>3.1562499999999996</v>
      </c>
      <c r="D35" s="35">
        <v>1.9375</v>
      </c>
      <c r="E35" s="31">
        <v>0.40625</v>
      </c>
      <c r="F35" s="31">
        <v>0.34375</v>
      </c>
      <c r="G35" s="31">
        <v>0.31417624521072796</v>
      </c>
      <c r="H35" s="31">
        <v>0.13793103448275862</v>
      </c>
      <c r="I35" s="32">
        <v>7892.6829268292686</v>
      </c>
      <c r="J35" s="32">
        <v>-6805.5555555555557</v>
      </c>
      <c r="K35" s="31">
        <v>6.25E-2</v>
      </c>
      <c r="L35" s="31">
        <v>0.20306513409961685</v>
      </c>
      <c r="M35" s="31">
        <v>0.23754789272030652</v>
      </c>
      <c r="N35" s="31">
        <v>0.58490566037735847</v>
      </c>
      <c r="O35" s="31">
        <v>0.5</v>
      </c>
      <c r="P35" s="31">
        <v>0.40243902439024393</v>
      </c>
    </row>
    <row r="36" spans="1:16" x14ac:dyDescent="0.45">
      <c r="A36" s="33">
        <v>33</v>
      </c>
      <c r="B36" s="30">
        <v>102.59999999999998</v>
      </c>
      <c r="C36" s="30">
        <v>3.1090909090909085</v>
      </c>
      <c r="D36" s="35">
        <v>1.9393939393939394</v>
      </c>
      <c r="E36" s="31">
        <v>0.39393939393939392</v>
      </c>
      <c r="F36" s="31">
        <v>0.33333333333333331</v>
      </c>
      <c r="G36" s="31">
        <v>0.31343283582089554</v>
      </c>
      <c r="H36" s="31">
        <v>0.13805970149253732</v>
      </c>
      <c r="I36" s="32">
        <v>7891.666666666667</v>
      </c>
      <c r="J36" s="32">
        <v>-6691.8918918918916</v>
      </c>
      <c r="K36" s="31">
        <v>6.0606060606060608E-2</v>
      </c>
      <c r="L36" s="31">
        <v>0.20522388059701493</v>
      </c>
      <c r="M36" s="31">
        <v>0.24253731343283583</v>
      </c>
      <c r="N36" s="31">
        <v>0.58181818181818179</v>
      </c>
      <c r="O36" s="31">
        <v>0.49230769230769234</v>
      </c>
      <c r="P36" s="31">
        <v>0.40476190476190477</v>
      </c>
    </row>
    <row r="37" spans="1:16" x14ac:dyDescent="0.45">
      <c r="A37" s="33">
        <v>34</v>
      </c>
      <c r="B37" s="30">
        <v>65.59999999999998</v>
      </c>
      <c r="C37" s="30">
        <v>1.9294117647058817</v>
      </c>
      <c r="D37" s="35">
        <v>1.9705882352941178</v>
      </c>
      <c r="E37" s="31">
        <v>0.38235294117647056</v>
      </c>
      <c r="F37" s="31">
        <v>0.35294117647058826</v>
      </c>
      <c r="G37" s="31">
        <v>0.30685920577617326</v>
      </c>
      <c r="H37" s="31">
        <v>0.13357400722021662</v>
      </c>
      <c r="I37" s="32">
        <v>7845.8823529411766</v>
      </c>
      <c r="J37" s="32">
        <v>-6691.8918918918916</v>
      </c>
      <c r="K37" s="31">
        <v>5.8823529411764705E-2</v>
      </c>
      <c r="L37" s="31">
        <v>0.20577617328519857</v>
      </c>
      <c r="M37" s="31">
        <v>0.23465703971119134</v>
      </c>
      <c r="N37" s="31">
        <v>0.57894736842105265</v>
      </c>
      <c r="O37" s="31">
        <v>0.49230769230769234</v>
      </c>
      <c r="P37" s="31">
        <v>0.41176470588235292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23A6E-89C4-41B9-ADF1-DF16E443D252}">
  <sheetPr codeName="Sheet14"/>
  <dimension ref="A1:Q22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5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5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5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5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5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5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5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5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  <row r="14" spans="1:17" x14ac:dyDescent="0.45">
      <c r="A14" s="33">
        <v>11</v>
      </c>
      <c r="B14" s="30">
        <v>-108.9</v>
      </c>
      <c r="C14" s="30">
        <v>-9.9</v>
      </c>
      <c r="D14" s="35">
        <v>2.2727272727272729</v>
      </c>
      <c r="E14" s="31">
        <v>9.0909090909090912E-2</v>
      </c>
      <c r="F14" s="31">
        <v>0.36363636363636365</v>
      </c>
      <c r="G14" s="31">
        <v>0.22093023255813954</v>
      </c>
      <c r="H14" s="31">
        <v>9.3023255813953487E-2</v>
      </c>
      <c r="I14" s="32">
        <v>6452.6315789473683</v>
      </c>
      <c r="J14" s="32">
        <v>-4812.5</v>
      </c>
      <c r="K14" s="31">
        <v>9.0909090909090912E-2</v>
      </c>
      <c r="L14" s="31">
        <v>0.2441860465116279</v>
      </c>
      <c r="M14" s="31">
        <v>0.19767441860465115</v>
      </c>
      <c r="N14" s="31">
        <v>0.52380952380952384</v>
      </c>
      <c r="O14" s="31">
        <v>0.41176470588235292</v>
      </c>
      <c r="P14" s="31">
        <v>0.15789473684210525</v>
      </c>
    </row>
    <row r="15" spans="1:17" x14ac:dyDescent="0.45">
      <c r="A15" s="33">
        <v>12</v>
      </c>
      <c r="B15" s="30">
        <v>-92.100000000000009</v>
      </c>
      <c r="C15" s="30">
        <v>-7.6750000000000007</v>
      </c>
      <c r="D15" s="35">
        <v>2.1666666666666665</v>
      </c>
      <c r="E15" s="31">
        <v>0.16666666666666666</v>
      </c>
      <c r="F15" s="31">
        <v>0.33333333333333331</v>
      </c>
      <c r="G15" s="31">
        <v>0.23404255319148937</v>
      </c>
      <c r="H15" s="31">
        <v>9.5744680851063829E-2</v>
      </c>
      <c r="I15" s="32">
        <v>6600</v>
      </c>
      <c r="J15" s="32">
        <v>-5611.1111111111113</v>
      </c>
      <c r="K15" s="31">
        <v>8.3333333333333329E-2</v>
      </c>
      <c r="L15" s="31">
        <v>0.24468085106382978</v>
      </c>
      <c r="M15" s="31">
        <v>0.19148936170212766</v>
      </c>
      <c r="N15" s="31">
        <v>0.56521739130434778</v>
      </c>
      <c r="O15" s="31">
        <v>0.44444444444444442</v>
      </c>
      <c r="P15" s="31">
        <v>0.13636363636363635</v>
      </c>
    </row>
    <row r="16" spans="1:17" x14ac:dyDescent="0.45">
      <c r="A16" s="33">
        <v>13</v>
      </c>
      <c r="B16" s="30">
        <v>-93.500000000000014</v>
      </c>
      <c r="C16" s="30">
        <v>-7.1923076923076934</v>
      </c>
      <c r="D16" s="35">
        <v>2.1538461538461537</v>
      </c>
      <c r="E16" s="31">
        <v>0.15384615384615385</v>
      </c>
      <c r="F16" s="31">
        <v>0.30769230769230771</v>
      </c>
      <c r="G16" s="31">
        <v>0.22641509433962265</v>
      </c>
      <c r="H16" s="31">
        <v>0.10377358490566038</v>
      </c>
      <c r="I16" s="32">
        <v>7050</v>
      </c>
      <c r="J16" s="32">
        <v>-5827.272727272727</v>
      </c>
      <c r="K16" s="31">
        <v>7.6923076923076927E-2</v>
      </c>
      <c r="L16" s="31">
        <v>0.22641509433962265</v>
      </c>
      <c r="M16" s="31">
        <v>0.18867924528301888</v>
      </c>
      <c r="N16" s="31">
        <v>0.54166666666666663</v>
      </c>
      <c r="O16" s="31">
        <v>0.45</v>
      </c>
      <c r="P16" s="31">
        <v>0.125</v>
      </c>
    </row>
    <row r="17" spans="1:16" x14ac:dyDescent="0.45">
      <c r="A17" s="33">
        <v>14</v>
      </c>
      <c r="B17" s="30">
        <v>-79.200000000000017</v>
      </c>
      <c r="C17" s="30">
        <v>-5.6571428571428584</v>
      </c>
      <c r="D17" s="35">
        <v>2.0714285714285716</v>
      </c>
      <c r="E17" s="31">
        <v>0.21428571428571427</v>
      </c>
      <c r="F17" s="31">
        <v>0.2857142857142857</v>
      </c>
      <c r="G17" s="31">
        <v>0.23008849557522124</v>
      </c>
      <c r="H17" s="31">
        <v>9.7345132743362831E-2</v>
      </c>
      <c r="I17" s="32">
        <v>7003.8461538461543</v>
      </c>
      <c r="J17" s="32">
        <v>-5827.272727272727</v>
      </c>
      <c r="K17" s="31">
        <v>7.1428571428571425E-2</v>
      </c>
      <c r="L17" s="31">
        <v>0.23893805309734514</v>
      </c>
      <c r="M17" s="31">
        <v>0.18584070796460178</v>
      </c>
      <c r="N17" s="31">
        <v>0.51851851851851849</v>
      </c>
      <c r="O17" s="31">
        <v>0.47619047619047616</v>
      </c>
      <c r="P17" s="31">
        <v>0.11538461538461539</v>
      </c>
    </row>
    <row r="18" spans="1:16" x14ac:dyDescent="0.45">
      <c r="A18" s="33">
        <v>15</v>
      </c>
      <c r="B18" s="30">
        <v>-44.200000000000017</v>
      </c>
      <c r="C18" s="30">
        <v>-2.9466666666666677</v>
      </c>
      <c r="D18" s="35">
        <v>2</v>
      </c>
      <c r="E18" s="31">
        <v>0.26666666666666666</v>
      </c>
      <c r="F18" s="31">
        <v>0.26666666666666666</v>
      </c>
      <c r="G18" s="31">
        <v>0.24166666666666667</v>
      </c>
      <c r="H18" s="31">
        <v>0.1</v>
      </c>
      <c r="I18" s="32">
        <v>7451.7241379310344</v>
      </c>
      <c r="J18" s="32">
        <v>-6008.333333333333</v>
      </c>
      <c r="K18" s="31">
        <v>6.6666666666666666E-2</v>
      </c>
      <c r="L18" s="31">
        <v>0.24166666666666667</v>
      </c>
      <c r="M18" s="31">
        <v>0.18333333333333332</v>
      </c>
      <c r="N18" s="31">
        <v>0.55172413793103448</v>
      </c>
      <c r="O18" s="31">
        <v>0.5</v>
      </c>
      <c r="P18" s="31">
        <v>0.13793103448275862</v>
      </c>
    </row>
    <row r="19" spans="1:16" x14ac:dyDescent="0.45">
      <c r="A19" s="33">
        <v>16</v>
      </c>
      <c r="B19" s="30">
        <v>-49.800000000000018</v>
      </c>
      <c r="C19" s="30">
        <v>-3.1125000000000012</v>
      </c>
      <c r="D19" s="35">
        <v>2</v>
      </c>
      <c r="E19" s="31">
        <v>0.25</v>
      </c>
      <c r="F19" s="31">
        <v>0.25</v>
      </c>
      <c r="G19" s="31">
        <v>0.23255813953488372</v>
      </c>
      <c r="H19" s="31">
        <v>0.10852713178294573</v>
      </c>
      <c r="I19" s="32">
        <v>7376.666666666667</v>
      </c>
      <c r="J19" s="32">
        <v>-5385.7142857142853</v>
      </c>
      <c r="K19" s="31">
        <v>6.25E-2</v>
      </c>
      <c r="L19" s="31">
        <v>0.23255813953488372</v>
      </c>
      <c r="M19" s="31">
        <v>0.19379844961240311</v>
      </c>
      <c r="N19" s="31">
        <v>0.56666666666666665</v>
      </c>
      <c r="O19" s="31">
        <v>0.44</v>
      </c>
      <c r="P19" s="31">
        <v>0.13333333333333333</v>
      </c>
    </row>
    <row r="20" spans="1:16" x14ac:dyDescent="0.45">
      <c r="A20" s="33">
        <v>17</v>
      </c>
      <c r="B20" s="30">
        <v>-47.800000000000018</v>
      </c>
      <c r="C20" s="30">
        <v>-2.8117647058823541</v>
      </c>
      <c r="D20" s="35">
        <v>2</v>
      </c>
      <c r="E20" s="31">
        <v>0.23529411764705882</v>
      </c>
      <c r="F20" s="31">
        <v>0.23529411764705882</v>
      </c>
      <c r="G20" s="31">
        <v>0.22794117647058823</v>
      </c>
      <c r="H20" s="31">
        <v>0.10294117647058823</v>
      </c>
      <c r="I20" s="32">
        <v>7654.8387096774195</v>
      </c>
      <c r="J20" s="32">
        <v>-5385.7142857142853</v>
      </c>
      <c r="K20" s="31">
        <v>5.8823529411764705E-2</v>
      </c>
      <c r="L20" s="31">
        <v>0.22058823529411764</v>
      </c>
      <c r="M20" s="31">
        <v>0.20588235294117646</v>
      </c>
      <c r="N20" s="31">
        <v>0.56666666666666665</v>
      </c>
      <c r="O20" s="31">
        <v>0.39285714285714285</v>
      </c>
      <c r="P20" s="31">
        <v>0.12903225806451613</v>
      </c>
    </row>
    <row r="21" spans="1:16" x14ac:dyDescent="0.45">
      <c r="A21" s="33">
        <v>18</v>
      </c>
      <c r="B21" s="30">
        <v>-22.100000000000019</v>
      </c>
      <c r="C21" s="30">
        <v>-1.2277777777777787</v>
      </c>
      <c r="D21" s="35">
        <v>1.9444444444444444</v>
      </c>
      <c r="E21" s="31">
        <v>0.27777777777777779</v>
      </c>
      <c r="F21" s="31">
        <v>0.22222222222222221</v>
      </c>
      <c r="G21" s="31">
        <v>0.24657534246575341</v>
      </c>
      <c r="H21" s="31">
        <v>0.10273972602739725</v>
      </c>
      <c r="I21" s="32">
        <v>7791.666666666667</v>
      </c>
      <c r="J21" s="32">
        <v>-5560</v>
      </c>
      <c r="K21" s="31">
        <v>5.5555555555555552E-2</v>
      </c>
      <c r="L21" s="31">
        <v>0.23287671232876711</v>
      </c>
      <c r="M21" s="31">
        <v>0.19178082191780821</v>
      </c>
      <c r="N21" s="31">
        <v>0.61764705882352944</v>
      </c>
      <c r="O21" s="31">
        <v>0.39285714285714285</v>
      </c>
      <c r="P21" s="31">
        <v>0.16666666666666666</v>
      </c>
    </row>
    <row r="22" spans="1:16" x14ac:dyDescent="0.45">
      <c r="A22" s="33">
        <v>19</v>
      </c>
      <c r="B22" s="30">
        <v>-9.6000000000000192</v>
      </c>
      <c r="C22" s="30">
        <v>-0.50526315789473786</v>
      </c>
      <c r="D22" s="35">
        <v>1.9473684210526316</v>
      </c>
      <c r="E22" s="31">
        <v>0.26315789473684209</v>
      </c>
      <c r="F22" s="31">
        <v>0.21052631578947367</v>
      </c>
      <c r="G22" s="31">
        <v>0.24516129032258063</v>
      </c>
      <c r="H22" s="31">
        <v>9.6774193548387094E-2</v>
      </c>
      <c r="I22" s="32">
        <v>8118.4210526315792</v>
      </c>
      <c r="J22" s="32">
        <v>-5560</v>
      </c>
      <c r="K22" s="31">
        <v>5.2631578947368418E-2</v>
      </c>
      <c r="L22" s="31">
        <v>0.23225806451612904</v>
      </c>
      <c r="M22" s="31">
        <v>0.2</v>
      </c>
      <c r="N22" s="31">
        <v>0.58333333333333337</v>
      </c>
      <c r="O22" s="31">
        <v>0.38709677419354838</v>
      </c>
      <c r="P22" s="31">
        <v>0.21052631578947367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A71FC-2D2D-4931-B45C-2343D01D655B}">
  <sheetPr codeName="Sheet12"/>
  <dimension ref="A1:Q38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5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5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5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5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5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5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5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5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5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5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5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5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5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5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5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5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5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5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5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5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5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5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  <row r="27" spans="1:16" x14ac:dyDescent="0.45">
      <c r="A27" s="33">
        <v>24</v>
      </c>
      <c r="B27" s="30">
        <v>16.79999999999999</v>
      </c>
      <c r="C27" s="30">
        <v>0.69999999999999962</v>
      </c>
      <c r="D27" s="35">
        <v>1.9166666666666667</v>
      </c>
      <c r="E27" s="31">
        <v>0.375</v>
      </c>
      <c r="F27" s="31">
        <v>0.29166666666666669</v>
      </c>
      <c r="G27" s="31">
        <v>0.2927927927927928</v>
      </c>
      <c r="H27" s="31">
        <v>0.16216216216216217</v>
      </c>
      <c r="I27" s="32">
        <v>6852.3076923076924</v>
      </c>
      <c r="J27" s="32">
        <v>-7022.2222222222226</v>
      </c>
      <c r="K27" s="31">
        <v>4.1666666666666664E-2</v>
      </c>
      <c r="L27" s="31">
        <v>0.25675675675675674</v>
      </c>
      <c r="M27" s="31">
        <v>0.29729729729729731</v>
      </c>
      <c r="N27" s="31">
        <v>0.42105263157894735</v>
      </c>
      <c r="O27" s="31">
        <v>0.40909090909090912</v>
      </c>
      <c r="P27" s="31">
        <v>0.52307692307692311</v>
      </c>
    </row>
    <row r="28" spans="1:16" x14ac:dyDescent="0.45">
      <c r="A28" s="33">
        <v>25</v>
      </c>
      <c r="B28" s="30">
        <v>60.699999999999989</v>
      </c>
      <c r="C28" s="30">
        <v>2.4279999999999995</v>
      </c>
      <c r="D28" s="35">
        <v>1.88</v>
      </c>
      <c r="E28" s="31">
        <v>0.4</v>
      </c>
      <c r="F28" s="31">
        <v>0.28000000000000003</v>
      </c>
      <c r="G28" s="31">
        <v>0.30303030303030304</v>
      </c>
      <c r="H28" s="31">
        <v>0.16450216450216451</v>
      </c>
      <c r="I28" s="32">
        <v>6882.8571428571431</v>
      </c>
      <c r="J28" s="32">
        <v>-6915.7894736842109</v>
      </c>
      <c r="K28" s="31">
        <v>0.04</v>
      </c>
      <c r="L28" s="31">
        <v>0.25541125541125542</v>
      </c>
      <c r="M28" s="31">
        <v>0.30735930735930733</v>
      </c>
      <c r="N28" s="31">
        <v>0.44067796610169491</v>
      </c>
      <c r="O28" s="31">
        <v>0.42253521126760563</v>
      </c>
      <c r="P28" s="31">
        <v>0.51428571428571423</v>
      </c>
    </row>
    <row r="29" spans="1:16" x14ac:dyDescent="0.45">
      <c r="A29" s="33">
        <v>26</v>
      </c>
      <c r="B29" s="30">
        <v>25.599999999999987</v>
      </c>
      <c r="C29" s="30">
        <v>0.98461538461538411</v>
      </c>
      <c r="D29" s="35">
        <v>1.9230769230769231</v>
      </c>
      <c r="E29" s="31">
        <v>0.38461538461538464</v>
      </c>
      <c r="F29" s="31">
        <v>0.30769230769230771</v>
      </c>
      <c r="G29" s="31">
        <v>0.30543933054393307</v>
      </c>
      <c r="H29" s="31">
        <v>0.16736401673640167</v>
      </c>
      <c r="I29" s="32">
        <v>6920.5479452054797</v>
      </c>
      <c r="J29" s="32">
        <v>-7370</v>
      </c>
      <c r="K29" s="31">
        <v>3.8461538461538464E-2</v>
      </c>
      <c r="L29" s="31">
        <v>0.26359832635983266</v>
      </c>
      <c r="M29" s="31">
        <v>0.29707112970711297</v>
      </c>
      <c r="N29" s="31">
        <v>0.46031746031746029</v>
      </c>
      <c r="O29" s="31">
        <v>0.42253521126760563</v>
      </c>
      <c r="P29" s="31">
        <v>0.49315068493150682</v>
      </c>
    </row>
    <row r="30" spans="1:16" x14ac:dyDescent="0.45">
      <c r="A30" s="33">
        <v>27</v>
      </c>
      <c r="B30" s="30">
        <v>17.199999999999989</v>
      </c>
      <c r="C30" s="30">
        <v>0.63703703703703662</v>
      </c>
      <c r="D30" s="35">
        <v>1.9259259259259258</v>
      </c>
      <c r="E30" s="31">
        <v>0.37037037037037035</v>
      </c>
      <c r="F30" s="31">
        <v>0.29629629629629628</v>
      </c>
      <c r="G30" s="31">
        <v>0.30645161290322581</v>
      </c>
      <c r="H30" s="31">
        <v>0.17741935483870969</v>
      </c>
      <c r="I30" s="32">
        <v>7063.1578947368425</v>
      </c>
      <c r="J30" s="32">
        <v>-7518.181818181818</v>
      </c>
      <c r="K30" s="31">
        <v>3.7037037037037035E-2</v>
      </c>
      <c r="L30" s="31">
        <v>0.27016129032258063</v>
      </c>
      <c r="M30" s="31">
        <v>0.29435483870967744</v>
      </c>
      <c r="N30" s="31">
        <v>0.46268656716417911</v>
      </c>
      <c r="O30" s="31">
        <v>0.42465753424657532</v>
      </c>
      <c r="P30" s="31">
        <v>0.47368421052631576</v>
      </c>
    </row>
    <row r="31" spans="1:16" x14ac:dyDescent="0.45">
      <c r="A31" s="33">
        <v>28</v>
      </c>
      <c r="B31" s="30">
        <v>61.199999999999989</v>
      </c>
      <c r="C31" s="30">
        <v>2.1857142857142855</v>
      </c>
      <c r="D31" s="35">
        <v>1.8928571428571428</v>
      </c>
      <c r="E31" s="31">
        <v>0.39285714285714285</v>
      </c>
      <c r="F31" s="31">
        <v>0.2857142857142857</v>
      </c>
      <c r="G31" s="31">
        <v>0.30588235294117649</v>
      </c>
      <c r="H31" s="31">
        <v>0.17254901960784313</v>
      </c>
      <c r="I31" s="32">
        <v>7446.1538461538457</v>
      </c>
      <c r="J31" s="32">
        <v>-7518.181818181818</v>
      </c>
      <c r="K31" s="31">
        <v>3.5714285714285712E-2</v>
      </c>
      <c r="L31" s="31">
        <v>0.27450980392156865</v>
      </c>
      <c r="M31" s="31">
        <v>0.29803921568627451</v>
      </c>
      <c r="N31" s="31">
        <v>0.47142857142857142</v>
      </c>
      <c r="O31" s="31">
        <v>0.40789473684210525</v>
      </c>
      <c r="P31" s="31">
        <v>0.48717948717948717</v>
      </c>
    </row>
    <row r="32" spans="1:16" x14ac:dyDescent="0.45">
      <c r="A32" s="33">
        <v>29</v>
      </c>
      <c r="B32" s="30">
        <v>36.699999999999989</v>
      </c>
      <c r="C32" s="30">
        <v>1.2655172413793099</v>
      </c>
      <c r="D32" s="35">
        <v>1.9310344827586208</v>
      </c>
      <c r="E32" s="31">
        <v>0.37931034482758619</v>
      </c>
      <c r="F32" s="31">
        <v>0.31034482758620691</v>
      </c>
      <c r="G32" s="31">
        <v>0.29770992366412213</v>
      </c>
      <c r="H32" s="31">
        <v>0.16793893129770993</v>
      </c>
      <c r="I32" s="32">
        <v>7446.1538461538457</v>
      </c>
      <c r="J32" s="32">
        <v>-7518.181818181818</v>
      </c>
      <c r="K32" s="31">
        <v>3.4482758620689655E-2</v>
      </c>
      <c r="L32" s="31">
        <v>0.26717557251908397</v>
      </c>
      <c r="M32" s="31">
        <v>0.29770992366412213</v>
      </c>
      <c r="N32" s="31">
        <v>0.47142857142857142</v>
      </c>
      <c r="O32" s="31">
        <v>0.39743589743589741</v>
      </c>
      <c r="P32" s="31">
        <v>0.48717948717948717</v>
      </c>
    </row>
    <row r="33" spans="1:16" x14ac:dyDescent="0.45">
      <c r="A33" s="33">
        <v>30</v>
      </c>
      <c r="B33" s="30">
        <v>11.199999999999989</v>
      </c>
      <c r="C33" s="30">
        <v>0.37333333333333296</v>
      </c>
      <c r="D33" s="35">
        <v>1.9666666666666666</v>
      </c>
      <c r="E33" s="31">
        <v>0.36666666666666664</v>
      </c>
      <c r="F33" s="31">
        <v>0.33333333333333331</v>
      </c>
      <c r="G33" s="31">
        <v>0.29477611940298509</v>
      </c>
      <c r="H33" s="31">
        <v>0.17164179104477612</v>
      </c>
      <c r="I33" s="32">
        <v>7453.164556962025</v>
      </c>
      <c r="J33" s="32">
        <v>-7539.130434782609</v>
      </c>
      <c r="K33" s="31">
        <v>3.3333333333333333E-2</v>
      </c>
      <c r="L33" s="31">
        <v>0.27238805970149255</v>
      </c>
      <c r="M33" s="31">
        <v>0.29477611940298509</v>
      </c>
      <c r="N33" s="31">
        <v>0.46575342465753422</v>
      </c>
      <c r="O33" s="31">
        <v>0.39240506329113922</v>
      </c>
      <c r="P33" s="31">
        <v>0.49367088607594939</v>
      </c>
    </row>
    <row r="34" spans="1:16" x14ac:dyDescent="0.45">
      <c r="A34" s="33">
        <v>31</v>
      </c>
      <c r="B34" s="30">
        <v>13.599999999999989</v>
      </c>
      <c r="C34" s="30">
        <v>0.43870967741935446</v>
      </c>
      <c r="D34" s="35">
        <v>1.967741935483871</v>
      </c>
      <c r="E34" s="31">
        <v>0.35483870967741937</v>
      </c>
      <c r="F34" s="31">
        <v>0.32258064516129031</v>
      </c>
      <c r="G34" s="31">
        <v>0.30072463768115942</v>
      </c>
      <c r="H34" s="31">
        <v>0.17753623188405798</v>
      </c>
      <c r="I34" s="32">
        <v>7419.2771084337346</v>
      </c>
      <c r="J34" s="32">
        <v>-7620.408163265306</v>
      </c>
      <c r="K34" s="31">
        <v>3.2258064516129031E-2</v>
      </c>
      <c r="L34" s="31">
        <v>0.27898550724637683</v>
      </c>
      <c r="M34" s="31">
        <v>0.29347826086956524</v>
      </c>
      <c r="N34" s="31">
        <v>0.48051948051948051</v>
      </c>
      <c r="O34" s="31">
        <v>0.39506172839506171</v>
      </c>
      <c r="P34" s="31">
        <v>0.48192771084337349</v>
      </c>
    </row>
    <row r="35" spans="1:16" x14ac:dyDescent="0.45">
      <c r="A35" s="33">
        <v>32</v>
      </c>
      <c r="B35" s="30">
        <v>-9.3000000000000096</v>
      </c>
      <c r="C35" s="30">
        <v>-0.2906250000000003</v>
      </c>
      <c r="D35" s="35">
        <v>2</v>
      </c>
      <c r="E35" s="31">
        <v>0.34375</v>
      </c>
      <c r="F35" s="31">
        <v>0.34375</v>
      </c>
      <c r="G35" s="31">
        <v>0.29577464788732394</v>
      </c>
      <c r="H35" s="31">
        <v>0.176056338028169</v>
      </c>
      <c r="I35" s="32">
        <v>7473.8095238095239</v>
      </c>
      <c r="J35" s="32">
        <v>-7708</v>
      </c>
      <c r="K35" s="31">
        <v>3.125E-2</v>
      </c>
      <c r="L35" s="31">
        <v>0.27464788732394368</v>
      </c>
      <c r="M35" s="31">
        <v>0.29577464788732394</v>
      </c>
      <c r="N35" s="31">
        <v>0.47435897435897434</v>
      </c>
      <c r="O35" s="31">
        <v>0.38095238095238093</v>
      </c>
      <c r="P35" s="31">
        <v>0.48809523809523808</v>
      </c>
    </row>
    <row r="36" spans="1:16" x14ac:dyDescent="0.45">
      <c r="A36" s="33">
        <v>33</v>
      </c>
      <c r="B36" s="30">
        <v>8.3999999999999897</v>
      </c>
      <c r="C36" s="30">
        <v>0.25454545454545424</v>
      </c>
      <c r="D36" s="35">
        <v>1.9696969696969697</v>
      </c>
      <c r="E36" s="31">
        <v>0.36363636363636365</v>
      </c>
      <c r="F36" s="31">
        <v>0.33333333333333331</v>
      </c>
      <c r="G36" s="31">
        <v>0.29209621993127149</v>
      </c>
      <c r="H36" s="31">
        <v>0.17525773195876287</v>
      </c>
      <c r="I36" s="32">
        <v>7522.3529411764703</v>
      </c>
      <c r="J36" s="32">
        <v>-7582.3529411764703</v>
      </c>
      <c r="K36" s="31">
        <v>3.0303030303030304E-2</v>
      </c>
      <c r="L36" s="31">
        <v>0.27491408934707906</v>
      </c>
      <c r="M36" s="31">
        <v>0.29553264604810997</v>
      </c>
      <c r="N36" s="31">
        <v>0.46250000000000002</v>
      </c>
      <c r="O36" s="31">
        <v>0.38372093023255816</v>
      </c>
      <c r="P36" s="31">
        <v>0.49411764705882355</v>
      </c>
    </row>
    <row r="37" spans="1:16" x14ac:dyDescent="0.45">
      <c r="A37" s="33">
        <v>34</v>
      </c>
      <c r="B37" s="30">
        <v>-28.600000000000009</v>
      </c>
      <c r="C37" s="30">
        <v>-0.84117647058823553</v>
      </c>
      <c r="D37" s="35">
        <v>2</v>
      </c>
      <c r="E37" s="31">
        <v>0.35294117647058826</v>
      </c>
      <c r="F37" s="31">
        <v>0.35294117647058826</v>
      </c>
      <c r="G37" s="31">
        <v>0.29194630872483224</v>
      </c>
      <c r="H37" s="31">
        <v>0.18120805369127516</v>
      </c>
      <c r="I37" s="32">
        <v>7455.1724137931033</v>
      </c>
      <c r="J37" s="32">
        <v>-7775.9259259259261</v>
      </c>
      <c r="K37" s="31">
        <v>2.9411764705882353E-2</v>
      </c>
      <c r="L37" s="31">
        <v>0.27181208053691275</v>
      </c>
      <c r="M37" s="31">
        <v>0.29194630872483224</v>
      </c>
      <c r="N37" s="31">
        <v>0.46913580246913578</v>
      </c>
      <c r="O37" s="31">
        <v>0.39080459770114945</v>
      </c>
      <c r="P37" s="31">
        <v>0.4942528735632184</v>
      </c>
    </row>
    <row r="38" spans="1:16" x14ac:dyDescent="0.45">
      <c r="A38" s="33">
        <v>35</v>
      </c>
      <c r="B38" s="30">
        <v>-19.900000000000009</v>
      </c>
      <c r="C38" s="30">
        <v>-0.56857142857142884</v>
      </c>
      <c r="D38" s="35">
        <v>2</v>
      </c>
      <c r="E38" s="31">
        <v>0.34285714285714286</v>
      </c>
      <c r="F38" s="31">
        <v>0.34285714285714286</v>
      </c>
      <c r="G38" s="31">
        <v>0.29738562091503268</v>
      </c>
      <c r="H38" s="31">
        <v>0.17647058823529413</v>
      </c>
      <c r="I38" s="32">
        <v>7334.065934065934</v>
      </c>
      <c r="J38" s="32">
        <v>-7775.9259259259261</v>
      </c>
      <c r="K38" s="31">
        <v>2.8571428571428571E-2</v>
      </c>
      <c r="L38" s="31">
        <v>0.27450980392156865</v>
      </c>
      <c r="M38" s="31">
        <v>0.29738562091503268</v>
      </c>
      <c r="N38" s="31">
        <v>0.47619047619047616</v>
      </c>
      <c r="O38" s="31">
        <v>0.39560439560439559</v>
      </c>
      <c r="P38" s="31">
        <v>0.48351648351648352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98395-EB67-482F-ACF4-8E4B7986C530}">
  <sheetPr codeName="Sheet10"/>
  <dimension ref="A1:Q44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5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5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5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5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5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5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5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5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5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5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5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5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5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5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5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5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5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5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  <row r="23" spans="1:16" x14ac:dyDescent="0.45">
      <c r="A23" s="33">
        <v>20</v>
      </c>
      <c r="B23" s="30">
        <v>-101.2</v>
      </c>
      <c r="C23" s="30">
        <v>-5.0600000000000005</v>
      </c>
      <c r="D23" s="35">
        <v>2.1</v>
      </c>
      <c r="E23" s="31">
        <v>0.35</v>
      </c>
      <c r="F23" s="31">
        <v>0.45</v>
      </c>
      <c r="G23" s="31">
        <v>0.28000000000000003</v>
      </c>
      <c r="H23" s="31">
        <v>0.18285714285714286</v>
      </c>
      <c r="I23" s="32">
        <v>8848.9795918367345</v>
      </c>
      <c r="J23" s="32">
        <v>-8484.375</v>
      </c>
      <c r="K23" s="31">
        <v>0.2</v>
      </c>
      <c r="L23" s="31">
        <v>0.24</v>
      </c>
      <c r="M23" s="31">
        <v>0.21714285714285714</v>
      </c>
      <c r="N23" s="31">
        <v>0.5</v>
      </c>
      <c r="O23" s="31">
        <v>0.36842105263157893</v>
      </c>
      <c r="P23" s="31">
        <v>0.48979591836734693</v>
      </c>
    </row>
    <row r="24" spans="1:16" x14ac:dyDescent="0.45">
      <c r="A24" s="33">
        <v>21</v>
      </c>
      <c r="B24" s="30">
        <v>-99.3</v>
      </c>
      <c r="C24" s="30">
        <v>-4.7285714285714286</v>
      </c>
      <c r="D24" s="35">
        <v>2.0952380952380953</v>
      </c>
      <c r="E24" s="31">
        <v>0.33333333333333331</v>
      </c>
      <c r="F24" s="31">
        <v>0.42857142857142855</v>
      </c>
      <c r="G24" s="31">
        <v>0.27173913043478259</v>
      </c>
      <c r="H24" s="31">
        <v>0.17934782608695651</v>
      </c>
      <c r="I24" s="32">
        <v>8832</v>
      </c>
      <c r="J24" s="32">
        <v>-8345.454545454546</v>
      </c>
      <c r="K24" s="31">
        <v>0.19047619047619047</v>
      </c>
      <c r="L24" s="31">
        <v>0.24456521739130435</v>
      </c>
      <c r="M24" s="31">
        <v>0.21739130434782608</v>
      </c>
      <c r="N24" s="31">
        <v>0.48888888888888887</v>
      </c>
      <c r="O24" s="31">
        <v>0.35</v>
      </c>
      <c r="P24" s="31">
        <v>0.48</v>
      </c>
    </row>
    <row r="25" spans="1:16" x14ac:dyDescent="0.45">
      <c r="A25" s="33">
        <v>22</v>
      </c>
      <c r="B25" s="30">
        <v>-95.2</v>
      </c>
      <c r="C25" s="30">
        <v>-4.3272727272727272</v>
      </c>
      <c r="D25" s="35">
        <v>2.0909090909090908</v>
      </c>
      <c r="E25" s="31">
        <v>0.31818181818181818</v>
      </c>
      <c r="F25" s="31">
        <v>0.40909090909090912</v>
      </c>
      <c r="G25" s="31">
        <v>0.27083333333333331</v>
      </c>
      <c r="H25" s="31">
        <v>0.18229166666666666</v>
      </c>
      <c r="I25" s="32">
        <v>9107.6923076923085</v>
      </c>
      <c r="J25" s="32">
        <v>-8308.5714285714294</v>
      </c>
      <c r="K25" s="31">
        <v>0.18181818181818182</v>
      </c>
      <c r="L25" s="31">
        <v>0.25</v>
      </c>
      <c r="M25" s="31">
        <v>0.22916666666666666</v>
      </c>
      <c r="N25" s="31">
        <v>0.47916666666666669</v>
      </c>
      <c r="O25" s="31">
        <v>0.34090909090909088</v>
      </c>
      <c r="P25" s="31">
        <v>0.46153846153846156</v>
      </c>
    </row>
    <row r="26" spans="1:16" x14ac:dyDescent="0.45">
      <c r="A26" s="33">
        <v>23</v>
      </c>
      <c r="B26" s="30">
        <v>-75</v>
      </c>
      <c r="C26" s="30">
        <v>-3.2608695652173911</v>
      </c>
      <c r="D26" s="35">
        <v>2.0434782608695654</v>
      </c>
      <c r="E26" s="31">
        <v>0.34782608695652173</v>
      </c>
      <c r="F26" s="31">
        <v>0.39130434782608697</v>
      </c>
      <c r="G26" s="31">
        <v>0.271356783919598</v>
      </c>
      <c r="H26" s="31">
        <v>0.18090452261306533</v>
      </c>
      <c r="I26" s="32">
        <v>9135.1851851851843</v>
      </c>
      <c r="J26" s="32">
        <v>-8300</v>
      </c>
      <c r="K26" s="31">
        <v>0.17391304347826086</v>
      </c>
      <c r="L26" s="31">
        <v>0.25628140703517588</v>
      </c>
      <c r="M26" s="31">
        <v>0.23115577889447236</v>
      </c>
      <c r="N26" s="31">
        <v>0.47058823529411764</v>
      </c>
      <c r="O26" s="31">
        <v>0.34782608695652173</v>
      </c>
      <c r="P26" s="31">
        <v>0.44444444444444442</v>
      </c>
    </row>
    <row r="27" spans="1:16" x14ac:dyDescent="0.45">
      <c r="A27" s="33">
        <v>24</v>
      </c>
      <c r="B27" s="30">
        <v>-77.400000000000006</v>
      </c>
      <c r="C27" s="30">
        <v>-3.2250000000000001</v>
      </c>
      <c r="D27" s="35">
        <v>2.0416666666666665</v>
      </c>
      <c r="E27" s="31">
        <v>0.33333333333333331</v>
      </c>
      <c r="F27" s="31">
        <v>0.375</v>
      </c>
      <c r="G27" s="31">
        <v>0.26923076923076922</v>
      </c>
      <c r="H27" s="31">
        <v>0.18269230769230768</v>
      </c>
      <c r="I27" s="32">
        <v>8941.0714285714294</v>
      </c>
      <c r="J27" s="32">
        <v>-8007.894736842105</v>
      </c>
      <c r="K27" s="31">
        <v>0.16666666666666666</v>
      </c>
      <c r="L27" s="31">
        <v>0.25961538461538464</v>
      </c>
      <c r="M27" s="31">
        <v>0.23076923076923078</v>
      </c>
      <c r="N27" s="31">
        <v>0.44444444444444442</v>
      </c>
      <c r="O27" s="31">
        <v>0.35416666666666669</v>
      </c>
      <c r="P27" s="31">
        <v>0.44642857142857145</v>
      </c>
    </row>
    <row r="28" spans="1:16" x14ac:dyDescent="0.45">
      <c r="A28" s="33">
        <v>25</v>
      </c>
      <c r="B28" s="30">
        <v>-83.600000000000009</v>
      </c>
      <c r="C28" s="30">
        <v>-3.3440000000000003</v>
      </c>
      <c r="D28" s="35">
        <v>2.04</v>
      </c>
      <c r="E28" s="31">
        <v>0.32</v>
      </c>
      <c r="F28" s="31">
        <v>0.36</v>
      </c>
      <c r="G28" s="31">
        <v>0.2638888888888889</v>
      </c>
      <c r="H28" s="31">
        <v>0.18055555555555555</v>
      </c>
      <c r="I28" s="32">
        <v>8852.6315789473683</v>
      </c>
      <c r="J28" s="32">
        <v>-7869.2307692307695</v>
      </c>
      <c r="K28" s="31">
        <v>0.16</v>
      </c>
      <c r="L28" s="31">
        <v>0.25462962962962965</v>
      </c>
      <c r="M28" s="31">
        <v>0.22685185185185186</v>
      </c>
      <c r="N28" s="31">
        <v>0.43636363636363634</v>
      </c>
      <c r="O28" s="31">
        <v>0.36734693877551022</v>
      </c>
      <c r="P28" s="31">
        <v>0.43859649122807015</v>
      </c>
    </row>
    <row r="29" spans="1:16" x14ac:dyDescent="0.45">
      <c r="A29" s="33">
        <v>26</v>
      </c>
      <c r="B29" s="30">
        <v>-84.500000000000014</v>
      </c>
      <c r="C29" s="30">
        <v>-3.2500000000000004</v>
      </c>
      <c r="D29" s="35">
        <v>2.0384615384615383</v>
      </c>
      <c r="E29" s="31">
        <v>0.30769230769230771</v>
      </c>
      <c r="F29" s="31">
        <v>0.34615384615384615</v>
      </c>
      <c r="G29" s="31">
        <v>0.26339285714285715</v>
      </c>
      <c r="H29" s="31">
        <v>0.18303571428571427</v>
      </c>
      <c r="I29" s="32">
        <v>8891.5254237288136</v>
      </c>
      <c r="J29" s="32">
        <v>-7895.1219512195121</v>
      </c>
      <c r="K29" s="31">
        <v>0.15384615384615385</v>
      </c>
      <c r="L29" s="31">
        <v>0.2544642857142857</v>
      </c>
      <c r="M29" s="31">
        <v>0.22321428571428573</v>
      </c>
      <c r="N29" s="31">
        <v>0.42105263157894735</v>
      </c>
      <c r="O29" s="31">
        <v>0.38</v>
      </c>
      <c r="P29" s="31">
        <v>0.4576271186440678</v>
      </c>
    </row>
    <row r="30" spans="1:16" x14ac:dyDescent="0.45">
      <c r="A30" s="33">
        <v>27</v>
      </c>
      <c r="B30" s="30">
        <v>-32.300000000000011</v>
      </c>
      <c r="C30" s="30">
        <v>-1.1962962962962966</v>
      </c>
      <c r="D30" s="35">
        <v>2</v>
      </c>
      <c r="E30" s="31">
        <v>0.33333333333333331</v>
      </c>
      <c r="F30" s="31">
        <v>0.33333333333333331</v>
      </c>
      <c r="G30" s="31">
        <v>0.27038626609442062</v>
      </c>
      <c r="H30" s="31">
        <v>0.18025751072961374</v>
      </c>
      <c r="I30" s="32">
        <v>9088.8888888888887</v>
      </c>
      <c r="J30" s="32">
        <v>-7897.6190476190477</v>
      </c>
      <c r="K30" s="31">
        <v>0.14814814814814814</v>
      </c>
      <c r="L30" s="31">
        <v>0.26180257510729615</v>
      </c>
      <c r="M30" s="31">
        <v>0.21888412017167383</v>
      </c>
      <c r="N30" s="31">
        <v>0.44262295081967212</v>
      </c>
      <c r="O30" s="31">
        <v>0.37254901960784315</v>
      </c>
      <c r="P30" s="31">
        <v>0.47619047619047616</v>
      </c>
    </row>
    <row r="31" spans="1:16" x14ac:dyDescent="0.45">
      <c r="A31" s="33">
        <v>28</v>
      </c>
      <c r="B31" s="30">
        <v>-67.100000000000009</v>
      </c>
      <c r="C31" s="30">
        <v>-2.3964285714285718</v>
      </c>
      <c r="D31" s="35">
        <v>2.0357142857142856</v>
      </c>
      <c r="E31" s="31">
        <v>0.32142857142857145</v>
      </c>
      <c r="F31" s="31">
        <v>0.35714285714285715</v>
      </c>
      <c r="G31" s="31">
        <v>0.26938775510204083</v>
      </c>
      <c r="H31" s="31">
        <v>0.18775510204081633</v>
      </c>
      <c r="I31" s="32">
        <v>8972.7272727272721</v>
      </c>
      <c r="J31" s="32">
        <v>-7832.608695652174</v>
      </c>
      <c r="K31" s="31">
        <v>0.14285714285714285</v>
      </c>
      <c r="L31" s="31">
        <v>0.2530612244897959</v>
      </c>
      <c r="M31" s="31">
        <v>0.20816326530612245</v>
      </c>
      <c r="N31" s="31">
        <v>0.45161290322580644</v>
      </c>
      <c r="O31" s="31">
        <v>0.37254901960784315</v>
      </c>
      <c r="P31" s="31">
        <v>0.45454545454545453</v>
      </c>
    </row>
    <row r="32" spans="1:16" x14ac:dyDescent="0.45">
      <c r="A32" s="33">
        <v>29</v>
      </c>
      <c r="B32" s="30">
        <v>-63.70000000000001</v>
      </c>
      <c r="C32" s="30">
        <v>-2.1965517241379313</v>
      </c>
      <c r="D32" s="35">
        <v>2.0344827586206895</v>
      </c>
      <c r="E32" s="31">
        <v>0.31034482758620691</v>
      </c>
      <c r="F32" s="31">
        <v>0.34482758620689657</v>
      </c>
      <c r="G32" s="31">
        <v>0.26984126984126983</v>
      </c>
      <c r="H32" s="31">
        <v>0.18650793650793651</v>
      </c>
      <c r="I32" s="32">
        <v>8863.2352941176468</v>
      </c>
      <c r="J32" s="32">
        <v>-7836.1702127659573</v>
      </c>
      <c r="K32" s="31">
        <v>0.13793103448275862</v>
      </c>
      <c r="L32" s="31">
        <v>0.25</v>
      </c>
      <c r="M32" s="31">
        <v>0.21031746031746032</v>
      </c>
      <c r="N32" s="31">
        <v>0.46031746031746029</v>
      </c>
      <c r="O32" s="31">
        <v>0.35849056603773582</v>
      </c>
      <c r="P32" s="31">
        <v>0.47058823529411764</v>
      </c>
    </row>
    <row r="33" spans="1:16" x14ac:dyDescent="0.45">
      <c r="A33" s="33">
        <v>30</v>
      </c>
      <c r="B33" s="30">
        <v>-76.000000000000014</v>
      </c>
      <c r="C33" s="30">
        <v>-2.5333333333333337</v>
      </c>
      <c r="D33" s="35">
        <v>2.0333333333333332</v>
      </c>
      <c r="E33" s="31">
        <v>0.3</v>
      </c>
      <c r="F33" s="31">
        <v>0.33333333333333331</v>
      </c>
      <c r="G33" s="31">
        <v>0.26640926640926643</v>
      </c>
      <c r="H33" s="31">
        <v>0.18532818532818532</v>
      </c>
      <c r="I33" s="32">
        <v>8752.173913043478</v>
      </c>
      <c r="J33" s="32">
        <v>-7839.583333333333</v>
      </c>
      <c r="K33" s="31">
        <v>0.13333333333333333</v>
      </c>
      <c r="L33" s="31">
        <v>0.24324324324324326</v>
      </c>
      <c r="M33" s="31">
        <v>0.21235521235521235</v>
      </c>
      <c r="N33" s="31">
        <v>0.46031746031746029</v>
      </c>
      <c r="O33" s="31">
        <v>0.36363636363636365</v>
      </c>
      <c r="P33" s="31">
        <v>0.47826086956521741</v>
      </c>
    </row>
    <row r="34" spans="1:16" x14ac:dyDescent="0.45">
      <c r="A34" s="33">
        <v>31</v>
      </c>
      <c r="B34" s="30">
        <v>-92.600000000000023</v>
      </c>
      <c r="C34" s="30">
        <v>-2.987096774193549</v>
      </c>
      <c r="D34" s="35">
        <v>2.064516129032258</v>
      </c>
      <c r="E34" s="31">
        <v>0.29032258064516131</v>
      </c>
      <c r="F34" s="31">
        <v>0.35483870967741937</v>
      </c>
      <c r="G34" s="31">
        <v>0.26865671641791045</v>
      </c>
      <c r="H34" s="31">
        <v>0.18656716417910449</v>
      </c>
      <c r="I34" s="32">
        <v>8563.8888888888887</v>
      </c>
      <c r="J34" s="32">
        <v>-7912</v>
      </c>
      <c r="K34" s="31">
        <v>0.12903225806451613</v>
      </c>
      <c r="L34" s="31">
        <v>0.2462686567164179</v>
      </c>
      <c r="M34" s="31">
        <v>0.21268656716417911</v>
      </c>
      <c r="N34" s="31">
        <v>0.46969696969696972</v>
      </c>
      <c r="O34" s="31">
        <v>0.35087719298245612</v>
      </c>
      <c r="P34" s="31">
        <v>0.47222222222222221</v>
      </c>
    </row>
    <row r="35" spans="1:16" x14ac:dyDescent="0.45">
      <c r="A35" s="33">
        <v>32</v>
      </c>
      <c r="B35" s="30">
        <v>-41.700000000000024</v>
      </c>
      <c r="C35" s="30">
        <v>-1.3031250000000008</v>
      </c>
      <c r="D35" s="35">
        <v>2.03125</v>
      </c>
      <c r="E35" s="31">
        <v>0.3125</v>
      </c>
      <c r="F35" s="31">
        <v>0.34375</v>
      </c>
      <c r="G35" s="31">
        <v>0.27636363636363637</v>
      </c>
      <c r="H35" s="31">
        <v>0.18181818181818182</v>
      </c>
      <c r="I35" s="32">
        <v>8677.6315789473683</v>
      </c>
      <c r="J35" s="32">
        <v>-7912</v>
      </c>
      <c r="K35" s="31">
        <v>0.125</v>
      </c>
      <c r="L35" s="31">
        <v>0.24727272727272728</v>
      </c>
      <c r="M35" s="31">
        <v>0.21454545454545454</v>
      </c>
      <c r="N35" s="31">
        <v>0.48529411764705882</v>
      </c>
      <c r="O35" s="31">
        <v>0.3559322033898305</v>
      </c>
      <c r="P35" s="31">
        <v>0.46052631578947367</v>
      </c>
    </row>
    <row r="36" spans="1:16" x14ac:dyDescent="0.45">
      <c r="A36" s="33">
        <v>33</v>
      </c>
      <c r="B36" s="30">
        <v>-37.200000000000024</v>
      </c>
      <c r="C36" s="30">
        <v>-1.1272727272727281</v>
      </c>
      <c r="D36" s="35">
        <v>2.0303030303030303</v>
      </c>
      <c r="E36" s="31">
        <v>0.30303030303030304</v>
      </c>
      <c r="F36" s="31">
        <v>0.33333333333333331</v>
      </c>
      <c r="G36" s="31">
        <v>0.2762237762237762</v>
      </c>
      <c r="H36" s="31">
        <v>0.17482517482517482</v>
      </c>
      <c r="I36" s="32">
        <v>8646.835443037975</v>
      </c>
      <c r="J36" s="32">
        <v>-7912</v>
      </c>
      <c r="K36" s="31">
        <v>0.12121212121212122</v>
      </c>
      <c r="L36" s="31">
        <v>0.24125874125874125</v>
      </c>
      <c r="M36" s="31">
        <v>0.23426573426573427</v>
      </c>
      <c r="N36" s="31">
        <v>0.47826086956521741</v>
      </c>
      <c r="O36" s="31">
        <v>0.35820895522388058</v>
      </c>
      <c r="P36" s="31">
        <v>0.46835443037974683</v>
      </c>
    </row>
    <row r="37" spans="1:16" x14ac:dyDescent="0.45">
      <c r="A37" s="33">
        <v>34</v>
      </c>
      <c r="B37" s="30">
        <v>-77.900000000000034</v>
      </c>
      <c r="C37" s="30">
        <v>-2.2911764705882365</v>
      </c>
      <c r="D37" s="35">
        <v>2.0588235294117645</v>
      </c>
      <c r="E37" s="31">
        <v>0.29411764705882354</v>
      </c>
      <c r="F37" s="31">
        <v>0.35294117647058826</v>
      </c>
      <c r="G37" s="31">
        <v>0.27303754266211605</v>
      </c>
      <c r="H37" s="31">
        <v>0.18088737201365188</v>
      </c>
      <c r="I37" s="32">
        <v>8558.75</v>
      </c>
      <c r="J37" s="32">
        <v>-7915.0943396226412</v>
      </c>
      <c r="K37" s="31">
        <v>0.11764705882352941</v>
      </c>
      <c r="L37" s="31">
        <v>0.23890784982935154</v>
      </c>
      <c r="M37" s="31">
        <v>0.23549488054607509</v>
      </c>
      <c r="N37" s="31">
        <v>0.47142857142857142</v>
      </c>
      <c r="O37" s="31">
        <v>0.36231884057971014</v>
      </c>
      <c r="P37" s="31">
        <v>0.47499999999999998</v>
      </c>
    </row>
    <row r="38" spans="1:16" x14ac:dyDescent="0.45">
      <c r="A38" s="33">
        <v>35</v>
      </c>
      <c r="B38" s="30">
        <v>-73.200000000000031</v>
      </c>
      <c r="C38" s="30">
        <v>-2.0914285714285725</v>
      </c>
      <c r="D38" s="35">
        <v>2.0571428571428569</v>
      </c>
      <c r="E38" s="31">
        <v>0.2857142857142857</v>
      </c>
      <c r="F38" s="31">
        <v>0.34285714285714286</v>
      </c>
      <c r="G38" s="31">
        <v>0.27540983606557379</v>
      </c>
      <c r="H38" s="31">
        <v>0.18688524590163935</v>
      </c>
      <c r="I38" s="32">
        <v>8515.4761904761908</v>
      </c>
      <c r="J38" s="32">
        <v>-7896.4912280701756</v>
      </c>
      <c r="K38" s="31">
        <v>0.11428571428571428</v>
      </c>
      <c r="L38" s="31">
        <v>0.24262295081967214</v>
      </c>
      <c r="M38" s="31">
        <v>0.23606557377049181</v>
      </c>
      <c r="N38" s="31">
        <v>0.47297297297297297</v>
      </c>
      <c r="O38" s="31">
        <v>0.3611111111111111</v>
      </c>
      <c r="P38" s="31">
        <v>0.4642857142857143</v>
      </c>
    </row>
    <row r="39" spans="1:16" x14ac:dyDescent="0.45">
      <c r="A39" s="33">
        <v>36</v>
      </c>
      <c r="B39" s="30">
        <v>-91.000000000000028</v>
      </c>
      <c r="C39" s="30">
        <v>-2.5277777777777786</v>
      </c>
      <c r="D39" s="35">
        <v>2.0833333333333335</v>
      </c>
      <c r="E39" s="31">
        <v>0.27777777777777779</v>
      </c>
      <c r="F39" s="31">
        <v>0.3611111111111111</v>
      </c>
      <c r="G39" s="31">
        <v>0.27156549520766771</v>
      </c>
      <c r="H39" s="31">
        <v>0.18849840255591055</v>
      </c>
      <c r="I39" s="32">
        <v>8603.5294117647063</v>
      </c>
      <c r="J39" s="32">
        <v>-7930.5084745762715</v>
      </c>
      <c r="K39" s="31">
        <v>0.1111111111111111</v>
      </c>
      <c r="L39" s="31">
        <v>0.24920127795527156</v>
      </c>
      <c r="M39" s="31">
        <v>0.23961661341853036</v>
      </c>
      <c r="N39" s="31">
        <v>0.46153846153846156</v>
      </c>
      <c r="O39" s="31">
        <v>0.34666666666666668</v>
      </c>
      <c r="P39" s="31">
        <v>0.45882352941176469</v>
      </c>
    </row>
    <row r="40" spans="1:16" x14ac:dyDescent="0.45">
      <c r="A40" s="33">
        <v>37</v>
      </c>
      <c r="B40" s="30">
        <v>-85.900000000000034</v>
      </c>
      <c r="C40" s="30">
        <v>-2.3216216216216226</v>
      </c>
      <c r="D40" s="35">
        <v>2.0810810810810811</v>
      </c>
      <c r="E40" s="31">
        <v>0.27027027027027029</v>
      </c>
      <c r="F40" s="31">
        <v>0.35135135135135137</v>
      </c>
      <c r="G40" s="31">
        <v>0.27414330218068533</v>
      </c>
      <c r="H40" s="31">
        <v>0.18691588785046728</v>
      </c>
      <c r="I40" s="32">
        <v>8673.863636363636</v>
      </c>
      <c r="J40" s="32">
        <v>-7926.666666666667</v>
      </c>
      <c r="K40" s="31">
        <v>0.10810810810810811</v>
      </c>
      <c r="L40" s="31">
        <v>0.25233644859813081</v>
      </c>
      <c r="M40" s="31">
        <v>0.2367601246105919</v>
      </c>
      <c r="N40" s="31">
        <v>0.4567901234567901</v>
      </c>
      <c r="O40" s="31">
        <v>0.35526315789473684</v>
      </c>
      <c r="P40" s="31">
        <v>0.45454545454545453</v>
      </c>
    </row>
    <row r="41" spans="1:16" x14ac:dyDescent="0.45">
      <c r="A41" s="33">
        <v>38</v>
      </c>
      <c r="B41" s="30">
        <v>-74.900000000000034</v>
      </c>
      <c r="C41" s="30">
        <v>-1.9710526315789483</v>
      </c>
      <c r="D41" s="35">
        <v>2.0526315789473686</v>
      </c>
      <c r="E41" s="31">
        <v>0.28947368421052633</v>
      </c>
      <c r="F41" s="31">
        <v>0.34210526315789475</v>
      </c>
      <c r="G41" s="31">
        <v>0.27272727272727271</v>
      </c>
      <c r="H41" s="31">
        <v>0.18181818181818182</v>
      </c>
      <c r="I41" s="32">
        <v>8678.8888888888887</v>
      </c>
      <c r="J41" s="32">
        <v>-7926.666666666667</v>
      </c>
      <c r="K41" s="31">
        <v>0.10526315789473684</v>
      </c>
      <c r="L41" s="31">
        <v>0.24848484848484848</v>
      </c>
      <c r="M41" s="31">
        <v>0.24242424242424243</v>
      </c>
      <c r="N41" s="31">
        <v>0.46341463414634149</v>
      </c>
      <c r="O41" s="31">
        <v>0.35</v>
      </c>
      <c r="P41" s="31">
        <v>0.45555555555555555</v>
      </c>
    </row>
    <row r="42" spans="1:16" x14ac:dyDescent="0.45">
      <c r="A42" s="33">
        <v>39</v>
      </c>
      <c r="B42" s="30">
        <v>-120.20000000000003</v>
      </c>
      <c r="C42" s="30">
        <v>-3.0820512820512826</v>
      </c>
      <c r="D42" s="35">
        <v>2.0769230769230771</v>
      </c>
      <c r="E42" s="31">
        <v>0.28205128205128205</v>
      </c>
      <c r="F42" s="31">
        <v>0.35897435897435898</v>
      </c>
      <c r="G42" s="31">
        <v>0.27164179104477609</v>
      </c>
      <c r="H42" s="31">
        <v>0.18507462686567164</v>
      </c>
      <c r="I42" s="32">
        <v>8671.4285714285706</v>
      </c>
      <c r="J42" s="32">
        <v>-8238.7096774193542</v>
      </c>
      <c r="K42" s="31">
        <v>0.12820512820512819</v>
      </c>
      <c r="L42" s="31">
        <v>0.24776119402985075</v>
      </c>
      <c r="M42" s="31">
        <v>0.2417910447761194</v>
      </c>
      <c r="N42" s="31">
        <v>0.46987951807228917</v>
      </c>
      <c r="O42" s="31">
        <v>0.34567901234567899</v>
      </c>
      <c r="P42" s="31">
        <v>0.46153846153846156</v>
      </c>
    </row>
    <row r="43" spans="1:16" x14ac:dyDescent="0.45">
      <c r="A43" s="33">
        <v>40</v>
      </c>
      <c r="B43" s="30">
        <v>-119.50000000000003</v>
      </c>
      <c r="C43" s="30">
        <v>-2.9875000000000007</v>
      </c>
      <c r="D43" s="35">
        <v>2.0750000000000002</v>
      </c>
      <c r="E43" s="31">
        <v>0.27500000000000002</v>
      </c>
      <c r="F43" s="31">
        <v>0.35</v>
      </c>
      <c r="G43" s="31">
        <v>0.27192982456140352</v>
      </c>
      <c r="H43" s="31">
        <v>0.1871345029239766</v>
      </c>
      <c r="I43" s="32">
        <v>8669.8924731182797</v>
      </c>
      <c r="J43" s="32">
        <v>-8137.5</v>
      </c>
      <c r="K43" s="31">
        <v>0.125</v>
      </c>
      <c r="L43" s="31">
        <v>0.25146198830409355</v>
      </c>
      <c r="M43" s="31">
        <v>0.23976608187134502</v>
      </c>
      <c r="N43" s="31">
        <v>0.46511627906976744</v>
      </c>
      <c r="O43" s="31">
        <v>0.34146341463414637</v>
      </c>
      <c r="P43" s="31">
        <v>0.45161290322580644</v>
      </c>
    </row>
    <row r="44" spans="1:16" x14ac:dyDescent="0.45">
      <c r="A44" s="33">
        <v>41</v>
      </c>
      <c r="B44" s="30">
        <v>-150.20000000000002</v>
      </c>
      <c r="C44" s="30">
        <v>-3.6634146341463421</v>
      </c>
      <c r="D44" s="35">
        <v>2.0975609756097562</v>
      </c>
      <c r="E44" s="31">
        <v>0.26829268292682928</v>
      </c>
      <c r="F44" s="31">
        <v>0.36585365853658536</v>
      </c>
      <c r="G44" s="31">
        <v>0.26857142857142857</v>
      </c>
      <c r="H44" s="31">
        <v>0.18857142857142858</v>
      </c>
      <c r="I44" s="32">
        <v>8634.0425531914898</v>
      </c>
      <c r="J44" s="32">
        <v>-8066.666666666667</v>
      </c>
      <c r="K44" s="31">
        <v>0.12195121951219512</v>
      </c>
      <c r="L44" s="31">
        <v>0.25428571428571428</v>
      </c>
      <c r="M44" s="31">
        <v>0.24</v>
      </c>
      <c r="N44" s="31">
        <v>0.4606741573033708</v>
      </c>
      <c r="O44" s="31">
        <v>0.33333333333333331</v>
      </c>
      <c r="P44" s="31">
        <v>0.45744680851063829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EB820-E466-4097-BF53-FC57CA425394}">
  <sheetPr codeName="Sheet8"/>
  <dimension ref="A1:Q79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5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5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5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5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5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5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5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5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5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5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5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5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5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5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5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5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5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5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5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5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5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5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5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5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5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5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5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5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5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5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5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5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5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5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5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5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5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5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5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5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5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5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5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5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5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5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5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5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  <row r="54" spans="1:16" x14ac:dyDescent="0.45">
      <c r="A54" s="33">
        <v>51</v>
      </c>
      <c r="B54" s="30">
        <v>68.399999999999963</v>
      </c>
      <c r="C54" s="30">
        <v>1.3411764705882345</v>
      </c>
      <c r="D54" s="35">
        <v>2.0392156862745097</v>
      </c>
      <c r="E54" s="31">
        <v>0.27450980392156865</v>
      </c>
      <c r="F54" s="31">
        <v>0.31372549019607843</v>
      </c>
      <c r="G54" s="31">
        <v>0.30841121495327101</v>
      </c>
      <c r="H54" s="31">
        <v>0.17523364485981308</v>
      </c>
      <c r="I54" s="32">
        <v>8509.0909090909099</v>
      </c>
      <c r="J54" s="32">
        <v>-6438.666666666667</v>
      </c>
      <c r="K54" s="31">
        <v>5.8823529411764705E-2</v>
      </c>
      <c r="L54" s="31">
        <v>0.25467289719626168</v>
      </c>
      <c r="M54" s="31">
        <v>0.21962616822429906</v>
      </c>
      <c r="N54" s="31">
        <v>0.55963302752293576</v>
      </c>
      <c r="O54" s="31">
        <v>0.44680851063829785</v>
      </c>
      <c r="P54" s="31">
        <v>0.43939393939393939</v>
      </c>
    </row>
    <row r="55" spans="1:16" x14ac:dyDescent="0.45">
      <c r="A55" s="33">
        <v>52</v>
      </c>
      <c r="B55" s="30">
        <v>22.599999999999966</v>
      </c>
      <c r="C55" s="30">
        <v>0.43461538461538396</v>
      </c>
      <c r="D55" s="35">
        <v>2.0576923076923075</v>
      </c>
      <c r="E55" s="31">
        <v>0.26923076923076922</v>
      </c>
      <c r="F55" s="31">
        <v>0.32692307692307693</v>
      </c>
      <c r="G55" s="31">
        <v>0.30434782608695654</v>
      </c>
      <c r="H55" s="31">
        <v>0.17620137299771166</v>
      </c>
      <c r="I55" s="32">
        <v>8460.1503759398493</v>
      </c>
      <c r="J55" s="32">
        <v>-6609.090909090909</v>
      </c>
      <c r="K55" s="31">
        <v>7.6923076923076927E-2</v>
      </c>
      <c r="L55" s="31">
        <v>0.2585812356979405</v>
      </c>
      <c r="M55" s="31">
        <v>0.21739130434782608</v>
      </c>
      <c r="N55" s="31">
        <v>0.53982300884955747</v>
      </c>
      <c r="O55" s="31">
        <v>0.44210526315789472</v>
      </c>
      <c r="P55" s="31">
        <v>0.43609022556390975</v>
      </c>
    </row>
    <row r="56" spans="1:16" x14ac:dyDescent="0.45">
      <c r="A56" s="33">
        <v>53</v>
      </c>
      <c r="B56" s="30">
        <v>53.599999999999966</v>
      </c>
      <c r="C56" s="30">
        <v>1.0113207547169805</v>
      </c>
      <c r="D56" s="35">
        <v>2.0377358490566038</v>
      </c>
      <c r="E56" s="31">
        <v>0.28301886792452829</v>
      </c>
      <c r="F56" s="31">
        <v>0.32075471698113206</v>
      </c>
      <c r="G56" s="31">
        <v>0.30337078651685395</v>
      </c>
      <c r="H56" s="31">
        <v>0.1752808988764045</v>
      </c>
      <c r="I56" s="32">
        <v>8557.0370370370365</v>
      </c>
      <c r="J56" s="32">
        <v>-6626.9230769230771</v>
      </c>
      <c r="K56" s="31">
        <v>7.5471698113207544E-2</v>
      </c>
      <c r="L56" s="31">
        <v>0.25842696629213485</v>
      </c>
      <c r="M56" s="31">
        <v>0.21573033707865169</v>
      </c>
      <c r="N56" s="31">
        <v>0.53913043478260869</v>
      </c>
      <c r="O56" s="31">
        <v>0.44791666666666669</v>
      </c>
      <c r="P56" s="31">
        <v>0.44444444444444442</v>
      </c>
    </row>
    <row r="57" spans="1:16" x14ac:dyDescent="0.45">
      <c r="A57" s="33">
        <v>54</v>
      </c>
      <c r="B57" s="30">
        <v>31.899999999999967</v>
      </c>
      <c r="C57" s="30">
        <v>0.59074074074074012</v>
      </c>
      <c r="D57" s="35">
        <v>2.0555555555555554</v>
      </c>
      <c r="E57" s="31">
        <v>0.27777777777777779</v>
      </c>
      <c r="F57" s="31">
        <v>0.33333333333333331</v>
      </c>
      <c r="G57" s="31">
        <v>0.30176211453744495</v>
      </c>
      <c r="H57" s="31">
        <v>0.18061674008810572</v>
      </c>
      <c r="I57" s="32">
        <v>8566.4233576642328</v>
      </c>
      <c r="J57" s="32">
        <v>-6713.4146341463411</v>
      </c>
      <c r="K57" s="31">
        <v>7.407407407407407E-2</v>
      </c>
      <c r="L57" s="31">
        <v>0.25550660792951541</v>
      </c>
      <c r="M57" s="31">
        <v>0.21806167400881057</v>
      </c>
      <c r="N57" s="31">
        <v>0.5431034482758621</v>
      </c>
      <c r="O57" s="31">
        <v>0.43434343434343436</v>
      </c>
      <c r="P57" s="31">
        <v>0.43795620437956206</v>
      </c>
    </row>
    <row r="58" spans="1:16" x14ac:dyDescent="0.45">
      <c r="A58" s="33">
        <v>55</v>
      </c>
      <c r="B58" s="30">
        <v>-8.8000000000000362</v>
      </c>
      <c r="C58" s="30">
        <v>-0.16000000000000067</v>
      </c>
      <c r="D58" s="35">
        <v>2.0727272727272728</v>
      </c>
      <c r="E58" s="31">
        <v>0.27272727272727271</v>
      </c>
      <c r="F58" s="31">
        <v>0.34545454545454546</v>
      </c>
      <c r="G58" s="31">
        <v>0.29934924078091107</v>
      </c>
      <c r="H58" s="31">
        <v>0.18004338394793926</v>
      </c>
      <c r="I58" s="32">
        <v>8533.3333333333339</v>
      </c>
      <c r="J58" s="32">
        <v>-6725.3012048192768</v>
      </c>
      <c r="K58" s="31">
        <v>7.2727272727272724E-2</v>
      </c>
      <c r="L58" s="31">
        <v>0.25379609544468545</v>
      </c>
      <c r="M58" s="31">
        <v>0.21908893709327548</v>
      </c>
      <c r="N58" s="31">
        <v>0.54700854700854706</v>
      </c>
      <c r="O58" s="31">
        <v>0.42574257425742573</v>
      </c>
      <c r="P58" s="31">
        <v>0.4420289855072464</v>
      </c>
    </row>
    <row r="59" spans="1:16" x14ac:dyDescent="0.45">
      <c r="A59" s="33">
        <v>56</v>
      </c>
      <c r="B59" s="30">
        <v>-34.500000000000036</v>
      </c>
      <c r="C59" s="30">
        <v>-0.61607142857142916</v>
      </c>
      <c r="D59" s="35">
        <v>2.0892857142857144</v>
      </c>
      <c r="E59" s="31">
        <v>0.26785714285714285</v>
      </c>
      <c r="F59" s="31">
        <v>0.35714285714285715</v>
      </c>
      <c r="G59" s="31">
        <v>0.29850746268656714</v>
      </c>
      <c r="H59" s="31">
        <v>0.18336886993603413</v>
      </c>
      <c r="I59" s="32">
        <v>8510</v>
      </c>
      <c r="J59" s="32">
        <v>-6694.1860465116279</v>
      </c>
      <c r="K59" s="31">
        <v>7.1428571428571425E-2</v>
      </c>
      <c r="L59" s="31">
        <v>0.25799573560767591</v>
      </c>
      <c r="M59" s="31">
        <v>0.21748400852878466</v>
      </c>
      <c r="N59" s="31">
        <v>0.54545454545454541</v>
      </c>
      <c r="O59" s="31">
        <v>0.42156862745098039</v>
      </c>
      <c r="P59" s="31">
        <v>0.44285714285714284</v>
      </c>
    </row>
    <row r="60" spans="1:16" x14ac:dyDescent="0.45">
      <c r="A60" s="33">
        <v>57</v>
      </c>
      <c r="B60" s="30">
        <v>-74.30000000000004</v>
      </c>
      <c r="C60" s="30">
        <v>-1.3035087719298253</v>
      </c>
      <c r="D60" s="35">
        <v>2.1052631578947367</v>
      </c>
      <c r="E60" s="31">
        <v>0.26315789473684209</v>
      </c>
      <c r="F60" s="31">
        <v>0.36842105263157893</v>
      </c>
      <c r="G60" s="31">
        <v>0.2976939203354298</v>
      </c>
      <c r="H60" s="31">
        <v>0.18448637316561844</v>
      </c>
      <c r="I60" s="32">
        <v>8437.3239436619715</v>
      </c>
      <c r="J60" s="32">
        <v>-6837.5</v>
      </c>
      <c r="K60" s="31">
        <v>7.0175438596491224E-2</v>
      </c>
      <c r="L60" s="31">
        <v>0.25786163522012578</v>
      </c>
      <c r="M60" s="31">
        <v>0.2180293501048218</v>
      </c>
      <c r="N60" s="31">
        <v>0.54471544715447151</v>
      </c>
      <c r="O60" s="31">
        <v>0.42307692307692307</v>
      </c>
      <c r="P60" s="31">
        <v>0.44366197183098594</v>
      </c>
    </row>
    <row r="61" spans="1:16" x14ac:dyDescent="0.45">
      <c r="A61" s="33">
        <v>58</v>
      </c>
      <c r="B61" s="30">
        <v>-72.700000000000045</v>
      </c>
      <c r="C61" s="30">
        <v>-1.2534482758620697</v>
      </c>
      <c r="D61" s="35">
        <v>2.103448275862069</v>
      </c>
      <c r="E61" s="31">
        <v>0.25862068965517243</v>
      </c>
      <c r="F61" s="31">
        <v>0.36206896551724138</v>
      </c>
      <c r="G61" s="31">
        <v>0.29896907216494845</v>
      </c>
      <c r="H61" s="31">
        <v>0.18762886597938144</v>
      </c>
      <c r="I61" s="32">
        <v>8411.7241379310344</v>
      </c>
      <c r="J61" s="32">
        <v>-6842.8571428571431</v>
      </c>
      <c r="K61" s="31">
        <v>6.8965517241379309E-2</v>
      </c>
      <c r="L61" s="31">
        <v>0.25567010309278349</v>
      </c>
      <c r="M61" s="31">
        <v>0.22680412371134021</v>
      </c>
      <c r="N61" s="31">
        <v>0.54032258064516125</v>
      </c>
      <c r="O61" s="31">
        <v>0.42727272727272725</v>
      </c>
      <c r="P61" s="31">
        <v>0.44827586206896552</v>
      </c>
    </row>
    <row r="62" spans="1:16" x14ac:dyDescent="0.45">
      <c r="A62" s="33">
        <v>59</v>
      </c>
      <c r="B62" s="30">
        <v>-36.500000000000043</v>
      </c>
      <c r="C62" s="30">
        <v>-0.61864406779661085</v>
      </c>
      <c r="D62" s="35">
        <v>2.0847457627118646</v>
      </c>
      <c r="E62" s="31">
        <v>0.2711864406779661</v>
      </c>
      <c r="F62" s="31">
        <v>0.3559322033898305</v>
      </c>
      <c r="G62" s="31">
        <v>0.30181086519114686</v>
      </c>
      <c r="H62" s="31">
        <v>0.18712273641851107</v>
      </c>
      <c r="I62" s="32">
        <v>8346.6666666666661</v>
      </c>
      <c r="J62" s="32">
        <v>-6777.4193548387093</v>
      </c>
      <c r="K62" s="31">
        <v>6.7796610169491525E-2</v>
      </c>
      <c r="L62" s="31">
        <v>0.25150905432595572</v>
      </c>
      <c r="M62" s="31">
        <v>0.22132796780684105</v>
      </c>
      <c r="N62" s="31">
        <v>0.54400000000000004</v>
      </c>
      <c r="O62" s="31">
        <v>0.42727272727272725</v>
      </c>
      <c r="P62" s="31">
        <v>0.44666666666666666</v>
      </c>
    </row>
    <row r="63" spans="1:16" x14ac:dyDescent="0.45">
      <c r="A63" s="33">
        <v>60</v>
      </c>
      <c r="B63" s="30">
        <v>-35.900000000000041</v>
      </c>
      <c r="C63" s="30">
        <v>-0.59833333333333405</v>
      </c>
      <c r="D63" s="35">
        <v>2.0833333333333335</v>
      </c>
      <c r="E63" s="31">
        <v>0.26666666666666666</v>
      </c>
      <c r="F63" s="31">
        <v>0.35</v>
      </c>
      <c r="G63" s="31">
        <v>0.30158730158730157</v>
      </c>
      <c r="H63" s="31">
        <v>0.18849206349206349</v>
      </c>
      <c r="I63" s="32">
        <v>8368.4210526315783</v>
      </c>
      <c r="J63" s="32">
        <v>-6746.3157894736842</v>
      </c>
      <c r="K63" s="31">
        <v>6.6666666666666666E-2</v>
      </c>
      <c r="L63" s="31">
        <v>0.25198412698412698</v>
      </c>
      <c r="M63" s="31">
        <v>0.22023809523809523</v>
      </c>
      <c r="N63" s="31">
        <v>0.55118110236220474</v>
      </c>
      <c r="O63" s="31">
        <v>0.42342342342342343</v>
      </c>
      <c r="P63" s="31">
        <v>0.45394736842105265</v>
      </c>
    </row>
    <row r="64" spans="1:16" x14ac:dyDescent="0.45">
      <c r="A64" s="33">
        <v>61</v>
      </c>
      <c r="B64" s="30">
        <v>-0.40000000000004121</v>
      </c>
      <c r="C64" s="30">
        <v>-6.5573770491810035E-3</v>
      </c>
      <c r="D64" s="35">
        <v>2.0655737704918034</v>
      </c>
      <c r="E64" s="31">
        <v>0.27868852459016391</v>
      </c>
      <c r="F64" s="31">
        <v>0.34426229508196721</v>
      </c>
      <c r="G64" s="31">
        <v>0.30588235294117649</v>
      </c>
      <c r="H64" s="31">
        <v>0.18627450980392157</v>
      </c>
      <c r="I64" s="32">
        <v>8333.3333333333339</v>
      </c>
      <c r="J64" s="32">
        <v>-6746.3157894736842</v>
      </c>
      <c r="K64" s="31">
        <v>6.5573770491803282E-2</v>
      </c>
      <c r="L64" s="31">
        <v>0.25294117647058822</v>
      </c>
      <c r="M64" s="31">
        <v>0.22156862745098038</v>
      </c>
      <c r="N64" s="31">
        <v>0.55813953488372092</v>
      </c>
      <c r="O64" s="31">
        <v>0.4247787610619469</v>
      </c>
      <c r="P64" s="31">
        <v>0.45512820512820512</v>
      </c>
    </row>
    <row r="65" spans="1:16" x14ac:dyDescent="0.45">
      <c r="A65" s="33">
        <v>62</v>
      </c>
      <c r="B65" s="30">
        <v>-18.100000000000041</v>
      </c>
      <c r="C65" s="30">
        <v>-0.2919354838709684</v>
      </c>
      <c r="D65" s="35">
        <v>2.0806451612903225</v>
      </c>
      <c r="E65" s="31">
        <v>0.27419354838709675</v>
      </c>
      <c r="F65" s="31">
        <v>0.35483870967741937</v>
      </c>
      <c r="G65" s="31">
        <v>0.30560928433268858</v>
      </c>
      <c r="H65" s="31">
        <v>0.18762088974854932</v>
      </c>
      <c r="I65" s="32">
        <v>8296.2025316455693</v>
      </c>
      <c r="J65" s="32">
        <v>-6740.2061855670099</v>
      </c>
      <c r="K65" s="31">
        <v>6.4516129032258063E-2</v>
      </c>
      <c r="L65" s="31">
        <v>0.25338491295938104</v>
      </c>
      <c r="M65" s="31">
        <v>0.22050290135396519</v>
      </c>
      <c r="N65" s="31">
        <v>0.56488549618320616</v>
      </c>
      <c r="O65" s="31">
        <v>0.42105263157894735</v>
      </c>
      <c r="P65" s="31">
        <v>0.45569620253164556</v>
      </c>
    </row>
    <row r="66" spans="1:16" x14ac:dyDescent="0.45">
      <c r="A66" s="33">
        <v>63</v>
      </c>
      <c r="B66" s="30">
        <v>-40.80000000000004</v>
      </c>
      <c r="C66" s="30">
        <v>-0.6476190476190482</v>
      </c>
      <c r="D66" s="35">
        <v>2.0952380952380953</v>
      </c>
      <c r="E66" s="31">
        <v>0.26984126984126983</v>
      </c>
      <c r="F66" s="31">
        <v>0.36507936507936506</v>
      </c>
      <c r="G66" s="31">
        <v>0.30534351145038169</v>
      </c>
      <c r="H66" s="31">
        <v>0.18893129770992367</v>
      </c>
      <c r="I66" s="32">
        <v>8292.5</v>
      </c>
      <c r="J66" s="32">
        <v>-6866.666666666667</v>
      </c>
      <c r="K66" s="31">
        <v>6.3492063492063489E-2</v>
      </c>
      <c r="L66" s="31">
        <v>0.25190839694656486</v>
      </c>
      <c r="M66" s="31">
        <v>0.21946564885496184</v>
      </c>
      <c r="N66" s="31">
        <v>0.56818181818181823</v>
      </c>
      <c r="O66" s="31">
        <v>0.42608695652173911</v>
      </c>
      <c r="P66" s="31">
        <v>0.45</v>
      </c>
    </row>
    <row r="67" spans="1:16" x14ac:dyDescent="0.45">
      <c r="A67" s="33">
        <v>64</v>
      </c>
      <c r="B67" s="30">
        <v>-18.600000000000041</v>
      </c>
      <c r="C67" s="30">
        <v>-0.29062500000000063</v>
      </c>
      <c r="D67" s="35">
        <v>2.078125</v>
      </c>
      <c r="E67" s="31">
        <v>0.28125</v>
      </c>
      <c r="F67" s="31">
        <v>0.359375</v>
      </c>
      <c r="G67" s="31">
        <v>0.30769230769230771</v>
      </c>
      <c r="H67" s="31">
        <v>0.18949343339587241</v>
      </c>
      <c r="I67" s="32">
        <v>8240.2439024390242</v>
      </c>
      <c r="J67" s="32">
        <v>-6858.4158415841584</v>
      </c>
      <c r="K67" s="31">
        <v>6.25E-2</v>
      </c>
      <c r="L67" s="31">
        <v>0.25328330206378985</v>
      </c>
      <c r="M67" s="31">
        <v>0.2176360225140713</v>
      </c>
      <c r="N67" s="31">
        <v>0.57037037037037042</v>
      </c>
      <c r="O67" s="31">
        <v>0.43103448275862066</v>
      </c>
      <c r="P67" s="31">
        <v>0.4451219512195122</v>
      </c>
    </row>
    <row r="68" spans="1:16" x14ac:dyDescent="0.45">
      <c r="A68" s="33">
        <v>65</v>
      </c>
      <c r="B68" s="30">
        <v>-71.500000000000043</v>
      </c>
      <c r="C68" s="30">
        <v>-1.1000000000000008</v>
      </c>
      <c r="D68" s="35">
        <v>2.0923076923076924</v>
      </c>
      <c r="E68" s="31">
        <v>0.27692307692307694</v>
      </c>
      <c r="F68" s="31">
        <v>0.36923076923076925</v>
      </c>
      <c r="G68" s="31">
        <v>0.30555555555555558</v>
      </c>
      <c r="H68" s="31">
        <v>0.19444444444444445</v>
      </c>
      <c r="I68" s="32">
        <v>8238.7878787878781</v>
      </c>
      <c r="J68" s="32">
        <v>-6929.5238095238092</v>
      </c>
      <c r="K68" s="31">
        <v>7.6923076923076927E-2</v>
      </c>
      <c r="L68" s="31">
        <v>0.25370370370370371</v>
      </c>
      <c r="M68" s="31">
        <v>0.21481481481481482</v>
      </c>
      <c r="N68" s="31">
        <v>0.56204379562043794</v>
      </c>
      <c r="O68" s="31">
        <v>0.43103448275862066</v>
      </c>
      <c r="P68" s="31">
        <v>0.44848484848484849</v>
      </c>
    </row>
    <row r="69" spans="1:16" x14ac:dyDescent="0.45">
      <c r="A69" s="33">
        <v>66</v>
      </c>
      <c r="B69" s="30">
        <v>-97.500000000000043</v>
      </c>
      <c r="C69" s="30">
        <v>-1.477272727272728</v>
      </c>
      <c r="D69" s="35">
        <v>2.106060606060606</v>
      </c>
      <c r="E69" s="31">
        <v>0.27272727272727271</v>
      </c>
      <c r="F69" s="31">
        <v>0.37878787878787878</v>
      </c>
      <c r="G69" s="31">
        <v>0.30308529945553542</v>
      </c>
      <c r="H69" s="31">
        <v>0.19237749546279492</v>
      </c>
      <c r="I69" s="32">
        <v>8235.9281437125755</v>
      </c>
      <c r="J69" s="32">
        <v>-6878.3018867924529</v>
      </c>
      <c r="K69" s="31">
        <v>7.575757575757576E-2</v>
      </c>
      <c r="L69" s="31">
        <v>0.25045372050816694</v>
      </c>
      <c r="M69" s="31">
        <v>0.21234119782214156</v>
      </c>
      <c r="N69" s="31">
        <v>0.56521739130434778</v>
      </c>
      <c r="O69" s="31">
        <v>0.4358974358974359</v>
      </c>
      <c r="P69" s="31">
        <v>0.44910179640718562</v>
      </c>
    </row>
    <row r="70" spans="1:16" x14ac:dyDescent="0.45">
      <c r="A70" s="33">
        <v>67</v>
      </c>
      <c r="B70" s="30">
        <v>-93.30000000000004</v>
      </c>
      <c r="C70" s="30">
        <v>-1.3925373134328365</v>
      </c>
      <c r="D70" s="35">
        <v>2.1044776119402986</v>
      </c>
      <c r="E70" s="31">
        <v>0.26865671641791045</v>
      </c>
      <c r="F70" s="31">
        <v>0.37313432835820898</v>
      </c>
      <c r="G70" s="31">
        <v>0.30286738351254483</v>
      </c>
      <c r="H70" s="31">
        <v>0.18996415770609318</v>
      </c>
      <c r="I70" s="32">
        <v>8199.4082840236679</v>
      </c>
      <c r="J70" s="32">
        <v>-6878.3018867924529</v>
      </c>
      <c r="K70" s="31">
        <v>7.4626865671641784E-2</v>
      </c>
      <c r="L70" s="31">
        <v>0.24910394265232974</v>
      </c>
      <c r="M70" s="31">
        <v>0.21505376344086022</v>
      </c>
      <c r="N70" s="31">
        <v>0.5611510791366906</v>
      </c>
      <c r="O70" s="31">
        <v>0.44166666666666665</v>
      </c>
      <c r="P70" s="31">
        <v>0.44970414201183434</v>
      </c>
    </row>
    <row r="71" spans="1:16" x14ac:dyDescent="0.45">
      <c r="A71" s="33">
        <v>68</v>
      </c>
      <c r="B71" s="30">
        <v>-53.400000000000041</v>
      </c>
      <c r="C71" s="30">
        <v>-0.78529411764705948</v>
      </c>
      <c r="D71" s="35">
        <v>2.0882352941176472</v>
      </c>
      <c r="E71" s="31">
        <v>0.27941176470588236</v>
      </c>
      <c r="F71" s="31">
        <v>0.36764705882352944</v>
      </c>
      <c r="G71" s="31">
        <v>0.30701754385964913</v>
      </c>
      <c r="H71" s="31">
        <v>0.19122807017543861</v>
      </c>
      <c r="I71" s="32">
        <v>8152.5714285714284</v>
      </c>
      <c r="J71" s="32">
        <v>-6896.3302752293575</v>
      </c>
      <c r="K71" s="31">
        <v>7.3529411764705885E-2</v>
      </c>
      <c r="L71" s="31">
        <v>0.25263157894736843</v>
      </c>
      <c r="M71" s="31">
        <v>0.21403508771929824</v>
      </c>
      <c r="N71" s="31">
        <v>0.5625</v>
      </c>
      <c r="O71" s="31">
        <v>0.45081967213114754</v>
      </c>
      <c r="P71" s="31">
        <v>0.44</v>
      </c>
    </row>
    <row r="72" spans="1:16" x14ac:dyDescent="0.45">
      <c r="A72" s="33">
        <v>69</v>
      </c>
      <c r="B72" s="30">
        <v>-38.000000000000043</v>
      </c>
      <c r="C72" s="30">
        <v>-0.55072463768116009</v>
      </c>
      <c r="D72" s="35">
        <v>2.0724637681159419</v>
      </c>
      <c r="E72" s="31">
        <v>0.28985507246376813</v>
      </c>
      <c r="F72" s="31">
        <v>0.36231884057971014</v>
      </c>
      <c r="G72" s="31">
        <v>0.30795847750865052</v>
      </c>
      <c r="H72" s="31">
        <v>0.19031141868512111</v>
      </c>
      <c r="I72" s="32">
        <v>8097.1910112359546</v>
      </c>
      <c r="J72" s="32">
        <v>-6880.909090909091</v>
      </c>
      <c r="K72" s="31">
        <v>7.2463768115942032E-2</v>
      </c>
      <c r="L72" s="31">
        <v>0.25432525951557095</v>
      </c>
      <c r="M72" s="31">
        <v>0.21280276816608998</v>
      </c>
      <c r="N72" s="31">
        <v>0.55782312925170063</v>
      </c>
      <c r="O72" s="31">
        <v>0.45528455284552843</v>
      </c>
      <c r="P72" s="31">
        <v>0.43820224719101125</v>
      </c>
    </row>
    <row r="73" spans="1:16" x14ac:dyDescent="0.45">
      <c r="A73" s="33">
        <v>70</v>
      </c>
      <c r="B73" s="30">
        <v>-20.200000000000042</v>
      </c>
      <c r="C73" s="30">
        <v>-0.28857142857142914</v>
      </c>
      <c r="D73" s="35">
        <v>2.0571428571428569</v>
      </c>
      <c r="E73" s="31">
        <v>0.3</v>
      </c>
      <c r="F73" s="31">
        <v>0.35714285714285715</v>
      </c>
      <c r="G73" s="31">
        <v>0.31058020477815701</v>
      </c>
      <c r="H73" s="31">
        <v>0.18941979522184299</v>
      </c>
      <c r="I73" s="32">
        <v>8077.4725274725279</v>
      </c>
      <c r="J73" s="32">
        <v>-6927.0270270270266</v>
      </c>
      <c r="K73" s="31">
        <v>7.1428571428571425E-2</v>
      </c>
      <c r="L73" s="31">
        <v>0.25426621160409557</v>
      </c>
      <c r="M73" s="31">
        <v>0.21160409556313994</v>
      </c>
      <c r="N73" s="31">
        <v>0.56375838926174493</v>
      </c>
      <c r="O73" s="31">
        <v>0.45967741935483869</v>
      </c>
      <c r="P73" s="31">
        <v>0.44505494505494503</v>
      </c>
    </row>
    <row r="74" spans="1:16" x14ac:dyDescent="0.45">
      <c r="A74" s="33">
        <v>71</v>
      </c>
      <c r="B74" s="30">
        <v>-31.700000000000042</v>
      </c>
      <c r="C74" s="30">
        <v>-0.44647887323943719</v>
      </c>
      <c r="D74" s="35">
        <v>2.0704225352112675</v>
      </c>
      <c r="E74" s="31">
        <v>0.29577464788732394</v>
      </c>
      <c r="F74" s="31">
        <v>0.36619718309859156</v>
      </c>
      <c r="G74" s="31">
        <v>0.31092436974789917</v>
      </c>
      <c r="H74" s="31">
        <v>0.1915966386554622</v>
      </c>
      <c r="I74" s="32">
        <v>8127.5675675675675</v>
      </c>
      <c r="J74" s="32">
        <v>-6893.8596491228072</v>
      </c>
      <c r="K74" s="31">
        <v>7.0422535211267609E-2</v>
      </c>
      <c r="L74" s="31">
        <v>0.253781512605042</v>
      </c>
      <c r="M74" s="31">
        <v>0.2134453781512605</v>
      </c>
      <c r="N74" s="31">
        <v>0.5629139072847682</v>
      </c>
      <c r="O74" s="31">
        <v>0.45669291338582679</v>
      </c>
      <c r="P74" s="31">
        <v>0.45405405405405408</v>
      </c>
    </row>
    <row r="75" spans="1:16" x14ac:dyDescent="0.45">
      <c r="A75" s="33">
        <v>72</v>
      </c>
      <c r="B75" s="30">
        <v>18.699999999999957</v>
      </c>
      <c r="C75" s="30">
        <v>0.25972222222222163</v>
      </c>
      <c r="D75" s="35">
        <v>2.0555555555555554</v>
      </c>
      <c r="E75" s="31">
        <v>0.30555555555555558</v>
      </c>
      <c r="F75" s="31">
        <v>0.3611111111111111</v>
      </c>
      <c r="G75" s="31">
        <v>0.31333333333333335</v>
      </c>
      <c r="H75" s="31">
        <v>0.19</v>
      </c>
      <c r="I75" s="32">
        <v>8221.2765957446809</v>
      </c>
      <c r="J75" s="32">
        <v>-6893.8596491228072</v>
      </c>
      <c r="K75" s="31">
        <v>6.9444444444444448E-2</v>
      </c>
      <c r="L75" s="31">
        <v>0.25333333333333335</v>
      </c>
      <c r="M75" s="31">
        <v>0.21166666666666667</v>
      </c>
      <c r="N75" s="31">
        <v>0.56578947368421051</v>
      </c>
      <c r="O75" s="31">
        <v>0.45669291338582679</v>
      </c>
      <c r="P75" s="31">
        <v>0.4521276595744681</v>
      </c>
    </row>
    <row r="76" spans="1:16" x14ac:dyDescent="0.45">
      <c r="A76" s="33">
        <v>73</v>
      </c>
      <c r="B76" s="30">
        <v>11.799999999999956</v>
      </c>
      <c r="C76" s="30">
        <v>0.16164383561643775</v>
      </c>
      <c r="D76" s="35">
        <v>2.0547945205479454</v>
      </c>
      <c r="E76" s="31">
        <v>0.30136986301369861</v>
      </c>
      <c r="F76" s="31">
        <v>0.35616438356164382</v>
      </c>
      <c r="G76" s="31">
        <v>0.31311475409836065</v>
      </c>
      <c r="H76" s="31">
        <v>0.1901639344262295</v>
      </c>
      <c r="I76" s="32">
        <v>8220.4188481675392</v>
      </c>
      <c r="J76" s="32">
        <v>-6875</v>
      </c>
      <c r="K76" s="31">
        <v>6.8493150684931503E-2</v>
      </c>
      <c r="L76" s="31">
        <v>0.24918032786885247</v>
      </c>
      <c r="M76" s="31">
        <v>0.21311475409836064</v>
      </c>
      <c r="N76" s="31">
        <v>0.56578947368421051</v>
      </c>
      <c r="O76" s="31">
        <v>0.45384615384615384</v>
      </c>
      <c r="P76" s="31">
        <v>0.4607329842931937</v>
      </c>
    </row>
    <row r="77" spans="1:16" x14ac:dyDescent="0.45">
      <c r="A77" s="33">
        <v>74</v>
      </c>
      <c r="B77" s="30">
        <v>-7.5000000000000444</v>
      </c>
      <c r="C77" s="30">
        <v>-0.10135135135135195</v>
      </c>
      <c r="D77" s="35">
        <v>2.0675675675675675</v>
      </c>
      <c r="E77" s="31">
        <v>0.29729729729729731</v>
      </c>
      <c r="F77" s="31">
        <v>0.36486486486486486</v>
      </c>
      <c r="G77" s="31">
        <v>0.31442463533225284</v>
      </c>
      <c r="H77" s="31">
        <v>0.18962722852512157</v>
      </c>
      <c r="I77" s="32">
        <v>8127.8350515463917</v>
      </c>
      <c r="J77" s="32">
        <v>-6882.0512820512822</v>
      </c>
      <c r="K77" s="31">
        <v>6.7567567567567571E-2</v>
      </c>
      <c r="L77" s="31">
        <v>0.24797406807131281</v>
      </c>
      <c r="M77" s="31">
        <v>0.21231766612641814</v>
      </c>
      <c r="N77" s="31">
        <v>0.56209150326797386</v>
      </c>
      <c r="O77" s="31">
        <v>0.45038167938931295</v>
      </c>
      <c r="P77" s="31">
        <v>0.45876288659793812</v>
      </c>
    </row>
    <row r="78" spans="1:16" x14ac:dyDescent="0.45">
      <c r="A78" s="33">
        <v>75</v>
      </c>
      <c r="B78" s="30">
        <v>28.799999999999955</v>
      </c>
      <c r="C78" s="30">
        <v>0.3839999999999994</v>
      </c>
      <c r="D78" s="35">
        <v>2.0533333333333332</v>
      </c>
      <c r="E78" s="31">
        <v>0.30666666666666664</v>
      </c>
      <c r="F78" s="31">
        <v>0.36</v>
      </c>
      <c r="G78" s="31">
        <v>0.31570512820512819</v>
      </c>
      <c r="H78" s="31">
        <v>0.1875</v>
      </c>
      <c r="I78" s="32">
        <v>8136.040609137056</v>
      </c>
      <c r="J78" s="32">
        <v>-6882.0512820512822</v>
      </c>
      <c r="K78" s="31">
        <v>6.6666666666666666E-2</v>
      </c>
      <c r="L78" s="31">
        <v>0.2483974358974359</v>
      </c>
      <c r="M78" s="31">
        <v>0.21153846153846154</v>
      </c>
      <c r="N78" s="31">
        <v>0.56129032258064515</v>
      </c>
      <c r="O78" s="31">
        <v>0.45454545454545453</v>
      </c>
      <c r="P78" s="31">
        <v>0.45685279187817257</v>
      </c>
    </row>
    <row r="79" spans="1:16" x14ac:dyDescent="0.45">
      <c r="A79" s="33">
        <v>76</v>
      </c>
      <c r="B79" s="30">
        <v>50.799999999999955</v>
      </c>
      <c r="C79" s="30">
        <v>0.66842105263157836</v>
      </c>
      <c r="D79" s="35">
        <v>2.0394736842105261</v>
      </c>
      <c r="E79" s="31">
        <v>0.31578947368421051</v>
      </c>
      <c r="F79" s="31">
        <v>0.35526315789473684</v>
      </c>
      <c r="G79" s="31">
        <v>0.31645569620253167</v>
      </c>
      <c r="H79" s="31">
        <v>0.18829113924050633</v>
      </c>
      <c r="I79" s="32">
        <v>8139</v>
      </c>
      <c r="J79" s="32">
        <v>-6826.8907563025214</v>
      </c>
      <c r="K79" s="31">
        <v>6.5789473684210523E-2</v>
      </c>
      <c r="L79" s="31">
        <v>0.24841772151898733</v>
      </c>
      <c r="M79" s="31">
        <v>0.21202531645569619</v>
      </c>
      <c r="N79" s="31">
        <v>0.56687898089171973</v>
      </c>
      <c r="O79" s="31">
        <v>0.45522388059701491</v>
      </c>
      <c r="P79" s="31">
        <v>0.46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8FE85-2393-4A76-90D7-7AC96D91B1D9}">
  <sheetPr codeName="Sheet6"/>
  <dimension ref="A1:Q9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5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5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5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5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5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5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5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5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5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5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5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5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5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5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5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5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5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5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5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5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5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5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5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5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5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5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5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5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5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5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5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5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5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5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5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5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5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5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5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5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5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5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5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5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5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5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5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5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5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5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5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5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5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5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5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5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5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5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5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5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5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  <row r="66" spans="1:16" x14ac:dyDescent="0.45">
      <c r="A66" s="33">
        <v>63</v>
      </c>
      <c r="B66" s="30">
        <v>1.7763568394002505E-14</v>
      </c>
      <c r="C66" s="30">
        <v>9.3987134359801607E-17</v>
      </c>
      <c r="D66" s="35">
        <v>1.9947089947089947</v>
      </c>
      <c r="E66" s="31">
        <v>0.33862433862433861</v>
      </c>
      <c r="F66" s="31">
        <v>0.33333333333333331</v>
      </c>
      <c r="G66" s="31">
        <v>0.29580988117573481</v>
      </c>
      <c r="H66" s="31">
        <v>0.16385240775484677</v>
      </c>
      <c r="I66" s="32">
        <v>8030.0211416490483</v>
      </c>
      <c r="J66" s="32">
        <v>-7228.2442748091607</v>
      </c>
      <c r="K66" s="31">
        <v>8.4656084656084651E-2</v>
      </c>
      <c r="L66" s="31">
        <v>0.2407754846779237</v>
      </c>
      <c r="M66" s="31">
        <v>0.2320200125078174</v>
      </c>
      <c r="N66" s="31">
        <v>0.51168831168831164</v>
      </c>
      <c r="O66" s="31">
        <v>0.44204851752021562</v>
      </c>
      <c r="P66" s="31">
        <v>0.44186046511627908</v>
      </c>
    </row>
    <row r="67" spans="1:16" x14ac:dyDescent="0.45">
      <c r="A67" s="33">
        <v>64</v>
      </c>
      <c r="B67" s="30">
        <v>2.2648549702353193E-14</v>
      </c>
      <c r="C67" s="30">
        <v>1.1796119636642288E-16</v>
      </c>
      <c r="D67" s="35">
        <v>1.9947916666666667</v>
      </c>
      <c r="E67" s="31">
        <v>0.33854166666666669</v>
      </c>
      <c r="F67" s="31">
        <v>0.33333333333333331</v>
      </c>
      <c r="G67" s="31">
        <v>0.29520295202952029</v>
      </c>
      <c r="H67" s="31">
        <v>0.16420664206642066</v>
      </c>
      <c r="I67" s="32">
        <v>8009.583333333333</v>
      </c>
      <c r="J67" s="32">
        <v>-7242.3220973782772</v>
      </c>
      <c r="K67" s="31">
        <v>8.8541666666666671E-2</v>
      </c>
      <c r="L67" s="31">
        <v>0.24231242312423124</v>
      </c>
      <c r="M67" s="31">
        <v>0.23308733087330874</v>
      </c>
      <c r="N67" s="31">
        <v>0.50761421319796951</v>
      </c>
      <c r="O67" s="31">
        <v>0.44063324538258575</v>
      </c>
      <c r="P67" s="31">
        <v>0.43958333333333333</v>
      </c>
    </row>
    <row r="68" spans="1:16" x14ac:dyDescent="0.45">
      <c r="A68" s="33">
        <v>65</v>
      </c>
      <c r="B68" s="30">
        <v>2.1316282072803006E-14</v>
      </c>
      <c r="C68" s="30">
        <v>1.0931426704001542E-16</v>
      </c>
      <c r="D68" s="35">
        <v>1.9948717948717949</v>
      </c>
      <c r="E68" s="31">
        <v>0.33846153846153848</v>
      </c>
      <c r="F68" s="31">
        <v>0.33333333333333331</v>
      </c>
      <c r="G68" s="31">
        <v>0.29515151515151516</v>
      </c>
      <c r="H68" s="31">
        <v>0.16484848484848486</v>
      </c>
      <c r="I68" s="32">
        <v>8069.8151950718684</v>
      </c>
      <c r="J68" s="32">
        <v>-7312.8676470588234</v>
      </c>
      <c r="K68" s="31">
        <v>8.7179487179487175E-2</v>
      </c>
      <c r="L68" s="31">
        <v>0.24424242424242423</v>
      </c>
      <c r="M68" s="31">
        <v>0.23272727272727273</v>
      </c>
      <c r="N68" s="31">
        <v>0.50868486352357323</v>
      </c>
      <c r="O68" s="31">
        <v>0.44010416666666669</v>
      </c>
      <c r="P68" s="31">
        <v>0.43737166324435317</v>
      </c>
    </row>
    <row r="69" spans="1:16" x14ac:dyDescent="0.45">
      <c r="A69" s="33">
        <v>66</v>
      </c>
      <c r="B69" s="30">
        <v>2.1316282072803006E-14</v>
      </c>
      <c r="C69" s="30">
        <v>1.0765799026668185E-16</v>
      </c>
      <c r="D69" s="35">
        <v>1.994949494949495</v>
      </c>
      <c r="E69" s="31">
        <v>0.3383838383838384</v>
      </c>
      <c r="F69" s="31">
        <v>0.33333333333333331</v>
      </c>
      <c r="G69" s="31">
        <v>0.29443447037701975</v>
      </c>
      <c r="H69" s="31">
        <v>0.16517055655296231</v>
      </c>
      <c r="I69" s="32">
        <v>8070.9349593495936</v>
      </c>
      <c r="J69" s="32">
        <v>-7350.724637681159</v>
      </c>
      <c r="K69" s="31">
        <v>8.5858585858585856E-2</v>
      </c>
      <c r="L69" s="31">
        <v>0.24416517055655296</v>
      </c>
      <c r="M69" s="31">
        <v>0.23159784560143626</v>
      </c>
      <c r="N69" s="31">
        <v>0.50735294117647056</v>
      </c>
      <c r="O69" s="31">
        <v>0.43927648578811368</v>
      </c>
      <c r="P69" s="31">
        <v>0.43495934959349591</v>
      </c>
    </row>
    <row r="70" spans="1:16" x14ac:dyDescent="0.45">
      <c r="A70" s="33">
        <v>67</v>
      </c>
      <c r="B70" s="30">
        <v>2.1316282072803006E-14</v>
      </c>
      <c r="C70" s="30">
        <v>1.0605115459105973E-16</v>
      </c>
      <c r="D70" s="35">
        <v>1.9950248756218905</v>
      </c>
      <c r="E70" s="31">
        <v>0.3383084577114428</v>
      </c>
      <c r="F70" s="31">
        <v>0.33333333333333331</v>
      </c>
      <c r="G70" s="31">
        <v>0.29328621908127206</v>
      </c>
      <c r="H70" s="31">
        <v>0.16431095406360424</v>
      </c>
      <c r="I70" s="32">
        <v>8018.8755020080325</v>
      </c>
      <c r="J70" s="32">
        <v>-7294.9820788530469</v>
      </c>
      <c r="K70" s="31">
        <v>8.45771144278607E-2</v>
      </c>
      <c r="L70" s="31">
        <v>0.24440518256772673</v>
      </c>
      <c r="M70" s="31">
        <v>0.2314487632508834</v>
      </c>
      <c r="N70" s="31">
        <v>0.50120481927710847</v>
      </c>
      <c r="O70" s="31">
        <v>0.43765903307888043</v>
      </c>
      <c r="P70" s="31">
        <v>0.43574297188755018</v>
      </c>
    </row>
    <row r="71" spans="1:16" x14ac:dyDescent="0.45">
      <c r="A71" s="33">
        <v>68</v>
      </c>
      <c r="B71" s="30">
        <v>2.3092638912203256E-14</v>
      </c>
      <c r="C71" s="30">
        <v>1.1319921035393752E-16</v>
      </c>
      <c r="D71" s="35">
        <v>1.9950980392156863</v>
      </c>
      <c r="E71" s="31">
        <v>0.33823529411764708</v>
      </c>
      <c r="F71" s="31">
        <v>0.33333333333333331</v>
      </c>
      <c r="G71" s="31">
        <v>0.29333333333333333</v>
      </c>
      <c r="H71" s="31">
        <v>0.16637681159420289</v>
      </c>
      <c r="I71" s="32">
        <v>8029.644268774704</v>
      </c>
      <c r="J71" s="32">
        <v>-7334.1463414634145</v>
      </c>
      <c r="K71" s="31">
        <v>8.3333333333333329E-2</v>
      </c>
      <c r="L71" s="31">
        <v>0.24521739130434783</v>
      </c>
      <c r="M71" s="31">
        <v>0.2336231884057971</v>
      </c>
      <c r="N71" s="31">
        <v>0.50118203309692666</v>
      </c>
      <c r="O71" s="31">
        <v>0.4317617866004963</v>
      </c>
      <c r="P71" s="31">
        <v>0.42885375494071148</v>
      </c>
    </row>
    <row r="72" spans="1:16" x14ac:dyDescent="0.45">
      <c r="A72" s="33">
        <v>69</v>
      </c>
      <c r="B72" s="30">
        <v>1.865174681370263E-14</v>
      </c>
      <c r="C72" s="30">
        <v>9.0105057071027203E-17</v>
      </c>
      <c r="D72" s="35">
        <v>1.9951690821256038</v>
      </c>
      <c r="E72" s="31">
        <v>0.33816425120772947</v>
      </c>
      <c r="F72" s="31">
        <v>0.33333333333333331</v>
      </c>
      <c r="G72" s="31">
        <v>0.29324169530355099</v>
      </c>
      <c r="H72" s="31">
        <v>0.16494845360824742</v>
      </c>
      <c r="I72" s="32">
        <v>8075.5859375</v>
      </c>
      <c r="J72" s="32">
        <v>-7335.416666666667</v>
      </c>
      <c r="K72" s="31">
        <v>8.2125603864734303E-2</v>
      </c>
      <c r="L72" s="31">
        <v>0.24513172966781213</v>
      </c>
      <c r="M72" s="31">
        <v>0.23482245131729668</v>
      </c>
      <c r="N72" s="31">
        <v>0.50467289719626163</v>
      </c>
      <c r="O72" s="31">
        <v>0.42682926829268292</v>
      </c>
      <c r="P72" s="31">
        <v>0.43359375</v>
      </c>
    </row>
    <row r="73" spans="1:16" x14ac:dyDescent="0.45">
      <c r="A73" s="33">
        <v>70</v>
      </c>
      <c r="B73" s="30">
        <v>1.7763568394002505E-14</v>
      </c>
      <c r="C73" s="30">
        <v>8.4588420923821446E-17</v>
      </c>
      <c r="D73" s="35">
        <v>1.9952380952380953</v>
      </c>
      <c r="E73" s="31">
        <v>0.33809523809523812</v>
      </c>
      <c r="F73" s="31">
        <v>0.33333333333333331</v>
      </c>
      <c r="G73" s="31">
        <v>0.29322033898305083</v>
      </c>
      <c r="H73" s="31">
        <v>0.1655367231638418</v>
      </c>
      <c r="I73" s="32">
        <v>8055.1059730250481</v>
      </c>
      <c r="J73" s="32">
        <v>-7298.6348122866893</v>
      </c>
      <c r="K73" s="31">
        <v>8.0952380952380956E-2</v>
      </c>
      <c r="L73" s="31">
        <v>0.24576271186440679</v>
      </c>
      <c r="M73" s="31">
        <v>0.2344632768361582</v>
      </c>
      <c r="N73" s="31">
        <v>0.50574712643678166</v>
      </c>
      <c r="O73" s="31">
        <v>0.42409638554216866</v>
      </c>
      <c r="P73" s="31">
        <v>0.43159922928709055</v>
      </c>
    </row>
    <row r="74" spans="1:16" x14ac:dyDescent="0.45">
      <c r="A74" s="33">
        <v>71</v>
      </c>
      <c r="B74" s="30">
        <v>2.1316282072803006E-14</v>
      </c>
      <c r="C74" s="30">
        <v>1.0007644165635214E-16</v>
      </c>
      <c r="D74" s="35">
        <v>1.9953051643192488</v>
      </c>
      <c r="E74" s="31">
        <v>0.3380281690140845</v>
      </c>
      <c r="F74" s="31">
        <v>0.33333333333333331</v>
      </c>
      <c r="G74" s="31">
        <v>0.29375696767001114</v>
      </c>
      <c r="H74" s="31">
        <v>0.16610925306577481</v>
      </c>
      <c r="I74" s="32">
        <v>8064.7058823529414</v>
      </c>
      <c r="J74" s="32">
        <v>-7332.8859060402683</v>
      </c>
      <c r="K74" s="31">
        <v>7.9812206572769953E-2</v>
      </c>
      <c r="L74" s="31">
        <v>0.24526198439241917</v>
      </c>
      <c r="M74" s="31">
        <v>0.23467112597547379</v>
      </c>
      <c r="N74" s="31">
        <v>0.50454545454545452</v>
      </c>
      <c r="O74" s="31">
        <v>0.42755344418052255</v>
      </c>
      <c r="P74" s="31">
        <v>0.43074003795066412</v>
      </c>
    </row>
    <row r="75" spans="1:16" x14ac:dyDescent="0.45">
      <c r="A75" s="33">
        <v>72</v>
      </c>
      <c r="B75" s="30">
        <v>2.55351295663786E-14</v>
      </c>
      <c r="C75" s="30">
        <v>1.1821819243693797E-16</v>
      </c>
      <c r="D75" s="35">
        <v>1.9953703703703705</v>
      </c>
      <c r="E75" s="31">
        <v>0.33796296296296297</v>
      </c>
      <c r="F75" s="31">
        <v>0.33333333333333331</v>
      </c>
      <c r="G75" s="31">
        <v>0.2943437671609006</v>
      </c>
      <c r="H75" s="31">
        <v>0.16639209225700163</v>
      </c>
      <c r="I75" s="32">
        <v>8077.9850746268658</v>
      </c>
      <c r="J75" s="32">
        <v>-7349.1749174917495</v>
      </c>
      <c r="K75" s="31">
        <v>8.3333333333333329E-2</v>
      </c>
      <c r="L75" s="31">
        <v>0.24382207578253706</v>
      </c>
      <c r="M75" s="31">
        <v>0.23338824821526633</v>
      </c>
      <c r="N75" s="31">
        <v>0.5067567567567568</v>
      </c>
      <c r="O75" s="31">
        <v>0.42823529411764705</v>
      </c>
      <c r="P75" s="31">
        <v>0.43097014925373134</v>
      </c>
    </row>
    <row r="76" spans="1:16" x14ac:dyDescent="0.45">
      <c r="A76" s="33">
        <v>73</v>
      </c>
      <c r="B76" s="30">
        <v>2.8421709430404007E-14</v>
      </c>
      <c r="C76" s="30">
        <v>1.2977949511600003E-16</v>
      </c>
      <c r="D76" s="35">
        <v>1.995433789954338</v>
      </c>
      <c r="E76" s="31">
        <v>0.33789954337899542</v>
      </c>
      <c r="F76" s="31">
        <v>0.33333333333333331</v>
      </c>
      <c r="G76" s="31">
        <v>0.2943089430894309</v>
      </c>
      <c r="H76" s="31">
        <v>0.16693766937669377</v>
      </c>
      <c r="I76" s="32">
        <v>8057.6427255985263</v>
      </c>
      <c r="J76" s="32">
        <v>-7346.4285714285716</v>
      </c>
      <c r="K76" s="31">
        <v>8.2191780821917804E-2</v>
      </c>
      <c r="L76" s="31">
        <v>0.24281842818428184</v>
      </c>
      <c r="M76" s="31">
        <v>0.23523035230352304</v>
      </c>
      <c r="N76" s="31">
        <v>0.5089285714285714</v>
      </c>
      <c r="O76" s="31">
        <v>0.42857142857142855</v>
      </c>
      <c r="P76" s="31">
        <v>0.42909760589318602</v>
      </c>
    </row>
    <row r="77" spans="1:16" x14ac:dyDescent="0.45">
      <c r="A77" s="33">
        <v>74</v>
      </c>
      <c r="B77" s="30">
        <v>3.5527136788005009E-14</v>
      </c>
      <c r="C77" s="30">
        <v>1.6003214769371625E-16</v>
      </c>
      <c r="D77" s="35">
        <v>1.9954954954954955</v>
      </c>
      <c r="E77" s="31">
        <v>0.33783783783783783</v>
      </c>
      <c r="F77" s="31">
        <v>0.33333333333333331</v>
      </c>
      <c r="G77" s="31">
        <v>0.29399255715045186</v>
      </c>
      <c r="H77" s="31">
        <v>0.16799574694311536</v>
      </c>
      <c r="I77" s="32">
        <v>8049.1862567811932</v>
      </c>
      <c r="J77" s="32">
        <v>-7318.0379746835442</v>
      </c>
      <c r="K77" s="31">
        <v>8.1081081081081086E-2</v>
      </c>
      <c r="L77" s="31">
        <v>0.23976608187134502</v>
      </c>
      <c r="M77" s="31">
        <v>0.23179160021265285</v>
      </c>
      <c r="N77" s="31">
        <v>0.50997782705099781</v>
      </c>
      <c r="O77" s="31">
        <v>0.42889908256880732</v>
      </c>
      <c r="P77" s="31">
        <v>0.42495479204339964</v>
      </c>
    </row>
    <row r="78" spans="1:16" x14ac:dyDescent="0.45">
      <c r="A78" s="33">
        <v>75</v>
      </c>
      <c r="B78" s="30">
        <v>3.4083846855992306E-14</v>
      </c>
      <c r="C78" s="30">
        <v>1.5148376380441024E-16</v>
      </c>
      <c r="D78" s="35">
        <v>1.9955555555555555</v>
      </c>
      <c r="E78" s="31">
        <v>0.33777777777777779</v>
      </c>
      <c r="F78" s="31">
        <v>0.33333333333333331</v>
      </c>
      <c r="G78" s="31">
        <v>0.29442691903259727</v>
      </c>
      <c r="H78" s="31">
        <v>0.16719242902208201</v>
      </c>
      <c r="I78" s="32">
        <v>8032.3214285714284</v>
      </c>
      <c r="J78" s="32">
        <v>-7305.3459119496856</v>
      </c>
      <c r="K78" s="31">
        <v>0.08</v>
      </c>
      <c r="L78" s="31">
        <v>0.23817034700315456</v>
      </c>
      <c r="M78" s="31">
        <v>0.231335436382755</v>
      </c>
      <c r="N78" s="31">
        <v>0.51214128035320083</v>
      </c>
      <c r="O78" s="31">
        <v>0.42727272727272725</v>
      </c>
      <c r="P78" s="31">
        <v>0.42857142857142855</v>
      </c>
    </row>
    <row r="79" spans="1:16" x14ac:dyDescent="0.45">
      <c r="A79" s="33">
        <v>76</v>
      </c>
      <c r="B79" s="30">
        <v>3.5527136788005009E-14</v>
      </c>
      <c r="C79" s="30">
        <v>1.5582077538598687E-16</v>
      </c>
      <c r="D79" s="35">
        <v>1.9956140350877194</v>
      </c>
      <c r="E79" s="31">
        <v>0.33771929824561403</v>
      </c>
      <c r="F79" s="31">
        <v>0.33333333333333331</v>
      </c>
      <c r="G79" s="31">
        <v>0.29427083333333331</v>
      </c>
      <c r="H79" s="31">
        <v>0.16666666666666666</v>
      </c>
      <c r="I79" s="32">
        <v>8024.9557522123896</v>
      </c>
      <c r="J79" s="32">
        <v>-7309.6875</v>
      </c>
      <c r="K79" s="31">
        <v>7.8947368421052627E-2</v>
      </c>
      <c r="L79" s="31">
        <v>0.23854166666666668</v>
      </c>
      <c r="M79" s="31">
        <v>0.23125000000000001</v>
      </c>
      <c r="N79" s="31">
        <v>0.51310043668122274</v>
      </c>
      <c r="O79" s="31">
        <v>0.42567567567567566</v>
      </c>
      <c r="P79" s="31">
        <v>0.43008849557522122</v>
      </c>
    </row>
    <row r="80" spans="1:16" x14ac:dyDescent="0.45">
      <c r="A80" s="33">
        <v>77</v>
      </c>
      <c r="B80" s="30">
        <v>3.6859404417555197E-14</v>
      </c>
      <c r="C80" s="30">
        <v>1.5956452128811773E-16</v>
      </c>
      <c r="D80" s="35">
        <v>1.9956709956709957</v>
      </c>
      <c r="E80" s="31">
        <v>0.33766233766233766</v>
      </c>
      <c r="F80" s="31">
        <v>0.33333333333333331</v>
      </c>
      <c r="G80" s="31">
        <v>0.29417825862957236</v>
      </c>
      <c r="H80" s="31">
        <v>0.16640906749098403</v>
      </c>
      <c r="I80" s="32">
        <v>8000.5253940455341</v>
      </c>
      <c r="J80" s="32">
        <v>-7306.5015479876165</v>
      </c>
      <c r="K80" s="31">
        <v>7.792207792207792E-2</v>
      </c>
      <c r="L80" s="31">
        <v>0.2390520350334879</v>
      </c>
      <c r="M80" s="31">
        <v>0.23080886141164347</v>
      </c>
      <c r="N80" s="31">
        <v>0.51508620689655171</v>
      </c>
      <c r="O80" s="31">
        <v>0.42410714285714285</v>
      </c>
      <c r="P80" s="31">
        <v>0.43082311733800349</v>
      </c>
    </row>
    <row r="81" spans="1:16" x14ac:dyDescent="0.45">
      <c r="A81" s="33">
        <v>78</v>
      </c>
      <c r="B81" s="30">
        <v>3.5527136788005009E-14</v>
      </c>
      <c r="C81" s="30">
        <v>1.518253708889103E-16</v>
      </c>
      <c r="D81" s="35">
        <v>1.9957264957264957</v>
      </c>
      <c r="E81" s="31">
        <v>0.33760683760683763</v>
      </c>
      <c r="F81" s="31">
        <v>0.33333333333333331</v>
      </c>
      <c r="G81" s="31">
        <v>0.29408766564729866</v>
      </c>
      <c r="H81" s="31">
        <v>0.16666666666666666</v>
      </c>
      <c r="I81" s="32">
        <v>8006.0658578856155</v>
      </c>
      <c r="J81" s="32">
        <v>-7345.565749235474</v>
      </c>
      <c r="K81" s="31">
        <v>7.6923076923076927E-2</v>
      </c>
      <c r="L81" s="31">
        <v>0.23802242609582058</v>
      </c>
      <c r="M81" s="31">
        <v>0.23037716615698267</v>
      </c>
      <c r="N81" s="31">
        <v>0.5182012847965739</v>
      </c>
      <c r="O81" s="31">
        <v>0.42699115044247787</v>
      </c>
      <c r="P81" s="31">
        <v>0.42980935875216636</v>
      </c>
    </row>
    <row r="82" spans="1:16" x14ac:dyDescent="0.45">
      <c r="A82" s="33">
        <v>79</v>
      </c>
      <c r="B82" s="30">
        <v>3.1974423109204508E-14</v>
      </c>
      <c r="C82" s="30">
        <v>1.3491317767596839E-16</v>
      </c>
      <c r="D82" s="35">
        <v>1.9957805907172996</v>
      </c>
      <c r="E82" s="31">
        <v>0.33755274261603374</v>
      </c>
      <c r="F82" s="31">
        <v>0.33333333333333331</v>
      </c>
      <c r="G82" s="31">
        <v>0.29411764705882354</v>
      </c>
      <c r="H82" s="31">
        <v>0.167420814479638</v>
      </c>
      <c r="I82" s="32">
        <v>7969.2307692307695</v>
      </c>
      <c r="J82" s="32">
        <v>-7319.8198198198197</v>
      </c>
      <c r="K82" s="31">
        <v>7.5949367088607597E-2</v>
      </c>
      <c r="L82" s="31">
        <v>0.23831070889894421</v>
      </c>
      <c r="M82" s="31">
        <v>0.23026646556058319</v>
      </c>
      <c r="N82" s="31">
        <v>0.52109704641350207</v>
      </c>
      <c r="O82" s="31">
        <v>0.42358078602620086</v>
      </c>
      <c r="P82" s="31">
        <v>0.42735042735042733</v>
      </c>
    </row>
    <row r="83" spans="1:16" x14ac:dyDescent="0.45">
      <c r="A83" s="33">
        <v>80</v>
      </c>
      <c r="B83" s="30">
        <v>3.5527136788005009E-14</v>
      </c>
      <c r="C83" s="30">
        <v>1.4802973661668753E-16</v>
      </c>
      <c r="D83" s="35">
        <v>1.9958333333333333</v>
      </c>
      <c r="E83" s="31">
        <v>0.33750000000000002</v>
      </c>
      <c r="F83" s="31">
        <v>0.33333333333333331</v>
      </c>
      <c r="G83" s="31">
        <v>0.29402985074626864</v>
      </c>
      <c r="H83" s="31">
        <v>0.16766169154228855</v>
      </c>
      <c r="I83" s="32">
        <v>8001.5228426395943</v>
      </c>
      <c r="J83" s="32">
        <v>-7336.4985163204747</v>
      </c>
      <c r="K83" s="31">
        <v>7.9166666666666663E-2</v>
      </c>
      <c r="L83" s="31">
        <v>0.23781094527363184</v>
      </c>
      <c r="M83" s="31">
        <v>0.23034825870646766</v>
      </c>
      <c r="N83" s="31">
        <v>0.52092050209205021</v>
      </c>
      <c r="O83" s="31">
        <v>0.42116630669546434</v>
      </c>
      <c r="P83" s="31">
        <v>0.42639593908629442</v>
      </c>
    </row>
    <row r="84" spans="1:16" x14ac:dyDescent="0.45">
      <c r="A84" s="33">
        <v>81</v>
      </c>
      <c r="B84" s="30">
        <v>3.5527136788005009E-14</v>
      </c>
      <c r="C84" s="30">
        <v>1.4620220900413584E-16</v>
      </c>
      <c r="D84" s="35">
        <v>1.9958847736625513</v>
      </c>
      <c r="E84" s="31">
        <v>0.33744855967078191</v>
      </c>
      <c r="F84" s="31">
        <v>0.33333333333333331</v>
      </c>
      <c r="G84" s="31">
        <v>0.29368575624082233</v>
      </c>
      <c r="H84" s="31">
        <v>0.16642192853646598</v>
      </c>
      <c r="I84" s="32">
        <v>8015.333333333333</v>
      </c>
      <c r="J84" s="32">
        <v>-7311.1764705882351</v>
      </c>
      <c r="K84" s="31">
        <v>7.8189300411522639E-2</v>
      </c>
      <c r="L84" s="31">
        <v>0.23592755751346059</v>
      </c>
      <c r="M84" s="31">
        <v>0.23201174743024963</v>
      </c>
      <c r="N84" s="31">
        <v>0.52282157676348551</v>
      </c>
      <c r="O84" s="31">
        <v>0.42405063291139239</v>
      </c>
      <c r="P84" s="31">
        <v>0.43</v>
      </c>
    </row>
    <row r="85" spans="1:16" x14ac:dyDescent="0.45">
      <c r="A85" s="33">
        <v>82</v>
      </c>
      <c r="B85" s="30">
        <v>3.2862601528904634E-14</v>
      </c>
      <c r="C85" s="30">
        <v>1.3358781109310828E-16</v>
      </c>
      <c r="D85" s="35">
        <v>1.9959349593495934</v>
      </c>
      <c r="E85" s="31">
        <v>0.33739837398373984</v>
      </c>
      <c r="F85" s="31">
        <v>0.33333333333333331</v>
      </c>
      <c r="G85" s="31">
        <v>0.29408914728682173</v>
      </c>
      <c r="H85" s="31">
        <v>0.16618217054263565</v>
      </c>
      <c r="I85" s="32">
        <v>7990.7742998352551</v>
      </c>
      <c r="J85" s="32">
        <v>-7316.9096209912541</v>
      </c>
      <c r="K85" s="31">
        <v>7.7235772357723581E-2</v>
      </c>
      <c r="L85" s="31">
        <v>0.23498062015503876</v>
      </c>
      <c r="M85" s="31">
        <v>0.23352713178294573</v>
      </c>
      <c r="N85" s="31">
        <v>0.52164948453608251</v>
      </c>
      <c r="O85" s="31">
        <v>0.42738589211618255</v>
      </c>
      <c r="P85" s="31">
        <v>0.43163097199341022</v>
      </c>
    </row>
    <row r="86" spans="1:16" x14ac:dyDescent="0.45">
      <c r="A86" s="33">
        <v>83</v>
      </c>
      <c r="B86" s="30">
        <v>2.8421709430404007E-14</v>
      </c>
      <c r="C86" s="30">
        <v>1.1414341136708436E-16</v>
      </c>
      <c r="D86" s="35">
        <v>1.9959839357429718</v>
      </c>
      <c r="E86" s="31">
        <v>0.33734939759036142</v>
      </c>
      <c r="F86" s="31">
        <v>0.33333333333333331</v>
      </c>
      <c r="G86" s="31">
        <v>0.29428571428571426</v>
      </c>
      <c r="H86" s="31">
        <v>0.16714285714285715</v>
      </c>
      <c r="I86" s="32">
        <v>7969.5792880258896</v>
      </c>
      <c r="J86" s="32">
        <v>-7307.4074074074078</v>
      </c>
      <c r="K86" s="31">
        <v>7.6305220883534142E-2</v>
      </c>
      <c r="L86" s="31">
        <v>0.23714285714285716</v>
      </c>
      <c r="M86" s="31">
        <v>0.23285714285714285</v>
      </c>
      <c r="N86" s="31">
        <v>0.52008032128514059</v>
      </c>
      <c r="O86" s="31">
        <v>0.42740286298568508</v>
      </c>
      <c r="P86" s="31">
        <v>0.42718446601941745</v>
      </c>
    </row>
    <row r="87" spans="1:16" x14ac:dyDescent="0.45">
      <c r="A87" s="33">
        <v>84</v>
      </c>
      <c r="B87" s="30">
        <v>2.8421709430404007E-14</v>
      </c>
      <c r="C87" s="30">
        <v>1.1278456123176193E-16</v>
      </c>
      <c r="D87" s="35">
        <v>1.996031746031746</v>
      </c>
      <c r="E87" s="31">
        <v>0.33730158730158732</v>
      </c>
      <c r="F87" s="31">
        <v>0.33333333333333331</v>
      </c>
      <c r="G87" s="31">
        <v>0.29472693032015068</v>
      </c>
      <c r="H87" s="31">
        <v>0.16807909604519775</v>
      </c>
      <c r="I87" s="32">
        <v>7959.7444089456867</v>
      </c>
      <c r="J87" s="32">
        <v>-7323.5294117647063</v>
      </c>
      <c r="K87" s="31">
        <v>7.5396825396825393E-2</v>
      </c>
      <c r="L87" s="31">
        <v>0.2396421845574388</v>
      </c>
      <c r="M87" s="31">
        <v>0.23305084745762711</v>
      </c>
      <c r="N87" s="31">
        <v>0.51866404715127701</v>
      </c>
      <c r="O87" s="31">
        <v>0.42626262626262629</v>
      </c>
      <c r="P87" s="31">
        <v>0.42492012779552718</v>
      </c>
    </row>
    <row r="88" spans="1:16" x14ac:dyDescent="0.45">
      <c r="A88" s="33">
        <v>85</v>
      </c>
      <c r="B88" s="30">
        <v>2.8421709430404007E-14</v>
      </c>
      <c r="C88" s="30">
        <v>1.1145768404080003E-16</v>
      </c>
      <c r="D88" s="35">
        <v>1.996078431372549</v>
      </c>
      <c r="E88" s="31">
        <v>0.33725490196078434</v>
      </c>
      <c r="F88" s="31">
        <v>0.33333333333333331</v>
      </c>
      <c r="G88" s="31">
        <v>0.2951582867783985</v>
      </c>
      <c r="H88" s="31">
        <v>0.16759776536312848</v>
      </c>
      <c r="I88" s="32">
        <v>7974.1324921135647</v>
      </c>
      <c r="J88" s="32">
        <v>-7350.5555555555557</v>
      </c>
      <c r="K88" s="31">
        <v>7.4509803921568626E-2</v>
      </c>
      <c r="L88" s="31">
        <v>0.23975791433891994</v>
      </c>
      <c r="M88" s="31">
        <v>0.23277467411545624</v>
      </c>
      <c r="N88" s="31">
        <v>0.51844660194174752</v>
      </c>
      <c r="O88" s="31">
        <v>0.42599999999999999</v>
      </c>
      <c r="P88" s="31">
        <v>0.4274447949526814</v>
      </c>
    </row>
    <row r="89" spans="1:16" x14ac:dyDescent="0.45">
      <c r="A89" s="33">
        <v>86</v>
      </c>
      <c r="B89" s="30">
        <v>2.8421709430404007E-14</v>
      </c>
      <c r="C89" s="30">
        <v>1.1016166445893026E-16</v>
      </c>
      <c r="D89" s="35">
        <v>1.9961240310077519</v>
      </c>
      <c r="E89" s="31">
        <v>0.33720930232558138</v>
      </c>
      <c r="F89" s="31">
        <v>0.33333333333333331</v>
      </c>
      <c r="G89" s="31">
        <v>0.29517241379310344</v>
      </c>
      <c r="H89" s="31">
        <v>0.16689655172413792</v>
      </c>
      <c r="I89" s="32">
        <v>7984.5794392523367</v>
      </c>
      <c r="J89" s="32">
        <v>-7336.6391184573004</v>
      </c>
      <c r="K89" s="31">
        <v>7.3643410852713184E-2</v>
      </c>
      <c r="L89" s="31">
        <v>0.23816091954022989</v>
      </c>
      <c r="M89" s="31">
        <v>0.23402298850574713</v>
      </c>
      <c r="N89" s="31">
        <v>0.51930501930501927</v>
      </c>
      <c r="O89" s="31">
        <v>0.42436149312377208</v>
      </c>
      <c r="P89" s="31">
        <v>0.42990654205607476</v>
      </c>
    </row>
    <row r="90" spans="1:16" x14ac:dyDescent="0.45">
      <c r="A90" s="33">
        <v>87</v>
      </c>
      <c r="B90" s="30">
        <v>2.8421709430404007E-14</v>
      </c>
      <c r="C90" s="30">
        <v>1.0889543843066669E-16</v>
      </c>
      <c r="D90" s="35">
        <v>1.9961685823754789</v>
      </c>
      <c r="E90" s="31">
        <v>0.33716475095785442</v>
      </c>
      <c r="F90" s="31">
        <v>0.33333333333333331</v>
      </c>
      <c r="G90" s="31">
        <v>0.29589041095890412</v>
      </c>
      <c r="H90" s="31">
        <v>0.16666666666666666</v>
      </c>
      <c r="I90" s="32">
        <v>7999.2283950617284</v>
      </c>
      <c r="J90" s="32">
        <v>-7392.8767123287671</v>
      </c>
      <c r="K90" s="31">
        <v>7.662835249042145E-2</v>
      </c>
      <c r="L90" s="31">
        <v>0.23789954337899544</v>
      </c>
      <c r="M90" s="31">
        <v>0.23287671232876711</v>
      </c>
      <c r="N90" s="31">
        <v>0.52207293666026866</v>
      </c>
      <c r="O90" s="31">
        <v>0.42352941176470588</v>
      </c>
      <c r="P90" s="31">
        <v>0.43055555555555558</v>
      </c>
    </row>
    <row r="91" spans="1:16" x14ac:dyDescent="0.45">
      <c r="A91" s="33">
        <v>88</v>
      </c>
      <c r="B91" s="30">
        <v>2.4868995751603507E-14</v>
      </c>
      <c r="C91" s="30">
        <v>9.4200741483346618E-17</v>
      </c>
      <c r="D91" s="35">
        <v>1.9962121212121211</v>
      </c>
      <c r="E91" s="31">
        <v>0.3371212121212121</v>
      </c>
      <c r="F91" s="31">
        <v>0.33333333333333331</v>
      </c>
      <c r="G91" s="31">
        <v>0.29639639639639642</v>
      </c>
      <c r="H91" s="31">
        <v>0.16621621621621621</v>
      </c>
      <c r="I91" s="32">
        <v>8010.9422492401218</v>
      </c>
      <c r="J91" s="32">
        <v>-7387.5338753387532</v>
      </c>
      <c r="K91" s="31">
        <v>7.575757575757576E-2</v>
      </c>
      <c r="L91" s="31">
        <v>0.23693693693693693</v>
      </c>
      <c r="M91" s="31">
        <v>0.23198198198198197</v>
      </c>
      <c r="N91" s="31">
        <v>0.52661596958174905</v>
      </c>
      <c r="O91" s="31">
        <v>0.42135922330097086</v>
      </c>
      <c r="P91" s="31">
        <v>0.43313069908814589</v>
      </c>
    </row>
    <row r="92" spans="1:16" x14ac:dyDescent="0.45">
      <c r="A92" s="33">
        <v>89</v>
      </c>
      <c r="B92" s="30">
        <v>2.4868995751603507E-14</v>
      </c>
      <c r="C92" s="30">
        <v>9.3142306185780929E-17</v>
      </c>
      <c r="D92" s="35">
        <v>1.9962546816479401</v>
      </c>
      <c r="E92" s="31">
        <v>0.33707865168539325</v>
      </c>
      <c r="F92" s="31">
        <v>0.33333333333333331</v>
      </c>
      <c r="G92" s="31">
        <v>0.29629629629629628</v>
      </c>
      <c r="H92" s="31">
        <v>0.16599732262382866</v>
      </c>
      <c r="I92" s="32">
        <v>7989.7590361445782</v>
      </c>
      <c r="J92" s="32">
        <v>-7359.1397849462364</v>
      </c>
      <c r="K92" s="31">
        <v>7.4906367041198504E-2</v>
      </c>
      <c r="L92" s="31">
        <v>0.23694779116465864</v>
      </c>
      <c r="M92" s="31">
        <v>0.23248549754573852</v>
      </c>
      <c r="N92" s="31">
        <v>0.52354048964218458</v>
      </c>
      <c r="O92" s="31">
        <v>0.42034548944337813</v>
      </c>
      <c r="P92" s="31">
        <v>0.43373493975903615</v>
      </c>
    </row>
    <row r="93" spans="1:16" x14ac:dyDescent="0.45">
      <c r="A93" s="33">
        <v>90</v>
      </c>
      <c r="B93" s="30">
        <v>2.1316282072803006E-14</v>
      </c>
      <c r="C93" s="30">
        <v>7.8949192862233357E-17</v>
      </c>
      <c r="D93" s="35">
        <v>1.9962962962962962</v>
      </c>
      <c r="E93" s="31">
        <v>0.33703703703703702</v>
      </c>
      <c r="F93" s="31">
        <v>0.33333333333333331</v>
      </c>
      <c r="G93" s="31">
        <v>0.29664014146772766</v>
      </c>
      <c r="H93" s="31">
        <v>0.16666666666666666</v>
      </c>
      <c r="I93" s="32">
        <v>7984.5007451564825</v>
      </c>
      <c r="J93" s="32">
        <v>-7376.1273209549072</v>
      </c>
      <c r="K93" s="31">
        <v>7.407407407407407E-2</v>
      </c>
      <c r="L93" s="31">
        <v>0.23740053050397877</v>
      </c>
      <c r="M93" s="31">
        <v>0.23165340406719717</v>
      </c>
      <c r="N93" s="31">
        <v>0.52327746741154557</v>
      </c>
      <c r="O93" s="31">
        <v>0.4217557251908397</v>
      </c>
      <c r="P93" s="31">
        <v>0.43219076005961254</v>
      </c>
    </row>
    <row r="94" spans="1:16" x14ac:dyDescent="0.45">
      <c r="A94" s="33">
        <v>91</v>
      </c>
      <c r="B94" s="30">
        <v>2.1316282072803006E-14</v>
      </c>
      <c r="C94" s="30">
        <v>7.808161931429673E-17</v>
      </c>
      <c r="D94" s="35">
        <v>1.9963369963369964</v>
      </c>
      <c r="E94" s="31">
        <v>0.33699633699633702</v>
      </c>
      <c r="F94" s="31">
        <v>0.33333333333333331</v>
      </c>
      <c r="G94" s="31">
        <v>0.29576234163390125</v>
      </c>
      <c r="H94" s="31">
        <v>0.16470074268239407</v>
      </c>
      <c r="I94" s="32">
        <v>8005.3175775480058</v>
      </c>
      <c r="J94" s="32">
        <v>-7376.1273209549072</v>
      </c>
      <c r="K94" s="31">
        <v>7.3260073260073263E-2</v>
      </c>
      <c r="L94" s="31">
        <v>0.23765836609873306</v>
      </c>
      <c r="M94" s="31">
        <v>0.23023154215814767</v>
      </c>
      <c r="N94" s="31">
        <v>0.52022058823529416</v>
      </c>
      <c r="O94" s="31">
        <v>0.42125237191650855</v>
      </c>
      <c r="P94" s="31">
        <v>0.43722304283604135</v>
      </c>
    </row>
    <row r="95" spans="1:16" x14ac:dyDescent="0.45">
      <c r="A95" s="33">
        <v>92</v>
      </c>
      <c r="B95" s="30">
        <v>2.1316282072803006E-14</v>
      </c>
      <c r="C95" s="30">
        <v>7.7232906060880453E-17</v>
      </c>
      <c r="D95" s="35">
        <v>1.9963768115942029</v>
      </c>
      <c r="E95" s="31">
        <v>0.33695652173913043</v>
      </c>
      <c r="F95" s="31">
        <v>0.33333333333333331</v>
      </c>
      <c r="G95" s="31">
        <v>0.29615218331171639</v>
      </c>
      <c r="H95" s="31">
        <v>0.16472114137483787</v>
      </c>
      <c r="I95" s="32">
        <v>7983.5036496350367</v>
      </c>
      <c r="J95" s="32">
        <v>-7348.0314960629921</v>
      </c>
      <c r="K95" s="31">
        <v>7.2463768115942032E-2</v>
      </c>
      <c r="L95" s="31">
        <v>0.23865110246433205</v>
      </c>
      <c r="M95" s="31">
        <v>0.2313013402507566</v>
      </c>
      <c r="N95" s="31">
        <v>0.52173913043478259</v>
      </c>
      <c r="O95" s="31">
        <v>0.42056074766355139</v>
      </c>
      <c r="P95" s="31">
        <v>0.43795620437956206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756</vt:i4>
      </vt:variant>
    </vt:vector>
  </HeadingPairs>
  <TitlesOfParts>
    <vt:vector size="79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2020-11-18T10:03:48Z</dcterms:modified>
</cp:coreProperties>
</file>