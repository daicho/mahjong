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FA1198A4-6916-45F1-A9B6-40081A1FDF4C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6" i="6984" l="1"/>
  <c r="P17" i="6988"/>
  <c r="P15" i="6998" l="1"/>
  <c r="P21" i="6984"/>
  <c r="P17" i="6986" l="1"/>
  <c r="P20" i="6988"/>
  <c r="P21" i="6992"/>
  <c r="P15" i="6988"/>
  <c r="P19" i="6994" l="1"/>
  <c r="P16" i="6986"/>
  <c r="P17" i="6998" l="1"/>
  <c r="P22" i="6982"/>
  <c r="P22" i="6990" l="1"/>
  <c r="P19" i="6986"/>
  <c r="P15" i="6992" l="1"/>
  <c r="P18" i="6992"/>
  <c r="P20" i="6998"/>
  <c r="P17" i="7000"/>
  <c r="P17" i="6990"/>
  <c r="P19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17" i="6984" l="1"/>
  <c r="P19" i="6992"/>
  <c r="P15" i="6990"/>
  <c r="P16" i="6992"/>
  <c r="P22" i="6992"/>
  <c r="P18" i="6994"/>
  <c r="P18" i="6990"/>
  <c r="P20" i="6994"/>
  <c r="P20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3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19" i="6982" l="1"/>
  <c r="P18" i="6982"/>
  <c r="P21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3" i="6980"/>
  <c r="C19" i="6988" l="1"/>
  <c r="B14" i="6988"/>
  <c r="B14" i="6990"/>
  <c r="C19" i="6990"/>
  <c r="C20" i="6990"/>
  <c r="H3" i="6990"/>
  <c r="H27" i="6990"/>
  <c r="H8" i="6990"/>
  <c r="C38" i="6990"/>
  <c r="C46" i="6990"/>
  <c r="H9" i="6990"/>
  <c r="H19" i="6990"/>
  <c r="H23" i="6990"/>
  <c r="C24" i="6990"/>
  <c r="B28" i="6990"/>
  <c r="H34" i="6990"/>
  <c r="H39" i="6990"/>
  <c r="H43" i="6990"/>
  <c r="H47" i="6990"/>
  <c r="H5" i="6990"/>
  <c r="H25" i="6990"/>
  <c r="H12" i="6990"/>
  <c r="H30" i="6990"/>
  <c r="H35" i="6990"/>
  <c r="C39" i="6990"/>
  <c r="C43" i="6990"/>
  <c r="C47" i="6990"/>
  <c r="H52" i="6990"/>
  <c r="H18" i="6990"/>
  <c r="H21" i="6990"/>
  <c r="C25" i="6990"/>
  <c r="H40" i="6990"/>
  <c r="H44" i="6990"/>
  <c r="H48" i="6990"/>
  <c r="H33" i="6990"/>
  <c r="C42" i="6990"/>
  <c r="H51" i="6990"/>
  <c r="H2" i="6990"/>
  <c r="H7" i="6990"/>
  <c r="H14" i="6990"/>
  <c r="H24" i="6990"/>
  <c r="H13" i="6990"/>
  <c r="H28" i="6990"/>
  <c r="H15" i="6990"/>
  <c r="H36" i="6990"/>
  <c r="C40" i="6990"/>
  <c r="C44" i="6990"/>
  <c r="C48" i="6990"/>
  <c r="H4" i="6990"/>
  <c r="H22" i="6990"/>
  <c r="C22" i="6990"/>
  <c r="C26" i="6990"/>
  <c r="H37" i="6990"/>
  <c r="H41" i="6990"/>
  <c r="H45" i="6990"/>
  <c r="H49" i="6990"/>
  <c r="H6" i="6990"/>
  <c r="H10" i="6990"/>
  <c r="H20" i="6990"/>
  <c r="H26" i="6990"/>
  <c r="H29" i="6990"/>
  <c r="H31" i="6990"/>
  <c r="C37" i="6990"/>
  <c r="C41" i="6990"/>
  <c r="C45" i="6990"/>
  <c r="C49" i="6990"/>
  <c r="H11" i="6990"/>
  <c r="H17" i="6990"/>
  <c r="H16" i="6990"/>
  <c r="C23" i="6990"/>
  <c r="B27" i="6990"/>
  <c r="H32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3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5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6" i="6988"/>
  <c r="H18" i="6988"/>
  <c r="H25" i="6988"/>
  <c r="H28" i="6988"/>
  <c r="H31" i="6988"/>
  <c r="C37" i="6988"/>
  <c r="C41" i="6988"/>
  <c r="C45" i="6988"/>
  <c r="C49" i="6988"/>
  <c r="H8" i="6988"/>
  <c r="H22" i="6988"/>
  <c r="H14" i="6988"/>
  <c r="C23" i="6988"/>
  <c r="B27" i="6988"/>
  <c r="H32" i="6988"/>
  <c r="H38" i="6988"/>
  <c r="H42" i="6988"/>
  <c r="H46" i="6988"/>
  <c r="P18" i="6986" l="1"/>
  <c r="P20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8" i="6984"/>
  <c r="P19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2" i="6980"/>
  <c r="P20" i="6982"/>
  <c r="P17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19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4" i="6984"/>
  <c r="H25" i="6984"/>
  <c r="H3" i="6984"/>
  <c r="H12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19" i="6984"/>
  <c r="C22" i="6984"/>
  <c r="H2" i="6984"/>
  <c r="H26" i="6984"/>
  <c r="H4" i="6984"/>
  <c r="H29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3" i="6984"/>
  <c r="H23" i="6984"/>
  <c r="C20" i="6984"/>
  <c r="H21" i="6984"/>
  <c r="C39" i="6984"/>
  <c r="C49" i="6984"/>
  <c r="H41" i="6984"/>
  <c r="H52" i="6984"/>
  <c r="H27" i="6984"/>
  <c r="H16" i="6984"/>
  <c r="H30" i="6984"/>
  <c r="H22" i="6984"/>
  <c r="H37" i="6984"/>
  <c r="C40" i="6984"/>
  <c r="C44" i="6984"/>
  <c r="C48" i="6984"/>
  <c r="H38" i="6984"/>
  <c r="H42" i="6984"/>
  <c r="H46" i="6984"/>
  <c r="H50" i="6984"/>
  <c r="H15" i="6984"/>
  <c r="H14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0" i="6982"/>
  <c r="H21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8" i="6982"/>
  <c r="H28" i="6982"/>
  <c r="C25" i="6982"/>
  <c r="H41" i="6982"/>
  <c r="H45" i="6982"/>
  <c r="H49" i="6982"/>
  <c r="H9" i="6982"/>
  <c r="C38" i="6982"/>
  <c r="C46" i="6982"/>
  <c r="H7" i="6982"/>
  <c r="H10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9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7" i="6980"/>
  <c r="H48" i="6980"/>
  <c r="H25" i="6980"/>
  <c r="H43" i="6980"/>
  <c r="C47" i="6980"/>
  <c r="H49" i="6980"/>
  <c r="H24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6" i="6980"/>
  <c r="H14" i="6980"/>
  <c r="H35" i="6980"/>
  <c r="H18" i="6980"/>
  <c r="H39" i="6980"/>
  <c r="C40" i="6980"/>
  <c r="C44" i="6980"/>
  <c r="C48" i="6980"/>
  <c r="H30" i="6980"/>
  <c r="H50" i="6980"/>
  <c r="H16" i="6980"/>
  <c r="H15" i="6980"/>
  <c r="C23" i="6980"/>
  <c r="B27" i="6980"/>
  <c r="H28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<sst xmlns="http://schemas.openxmlformats.org/spreadsheetml/2006/main" count="2996" uniqueCount="256">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</sst>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全体!$K$2:$K$317</c:f>
              <c:numCache>
                <c:formatCode>General</c:formatCode>
                <c:ptCount val="3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</c:numCache>
            </c:numRef>
          </c:xVal>
          <c:yVal>
            <c:numRef>
              <c:f>全体!$L$2:$L$317</c:f>
              <c:numCache>
                <c:formatCode>\+0.0;\-0.0;\±0</c:formatCode>
                <c:ptCount val="31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-38.095238095238095</c:v>
                </c:pt>
                <c:pt idx="1">
                  <c:v>29.411764705882351</c:v>
                </c:pt>
                <c:pt idx="2">
                  <c:v>-13.071895424836601</c:v>
                </c:pt>
                <c:pt idx="3">
                  <c:v>-3.4364261168384878</c:v>
                </c:pt>
                <c:pt idx="4">
                  <c:v>14.814814814814815</c:v>
                </c:pt>
                <c:pt idx="5">
                  <c:v>17.316017316017316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65</c:v>
                </c:pt>
                <c:pt idx="1">
                  <c:v>151</c:v>
                </c:pt>
                <c:pt idx="2">
                  <c:v>160</c:v>
                </c:pt>
                <c:pt idx="3">
                  <c:v>149</c:v>
                </c:pt>
                <c:pt idx="4">
                  <c:v>111</c:v>
                </c:pt>
                <c:pt idx="5">
                  <c:v>69</c:v>
                </c:pt>
                <c:pt idx="6">
                  <c:v>35</c:v>
                </c:pt>
                <c:pt idx="7">
                  <c:v>22</c:v>
                </c:pt>
                <c:pt idx="8">
                  <c:v>15</c:v>
                </c:pt>
                <c:pt idx="9">
                  <c:v>10</c:v>
                </c:pt>
                <c:pt idx="10">
                  <c:v>2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全体!$K$2:$K$317</c:f>
              <c:numCache>
                <c:formatCode>General</c:formatCode>
                <c:ptCount val="3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</c:numCache>
            </c:numRef>
          </c:xVal>
          <c:yVal>
            <c:numRef>
              <c:f>全体!$M$2:$M$317</c:f>
              <c:numCache>
                <c:formatCode>0</c:formatCode>
                <c:ptCount val="31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417.85714285714283</c:v>
                </c:pt>
                <c:pt idx="1">
                  <c:v>-837.03703703703707</c:v>
                </c:pt>
                <c:pt idx="2">
                  <c:v>-585.18518518518522</c:v>
                </c:pt>
                <c:pt idx="3">
                  <c:v>656.41025641025647</c:v>
                </c:pt>
                <c:pt idx="4">
                  <c:v>125</c:v>
                </c:pt>
                <c:pt idx="5">
                  <c:v>224.59016393442624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40</c:v>
                </c:pt>
                <c:pt idx="2">
                  <c:v>49</c:v>
                </c:pt>
                <c:pt idx="3">
                  <c:v>42</c:v>
                </c:pt>
                <c:pt idx="4">
                  <c:v>36</c:v>
                </c:pt>
                <c:pt idx="5">
                  <c:v>25</c:v>
                </c:pt>
                <c:pt idx="6">
                  <c:v>8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だいち!$M$2:$M$86</c:f>
              <c:numCache>
                <c:formatCode>0</c:formatCode>
                <c:ptCount val="85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れんたろう!$L$2:$L$47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1524.4444444444443</c:v>
                </c:pt>
                <c:pt idx="1">
                  <c:v>-118.6046511627907</c:v>
                </c:pt>
                <c:pt idx="2">
                  <c:v>-369.76744186046511</c:v>
                </c:pt>
                <c:pt idx="3">
                  <c:v>-221.42857142857142</c:v>
                </c:pt>
                <c:pt idx="4">
                  <c:v>125.64102564102564</c:v>
                </c:pt>
                <c:pt idx="5">
                  <c:v>-1184.375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22</c:v>
                </c:pt>
                <c:pt idx="3">
                  <c:v>20</c:v>
                </c:pt>
                <c:pt idx="4">
                  <c:v>19</c:v>
                </c:pt>
                <c:pt idx="5">
                  <c:v>11</c:v>
                </c:pt>
                <c:pt idx="6">
                  <c:v>6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れんたろう!$M$2:$M$47</c:f>
              <c:numCache>
                <c:formatCode>0</c:formatCode>
                <c:ptCount val="46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-145</c:v>
                </c:pt>
                <c:pt idx="1">
                  <c:v>-747.5</c:v>
                </c:pt>
                <c:pt idx="2">
                  <c:v>1038.4615384615386</c:v>
                </c:pt>
                <c:pt idx="3">
                  <c:v>-656.41025641025647</c:v>
                </c:pt>
                <c:pt idx="4">
                  <c:v>-848.71794871794873</c:v>
                </c:pt>
                <c:pt idx="5">
                  <c:v>528.125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26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たかの!$M$2:$M$42</c:f>
              <c:numCache>
                <c:formatCode>0</c:formatCode>
                <c:ptCount val="4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169.23076923076923</c:v>
                </c:pt>
                <c:pt idx="1">
                  <c:v>1042.3076923076924</c:v>
                </c:pt>
                <c:pt idx="2">
                  <c:v>-1072</c:v>
                </c:pt>
                <c:pt idx="3">
                  <c:v>-2150</c:v>
                </c:pt>
                <c:pt idx="4">
                  <c:v>2800</c:v>
                </c:pt>
                <c:pt idx="5">
                  <c:v>-1011.1111111111111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まっつん!$M$2:$M$28</c:f>
              <c:numCache>
                <c:formatCode>0</c:formatCode>
                <c:ptCount val="2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169.23076923076923</c:v>
                </c:pt>
                <c:pt idx="1">
                  <c:v>864.10256410256409</c:v>
                </c:pt>
                <c:pt idx="2">
                  <c:v>2102.5641025641025</c:v>
                </c:pt>
                <c:pt idx="3">
                  <c:v>-597.22222222222217</c:v>
                </c:pt>
                <c:pt idx="4">
                  <c:v>-912.5</c:v>
                </c:pt>
                <c:pt idx="5">
                  <c:v>1046.6666666666667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20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いちかわ!$M$2:$M$41</c:f>
              <c:numCache>
                <c:formatCode>0</c:formatCode>
                <c:ptCount val="4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-237.77777777777777</c:v>
                </c:pt>
                <c:pt idx="1">
                  <c:v>778.57142857142856</c:v>
                </c:pt>
                <c:pt idx="2">
                  <c:v>169.76744186046511</c:v>
                </c:pt>
                <c:pt idx="3">
                  <c:v>2455</c:v>
                </c:pt>
                <c:pt idx="4">
                  <c:v>629.72972972972968</c:v>
                </c:pt>
                <c:pt idx="5">
                  <c:v>76.666666666666671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31</c:v>
                </c:pt>
                <c:pt idx="2">
                  <c:v>27</c:v>
                </c:pt>
                <c:pt idx="3">
                  <c:v>20</c:v>
                </c:pt>
                <c:pt idx="4">
                  <c:v>20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ただ2!$B$3:$B$48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019806626980425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ただ2!$C$3:$C$48</c:f>
              <c:numCache>
                <c:formatCode>\+0.0;\-0.0;\±0</c:formatCode>
                <c:ptCount val="46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  <c:pt idx="39">
                  <c:v>9.4999999999999982</c:v>
                </c:pt>
                <c:pt idx="40">
                  <c:v>7.9324999999999992</c:v>
                </c:pt>
                <c:pt idx="41">
                  <c:v>6.9878048780487791</c:v>
                </c:pt>
                <c:pt idx="42">
                  <c:v>5.5619047619047608</c:v>
                </c:pt>
                <c:pt idx="43">
                  <c:v>5.4441860465116267</c:v>
                </c:pt>
                <c:pt idx="44">
                  <c:v>5.4863636363636354</c:v>
                </c:pt>
                <c:pt idx="45">
                  <c:v>5.0866666666666651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86687704699764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ただ2!$D$3:$D$48</c:f>
              <c:numCache>
                <c:formatCode>0.00\ "位"</c:formatCode>
                <c:ptCount val="46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  <c:pt idx="39">
                  <c:v>1.6923076923076923</c:v>
                </c:pt>
                <c:pt idx="40">
                  <c:v>1.7250000000000001</c:v>
                </c:pt>
                <c:pt idx="41">
                  <c:v>1.7560975609756098</c:v>
                </c:pt>
                <c:pt idx="42">
                  <c:v>1.7857142857142858</c:v>
                </c:pt>
                <c:pt idx="43">
                  <c:v>1.7906976744186047</c:v>
                </c:pt>
                <c:pt idx="44">
                  <c:v>1.7954545454545454</c:v>
                </c:pt>
                <c:pt idx="45">
                  <c:v>1.8222222222222222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825396825396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ただ2!$E$3:$E$48</c:f>
              <c:numCache>
                <c:formatCode>0.0%</c:formatCode>
                <c:ptCount val="4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  <c:pt idx="40">
                  <c:v>0.47499999999999998</c:v>
                </c:pt>
                <c:pt idx="41">
                  <c:v>0.46341463414634149</c:v>
                </c:pt>
                <c:pt idx="42">
                  <c:v>0.45238095238095238</c:v>
                </c:pt>
                <c:pt idx="43">
                  <c:v>0.44186046511627908</c:v>
                </c:pt>
                <c:pt idx="44">
                  <c:v>0.43181818181818182</c:v>
                </c:pt>
                <c:pt idx="45">
                  <c:v>0.42222222222222222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507936507936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ただ2!$F$3:$F$48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ただ2!$G$3:$G$48</c:f>
              <c:numCache>
                <c:formatCode>0.0%</c:formatCode>
                <c:ptCount val="46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  <c:pt idx="39">
                  <c:v>0.34925373134328358</c:v>
                </c:pt>
                <c:pt idx="40">
                  <c:v>0.33913043478260868</c:v>
                </c:pt>
                <c:pt idx="41">
                  <c:v>0.3342696629213483</c:v>
                </c:pt>
                <c:pt idx="42">
                  <c:v>0.32970027247956402</c:v>
                </c:pt>
                <c:pt idx="43">
                  <c:v>0.32887700534759357</c:v>
                </c:pt>
                <c:pt idx="44">
                  <c:v>0.32808398950131235</c:v>
                </c:pt>
                <c:pt idx="45">
                  <c:v>0.32736572890025578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1002227171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ただ2!$H$3:$H$48</c:f>
              <c:numCache>
                <c:formatCode>0.0%</c:formatCode>
                <c:ptCount val="46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  <c:pt idx="39">
                  <c:v>0.11940298507462686</c:v>
                </c:pt>
                <c:pt idx="40">
                  <c:v>0.12173913043478261</c:v>
                </c:pt>
                <c:pt idx="41">
                  <c:v>0.12359550561797752</c:v>
                </c:pt>
                <c:pt idx="42">
                  <c:v>0.1226158038147139</c:v>
                </c:pt>
                <c:pt idx="43">
                  <c:v>0.12032085561497326</c:v>
                </c:pt>
                <c:pt idx="44">
                  <c:v>0.11811023622047244</c:v>
                </c:pt>
                <c:pt idx="45">
                  <c:v>0.11508951406649616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583518930957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ただ2!$I$3:$I$48</c:f>
              <c:numCache>
                <c:formatCode>0</c:formatCode>
                <c:ptCount val="46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  <c:pt idx="39">
                  <c:v>7710.2564102564102</c:v>
                </c:pt>
                <c:pt idx="40">
                  <c:v>7710.2564102564102</c:v>
                </c:pt>
                <c:pt idx="41">
                  <c:v>7712.6050420168067</c:v>
                </c:pt>
                <c:pt idx="42">
                  <c:v>7631.4049586776855</c:v>
                </c:pt>
                <c:pt idx="43">
                  <c:v>7573.1707317073169</c:v>
                </c:pt>
                <c:pt idx="44">
                  <c:v>7534.4</c:v>
                </c:pt>
                <c:pt idx="45">
                  <c:v>7482.8125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14.5911949685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ただ2!$J$3:$J$48</c:f>
              <c:numCache>
                <c:formatCode>0</c:formatCode>
                <c:ptCount val="46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  <c:pt idx="39">
                  <c:v>-7302.5</c:v>
                </c:pt>
                <c:pt idx="40">
                  <c:v>-7366.666666666667</c:v>
                </c:pt>
                <c:pt idx="41">
                  <c:v>-7654.545454545455</c:v>
                </c:pt>
                <c:pt idx="42">
                  <c:v>-8017.7777777777774</c:v>
                </c:pt>
                <c:pt idx="43">
                  <c:v>-8017.7777777777774</c:v>
                </c:pt>
                <c:pt idx="44">
                  <c:v>-8017.7777777777774</c:v>
                </c:pt>
                <c:pt idx="45">
                  <c:v>-8017.7777777777774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590.18264840182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ただ2!$K$3:$K$48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571428571428571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ただ2!$L$3:$L$48</c:f>
              <c:numCache>
                <c:formatCode>0.0%</c:formatCode>
                <c:ptCount val="46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  <c:pt idx="39">
                  <c:v>0.20895522388059701</c:v>
                </c:pt>
                <c:pt idx="40">
                  <c:v>0.20869565217391303</c:v>
                </c:pt>
                <c:pt idx="41">
                  <c:v>0.2050561797752809</c:v>
                </c:pt>
                <c:pt idx="42">
                  <c:v>0.20708446866485014</c:v>
                </c:pt>
                <c:pt idx="43">
                  <c:v>0.20320855614973263</c:v>
                </c:pt>
                <c:pt idx="44">
                  <c:v>0.20209973753280841</c:v>
                </c:pt>
                <c:pt idx="45">
                  <c:v>0.20204603580562661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67854491462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ただ2!$M$3:$M$48</c:f>
              <c:numCache>
                <c:formatCode>0.0%</c:formatCode>
                <c:ptCount val="46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  <c:pt idx="39">
                  <c:v>0.24776119402985075</c:v>
                </c:pt>
                <c:pt idx="40">
                  <c:v>0.25507246376811593</c:v>
                </c:pt>
                <c:pt idx="41">
                  <c:v>0.2640449438202247</c:v>
                </c:pt>
                <c:pt idx="42">
                  <c:v>0.25885558583106266</c:v>
                </c:pt>
                <c:pt idx="43">
                  <c:v>0.26737967914438504</c:v>
                </c:pt>
                <c:pt idx="44">
                  <c:v>0.27296587926509186</c:v>
                </c:pt>
                <c:pt idx="45">
                  <c:v>0.26854219948849106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141054194506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ただ2!$N$3:$N$48</c:f>
              <c:numCache>
                <c:formatCode>0.0%</c:formatCode>
                <c:ptCount val="46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  <c:pt idx="39">
                  <c:v>0.54285714285714282</c:v>
                </c:pt>
                <c:pt idx="40">
                  <c:v>0.52777777777777779</c:v>
                </c:pt>
                <c:pt idx="41">
                  <c:v>0.53424657534246578</c:v>
                </c:pt>
                <c:pt idx="42">
                  <c:v>0.52631578947368418</c:v>
                </c:pt>
                <c:pt idx="43">
                  <c:v>0.52631578947368418</c:v>
                </c:pt>
                <c:pt idx="44">
                  <c:v>0.53246753246753242</c:v>
                </c:pt>
                <c:pt idx="45">
                  <c:v>0.54430379746835444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7884914463452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ただ2!$O$3:$O$48</c:f>
              <c:numCache>
                <c:formatCode>0.0%</c:formatCode>
                <c:ptCount val="46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  <c:pt idx="39">
                  <c:v>0.48192771084337349</c:v>
                </c:pt>
                <c:pt idx="40">
                  <c:v>0.45454545454545453</c:v>
                </c:pt>
                <c:pt idx="41">
                  <c:v>0.43617021276595747</c:v>
                </c:pt>
                <c:pt idx="42">
                  <c:v>0.43157894736842106</c:v>
                </c:pt>
                <c:pt idx="43">
                  <c:v>0.42</c:v>
                </c:pt>
                <c:pt idx="44">
                  <c:v>0.41346153846153844</c:v>
                </c:pt>
                <c:pt idx="45">
                  <c:v>0.40952380952380951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12903225806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ただ2!$P$3:$P$48</c:f>
              <c:numCache>
                <c:formatCode>0.0%</c:formatCode>
                <c:ptCount val="46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  <c:pt idx="39">
                  <c:v>0.40170940170940173</c:v>
                </c:pt>
                <c:pt idx="40">
                  <c:v>0.40170940170940173</c:v>
                </c:pt>
                <c:pt idx="41">
                  <c:v>0.40336134453781514</c:v>
                </c:pt>
                <c:pt idx="42">
                  <c:v>0.4049586776859504</c:v>
                </c:pt>
                <c:pt idx="43">
                  <c:v>0.41463414634146339</c:v>
                </c:pt>
                <c:pt idx="44">
                  <c:v>0.41599999999999998</c:v>
                </c:pt>
                <c:pt idx="45">
                  <c:v>0.40625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509433962264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254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44159.713333333333</v>
      </c>
      <c r="C39" s="2" t="s">
        <v>127</v>
      </c>
      <c r="D39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84</v>
      </c>
      <c r="C2" s="120">
        <v>1842.3339395535957</v>
      </c>
    </row>
    <row r="3" spans="1:3" x14ac:dyDescent="0.4">
      <c r="A3" t="s">
        <v>163</v>
      </c>
      <c r="B3" s="120">
        <v>45</v>
      </c>
      <c r="C3" s="120">
        <v>1653.1699313523677</v>
      </c>
    </row>
    <row r="4" spans="1:3" x14ac:dyDescent="0.4">
      <c r="A4" t="s">
        <v>139</v>
      </c>
      <c r="B4" s="120">
        <v>315</v>
      </c>
      <c r="C4" s="120">
        <v>1594.5463045050694</v>
      </c>
    </row>
    <row r="5" spans="1:3" x14ac:dyDescent="0.4">
      <c r="A5" t="s">
        <v>190</v>
      </c>
      <c r="B5" s="120">
        <v>26</v>
      </c>
      <c r="C5" s="120">
        <v>1524.3778689305989</v>
      </c>
    </row>
    <row r="6" spans="1:3" x14ac:dyDescent="0.4">
      <c r="A6" t="s">
        <v>192</v>
      </c>
      <c r="B6" s="120">
        <v>45</v>
      </c>
      <c r="C6" s="120">
        <v>1517.1288342047803</v>
      </c>
    </row>
    <row r="7" spans="1:3" x14ac:dyDescent="0.4">
      <c r="A7" t="s">
        <v>211</v>
      </c>
      <c r="B7" s="120">
        <v>39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40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0.92479464933698785</v>
      </c>
      <c r="C2" s="144"/>
      <c r="D2" s="143">
        <v>0.30421809440318948</v>
      </c>
      <c r="E2" s="144"/>
      <c r="F2" s="143">
        <v>0.34515990380520806</v>
      </c>
      <c r="G2" s="144"/>
      <c r="H2" s="145"/>
      <c r="I2" s="146"/>
      <c r="J2" s="143">
        <v>-9.2201784133601139E-2</v>
      </c>
      <c r="K2" s="144"/>
      <c r="L2" s="143">
        <v>-0.30910390955612271</v>
      </c>
      <c r="M2" s="144"/>
      <c r="N2" s="143">
        <v>0.22509402709613494</v>
      </c>
      <c r="O2" s="144"/>
      <c r="P2" s="143">
        <v>0.38398655972261003</v>
      </c>
      <c r="Q2" s="144"/>
      <c r="R2" s="143">
        <v>-0.11821020901753038</v>
      </c>
      <c r="S2" s="144"/>
      <c r="T2" s="143">
        <v>0.22264846372594549</v>
      </c>
      <c r="U2" s="144"/>
      <c r="V2" s="143">
        <v>0.10484763207712318</v>
      </c>
      <c r="W2" s="144"/>
      <c r="X2" s="143">
        <v>0.21658385162514909</v>
      </c>
      <c r="Y2" s="144"/>
      <c r="Z2" s="143">
        <v>0.28483698445125516</v>
      </c>
      <c r="AA2" s="144"/>
      <c r="AB2" s="143">
        <v>0.22409848581517053</v>
      </c>
      <c r="AC2" s="144"/>
      <c r="AD2" s="143">
        <v>-0.18653629946779191</v>
      </c>
      <c r="AE2" s="144"/>
      <c r="AF2" s="143">
        <v>0.42605652477304967</v>
      </c>
      <c r="AG2" s="144"/>
      <c r="AH2" s="143">
        <v>-0.1671150487946656</v>
      </c>
      <c r="AI2" s="144"/>
      <c r="AJ2" s="143">
        <v>0.8408399570821592</v>
      </c>
      <c r="AK2" s="144"/>
    </row>
    <row r="3" spans="1:37" x14ac:dyDescent="0.4">
      <c r="A3" s="38">
        <v>1</v>
      </c>
      <c r="B3" s="41" t="s">
        <v>139</v>
      </c>
      <c r="C3" s="113">
        <v>105</v>
      </c>
      <c r="D3" s="39" t="s">
        <v>192</v>
      </c>
      <c r="E3" s="40">
        <v>228.89999999999995</v>
      </c>
      <c r="F3" s="41" t="s">
        <v>192</v>
      </c>
      <c r="G3" s="60">
        <v>5.0866666666666651</v>
      </c>
      <c r="H3" s="41" t="s">
        <v>126</v>
      </c>
      <c r="I3" s="45">
        <v>1766.8845245769312</v>
      </c>
      <c r="J3" s="41" t="s">
        <v>192</v>
      </c>
      <c r="K3" s="42">
        <v>1.8222222222222222</v>
      </c>
      <c r="L3" s="41" t="s">
        <v>195</v>
      </c>
      <c r="M3" s="43">
        <v>0.5</v>
      </c>
      <c r="N3" s="41" t="s">
        <v>190</v>
      </c>
      <c r="O3" s="43">
        <v>0.19230769230769232</v>
      </c>
      <c r="P3" s="41" t="s">
        <v>192</v>
      </c>
      <c r="Q3" s="44">
        <v>0.32736572890025578</v>
      </c>
      <c r="R3" s="41" t="s">
        <v>190</v>
      </c>
      <c r="S3" s="44">
        <v>0.10666666666666667</v>
      </c>
      <c r="T3" s="41" t="s">
        <v>221</v>
      </c>
      <c r="U3" s="45">
        <v>10925</v>
      </c>
      <c r="V3" s="41" t="s">
        <v>190</v>
      </c>
      <c r="W3" s="45">
        <v>-6279.166666666667</v>
      </c>
      <c r="X3" s="41" t="s">
        <v>193</v>
      </c>
      <c r="Y3" s="43">
        <v>0</v>
      </c>
      <c r="Z3" s="41" t="s">
        <v>163</v>
      </c>
      <c r="AA3" s="44">
        <v>0.27020202020202022</v>
      </c>
      <c r="AB3" s="41" t="s">
        <v>189</v>
      </c>
      <c r="AC3" s="44">
        <v>0.30857142857142855</v>
      </c>
      <c r="AD3" s="41" t="s">
        <v>195</v>
      </c>
      <c r="AE3" s="44">
        <v>0.69565217391304346</v>
      </c>
      <c r="AF3" s="41" t="s">
        <v>126</v>
      </c>
      <c r="AG3" s="44">
        <v>0.48648648648648651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84</v>
      </c>
      <c r="D4" s="47" t="s">
        <v>126</v>
      </c>
      <c r="E4" s="48">
        <v>102.99999999999996</v>
      </c>
      <c r="F4" s="49" t="s">
        <v>211</v>
      </c>
      <c r="G4" s="61">
        <v>2.6051282051282048</v>
      </c>
      <c r="H4" s="49" t="s">
        <v>163</v>
      </c>
      <c r="I4" s="53">
        <v>1623.8904853493209</v>
      </c>
      <c r="J4" s="49" t="s">
        <v>195</v>
      </c>
      <c r="K4" s="50">
        <v>1.9166666666666667</v>
      </c>
      <c r="L4" s="49" t="s">
        <v>192</v>
      </c>
      <c r="M4" s="51">
        <v>0.42222222222222222</v>
      </c>
      <c r="N4" s="49" t="s">
        <v>192</v>
      </c>
      <c r="O4" s="51">
        <v>0.24444444444444444</v>
      </c>
      <c r="P4" s="49" t="s">
        <v>126</v>
      </c>
      <c r="Q4" s="52">
        <v>0.32378223495702008</v>
      </c>
      <c r="R4" s="49" t="s">
        <v>192</v>
      </c>
      <c r="S4" s="52">
        <v>0.11508951406649616</v>
      </c>
      <c r="T4" s="49" t="s">
        <v>163</v>
      </c>
      <c r="U4" s="53">
        <v>8997.1153846153848</v>
      </c>
      <c r="V4" s="49" t="s">
        <v>211</v>
      </c>
      <c r="W4" s="53">
        <v>-6708.8888888888887</v>
      </c>
      <c r="X4" s="49" t="s">
        <v>221</v>
      </c>
      <c r="Y4" s="51">
        <v>0</v>
      </c>
      <c r="Z4" s="49" t="s">
        <v>189</v>
      </c>
      <c r="AA4" s="52">
        <v>0.26</v>
      </c>
      <c r="AB4" s="49" t="s">
        <v>193</v>
      </c>
      <c r="AC4" s="52">
        <v>0.2857142857142857</v>
      </c>
      <c r="AD4" s="49" t="s">
        <v>211</v>
      </c>
      <c r="AE4" s="52">
        <v>0.57534246575342463</v>
      </c>
      <c r="AF4" s="49" t="s">
        <v>211</v>
      </c>
      <c r="AG4" s="52">
        <v>0.48571428571428571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45</v>
      </c>
      <c r="D5" s="47" t="s">
        <v>211</v>
      </c>
      <c r="E5" s="48">
        <v>101.59999999999998</v>
      </c>
      <c r="F5" s="49" t="s">
        <v>126</v>
      </c>
      <c r="G5" s="61">
        <v>1.2261904761904756</v>
      </c>
      <c r="H5" s="49" t="s">
        <v>139</v>
      </c>
      <c r="I5" s="53">
        <v>1599.059418495116</v>
      </c>
      <c r="J5" s="49" t="s">
        <v>211</v>
      </c>
      <c r="K5" s="50">
        <v>1.9487179487179487</v>
      </c>
      <c r="L5" s="49" t="s">
        <v>211</v>
      </c>
      <c r="M5" s="51">
        <v>0.38461538461538464</v>
      </c>
      <c r="N5" s="49" t="s">
        <v>211</v>
      </c>
      <c r="O5" s="51">
        <v>0.33333333333333331</v>
      </c>
      <c r="P5" s="49" t="s">
        <v>189</v>
      </c>
      <c r="Q5" s="52">
        <v>0.30571428571428572</v>
      </c>
      <c r="R5" s="49" t="s">
        <v>211</v>
      </c>
      <c r="S5" s="52">
        <v>0.13313609467455623</v>
      </c>
      <c r="T5" s="49" t="s">
        <v>195</v>
      </c>
      <c r="U5" s="53">
        <v>8606.8965517241377</v>
      </c>
      <c r="V5" s="49" t="s">
        <v>126</v>
      </c>
      <c r="W5" s="53">
        <v>-7196.9465648854966</v>
      </c>
      <c r="X5" s="49" t="s">
        <v>189</v>
      </c>
      <c r="Y5" s="51">
        <v>0.05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0.56395348837209303</v>
      </c>
      <c r="AF5" s="49" t="s">
        <v>189</v>
      </c>
      <c r="AG5" s="52">
        <v>0.41666666666666669</v>
      </c>
      <c r="AH5" s="49" t="s">
        <v>126</v>
      </c>
      <c r="AI5" s="52">
        <v>0.47345132743362833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45</v>
      </c>
      <c r="D6" s="47" t="s">
        <v>189</v>
      </c>
      <c r="E6" s="48">
        <v>25.700000000000003</v>
      </c>
      <c r="F6" s="49" t="s">
        <v>189</v>
      </c>
      <c r="G6" s="61">
        <v>0.64250000000000007</v>
      </c>
      <c r="H6" s="49" t="s">
        <v>192</v>
      </c>
      <c r="I6" s="53">
        <v>1573.325689506974</v>
      </c>
      <c r="J6" s="49" t="s">
        <v>190</v>
      </c>
      <c r="K6" s="50">
        <v>1.9615384615384615</v>
      </c>
      <c r="L6" s="49" t="s">
        <v>189</v>
      </c>
      <c r="M6" s="51">
        <v>0.375</v>
      </c>
      <c r="N6" s="49" t="s">
        <v>139</v>
      </c>
      <c r="O6" s="51">
        <v>0.33333333333333331</v>
      </c>
      <c r="P6" s="49" t="s">
        <v>211</v>
      </c>
      <c r="Q6" s="52">
        <v>0.30473372781065089</v>
      </c>
      <c r="R6" s="49" t="s">
        <v>139</v>
      </c>
      <c r="S6" s="52">
        <v>0.16258351893095768</v>
      </c>
      <c r="T6" s="49" t="s">
        <v>193</v>
      </c>
      <c r="U6" s="53">
        <v>8212.5</v>
      </c>
      <c r="V6" s="49" t="s">
        <v>139</v>
      </c>
      <c r="W6" s="53">
        <v>-7590.1826484018266</v>
      </c>
      <c r="X6" s="49" t="s">
        <v>211</v>
      </c>
      <c r="Y6" s="51">
        <v>5.128205128205128E-2</v>
      </c>
      <c r="Z6" s="49" t="s">
        <v>126</v>
      </c>
      <c r="AA6" s="52">
        <v>0.24641833810888253</v>
      </c>
      <c r="AB6" s="49" t="s">
        <v>192</v>
      </c>
      <c r="AC6" s="52">
        <v>0.26854219948849106</v>
      </c>
      <c r="AD6" s="49" t="s">
        <v>192</v>
      </c>
      <c r="AE6" s="52">
        <v>0.54430379746835444</v>
      </c>
      <c r="AF6" s="49" t="s">
        <v>139</v>
      </c>
      <c r="AG6" s="52">
        <v>0.41612903225806452</v>
      </c>
      <c r="AH6" s="49" t="s">
        <v>189</v>
      </c>
      <c r="AI6" s="52">
        <v>0.46728971962616822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40</v>
      </c>
      <c r="D7" s="47" t="s">
        <v>139</v>
      </c>
      <c r="E7" s="48">
        <v>3.0198066269804258E-14</v>
      </c>
      <c r="F7" s="49" t="s">
        <v>139</v>
      </c>
      <c r="G7" s="61">
        <v>9.5866877046997649E-17</v>
      </c>
      <c r="H7" s="49" t="s">
        <v>190</v>
      </c>
      <c r="I7" s="53">
        <v>1530.4544498518735</v>
      </c>
      <c r="J7" s="49" t="s">
        <v>189</v>
      </c>
      <c r="K7" s="50">
        <v>1.9750000000000001</v>
      </c>
      <c r="L7" s="49" t="s">
        <v>139</v>
      </c>
      <c r="M7" s="51">
        <v>0.33650793650793653</v>
      </c>
      <c r="N7" s="49" t="s">
        <v>189</v>
      </c>
      <c r="O7" s="51">
        <v>0.35</v>
      </c>
      <c r="P7" s="49" t="s">
        <v>139</v>
      </c>
      <c r="Q7" s="52">
        <v>0.2951002227171492</v>
      </c>
      <c r="R7" s="49" t="s">
        <v>195</v>
      </c>
      <c r="S7" s="52">
        <v>0.1650485436893204</v>
      </c>
      <c r="T7" s="49" t="s">
        <v>126</v>
      </c>
      <c r="U7" s="53">
        <v>8174.3362831858403</v>
      </c>
      <c r="V7" s="49" t="s">
        <v>195</v>
      </c>
      <c r="W7" s="53">
        <v>-7629.411764705882</v>
      </c>
      <c r="X7" s="49" t="s">
        <v>190</v>
      </c>
      <c r="Y7" s="51">
        <v>7.6923076923076927E-2</v>
      </c>
      <c r="Z7" s="49" t="s">
        <v>139</v>
      </c>
      <c r="AA7" s="52">
        <v>0.23867854491462509</v>
      </c>
      <c r="AB7" s="49" t="s">
        <v>139</v>
      </c>
      <c r="AC7" s="52">
        <v>0.23014105419450631</v>
      </c>
      <c r="AD7" s="49" t="s">
        <v>190</v>
      </c>
      <c r="AE7" s="52">
        <v>0.52830188679245282</v>
      </c>
      <c r="AF7" s="49" t="s">
        <v>192</v>
      </c>
      <c r="AG7" s="52">
        <v>0.40952380952380951</v>
      </c>
      <c r="AH7" s="49" t="s">
        <v>163</v>
      </c>
      <c r="AI7" s="52">
        <v>0.44230769230769229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39</v>
      </c>
      <c r="D8" s="47" t="s">
        <v>221</v>
      </c>
      <c r="E8" s="48">
        <v>-13.5</v>
      </c>
      <c r="F8" s="49" t="s">
        <v>190</v>
      </c>
      <c r="G8" s="61">
        <v>-1.1923076923076932</v>
      </c>
      <c r="H8" s="49" t="s">
        <v>211</v>
      </c>
      <c r="I8" s="53">
        <v>1522.0163768209231</v>
      </c>
      <c r="J8" s="49" t="s">
        <v>139</v>
      </c>
      <c r="K8" s="50">
        <v>1.9968253968253968</v>
      </c>
      <c r="L8" s="49" t="s">
        <v>126</v>
      </c>
      <c r="M8" s="51">
        <v>0.32142857142857145</v>
      </c>
      <c r="N8" s="49" t="s">
        <v>163</v>
      </c>
      <c r="O8" s="51">
        <v>0.35555555555555557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8112.5</v>
      </c>
      <c r="V8" s="49" t="s">
        <v>216</v>
      </c>
      <c r="W8" s="53">
        <v>-7886.2068965517237</v>
      </c>
      <c r="X8" s="49" t="s">
        <v>126</v>
      </c>
      <c r="Y8" s="51">
        <v>8.3333333333333329E-2</v>
      </c>
      <c r="Z8" s="49" t="s">
        <v>190</v>
      </c>
      <c r="AA8" s="52">
        <v>0.23555555555555555</v>
      </c>
      <c r="AB8" s="49" t="s">
        <v>163</v>
      </c>
      <c r="AC8" s="52">
        <v>0.22222222222222221</v>
      </c>
      <c r="AD8" s="49" t="s">
        <v>139</v>
      </c>
      <c r="AE8" s="52">
        <v>0.51788491446345253</v>
      </c>
      <c r="AF8" s="49" t="s">
        <v>193</v>
      </c>
      <c r="AG8" s="52">
        <v>0.4</v>
      </c>
      <c r="AH8" s="49" t="s">
        <v>139</v>
      </c>
      <c r="AI8" s="52">
        <v>0.44150943396226416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26</v>
      </c>
      <c r="D9" s="47" t="s">
        <v>190</v>
      </c>
      <c r="E9" s="48">
        <v>-31.000000000000021</v>
      </c>
      <c r="F9" s="49" t="s">
        <v>163</v>
      </c>
      <c r="G9" s="61">
        <v>-3.1822222222222227</v>
      </c>
      <c r="H9" s="49" t="s">
        <v>221</v>
      </c>
      <c r="I9" s="53">
        <v>1497.379788</v>
      </c>
      <c r="J9" s="49" t="s">
        <v>126</v>
      </c>
      <c r="K9" s="50">
        <v>2.0357142857142856</v>
      </c>
      <c r="L9" s="49" t="s">
        <v>163</v>
      </c>
      <c r="M9" s="51">
        <v>0.28888888888888886</v>
      </c>
      <c r="N9" s="49" t="s">
        <v>126</v>
      </c>
      <c r="O9" s="51">
        <v>0.35714285714285715</v>
      </c>
      <c r="P9" s="49" t="s">
        <v>163</v>
      </c>
      <c r="Q9" s="52">
        <v>0.26262626262626265</v>
      </c>
      <c r="R9" s="49" t="s">
        <v>189</v>
      </c>
      <c r="S9" s="52">
        <v>0.17428571428571429</v>
      </c>
      <c r="T9" s="49" t="s">
        <v>139</v>
      </c>
      <c r="U9" s="53">
        <v>8014.5911949685533</v>
      </c>
      <c r="V9" s="49" t="s">
        <v>192</v>
      </c>
      <c r="W9" s="53">
        <v>-8017.7777777777774</v>
      </c>
      <c r="X9" s="49" t="s">
        <v>139</v>
      </c>
      <c r="Y9" s="51">
        <v>8.5714285714285715E-2</v>
      </c>
      <c r="Z9" s="49" t="s">
        <v>216</v>
      </c>
      <c r="AA9" s="52">
        <v>0.22857142857142856</v>
      </c>
      <c r="AB9" s="49" t="s">
        <v>190</v>
      </c>
      <c r="AC9" s="52">
        <v>0.21333333333333335</v>
      </c>
      <c r="AD9" s="49" t="s">
        <v>189</v>
      </c>
      <c r="AE9" s="52">
        <v>0.46153846153846156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-39.5</v>
      </c>
      <c r="F10" s="49" t="s">
        <v>195</v>
      </c>
      <c r="G10" s="61">
        <v>-3.2916666666666665</v>
      </c>
      <c r="H10" s="49" t="s">
        <v>216</v>
      </c>
      <c r="I10" s="53">
        <v>1475.2783888604056</v>
      </c>
      <c r="J10" s="49" t="s">
        <v>163</v>
      </c>
      <c r="K10" s="50">
        <v>2.0666666666666669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0.24888888888888888</v>
      </c>
      <c r="R10" s="49" t="s">
        <v>126</v>
      </c>
      <c r="S10" s="52">
        <v>0.18767908309455589</v>
      </c>
      <c r="T10" s="49" t="s">
        <v>211</v>
      </c>
      <c r="U10" s="53">
        <v>7706.7961165048546</v>
      </c>
      <c r="V10" s="49" t="s">
        <v>189</v>
      </c>
      <c r="W10" s="53">
        <v>-8100</v>
      </c>
      <c r="X10" s="49" t="s">
        <v>192</v>
      </c>
      <c r="Y10" s="51">
        <v>8.8888888888888892E-2</v>
      </c>
      <c r="Z10" s="49" t="s">
        <v>195</v>
      </c>
      <c r="AA10" s="52">
        <v>0.22330097087378642</v>
      </c>
      <c r="AB10" s="49" t="s">
        <v>126</v>
      </c>
      <c r="AC10" s="52">
        <v>0.21203438395415472</v>
      </c>
      <c r="AD10" s="49" t="s">
        <v>163</v>
      </c>
      <c r="AE10" s="52">
        <v>0.44859813084112149</v>
      </c>
      <c r="AF10" s="49" t="s">
        <v>190</v>
      </c>
      <c r="AG10" s="52">
        <v>0.375</v>
      </c>
      <c r="AH10" s="49" t="s">
        <v>211</v>
      </c>
      <c r="AI10" s="52">
        <v>0.42718446601941745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1470.3574394374596</v>
      </c>
      <c r="J11" s="49" t="s">
        <v>216</v>
      </c>
      <c r="K11" s="50">
        <v>2.2222222222222223</v>
      </c>
      <c r="L11" s="49" t="s">
        <v>190</v>
      </c>
      <c r="M11" s="51">
        <v>0.23076923076923078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0.18939393939393939</v>
      </c>
      <c r="T11" s="49" t="s">
        <v>189</v>
      </c>
      <c r="U11" s="53">
        <v>7552.336448598131</v>
      </c>
      <c r="V11" s="49" t="s">
        <v>163</v>
      </c>
      <c r="W11" s="53">
        <v>-8130.666666666667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211</v>
      </c>
      <c r="AC11" s="52">
        <v>0.20710059171597633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0.40625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-143.20000000000002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192</v>
      </c>
      <c r="U12" s="53">
        <v>7482.8125</v>
      </c>
      <c r="V12" s="49" t="s">
        <v>193</v>
      </c>
      <c r="W12" s="53">
        <v>-9387.5</v>
      </c>
      <c r="X12" s="49" t="s">
        <v>163</v>
      </c>
      <c r="Y12" s="51">
        <v>0.13333333333333333</v>
      </c>
      <c r="Z12" s="49" t="s">
        <v>211</v>
      </c>
      <c r="AA12" s="52">
        <v>0.21597633136094674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0.31818181818181818</v>
      </c>
      <c r="AH12" s="49" t="s">
        <v>190</v>
      </c>
      <c r="AI12" s="52">
        <v>0.30357142857142855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0.20204603580562661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1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315</v>
      </c>
      <c r="C2" s="134"/>
      <c r="E2" s="26" t="s">
        <v>66</v>
      </c>
      <c r="F2" s="23" t="s">
        <v>22</v>
      </c>
      <c r="G2" s="11">
        <v>621</v>
      </c>
      <c r="H2" s="87">
        <f>IF(B$20=0,0,G2/B$20)</f>
        <v>0.78113207547169816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-38.095238095238095</v>
      </c>
      <c r="Q2" s="76">
        <v>315</v>
      </c>
      <c r="R2" s="63">
        <v>-12000</v>
      </c>
    </row>
    <row r="3" spans="1:18" x14ac:dyDescent="0.4">
      <c r="A3" s="19" t="s">
        <v>8</v>
      </c>
      <c r="B3" s="135">
        <v>2694</v>
      </c>
      <c r="C3" s="136"/>
      <c r="E3" s="27" t="s">
        <v>72</v>
      </c>
      <c r="F3" s="24" t="s">
        <v>27</v>
      </c>
      <c r="G3" s="12">
        <v>471</v>
      </c>
      <c r="H3" s="88">
        <f>IF(B$20=0,0,G3/B$20)</f>
        <v>0.59245283018867922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29.411764705882351</v>
      </c>
      <c r="Q3" s="77">
        <v>306</v>
      </c>
      <c r="R3" s="64">
        <v>9000</v>
      </c>
    </row>
    <row r="4" spans="1:18" x14ac:dyDescent="0.4">
      <c r="A4" s="19" t="s">
        <v>6</v>
      </c>
      <c r="B4" s="137">
        <v>3.0198066269804258E-14</v>
      </c>
      <c r="C4" s="138"/>
      <c r="E4" s="27" t="s">
        <v>64</v>
      </c>
      <c r="F4" s="24" t="s">
        <v>20</v>
      </c>
      <c r="G4" s="12">
        <v>324</v>
      </c>
      <c r="H4" s="88">
        <f>IF(B$20=0,0,G4/B$20)</f>
        <v>0.40754716981132078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-13.071895424836601</v>
      </c>
      <c r="Q4" s="77">
        <v>306</v>
      </c>
      <c r="R4" s="64">
        <v>-4000</v>
      </c>
    </row>
    <row r="5" spans="1:18" x14ac:dyDescent="0.4">
      <c r="A5" s="19" t="s">
        <v>7</v>
      </c>
      <c r="B5" s="125">
        <f>IF(B$2=0,0,B$4/B$2)</f>
        <v>9.5866877046997649E-17</v>
      </c>
      <c r="C5" s="126"/>
      <c r="E5" s="27" t="s">
        <v>159</v>
      </c>
      <c r="F5" s="24" t="s">
        <v>160</v>
      </c>
      <c r="G5" s="12">
        <v>317</v>
      </c>
      <c r="H5" s="88">
        <f>IF(B$20=0,0,G5/B$20)</f>
        <v>0.3987421383647799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-3.4364261168384878</v>
      </c>
      <c r="Q5" s="77">
        <v>291</v>
      </c>
      <c r="R5" s="64">
        <v>-1000</v>
      </c>
    </row>
    <row r="6" spans="1:18" x14ac:dyDescent="0.4">
      <c r="A6" s="19" t="s">
        <v>196</v>
      </c>
      <c r="B6" s="129">
        <v>1599.059418495116</v>
      </c>
      <c r="C6" s="130"/>
      <c r="E6" s="27" t="s">
        <v>68</v>
      </c>
      <c r="F6" s="24" t="s">
        <v>12</v>
      </c>
      <c r="G6" s="12">
        <v>236</v>
      </c>
      <c r="H6" s="88">
        <f>IF(B$20=0,0,G6/B$20)</f>
        <v>0.29685534591194968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14.814814814814815</v>
      </c>
      <c r="Q6" s="77">
        <v>270</v>
      </c>
      <c r="R6" s="64">
        <v>4000</v>
      </c>
    </row>
    <row r="7" spans="1:18" x14ac:dyDescent="0.4">
      <c r="A7" s="19" t="s">
        <v>1</v>
      </c>
      <c r="B7" s="139">
        <f>IF(B$2=0,0,(B$8*1+B$9*2+B$10*3)/B$2)</f>
        <v>1.9968253968253968</v>
      </c>
      <c r="C7" s="140"/>
      <c r="E7" s="27" t="s">
        <v>67</v>
      </c>
      <c r="F7" s="24" t="s">
        <v>23</v>
      </c>
      <c r="G7" s="12">
        <v>174</v>
      </c>
      <c r="H7" s="88">
        <f>IF(B$20=0,0,G7/B$20)</f>
        <v>0.21886792452830189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17.316017316017316</v>
      </c>
      <c r="Q7" s="78">
        <v>231</v>
      </c>
      <c r="R7" s="65">
        <v>4000</v>
      </c>
    </row>
    <row r="8" spans="1:18" x14ac:dyDescent="0.4">
      <c r="A8" s="19" t="s">
        <v>2</v>
      </c>
      <c r="B8" s="12">
        <v>106</v>
      </c>
      <c r="C8" s="6">
        <f t="shared" ref="C8:C15" si="1">IF(B$2=0,0,B8/B$2)</f>
        <v>0.33650793650793653</v>
      </c>
      <c r="E8" s="27" t="s">
        <v>89</v>
      </c>
      <c r="F8" s="24" t="s">
        <v>44</v>
      </c>
      <c r="G8" s="12">
        <v>112</v>
      </c>
      <c r="H8" s="88">
        <f>IF(B$20=0,0,G8/B$20)</f>
        <v>0.14088050314465408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104</v>
      </c>
      <c r="C9" s="6">
        <f t="shared" si="1"/>
        <v>0.33015873015873015</v>
      </c>
      <c r="E9" s="27" t="s">
        <v>69</v>
      </c>
      <c r="F9" s="24" t="s">
        <v>24</v>
      </c>
      <c r="G9" s="12">
        <v>100</v>
      </c>
      <c r="H9" s="88">
        <f>IF(B$20=0,0,G9/B$20)</f>
        <v>0.12578616352201258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105</v>
      </c>
      <c r="C10" s="7">
        <f t="shared" si="1"/>
        <v>0.33333333333333331</v>
      </c>
      <c r="E10" s="27" t="s">
        <v>70</v>
      </c>
      <c r="F10" s="24" t="s">
        <v>25</v>
      </c>
      <c r="G10" s="12">
        <v>83</v>
      </c>
      <c r="H10" s="88">
        <f>IF(B$20=0,0,G10/B$20)</f>
        <v>0.10440251572327044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1.5695238095238089</v>
      </c>
      <c r="Q10" s="76">
        <v>105</v>
      </c>
      <c r="R10" s="67">
        <v>164.79999999999993</v>
      </c>
    </row>
    <row r="11" spans="1:18" x14ac:dyDescent="0.4">
      <c r="A11" s="20" t="s">
        <v>184</v>
      </c>
      <c r="B11" s="109">
        <f>IF(B8=0,0,C11/B8)</f>
        <v>34.475471698113196</v>
      </c>
      <c r="C11" s="110">
        <v>3654.3999999999992</v>
      </c>
      <c r="E11" s="27" t="s">
        <v>65</v>
      </c>
      <c r="F11" s="24" t="s">
        <v>21</v>
      </c>
      <c r="G11" s="12">
        <v>67</v>
      </c>
      <c r="H11" s="88">
        <f>IF(B$20=0,0,G11/B$20)</f>
        <v>8.4276729559748423E-2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-3.3752380952380943</v>
      </c>
      <c r="Q11" s="77">
        <v>105</v>
      </c>
      <c r="R11" s="68">
        <v>-354.39999999999992</v>
      </c>
    </row>
    <row r="12" spans="1:18" x14ac:dyDescent="0.4">
      <c r="A12" s="20" t="s">
        <v>185</v>
      </c>
      <c r="B12" s="109">
        <f>IF(B9=0,0,C12/B9)</f>
        <v>-0.85192307692307689</v>
      </c>
      <c r="C12" s="110">
        <v>-88.6</v>
      </c>
      <c r="E12" s="27" t="s">
        <v>71</v>
      </c>
      <c r="F12" s="24" t="s">
        <v>26</v>
      </c>
      <c r="G12" s="12">
        <v>46</v>
      </c>
      <c r="H12" s="88">
        <f>IF(B$20=0,0,G12/B$20)</f>
        <v>5.7861635220125787E-2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1.8057142857142858</v>
      </c>
      <c r="Q12" s="78">
        <v>105</v>
      </c>
      <c r="R12" s="69">
        <v>189.60000000000002</v>
      </c>
    </row>
    <row r="13" spans="1:18" x14ac:dyDescent="0.4">
      <c r="A13" s="20" t="s">
        <v>186</v>
      </c>
      <c r="B13" s="109">
        <f>IF(B10=0,0,C13/B10)</f>
        <v>-33.96</v>
      </c>
      <c r="C13" s="110">
        <v>-3565.8</v>
      </c>
      <c r="E13" s="27" t="s">
        <v>86</v>
      </c>
      <c r="F13" s="24" t="s">
        <v>41</v>
      </c>
      <c r="G13" s="12">
        <v>44</v>
      </c>
      <c r="H13" s="88">
        <f>IF(B$20=0,0,G13/B$20)</f>
        <v>5.5345911949685536E-2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-0.11215045960329444</v>
      </c>
      <c r="C14" s="126"/>
      <c r="E14" s="27" t="s">
        <v>83</v>
      </c>
      <c r="F14" s="24" t="s">
        <v>38</v>
      </c>
      <c r="G14" s="12">
        <v>34</v>
      </c>
      <c r="H14" s="88">
        <f>IF(B$20=0,0,G14/B$20)</f>
        <v>4.2767295597484274E-2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27</v>
      </c>
      <c r="C15" s="9">
        <f t="shared" si="1"/>
        <v>8.5714285714285715E-2</v>
      </c>
      <c r="E15" s="27" t="s">
        <v>81</v>
      </c>
      <c r="F15" s="24" t="s">
        <v>36</v>
      </c>
      <c r="G15" s="12">
        <v>25</v>
      </c>
      <c r="H15" s="88">
        <f>IF(B$20=0,0,G15/B$20)</f>
        <v>3.1446540880503145E-2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643</v>
      </c>
      <c r="C16" s="10">
        <f>IF(B$3=0,0,B16/B$3)</f>
        <v>0.23867854491462509</v>
      </c>
      <c r="E16" s="27" t="s">
        <v>78</v>
      </c>
      <c r="F16" s="24" t="s">
        <v>33</v>
      </c>
      <c r="G16" s="12">
        <v>20</v>
      </c>
      <c r="H16" s="88">
        <f>IF(B$20=0,0,G16/B$20)</f>
        <v>2.5157232704402517E-2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620</v>
      </c>
      <c r="C17" s="6">
        <f>IF(B$3=0,0,B17/B$3)</f>
        <v>0.23014105419450631</v>
      </c>
      <c r="E17" s="27" t="s">
        <v>155</v>
      </c>
      <c r="F17" s="24" t="s">
        <v>156</v>
      </c>
      <c r="G17" s="12">
        <v>15</v>
      </c>
      <c r="H17" s="88">
        <f>IF(B$20=0,0,G17/B$20)</f>
        <v>1.8867924528301886E-2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333</v>
      </c>
      <c r="C18" s="5">
        <f>IF(B$16=0,0,B18/B$16)</f>
        <v>0.51788491446345253</v>
      </c>
      <c r="E18" s="27" t="s">
        <v>91</v>
      </c>
      <c r="F18" s="24" t="s">
        <v>46</v>
      </c>
      <c r="G18" s="12">
        <v>14</v>
      </c>
      <c r="H18" s="88">
        <f>IF(B$20=0,0,G18/B$20)</f>
        <v>1.7610062893081761E-2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4.9375000000000036</v>
      </c>
      <c r="Q18" s="77">
        <v>24</v>
      </c>
      <c r="R18" s="68">
        <v>118.50000000000009</v>
      </c>
    </row>
    <row r="19" spans="1:18" x14ac:dyDescent="0.4">
      <c r="A19" s="18" t="s">
        <v>124</v>
      </c>
      <c r="B19" s="11">
        <f>B25</f>
        <v>258</v>
      </c>
      <c r="C19" s="5">
        <f>IF(B$17=0,0,B19/B$17)</f>
        <v>0.41612903225806452</v>
      </c>
      <c r="E19" s="27" t="s">
        <v>79</v>
      </c>
      <c r="F19" s="24" t="s">
        <v>34</v>
      </c>
      <c r="G19" s="12">
        <v>10</v>
      </c>
      <c r="H19" s="88">
        <f>IF(B$20=0,0,G19/B$20)</f>
        <v>1.2578616352201259E-2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163</v>
      </c>
      <c r="P19" s="83">
        <f>IF(Q19=0,0,R19/Q19)</f>
        <v>4.7733333333333352</v>
      </c>
      <c r="Q19" s="77">
        <v>90</v>
      </c>
      <c r="R19" s="68">
        <v>429.60000000000019</v>
      </c>
    </row>
    <row r="20" spans="1:18" x14ac:dyDescent="0.4">
      <c r="A20" s="18" t="s">
        <v>10</v>
      </c>
      <c r="B20" s="11">
        <f>B23+B22</f>
        <v>795</v>
      </c>
      <c r="C20" s="5">
        <f>IF(B$3=0,0,B20/B$3)</f>
        <v>0.2951002227171492</v>
      </c>
      <c r="E20" s="27" t="s">
        <v>73</v>
      </c>
      <c r="F20" s="24" t="s">
        <v>28</v>
      </c>
      <c r="G20" s="12">
        <v>7</v>
      </c>
      <c r="H20" s="88">
        <f>IF(B$20=0,0,G20/B$20)</f>
        <v>8.8050314465408803E-3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1.7884615384615379</v>
      </c>
      <c r="Q20" s="77">
        <v>52</v>
      </c>
      <c r="R20" s="68">
        <v>92.999999999999972</v>
      </c>
    </row>
    <row r="21" spans="1:18" x14ac:dyDescent="0.4">
      <c r="A21" s="19" t="s">
        <v>13</v>
      </c>
      <c r="B21" s="12">
        <v>438</v>
      </c>
      <c r="C21" s="6">
        <f>IF(B$3=0,0,B21/B$3)</f>
        <v>0.16258351893095768</v>
      </c>
      <c r="E21" s="27" t="s">
        <v>88</v>
      </c>
      <c r="F21" s="24" t="s">
        <v>43</v>
      </c>
      <c r="G21" s="12">
        <v>4</v>
      </c>
      <c r="H21" s="88">
        <f>IF(B$20=0,0,G21/B$20)</f>
        <v>5.0314465408805029E-3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-0.96374999999999889</v>
      </c>
      <c r="Q21" s="77">
        <v>80</v>
      </c>
      <c r="R21" s="68">
        <v>-77.099999999999909</v>
      </c>
    </row>
    <row r="22" spans="1:18" x14ac:dyDescent="0.4">
      <c r="A22" s="19" t="s">
        <v>12</v>
      </c>
      <c r="B22" s="12">
        <v>351</v>
      </c>
      <c r="C22" s="6">
        <f>IF(B$20=0,0,B22/B$20)</f>
        <v>0.44150943396226416</v>
      </c>
      <c r="E22" s="27" t="s">
        <v>75</v>
      </c>
      <c r="F22" s="24" t="s">
        <v>30</v>
      </c>
      <c r="G22" s="12">
        <v>3</v>
      </c>
      <c r="H22" s="88">
        <f>IF(B$20=0,0,G22/B$20)</f>
        <v>3.7735849056603774E-3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-1.8392857142857122</v>
      </c>
      <c r="Q22" s="77">
        <v>168</v>
      </c>
      <c r="R22" s="68">
        <v>-308.99999999999966</v>
      </c>
    </row>
    <row r="23" spans="1:18" x14ac:dyDescent="0.4">
      <c r="A23" s="19" t="s">
        <v>11</v>
      </c>
      <c r="B23" s="12">
        <v>444</v>
      </c>
      <c r="C23" s="6">
        <f>IF(B$20=0,0,B23/B$20)</f>
        <v>0.55849056603773584</v>
      </c>
      <c r="E23" s="27" t="s">
        <v>85</v>
      </c>
      <c r="F23" s="24" t="s">
        <v>40</v>
      </c>
      <c r="G23" s="12">
        <v>3</v>
      </c>
      <c r="H23" s="88">
        <f>IF(B$20=0,0,G23/B$20)</f>
        <v>3.7735849056603774E-3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-3.9076923076923094</v>
      </c>
      <c r="Q23" s="77">
        <v>78</v>
      </c>
      <c r="R23" s="68">
        <v>-304.80000000000013</v>
      </c>
    </row>
    <row r="24" spans="1:18" x14ac:dyDescent="0.4">
      <c r="A24" s="19" t="s">
        <v>183</v>
      </c>
      <c r="B24" s="12">
        <v>333</v>
      </c>
      <c r="C24" s="6">
        <f>IF(B$20=0,0,B24/B$20)</f>
        <v>0.4188679245283019</v>
      </c>
      <c r="E24" s="27" t="s">
        <v>77</v>
      </c>
      <c r="F24" s="24" t="s">
        <v>32</v>
      </c>
      <c r="G24" s="12">
        <v>2</v>
      </c>
      <c r="H24" s="88">
        <f>IF(B$20=0,0,G24/B$20)</f>
        <v>2.5157232704402514E-3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-7.6300000000000043</v>
      </c>
      <c r="Q24" s="77">
        <v>90</v>
      </c>
      <c r="R24" s="68">
        <v>-686.70000000000039</v>
      </c>
    </row>
    <row r="25" spans="1:18" x14ac:dyDescent="0.4">
      <c r="A25" s="19" t="s">
        <v>181</v>
      </c>
      <c r="B25" s="12">
        <v>258</v>
      </c>
      <c r="C25" s="6">
        <f>IF(B$20=0,0,B25/B$20)</f>
        <v>0.32452830188679244</v>
      </c>
      <c r="E25" s="27" t="s">
        <v>92</v>
      </c>
      <c r="F25" s="24" t="s">
        <v>47</v>
      </c>
      <c r="G25" s="12">
        <v>2</v>
      </c>
      <c r="H25" s="88">
        <f>IF(B$20=0,0,G25/B$20)</f>
        <v>2.5157232704402514E-3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204</v>
      </c>
      <c r="C26" s="6">
        <f>IF(B$20=0,0,B26/B$20)</f>
        <v>0.25660377358490566</v>
      </c>
      <c r="E26" s="27" t="s">
        <v>80</v>
      </c>
      <c r="F26" s="24" t="s">
        <v>35</v>
      </c>
      <c r="G26" s="12">
        <v>1</v>
      </c>
      <c r="H26" s="88">
        <f>IF(B$20=0,0,G26/B$20)</f>
        <v>1.2578616352201257E-3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8014.5911949685533</v>
      </c>
      <c r="C27" s="8">
        <v>6371600</v>
      </c>
      <c r="E27" s="27" t="s">
        <v>90</v>
      </c>
      <c r="F27" s="24" t="s">
        <v>45</v>
      </c>
      <c r="G27" s="12">
        <v>1</v>
      </c>
      <c r="H27" s="88">
        <f>IF(B$20=0,0,G27/B$20)</f>
        <v>1.2578616352201257E-3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8549.1620111731845</v>
      </c>
      <c r="C28" s="96">
        <v>4590900</v>
      </c>
      <c r="E28" s="27" t="s">
        <v>93</v>
      </c>
      <c r="F28" s="24" t="s">
        <v>48</v>
      </c>
      <c r="G28" s="12">
        <v>1</v>
      </c>
      <c r="H28" s="88">
        <f>IF(B$20=0,0,G28/B$20)</f>
        <v>1.2578616352201257E-3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6901.937984496124</v>
      </c>
      <c r="C29" s="96">
        <v>1780700</v>
      </c>
      <c r="E29" s="27" t="s">
        <v>102</v>
      </c>
      <c r="F29" s="24" t="s">
        <v>57</v>
      </c>
      <c r="G29" s="12">
        <v>1</v>
      </c>
      <c r="H29" s="88">
        <f>IF(B$20=0,0,G29/B$20)</f>
        <v>1.2578616352201257E-3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-7590.1826484018266</v>
      </c>
      <c r="C30" s="96">
        <v>-3324500</v>
      </c>
      <c r="E30" s="27" t="s">
        <v>106</v>
      </c>
      <c r="F30" s="24" t="s">
        <v>113</v>
      </c>
      <c r="G30" s="12">
        <v>1</v>
      </c>
      <c r="H30" s="88">
        <f>IF(B$20=0,0,G30/B$20)</f>
        <v>1.2578616352201257E-3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2.5983667409057165E-3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65</v>
      </c>
      <c r="C37" s="98">
        <f t="shared" ref="C37:C49" si="2">IF(B$20=0,0,B37/B$20)</f>
        <v>8.1761006289308172E-2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151</v>
      </c>
      <c r="C38" s="6">
        <f t="shared" si="2"/>
        <v>0.18993710691823901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160</v>
      </c>
      <c r="C39" s="6">
        <f t="shared" si="2"/>
        <v>0.20125786163522014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149</v>
      </c>
      <c r="C40" s="6">
        <f t="shared" si="2"/>
        <v>0.18742138364779873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111</v>
      </c>
      <c r="C41" s="6">
        <f t="shared" si="2"/>
        <v>0.13962264150943396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69</v>
      </c>
      <c r="C42" s="6">
        <f t="shared" si="2"/>
        <v>8.6792452830188674E-2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35</v>
      </c>
      <c r="C43" s="6">
        <f t="shared" si="2"/>
        <v>4.40251572327044E-2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22</v>
      </c>
      <c r="C44" s="6">
        <f t="shared" si="2"/>
        <v>2.7672955974842768E-2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15</v>
      </c>
      <c r="C45" s="6">
        <f t="shared" si="2"/>
        <v>1.8867924528301886E-2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1.2578616352201259E-2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2.5157232704402514E-3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6</v>
      </c>
      <c r="C49" s="9">
        <f t="shared" si="2"/>
        <v>7.5471698113207548E-3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84</v>
      </c>
      <c r="C2" s="134"/>
      <c r="E2" s="26" t="s">
        <v>66</v>
      </c>
      <c r="F2" s="23" t="s">
        <v>22</v>
      </c>
      <c r="G2" s="11">
        <v>174</v>
      </c>
      <c r="H2" s="87">
        <f>IF(B$20=0,0,G2/B$20)</f>
        <v>0.76991150442477874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417.85714285714283</v>
      </c>
      <c r="Q2" s="76">
        <v>84</v>
      </c>
      <c r="R2" s="63">
        <v>35100</v>
      </c>
    </row>
    <row r="3" spans="1:18" x14ac:dyDescent="0.4">
      <c r="A3" s="19" t="s">
        <v>8</v>
      </c>
      <c r="B3" s="135">
        <v>698</v>
      </c>
      <c r="C3" s="136"/>
      <c r="E3" s="27" t="s">
        <v>72</v>
      </c>
      <c r="F3" s="24" t="s">
        <v>27</v>
      </c>
      <c r="G3" s="12">
        <v>126</v>
      </c>
      <c r="H3" s="88">
        <f>IF(B$20=0,0,G3/B$20)</f>
        <v>0.55752212389380529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-837.03703703703707</v>
      </c>
      <c r="Q3" s="77">
        <v>81</v>
      </c>
      <c r="R3" s="64">
        <v>-67800</v>
      </c>
    </row>
    <row r="4" spans="1:18" x14ac:dyDescent="0.4">
      <c r="A4" s="19" t="s">
        <v>6</v>
      </c>
      <c r="B4" s="137">
        <v>102.99999999999996</v>
      </c>
      <c r="C4" s="138"/>
      <c r="E4" s="27" t="s">
        <v>64</v>
      </c>
      <c r="F4" s="24" t="s">
        <v>20</v>
      </c>
      <c r="G4" s="12">
        <v>90</v>
      </c>
      <c r="H4" s="88">
        <f>IF(B$20=0,0,G4/B$20)</f>
        <v>0.39823008849557523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-585.18518518518522</v>
      </c>
      <c r="Q4" s="77">
        <v>81</v>
      </c>
      <c r="R4" s="64">
        <v>-47400</v>
      </c>
    </row>
    <row r="5" spans="1:18" x14ac:dyDescent="0.4">
      <c r="A5" s="19" t="s">
        <v>7</v>
      </c>
      <c r="B5" s="125">
        <f>IF(B$2=0,0,B$4/B$2)</f>
        <v>1.2261904761904756</v>
      </c>
      <c r="C5" s="126"/>
      <c r="E5" s="27" t="s">
        <v>159</v>
      </c>
      <c r="F5" s="24" t="s">
        <v>160</v>
      </c>
      <c r="G5" s="12">
        <v>80</v>
      </c>
      <c r="H5" s="88">
        <f>IF(B$20=0,0,G5/B$20)</f>
        <v>0.35398230088495575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656.41025641025647</v>
      </c>
      <c r="Q5" s="77">
        <v>78</v>
      </c>
      <c r="R5" s="64">
        <v>51200</v>
      </c>
    </row>
    <row r="6" spans="1:18" x14ac:dyDescent="0.4">
      <c r="A6" s="19" t="s">
        <v>196</v>
      </c>
      <c r="B6" s="129">
        <v>1766.8845245769312</v>
      </c>
      <c r="C6" s="130"/>
      <c r="E6" s="27" t="s">
        <v>68</v>
      </c>
      <c r="F6" s="24" t="s">
        <v>12</v>
      </c>
      <c r="G6" s="12">
        <v>69</v>
      </c>
      <c r="H6" s="88">
        <f>IF(B$20=0,0,G6/B$20)</f>
        <v>0.30530973451327431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125</v>
      </c>
      <c r="Q6" s="77">
        <v>72</v>
      </c>
      <c r="R6" s="64">
        <v>9000</v>
      </c>
    </row>
    <row r="7" spans="1:18" x14ac:dyDescent="0.4">
      <c r="A7" s="19" t="s">
        <v>1</v>
      </c>
      <c r="B7" s="139">
        <f>IF(B$2=0,0,(B$8*1+B$9*2+B$10*3)/B$2)</f>
        <v>2.0357142857142856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0.19911504424778761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224.59016393442624</v>
      </c>
      <c r="Q7" s="78">
        <v>61</v>
      </c>
      <c r="R7" s="65">
        <v>13700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0.32142857142857145</v>
      </c>
      <c r="E8" s="27" t="s">
        <v>69</v>
      </c>
      <c r="F8" s="24" t="s">
        <v>24</v>
      </c>
      <c r="G8" s="12">
        <v>38</v>
      </c>
      <c r="H8" s="88">
        <f>IF(B$20=0,0,G8/B$20)</f>
        <v>0.16814159292035399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27</v>
      </c>
      <c r="C9" s="6">
        <f t="shared" si="1"/>
        <v>0.32142857142857145</v>
      </c>
      <c r="E9" s="27" t="s">
        <v>89</v>
      </c>
      <c r="F9" s="24" t="s">
        <v>44</v>
      </c>
      <c r="G9" s="12">
        <v>33</v>
      </c>
      <c r="H9" s="88">
        <f>IF(B$20=0,0,G9/B$20)</f>
        <v>0.14601769911504425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30</v>
      </c>
      <c r="C10" s="7">
        <f t="shared" si="1"/>
        <v>0.35714285714285715</v>
      </c>
      <c r="E10" s="27" t="s">
        <v>70</v>
      </c>
      <c r="F10" s="24" t="s">
        <v>25</v>
      </c>
      <c r="G10" s="12">
        <v>31</v>
      </c>
      <c r="H10" s="88">
        <f>IF(B$20=0,0,G10/B$20)</f>
        <v>0.13716814159292035</v>
      </c>
      <c r="I10" s="58">
        <v>1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5.7129032258064516</v>
      </c>
      <c r="Q10" s="76">
        <v>31</v>
      </c>
      <c r="R10" s="67">
        <v>177.1</v>
      </c>
    </row>
    <row r="11" spans="1:18" x14ac:dyDescent="0.4">
      <c r="A11" s="20" t="s">
        <v>184</v>
      </c>
      <c r="B11" s="109">
        <f>IF(B8=0,0,C11/B8)</f>
        <v>38.737037037037041</v>
      </c>
      <c r="C11" s="110">
        <v>1045.9000000000001</v>
      </c>
      <c r="E11" s="27" t="s">
        <v>65</v>
      </c>
      <c r="F11" s="24" t="s">
        <v>21</v>
      </c>
      <c r="G11" s="12">
        <v>16</v>
      </c>
      <c r="H11" s="88">
        <f>IF(B$20=0,0,G11/B$20)</f>
        <v>7.0796460176991149E-2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-6.8033333333333328</v>
      </c>
      <c r="Q11" s="77">
        <v>30</v>
      </c>
      <c r="R11" s="68">
        <v>-204.1</v>
      </c>
    </row>
    <row r="12" spans="1:18" x14ac:dyDescent="0.4">
      <c r="A12" s="20" t="s">
        <v>185</v>
      </c>
      <c r="B12" s="109">
        <f>IF(B9=0,0,C12/B9)</f>
        <v>-1.6555555555555552</v>
      </c>
      <c r="C12" s="110">
        <v>-44.699999999999989</v>
      </c>
      <c r="E12" s="27" t="s">
        <v>86</v>
      </c>
      <c r="F12" s="24" t="s">
        <v>41</v>
      </c>
      <c r="G12" s="12">
        <v>15</v>
      </c>
      <c r="H12" s="88">
        <f>IF(B$20=0,0,G12/B$20)</f>
        <v>6.637168141592921E-2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5.6521739130434794</v>
      </c>
      <c r="Q12" s="78">
        <v>23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-29.94</v>
      </c>
      <c r="C13" s="110">
        <v>-898.2</v>
      </c>
      <c r="E13" s="27" t="s">
        <v>83</v>
      </c>
      <c r="F13" s="24" t="s">
        <v>38</v>
      </c>
      <c r="G13" s="12">
        <v>12</v>
      </c>
      <c r="H13" s="88">
        <f>IF(B$20=0,0,G13/B$20)</f>
        <v>5.3097345132743362E-2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2.3804938271604938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4.8672566371681415E-2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8.3333333333333329E-2</v>
      </c>
      <c r="E15" s="27" t="s">
        <v>155</v>
      </c>
      <c r="F15" s="24" t="s">
        <v>156</v>
      </c>
      <c r="G15" s="12">
        <v>10</v>
      </c>
      <c r="H15" s="88">
        <f>IF(B$20=0,0,G15/B$20)</f>
        <v>4.4247787610619468E-2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172</v>
      </c>
      <c r="C16" s="10">
        <f>IF(B$3=0,0,B16/B$3)</f>
        <v>0.24641833810888253</v>
      </c>
      <c r="E16" s="27" t="s">
        <v>91</v>
      </c>
      <c r="F16" s="24" t="s">
        <v>46</v>
      </c>
      <c r="G16" s="12">
        <v>6</v>
      </c>
      <c r="H16" s="88">
        <f>IF(B$20=0,0,G16/B$20)</f>
        <v>2.6548672566371681E-2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148</v>
      </c>
      <c r="C17" s="6">
        <f>IF(B$3=0,0,B17/B$3)</f>
        <v>0.21203438395415472</v>
      </c>
      <c r="E17" s="27" t="s">
        <v>81</v>
      </c>
      <c r="F17" s="24" t="s">
        <v>36</v>
      </c>
      <c r="G17" s="12">
        <v>4</v>
      </c>
      <c r="H17" s="88">
        <f>IF(B$20=0,0,G17/B$20)</f>
        <v>1.7699115044247787E-2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6.9166666666666696</v>
      </c>
      <c r="Q17" s="77">
        <v>36</v>
      </c>
      <c r="R17" s="68">
        <v>249.00000000000011</v>
      </c>
    </row>
    <row r="18" spans="1:18" x14ac:dyDescent="0.4">
      <c r="A18" s="18" t="s">
        <v>123</v>
      </c>
      <c r="B18" s="11">
        <f>B24</f>
        <v>97</v>
      </c>
      <c r="C18" s="5">
        <f>IF(B$16=0,0,B18/B$16)</f>
        <v>0.56395348837209303</v>
      </c>
      <c r="E18" s="27" t="s">
        <v>73</v>
      </c>
      <c r="F18" s="24" t="s">
        <v>28</v>
      </c>
      <c r="G18" s="12">
        <v>3</v>
      </c>
      <c r="H18" s="88">
        <f>IF(B$20=0,0,G18/B$20)</f>
        <v>1.3274336283185841E-2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6.625</v>
      </c>
      <c r="Q18" s="77">
        <v>20</v>
      </c>
      <c r="R18" s="68">
        <v>132.5</v>
      </c>
    </row>
    <row r="19" spans="1:18" x14ac:dyDescent="0.4">
      <c r="A19" s="18" t="s">
        <v>124</v>
      </c>
      <c r="B19" s="11">
        <f>B25</f>
        <v>72</v>
      </c>
      <c r="C19" s="5">
        <f>IF(B$17=0,0,B19/B$17)</f>
        <v>0.48648648648648651</v>
      </c>
      <c r="E19" s="27" t="s">
        <v>78</v>
      </c>
      <c r="F19" s="24" t="s">
        <v>33</v>
      </c>
      <c r="G19" s="12">
        <v>3</v>
      </c>
      <c r="H19" s="88">
        <f>IF(B$20=0,0,G19/B$20)</f>
        <v>1.3274336283185841E-2</v>
      </c>
      <c r="I19" s="58">
        <v>8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4.1523809523809527</v>
      </c>
      <c r="Q19" s="77">
        <v>21</v>
      </c>
      <c r="R19" s="68">
        <v>87.2</v>
      </c>
    </row>
    <row r="20" spans="1:18" x14ac:dyDescent="0.4">
      <c r="A20" s="18" t="s">
        <v>10</v>
      </c>
      <c r="B20" s="11">
        <f>B23+B22</f>
        <v>226</v>
      </c>
      <c r="C20" s="5">
        <f>IF(B$3=0,0,B20/B$3)</f>
        <v>0.32378223495702008</v>
      </c>
      <c r="E20" s="27" t="s">
        <v>75</v>
      </c>
      <c r="F20" s="24" t="s">
        <v>30</v>
      </c>
      <c r="G20" s="12">
        <v>1</v>
      </c>
      <c r="H20" s="88">
        <f>IF(B$20=0,0,G20/B$20)</f>
        <v>4.4247787610619468E-3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131</v>
      </c>
      <c r="C21" s="6">
        <f>IF(B$3=0,0,B21/B$3)</f>
        <v>0.18767908309455589</v>
      </c>
      <c r="E21" s="27" t="s">
        <v>79</v>
      </c>
      <c r="F21" s="24" t="s">
        <v>34</v>
      </c>
      <c r="G21" s="12">
        <v>1</v>
      </c>
      <c r="H21" s="88">
        <f>IF(B$20=0,0,G21/B$20)</f>
        <v>4.4247787610619468E-3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>IF(Q21=0,0,R21/Q21)</f>
        <v>-4.8605263157894738</v>
      </c>
      <c r="Q21" s="77">
        <v>38</v>
      </c>
      <c r="R21" s="68">
        <v>-184.70000000000002</v>
      </c>
    </row>
    <row r="22" spans="1:18" x14ac:dyDescent="0.4">
      <c r="A22" s="19" t="s">
        <v>12</v>
      </c>
      <c r="B22" s="12">
        <v>107</v>
      </c>
      <c r="C22" s="6">
        <f>IF(B$20=0,0,B22/B$20)</f>
        <v>0.47345132743362833</v>
      </c>
      <c r="E22" s="27" t="s">
        <v>80</v>
      </c>
      <c r="F22" s="24" t="s">
        <v>35</v>
      </c>
      <c r="G22" s="12">
        <v>1</v>
      </c>
      <c r="H22" s="88">
        <f>IF(B$20=0,0,G22/B$20)</f>
        <v>4.4247787610619468E-3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>IF(Q22=0,0,R22/Q22)</f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119</v>
      </c>
      <c r="C23" s="6">
        <f>IF(B$20=0,0,B23/B$20)</f>
        <v>0.52654867256637172</v>
      </c>
      <c r="E23" s="27" t="s">
        <v>85</v>
      </c>
      <c r="F23" s="24" t="s">
        <v>40</v>
      </c>
      <c r="G23" s="12">
        <v>1</v>
      </c>
      <c r="H23" s="88">
        <f>IF(B$20=0,0,G23/B$20)</f>
        <v>4.4247787610619468E-3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97</v>
      </c>
      <c r="C24" s="6">
        <f>IF(B$20=0,0,B24/B$20)</f>
        <v>0.42920353982300885</v>
      </c>
      <c r="E24" s="27" t="s">
        <v>88</v>
      </c>
      <c r="F24" s="24" t="s">
        <v>43</v>
      </c>
      <c r="G24" s="12">
        <v>1</v>
      </c>
      <c r="H24" s="88">
        <f>IF(B$20=0,0,G24/B$20)</f>
        <v>4.4247787610619468E-3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72</v>
      </c>
      <c r="C25" s="6">
        <f>IF(B$20=0,0,B25/B$20)</f>
        <v>0.31858407079646017</v>
      </c>
      <c r="E25" s="27" t="s">
        <v>90</v>
      </c>
      <c r="F25" s="24" t="s">
        <v>45</v>
      </c>
      <c r="G25" s="12">
        <v>1</v>
      </c>
      <c r="H25" s="88">
        <f>IF(B$20=0,0,G25/B$20)</f>
        <v>4.4247787610619468E-3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57</v>
      </c>
      <c r="C26" s="6">
        <f>IF(B$20=0,0,B26/B$20)</f>
        <v>0.25221238938053098</v>
      </c>
      <c r="E26" s="27" t="s">
        <v>92</v>
      </c>
      <c r="F26" s="24" t="s">
        <v>47</v>
      </c>
      <c r="G26" s="12">
        <v>1</v>
      </c>
      <c r="H26" s="88">
        <f>IF(B$20=0,0,G26/B$20)</f>
        <v>4.4247787610619468E-3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8174.3362831858403</v>
      </c>
      <c r="C27" s="8">
        <v>1847400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8356.4935064935071</v>
      </c>
      <c r="C28" s="96">
        <v>1286900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7784.7222222222226</v>
      </c>
      <c r="C29" s="96">
        <v>560500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-7196.9465648854966</v>
      </c>
      <c r="C30" s="96">
        <v>-942800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1.4326647564469914E-3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6.1946902654867256E-2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40</v>
      </c>
      <c r="C38" s="6">
        <f t="shared" si="2"/>
        <v>0.17699115044247787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49</v>
      </c>
      <c r="C39" s="6">
        <f t="shared" si="2"/>
        <v>0.2168141592920354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42</v>
      </c>
      <c r="C40" s="6">
        <f t="shared" si="2"/>
        <v>0.18584070796460178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36</v>
      </c>
      <c r="C41" s="6">
        <f t="shared" si="2"/>
        <v>0.15929203539823009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25</v>
      </c>
      <c r="C42" s="6">
        <f t="shared" si="2"/>
        <v>0.11061946902654868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3.5398230088495575E-2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3</v>
      </c>
      <c r="C44" s="6">
        <f t="shared" si="2"/>
        <v>1.3274336283185841E-2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2.2123893805309734E-2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8.8495575221238937E-3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4.4247787610619468E-3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4.4247787610619468E-3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100</v>
      </c>
      <c r="H2" s="87">
        <f>IF(B$20=0,0,G2/B$20)</f>
        <v>0.96153846153846156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1524.4444444444443</v>
      </c>
      <c r="Q2" s="76">
        <v>45</v>
      </c>
      <c r="R2" s="63">
        <v>68600</v>
      </c>
    </row>
    <row r="3" spans="1:18" x14ac:dyDescent="0.4">
      <c r="A3" s="19" t="s">
        <v>8</v>
      </c>
      <c r="B3" s="135">
        <v>396</v>
      </c>
      <c r="C3" s="136"/>
      <c r="E3" s="27" t="s">
        <v>72</v>
      </c>
      <c r="F3" s="24" t="s">
        <v>27</v>
      </c>
      <c r="G3" s="12">
        <v>58</v>
      </c>
      <c r="H3" s="88">
        <f>IF(B$20=0,0,G3/B$20)</f>
        <v>0.55769230769230771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-118.6046511627907</v>
      </c>
      <c r="Q3" s="77">
        <v>43</v>
      </c>
      <c r="R3" s="64">
        <v>-5100</v>
      </c>
    </row>
    <row r="4" spans="1:18" x14ac:dyDescent="0.4">
      <c r="A4" s="19" t="s">
        <v>6</v>
      </c>
      <c r="B4" s="137">
        <v>-143.20000000000002</v>
      </c>
      <c r="C4" s="138"/>
      <c r="E4" s="27" t="s">
        <v>64</v>
      </c>
      <c r="F4" s="24" t="s">
        <v>20</v>
      </c>
      <c r="G4" s="12">
        <v>45</v>
      </c>
      <c r="H4" s="88">
        <f>IF(B$20=0,0,G4/B$20)</f>
        <v>0.43269230769230771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-369.76744186046511</v>
      </c>
      <c r="Q4" s="77">
        <v>43</v>
      </c>
      <c r="R4" s="64">
        <v>-15900</v>
      </c>
    </row>
    <row r="5" spans="1:18" x14ac:dyDescent="0.4">
      <c r="A5" s="19" t="s">
        <v>7</v>
      </c>
      <c r="B5" s="125">
        <f>IF(B$2=0,0,B$4/B$2)</f>
        <v>-3.1822222222222227</v>
      </c>
      <c r="C5" s="126"/>
      <c r="E5" s="27" t="s">
        <v>159</v>
      </c>
      <c r="F5" s="24" t="s">
        <v>160</v>
      </c>
      <c r="G5" s="12">
        <v>43</v>
      </c>
      <c r="H5" s="88">
        <f>IF(B$20=0,0,G5/B$20)</f>
        <v>0.41346153846153844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-221.42857142857142</v>
      </c>
      <c r="Q5" s="77">
        <v>42</v>
      </c>
      <c r="R5" s="64">
        <v>-9300</v>
      </c>
    </row>
    <row r="6" spans="1:18" x14ac:dyDescent="0.4">
      <c r="A6" s="19" t="s">
        <v>196</v>
      </c>
      <c r="B6" s="129">
        <v>1623.8904853493209</v>
      </c>
      <c r="C6" s="130"/>
      <c r="E6" s="27" t="s">
        <v>68</v>
      </c>
      <c r="F6" s="24" t="s">
        <v>12</v>
      </c>
      <c r="G6" s="12">
        <v>36</v>
      </c>
      <c r="H6" s="88">
        <f>IF(B$20=0,0,G6/B$20)</f>
        <v>0.34615384615384615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125.64102564102564</v>
      </c>
      <c r="Q6" s="77">
        <v>39</v>
      </c>
      <c r="R6" s="64">
        <v>4900</v>
      </c>
    </row>
    <row r="7" spans="1:18" x14ac:dyDescent="0.4">
      <c r="A7" s="19" t="s">
        <v>1</v>
      </c>
      <c r="B7" s="139">
        <f>IF(B$2=0,0,(B$8*1+B$9*2+B$10*3)/B$2)</f>
        <v>2.0666666666666669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0.26923076923076922</v>
      </c>
      <c r="I7" s="58">
        <v>2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-1184.375</v>
      </c>
      <c r="Q7" s="78">
        <v>32</v>
      </c>
      <c r="R7" s="65">
        <v>-37900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0.28888888888888886</v>
      </c>
      <c r="E8" s="27" t="s">
        <v>89</v>
      </c>
      <c r="F8" s="24" t="s">
        <v>44</v>
      </c>
      <c r="G8" s="12">
        <v>19</v>
      </c>
      <c r="H8" s="88">
        <f>IF(B$20=0,0,G8/B$20)</f>
        <v>0.18269230769230768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0.35555555555555557</v>
      </c>
      <c r="E9" s="27" t="s">
        <v>69</v>
      </c>
      <c r="F9" s="24" t="s">
        <v>24</v>
      </c>
      <c r="G9" s="12">
        <v>12</v>
      </c>
      <c r="H9" s="88">
        <f>IF(B$20=0,0,G9/B$20)</f>
        <v>0.11538461538461539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0.35555555555555557</v>
      </c>
      <c r="E10" s="27" t="s">
        <v>65</v>
      </c>
      <c r="F10" s="24" t="s">
        <v>21</v>
      </c>
      <c r="G10" s="12">
        <v>10</v>
      </c>
      <c r="H10" s="88">
        <f>IF(B$20=0,0,G10/B$20)</f>
        <v>9.6153846153846159E-2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-5.6611111111111114</v>
      </c>
      <c r="Q10" s="76">
        <v>18</v>
      </c>
      <c r="R10" s="67">
        <v>-101.9</v>
      </c>
    </row>
    <row r="11" spans="1:18" x14ac:dyDescent="0.4">
      <c r="A11" s="20" t="s">
        <v>184</v>
      </c>
      <c r="B11" s="109">
        <f>IF(B8=0,0,C11/B8)</f>
        <v>35.46153846153846</v>
      </c>
      <c r="C11" s="110">
        <v>460.99999999999994</v>
      </c>
      <c r="E11" s="27" t="s">
        <v>70</v>
      </c>
      <c r="F11" s="24" t="s">
        <v>25</v>
      </c>
      <c r="G11" s="12">
        <v>9</v>
      </c>
      <c r="H11" s="88">
        <f>IF(B$20=0,0,G11/B$20)</f>
        <v>8.6538461538461536E-2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1.9083333333333317</v>
      </c>
      <c r="Q11" s="77">
        <v>12</v>
      </c>
      <c r="R11" s="68">
        <v>22.899999999999981</v>
      </c>
    </row>
    <row r="12" spans="1:18" x14ac:dyDescent="0.4">
      <c r="A12" s="20" t="s">
        <v>185</v>
      </c>
      <c r="B12" s="109">
        <f>IF(B9=0,0,C12/B9)</f>
        <v>1.6687499999999997</v>
      </c>
      <c r="C12" s="110">
        <v>26.699999999999996</v>
      </c>
      <c r="E12" s="27" t="s">
        <v>86</v>
      </c>
      <c r="F12" s="24" t="s">
        <v>41</v>
      </c>
      <c r="G12" s="12">
        <v>8</v>
      </c>
      <c r="H12" s="88">
        <f>IF(B$20=0,0,G12/B$20)</f>
        <v>7.6923076923076927E-2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-4.28</v>
      </c>
      <c r="Q12" s="78">
        <v>15</v>
      </c>
      <c r="R12" s="69">
        <v>-64.2</v>
      </c>
    </row>
    <row r="13" spans="1:18" x14ac:dyDescent="0.4">
      <c r="A13" s="20" t="s">
        <v>186</v>
      </c>
      <c r="B13" s="109">
        <f>IF(B10=0,0,C13/B10)</f>
        <v>-39.431250000000006</v>
      </c>
      <c r="C13" s="110">
        <v>-630.90000000000009</v>
      </c>
      <c r="E13" s="27" t="s">
        <v>71</v>
      </c>
      <c r="F13" s="24" t="s">
        <v>26</v>
      </c>
      <c r="G13" s="12">
        <v>7</v>
      </c>
      <c r="H13" s="88">
        <f>IF(B$20=0,0,G13/B$20)</f>
        <v>6.7307692307692304E-2</v>
      </c>
      <c r="I13" s="58">
        <v>3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-0.76698717948718098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4.807692307692308E-2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0.13333333333333333</v>
      </c>
      <c r="E15" s="27" t="s">
        <v>78</v>
      </c>
      <c r="F15" s="24" t="s">
        <v>33</v>
      </c>
      <c r="G15" s="12">
        <v>4</v>
      </c>
      <c r="H15" s="88">
        <f>IF(B$20=0,0,G15/B$20)</f>
        <v>3.8461538461538464E-2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107</v>
      </c>
      <c r="C16" s="10">
        <f>IF(B$3=0,0,B16/B$3)</f>
        <v>0.27020202020202022</v>
      </c>
      <c r="E16" s="27" t="s">
        <v>83</v>
      </c>
      <c r="F16" s="24" t="s">
        <v>38</v>
      </c>
      <c r="G16" s="12">
        <v>4</v>
      </c>
      <c r="H16" s="88">
        <f>IF(B$20=0,0,G16/B$20)</f>
        <v>3.8461538461538464E-2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-0.15714285714285556</v>
      </c>
      <c r="Q16" s="77">
        <v>7</v>
      </c>
      <c r="R16" s="68">
        <v>-1.099999999999989</v>
      </c>
    </row>
    <row r="17" spans="1:18" x14ac:dyDescent="0.4">
      <c r="A17" s="19" t="s">
        <v>118</v>
      </c>
      <c r="B17" s="12">
        <v>88</v>
      </c>
      <c r="C17" s="6">
        <f>IF(B$3=0,0,B17/B$3)</f>
        <v>0.22222222222222221</v>
      </c>
      <c r="E17" s="27" t="s">
        <v>155</v>
      </c>
      <c r="F17" s="24" t="s">
        <v>156</v>
      </c>
      <c r="G17" s="12">
        <v>4</v>
      </c>
      <c r="H17" s="88">
        <f>IF(B$20=0,0,G17/B$20)</f>
        <v>3.8461538461538464E-2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-6.2454545454545469</v>
      </c>
      <c r="Q17" s="77">
        <v>11</v>
      </c>
      <c r="R17" s="68">
        <v>-68.700000000000017</v>
      </c>
    </row>
    <row r="18" spans="1:18" x14ac:dyDescent="0.4">
      <c r="A18" s="18" t="s">
        <v>123</v>
      </c>
      <c r="B18" s="11">
        <f>B24</f>
        <v>48</v>
      </c>
      <c r="C18" s="5">
        <f>IF(B$16=0,0,B18/B$16)</f>
        <v>0.44859813084112149</v>
      </c>
      <c r="E18" s="27" t="s">
        <v>73</v>
      </c>
      <c r="F18" s="24" t="s">
        <v>28</v>
      </c>
      <c r="G18" s="12">
        <v>1</v>
      </c>
      <c r="H18" s="88">
        <f>IF(B$20=0,0,G18/B$20)</f>
        <v>9.6153846153846159E-3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-6.9166666666666696</v>
      </c>
      <c r="Q18" s="77">
        <v>36</v>
      </c>
      <c r="R18" s="68">
        <v>-249.00000000000011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0.31818181818181818</v>
      </c>
      <c r="E19" s="27" t="s">
        <v>79</v>
      </c>
      <c r="F19" s="24" t="s">
        <v>34</v>
      </c>
      <c r="G19" s="12">
        <v>1</v>
      </c>
      <c r="H19" s="88">
        <f>IF(B$20=0,0,G19/B$20)</f>
        <v>9.6153846153846159E-3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-7.4307692307692301</v>
      </c>
      <c r="Q19" s="77">
        <v>13</v>
      </c>
      <c r="R19" s="68">
        <v>-96.6</v>
      </c>
    </row>
    <row r="20" spans="1:18" x14ac:dyDescent="0.4">
      <c r="A20" s="18" t="s">
        <v>10</v>
      </c>
      <c r="B20" s="11">
        <f>B23+B22</f>
        <v>104</v>
      </c>
      <c r="C20" s="5">
        <f>IF(B$3=0,0,B20/B$3)</f>
        <v>0.26262626262626265</v>
      </c>
      <c r="E20" s="27" t="s">
        <v>85</v>
      </c>
      <c r="F20" s="24" t="s">
        <v>40</v>
      </c>
      <c r="G20" s="12">
        <v>1</v>
      </c>
      <c r="H20" s="88">
        <f>IF(B$20=0,0,G20/B$20)</f>
        <v>9.6153846153846159E-3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211</v>
      </c>
      <c r="P20" s="83">
        <f>IF(Q20=0,0,R20/Q20)</f>
        <v>-13.12857142857143</v>
      </c>
      <c r="Q20" s="77">
        <v>14</v>
      </c>
      <c r="R20" s="68">
        <v>-183.8</v>
      </c>
    </row>
    <row r="21" spans="1:18" x14ac:dyDescent="0.4">
      <c r="A21" s="19" t="s">
        <v>13</v>
      </c>
      <c r="B21" s="12">
        <v>75</v>
      </c>
      <c r="C21" s="6">
        <f>IF(B$3=0,0,B21/B$3)</f>
        <v>0.18939393939393939</v>
      </c>
      <c r="E21" s="27" t="s">
        <v>88</v>
      </c>
      <c r="F21" s="24" t="s">
        <v>43</v>
      </c>
      <c r="G21" s="12">
        <v>1</v>
      </c>
      <c r="H21" s="88">
        <f>IF(B$20=0,0,G21/B$20)</f>
        <v>9.6153846153846159E-3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46</v>
      </c>
      <c r="C22" s="6">
        <f>IF(B$20=0,0,B22/B$20)</f>
        <v>0.44230769230769229</v>
      </c>
      <c r="E22" s="27" t="s">
        <v>91</v>
      </c>
      <c r="F22" s="24" t="s">
        <v>46</v>
      </c>
      <c r="G22" s="12">
        <v>1</v>
      </c>
      <c r="H22" s="88">
        <f>IF(B$20=0,0,G22/B$20)</f>
        <v>9.6153846153846159E-3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58</v>
      </c>
      <c r="C23" s="6">
        <f>IF(B$20=0,0,B23/B$20)</f>
        <v>0.55769230769230771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48</v>
      </c>
      <c r="C24" s="6">
        <f>IF(B$20=0,0,B24/B$20)</f>
        <v>0.46153846153846156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0.26923076923076922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28</v>
      </c>
      <c r="C26" s="6">
        <f>IF(B$20=0,0,B26/B$20)</f>
        <v>0.26923076923076922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8997.1153846153848</v>
      </c>
      <c r="C27" s="8">
        <v>935700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9488.1578947368416</v>
      </c>
      <c r="C28" s="96">
        <v>721100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-8130.666666666667</v>
      </c>
      <c r="C30" s="96">
        <v>-609800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2.5252525252525255E-3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7.6923076923076927E-2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2"/>
        <v>8.6538461538461536E-2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22</v>
      </c>
      <c r="C39" s="6">
        <f t="shared" si="2"/>
        <v>0.21153846153846154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20</v>
      </c>
      <c r="C40" s="6">
        <f t="shared" si="2"/>
        <v>0.19230769230769232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19</v>
      </c>
      <c r="C41" s="6">
        <f t="shared" si="2"/>
        <v>0.18269230769230768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11</v>
      </c>
      <c r="C42" s="6">
        <f t="shared" si="2"/>
        <v>0.10576923076923077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5.7692307692307696E-2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4</v>
      </c>
      <c r="C44" s="6">
        <f t="shared" si="2"/>
        <v>3.8461538461538464E-2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2.8846153846153848E-2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9.6153846153846159E-3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9.6153846153846159E-3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40</v>
      </c>
      <c r="C2" s="134"/>
      <c r="E2" s="26" t="s">
        <v>72</v>
      </c>
      <c r="F2" s="23" t="s">
        <v>27</v>
      </c>
      <c r="G2" s="11">
        <v>75</v>
      </c>
      <c r="H2" s="87">
        <f>IF(B$20=0,0,G2/B$20)</f>
        <v>0.7009345794392523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-145</v>
      </c>
      <c r="Q2" s="76">
        <v>40</v>
      </c>
      <c r="R2" s="63">
        <v>-5800</v>
      </c>
    </row>
    <row r="3" spans="1:18" x14ac:dyDescent="0.4">
      <c r="A3" s="19" t="s">
        <v>8</v>
      </c>
      <c r="B3" s="135">
        <v>350</v>
      </c>
      <c r="C3" s="136"/>
      <c r="E3" s="27" t="s">
        <v>66</v>
      </c>
      <c r="F3" s="24" t="s">
        <v>22</v>
      </c>
      <c r="G3" s="12">
        <v>67</v>
      </c>
      <c r="H3" s="88">
        <f>IF(B$20=0,0,G3/B$20)</f>
        <v>0.62616822429906538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-747.5</v>
      </c>
      <c r="Q3" s="77">
        <v>40</v>
      </c>
      <c r="R3" s="64">
        <v>-29900</v>
      </c>
    </row>
    <row r="4" spans="1:18" x14ac:dyDescent="0.4">
      <c r="A4" s="19" t="s">
        <v>6</v>
      </c>
      <c r="B4" s="137">
        <v>25.700000000000003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0.3925233644859813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1038.4615384615386</v>
      </c>
      <c r="Q4" s="77">
        <v>39</v>
      </c>
      <c r="R4" s="64">
        <v>40500</v>
      </c>
    </row>
    <row r="5" spans="1:18" x14ac:dyDescent="0.4">
      <c r="A5" s="19" t="s">
        <v>7</v>
      </c>
      <c r="B5" s="125">
        <f>IF(B$2=0,0,B$4/B$2)</f>
        <v>0.64250000000000007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0.3364485981308411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-656.41025641025647</v>
      </c>
      <c r="Q5" s="77">
        <v>39</v>
      </c>
      <c r="R5" s="64">
        <v>-25600</v>
      </c>
    </row>
    <row r="6" spans="1:18" x14ac:dyDescent="0.4">
      <c r="A6" s="19" t="s">
        <v>196</v>
      </c>
      <c r="B6" s="129">
        <v>1470.3574394374596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0.27102803738317754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-848.71794871794873</v>
      </c>
      <c r="Q6" s="77">
        <v>39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1.9750000000000001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0.26168224299065418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528.125</v>
      </c>
      <c r="Q7" s="78">
        <v>32</v>
      </c>
      <c r="R7" s="65">
        <v>16900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11</v>
      </c>
      <c r="H8" s="88">
        <f>IF(B$20=0,0,G8/B$20)</f>
        <v>0.10280373831775701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0.27500000000000002</v>
      </c>
      <c r="E9" s="27" t="s">
        <v>70</v>
      </c>
      <c r="F9" s="24" t="s">
        <v>25</v>
      </c>
      <c r="G9" s="12">
        <v>10</v>
      </c>
      <c r="H9" s="88">
        <f>IF(B$20=0,0,G9/B$20)</f>
        <v>9.3457943925233641E-2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0.35</v>
      </c>
      <c r="E10" s="27" t="s">
        <v>65</v>
      </c>
      <c r="F10" s="24" t="s">
        <v>21</v>
      </c>
      <c r="G10" s="12">
        <v>9</v>
      </c>
      <c r="H10" s="88">
        <f>IF(B$20=0,0,G10/B$20)</f>
        <v>8.4112149532710276E-2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7.476635514018691E-2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6.5420560747663545E-2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-33.114285714285714</v>
      </c>
      <c r="C13" s="110">
        <v>-463.6</v>
      </c>
      <c r="E13" s="27" t="s">
        <v>71</v>
      </c>
      <c r="F13" s="24" t="s">
        <v>26</v>
      </c>
      <c r="G13" s="12">
        <v>4</v>
      </c>
      <c r="H13" s="88">
        <f>IF(B$20=0,0,G13/B$20)</f>
        <v>3.7383177570093455E-2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0.27240981240981438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3.7383177570093455E-2</v>
      </c>
      <c r="I14" s="58">
        <v>3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0.05</v>
      </c>
      <c r="E15" s="27" t="s">
        <v>81</v>
      </c>
      <c r="F15" s="24" t="s">
        <v>36</v>
      </c>
      <c r="G15" s="12">
        <v>4</v>
      </c>
      <c r="H15" s="88">
        <f>IF(B$20=0,0,G15/B$20)</f>
        <v>3.7383177570093455E-2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91</v>
      </c>
      <c r="C16" s="10">
        <f>IF(B$3=0,0,B16/B$3)</f>
        <v>0.26</v>
      </c>
      <c r="E16" s="27" t="s">
        <v>79</v>
      </c>
      <c r="F16" s="24" t="s">
        <v>34</v>
      </c>
      <c r="G16" s="12">
        <v>3</v>
      </c>
      <c r="H16" s="88">
        <f>IF(B$20=0,0,G16/B$20)</f>
        <v>2.8037383177570093E-2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108</v>
      </c>
      <c r="C17" s="6">
        <f>IF(B$3=0,0,B17/B$3)</f>
        <v>0.30857142857142855</v>
      </c>
      <c r="E17" s="27" t="s">
        <v>86</v>
      </c>
      <c r="F17" s="24" t="s">
        <v>41</v>
      </c>
      <c r="G17" s="12">
        <v>2</v>
      </c>
      <c r="H17" s="88">
        <f>IF(B$20=0,0,G17/B$20)</f>
        <v>1.8691588785046728E-2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0.46153846153846156</v>
      </c>
      <c r="E18" s="27" t="s">
        <v>91</v>
      </c>
      <c r="F18" s="24" t="s">
        <v>46</v>
      </c>
      <c r="G18" s="12">
        <v>2</v>
      </c>
      <c r="H18" s="88">
        <f>IF(B$20=0,0,G18/B$20)</f>
        <v>1.8691588785046728E-2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163</v>
      </c>
      <c r="P18" s="83">
        <f t="shared" si="2"/>
        <v>7.4307692307692337</v>
      </c>
      <c r="Q18" s="77">
        <v>13</v>
      </c>
      <c r="R18" s="68">
        <v>96.600000000000037</v>
      </c>
    </row>
    <row r="19" spans="1:18" x14ac:dyDescent="0.4">
      <c r="A19" s="18" t="s">
        <v>124</v>
      </c>
      <c r="B19" s="11">
        <f>B25</f>
        <v>45</v>
      </c>
      <c r="C19" s="5">
        <f>IF(B$17=0,0,B19/B$17)</f>
        <v>0.41666666666666669</v>
      </c>
      <c r="E19" s="27" t="s">
        <v>88</v>
      </c>
      <c r="F19" s="24" t="s">
        <v>43</v>
      </c>
      <c r="G19" s="12">
        <v>1</v>
      </c>
      <c r="H19" s="88">
        <f>IF(B$20=0,0,G19/B$20)</f>
        <v>9.3457943925233638E-3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6.9000000000000012</v>
      </c>
      <c r="Q19" s="77">
        <v>9</v>
      </c>
      <c r="R19" s="68">
        <v>62.100000000000009</v>
      </c>
    </row>
    <row r="20" spans="1:18" x14ac:dyDescent="0.4">
      <c r="A20" s="18" t="s">
        <v>10</v>
      </c>
      <c r="B20" s="11">
        <f>B23+B22</f>
        <v>107</v>
      </c>
      <c r="C20" s="5">
        <f>IF(B$3=0,0,B20/B$3)</f>
        <v>0.30571428571428572</v>
      </c>
      <c r="E20" s="27" t="s">
        <v>93</v>
      </c>
      <c r="F20" s="24" t="s">
        <v>48</v>
      </c>
      <c r="G20" s="12">
        <v>1</v>
      </c>
      <c r="H20" s="88">
        <f>IF(B$20=0,0,G20/B$20)</f>
        <v>9.3457943925233638E-3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 t="shared" si="2"/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61</v>
      </c>
      <c r="C21" s="6">
        <f>IF(B$3=0,0,B21/B$3)</f>
        <v>0.17428571428571429</v>
      </c>
      <c r="E21" s="27" t="s">
        <v>106</v>
      </c>
      <c r="F21" s="24" t="s">
        <v>113</v>
      </c>
      <c r="G21" s="12">
        <v>1</v>
      </c>
      <c r="H21" s="88">
        <f>IF(B$20=0,0,G21/B$20)</f>
        <v>9.3457943925233638E-3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50</v>
      </c>
      <c r="C22" s="6">
        <f>IF(B$20=0,0,B22/B$20)</f>
        <v>0.46728971962616822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57</v>
      </c>
      <c r="C23" s="6">
        <f>IF(B$20=0,0,B23/B$20)</f>
        <v>0.53271028037383172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0.3925233644859813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45</v>
      </c>
      <c r="C25" s="6">
        <f>IF(B$20=0,0,B25/B$20)</f>
        <v>0.42056074766355139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0.18691588785046728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7552.336448598131</v>
      </c>
      <c r="C27" s="8">
        <v>808100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9332.2580645161288</v>
      </c>
      <c r="C28" s="96">
        <v>578600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5100</v>
      </c>
      <c r="C29" s="96">
        <v>229500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-8100</v>
      </c>
      <c r="C30" s="96">
        <v>-494100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0.13084112149532709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26</v>
      </c>
      <c r="C38" s="6">
        <f t="shared" si="3"/>
        <v>0.24299065420560748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3"/>
        <v>0.19626168224299065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0.18691588785046728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4.6728971962616821E-2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3"/>
        <v>3.7383177570093455E-2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4.6728971962616821E-2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3"/>
        <v>1.8691588785046728E-2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3"/>
        <v>3.7383177570093455E-2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3"/>
        <v>3.7383177570093455E-2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1.8691588785046728E-2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49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169.23076923076923</v>
      </c>
      <c r="Q2" s="76">
        <v>26</v>
      </c>
      <c r="R2" s="63">
        <v>4400</v>
      </c>
    </row>
    <row r="3" spans="1:18" x14ac:dyDescent="0.4">
      <c r="A3" s="19" t="s">
        <v>8</v>
      </c>
      <c r="B3" s="135">
        <v>225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0.6428571428571429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1042.3076923076924</v>
      </c>
      <c r="Q3" s="77">
        <v>26</v>
      </c>
      <c r="R3" s="64">
        <v>27100</v>
      </c>
    </row>
    <row r="4" spans="1:18" x14ac:dyDescent="0.4">
      <c r="A4" s="19" t="s">
        <v>6</v>
      </c>
      <c r="B4" s="137">
        <v>-31.000000000000021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0.5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-1072</v>
      </c>
      <c r="Q4" s="77">
        <v>25</v>
      </c>
      <c r="R4" s="64">
        <v>-26800</v>
      </c>
    </row>
    <row r="5" spans="1:18" x14ac:dyDescent="0.4">
      <c r="A5" s="19" t="s">
        <v>7</v>
      </c>
      <c r="B5" s="125">
        <f>IF(B$2=0,0,B$4/B$2)</f>
        <v>-1.1923076923076932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0.48214285714285715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-2150</v>
      </c>
      <c r="Q5" s="77">
        <v>22</v>
      </c>
      <c r="R5" s="64">
        <v>-47300</v>
      </c>
    </row>
    <row r="6" spans="1:18" x14ac:dyDescent="0.4">
      <c r="A6" s="19" t="s">
        <v>196</v>
      </c>
      <c r="B6" s="129">
        <v>1530.4544498518735</v>
      </c>
      <c r="C6" s="130"/>
      <c r="E6" s="27" t="s">
        <v>67</v>
      </c>
      <c r="F6" s="24" t="s">
        <v>23</v>
      </c>
      <c r="G6" s="12">
        <v>15</v>
      </c>
      <c r="H6" s="88">
        <f>IF(B$20=0,0,G6/B$20)</f>
        <v>0.26785714285714285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2800</v>
      </c>
      <c r="Q6" s="77">
        <v>21</v>
      </c>
      <c r="R6" s="64">
        <v>58800</v>
      </c>
    </row>
    <row r="7" spans="1:18" x14ac:dyDescent="0.4">
      <c r="A7" s="19" t="s">
        <v>1</v>
      </c>
      <c r="B7" s="139">
        <f>IF(B$2=0,0,(B$8*1+B$9*2+B$10*3)/B$2)</f>
        <v>1.9615384615384615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0.23214285714285715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-1011.1111111111111</v>
      </c>
      <c r="Q7" s="78">
        <v>18</v>
      </c>
      <c r="R7" s="65">
        <v>-18200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0.23076923076923078</v>
      </c>
      <c r="E8" s="27" t="s">
        <v>65</v>
      </c>
      <c r="F8" s="24" t="s">
        <v>21</v>
      </c>
      <c r="G8" s="12">
        <v>11</v>
      </c>
      <c r="H8" s="88">
        <f>IF(B$20=0,0,G8/B$20)</f>
        <v>0.19642857142857142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0.57692307692307687</v>
      </c>
      <c r="E9" s="27" t="s">
        <v>89</v>
      </c>
      <c r="F9" s="24" t="s">
        <v>44</v>
      </c>
      <c r="G9" s="12">
        <v>7</v>
      </c>
      <c r="H9" s="88">
        <f>IF(B$20=0,0,G9/B$20)</f>
        <v>0.125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0.19230769230769232</v>
      </c>
      <c r="E10" s="27" t="s">
        <v>69</v>
      </c>
      <c r="F10" s="24" t="s">
        <v>24</v>
      </c>
      <c r="G10" s="12">
        <v>6</v>
      </c>
      <c r="H10" s="88">
        <f>IF(B$20=0,0,G10/B$20)</f>
        <v>0.10714285714285714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8.9285714285714288E-2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-5.0222222222222221</v>
      </c>
      <c r="Q11" s="77">
        <v>9</v>
      </c>
      <c r="R11" s="68">
        <v>-45.199999999999996</v>
      </c>
    </row>
    <row r="12" spans="1:18" x14ac:dyDescent="0.4">
      <c r="A12" s="20" t="s">
        <v>185</v>
      </c>
      <c r="B12" s="109">
        <f>IF(B9=0,0,C12/B9)</f>
        <v>-1.7799999999999998</v>
      </c>
      <c r="C12" s="110">
        <v>-26.699999999999996</v>
      </c>
      <c r="E12" s="27" t="s">
        <v>86</v>
      </c>
      <c r="F12" s="24" t="s">
        <v>41</v>
      </c>
      <c r="G12" s="12">
        <v>4</v>
      </c>
      <c r="H12" s="88">
        <f>IF(B$20=0,0,G12/B$20)</f>
        <v>7.1428571428571425E-2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-40.4</v>
      </c>
      <c r="C13" s="110">
        <v>-202</v>
      </c>
      <c r="E13" s="27" t="s">
        <v>79</v>
      </c>
      <c r="F13" s="24" t="s">
        <v>34</v>
      </c>
      <c r="G13" s="12">
        <v>2</v>
      </c>
      <c r="H13" s="88">
        <f>IF(B$20=0,0,G13/B$20)</f>
        <v>3.5714285714285712E-2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-3.076666666666668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3.5714285714285712E-2</v>
      </c>
      <c r="I14" s="58">
        <v>5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7.6923076923076927E-2</v>
      </c>
      <c r="E15" s="27" t="s">
        <v>83</v>
      </c>
      <c r="F15" s="24" t="s">
        <v>38</v>
      </c>
      <c r="G15" s="12">
        <v>2</v>
      </c>
      <c r="H15" s="88">
        <f>IF(B$20=0,0,G15/B$20)</f>
        <v>3.5714285714285712E-2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53</v>
      </c>
      <c r="C16" s="10">
        <f>IF(B$3=0,0,B16/B$3)</f>
        <v>0.23555555555555555</v>
      </c>
      <c r="E16" s="27" t="s">
        <v>71</v>
      </c>
      <c r="F16" s="24" t="s">
        <v>26</v>
      </c>
      <c r="G16" s="12">
        <v>1</v>
      </c>
      <c r="H16" s="88">
        <f>IF(B$20=0,0,G16/B$20)</f>
        <v>1.7857142857142856E-2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 t="shared" si="2"/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48</v>
      </c>
      <c r="C17" s="6">
        <f>IF(B$3=0,0,B17/B$3)</f>
        <v>0.21333333333333335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 t="shared" si="2"/>
        <v>0.15714285714285733</v>
      </c>
      <c r="Q17" s="77">
        <v>7</v>
      </c>
      <c r="R17" s="68">
        <v>1.1000000000000014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0.52830188679245282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-6.625</v>
      </c>
      <c r="Q18" s="77">
        <v>20</v>
      </c>
      <c r="R18" s="68">
        <v>-132.5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0.24888888888888888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24</v>
      </c>
      <c r="C21" s="6">
        <f>IF(B$3=0,0,B21/B$3)</f>
        <v>0.10666666666666667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17</v>
      </c>
      <c r="C22" s="6">
        <f>IF(B$20=0,0,B22/B$20)</f>
        <v>0.30357142857142855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0.6964285714285714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0.32142857142857145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10</v>
      </c>
      <c r="C26" s="6">
        <f>IF(B$20=0,0,B26/B$20)</f>
        <v>0.17857142857142858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8112.5</v>
      </c>
      <c r="C27" s="8">
        <v>454300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7831.5789473684208</v>
      </c>
      <c r="C28" s="96">
        <v>297600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-6279.166666666667</v>
      </c>
      <c r="C30" s="96">
        <v>-150700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1.7857142857142856E-2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3"/>
        <v>0.16071428571428573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3"/>
        <v>0.25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3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7.1428571428571425E-2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1.7857142857142856E-2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5.3571428571428568E-2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1.7857142857142856E-2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0.74757281553398058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169.23076923076923</v>
      </c>
      <c r="Q2" s="76">
        <v>39</v>
      </c>
      <c r="R2" s="63">
        <v>6600</v>
      </c>
    </row>
    <row r="3" spans="1:18" x14ac:dyDescent="0.4">
      <c r="A3" s="19" t="s">
        <v>8</v>
      </c>
      <c r="B3" s="135">
        <v>338</v>
      </c>
      <c r="C3" s="136"/>
      <c r="E3" s="27" t="s">
        <v>72</v>
      </c>
      <c r="F3" s="24" t="s">
        <v>27</v>
      </c>
      <c r="G3" s="12">
        <v>57</v>
      </c>
      <c r="H3" s="88">
        <f>IF(B$20=0,0,G3/B$20)</f>
        <v>0.55339805825242716</v>
      </c>
      <c r="I3" s="58">
        <v>9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864.10256410256409</v>
      </c>
      <c r="Q3" s="77">
        <v>39</v>
      </c>
      <c r="R3" s="64">
        <v>33700</v>
      </c>
    </row>
    <row r="4" spans="1:18" x14ac:dyDescent="0.4">
      <c r="A4" s="19" t="s">
        <v>6</v>
      </c>
      <c r="B4" s="137">
        <v>101.59999999999998</v>
      </c>
      <c r="C4" s="138"/>
      <c r="E4" s="27" t="s">
        <v>64</v>
      </c>
      <c r="F4" s="24" t="s">
        <v>20</v>
      </c>
      <c r="G4" s="12">
        <v>44</v>
      </c>
      <c r="H4" s="88">
        <f>IF(B$20=0,0,G4/B$20)</f>
        <v>0.42718446601941745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2102.5641025641025</v>
      </c>
      <c r="Q4" s="77">
        <v>39</v>
      </c>
      <c r="R4" s="64">
        <v>82000</v>
      </c>
    </row>
    <row r="5" spans="1:18" x14ac:dyDescent="0.4">
      <c r="A5" s="19" t="s">
        <v>7</v>
      </c>
      <c r="B5" s="125">
        <f>IF(B$2=0,0,B$4/B$2)</f>
        <v>2.6051282051282048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0.3300970873786408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-597.22222222222217</v>
      </c>
      <c r="Q5" s="77">
        <v>36</v>
      </c>
      <c r="R5" s="64">
        <v>-21500</v>
      </c>
    </row>
    <row r="6" spans="1:18" x14ac:dyDescent="0.4">
      <c r="A6" s="19" t="s">
        <v>196</v>
      </c>
      <c r="B6" s="129">
        <v>1522.0163768209231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0.28155339805825241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-912.5</v>
      </c>
      <c r="Q6" s="77">
        <v>32</v>
      </c>
      <c r="R6" s="64">
        <v>-29200</v>
      </c>
    </row>
    <row r="7" spans="1:18" x14ac:dyDescent="0.4">
      <c r="A7" s="19" t="s">
        <v>1</v>
      </c>
      <c r="B7" s="139">
        <f>IF(B$2=0,0,(B$8*1+B$9*2+B$10*3)/B$2)</f>
        <v>1.9487179487179487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0.26213592233009708</v>
      </c>
      <c r="I7" s="58">
        <v>4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1046.6666666666667</v>
      </c>
      <c r="Q7" s="78">
        <v>30</v>
      </c>
      <c r="R7" s="65">
        <v>31400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17</v>
      </c>
      <c r="H8" s="88">
        <f>IF(B$20=0,0,G8/B$20)</f>
        <v>0.1650485436893204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0.28205128205128205</v>
      </c>
      <c r="E9" s="27" t="s">
        <v>69</v>
      </c>
      <c r="F9" s="24" t="s">
        <v>24</v>
      </c>
      <c r="G9" s="12">
        <v>14</v>
      </c>
      <c r="H9" s="88">
        <f>IF(B$20=0,0,G9/B$20)</f>
        <v>0.13592233009708737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0.33333333333333331</v>
      </c>
      <c r="E10" s="27" t="s">
        <v>71</v>
      </c>
      <c r="F10" s="24" t="s">
        <v>26</v>
      </c>
      <c r="G10" s="12">
        <v>8</v>
      </c>
      <c r="H10" s="88">
        <f>IF(B$20=0,0,G10/B$20)</f>
        <v>7.7669902912621352E-2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-8.2555555555555546</v>
      </c>
      <c r="Q10" s="76">
        <v>9</v>
      </c>
      <c r="R10" s="67">
        <v>-74.3</v>
      </c>
    </row>
    <row r="11" spans="1:18" x14ac:dyDescent="0.4">
      <c r="A11" s="20" t="s">
        <v>184</v>
      </c>
      <c r="B11" s="109">
        <f>IF(B8=0,0,C11/B8)</f>
        <v>33.313333333333333</v>
      </c>
      <c r="C11" s="110">
        <v>499.7</v>
      </c>
      <c r="E11" s="27" t="s">
        <v>65</v>
      </c>
      <c r="F11" s="24" t="s">
        <v>21</v>
      </c>
      <c r="G11" s="12">
        <v>7</v>
      </c>
      <c r="H11" s="88">
        <f>IF(B$20=0,0,G11/B$20)</f>
        <v>6.7961165048543687E-2</v>
      </c>
      <c r="I11" s="58">
        <v>9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2.3571428571428581</v>
      </c>
      <c r="Q11" s="77">
        <v>14</v>
      </c>
      <c r="R11" s="68">
        <v>33.000000000000014</v>
      </c>
    </row>
    <row r="12" spans="1:18" x14ac:dyDescent="0.4">
      <c r="A12" s="20" t="s">
        <v>185</v>
      </c>
      <c r="B12" s="109">
        <f>IF(B9=0,0,C12/B9)</f>
        <v>-1.5545454545454549</v>
      </c>
      <c r="C12" s="110">
        <v>-17.100000000000005</v>
      </c>
      <c r="E12" s="27" t="s">
        <v>86</v>
      </c>
      <c r="F12" s="24" t="s">
        <v>41</v>
      </c>
      <c r="G12" s="12">
        <v>7</v>
      </c>
      <c r="H12" s="88">
        <f>IF(B$20=0,0,G12/B$20)</f>
        <v>6.7961165048543687E-2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8.9312500000000004</v>
      </c>
      <c r="Q12" s="78">
        <v>16</v>
      </c>
      <c r="R12" s="69">
        <v>142.9</v>
      </c>
    </row>
    <row r="13" spans="1:18" x14ac:dyDescent="0.4">
      <c r="A13" s="20" t="s">
        <v>186</v>
      </c>
      <c r="B13" s="109">
        <f>IF(B10=0,0,C13/B10)</f>
        <v>-29.307692307692314</v>
      </c>
      <c r="C13" s="110">
        <v>-381.00000000000006</v>
      </c>
      <c r="E13" s="27" t="s">
        <v>83</v>
      </c>
      <c r="F13" s="24" t="s">
        <v>38</v>
      </c>
      <c r="G13" s="12">
        <v>6</v>
      </c>
      <c r="H13" s="88">
        <f>IF(B$20=0,0,G13/B$20)</f>
        <v>5.8252427184466021E-2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0.81703185703185477</v>
      </c>
      <c r="C14" s="126"/>
      <c r="E14" s="27" t="s">
        <v>70</v>
      </c>
      <c r="F14" s="24" t="s">
        <v>25</v>
      </c>
      <c r="G14" s="12">
        <v>5</v>
      </c>
      <c r="H14" s="88">
        <f>IF(B$20=0,0,G14/B$20)</f>
        <v>4.8543689320388349E-2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5.128205128205128E-2</v>
      </c>
      <c r="E15" s="27" t="s">
        <v>91</v>
      </c>
      <c r="F15" s="24" t="s">
        <v>46</v>
      </c>
      <c r="G15" s="12">
        <v>5</v>
      </c>
      <c r="H15" s="88">
        <f>IF(B$20=0,0,G15/B$20)</f>
        <v>4.8543689320388349E-2</v>
      </c>
      <c r="I15" s="58">
        <v>1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73</v>
      </c>
      <c r="C16" s="10">
        <f>IF(B$3=0,0,B16/B$3)</f>
        <v>0.21597633136094674</v>
      </c>
      <c r="E16" s="27" t="s">
        <v>81</v>
      </c>
      <c r="F16" s="24" t="s">
        <v>36</v>
      </c>
      <c r="G16" s="12">
        <v>4</v>
      </c>
      <c r="H16" s="88">
        <f>IF(B$20=0,0,G16/B$20)</f>
        <v>3.8834951456310676E-2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70</v>
      </c>
      <c r="C17" s="6">
        <f>IF(B$3=0,0,B17/B$3)</f>
        <v>0.20710059171597633</v>
      </c>
      <c r="E17" s="27" t="s">
        <v>78</v>
      </c>
      <c r="F17" s="24" t="s">
        <v>33</v>
      </c>
      <c r="G17" s="12">
        <v>3</v>
      </c>
      <c r="H17" s="88">
        <f>IF(B$20=0,0,G17/B$20)</f>
        <v>2.9126213592233011E-2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0.57534246575342463</v>
      </c>
      <c r="E18" s="27" t="s">
        <v>73</v>
      </c>
      <c r="F18" s="24" t="s">
        <v>28</v>
      </c>
      <c r="G18" s="12">
        <v>2</v>
      </c>
      <c r="H18" s="88">
        <f>IF(B$20=0,0,G18/B$20)</f>
        <v>1.9417475728155338E-2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13.12857142857143</v>
      </c>
      <c r="Q18" s="77">
        <v>14</v>
      </c>
      <c r="R18" s="68">
        <v>183.8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0.48571428571428571</v>
      </c>
      <c r="E19" s="27" t="s">
        <v>75</v>
      </c>
      <c r="F19" s="24" t="s">
        <v>30</v>
      </c>
      <c r="G19" s="12">
        <v>1</v>
      </c>
      <c r="H19" s="88">
        <f>IF(B$20=0,0,G19/B$20)</f>
        <v>9.7087378640776691E-3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195</v>
      </c>
      <c r="P19" s="83">
        <f t="shared" si="2"/>
        <v>-3.0750000000000011</v>
      </c>
      <c r="Q19" s="77">
        <v>4</v>
      </c>
      <c r="R19" s="68">
        <v>-12.300000000000004</v>
      </c>
    </row>
    <row r="20" spans="1:18" x14ac:dyDescent="0.4">
      <c r="A20" s="18" t="s">
        <v>10</v>
      </c>
      <c r="B20" s="11">
        <f>B23+B22</f>
        <v>103</v>
      </c>
      <c r="C20" s="5">
        <f>IF(B$3=0,0,B20/B$3)</f>
        <v>0.30473372781065089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45</v>
      </c>
      <c r="C21" s="6">
        <f>IF(B$3=0,0,B21/B$3)</f>
        <v>0.13313609467455623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190</v>
      </c>
      <c r="P21" s="83">
        <f t="shared" si="2"/>
        <v>-6.5555555555555562</v>
      </c>
      <c r="Q21" s="77">
        <v>9</v>
      </c>
      <c r="R21" s="68">
        <v>-59.000000000000007</v>
      </c>
    </row>
    <row r="22" spans="1:18" x14ac:dyDescent="0.4">
      <c r="A22" s="19" t="s">
        <v>12</v>
      </c>
      <c r="B22" s="12">
        <v>44</v>
      </c>
      <c r="C22" s="6">
        <f>IF(B$20=0,0,B22/B$20)</f>
        <v>0.42718446601941745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 t="shared" si="2"/>
        <v>-6.9</v>
      </c>
      <c r="Q22" s="77">
        <v>9</v>
      </c>
      <c r="R22" s="68">
        <v>-62.1</v>
      </c>
    </row>
    <row r="23" spans="1:18" x14ac:dyDescent="0.4">
      <c r="A23" s="19" t="s">
        <v>11</v>
      </c>
      <c r="B23" s="12">
        <v>59</v>
      </c>
      <c r="C23" s="6">
        <f>IF(B$20=0,0,B23/B$20)</f>
        <v>0.57281553398058249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">
      <c r="A24" s="19" t="s">
        <v>183</v>
      </c>
      <c r="B24" s="12">
        <v>42</v>
      </c>
      <c r="C24" s="6">
        <f>IF(B$20=0,0,B24/B$20)</f>
        <v>0.40776699029126212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34</v>
      </c>
      <c r="C25" s="6">
        <f>IF(B$20=0,0,B25/B$20)</f>
        <v>0.3300970873786408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27</v>
      </c>
      <c r="C26" s="6">
        <f>IF(B$20=0,0,B26/B$20)</f>
        <v>0.26213592233009708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7706.7961165048546</v>
      </c>
      <c r="C27" s="8">
        <v>793800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7957.971014492754</v>
      </c>
      <c r="C28" s="96">
        <v>549100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7197.0588235294117</v>
      </c>
      <c r="C29" s="96">
        <v>244700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-6708.8888888888887</v>
      </c>
      <c r="C30" s="96">
        <v>-301900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8.8757396449704144E-3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7.7669902912621352E-2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24</v>
      </c>
      <c r="C38" s="6">
        <f t="shared" si="3"/>
        <v>0.23300970873786409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20</v>
      </c>
      <c r="C39" s="6">
        <f t="shared" si="3"/>
        <v>0.1941747572815534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13</v>
      </c>
      <c r="C40" s="6">
        <f t="shared" si="3"/>
        <v>0.12621359223300971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14</v>
      </c>
      <c r="C41" s="6">
        <f t="shared" si="3"/>
        <v>0.13592233009708737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11</v>
      </c>
      <c r="C42" s="6">
        <f t="shared" si="3"/>
        <v>0.10679611650485436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3"/>
        <v>4.8543689320388349E-2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3.8834951456310676E-2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9.7087378640776691E-3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2</v>
      </c>
      <c r="C46" s="6">
        <f t="shared" si="3"/>
        <v>1.9417475728155338E-2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3"/>
        <v>9.7087378640776691E-3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101</v>
      </c>
      <c r="H2" s="87">
        <f>IF(B$20=0,0,G2/B$20)</f>
        <v>0.7890625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-237.77777777777777</v>
      </c>
      <c r="Q2" s="76">
        <v>45</v>
      </c>
      <c r="R2" s="63">
        <v>-10700</v>
      </c>
    </row>
    <row r="3" spans="1:18" x14ac:dyDescent="0.4">
      <c r="A3" s="19" t="s">
        <v>8</v>
      </c>
      <c r="B3" s="135">
        <v>391</v>
      </c>
      <c r="C3" s="136"/>
      <c r="E3" s="27" t="s">
        <v>72</v>
      </c>
      <c r="F3" s="24" t="s">
        <v>27</v>
      </c>
      <c r="G3" s="12">
        <v>79</v>
      </c>
      <c r="H3" s="88">
        <f>IF(B$20=0,0,G3/B$20)</f>
        <v>0.6171875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778.57142857142856</v>
      </c>
      <c r="Q3" s="77">
        <v>42</v>
      </c>
      <c r="R3" s="64">
        <v>32700</v>
      </c>
    </row>
    <row r="4" spans="1:18" x14ac:dyDescent="0.4">
      <c r="A4" s="19" t="s">
        <v>6</v>
      </c>
      <c r="B4" s="137">
        <v>228.89999999999995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0.484375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169.76744186046511</v>
      </c>
      <c r="Q4" s="77">
        <v>43</v>
      </c>
      <c r="R4" s="64">
        <v>7300</v>
      </c>
    </row>
    <row r="5" spans="1:18" x14ac:dyDescent="0.4">
      <c r="A5" s="19" t="s">
        <v>7</v>
      </c>
      <c r="B5" s="125">
        <f>IF(B$2=0,0,B$4/B$2)</f>
        <v>5.0866666666666651</v>
      </c>
      <c r="C5" s="126"/>
      <c r="E5" s="27" t="s">
        <v>64</v>
      </c>
      <c r="F5" s="24" t="s">
        <v>20</v>
      </c>
      <c r="G5" s="12">
        <v>43</v>
      </c>
      <c r="H5" s="88">
        <f>IF(B$20=0,0,G5/B$20)</f>
        <v>0.3359375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2455</v>
      </c>
      <c r="Q5" s="77">
        <v>40</v>
      </c>
      <c r="R5" s="64">
        <v>98200</v>
      </c>
    </row>
    <row r="6" spans="1:18" x14ac:dyDescent="0.4">
      <c r="A6" s="19" t="s">
        <v>196</v>
      </c>
      <c r="B6" s="129">
        <v>1573.325689506974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629.72972972972968</v>
      </c>
      <c r="Q6" s="77">
        <v>37</v>
      </c>
      <c r="R6" s="64">
        <v>23300</v>
      </c>
    </row>
    <row r="7" spans="1:18" x14ac:dyDescent="0.4">
      <c r="A7" s="19" t="s">
        <v>1</v>
      </c>
      <c r="B7" s="139">
        <f>IF(B$2=0,0,(B$8*1+B$9*2+B$10*3)/B$2)</f>
        <v>1.8222222222222222</v>
      </c>
      <c r="C7" s="140"/>
      <c r="E7" s="27" t="s">
        <v>67</v>
      </c>
      <c r="F7" s="24" t="s">
        <v>23</v>
      </c>
      <c r="G7" s="12">
        <v>17</v>
      </c>
      <c r="H7" s="88">
        <f>IF(B$20=0,0,G7/B$20)</f>
        <v>0.1328125</v>
      </c>
      <c r="I7" s="58">
        <v>10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76.666666666666671</v>
      </c>
      <c r="Q7" s="78">
        <v>30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0.42222222222222222</v>
      </c>
      <c r="E8" s="27" t="s">
        <v>70</v>
      </c>
      <c r="F8" s="24" t="s">
        <v>25</v>
      </c>
      <c r="G8" s="12">
        <v>17</v>
      </c>
      <c r="H8" s="88">
        <f>IF(B$20=0,0,G8/B$20)</f>
        <v>0.1328125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0.33333333333333331</v>
      </c>
      <c r="E9" s="27" t="s">
        <v>89</v>
      </c>
      <c r="F9" s="24" t="s">
        <v>44</v>
      </c>
      <c r="G9" s="12">
        <v>14</v>
      </c>
      <c r="H9" s="88">
        <f>IF(B$20=0,0,G9/B$20)</f>
        <v>0.109375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0.24444444444444444</v>
      </c>
      <c r="E10" s="27" t="s">
        <v>71</v>
      </c>
      <c r="F10" s="24" t="s">
        <v>26</v>
      </c>
      <c r="G10" s="12">
        <v>13</v>
      </c>
      <c r="H10" s="88">
        <f>IF(B$20=0,0,G10/B$20)</f>
        <v>0.1015625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8.59375E-2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-0.3466666666666664</v>
      </c>
      <c r="Q11" s="77">
        <v>15</v>
      </c>
      <c r="R11" s="68">
        <v>-5.1999999999999957</v>
      </c>
    </row>
    <row r="12" spans="1:18" x14ac:dyDescent="0.4">
      <c r="A12" s="20" t="s">
        <v>185</v>
      </c>
      <c r="B12" s="109">
        <f>IF(B9=0,0,C12/B9)</f>
        <v>-3.9266666666666663</v>
      </c>
      <c r="C12" s="110">
        <v>-58.899999999999991</v>
      </c>
      <c r="E12" s="27" t="s">
        <v>65</v>
      </c>
      <c r="F12" s="24" t="s">
        <v>21</v>
      </c>
      <c r="G12" s="12">
        <v>5</v>
      </c>
      <c r="H12" s="88">
        <f>IF(B$20=0,0,G12/B$20)</f>
        <v>3.90625E-2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-1.9083333333333339</v>
      </c>
      <c r="Q12" s="78">
        <v>12</v>
      </c>
      <c r="R12" s="69">
        <v>-22.900000000000006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3.90625E-2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-1.3289845826687927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3.125E-2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79</v>
      </c>
      <c r="F15" s="24" t="s">
        <v>34</v>
      </c>
      <c r="G15" s="12">
        <v>3</v>
      </c>
      <c r="H15" s="88">
        <f>IF(B$20=0,0,G15/B$20)</f>
        <v>2.34375E-2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79</v>
      </c>
      <c r="C16" s="10">
        <f>IF(B$3=0,0,B16/B$3)</f>
        <v>0.20204603580562661</v>
      </c>
      <c r="E16" s="27" t="s">
        <v>81</v>
      </c>
      <c r="F16" s="24" t="s">
        <v>36</v>
      </c>
      <c r="G16" s="12">
        <v>3</v>
      </c>
      <c r="H16" s="88">
        <f>IF(B$20=0,0,G16/B$20)</f>
        <v>2.34375E-2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105</v>
      </c>
      <c r="C17" s="6">
        <f>IF(B$3=0,0,B17/B$3)</f>
        <v>0.26854219948849106</v>
      </c>
      <c r="E17" s="27" t="s">
        <v>83</v>
      </c>
      <c r="F17" s="24" t="s">
        <v>38</v>
      </c>
      <c r="G17" s="12">
        <v>2</v>
      </c>
      <c r="H17" s="88">
        <f>IF(B$20=0,0,G17/B$20)</f>
        <v>1.5625E-2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0.54430379746835444</v>
      </c>
      <c r="E18" s="27" t="s">
        <v>73</v>
      </c>
      <c r="F18" s="24" t="s">
        <v>28</v>
      </c>
      <c r="G18" s="12">
        <v>1</v>
      </c>
      <c r="H18" s="88">
        <f>IF(B$20=0,0,G18/B$20)</f>
        <v>7.8125E-3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43</v>
      </c>
      <c r="C19" s="5">
        <f>IF(B$17=0,0,B19/B$17)</f>
        <v>0.40952380952380951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6.245454545454546</v>
      </c>
      <c r="Q19" s="77">
        <v>11</v>
      </c>
      <c r="R19" s="68">
        <v>68.7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0.32736572890025578</v>
      </c>
      <c r="E20" s="27" t="s">
        <v>92</v>
      </c>
      <c r="F20" s="24" t="s">
        <v>47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4.8605263157894711</v>
      </c>
      <c r="Q20" s="77">
        <v>38</v>
      </c>
      <c r="R20" s="68">
        <v>184.6999999999999</v>
      </c>
    </row>
    <row r="21" spans="1:18" x14ac:dyDescent="0.4">
      <c r="A21" s="19" t="s">
        <v>13</v>
      </c>
      <c r="B21" s="12">
        <v>45</v>
      </c>
      <c r="C21" s="6">
        <f>IF(B$3=0,0,B21/B$3)</f>
        <v>0.11508951406649616</v>
      </c>
      <c r="E21" s="27" t="s">
        <v>102</v>
      </c>
      <c r="F21" s="24" t="s">
        <v>57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52</v>
      </c>
      <c r="C22" s="6">
        <f>IF(B$20=0,0,B22/B$20)</f>
        <v>0.40625</v>
      </c>
      <c r="E22" s="27" t="s">
        <v>155</v>
      </c>
      <c r="F22" s="24" t="s">
        <v>156</v>
      </c>
      <c r="G22" s="12">
        <v>1</v>
      </c>
      <c r="H22" s="88">
        <f>IF(B$20=0,0,G22/B$20)</f>
        <v>7.8125E-3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76</v>
      </c>
      <c r="C23" s="6">
        <f>IF(B$20=0,0,B23/B$20)</f>
        <v>0.59375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43</v>
      </c>
      <c r="C24" s="6">
        <f>IF(B$20=0,0,B24/B$20)</f>
        <v>0.3359375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43</v>
      </c>
      <c r="C25" s="6">
        <f>IF(B$20=0,0,B25/B$20)</f>
        <v>0.3359375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42</v>
      </c>
      <c r="C26" s="6">
        <f>IF(B$20=0,0,B26/B$20)</f>
        <v>0.328125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7482.8125</v>
      </c>
      <c r="C27" s="8">
        <v>957800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8463.5294117647063</v>
      </c>
      <c r="C28" s="96">
        <v>719400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5544.1860465116279</v>
      </c>
      <c r="C29" s="96">
        <v>238400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12</v>
      </c>
      <c r="C37" s="98">
        <f t="shared" ref="C37:C49" si="2">IF(B$20=0,0,B37/B$20)</f>
        <v>9.375E-2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31</v>
      </c>
      <c r="C38" s="6">
        <f t="shared" si="2"/>
        <v>0.2421875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2"/>
        <v>0.2109375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2"/>
        <v>0.15625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20</v>
      </c>
      <c r="C41" s="6">
        <f t="shared" si="2"/>
        <v>0.15625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3.125E-2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2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2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2"/>
        <v>7.8125E-3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8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0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2020-11-24T14:22:53Z</dcterms:modified>
</cp:coreProperties>
</file>