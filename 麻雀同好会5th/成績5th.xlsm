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9BAB5BA9-3778-4A85-A82D-DAE299124592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わさび2" sheetId="7001" state="hidden" r:id="rId17"/>
    <sheet name="りくと2" sheetId="6999" state="hidden" r:id="rId18"/>
    <sheet name="のり2" sheetId="6997" state="hidden" r:id="rId19"/>
    <sheet name="たか2" sheetId="6995" state="hidden" r:id="rId20"/>
    <sheet name="ただ2" sheetId="6993" state="hidden" r:id="rId21"/>
    <sheet name="いちかわ2" sheetId="6991" state="hidden" r:id="rId22"/>
    <sheet name="まっつん2" sheetId="6989" state="hidden" r:id="rId23"/>
    <sheet name="たかの2" sheetId="6987" state="hidden" r:id="rId24"/>
    <sheet name="れんたろう2" sheetId="6985" state="hidden" r:id="rId25"/>
    <sheet name="だいち2" sheetId="6983" state="hidden" r:id="rId26"/>
    <sheet name="全体2" sheetId="6981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1" i="6998" l="1"/>
  <c r="P15" i="6986"/>
  <c r="P16" i="6998" l="1"/>
  <c r="P19" i="6988"/>
  <c r="P16" i="6984" l="1"/>
  <c r="P17" i="6988"/>
  <c r="P15" i="6998" l="1"/>
  <c r="P21" i="6984"/>
  <c r="P17" i="6986" l="1"/>
  <c r="P20" i="6988"/>
  <c r="P21" i="6992"/>
  <c r="P15" i="6988"/>
  <c r="P19" i="6994" l="1"/>
  <c r="P16" i="6986"/>
  <c r="P17" i="6998" l="1"/>
  <c r="P22" i="6982"/>
  <c r="P22" i="6990" l="1"/>
  <c r="P19" i="6986"/>
  <c r="P15" i="6992" l="1"/>
  <c r="P18" i="6992"/>
  <c r="P20" i="6998"/>
  <c r="P17" i="7000"/>
  <c r="P17" i="6990"/>
  <c r="P19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9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7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20" i="6984" l="1"/>
  <c r="P19" i="6992"/>
  <c r="P15" i="6990"/>
  <c r="P16" i="6992"/>
  <c r="P22" i="6992"/>
  <c r="P18" i="6994"/>
  <c r="P18" i="6990"/>
  <c r="P20" i="6994"/>
  <c r="P19" i="6984"/>
  <c r="P15" i="6984"/>
  <c r="P17" i="6996" l="1"/>
  <c r="P16" i="6994"/>
  <c r="P15" i="6982"/>
  <c r="P16" i="6982"/>
  <c r="P16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23" i="6990"/>
  <c r="P16" i="6990"/>
  <c r="P15" i="6980"/>
  <c r="P16" i="6980"/>
  <c r="B14" i="6994" l="1"/>
  <c r="B14" i="6996"/>
  <c r="C19" i="6996"/>
  <c r="C20" i="6996"/>
  <c r="H2" i="6996"/>
  <c r="H4" i="6996"/>
  <c r="C38" i="6996"/>
  <c r="H51" i="6996"/>
  <c r="H3" i="6996"/>
  <c r="H12" i="6996"/>
  <c r="H17" i="6996"/>
  <c r="H21" i="6996"/>
  <c r="C24" i="6996"/>
  <c r="B28" i="6996"/>
  <c r="H34" i="6996"/>
  <c r="H39" i="6996"/>
  <c r="H43" i="6996"/>
  <c r="H47" i="6996"/>
  <c r="H5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1" i="6996"/>
  <c r="H13" i="6996"/>
  <c r="H22" i="6996"/>
  <c r="H10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14" i="6996"/>
  <c r="H16" i="6996"/>
  <c r="H24" i="6996"/>
  <c r="H28" i="6996"/>
  <c r="H31" i="6996"/>
  <c r="C37" i="6996"/>
  <c r="C41" i="6996"/>
  <c r="C45" i="6996"/>
  <c r="C49" i="6996"/>
  <c r="H8" i="6996"/>
  <c r="H20" i="6996"/>
  <c r="H9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0" i="6992"/>
  <c r="P17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1" i="6982"/>
  <c r="P24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4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8" i="6992"/>
  <c r="H7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3" i="6992"/>
  <c r="H16" i="6992"/>
  <c r="C23" i="6992"/>
  <c r="B27" i="6992"/>
  <c r="H34" i="6992"/>
  <c r="H40" i="6992"/>
  <c r="H43" i="6992"/>
  <c r="H47" i="6992"/>
  <c r="P19" i="6982" l="1"/>
  <c r="P18" i="6982"/>
  <c r="P21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0" i="6980"/>
  <c r="P18" i="6988"/>
  <c r="P16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3" i="6980"/>
  <c r="C19" i="6988" l="1"/>
  <c r="B14" i="6988"/>
  <c r="B14" i="6990"/>
  <c r="C19" i="6990"/>
  <c r="C20" i="6990"/>
  <c r="H3" i="6990"/>
  <c r="H27" i="6990"/>
  <c r="H8" i="6990"/>
  <c r="C38" i="6990"/>
  <c r="C46" i="6990"/>
  <c r="H9" i="6990"/>
  <c r="H19" i="6990"/>
  <c r="H23" i="6990"/>
  <c r="C24" i="6990"/>
  <c r="B28" i="6990"/>
  <c r="H34" i="6990"/>
  <c r="H39" i="6990"/>
  <c r="H43" i="6990"/>
  <c r="H47" i="6990"/>
  <c r="H5" i="6990"/>
  <c r="H25" i="6990"/>
  <c r="H12" i="6990"/>
  <c r="H30" i="6990"/>
  <c r="H35" i="6990"/>
  <c r="C39" i="6990"/>
  <c r="C43" i="6990"/>
  <c r="C47" i="6990"/>
  <c r="H52" i="6990"/>
  <c r="H18" i="6990"/>
  <c r="H21" i="6990"/>
  <c r="C25" i="6990"/>
  <c r="H40" i="6990"/>
  <c r="H44" i="6990"/>
  <c r="H48" i="6990"/>
  <c r="H33" i="6990"/>
  <c r="C42" i="6990"/>
  <c r="H51" i="6990"/>
  <c r="H2" i="6990"/>
  <c r="H7" i="6990"/>
  <c r="H14" i="6990"/>
  <c r="H24" i="6990"/>
  <c r="H13" i="6990"/>
  <c r="H28" i="6990"/>
  <c r="H15" i="6990"/>
  <c r="H36" i="6990"/>
  <c r="C40" i="6990"/>
  <c r="C44" i="6990"/>
  <c r="C48" i="6990"/>
  <c r="H4" i="6990"/>
  <c r="H22" i="6990"/>
  <c r="C22" i="6990"/>
  <c r="C26" i="6990"/>
  <c r="H37" i="6990"/>
  <c r="H41" i="6990"/>
  <c r="H45" i="6990"/>
  <c r="H49" i="6990"/>
  <c r="H6" i="6990"/>
  <c r="H10" i="6990"/>
  <c r="H20" i="6990"/>
  <c r="H26" i="6990"/>
  <c r="H29" i="6990"/>
  <c r="H31" i="6990"/>
  <c r="C37" i="6990"/>
  <c r="C41" i="6990"/>
  <c r="C45" i="6990"/>
  <c r="C49" i="6990"/>
  <c r="H11" i="6990"/>
  <c r="H17" i="6990"/>
  <c r="H16" i="6990"/>
  <c r="C23" i="6990"/>
  <c r="B27" i="6990"/>
  <c r="H32" i="6990"/>
  <c r="H38" i="6990"/>
  <c r="H42" i="6990"/>
  <c r="H46" i="6990"/>
  <c r="C20" i="6988"/>
  <c r="H3" i="6988"/>
  <c r="H26" i="6988"/>
  <c r="H33" i="6988"/>
  <c r="C42" i="6988"/>
  <c r="H51" i="6988"/>
  <c r="H2" i="6988"/>
  <c r="H10" i="6988"/>
  <c r="H19" i="6988"/>
  <c r="H13" i="6988"/>
  <c r="C24" i="6988"/>
  <c r="B28" i="6988"/>
  <c r="H34" i="6988"/>
  <c r="H39" i="6988"/>
  <c r="H43" i="6988"/>
  <c r="H47" i="6988"/>
  <c r="H5" i="6988"/>
  <c r="H24" i="6988"/>
  <c r="H12" i="6988"/>
  <c r="H29" i="6988"/>
  <c r="H35" i="6988"/>
  <c r="C39" i="6988"/>
  <c r="C43" i="6988"/>
  <c r="C47" i="6988"/>
  <c r="H52" i="6988"/>
  <c r="H17" i="6988"/>
  <c r="H20" i="6988"/>
  <c r="C25" i="6988"/>
  <c r="H40" i="6988"/>
  <c r="H44" i="6988"/>
  <c r="H48" i="6988"/>
  <c r="H9" i="6988"/>
  <c r="C38" i="6988"/>
  <c r="C46" i="6988"/>
  <c r="H6" i="6988"/>
  <c r="H11" i="6988"/>
  <c r="H23" i="6988"/>
  <c r="H15" i="6988"/>
  <c r="H27" i="6988"/>
  <c r="H30" i="6988"/>
  <c r="H36" i="6988"/>
  <c r="C40" i="6988"/>
  <c r="C44" i="6988"/>
  <c r="C48" i="6988"/>
  <c r="H4" i="6988"/>
  <c r="H21" i="6988"/>
  <c r="C22" i="6988"/>
  <c r="C26" i="6988"/>
  <c r="H37" i="6988"/>
  <c r="H41" i="6988"/>
  <c r="H45" i="6988"/>
  <c r="H49" i="6988"/>
  <c r="H7" i="6988"/>
  <c r="H16" i="6988"/>
  <c r="H18" i="6988"/>
  <c r="H25" i="6988"/>
  <c r="H28" i="6988"/>
  <c r="H31" i="6988"/>
  <c r="C37" i="6988"/>
  <c r="C41" i="6988"/>
  <c r="C45" i="6988"/>
  <c r="C49" i="6988"/>
  <c r="H8" i="6988"/>
  <c r="H22" i="6988"/>
  <c r="H14" i="6988"/>
  <c r="C23" i="6988"/>
  <c r="B27" i="6988"/>
  <c r="H32" i="6988"/>
  <c r="H38" i="6988"/>
  <c r="H42" i="6988"/>
  <c r="H46" i="6988"/>
  <c r="P18" i="6986" l="1"/>
  <c r="P20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18" i="6984"/>
  <c r="P17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2" i="6980"/>
  <c r="P20" i="6982"/>
  <c r="P17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18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4" i="6984"/>
  <c r="H25" i="6984"/>
  <c r="H3" i="6984"/>
  <c r="H13" i="6984"/>
  <c r="B14" i="6980"/>
  <c r="B14" i="6982"/>
  <c r="C19" i="6982"/>
  <c r="C25" i="6984"/>
  <c r="H45" i="6984"/>
  <c r="H31" i="6984"/>
  <c r="C45" i="6984"/>
  <c r="H28" i="6984"/>
  <c r="H32" i="6984"/>
  <c r="H11" i="6984"/>
  <c r="H36" i="6984"/>
  <c r="H18" i="6984"/>
  <c r="H7" i="6984"/>
  <c r="H19" i="6984"/>
  <c r="C22" i="6984"/>
  <c r="H2" i="6984"/>
  <c r="H26" i="6984"/>
  <c r="H4" i="6984"/>
  <c r="H29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9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3" i="6984"/>
  <c r="C20" i="6984"/>
  <c r="H21" i="6984"/>
  <c r="C39" i="6984"/>
  <c r="C49" i="6984"/>
  <c r="H41" i="6984"/>
  <c r="H52" i="6984"/>
  <c r="H27" i="6984"/>
  <c r="H15" i="6984"/>
  <c r="H30" i="6984"/>
  <c r="H22" i="6984"/>
  <c r="H37" i="6984"/>
  <c r="C40" i="6984"/>
  <c r="C44" i="6984"/>
  <c r="C48" i="6984"/>
  <c r="H38" i="6984"/>
  <c r="H42" i="6984"/>
  <c r="H46" i="6984"/>
  <c r="H50" i="6984"/>
  <c r="H16" i="6984"/>
  <c r="H14" i="6984"/>
  <c r="C23" i="6984"/>
  <c r="B27" i="6984"/>
  <c r="H33" i="6984"/>
  <c r="H39" i="6984"/>
  <c r="H43" i="6984"/>
  <c r="H47" i="6984"/>
  <c r="H51" i="6984"/>
  <c r="H20" i="6984"/>
  <c r="H8" i="6984"/>
  <c r="H34" i="6984"/>
  <c r="C38" i="6984"/>
  <c r="C42" i="6984"/>
  <c r="C46" i="6984"/>
  <c r="H17" i="6984"/>
  <c r="C24" i="6984"/>
  <c r="B28" i="6984"/>
  <c r="H35" i="6984"/>
  <c r="H40" i="6984"/>
  <c r="H44" i="6984"/>
  <c r="H48" i="6984"/>
  <c r="C19" i="6980"/>
  <c r="C20" i="6982"/>
  <c r="H3" i="6982"/>
  <c r="H23" i="6982"/>
  <c r="H34" i="6982"/>
  <c r="C42" i="6982"/>
  <c r="H15" i="6982"/>
  <c r="H2" i="6982"/>
  <c r="H8" i="6982"/>
  <c r="H20" i="6982"/>
  <c r="H21" i="6982"/>
  <c r="C24" i="6982"/>
  <c r="B28" i="6982"/>
  <c r="H35" i="6982"/>
  <c r="H40" i="6982"/>
  <c r="H44" i="6982"/>
  <c r="H48" i="6982"/>
  <c r="H5" i="6982"/>
  <c r="H29" i="6982"/>
  <c r="H12" i="6982"/>
  <c r="H24" i="6982"/>
  <c r="H36" i="6982"/>
  <c r="C39" i="6982"/>
  <c r="C43" i="6982"/>
  <c r="C47" i="6982"/>
  <c r="H52" i="6982"/>
  <c r="H18" i="6982"/>
  <c r="H27" i="6982"/>
  <c r="C25" i="6982"/>
  <c r="H41" i="6982"/>
  <c r="H45" i="6982"/>
  <c r="H49" i="6982"/>
  <c r="H9" i="6982"/>
  <c r="C38" i="6982"/>
  <c r="C46" i="6982"/>
  <c r="H7" i="6982"/>
  <c r="H10" i="6982"/>
  <c r="H22" i="6982"/>
  <c r="H13" i="6982"/>
  <c r="H31" i="6982"/>
  <c r="H16" i="6982"/>
  <c r="H37" i="6982"/>
  <c r="C40" i="6982"/>
  <c r="C44" i="6982"/>
  <c r="C48" i="6982"/>
  <c r="H4" i="6982"/>
  <c r="H28" i="6982"/>
  <c r="C22" i="6982"/>
  <c r="C26" i="6982"/>
  <c r="H38" i="6982"/>
  <c r="H42" i="6982"/>
  <c r="H46" i="6982"/>
  <c r="H50" i="6982"/>
  <c r="H6" i="6982"/>
  <c r="H14" i="6982"/>
  <c r="H26" i="6982"/>
  <c r="H30" i="6982"/>
  <c r="H32" i="6982"/>
  <c r="H25" i="6982"/>
  <c r="C37" i="6982"/>
  <c r="C41" i="6982"/>
  <c r="C45" i="6982"/>
  <c r="C49" i="6982"/>
  <c r="H11" i="6982"/>
  <c r="H19" i="6982"/>
  <c r="H17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34" i="6980"/>
  <c r="C39" i="6980"/>
  <c r="C45" i="6980"/>
  <c r="H32" i="6980"/>
  <c r="H9" i="6980"/>
  <c r="H2" i="6980"/>
  <c r="H10" i="6980"/>
  <c r="H46" i="6980"/>
  <c r="H7" i="6980"/>
  <c r="H13" i="6980"/>
  <c r="H21" i="6980"/>
  <c r="H27" i="6980"/>
  <c r="H48" i="6980"/>
  <c r="H25" i="6980"/>
  <c r="H43" i="6980"/>
  <c r="C47" i="6980"/>
  <c r="H49" i="6980"/>
  <c r="H24" i="6980"/>
  <c r="C25" i="6980"/>
  <c r="H29" i="6980"/>
  <c r="H6" i="6980"/>
  <c r="H12" i="6980"/>
  <c r="H31" i="6980"/>
  <c r="C26" i="6980"/>
  <c r="C41" i="6980"/>
  <c r="C49" i="6980"/>
  <c r="C20" i="6980"/>
  <c r="H38" i="6980"/>
  <c r="H11" i="6980"/>
  <c r="H33" i="6980"/>
  <c r="H45" i="6980"/>
  <c r="H5" i="6980"/>
  <c r="H37" i="6980"/>
  <c r="H23" i="6980"/>
  <c r="H3" i="6980"/>
  <c r="H19" i="6980"/>
  <c r="B28" i="6980"/>
  <c r="H40" i="6980"/>
  <c r="C43" i="6980"/>
  <c r="H52" i="6980"/>
  <c r="H26" i="6980"/>
  <c r="H14" i="6980"/>
  <c r="H35" i="6980"/>
  <c r="H17" i="6980"/>
  <c r="H39" i="6980"/>
  <c r="C40" i="6980"/>
  <c r="C44" i="6980"/>
  <c r="C48" i="6980"/>
  <c r="H30" i="6980"/>
  <c r="H50" i="6980"/>
  <c r="H16" i="6980"/>
  <c r="H15" i="6980"/>
  <c r="C23" i="6980"/>
  <c r="B27" i="6980"/>
  <c r="H28" i="6980"/>
  <c r="H41" i="6980"/>
  <c r="H44" i="6980"/>
  <c r="H47" i="6980"/>
  <c r="H51" i="6980"/>
  <c r="H22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<sst xmlns="http://schemas.openxmlformats.org/spreadsheetml/2006/main" count="2993" uniqueCount="255">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</sst>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全体!$K$2:$K$311</c:f>
              <c:numCache>
                <c:formatCode>General</c:formatCode>
                <c:ptCount val="3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</c:numCache>
            </c:numRef>
          </c:xVal>
          <c:yVal>
            <c:numRef>
              <c:f>全体!$L$2:$L$311</c:f>
              <c:numCache>
                <c:formatCode>\+0.0;\-0.0;\±0</c:formatCode>
                <c:ptCount val="310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-35.59870550161812</c:v>
                </c:pt>
                <c:pt idx="1">
                  <c:v>26.666666666666668</c:v>
                </c:pt>
                <c:pt idx="2">
                  <c:v>-13.333333333333334</c:v>
                </c:pt>
                <c:pt idx="3">
                  <c:v>-3.5087719298245612</c:v>
                </c:pt>
                <c:pt idx="4">
                  <c:v>15.151515151515152</c:v>
                </c:pt>
                <c:pt idx="5">
                  <c:v>17.543859649122808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64</c:v>
                </c:pt>
                <c:pt idx="1">
                  <c:v>148</c:v>
                </c:pt>
                <c:pt idx="2">
                  <c:v>154</c:v>
                </c:pt>
                <c:pt idx="3">
                  <c:v>147</c:v>
                </c:pt>
                <c:pt idx="4">
                  <c:v>109</c:v>
                </c:pt>
                <c:pt idx="5">
                  <c:v>68</c:v>
                </c:pt>
                <c:pt idx="6">
                  <c:v>35</c:v>
                </c:pt>
                <c:pt idx="7">
                  <c:v>22</c:v>
                </c:pt>
                <c:pt idx="8">
                  <c:v>14</c:v>
                </c:pt>
                <c:pt idx="9">
                  <c:v>10</c:v>
                </c:pt>
                <c:pt idx="10">
                  <c:v>2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全体!$K$2:$K$311</c:f>
              <c:numCache>
                <c:formatCode>General</c:formatCode>
                <c:ptCount val="3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</c:numCache>
            </c:numRef>
          </c:xVal>
          <c:yVal>
            <c:numRef>
              <c:f>全体!$M$2:$M$311</c:f>
              <c:numCache>
                <c:formatCode>0</c:formatCode>
                <c:ptCount val="310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だいち!$L$2:$L$84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259.7560975609756</c:v>
                </c:pt>
                <c:pt idx="1">
                  <c:v>-597.46835443037969</c:v>
                </c:pt>
                <c:pt idx="2">
                  <c:v>-487.34177215189874</c:v>
                </c:pt>
                <c:pt idx="3">
                  <c:v>855.26315789473688</c:v>
                </c:pt>
                <c:pt idx="4">
                  <c:v>428.57142857142856</c:v>
                </c:pt>
                <c:pt idx="5">
                  <c:v>121.66666666666667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14</c:v>
                </c:pt>
                <c:pt idx="1">
                  <c:v>38</c:v>
                </c:pt>
                <c:pt idx="2">
                  <c:v>46</c:v>
                </c:pt>
                <c:pt idx="3">
                  <c:v>42</c:v>
                </c:pt>
                <c:pt idx="4">
                  <c:v>36</c:v>
                </c:pt>
                <c:pt idx="5">
                  <c:v>25</c:v>
                </c:pt>
                <c:pt idx="6">
                  <c:v>8</c:v>
                </c:pt>
                <c:pt idx="7">
                  <c:v>3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だいち!$M$2:$M$84</c:f>
              <c:numCache>
                <c:formatCode>0</c:formatCode>
                <c:ptCount val="83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1848.8372093023256</c:v>
                </c:pt>
                <c:pt idx="1">
                  <c:v>-682.92682926829264</c:v>
                </c:pt>
                <c:pt idx="2">
                  <c:v>-485.36585365853659</c:v>
                </c:pt>
                <c:pt idx="3">
                  <c:v>-325</c:v>
                </c:pt>
                <c:pt idx="4">
                  <c:v>-570.27027027027032</c:v>
                </c:pt>
                <c:pt idx="5">
                  <c:v>-1016.1290322580645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19</c:v>
                </c:pt>
                <c:pt idx="3">
                  <c:v>20</c:v>
                </c:pt>
                <c:pt idx="4">
                  <c:v>18</c:v>
                </c:pt>
                <c:pt idx="5">
                  <c:v>10</c:v>
                </c:pt>
                <c:pt idx="6">
                  <c:v>6</c:v>
                </c:pt>
                <c:pt idx="7">
                  <c:v>4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れんたろう!$M$2:$M$45</c:f>
              <c:numCache>
                <c:formatCode>0</c:formatCode>
                <c:ptCount val="44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-145</c:v>
                </c:pt>
                <c:pt idx="1">
                  <c:v>-747.5</c:v>
                </c:pt>
                <c:pt idx="2">
                  <c:v>1038.4615384615386</c:v>
                </c:pt>
                <c:pt idx="3">
                  <c:v>-656.41025641025647</c:v>
                </c:pt>
                <c:pt idx="4">
                  <c:v>-848.71794871794873</c:v>
                </c:pt>
                <c:pt idx="5">
                  <c:v>528.125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14</c:v>
                </c:pt>
                <c:pt idx="1">
                  <c:v>26</c:v>
                </c:pt>
                <c:pt idx="2">
                  <c:v>21</c:v>
                </c:pt>
                <c:pt idx="3">
                  <c:v>20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たかの!$M$2:$M$42</c:f>
              <c:numCache>
                <c:formatCode>0</c:formatCode>
                <c:ptCount val="41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169.23076923076923</c:v>
                </c:pt>
                <c:pt idx="1">
                  <c:v>1042.3076923076924</c:v>
                </c:pt>
                <c:pt idx="2">
                  <c:v>-1072</c:v>
                </c:pt>
                <c:pt idx="3">
                  <c:v>-2150</c:v>
                </c:pt>
                <c:pt idx="4">
                  <c:v>2800</c:v>
                </c:pt>
                <c:pt idx="5">
                  <c:v>-1011.1111111111111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9</c:v>
                </c:pt>
                <c:pt idx="2">
                  <c:v>14</c:v>
                </c:pt>
                <c:pt idx="3">
                  <c:v>16</c:v>
                </c:pt>
                <c:pt idx="4">
                  <c:v>7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まっつん!$M$2:$M$28</c:f>
              <c:numCache>
                <c:formatCode>0</c:formatCode>
                <c:ptCount val="27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いちかわ!$L$2:$L$41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169.23076923076923</c:v>
                </c:pt>
                <c:pt idx="1">
                  <c:v>864.10256410256409</c:v>
                </c:pt>
                <c:pt idx="2">
                  <c:v>2102.5641025641025</c:v>
                </c:pt>
                <c:pt idx="3">
                  <c:v>-597.22222222222217</c:v>
                </c:pt>
                <c:pt idx="4">
                  <c:v>-912.5</c:v>
                </c:pt>
                <c:pt idx="5">
                  <c:v>1046.6666666666667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24</c:v>
                </c:pt>
                <c:pt idx="2">
                  <c:v>20</c:v>
                </c:pt>
                <c:pt idx="3">
                  <c:v>13</c:v>
                </c:pt>
                <c:pt idx="4">
                  <c:v>14</c:v>
                </c:pt>
                <c:pt idx="5">
                  <c:v>11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いちかわ!$M$2:$M$41</c:f>
              <c:numCache>
                <c:formatCode>0</c:formatCode>
                <c:ptCount val="40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ただ!$L$2:$L$45</c:f>
              <c:numCache>
                <c:formatCode>\+0.0;\-0.0;\±0</c:formatCode>
                <c:ptCount val="44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-158.13953488372093</c:v>
                </c:pt>
                <c:pt idx="1">
                  <c:v>850</c:v>
                </c:pt>
                <c:pt idx="2">
                  <c:v>58.536585365853661</c:v>
                </c:pt>
                <c:pt idx="3">
                  <c:v>2318.4210526315787</c:v>
                </c:pt>
                <c:pt idx="4">
                  <c:v>808.57142857142856</c:v>
                </c:pt>
                <c:pt idx="5">
                  <c:v>79.310344827586206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11</c:v>
                </c:pt>
                <c:pt idx="1">
                  <c:v>30</c:v>
                </c:pt>
                <c:pt idx="2">
                  <c:v>27</c:v>
                </c:pt>
                <c:pt idx="3">
                  <c:v>18</c:v>
                </c:pt>
                <c:pt idx="4">
                  <c:v>19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ただ!$K$2:$K$45</c:f>
              <c:numCache>
                <c:formatCode>General</c:formatCode>
                <c:ptCount val="4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</c:numCache>
            </c:numRef>
          </c:xVal>
          <c:yVal>
            <c:numRef>
              <c:f>ただ!$M$2:$M$45</c:f>
              <c:numCache>
                <c:formatCode>0</c:formatCode>
                <c:ptCount val="44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たかの2!$B$1:$B$2</c:f>
              <c:strCache>
                <c:ptCount val="2"/>
                <c:pt idx="0">
                  <c:v>たかの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たかの2!$B$3:$B$43</c:f>
              <c:numCache>
                <c:formatCode>\+0.0;\-0.0;\±0</c:formatCode>
                <c:ptCount val="41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753353101070388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たかの2!$C$3:$C$43</c:f>
              <c:numCache>
                <c:formatCode>\+0.0;\-0.0;\±0</c:formatCode>
                <c:ptCount val="41"/>
                <c:pt idx="1">
                  <c:v>10.1</c:v>
                </c:pt>
                <c:pt idx="2">
                  <c:v>18.2</c:v>
                </c:pt>
                <c:pt idx="3">
                  <c:v>12.133333333333333</c:v>
                </c:pt>
                <c:pt idx="4">
                  <c:v>3.3249999999999993</c:v>
                </c:pt>
                <c:pt idx="5">
                  <c:v>1.6199999999999997</c:v>
                </c:pt>
                <c:pt idx="6">
                  <c:v>4.1166666666666663</c:v>
                </c:pt>
                <c:pt idx="7">
                  <c:v>5.6428571428571432</c:v>
                </c:pt>
                <c:pt idx="8">
                  <c:v>8.3125</c:v>
                </c:pt>
                <c:pt idx="9">
                  <c:v>10.077777777777778</c:v>
                </c:pt>
                <c:pt idx="10">
                  <c:v>9.17</c:v>
                </c:pt>
                <c:pt idx="11">
                  <c:v>9.1363636363636367</c:v>
                </c:pt>
                <c:pt idx="12">
                  <c:v>5.7833333333333341</c:v>
                </c:pt>
                <c:pt idx="13">
                  <c:v>2.692307692307693</c:v>
                </c:pt>
                <c:pt idx="14">
                  <c:v>3.0571428571428574</c:v>
                </c:pt>
                <c:pt idx="15">
                  <c:v>4.0600000000000005</c:v>
                </c:pt>
                <c:pt idx="16">
                  <c:v>2.4125000000000005</c:v>
                </c:pt>
                <c:pt idx="17">
                  <c:v>0.44705882352941229</c:v>
                </c:pt>
                <c:pt idx="18">
                  <c:v>0.83888888888888935</c:v>
                </c:pt>
                <c:pt idx="19">
                  <c:v>2.2315789473684213</c:v>
                </c:pt>
                <c:pt idx="20">
                  <c:v>4.0750000000000002</c:v>
                </c:pt>
                <c:pt idx="21">
                  <c:v>0.71904761904761882</c:v>
                </c:pt>
                <c:pt idx="22">
                  <c:v>0.8181818181818179</c:v>
                </c:pt>
                <c:pt idx="23">
                  <c:v>2.0086956521739125</c:v>
                </c:pt>
                <c:pt idx="24">
                  <c:v>0.69999999999999962</c:v>
                </c:pt>
                <c:pt idx="25">
                  <c:v>2.4279999999999995</c:v>
                </c:pt>
                <c:pt idx="26">
                  <c:v>0.98461538461538411</c:v>
                </c:pt>
                <c:pt idx="27">
                  <c:v>0.63703703703703662</c:v>
                </c:pt>
                <c:pt idx="28">
                  <c:v>2.1857142857142855</c:v>
                </c:pt>
                <c:pt idx="29">
                  <c:v>1.2655172413793099</c:v>
                </c:pt>
                <c:pt idx="30">
                  <c:v>0.37333333333333296</c:v>
                </c:pt>
                <c:pt idx="31">
                  <c:v>0.43870967741935446</c:v>
                </c:pt>
                <c:pt idx="32">
                  <c:v>-0.2906250000000003</c:v>
                </c:pt>
                <c:pt idx="33">
                  <c:v>0.25454545454545424</c:v>
                </c:pt>
                <c:pt idx="34">
                  <c:v>-0.84117647058823553</c:v>
                </c:pt>
                <c:pt idx="35">
                  <c:v>-0.56857142857142884</c:v>
                </c:pt>
                <c:pt idx="36">
                  <c:v>-2.0194444444444444</c:v>
                </c:pt>
                <c:pt idx="37">
                  <c:v>-0.21081081081081074</c:v>
                </c:pt>
                <c:pt idx="38">
                  <c:v>0.55789473684210533</c:v>
                </c:pt>
                <c:pt idx="39">
                  <c:v>1.3794871794871797</c:v>
                </c:pt>
                <c:pt idx="40">
                  <c:v>0.64250000000000007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910527835179250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たかの2!$D$3:$D$43</c:f>
              <c:numCache>
                <c:formatCode>0.00\ "位"</c:formatCode>
                <c:ptCount val="41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1.8571428571428572</c:v>
                </c:pt>
                <c:pt idx="8">
                  <c:v>1.75</c:v>
                </c:pt>
                <c:pt idx="9">
                  <c:v>1.6666666666666667</c:v>
                </c:pt>
                <c:pt idx="10">
                  <c:v>1.7</c:v>
                </c:pt>
                <c:pt idx="11">
                  <c:v>1.7272727272727273</c:v>
                </c:pt>
                <c:pt idx="12">
                  <c:v>1.8333333333333333</c:v>
                </c:pt>
                <c:pt idx="13">
                  <c:v>1.9230769230769231</c:v>
                </c:pt>
                <c:pt idx="14">
                  <c:v>1.8571428571428572</c:v>
                </c:pt>
                <c:pt idx="15">
                  <c:v>1.8</c:v>
                </c:pt>
                <c:pt idx="16">
                  <c:v>1.875</c:v>
                </c:pt>
                <c:pt idx="17">
                  <c:v>1.9411764705882353</c:v>
                </c:pt>
                <c:pt idx="18">
                  <c:v>1.9444444444444444</c:v>
                </c:pt>
                <c:pt idx="19">
                  <c:v>1.8947368421052631</c:v>
                </c:pt>
                <c:pt idx="20">
                  <c:v>1.85</c:v>
                </c:pt>
                <c:pt idx="21">
                  <c:v>1.9047619047619047</c:v>
                </c:pt>
                <c:pt idx="22">
                  <c:v>1.9090909090909092</c:v>
                </c:pt>
                <c:pt idx="23">
                  <c:v>1.8695652173913044</c:v>
                </c:pt>
                <c:pt idx="24">
                  <c:v>1.9166666666666667</c:v>
                </c:pt>
                <c:pt idx="25">
                  <c:v>1.88</c:v>
                </c:pt>
                <c:pt idx="26">
                  <c:v>1.9230769230769231</c:v>
                </c:pt>
                <c:pt idx="27">
                  <c:v>1.9259259259259258</c:v>
                </c:pt>
                <c:pt idx="28">
                  <c:v>1.8928571428571428</c:v>
                </c:pt>
                <c:pt idx="29">
                  <c:v>1.9310344827586208</c:v>
                </c:pt>
                <c:pt idx="30">
                  <c:v>1.9666666666666666</c:v>
                </c:pt>
                <c:pt idx="31">
                  <c:v>1.967741935483871</c:v>
                </c:pt>
                <c:pt idx="32">
                  <c:v>2</c:v>
                </c:pt>
                <c:pt idx="33">
                  <c:v>1.9696969696969697</c:v>
                </c:pt>
                <c:pt idx="34">
                  <c:v>2</c:v>
                </c:pt>
                <c:pt idx="35">
                  <c:v>2</c:v>
                </c:pt>
                <c:pt idx="36">
                  <c:v>2.0277777777777777</c:v>
                </c:pt>
                <c:pt idx="37">
                  <c:v>2</c:v>
                </c:pt>
                <c:pt idx="38">
                  <c:v>1.9736842105263157</c:v>
                </c:pt>
                <c:pt idx="39">
                  <c:v>1.9487179487179487</c:v>
                </c:pt>
                <c:pt idx="40">
                  <c:v>1.9750000000000001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7637540453074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たかの2!$E$3:$E$43</c:f>
              <c:numCache>
                <c:formatCode>0.0%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0.39130434782608697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0.38461538461538464</c:v>
                </c:pt>
                <c:pt idx="40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569579288025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たかの2!$F$3:$F$43</c:f>
              <c:numCache>
                <c:formatCode>0.0%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0.31034482758620691</c:v>
                </c:pt>
                <c:pt idx="30">
                  <c:v>0.33333333333333331</c:v>
                </c:pt>
                <c:pt idx="31">
                  <c:v>0.32258064516129031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たかの2!$G$3:$G$43</c:f>
              <c:numCache>
                <c:formatCode>0.0%</c:formatCode>
                <c:ptCount val="41"/>
                <c:pt idx="1">
                  <c:v>0.44444444444444442</c:v>
                </c:pt>
                <c:pt idx="2">
                  <c:v>0.41176470588235292</c:v>
                </c:pt>
                <c:pt idx="3">
                  <c:v>0.4</c:v>
                </c:pt>
                <c:pt idx="4">
                  <c:v>0.33333333333333331</c:v>
                </c:pt>
                <c:pt idx="5">
                  <c:v>0.32608695652173914</c:v>
                </c:pt>
                <c:pt idx="6">
                  <c:v>0.33962264150943394</c:v>
                </c:pt>
                <c:pt idx="7">
                  <c:v>0.34375</c:v>
                </c:pt>
                <c:pt idx="8">
                  <c:v>0.35714285714285715</c:v>
                </c:pt>
                <c:pt idx="9">
                  <c:v>0.35897435897435898</c:v>
                </c:pt>
                <c:pt idx="10">
                  <c:v>0.3411764705882353</c:v>
                </c:pt>
                <c:pt idx="11">
                  <c:v>0.34693877551020408</c:v>
                </c:pt>
                <c:pt idx="12">
                  <c:v>0.32407407407407407</c:v>
                </c:pt>
                <c:pt idx="13">
                  <c:v>0.29661016949152541</c:v>
                </c:pt>
                <c:pt idx="14">
                  <c:v>0.30952380952380953</c:v>
                </c:pt>
                <c:pt idx="15">
                  <c:v>0.30882352941176472</c:v>
                </c:pt>
                <c:pt idx="16">
                  <c:v>0.31468531468531469</c:v>
                </c:pt>
                <c:pt idx="17">
                  <c:v>0.3</c:v>
                </c:pt>
                <c:pt idx="18">
                  <c:v>0.30188679245283018</c:v>
                </c:pt>
                <c:pt idx="19">
                  <c:v>0.30357142857142855</c:v>
                </c:pt>
                <c:pt idx="20">
                  <c:v>0.31073446327683618</c:v>
                </c:pt>
                <c:pt idx="21">
                  <c:v>0.29319371727748689</c:v>
                </c:pt>
                <c:pt idx="22">
                  <c:v>0.28999999999999998</c:v>
                </c:pt>
                <c:pt idx="23">
                  <c:v>0.29439252336448596</c:v>
                </c:pt>
                <c:pt idx="24">
                  <c:v>0.2927927927927928</c:v>
                </c:pt>
                <c:pt idx="25">
                  <c:v>0.30303030303030304</c:v>
                </c:pt>
                <c:pt idx="26">
                  <c:v>0.30543933054393307</c:v>
                </c:pt>
                <c:pt idx="27">
                  <c:v>0.30645161290322581</c:v>
                </c:pt>
                <c:pt idx="28">
                  <c:v>0.30588235294117649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0.30072463768115942</c:v>
                </c:pt>
                <c:pt idx="32">
                  <c:v>0.29577464788732394</c:v>
                </c:pt>
                <c:pt idx="33">
                  <c:v>0.29209621993127149</c:v>
                </c:pt>
                <c:pt idx="34">
                  <c:v>0.29194630872483224</c:v>
                </c:pt>
                <c:pt idx="35">
                  <c:v>0.29738562091503268</c:v>
                </c:pt>
                <c:pt idx="36">
                  <c:v>0.28888888888888886</c:v>
                </c:pt>
                <c:pt idx="37">
                  <c:v>0.29467084639498431</c:v>
                </c:pt>
                <c:pt idx="38">
                  <c:v>0.29969418960244648</c:v>
                </c:pt>
                <c:pt idx="39">
                  <c:v>0.30294117647058821</c:v>
                </c:pt>
                <c:pt idx="40">
                  <c:v>0.30571428571428572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740824820279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たかの2!$H$3:$H$43</c:f>
              <c:numCache>
                <c:formatCode>0.0%</c:formatCode>
                <c:ptCount val="41"/>
                <c:pt idx="1">
                  <c:v>0.1111111111111111</c:v>
                </c:pt>
                <c:pt idx="2">
                  <c:v>5.8823529411764705E-2</c:v>
                </c:pt>
                <c:pt idx="3">
                  <c:v>0.12</c:v>
                </c:pt>
                <c:pt idx="4">
                  <c:v>0.1111111111111111</c:v>
                </c:pt>
                <c:pt idx="5">
                  <c:v>0.13043478260869565</c:v>
                </c:pt>
                <c:pt idx="6">
                  <c:v>0.13207547169811321</c:v>
                </c:pt>
                <c:pt idx="7">
                  <c:v>0.140625</c:v>
                </c:pt>
                <c:pt idx="8">
                  <c:v>0.14285714285714285</c:v>
                </c:pt>
                <c:pt idx="9">
                  <c:v>0.14102564102564102</c:v>
                </c:pt>
                <c:pt idx="10">
                  <c:v>0.14117647058823529</c:v>
                </c:pt>
                <c:pt idx="11">
                  <c:v>0.14285714285714285</c:v>
                </c:pt>
                <c:pt idx="12">
                  <c:v>0.15740740740740741</c:v>
                </c:pt>
                <c:pt idx="13">
                  <c:v>0.16101694915254236</c:v>
                </c:pt>
                <c:pt idx="14">
                  <c:v>0.15079365079365079</c:v>
                </c:pt>
                <c:pt idx="15">
                  <c:v>0.14705882352941177</c:v>
                </c:pt>
                <c:pt idx="16">
                  <c:v>0.15384615384615385</c:v>
                </c:pt>
                <c:pt idx="17">
                  <c:v>0.16666666666666666</c:v>
                </c:pt>
                <c:pt idx="18">
                  <c:v>0.16352201257861634</c:v>
                </c:pt>
                <c:pt idx="19">
                  <c:v>0.16071428571428573</c:v>
                </c:pt>
                <c:pt idx="20">
                  <c:v>0.15819209039548024</c:v>
                </c:pt>
                <c:pt idx="21">
                  <c:v>0.16230366492146597</c:v>
                </c:pt>
                <c:pt idx="22">
                  <c:v>0.155</c:v>
                </c:pt>
                <c:pt idx="23">
                  <c:v>0.16355140186915887</c:v>
                </c:pt>
                <c:pt idx="24">
                  <c:v>0.16216216216216217</c:v>
                </c:pt>
                <c:pt idx="25">
                  <c:v>0.16450216450216451</c:v>
                </c:pt>
                <c:pt idx="26">
                  <c:v>0.16736401673640167</c:v>
                </c:pt>
                <c:pt idx="27">
                  <c:v>0.17741935483870969</c:v>
                </c:pt>
                <c:pt idx="28">
                  <c:v>0.17254901960784313</c:v>
                </c:pt>
                <c:pt idx="29">
                  <c:v>0.16793893129770993</c:v>
                </c:pt>
                <c:pt idx="30">
                  <c:v>0.17164179104477612</c:v>
                </c:pt>
                <c:pt idx="31">
                  <c:v>0.17753623188405798</c:v>
                </c:pt>
                <c:pt idx="32">
                  <c:v>0.176056338028169</c:v>
                </c:pt>
                <c:pt idx="33">
                  <c:v>0.17525773195876287</c:v>
                </c:pt>
                <c:pt idx="34">
                  <c:v>0.18120805369127516</c:v>
                </c:pt>
                <c:pt idx="35">
                  <c:v>0.17647058823529413</c:v>
                </c:pt>
                <c:pt idx="36">
                  <c:v>0.18412698412698414</c:v>
                </c:pt>
                <c:pt idx="37">
                  <c:v>0.18181818181818182</c:v>
                </c:pt>
                <c:pt idx="38">
                  <c:v>0.18042813455657492</c:v>
                </c:pt>
                <c:pt idx="39">
                  <c:v>0.17352941176470588</c:v>
                </c:pt>
                <c:pt idx="40">
                  <c:v>0.17428571428571429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693908437381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たかの2!$I$3:$I$43</c:f>
              <c:numCache>
                <c:formatCode>0</c:formatCode>
                <c:ptCount val="41"/>
                <c:pt idx="1">
                  <c:v>8400</c:v>
                </c:pt>
                <c:pt idx="2">
                  <c:v>9028.5714285714294</c:v>
                </c:pt>
                <c:pt idx="3">
                  <c:v>7780</c:v>
                </c:pt>
                <c:pt idx="4">
                  <c:v>7983.333333333333</c:v>
                </c:pt>
                <c:pt idx="5">
                  <c:v>8240</c:v>
                </c:pt>
                <c:pt idx="6">
                  <c:v>8355.5555555555547</c:v>
                </c:pt>
                <c:pt idx="7">
                  <c:v>7850</c:v>
                </c:pt>
                <c:pt idx="8">
                  <c:v>7796</c:v>
                </c:pt>
                <c:pt idx="9">
                  <c:v>8017.8571428571431</c:v>
                </c:pt>
                <c:pt idx="10">
                  <c:v>7810.3448275862065</c:v>
                </c:pt>
                <c:pt idx="11">
                  <c:v>7655.8823529411766</c:v>
                </c:pt>
                <c:pt idx="12">
                  <c:v>7780</c:v>
                </c:pt>
                <c:pt idx="13">
                  <c:v>7780</c:v>
                </c:pt>
                <c:pt idx="14">
                  <c:v>7266.666666666667</c:v>
                </c:pt>
                <c:pt idx="15">
                  <c:v>7071.4285714285716</c:v>
                </c:pt>
                <c:pt idx="16">
                  <c:v>6704.4444444444443</c:v>
                </c:pt>
                <c:pt idx="17">
                  <c:v>6704.4444444444443</c:v>
                </c:pt>
                <c:pt idx="18">
                  <c:v>6945.833333333333</c:v>
                </c:pt>
                <c:pt idx="19">
                  <c:v>7080.3921568627447</c:v>
                </c:pt>
                <c:pt idx="20">
                  <c:v>7054.545454545455</c:v>
                </c:pt>
                <c:pt idx="21">
                  <c:v>6966.0714285714284</c:v>
                </c:pt>
                <c:pt idx="22">
                  <c:v>6862.0689655172409</c:v>
                </c:pt>
                <c:pt idx="23">
                  <c:v>6930.1587301587306</c:v>
                </c:pt>
                <c:pt idx="24">
                  <c:v>6852.3076923076924</c:v>
                </c:pt>
                <c:pt idx="25">
                  <c:v>6882.8571428571431</c:v>
                </c:pt>
                <c:pt idx="26">
                  <c:v>6920.5479452054797</c:v>
                </c:pt>
                <c:pt idx="27">
                  <c:v>7063.1578947368425</c:v>
                </c:pt>
                <c:pt idx="28">
                  <c:v>7446.1538461538457</c:v>
                </c:pt>
                <c:pt idx="29">
                  <c:v>7446.1538461538457</c:v>
                </c:pt>
                <c:pt idx="30">
                  <c:v>7453.164556962025</c:v>
                </c:pt>
                <c:pt idx="31">
                  <c:v>7419.2771084337346</c:v>
                </c:pt>
                <c:pt idx="32">
                  <c:v>7473.8095238095239</c:v>
                </c:pt>
                <c:pt idx="33">
                  <c:v>7522.3529411764703</c:v>
                </c:pt>
                <c:pt idx="34">
                  <c:v>7455.1724137931033</c:v>
                </c:pt>
                <c:pt idx="35">
                  <c:v>7334.065934065934</c:v>
                </c:pt>
                <c:pt idx="36">
                  <c:v>7334.065934065934</c:v>
                </c:pt>
                <c:pt idx="37">
                  <c:v>7705.3191489361698</c:v>
                </c:pt>
                <c:pt idx="38">
                  <c:v>7673.4693877551017</c:v>
                </c:pt>
                <c:pt idx="39">
                  <c:v>7652.4271844660198</c:v>
                </c:pt>
                <c:pt idx="40">
                  <c:v>7552.336448598131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37.35558408215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たかの2!$J$3:$J$43</c:f>
              <c:numCache>
                <c:formatCode>0</c:formatCode>
                <c:ptCount val="41"/>
                <c:pt idx="1">
                  <c:v>-8000</c:v>
                </c:pt>
                <c:pt idx="2">
                  <c:v>-8000</c:v>
                </c:pt>
                <c:pt idx="3">
                  <c:v>-6200</c:v>
                </c:pt>
                <c:pt idx="4">
                  <c:v>-6575</c:v>
                </c:pt>
                <c:pt idx="5">
                  <c:v>-7550</c:v>
                </c:pt>
                <c:pt idx="6">
                  <c:v>-7571.4285714285716</c:v>
                </c:pt>
                <c:pt idx="7">
                  <c:v>-7100</c:v>
                </c:pt>
                <c:pt idx="8">
                  <c:v>-6780</c:v>
                </c:pt>
                <c:pt idx="9">
                  <c:v>-6890.909090909091</c:v>
                </c:pt>
                <c:pt idx="10">
                  <c:v>-6483.333333333333</c:v>
                </c:pt>
                <c:pt idx="11">
                  <c:v>-7414.2857142857147</c:v>
                </c:pt>
                <c:pt idx="12">
                  <c:v>-7317.6470588235297</c:v>
                </c:pt>
                <c:pt idx="13">
                  <c:v>-7157.894736842105</c:v>
                </c:pt>
                <c:pt idx="14">
                  <c:v>-7157.894736842105</c:v>
                </c:pt>
                <c:pt idx="15">
                  <c:v>-6900</c:v>
                </c:pt>
                <c:pt idx="16">
                  <c:v>-6727.272727272727</c:v>
                </c:pt>
                <c:pt idx="17">
                  <c:v>-6628</c:v>
                </c:pt>
                <c:pt idx="18">
                  <c:v>-6669.2307692307695</c:v>
                </c:pt>
                <c:pt idx="19">
                  <c:v>-6637.0370370370374</c:v>
                </c:pt>
                <c:pt idx="20">
                  <c:v>-6607.1428571428569</c:v>
                </c:pt>
                <c:pt idx="21">
                  <c:v>-7290.322580645161</c:v>
                </c:pt>
                <c:pt idx="22">
                  <c:v>-7290.322580645161</c:v>
                </c:pt>
                <c:pt idx="23">
                  <c:v>-7002.8571428571431</c:v>
                </c:pt>
                <c:pt idx="24">
                  <c:v>-7022.2222222222226</c:v>
                </c:pt>
                <c:pt idx="25">
                  <c:v>-6915.7894736842109</c:v>
                </c:pt>
                <c:pt idx="26">
                  <c:v>-7370</c:v>
                </c:pt>
                <c:pt idx="27">
                  <c:v>-7518.181818181818</c:v>
                </c:pt>
                <c:pt idx="28">
                  <c:v>-7518.181818181818</c:v>
                </c:pt>
                <c:pt idx="29">
                  <c:v>-7518.181818181818</c:v>
                </c:pt>
                <c:pt idx="30">
                  <c:v>-7539.130434782609</c:v>
                </c:pt>
                <c:pt idx="31">
                  <c:v>-7620.408163265306</c:v>
                </c:pt>
                <c:pt idx="32">
                  <c:v>-7708</c:v>
                </c:pt>
                <c:pt idx="33">
                  <c:v>-7582.3529411764703</c:v>
                </c:pt>
                <c:pt idx="34">
                  <c:v>-7775.9259259259261</c:v>
                </c:pt>
                <c:pt idx="35">
                  <c:v>-7775.9259259259261</c:v>
                </c:pt>
                <c:pt idx="36">
                  <c:v>-7800</c:v>
                </c:pt>
                <c:pt idx="37">
                  <c:v>-7800</c:v>
                </c:pt>
                <c:pt idx="38">
                  <c:v>-7798.3050847457625</c:v>
                </c:pt>
                <c:pt idx="39">
                  <c:v>-7798.3050847457625</c:v>
                </c:pt>
                <c:pt idx="40">
                  <c:v>-8100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592.3255813953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たかの2!$K$3:$K$43</c:f>
              <c:numCache>
                <c:formatCode>0.0%</c:formatCode>
                <c:ptCount val="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2.9411764705882353E-2</c:v>
                </c:pt>
                <c:pt idx="35">
                  <c:v>2.8571428571428571E-2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414239482200647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たかの2!$L$3:$L$43</c:f>
              <c:numCache>
                <c:formatCode>0.0%</c:formatCode>
                <c:ptCount val="41"/>
                <c:pt idx="1">
                  <c:v>0.22222222222222221</c:v>
                </c:pt>
                <c:pt idx="2">
                  <c:v>0.29411764705882354</c:v>
                </c:pt>
                <c:pt idx="3">
                  <c:v>0.24</c:v>
                </c:pt>
                <c:pt idx="4">
                  <c:v>0.27777777777777779</c:v>
                </c:pt>
                <c:pt idx="5">
                  <c:v>0.2608695652173913</c:v>
                </c:pt>
                <c:pt idx="6">
                  <c:v>0.28301886792452829</c:v>
                </c:pt>
                <c:pt idx="7">
                  <c:v>0.28125</c:v>
                </c:pt>
                <c:pt idx="8">
                  <c:v>0.3</c:v>
                </c:pt>
                <c:pt idx="9">
                  <c:v>0.29487179487179488</c:v>
                </c:pt>
                <c:pt idx="10">
                  <c:v>0.27058823529411763</c:v>
                </c:pt>
                <c:pt idx="11">
                  <c:v>0.27551020408163263</c:v>
                </c:pt>
                <c:pt idx="12">
                  <c:v>0.25925925925925924</c:v>
                </c:pt>
                <c:pt idx="13">
                  <c:v>0.23728813559322035</c:v>
                </c:pt>
                <c:pt idx="14">
                  <c:v>0.24603174603174602</c:v>
                </c:pt>
                <c:pt idx="15">
                  <c:v>0.25</c:v>
                </c:pt>
                <c:pt idx="16">
                  <c:v>0.25874125874125875</c:v>
                </c:pt>
                <c:pt idx="17">
                  <c:v>0.25333333333333335</c:v>
                </c:pt>
                <c:pt idx="18">
                  <c:v>0.25157232704402516</c:v>
                </c:pt>
                <c:pt idx="19">
                  <c:v>0.25595238095238093</c:v>
                </c:pt>
                <c:pt idx="20">
                  <c:v>0.25988700564971751</c:v>
                </c:pt>
                <c:pt idx="21">
                  <c:v>0.2513089005235602</c:v>
                </c:pt>
                <c:pt idx="22">
                  <c:v>0.25</c:v>
                </c:pt>
                <c:pt idx="23">
                  <c:v>0.24766355140186916</c:v>
                </c:pt>
                <c:pt idx="24">
                  <c:v>0.25675675675675674</c:v>
                </c:pt>
                <c:pt idx="25">
                  <c:v>0.25541125541125542</c:v>
                </c:pt>
                <c:pt idx="26">
                  <c:v>0.26359832635983266</c:v>
                </c:pt>
                <c:pt idx="27">
                  <c:v>0.27016129032258063</c:v>
                </c:pt>
                <c:pt idx="28">
                  <c:v>0.27450980392156865</c:v>
                </c:pt>
                <c:pt idx="29">
                  <c:v>0.26717557251908397</c:v>
                </c:pt>
                <c:pt idx="30">
                  <c:v>0.27238805970149255</c:v>
                </c:pt>
                <c:pt idx="31">
                  <c:v>0.27898550724637683</c:v>
                </c:pt>
                <c:pt idx="32">
                  <c:v>0.27464788732394368</c:v>
                </c:pt>
                <c:pt idx="33">
                  <c:v>0.27491408934707906</c:v>
                </c:pt>
                <c:pt idx="34">
                  <c:v>0.27181208053691275</c:v>
                </c:pt>
                <c:pt idx="35">
                  <c:v>0.27450980392156865</c:v>
                </c:pt>
                <c:pt idx="36">
                  <c:v>0.26984126984126983</c:v>
                </c:pt>
                <c:pt idx="37">
                  <c:v>0.2664576802507837</c:v>
                </c:pt>
                <c:pt idx="38">
                  <c:v>0.26605504587155965</c:v>
                </c:pt>
                <c:pt idx="39">
                  <c:v>0.26470588235294118</c:v>
                </c:pt>
                <c:pt idx="40">
                  <c:v>0.26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6852062050699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たかの2!$M$3:$M$43</c:f>
              <c:numCache>
                <c:formatCode>0.0%</c:formatCode>
                <c:ptCount val="41"/>
                <c:pt idx="1">
                  <c:v>0.55555555555555558</c:v>
                </c:pt>
                <c:pt idx="2">
                  <c:v>0.47058823529411764</c:v>
                </c:pt>
                <c:pt idx="3">
                  <c:v>0.52</c:v>
                </c:pt>
                <c:pt idx="4">
                  <c:v>0.44444444444444442</c:v>
                </c:pt>
                <c:pt idx="5">
                  <c:v>0.43478260869565216</c:v>
                </c:pt>
                <c:pt idx="6">
                  <c:v>0.43396226415094341</c:v>
                </c:pt>
                <c:pt idx="7">
                  <c:v>0.40625</c:v>
                </c:pt>
                <c:pt idx="8">
                  <c:v>0.38571428571428573</c:v>
                </c:pt>
                <c:pt idx="9">
                  <c:v>0.37179487179487181</c:v>
                </c:pt>
                <c:pt idx="10">
                  <c:v>0.37647058823529411</c:v>
                </c:pt>
                <c:pt idx="11">
                  <c:v>0.37755102040816324</c:v>
                </c:pt>
                <c:pt idx="12">
                  <c:v>0.35185185185185186</c:v>
                </c:pt>
                <c:pt idx="13">
                  <c:v>0.34745762711864409</c:v>
                </c:pt>
                <c:pt idx="14">
                  <c:v>0.34126984126984128</c:v>
                </c:pt>
                <c:pt idx="15">
                  <c:v>0.33088235294117646</c:v>
                </c:pt>
                <c:pt idx="16">
                  <c:v>0.33566433566433568</c:v>
                </c:pt>
                <c:pt idx="17">
                  <c:v>0.32</c:v>
                </c:pt>
                <c:pt idx="18">
                  <c:v>0.32075471698113206</c:v>
                </c:pt>
                <c:pt idx="19">
                  <c:v>0.30952380952380953</c:v>
                </c:pt>
                <c:pt idx="20">
                  <c:v>0.29378531073446329</c:v>
                </c:pt>
                <c:pt idx="21">
                  <c:v>0.30366492146596857</c:v>
                </c:pt>
                <c:pt idx="22">
                  <c:v>0.315</c:v>
                </c:pt>
                <c:pt idx="23">
                  <c:v>0.30373831775700932</c:v>
                </c:pt>
                <c:pt idx="24">
                  <c:v>0.29729729729729731</c:v>
                </c:pt>
                <c:pt idx="25">
                  <c:v>0.30735930735930733</c:v>
                </c:pt>
                <c:pt idx="26">
                  <c:v>0.29707112970711297</c:v>
                </c:pt>
                <c:pt idx="27">
                  <c:v>0.29435483870967744</c:v>
                </c:pt>
                <c:pt idx="28">
                  <c:v>0.29803921568627451</c:v>
                </c:pt>
                <c:pt idx="29">
                  <c:v>0.29770992366412213</c:v>
                </c:pt>
                <c:pt idx="30">
                  <c:v>0.29477611940298509</c:v>
                </c:pt>
                <c:pt idx="31">
                  <c:v>0.29347826086956524</c:v>
                </c:pt>
                <c:pt idx="32">
                  <c:v>0.29577464788732394</c:v>
                </c:pt>
                <c:pt idx="33">
                  <c:v>0.29553264604810997</c:v>
                </c:pt>
                <c:pt idx="34">
                  <c:v>0.29194630872483224</c:v>
                </c:pt>
                <c:pt idx="35">
                  <c:v>0.29738562091503268</c:v>
                </c:pt>
                <c:pt idx="36">
                  <c:v>0.29841269841269841</c:v>
                </c:pt>
                <c:pt idx="37">
                  <c:v>0.30094043887147337</c:v>
                </c:pt>
                <c:pt idx="38">
                  <c:v>0.29969418960244648</c:v>
                </c:pt>
                <c:pt idx="39">
                  <c:v>0.30294117647058821</c:v>
                </c:pt>
                <c:pt idx="40">
                  <c:v>0.30857142857142855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176693151721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たかの2!$N$3:$N$43</c:f>
              <c:numCache>
                <c:formatCode>0.0%</c:formatCode>
                <c:ptCount val="41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0.4</c:v>
                </c:pt>
                <c:pt idx="5">
                  <c:v>0.41666666666666669</c:v>
                </c:pt>
                <c:pt idx="6">
                  <c:v>0.46666666666666667</c:v>
                </c:pt>
                <c:pt idx="7">
                  <c:v>0.44444444444444442</c:v>
                </c:pt>
                <c:pt idx="8">
                  <c:v>0.42857142857142855</c:v>
                </c:pt>
                <c:pt idx="9">
                  <c:v>0.43478260869565216</c:v>
                </c:pt>
                <c:pt idx="10">
                  <c:v>0.43478260869565216</c:v>
                </c:pt>
                <c:pt idx="11">
                  <c:v>0.44444444444444442</c:v>
                </c:pt>
                <c:pt idx="12">
                  <c:v>0.42857142857142855</c:v>
                </c:pt>
                <c:pt idx="13">
                  <c:v>0.42857142857142855</c:v>
                </c:pt>
                <c:pt idx="14">
                  <c:v>0.45161290322580644</c:v>
                </c:pt>
                <c:pt idx="15">
                  <c:v>0.44117647058823528</c:v>
                </c:pt>
                <c:pt idx="16">
                  <c:v>0.45945945945945948</c:v>
                </c:pt>
                <c:pt idx="17">
                  <c:v>0.44736842105263158</c:v>
                </c:pt>
                <c:pt idx="18">
                  <c:v>0.45</c:v>
                </c:pt>
                <c:pt idx="19">
                  <c:v>0.44186046511627908</c:v>
                </c:pt>
                <c:pt idx="20">
                  <c:v>0.43478260869565216</c:v>
                </c:pt>
                <c:pt idx="21">
                  <c:v>0.41666666666666669</c:v>
                </c:pt>
                <c:pt idx="22">
                  <c:v>0.4</c:v>
                </c:pt>
                <c:pt idx="23">
                  <c:v>0.43396226415094341</c:v>
                </c:pt>
                <c:pt idx="24">
                  <c:v>0.42105263157894735</c:v>
                </c:pt>
                <c:pt idx="25">
                  <c:v>0.44067796610169491</c:v>
                </c:pt>
                <c:pt idx="26">
                  <c:v>0.46031746031746029</c:v>
                </c:pt>
                <c:pt idx="27">
                  <c:v>0.46268656716417911</c:v>
                </c:pt>
                <c:pt idx="28">
                  <c:v>0.47142857142857142</c:v>
                </c:pt>
                <c:pt idx="29">
                  <c:v>0.47142857142857142</c:v>
                </c:pt>
                <c:pt idx="30">
                  <c:v>0.46575342465753422</c:v>
                </c:pt>
                <c:pt idx="31">
                  <c:v>0.48051948051948051</c:v>
                </c:pt>
                <c:pt idx="32">
                  <c:v>0.47435897435897434</c:v>
                </c:pt>
                <c:pt idx="33">
                  <c:v>0.46250000000000002</c:v>
                </c:pt>
                <c:pt idx="34">
                  <c:v>0.46913580246913578</c:v>
                </c:pt>
                <c:pt idx="35">
                  <c:v>0.47619047619047616</c:v>
                </c:pt>
                <c:pt idx="36">
                  <c:v>0.47058823529411764</c:v>
                </c:pt>
                <c:pt idx="37">
                  <c:v>0.47058823529411764</c:v>
                </c:pt>
                <c:pt idx="38">
                  <c:v>0.47126436781609193</c:v>
                </c:pt>
                <c:pt idx="39">
                  <c:v>0.46666666666666667</c:v>
                </c:pt>
                <c:pt idx="40">
                  <c:v>0.46153846153846156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15974440894568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たかの2!$O$3:$O$43</c:f>
              <c:numCache>
                <c:formatCode>0.0%</c:formatCode>
                <c:ptCount val="41"/>
                <c:pt idx="1">
                  <c:v>0.6</c:v>
                </c:pt>
                <c:pt idx="2">
                  <c:v>0.625</c:v>
                </c:pt>
                <c:pt idx="3">
                  <c:v>0.53846153846153844</c:v>
                </c:pt>
                <c:pt idx="4">
                  <c:v>0.4375</c:v>
                </c:pt>
                <c:pt idx="5">
                  <c:v>0.4</c:v>
                </c:pt>
                <c:pt idx="6">
                  <c:v>0.39130434782608697</c:v>
                </c:pt>
                <c:pt idx="7">
                  <c:v>0.42307692307692307</c:v>
                </c:pt>
                <c:pt idx="8">
                  <c:v>0.44444444444444442</c:v>
                </c:pt>
                <c:pt idx="9">
                  <c:v>0.44827586206896552</c:v>
                </c:pt>
                <c:pt idx="10">
                  <c:v>0.4375</c:v>
                </c:pt>
                <c:pt idx="11">
                  <c:v>0.45945945945945948</c:v>
                </c:pt>
                <c:pt idx="12">
                  <c:v>0.47368421052631576</c:v>
                </c:pt>
                <c:pt idx="13">
                  <c:v>0.43902439024390244</c:v>
                </c:pt>
                <c:pt idx="14">
                  <c:v>0.44186046511627908</c:v>
                </c:pt>
                <c:pt idx="15">
                  <c:v>0.46666666666666667</c:v>
                </c:pt>
                <c:pt idx="16">
                  <c:v>0.45833333333333331</c:v>
                </c:pt>
                <c:pt idx="17">
                  <c:v>0.45833333333333331</c:v>
                </c:pt>
                <c:pt idx="18">
                  <c:v>0.47058823529411764</c:v>
                </c:pt>
                <c:pt idx="19">
                  <c:v>0.48076923076923078</c:v>
                </c:pt>
                <c:pt idx="20">
                  <c:v>0.48076923076923078</c:v>
                </c:pt>
                <c:pt idx="21">
                  <c:v>0.43103448275862066</c:v>
                </c:pt>
                <c:pt idx="22">
                  <c:v>0.42857142857142855</c:v>
                </c:pt>
                <c:pt idx="23">
                  <c:v>0.41538461538461541</c:v>
                </c:pt>
                <c:pt idx="24">
                  <c:v>0.40909090909090912</c:v>
                </c:pt>
                <c:pt idx="25">
                  <c:v>0.42253521126760563</c:v>
                </c:pt>
                <c:pt idx="26">
                  <c:v>0.42253521126760563</c:v>
                </c:pt>
                <c:pt idx="27">
                  <c:v>0.42465753424657532</c:v>
                </c:pt>
                <c:pt idx="28">
                  <c:v>0.40789473684210525</c:v>
                </c:pt>
                <c:pt idx="29">
                  <c:v>0.39743589743589741</c:v>
                </c:pt>
                <c:pt idx="30">
                  <c:v>0.39240506329113922</c:v>
                </c:pt>
                <c:pt idx="31">
                  <c:v>0.39506172839506171</c:v>
                </c:pt>
                <c:pt idx="32">
                  <c:v>0.38095238095238093</c:v>
                </c:pt>
                <c:pt idx="33">
                  <c:v>0.38372093023255816</c:v>
                </c:pt>
                <c:pt idx="34">
                  <c:v>0.39080459770114945</c:v>
                </c:pt>
                <c:pt idx="35">
                  <c:v>0.39560439560439559</c:v>
                </c:pt>
                <c:pt idx="36">
                  <c:v>0.38297872340425532</c:v>
                </c:pt>
                <c:pt idx="37">
                  <c:v>0.39583333333333331</c:v>
                </c:pt>
                <c:pt idx="38">
                  <c:v>0.40816326530612246</c:v>
                </c:pt>
                <c:pt idx="39">
                  <c:v>0.40776699029126212</c:v>
                </c:pt>
                <c:pt idx="40">
                  <c:v>0.41666666666666669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8985270049099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たかの2!$A$3:$A$43</c:f>
              <c:numCache>
                <c:formatCode>0\ "回"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たかの2!$P$3:$P$43</c:f>
              <c:numCache>
                <c:formatCode>0.0%</c:formatCode>
                <c:ptCount val="41"/>
                <c:pt idx="1">
                  <c:v>0.75</c:v>
                </c:pt>
                <c:pt idx="2">
                  <c:v>0.5714285714285714</c:v>
                </c:pt>
                <c:pt idx="3">
                  <c:v>0.5</c:v>
                </c:pt>
                <c:pt idx="4">
                  <c:v>0.5</c:v>
                </c:pt>
                <c:pt idx="5">
                  <c:v>0.53333333333333333</c:v>
                </c:pt>
                <c:pt idx="6">
                  <c:v>0.55555555555555558</c:v>
                </c:pt>
                <c:pt idx="7">
                  <c:v>0.59090909090909094</c:v>
                </c:pt>
                <c:pt idx="8">
                  <c:v>0.56000000000000005</c:v>
                </c:pt>
                <c:pt idx="9">
                  <c:v>0.5357142857142857</c:v>
                </c:pt>
                <c:pt idx="10">
                  <c:v>0.51724137931034486</c:v>
                </c:pt>
                <c:pt idx="11">
                  <c:v>0.5</c:v>
                </c:pt>
                <c:pt idx="12">
                  <c:v>0.51428571428571423</c:v>
                </c:pt>
                <c:pt idx="13">
                  <c:v>0.51428571428571423</c:v>
                </c:pt>
                <c:pt idx="14">
                  <c:v>0.53846153846153844</c:v>
                </c:pt>
                <c:pt idx="15">
                  <c:v>0.5</c:v>
                </c:pt>
                <c:pt idx="16">
                  <c:v>0.48888888888888887</c:v>
                </c:pt>
                <c:pt idx="17">
                  <c:v>0.48888888888888887</c:v>
                </c:pt>
                <c:pt idx="18">
                  <c:v>0.5</c:v>
                </c:pt>
                <c:pt idx="19">
                  <c:v>0.50980392156862742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</c:v>
                </c:pt>
                <c:pt idx="23">
                  <c:v>0.50793650793650791</c:v>
                </c:pt>
                <c:pt idx="24">
                  <c:v>0.52307692307692311</c:v>
                </c:pt>
                <c:pt idx="25">
                  <c:v>0.51428571428571423</c:v>
                </c:pt>
                <c:pt idx="26">
                  <c:v>0.49315068493150682</c:v>
                </c:pt>
                <c:pt idx="27">
                  <c:v>0.47368421052631576</c:v>
                </c:pt>
                <c:pt idx="28">
                  <c:v>0.48717948717948717</c:v>
                </c:pt>
                <c:pt idx="29">
                  <c:v>0.48717948717948717</c:v>
                </c:pt>
                <c:pt idx="30">
                  <c:v>0.49367088607594939</c:v>
                </c:pt>
                <c:pt idx="31">
                  <c:v>0.48192771084337349</c:v>
                </c:pt>
                <c:pt idx="32">
                  <c:v>0.48809523809523808</c:v>
                </c:pt>
                <c:pt idx="33">
                  <c:v>0.49411764705882355</c:v>
                </c:pt>
                <c:pt idx="34">
                  <c:v>0.4942528735632184</c:v>
                </c:pt>
                <c:pt idx="35">
                  <c:v>0.48351648351648352</c:v>
                </c:pt>
                <c:pt idx="36">
                  <c:v>0.48351648351648352</c:v>
                </c:pt>
                <c:pt idx="37">
                  <c:v>0.47872340425531917</c:v>
                </c:pt>
                <c:pt idx="38">
                  <c:v>0.48979591836734693</c:v>
                </c:pt>
                <c:pt idx="39">
                  <c:v>0.46601941747572817</c:v>
                </c:pt>
                <c:pt idx="40">
                  <c:v>0.46728971962616822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1591784338896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38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9" x14ac:dyDescent="0.4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244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240</v>
      </c>
      <c r="H30" s="2" t="s">
        <v>246</v>
      </c>
      <c r="I30" s="2" t="s">
        <v>245</v>
      </c>
    </row>
    <row r="31" spans="1:9" x14ac:dyDescent="0.4">
      <c r="A31" s="2" t="s">
        <v>247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248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249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240</v>
      </c>
    </row>
    <row r="34" spans="1:7" x14ac:dyDescent="0.4">
      <c r="A34" s="2" t="s">
        <v>250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251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252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253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254</v>
      </c>
      <c r="B38" s="3">
        <v>44158.781689814816</v>
      </c>
      <c r="C38" s="2" t="s">
        <v>127</v>
      </c>
      <c r="D38" s="2" t="s">
        <v>188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225</v>
      </c>
    </row>
    <row r="2" spans="1:3" x14ac:dyDescent="0.4">
      <c r="A2" t="s">
        <v>126</v>
      </c>
      <c r="B2" s="120">
        <v>82</v>
      </c>
      <c r="C2" s="120">
        <v>1842.3339395535957</v>
      </c>
    </row>
    <row r="3" spans="1:3" x14ac:dyDescent="0.4">
      <c r="A3" t="s">
        <v>163</v>
      </c>
      <c r="B3" s="120">
        <v>43</v>
      </c>
      <c r="C3" s="120">
        <v>1653.1699313523677</v>
      </c>
    </row>
    <row r="4" spans="1:3" x14ac:dyDescent="0.4">
      <c r="A4" t="s">
        <v>139</v>
      </c>
      <c r="B4" s="120">
        <v>309</v>
      </c>
      <c r="C4" s="120">
        <v>1594.5463045050694</v>
      </c>
    </row>
    <row r="5" spans="1:3" x14ac:dyDescent="0.4">
      <c r="A5" t="s">
        <v>190</v>
      </c>
      <c r="B5" s="120">
        <v>26</v>
      </c>
      <c r="C5" s="120">
        <v>1524.3778689305989</v>
      </c>
    </row>
    <row r="6" spans="1:3" x14ac:dyDescent="0.4">
      <c r="A6" t="s">
        <v>192</v>
      </c>
      <c r="B6" s="120">
        <v>43</v>
      </c>
      <c r="C6" s="120">
        <v>1517.1288342047803</v>
      </c>
    </row>
    <row r="7" spans="1:3" x14ac:dyDescent="0.4">
      <c r="A7" t="s">
        <v>211</v>
      </c>
      <c r="B7" s="120">
        <v>39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40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4</v>
      </c>
      <c r="C13" s="120">
        <v>1348.2487416206377</v>
      </c>
    </row>
    <row r="14" spans="1:3" x14ac:dyDescent="0.4">
      <c r="A14" t="s">
        <v>201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196</v>
      </c>
      <c r="I1" s="146"/>
      <c r="J1" s="143" t="s">
        <v>15</v>
      </c>
      <c r="K1" s="144"/>
      <c r="L1" s="143" t="s">
        <v>14</v>
      </c>
      <c r="M1" s="144"/>
      <c r="N1" s="143" t="s">
        <v>149</v>
      </c>
      <c r="O1" s="144"/>
      <c r="P1" s="143" t="s">
        <v>143</v>
      </c>
      <c r="Q1" s="144"/>
      <c r="R1" s="143" t="s">
        <v>144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145</v>
      </c>
      <c r="AG1" s="144"/>
      <c r="AH1" s="143" t="s">
        <v>138</v>
      </c>
      <c r="AI1" s="144"/>
      <c r="AJ1" s="143" t="s">
        <v>180</v>
      </c>
      <c r="AK1" s="144"/>
    </row>
    <row r="2" spans="1:37" x14ac:dyDescent="0.4">
      <c r="A2" s="36" t="s">
        <v>208</v>
      </c>
      <c r="B2" s="141">
        <v>0.92579815848787006</v>
      </c>
      <c r="C2" s="142"/>
      <c r="D2" s="141">
        <v>0.35552685965065928</v>
      </c>
      <c r="E2" s="142"/>
      <c r="F2" s="141">
        <v>0.35049633425443999</v>
      </c>
      <c r="G2" s="142"/>
      <c r="H2" s="147"/>
      <c r="I2" s="148"/>
      <c r="J2" s="141">
        <v>-7.741448320286802E-2</v>
      </c>
      <c r="K2" s="142"/>
      <c r="L2" s="141">
        <v>-0.28016866194370205</v>
      </c>
      <c r="M2" s="142"/>
      <c r="N2" s="141">
        <v>0.21421809602367581</v>
      </c>
      <c r="O2" s="142"/>
      <c r="P2" s="141">
        <v>0.38956065472374929</v>
      </c>
      <c r="Q2" s="142"/>
      <c r="R2" s="141">
        <v>-9.7939139463679534E-2</v>
      </c>
      <c r="S2" s="142"/>
      <c r="T2" s="141">
        <v>0.23848863862133793</v>
      </c>
      <c r="U2" s="142"/>
      <c r="V2" s="141">
        <v>0.12981003160235957</v>
      </c>
      <c r="W2" s="142"/>
      <c r="X2" s="141">
        <v>0.27633474525395058</v>
      </c>
      <c r="Y2" s="142"/>
      <c r="Z2" s="141">
        <v>0.20790601121709038</v>
      </c>
      <c r="AA2" s="142"/>
      <c r="AB2" s="141">
        <v>0.23291988313633843</v>
      </c>
      <c r="AC2" s="142"/>
      <c r="AD2" s="141">
        <v>-0.15813555066913215</v>
      </c>
      <c r="AE2" s="142"/>
      <c r="AF2" s="141">
        <v>0.46970067819075018</v>
      </c>
      <c r="AG2" s="142"/>
      <c r="AH2" s="141">
        <v>-0.17136998716297411</v>
      </c>
      <c r="AI2" s="142"/>
      <c r="AJ2" s="141">
        <v>0.83419641712707038</v>
      </c>
      <c r="AK2" s="142"/>
    </row>
    <row r="3" spans="1:37" x14ac:dyDescent="0.4">
      <c r="A3" s="38">
        <v>1</v>
      </c>
      <c r="B3" s="41" t="s">
        <v>139</v>
      </c>
      <c r="C3" s="113">
        <v>103</v>
      </c>
      <c r="D3" s="39" t="s">
        <v>192</v>
      </c>
      <c r="E3" s="40">
        <v>234.09999999999994</v>
      </c>
      <c r="F3" s="41" t="s">
        <v>192</v>
      </c>
      <c r="G3" s="60">
        <v>5.4441860465116267</v>
      </c>
      <c r="H3" s="41" t="s">
        <v>126</v>
      </c>
      <c r="I3" s="45">
        <v>1778.0357725598371</v>
      </c>
      <c r="J3" s="41" t="s">
        <v>192</v>
      </c>
      <c r="K3" s="42">
        <v>1.7906976744186047</v>
      </c>
      <c r="L3" s="41" t="s">
        <v>195</v>
      </c>
      <c r="M3" s="43">
        <v>0.5</v>
      </c>
      <c r="N3" s="41" t="s">
        <v>190</v>
      </c>
      <c r="O3" s="43">
        <v>0.19230769230769232</v>
      </c>
      <c r="P3" s="41" t="s">
        <v>192</v>
      </c>
      <c r="Q3" s="44">
        <v>0.32887700534759357</v>
      </c>
      <c r="R3" s="41" t="s">
        <v>190</v>
      </c>
      <c r="S3" s="44">
        <v>0.10666666666666667</v>
      </c>
      <c r="T3" s="41" t="s">
        <v>221</v>
      </c>
      <c r="U3" s="45">
        <v>10925</v>
      </c>
      <c r="V3" s="41" t="s">
        <v>190</v>
      </c>
      <c r="W3" s="45">
        <v>-6279.166666666667</v>
      </c>
      <c r="X3" s="41" t="s">
        <v>193</v>
      </c>
      <c r="Y3" s="43">
        <v>0</v>
      </c>
      <c r="Z3" s="41" t="s">
        <v>163</v>
      </c>
      <c r="AA3" s="44">
        <v>0.26385224274406333</v>
      </c>
      <c r="AB3" s="41" t="s">
        <v>189</v>
      </c>
      <c r="AC3" s="44">
        <v>0.30857142857142855</v>
      </c>
      <c r="AD3" s="41" t="s">
        <v>195</v>
      </c>
      <c r="AE3" s="44">
        <v>0.69565217391304346</v>
      </c>
      <c r="AF3" s="41" t="s">
        <v>126</v>
      </c>
      <c r="AG3" s="44">
        <v>0.48965517241379308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82</v>
      </c>
      <c r="D4" s="47" t="s">
        <v>126</v>
      </c>
      <c r="E4" s="48">
        <v>157.09999999999997</v>
      </c>
      <c r="F4" s="49" t="s">
        <v>211</v>
      </c>
      <c r="G4" s="61">
        <v>2.6051282051282048</v>
      </c>
      <c r="H4" s="49" t="s">
        <v>163</v>
      </c>
      <c r="I4" s="53">
        <v>1612.7620181342795</v>
      </c>
      <c r="J4" s="49" t="s">
        <v>195</v>
      </c>
      <c r="K4" s="50">
        <v>1.9166666666666667</v>
      </c>
      <c r="L4" s="49" t="s">
        <v>192</v>
      </c>
      <c r="M4" s="51">
        <v>0.44186046511627908</v>
      </c>
      <c r="N4" s="49" t="s">
        <v>192</v>
      </c>
      <c r="O4" s="51">
        <v>0.23255813953488372</v>
      </c>
      <c r="P4" s="49" t="s">
        <v>126</v>
      </c>
      <c r="Q4" s="52">
        <v>0.32452276064610869</v>
      </c>
      <c r="R4" s="49" t="s">
        <v>192</v>
      </c>
      <c r="S4" s="52">
        <v>0.12032085561497326</v>
      </c>
      <c r="T4" s="49" t="s">
        <v>163</v>
      </c>
      <c r="U4" s="53">
        <v>8946.9387755102034</v>
      </c>
      <c r="V4" s="49" t="s">
        <v>211</v>
      </c>
      <c r="W4" s="53">
        <v>-6708.8888888888887</v>
      </c>
      <c r="X4" s="49" t="s">
        <v>221</v>
      </c>
      <c r="Y4" s="51">
        <v>0</v>
      </c>
      <c r="Z4" s="49" t="s">
        <v>189</v>
      </c>
      <c r="AA4" s="52">
        <v>0.26</v>
      </c>
      <c r="AB4" s="49" t="s">
        <v>193</v>
      </c>
      <c r="AC4" s="52">
        <v>0.2857142857142857</v>
      </c>
      <c r="AD4" s="49" t="s">
        <v>211</v>
      </c>
      <c r="AE4" s="52">
        <v>0.57534246575342463</v>
      </c>
      <c r="AF4" s="49" t="s">
        <v>211</v>
      </c>
      <c r="AG4" s="52">
        <v>0.48571428571428571</v>
      </c>
      <c r="AH4" s="49" t="s">
        <v>195</v>
      </c>
      <c r="AI4" s="52">
        <v>0.55172413793103448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43</v>
      </c>
      <c r="D5" s="47" t="s">
        <v>211</v>
      </c>
      <c r="E5" s="48">
        <v>101.59999999999998</v>
      </c>
      <c r="F5" s="49" t="s">
        <v>126</v>
      </c>
      <c r="G5" s="61">
        <v>1.9158536585365848</v>
      </c>
      <c r="H5" s="49" t="s">
        <v>139</v>
      </c>
      <c r="I5" s="53">
        <v>1596.9217629646782</v>
      </c>
      <c r="J5" s="49" t="s">
        <v>211</v>
      </c>
      <c r="K5" s="50">
        <v>1.9487179487179487</v>
      </c>
      <c r="L5" s="49" t="s">
        <v>211</v>
      </c>
      <c r="M5" s="51">
        <v>0.38461538461538464</v>
      </c>
      <c r="N5" s="49" t="s">
        <v>211</v>
      </c>
      <c r="O5" s="51">
        <v>0.33333333333333331</v>
      </c>
      <c r="P5" s="49" t="s">
        <v>189</v>
      </c>
      <c r="Q5" s="52">
        <v>0.30571428571428572</v>
      </c>
      <c r="R5" s="49" t="s">
        <v>211</v>
      </c>
      <c r="S5" s="52">
        <v>0.13313609467455623</v>
      </c>
      <c r="T5" s="49" t="s">
        <v>195</v>
      </c>
      <c r="U5" s="53">
        <v>8606.8965517241377</v>
      </c>
      <c r="V5" s="49" t="s">
        <v>126</v>
      </c>
      <c r="W5" s="53">
        <v>-7146.4</v>
      </c>
      <c r="X5" s="49" t="s">
        <v>189</v>
      </c>
      <c r="Y5" s="51">
        <v>0.05</v>
      </c>
      <c r="Z5" s="49" t="s">
        <v>193</v>
      </c>
      <c r="AA5" s="52">
        <v>0.25714285714285712</v>
      </c>
      <c r="AB5" s="49" t="s">
        <v>221</v>
      </c>
      <c r="AC5" s="52">
        <v>0.27777777777777779</v>
      </c>
      <c r="AD5" s="49" t="s">
        <v>126</v>
      </c>
      <c r="AE5" s="52">
        <v>0.5696969696969697</v>
      </c>
      <c r="AF5" s="49" t="s">
        <v>192</v>
      </c>
      <c r="AG5" s="52">
        <v>0.42</v>
      </c>
      <c r="AH5" s="49" t="s">
        <v>126</v>
      </c>
      <c r="AI5" s="52">
        <v>0.47058823529411764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43</v>
      </c>
      <c r="D6" s="47" t="s">
        <v>189</v>
      </c>
      <c r="E6" s="48">
        <v>25.700000000000003</v>
      </c>
      <c r="F6" s="49" t="s">
        <v>189</v>
      </c>
      <c r="G6" s="61">
        <v>0.64250000000000007</v>
      </c>
      <c r="H6" s="49" t="s">
        <v>192</v>
      </c>
      <c r="I6" s="53">
        <v>1573.2920192249817</v>
      </c>
      <c r="J6" s="49" t="s">
        <v>190</v>
      </c>
      <c r="K6" s="50">
        <v>1.9615384615384615</v>
      </c>
      <c r="L6" s="49" t="s">
        <v>189</v>
      </c>
      <c r="M6" s="51">
        <v>0.375</v>
      </c>
      <c r="N6" s="49" t="s">
        <v>139</v>
      </c>
      <c r="O6" s="51">
        <v>0.33333333333333331</v>
      </c>
      <c r="P6" s="49" t="s">
        <v>211</v>
      </c>
      <c r="Q6" s="52">
        <v>0.30473372781065089</v>
      </c>
      <c r="R6" s="49" t="s">
        <v>139</v>
      </c>
      <c r="S6" s="52">
        <v>0.16269390843738177</v>
      </c>
      <c r="T6" s="49" t="s">
        <v>126</v>
      </c>
      <c r="U6" s="53">
        <v>8244.7963800904981</v>
      </c>
      <c r="V6" s="49" t="s">
        <v>139</v>
      </c>
      <c r="W6" s="53">
        <v>-7592.3255813953492</v>
      </c>
      <c r="X6" s="49" t="s">
        <v>211</v>
      </c>
      <c r="Y6" s="51">
        <v>5.128205128205128E-2</v>
      </c>
      <c r="Z6" s="49" t="s">
        <v>126</v>
      </c>
      <c r="AA6" s="52">
        <v>0.24229074889867841</v>
      </c>
      <c r="AB6" s="49" t="s">
        <v>192</v>
      </c>
      <c r="AC6" s="52">
        <v>0.26737967914438504</v>
      </c>
      <c r="AD6" s="49" t="s">
        <v>190</v>
      </c>
      <c r="AE6" s="52">
        <v>0.52830188679245282</v>
      </c>
      <c r="AF6" s="49" t="s">
        <v>139</v>
      </c>
      <c r="AG6" s="52">
        <v>0.41898527004909986</v>
      </c>
      <c r="AH6" s="49" t="s">
        <v>189</v>
      </c>
      <c r="AI6" s="52">
        <v>0.46728971962616822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189</v>
      </c>
      <c r="C7" s="114">
        <v>40</v>
      </c>
      <c r="D7" s="47" t="s">
        <v>139</v>
      </c>
      <c r="E7" s="48">
        <v>2.7533531010703882E-14</v>
      </c>
      <c r="F7" s="49" t="s">
        <v>139</v>
      </c>
      <c r="G7" s="61">
        <v>8.9105278351792501E-17</v>
      </c>
      <c r="H7" s="49" t="s">
        <v>190</v>
      </c>
      <c r="I7" s="53">
        <v>1530.4544498518735</v>
      </c>
      <c r="J7" s="49" t="s">
        <v>189</v>
      </c>
      <c r="K7" s="50">
        <v>1.9750000000000001</v>
      </c>
      <c r="L7" s="49" t="s">
        <v>139</v>
      </c>
      <c r="M7" s="51">
        <v>0.33656957928802589</v>
      </c>
      <c r="N7" s="49" t="s">
        <v>189</v>
      </c>
      <c r="O7" s="51">
        <v>0.35</v>
      </c>
      <c r="P7" s="49" t="s">
        <v>139</v>
      </c>
      <c r="Q7" s="52">
        <v>0.29474082482027997</v>
      </c>
      <c r="R7" s="49" t="s">
        <v>195</v>
      </c>
      <c r="S7" s="52">
        <v>0.1650485436893204</v>
      </c>
      <c r="T7" s="49" t="s">
        <v>193</v>
      </c>
      <c r="U7" s="53">
        <v>8212.5</v>
      </c>
      <c r="V7" s="49" t="s">
        <v>195</v>
      </c>
      <c r="W7" s="53">
        <v>-7629.411764705882</v>
      </c>
      <c r="X7" s="49" t="s">
        <v>126</v>
      </c>
      <c r="Y7" s="51">
        <v>7.3170731707317069E-2</v>
      </c>
      <c r="Z7" s="49" t="s">
        <v>139</v>
      </c>
      <c r="AA7" s="52">
        <v>0.23685206205069997</v>
      </c>
      <c r="AB7" s="49" t="s">
        <v>139</v>
      </c>
      <c r="AC7" s="52">
        <v>0.23117669315172154</v>
      </c>
      <c r="AD7" s="49" t="s">
        <v>192</v>
      </c>
      <c r="AE7" s="52">
        <v>0.52631578947368418</v>
      </c>
      <c r="AF7" s="49" t="s">
        <v>189</v>
      </c>
      <c r="AG7" s="52">
        <v>0.41666666666666669</v>
      </c>
      <c r="AH7" s="49" t="s">
        <v>139</v>
      </c>
      <c r="AI7" s="52">
        <v>0.44159178433889601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211</v>
      </c>
      <c r="C8" s="114">
        <v>39</v>
      </c>
      <c r="D8" s="47" t="s">
        <v>221</v>
      </c>
      <c r="E8" s="48">
        <v>-13.5</v>
      </c>
      <c r="F8" s="49" t="s">
        <v>190</v>
      </c>
      <c r="G8" s="61">
        <v>-1.1923076923076932</v>
      </c>
      <c r="H8" s="49" t="s">
        <v>211</v>
      </c>
      <c r="I8" s="53">
        <v>1522.0163768209231</v>
      </c>
      <c r="J8" s="49" t="s">
        <v>139</v>
      </c>
      <c r="K8" s="50">
        <v>1.9967637540453074</v>
      </c>
      <c r="L8" s="49" t="s">
        <v>126</v>
      </c>
      <c r="M8" s="51">
        <v>0.32926829268292684</v>
      </c>
      <c r="N8" s="49" t="s">
        <v>126</v>
      </c>
      <c r="O8" s="51">
        <v>0.35365853658536583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190</v>
      </c>
      <c r="U8" s="53">
        <v>8112.5</v>
      </c>
      <c r="V8" s="49" t="s">
        <v>216</v>
      </c>
      <c r="W8" s="53">
        <v>-7886.2068965517237</v>
      </c>
      <c r="X8" s="49" t="s">
        <v>190</v>
      </c>
      <c r="Y8" s="51">
        <v>7.6923076923076927E-2</v>
      </c>
      <c r="Z8" s="49" t="s">
        <v>190</v>
      </c>
      <c r="AA8" s="52">
        <v>0.23555555555555555</v>
      </c>
      <c r="AB8" s="49" t="s">
        <v>163</v>
      </c>
      <c r="AC8" s="52">
        <v>0.22955145118733508</v>
      </c>
      <c r="AD8" s="49" t="s">
        <v>139</v>
      </c>
      <c r="AE8" s="52">
        <v>0.51597444089456868</v>
      </c>
      <c r="AF8" s="49" t="s">
        <v>193</v>
      </c>
      <c r="AG8" s="52">
        <v>0.4</v>
      </c>
      <c r="AH8" s="49" t="s">
        <v>163</v>
      </c>
      <c r="AI8" s="52">
        <v>0.43877551020408162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26</v>
      </c>
      <c r="D9" s="47" t="s">
        <v>190</v>
      </c>
      <c r="E9" s="48">
        <v>-31.000000000000021</v>
      </c>
      <c r="F9" s="49" t="s">
        <v>195</v>
      </c>
      <c r="G9" s="61">
        <v>-3.2916666666666665</v>
      </c>
      <c r="H9" s="49" t="s">
        <v>221</v>
      </c>
      <c r="I9" s="53">
        <v>1497.379788</v>
      </c>
      <c r="J9" s="49" t="s">
        <v>126</v>
      </c>
      <c r="K9" s="50">
        <v>2.024390243902439</v>
      </c>
      <c r="L9" s="49" t="s">
        <v>163</v>
      </c>
      <c r="M9" s="51">
        <v>0.2558139534883721</v>
      </c>
      <c r="N9" s="49" t="s">
        <v>163</v>
      </c>
      <c r="O9" s="51">
        <v>0.37209302325581395</v>
      </c>
      <c r="P9" s="49" t="s">
        <v>163</v>
      </c>
      <c r="Q9" s="52">
        <v>0.25857519788918204</v>
      </c>
      <c r="R9" s="49" t="s">
        <v>189</v>
      </c>
      <c r="S9" s="52">
        <v>0.17428571428571429</v>
      </c>
      <c r="T9" s="49" t="s">
        <v>139</v>
      </c>
      <c r="U9" s="53">
        <v>8037.3555840821564</v>
      </c>
      <c r="V9" s="49" t="s">
        <v>192</v>
      </c>
      <c r="W9" s="53">
        <v>-8017.7777777777774</v>
      </c>
      <c r="X9" s="49" t="s">
        <v>139</v>
      </c>
      <c r="Y9" s="51">
        <v>8.4142394822006472E-2</v>
      </c>
      <c r="Z9" s="49" t="s">
        <v>216</v>
      </c>
      <c r="AA9" s="52">
        <v>0.22857142857142856</v>
      </c>
      <c r="AB9" s="49" t="s">
        <v>190</v>
      </c>
      <c r="AC9" s="52">
        <v>0.21333333333333335</v>
      </c>
      <c r="AD9" s="49" t="s">
        <v>189</v>
      </c>
      <c r="AE9" s="52">
        <v>0.46153846153846156</v>
      </c>
      <c r="AF9" s="49" t="s">
        <v>221</v>
      </c>
      <c r="AG9" s="52">
        <v>0.4</v>
      </c>
      <c r="AH9" s="49" t="s">
        <v>216</v>
      </c>
      <c r="AI9" s="52">
        <v>0.43333333333333335</v>
      </c>
      <c r="AJ9" s="49" t="s">
        <v>190</v>
      </c>
      <c r="AK9" s="56">
        <v>80000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195</v>
      </c>
      <c r="E10" s="48">
        <v>-39.5</v>
      </c>
      <c r="F10" s="49" t="s">
        <v>163</v>
      </c>
      <c r="G10" s="61">
        <v>-4.7093023255813957</v>
      </c>
      <c r="H10" s="49" t="s">
        <v>216</v>
      </c>
      <c r="I10" s="53">
        <v>1475.2783888604056</v>
      </c>
      <c r="J10" s="49" t="s">
        <v>163</v>
      </c>
      <c r="K10" s="50">
        <v>2.1162790697674421</v>
      </c>
      <c r="L10" s="49" t="s">
        <v>193</v>
      </c>
      <c r="M10" s="51">
        <v>0.25</v>
      </c>
      <c r="N10" s="49" t="s">
        <v>195</v>
      </c>
      <c r="O10" s="51">
        <v>0.41666666666666669</v>
      </c>
      <c r="P10" s="49" t="s">
        <v>190</v>
      </c>
      <c r="Q10" s="52">
        <v>0.24888888888888888</v>
      </c>
      <c r="R10" s="49" t="s">
        <v>126</v>
      </c>
      <c r="S10" s="52">
        <v>0.18355359765051396</v>
      </c>
      <c r="T10" s="49" t="s">
        <v>211</v>
      </c>
      <c r="U10" s="53">
        <v>7706.7961165048546</v>
      </c>
      <c r="V10" s="49" t="s">
        <v>189</v>
      </c>
      <c r="W10" s="53">
        <v>-8100</v>
      </c>
      <c r="X10" s="49" t="s">
        <v>192</v>
      </c>
      <c r="Y10" s="51">
        <v>9.3023255813953487E-2</v>
      </c>
      <c r="Z10" s="49" t="s">
        <v>195</v>
      </c>
      <c r="AA10" s="52">
        <v>0.22330097087378642</v>
      </c>
      <c r="AB10" s="49" t="s">
        <v>126</v>
      </c>
      <c r="AC10" s="52">
        <v>0.21292217327459617</v>
      </c>
      <c r="AD10" s="49" t="s">
        <v>163</v>
      </c>
      <c r="AE10" s="52">
        <v>0.44</v>
      </c>
      <c r="AF10" s="49" t="s">
        <v>190</v>
      </c>
      <c r="AG10" s="52">
        <v>0.375</v>
      </c>
      <c r="AH10" s="49" t="s">
        <v>211</v>
      </c>
      <c r="AI10" s="52">
        <v>0.42718446601941745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193</v>
      </c>
      <c r="E11" s="48">
        <v>-51.699999999999996</v>
      </c>
      <c r="F11" s="49" t="s">
        <v>221</v>
      </c>
      <c r="G11" s="61">
        <v>-6.75</v>
      </c>
      <c r="H11" s="49" t="s">
        <v>189</v>
      </c>
      <c r="I11" s="53">
        <v>1470.3574394374596</v>
      </c>
      <c r="J11" s="49" t="s">
        <v>216</v>
      </c>
      <c r="K11" s="50">
        <v>2.2222222222222223</v>
      </c>
      <c r="L11" s="49" t="s">
        <v>190</v>
      </c>
      <c r="M11" s="51">
        <v>0.23076923076923078</v>
      </c>
      <c r="N11" s="49" t="s">
        <v>216</v>
      </c>
      <c r="O11" s="51">
        <v>0.44444444444444442</v>
      </c>
      <c r="P11" s="49" t="s">
        <v>193</v>
      </c>
      <c r="Q11" s="52">
        <v>0.22857142857142856</v>
      </c>
      <c r="R11" s="49" t="s">
        <v>163</v>
      </c>
      <c r="S11" s="52">
        <v>0.19261213720316622</v>
      </c>
      <c r="T11" s="49" t="s">
        <v>192</v>
      </c>
      <c r="U11" s="53">
        <v>7573.1707317073169</v>
      </c>
      <c r="V11" s="49" t="s">
        <v>163</v>
      </c>
      <c r="W11" s="53">
        <v>-8212.3287671232883</v>
      </c>
      <c r="X11" s="49" t="s">
        <v>216</v>
      </c>
      <c r="Y11" s="51">
        <v>0.1111111111111111</v>
      </c>
      <c r="Z11" s="49" t="s">
        <v>221</v>
      </c>
      <c r="AA11" s="52">
        <v>0.22222222222222221</v>
      </c>
      <c r="AB11" s="49" t="s">
        <v>211</v>
      </c>
      <c r="AC11" s="52">
        <v>0.20710059171597633</v>
      </c>
      <c r="AD11" s="49" t="s">
        <v>216</v>
      </c>
      <c r="AE11" s="52">
        <v>0.4375</v>
      </c>
      <c r="AF11" s="49" t="s">
        <v>195</v>
      </c>
      <c r="AG11" s="52">
        <v>0.35714285714285715</v>
      </c>
      <c r="AH11" s="49" t="s">
        <v>192</v>
      </c>
      <c r="AI11" s="52">
        <v>0.41463414634146339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4</v>
      </c>
      <c r="D12" s="47" t="s">
        <v>216</v>
      </c>
      <c r="E12" s="48">
        <v>-180.3</v>
      </c>
      <c r="F12" s="49" t="s">
        <v>216</v>
      </c>
      <c r="G12" s="61">
        <v>-10.016666666666667</v>
      </c>
      <c r="H12" s="49" t="s">
        <v>195</v>
      </c>
      <c r="I12" s="53">
        <v>1396.3170423346389</v>
      </c>
      <c r="J12" s="49" t="s">
        <v>193</v>
      </c>
      <c r="K12" s="50">
        <v>2.25</v>
      </c>
      <c r="L12" s="49" t="s">
        <v>216</v>
      </c>
      <c r="M12" s="51">
        <v>0.22222222222222221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189</v>
      </c>
      <c r="U12" s="53">
        <v>7552.336448598131</v>
      </c>
      <c r="V12" s="49" t="s">
        <v>193</v>
      </c>
      <c r="W12" s="53">
        <v>-9387.5</v>
      </c>
      <c r="X12" s="49" t="s">
        <v>163</v>
      </c>
      <c r="Y12" s="51">
        <v>0.13953488372093023</v>
      </c>
      <c r="Z12" s="49" t="s">
        <v>211</v>
      </c>
      <c r="AA12" s="52">
        <v>0.21597633136094674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0.32183908045977011</v>
      </c>
      <c r="AH12" s="49" t="s">
        <v>190</v>
      </c>
      <c r="AI12" s="52">
        <v>0.30357142857142855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221</v>
      </c>
      <c r="C13" s="114">
        <v>2</v>
      </c>
      <c r="D13" s="47" t="s">
        <v>163</v>
      </c>
      <c r="E13" s="48">
        <v>-202.5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0.16666666666666666</v>
      </c>
      <c r="Z13" s="49" t="s">
        <v>192</v>
      </c>
      <c r="AA13" s="52">
        <v>0.20320855614973263</v>
      </c>
      <c r="AB13" s="49" t="s">
        <v>195</v>
      </c>
      <c r="AC13" s="52">
        <v>0.13592233009708737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193</v>
      </c>
      <c r="AI13" s="52">
        <v>0.25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31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309</v>
      </c>
      <c r="C2" s="134"/>
      <c r="E2" s="26" t="s">
        <v>66</v>
      </c>
      <c r="F2" s="23" t="s">
        <v>22</v>
      </c>
      <c r="G2" s="11">
        <v>603</v>
      </c>
      <c r="H2" s="87">
        <f>IF(B$20=0,0,G2/B$20)</f>
        <v>0.7740693196405648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-35.59870550161812</v>
      </c>
      <c r="Q2" s="76">
        <v>309</v>
      </c>
      <c r="R2" s="63">
        <v>-11000</v>
      </c>
    </row>
    <row r="3" spans="1:18" x14ac:dyDescent="0.4">
      <c r="A3" s="19" t="s">
        <v>8</v>
      </c>
      <c r="B3" s="135">
        <v>2643</v>
      </c>
      <c r="C3" s="136"/>
      <c r="E3" s="27" t="s">
        <v>72</v>
      </c>
      <c r="F3" s="24" t="s">
        <v>27</v>
      </c>
      <c r="G3" s="12">
        <v>465</v>
      </c>
      <c r="H3" s="88">
        <f>IF(B$20=0,0,G3/B$20)</f>
        <v>0.59691912708600769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26.666666666666668</v>
      </c>
      <c r="Q3" s="77">
        <v>300</v>
      </c>
      <c r="R3" s="64">
        <v>8000</v>
      </c>
    </row>
    <row r="4" spans="1:18" x14ac:dyDescent="0.4">
      <c r="A4" s="19" t="s">
        <v>6</v>
      </c>
      <c r="B4" s="137">
        <v>2.7533531010703882E-14</v>
      </c>
      <c r="C4" s="138"/>
      <c r="E4" s="27" t="s">
        <v>64</v>
      </c>
      <c r="F4" s="24" t="s">
        <v>20</v>
      </c>
      <c r="G4" s="12">
        <v>316</v>
      </c>
      <c r="H4" s="88">
        <f>IF(B$20=0,0,G4/B$20)</f>
        <v>0.40564826700898587</v>
      </c>
      <c r="I4" s="58">
        <v>6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-13.333333333333334</v>
      </c>
      <c r="Q4" s="77">
        <v>300</v>
      </c>
      <c r="R4" s="64">
        <v>-4000</v>
      </c>
    </row>
    <row r="5" spans="1:18" x14ac:dyDescent="0.4">
      <c r="A5" s="19" t="s">
        <v>7</v>
      </c>
      <c r="B5" s="125">
        <f>IF(B$2=0,0,B$4/B$2)</f>
        <v>8.9105278351792501E-17</v>
      </c>
      <c r="C5" s="126"/>
      <c r="E5" s="27" t="s">
        <v>159</v>
      </c>
      <c r="F5" s="24" t="s">
        <v>160</v>
      </c>
      <c r="G5" s="12">
        <v>316</v>
      </c>
      <c r="H5" s="88">
        <f>IF(B$20=0,0,G5/B$20)</f>
        <v>0.40564826700898587</v>
      </c>
      <c r="I5" s="58">
        <v>5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-3.5087719298245612</v>
      </c>
      <c r="Q5" s="77">
        <v>285</v>
      </c>
      <c r="R5" s="64">
        <v>-1000</v>
      </c>
    </row>
    <row r="6" spans="1:18" x14ac:dyDescent="0.4">
      <c r="A6" s="19" t="s">
        <v>196</v>
      </c>
      <c r="B6" s="129">
        <v>1596.9217629646782</v>
      </c>
      <c r="C6" s="130"/>
      <c r="E6" s="27" t="s">
        <v>68</v>
      </c>
      <c r="F6" s="24" t="s">
        <v>12</v>
      </c>
      <c r="G6" s="12">
        <v>230</v>
      </c>
      <c r="H6" s="88">
        <f>IF(B$20=0,0,G6/B$20)</f>
        <v>0.2952503209242619</v>
      </c>
      <c r="I6" s="58">
        <v>6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15.151515151515152</v>
      </c>
      <c r="Q6" s="77">
        <v>264</v>
      </c>
      <c r="R6" s="64">
        <v>4000</v>
      </c>
    </row>
    <row r="7" spans="1:18" x14ac:dyDescent="0.4">
      <c r="A7" s="19" t="s">
        <v>1</v>
      </c>
      <c r="B7" s="139">
        <f>IF(B$2=0,0,(B$8*1+B$9*2+B$10*3)/B$2)</f>
        <v>1.9967637540453074</v>
      </c>
      <c r="C7" s="140"/>
      <c r="E7" s="27" t="s">
        <v>67</v>
      </c>
      <c r="F7" s="24" t="s">
        <v>23</v>
      </c>
      <c r="G7" s="12">
        <v>170</v>
      </c>
      <c r="H7" s="88">
        <f>IF(B$20=0,0,G7/B$20)</f>
        <v>0.21822849807445444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17.543859649122808</v>
      </c>
      <c r="Q7" s="78">
        <v>228</v>
      </c>
      <c r="R7" s="65">
        <v>4000</v>
      </c>
    </row>
    <row r="8" spans="1:18" x14ac:dyDescent="0.4">
      <c r="A8" s="19" t="s">
        <v>2</v>
      </c>
      <c r="B8" s="12">
        <v>104</v>
      </c>
      <c r="C8" s="6">
        <f t="shared" ref="C8:C15" si="1">IF(B$2=0,0,B8/B$2)</f>
        <v>0.33656957928802589</v>
      </c>
      <c r="E8" s="27" t="s">
        <v>89</v>
      </c>
      <c r="F8" s="24" t="s">
        <v>44</v>
      </c>
      <c r="G8" s="12">
        <v>111</v>
      </c>
      <c r="H8" s="88">
        <f>IF(B$20=0,0,G8/B$20)</f>
        <v>0.14249037227214378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102</v>
      </c>
      <c r="C9" s="6">
        <f t="shared" si="1"/>
        <v>0.3300970873786408</v>
      </c>
      <c r="E9" s="27" t="s">
        <v>69</v>
      </c>
      <c r="F9" s="24" t="s">
        <v>24</v>
      </c>
      <c r="G9" s="12">
        <v>99</v>
      </c>
      <c r="H9" s="88">
        <f>IF(B$20=0,0,G9/B$20)</f>
        <v>0.12708600770218229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103</v>
      </c>
      <c r="C10" s="7">
        <f t="shared" si="1"/>
        <v>0.33333333333333331</v>
      </c>
      <c r="E10" s="27" t="s">
        <v>70</v>
      </c>
      <c r="F10" s="24" t="s">
        <v>25</v>
      </c>
      <c r="G10" s="12">
        <v>83</v>
      </c>
      <c r="H10" s="88">
        <f>IF(B$20=0,0,G10/B$20)</f>
        <v>0.10654685494223363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2.125242718446601</v>
      </c>
      <c r="Q10" s="76">
        <v>103</v>
      </c>
      <c r="R10" s="67">
        <v>218.89999999999992</v>
      </c>
    </row>
    <row r="11" spans="1:18" x14ac:dyDescent="0.4">
      <c r="A11" s="20" t="s">
        <v>184</v>
      </c>
      <c r="B11" s="109">
        <f>IF(B8=0,0,C11/B8)</f>
        <v>34.568269230769225</v>
      </c>
      <c r="C11" s="110">
        <v>3595.0999999999995</v>
      </c>
      <c r="E11" s="27" t="s">
        <v>65</v>
      </c>
      <c r="F11" s="24" t="s">
        <v>21</v>
      </c>
      <c r="G11" s="12">
        <v>66</v>
      </c>
      <c r="H11" s="88">
        <f>IF(B$20=0,0,G11/B$20)</f>
        <v>8.4724005134788186E-2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-3.7766990291262132</v>
      </c>
      <c r="Q11" s="77">
        <v>103</v>
      </c>
      <c r="R11" s="68">
        <v>-388.99999999999994</v>
      </c>
    </row>
    <row r="12" spans="1:18" x14ac:dyDescent="0.4">
      <c r="A12" s="20" t="s">
        <v>185</v>
      </c>
      <c r="B12" s="109">
        <f>IF(B9=0,0,C12/B9)</f>
        <v>-0.94313725490196065</v>
      </c>
      <c r="C12" s="110">
        <v>-96.199999999999989</v>
      </c>
      <c r="E12" s="27" t="s">
        <v>71</v>
      </c>
      <c r="F12" s="24" t="s">
        <v>26</v>
      </c>
      <c r="G12" s="12">
        <v>46</v>
      </c>
      <c r="H12" s="88">
        <f>IF(B$20=0,0,G12/B$20)</f>
        <v>5.9050064184852376E-2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1.6514563106796118</v>
      </c>
      <c r="Q12" s="78">
        <v>103</v>
      </c>
      <c r="R12" s="69">
        <v>170.10000000000002</v>
      </c>
    </row>
    <row r="13" spans="1:18" x14ac:dyDescent="0.4">
      <c r="A13" s="20" t="s">
        <v>186</v>
      </c>
      <c r="B13" s="109">
        <f>IF(B10=0,0,C13/B10)</f>
        <v>-33.969902912621357</v>
      </c>
      <c r="C13" s="110">
        <v>-3498.9</v>
      </c>
      <c r="E13" s="27" t="s">
        <v>86</v>
      </c>
      <c r="F13" s="24" t="s">
        <v>41</v>
      </c>
      <c r="G13" s="12">
        <v>42</v>
      </c>
      <c r="H13" s="88">
        <f>IF(B$20=0,0,G13/B$20)</f>
        <v>5.391527599486521E-2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-0.11492364558469841</v>
      </c>
      <c r="C14" s="126"/>
      <c r="E14" s="27" t="s">
        <v>83</v>
      </c>
      <c r="F14" s="24" t="s">
        <v>38</v>
      </c>
      <c r="G14" s="12">
        <v>34</v>
      </c>
      <c r="H14" s="88">
        <f>IF(B$20=0,0,G14/B$20)</f>
        <v>4.3645699614890884E-2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26</v>
      </c>
      <c r="C15" s="9">
        <f t="shared" si="1"/>
        <v>8.4142394822006472E-2</v>
      </c>
      <c r="E15" s="27" t="s">
        <v>81</v>
      </c>
      <c r="F15" s="24" t="s">
        <v>36</v>
      </c>
      <c r="G15" s="12">
        <v>25</v>
      </c>
      <c r="H15" s="88">
        <f>IF(B$20=0,0,G15/B$20)</f>
        <v>3.2092426187419767E-2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">
      <c r="A16" s="22" t="s">
        <v>121</v>
      </c>
      <c r="B16" s="15">
        <v>626</v>
      </c>
      <c r="C16" s="10">
        <f>IF(B$3=0,0,B16/B$3)</f>
        <v>0.23685206205069997</v>
      </c>
      <c r="E16" s="27" t="s">
        <v>78</v>
      </c>
      <c r="F16" s="24" t="s">
        <v>33</v>
      </c>
      <c r="G16" s="12">
        <v>19</v>
      </c>
      <c r="H16" s="88">
        <f>IF(B$20=0,0,G16/B$20)</f>
        <v>2.4390243902439025E-2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">
      <c r="A17" s="19" t="s">
        <v>118</v>
      </c>
      <c r="B17" s="12">
        <v>611</v>
      </c>
      <c r="C17" s="6">
        <f>IF(B$3=0,0,B17/B$3)</f>
        <v>0.23117669315172154</v>
      </c>
      <c r="E17" s="27" t="s">
        <v>91</v>
      </c>
      <c r="F17" s="24" t="s">
        <v>46</v>
      </c>
      <c r="G17" s="12">
        <v>14</v>
      </c>
      <c r="H17" s="88">
        <f>IF(B$20=0,0,G17/B$20)</f>
        <v>1.7971758664955071E-2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">
      <c r="A18" s="18" t="s">
        <v>123</v>
      </c>
      <c r="B18" s="11">
        <f>B24</f>
        <v>323</v>
      </c>
      <c r="C18" s="5">
        <f>IF(B$16=0,0,B18/B$16)</f>
        <v>0.51597444089456868</v>
      </c>
      <c r="E18" s="27" t="s">
        <v>155</v>
      </c>
      <c r="F18" s="24" t="s">
        <v>156</v>
      </c>
      <c r="G18" s="12">
        <v>14</v>
      </c>
      <c r="H18" s="88">
        <f>IF(B$20=0,0,G18/B$20)</f>
        <v>1.7971758664955071E-2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163</v>
      </c>
      <c r="P18" s="83">
        <f>IF(Q18=0,0,R18/Q18)</f>
        <v>7.0639534883720954</v>
      </c>
      <c r="Q18" s="77">
        <v>86</v>
      </c>
      <c r="R18" s="68">
        <v>607.50000000000023</v>
      </c>
    </row>
    <row r="19" spans="1:18" x14ac:dyDescent="0.4">
      <c r="A19" s="18" t="s">
        <v>124</v>
      </c>
      <c r="B19" s="11">
        <f>B25</f>
        <v>256</v>
      </c>
      <c r="C19" s="5">
        <f>IF(B$17=0,0,B19/B$17)</f>
        <v>0.41898527004909986</v>
      </c>
      <c r="E19" s="27" t="s">
        <v>79</v>
      </c>
      <c r="F19" s="24" t="s">
        <v>34</v>
      </c>
      <c r="G19" s="12">
        <v>10</v>
      </c>
      <c r="H19" s="88">
        <f>IF(B$20=0,0,G19/B$20)</f>
        <v>1.2836970474967908E-2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195</v>
      </c>
      <c r="P19" s="83">
        <f>IF(Q19=0,0,R19/Q19)</f>
        <v>4.9375000000000036</v>
      </c>
      <c r="Q19" s="77">
        <v>24</v>
      </c>
      <c r="R19" s="68">
        <v>118.50000000000009</v>
      </c>
    </row>
    <row r="20" spans="1:18" x14ac:dyDescent="0.4">
      <c r="A20" s="18" t="s">
        <v>10</v>
      </c>
      <c r="B20" s="11">
        <f>B23+B22</f>
        <v>779</v>
      </c>
      <c r="C20" s="5">
        <f>IF(B$3=0,0,B20/B$3)</f>
        <v>0.29474082482027997</v>
      </c>
      <c r="E20" s="27" t="s">
        <v>73</v>
      </c>
      <c r="F20" s="24" t="s">
        <v>28</v>
      </c>
      <c r="G20" s="12">
        <v>7</v>
      </c>
      <c r="H20" s="88">
        <f>IF(B$20=0,0,G20/B$20)</f>
        <v>8.9858793324775355E-3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190</v>
      </c>
      <c r="P20" s="83">
        <f>IF(Q20=0,0,R20/Q20)</f>
        <v>1.7884615384615379</v>
      </c>
      <c r="Q20" s="77">
        <v>52</v>
      </c>
      <c r="R20" s="68">
        <v>92.999999999999972</v>
      </c>
    </row>
    <row r="21" spans="1:18" x14ac:dyDescent="0.4">
      <c r="A21" s="19" t="s">
        <v>13</v>
      </c>
      <c r="B21" s="12">
        <v>430</v>
      </c>
      <c r="C21" s="6">
        <f>IF(B$3=0,0,B21/B$3)</f>
        <v>0.16269390843738177</v>
      </c>
      <c r="E21" s="27" t="s">
        <v>75</v>
      </c>
      <c r="F21" s="24" t="s">
        <v>30</v>
      </c>
      <c r="G21" s="12">
        <v>3</v>
      </c>
      <c r="H21" s="88">
        <f>IF(B$20=0,0,G21/B$20)</f>
        <v>3.8510911424903724E-3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-0.96374999999999889</v>
      </c>
      <c r="Q21" s="77">
        <v>80</v>
      </c>
      <c r="R21" s="68">
        <v>-77.099999999999909</v>
      </c>
    </row>
    <row r="22" spans="1:18" x14ac:dyDescent="0.4">
      <c r="A22" s="19" t="s">
        <v>12</v>
      </c>
      <c r="B22" s="12">
        <v>344</v>
      </c>
      <c r="C22" s="6">
        <f>IF(B$20=0,0,B22/B$20)</f>
        <v>0.44159178433889601</v>
      </c>
      <c r="E22" s="27" t="s">
        <v>85</v>
      </c>
      <c r="F22" s="24" t="s">
        <v>40</v>
      </c>
      <c r="G22" s="12">
        <v>3</v>
      </c>
      <c r="H22" s="88">
        <f>IF(B$20=0,0,G22/B$20)</f>
        <v>3.8510911424903724E-3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-2.8737804878048756</v>
      </c>
      <c r="Q22" s="77">
        <v>164</v>
      </c>
      <c r="R22" s="68">
        <v>-471.29999999999961</v>
      </c>
    </row>
    <row r="23" spans="1:18" x14ac:dyDescent="0.4">
      <c r="A23" s="19" t="s">
        <v>11</v>
      </c>
      <c r="B23" s="12">
        <v>435</v>
      </c>
      <c r="C23" s="6">
        <f>IF(B$20=0,0,B23/B$20)</f>
        <v>0.55840821566110399</v>
      </c>
      <c r="E23" s="27" t="s">
        <v>88</v>
      </c>
      <c r="F23" s="24" t="s">
        <v>43</v>
      </c>
      <c r="G23" s="12">
        <v>3</v>
      </c>
      <c r="H23" s="88">
        <f>IF(B$20=0,0,G23/B$20)</f>
        <v>3.8510911424903724E-3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-3.9076923076923094</v>
      </c>
      <c r="Q23" s="77">
        <v>78</v>
      </c>
      <c r="R23" s="68">
        <v>-304.80000000000013</v>
      </c>
    </row>
    <row r="24" spans="1:18" x14ac:dyDescent="0.4">
      <c r="A24" s="19" t="s">
        <v>183</v>
      </c>
      <c r="B24" s="12">
        <v>323</v>
      </c>
      <c r="C24" s="6">
        <f>IF(B$20=0,0,B24/B$20)</f>
        <v>0.41463414634146339</v>
      </c>
      <c r="E24" s="27" t="s">
        <v>77</v>
      </c>
      <c r="F24" s="24" t="s">
        <v>32</v>
      </c>
      <c r="G24" s="12">
        <v>2</v>
      </c>
      <c r="H24" s="88">
        <f>IF(B$20=0,0,G24/B$20)</f>
        <v>2.5673940949935813E-3</v>
      </c>
      <c r="I24" s="58">
        <v>2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-8.1662790697674481</v>
      </c>
      <c r="Q24" s="77">
        <v>86</v>
      </c>
      <c r="R24" s="68">
        <v>-702.30000000000052</v>
      </c>
    </row>
    <row r="25" spans="1:18" x14ac:dyDescent="0.4">
      <c r="A25" s="19" t="s">
        <v>181</v>
      </c>
      <c r="B25" s="12">
        <v>256</v>
      </c>
      <c r="C25" s="6">
        <f>IF(B$20=0,0,B25/B$20)</f>
        <v>0.32862644415917841</v>
      </c>
      <c r="E25" s="27" t="s">
        <v>92</v>
      </c>
      <c r="F25" s="24" t="s">
        <v>47</v>
      </c>
      <c r="G25" s="12">
        <v>2</v>
      </c>
      <c r="H25" s="88">
        <f>IF(B$20=0,0,G25/B$20)</f>
        <v>2.5673940949935813E-3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">
      <c r="A26" s="19" t="s">
        <v>182</v>
      </c>
      <c r="B26" s="12">
        <v>200</v>
      </c>
      <c r="C26" s="6">
        <f>IF(B$20=0,0,B26/B$20)</f>
        <v>0.25673940949935814</v>
      </c>
      <c r="E26" s="27" t="s">
        <v>80</v>
      </c>
      <c r="F26" s="24" t="s">
        <v>35</v>
      </c>
      <c r="G26" s="12">
        <v>1</v>
      </c>
      <c r="H26" s="88">
        <f>IF(B$20=0,0,G26/B$20)</f>
        <v>1.2836970474967907E-3</v>
      </c>
      <c r="I26" s="58">
        <v>2</v>
      </c>
      <c r="K26" s="74">
        <v>24</v>
      </c>
      <c r="L26" s="119">
        <v>-7.1054273576010019E-15</v>
      </c>
      <c r="M26" s="117">
        <v>1593.6312177958805</v>
      </c>
    </row>
    <row r="27" spans="1:18" x14ac:dyDescent="0.4">
      <c r="A27" s="19" t="s">
        <v>5</v>
      </c>
      <c r="B27" s="16">
        <f>IF(B$20=0,0,C27/B$20)</f>
        <v>8037.3555840821564</v>
      </c>
      <c r="C27" s="8">
        <v>6261100</v>
      </c>
      <c r="E27" s="27" t="s">
        <v>90</v>
      </c>
      <c r="F27" s="24" t="s">
        <v>45</v>
      </c>
      <c r="G27" s="12">
        <v>1</v>
      </c>
      <c r="H27" s="88">
        <f>IF(B$20=0,0,G27/B$20)</f>
        <v>1.2836970474967907E-3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8588.910133843212</v>
      </c>
      <c r="C28" s="96">
        <v>4492000</v>
      </c>
      <c r="E28" s="27" t="s">
        <v>93</v>
      </c>
      <c r="F28" s="24" t="s">
        <v>48</v>
      </c>
      <c r="G28" s="12">
        <v>1</v>
      </c>
      <c r="H28" s="88">
        <f>IF(B$20=0,0,G28/B$20)</f>
        <v>1.2836970474967907E-3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6910.546875</v>
      </c>
      <c r="C29" s="96">
        <v>1769100</v>
      </c>
      <c r="E29" s="27" t="s">
        <v>102</v>
      </c>
      <c r="F29" s="24" t="s">
        <v>57</v>
      </c>
      <c r="G29" s="12">
        <v>1</v>
      </c>
      <c r="H29" s="88">
        <f>IF(B$20=0,0,G29/B$20)</f>
        <v>1.2836970474967907E-3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-7592.3255813953492</v>
      </c>
      <c r="C30" s="96">
        <v>-3264700</v>
      </c>
      <c r="E30" s="27" t="s">
        <v>106</v>
      </c>
      <c r="F30" s="24" t="s">
        <v>113</v>
      </c>
      <c r="G30" s="12">
        <v>1</v>
      </c>
      <c r="H30" s="88">
        <f>IF(B$20=0,0,G30/B$20)</f>
        <v>1.2836970474967907E-3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74</v>
      </c>
      <c r="F31" s="24" t="s">
        <v>29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3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27">
        <v>7</v>
      </c>
      <c r="C33" s="128"/>
      <c r="E33" s="27" t="s">
        <v>82</v>
      </c>
      <c r="F33" s="24" t="s">
        <v>37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29">
        <v>103000</v>
      </c>
      <c r="C34" s="130"/>
      <c r="E34" s="27" t="s">
        <v>84</v>
      </c>
      <c r="F34" s="24" t="s">
        <v>39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2.6485054861899358E-3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64</v>
      </c>
      <c r="C37" s="98">
        <f t="shared" ref="C37:C49" si="2">IF(B$20=0,0,B37/B$20)</f>
        <v>8.2156611039794603E-2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148</v>
      </c>
      <c r="C38" s="6">
        <f t="shared" si="2"/>
        <v>0.18998716302952504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154</v>
      </c>
      <c r="C39" s="6">
        <f t="shared" si="2"/>
        <v>0.19768934531450577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147</v>
      </c>
      <c r="C40" s="6">
        <f t="shared" si="2"/>
        <v>0.18870346598202825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109</v>
      </c>
      <c r="C41" s="6">
        <f t="shared" si="2"/>
        <v>0.13992297817715019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68</v>
      </c>
      <c r="C42" s="6">
        <f t="shared" si="2"/>
        <v>8.7291399229781769E-2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35</v>
      </c>
      <c r="C43" s="6">
        <f t="shared" si="2"/>
        <v>4.4929396662387676E-2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22</v>
      </c>
      <c r="C44" s="6">
        <f t="shared" si="2"/>
        <v>2.8241335044929396E-2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14</v>
      </c>
      <c r="C45" s="6">
        <f t="shared" si="2"/>
        <v>1.7971758664955071E-2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10</v>
      </c>
      <c r="C46" s="6">
        <f t="shared" si="2"/>
        <v>1.2836970474967908E-2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2.5673940949935813E-3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6</v>
      </c>
      <c r="C49" s="9">
        <f t="shared" si="2"/>
        <v>7.7021822849807449E-3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8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82</v>
      </c>
      <c r="C2" s="134"/>
      <c r="E2" s="26" t="s">
        <v>66</v>
      </c>
      <c r="F2" s="23" t="s">
        <v>22</v>
      </c>
      <c r="G2" s="11">
        <v>172</v>
      </c>
      <c r="H2" s="87">
        <f>IF(B$20=0,0,G2/B$20)</f>
        <v>0.77828054298642535</v>
      </c>
      <c r="I2" s="57">
        <v>5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259.7560975609756</v>
      </c>
      <c r="Q2" s="76">
        <v>82</v>
      </c>
      <c r="R2" s="63">
        <v>21300</v>
      </c>
    </row>
    <row r="3" spans="1:18" x14ac:dyDescent="0.4">
      <c r="A3" s="19" t="s">
        <v>8</v>
      </c>
      <c r="B3" s="135">
        <v>681</v>
      </c>
      <c r="C3" s="136"/>
      <c r="E3" s="27" t="s">
        <v>72</v>
      </c>
      <c r="F3" s="24" t="s">
        <v>27</v>
      </c>
      <c r="G3" s="12">
        <v>126</v>
      </c>
      <c r="H3" s="88">
        <f>IF(B$20=0,0,G3/B$20)</f>
        <v>0.57013574660633481</v>
      </c>
      <c r="I3" s="58">
        <v>7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-597.46835443037969</v>
      </c>
      <c r="Q3" s="77">
        <v>79</v>
      </c>
      <c r="R3" s="64">
        <v>-47200</v>
      </c>
    </row>
    <row r="4" spans="1:18" x14ac:dyDescent="0.4">
      <c r="A4" s="19" t="s">
        <v>6</v>
      </c>
      <c r="B4" s="137">
        <v>157.09999999999997</v>
      </c>
      <c r="C4" s="138"/>
      <c r="E4" s="27" t="s">
        <v>64</v>
      </c>
      <c r="F4" s="24" t="s">
        <v>20</v>
      </c>
      <c r="G4" s="12">
        <v>87</v>
      </c>
      <c r="H4" s="88">
        <f>IF(B$20=0,0,G4/B$20)</f>
        <v>0.39366515837104071</v>
      </c>
      <c r="I4" s="58">
        <v>7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-487.34177215189874</v>
      </c>
      <c r="Q4" s="77">
        <v>79</v>
      </c>
      <c r="R4" s="64">
        <v>-38500</v>
      </c>
    </row>
    <row r="5" spans="1:18" x14ac:dyDescent="0.4">
      <c r="A5" s="19" t="s">
        <v>7</v>
      </c>
      <c r="B5" s="125">
        <f>IF(B$2=0,0,B$4/B$2)</f>
        <v>1.9158536585365848</v>
      </c>
      <c r="C5" s="126"/>
      <c r="E5" s="27" t="s">
        <v>159</v>
      </c>
      <c r="F5" s="24" t="s">
        <v>160</v>
      </c>
      <c r="G5" s="12">
        <v>80</v>
      </c>
      <c r="H5" s="88">
        <f>IF(B$20=0,0,G5/B$20)</f>
        <v>0.36199095022624433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855.26315789473688</v>
      </c>
      <c r="Q5" s="77">
        <v>76</v>
      </c>
      <c r="R5" s="64">
        <v>65000</v>
      </c>
    </row>
    <row r="6" spans="1:18" x14ac:dyDescent="0.4">
      <c r="A6" s="19" t="s">
        <v>196</v>
      </c>
      <c r="B6" s="129">
        <v>1778.0357725598371</v>
      </c>
      <c r="C6" s="130"/>
      <c r="E6" s="27" t="s">
        <v>68</v>
      </c>
      <c r="F6" s="24" t="s">
        <v>12</v>
      </c>
      <c r="G6" s="12">
        <v>66</v>
      </c>
      <c r="H6" s="88">
        <f>IF(B$20=0,0,G6/B$20)</f>
        <v>0.29864253393665158</v>
      </c>
      <c r="I6" s="58">
        <v>5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428.57142857142856</v>
      </c>
      <c r="Q6" s="77">
        <v>70</v>
      </c>
      <c r="R6" s="64">
        <v>30000</v>
      </c>
    </row>
    <row r="7" spans="1:18" x14ac:dyDescent="0.4">
      <c r="A7" s="19" t="s">
        <v>1</v>
      </c>
      <c r="B7" s="139">
        <f>IF(B$2=0,0,(B$8*1+B$9*2+B$10*3)/B$2)</f>
        <v>2.024390243902439</v>
      </c>
      <c r="C7" s="140"/>
      <c r="E7" s="27" t="s">
        <v>67</v>
      </c>
      <c r="F7" s="24" t="s">
        <v>23</v>
      </c>
      <c r="G7" s="12">
        <v>45</v>
      </c>
      <c r="H7" s="88">
        <f>IF(B$20=0,0,G7/B$20)</f>
        <v>0.20361990950226244</v>
      </c>
      <c r="I7" s="58">
        <v>8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121.66666666666667</v>
      </c>
      <c r="Q7" s="78">
        <v>60</v>
      </c>
      <c r="R7" s="65">
        <v>7300</v>
      </c>
    </row>
    <row r="8" spans="1:18" x14ac:dyDescent="0.4">
      <c r="A8" s="19" t="s">
        <v>2</v>
      </c>
      <c r="B8" s="12">
        <v>27</v>
      </c>
      <c r="C8" s="6">
        <f t="shared" ref="C8:C15" si="1">IF(B$2=0,0,B8/B$2)</f>
        <v>0.32926829268292684</v>
      </c>
      <c r="E8" s="27" t="s">
        <v>69</v>
      </c>
      <c r="F8" s="24" t="s">
        <v>24</v>
      </c>
      <c r="G8" s="12">
        <v>38</v>
      </c>
      <c r="H8" s="88">
        <f>IF(B$20=0,0,G8/B$20)</f>
        <v>0.17194570135746606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26</v>
      </c>
      <c r="C9" s="6">
        <f t="shared" si="1"/>
        <v>0.31707317073170732</v>
      </c>
      <c r="E9" s="27" t="s">
        <v>89</v>
      </c>
      <c r="F9" s="24" t="s">
        <v>44</v>
      </c>
      <c r="G9" s="12">
        <v>32</v>
      </c>
      <c r="H9" s="88">
        <f>IF(B$20=0,0,G9/B$20)</f>
        <v>0.14479638009049775</v>
      </c>
      <c r="I9" s="58">
        <v>6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29</v>
      </c>
      <c r="C10" s="7">
        <f t="shared" si="1"/>
        <v>0.35365853658536583</v>
      </c>
      <c r="E10" s="27" t="s">
        <v>70</v>
      </c>
      <c r="F10" s="24" t="s">
        <v>25</v>
      </c>
      <c r="G10" s="12">
        <v>31</v>
      </c>
      <c r="H10" s="88">
        <f>IF(B$20=0,0,G10/B$20)</f>
        <v>0.14027149321266968</v>
      </c>
      <c r="I10" s="58">
        <v>1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7.9724137931034482</v>
      </c>
      <c r="Q10" s="76">
        <v>29</v>
      </c>
      <c r="R10" s="67">
        <v>231.2</v>
      </c>
    </row>
    <row r="11" spans="1:18" x14ac:dyDescent="0.4">
      <c r="A11" s="20" t="s">
        <v>184</v>
      </c>
      <c r="B11" s="109">
        <f>IF(B8=0,0,C11/B8)</f>
        <v>38.737037037037041</v>
      </c>
      <c r="C11" s="110">
        <v>1045.9000000000001</v>
      </c>
      <c r="E11" s="27" t="s">
        <v>65</v>
      </c>
      <c r="F11" s="24" t="s">
        <v>21</v>
      </c>
      <c r="G11" s="12">
        <v>16</v>
      </c>
      <c r="H11" s="88">
        <f>IF(B$20=0,0,G11/B$20)</f>
        <v>7.2398190045248875E-2</v>
      </c>
      <c r="I11" s="58">
        <v>8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-6.8033333333333328</v>
      </c>
      <c r="Q11" s="77">
        <v>30</v>
      </c>
      <c r="R11" s="68">
        <v>-204.1</v>
      </c>
    </row>
    <row r="12" spans="1:18" x14ac:dyDescent="0.4">
      <c r="A12" s="20" t="s">
        <v>185</v>
      </c>
      <c r="B12" s="109">
        <f>IF(B9=0,0,C12/B9)</f>
        <v>-1.7307692307692302</v>
      </c>
      <c r="C12" s="110">
        <v>-44.999999999999986</v>
      </c>
      <c r="E12" s="27" t="s">
        <v>86</v>
      </c>
      <c r="F12" s="24" t="s">
        <v>41</v>
      </c>
      <c r="G12" s="12">
        <v>15</v>
      </c>
      <c r="H12" s="88">
        <f>IF(B$20=0,0,G12/B$20)</f>
        <v>6.7873303167420809E-2</v>
      </c>
      <c r="I12" s="58">
        <v>5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5.6521739130434794</v>
      </c>
      <c r="Q12" s="78">
        <v>23</v>
      </c>
      <c r="R12" s="69">
        <v>130.00000000000003</v>
      </c>
    </row>
    <row r="13" spans="1:18" x14ac:dyDescent="0.4">
      <c r="A13" s="20" t="s">
        <v>186</v>
      </c>
      <c r="B13" s="109">
        <f>IF(B10=0,0,C13/B10)</f>
        <v>-29.096551724137932</v>
      </c>
      <c r="C13" s="110">
        <v>-843.80000000000007</v>
      </c>
      <c r="E13" s="27" t="s">
        <v>83</v>
      </c>
      <c r="F13" s="24" t="s">
        <v>38</v>
      </c>
      <c r="G13" s="12">
        <v>12</v>
      </c>
      <c r="H13" s="88">
        <f>IF(B$20=0,0,G13/B$20)</f>
        <v>5.4298642533936653E-2</v>
      </c>
      <c r="I13" s="58">
        <v>4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2.6365720273766251</v>
      </c>
      <c r="C14" s="126"/>
      <c r="E14" s="27" t="s">
        <v>71</v>
      </c>
      <c r="F14" s="24" t="s">
        <v>26</v>
      </c>
      <c r="G14" s="12">
        <v>11</v>
      </c>
      <c r="H14" s="88">
        <f>IF(B$20=0,0,G14/B$20)</f>
        <v>4.9773755656108594E-2</v>
      </c>
      <c r="I14" s="58">
        <v>6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7.3170731707317069E-2</v>
      </c>
      <c r="E15" s="27" t="s">
        <v>155</v>
      </c>
      <c r="F15" s="24" t="s">
        <v>156</v>
      </c>
      <c r="G15" s="12">
        <v>10</v>
      </c>
      <c r="H15" s="88">
        <f>IF(B$20=0,0,G15/B$20)</f>
        <v>4.5248868778280542E-2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 t="shared" ref="P15:P22" si="2">IF(Q15=0,0,R15/Q15)</f>
        <v>28.9</v>
      </c>
      <c r="Q15" s="76">
        <v>2</v>
      </c>
      <c r="R15" s="67">
        <v>57.8</v>
      </c>
    </row>
    <row r="16" spans="1:18" x14ac:dyDescent="0.4">
      <c r="A16" s="22" t="s">
        <v>121</v>
      </c>
      <c r="B16" s="15">
        <v>165</v>
      </c>
      <c r="C16" s="10">
        <f>IF(B$3=0,0,B16/B$3)</f>
        <v>0.24229074889867841</v>
      </c>
      <c r="E16" s="27" t="s">
        <v>91</v>
      </c>
      <c r="F16" s="24" t="s">
        <v>46</v>
      </c>
      <c r="G16" s="12">
        <v>6</v>
      </c>
      <c r="H16" s="88">
        <f>IF(B$20=0,0,G16/B$20)</f>
        <v>2.7149321266968326E-2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 t="shared" si="2"/>
        <v>11.879999999999999</v>
      </c>
      <c r="Q16" s="77">
        <v>10</v>
      </c>
      <c r="R16" s="68">
        <v>118.79999999999998</v>
      </c>
    </row>
    <row r="17" spans="1:18" x14ac:dyDescent="0.4">
      <c r="A17" s="19" t="s">
        <v>118</v>
      </c>
      <c r="B17" s="12">
        <v>145</v>
      </c>
      <c r="C17" s="6">
        <f>IF(B$3=0,0,B17/B$3)</f>
        <v>0.21292217327459617</v>
      </c>
      <c r="E17" s="27" t="s">
        <v>81</v>
      </c>
      <c r="F17" s="24" t="s">
        <v>36</v>
      </c>
      <c r="G17" s="12">
        <v>4</v>
      </c>
      <c r="H17" s="88">
        <f>IF(B$20=0,0,G17/B$20)</f>
        <v>1.8099547511312219E-2</v>
      </c>
      <c r="I17" s="58">
        <v>10</v>
      </c>
      <c r="K17" s="74">
        <v>15</v>
      </c>
      <c r="L17" s="119">
        <v>190.9</v>
      </c>
      <c r="M17" s="117">
        <v>1854.6511469287639</v>
      </c>
      <c r="O17" s="74" t="s">
        <v>163</v>
      </c>
      <c r="P17" s="83">
        <f t="shared" si="2"/>
        <v>10.658823529411768</v>
      </c>
      <c r="Q17" s="77">
        <v>34</v>
      </c>
      <c r="R17" s="68">
        <v>362.40000000000009</v>
      </c>
    </row>
    <row r="18" spans="1:18" x14ac:dyDescent="0.4">
      <c r="A18" s="18" t="s">
        <v>123</v>
      </c>
      <c r="B18" s="11">
        <f>B24</f>
        <v>94</v>
      </c>
      <c r="C18" s="5">
        <f>IF(B$16=0,0,B18/B$16)</f>
        <v>0.5696969696969697</v>
      </c>
      <c r="E18" s="27" t="s">
        <v>73</v>
      </c>
      <c r="F18" s="24" t="s">
        <v>28</v>
      </c>
      <c r="G18" s="12">
        <v>3</v>
      </c>
      <c r="H18" s="88">
        <f>IF(B$20=0,0,G18/B$20)</f>
        <v>1.3574660633484163E-2</v>
      </c>
      <c r="I18" s="58">
        <v>2</v>
      </c>
      <c r="K18" s="74">
        <v>16</v>
      </c>
      <c r="L18" s="119">
        <v>164.20000000000002</v>
      </c>
      <c r="M18" s="117">
        <v>1848.4372400471914</v>
      </c>
      <c r="O18" s="74" t="s">
        <v>190</v>
      </c>
      <c r="P18" s="83">
        <f t="shared" si="2"/>
        <v>6.625</v>
      </c>
      <c r="Q18" s="77">
        <v>20</v>
      </c>
      <c r="R18" s="68">
        <v>132.5</v>
      </c>
    </row>
    <row r="19" spans="1:18" x14ac:dyDescent="0.4">
      <c r="A19" s="18" t="s">
        <v>124</v>
      </c>
      <c r="B19" s="11">
        <f>B25</f>
        <v>71</v>
      </c>
      <c r="C19" s="5">
        <f>IF(B$17=0,0,B19/B$17)</f>
        <v>0.48965517241379308</v>
      </c>
      <c r="E19" s="27" t="s">
        <v>78</v>
      </c>
      <c r="F19" s="24" t="s">
        <v>33</v>
      </c>
      <c r="G19" s="12">
        <v>3</v>
      </c>
      <c r="H19" s="88">
        <f>IF(B$20=0,0,G19/B$20)</f>
        <v>1.3574660633484163E-2</v>
      </c>
      <c r="I19" s="58">
        <v>8</v>
      </c>
      <c r="K19" s="74">
        <v>17</v>
      </c>
      <c r="L19" s="119">
        <v>164.3</v>
      </c>
      <c r="M19" s="117">
        <v>1846.8986166069083</v>
      </c>
      <c r="O19" s="74" t="s">
        <v>211</v>
      </c>
      <c r="P19" s="83">
        <f t="shared" si="2"/>
        <v>4.1523809523809527</v>
      </c>
      <c r="Q19" s="77">
        <v>21</v>
      </c>
      <c r="R19" s="68">
        <v>87.2</v>
      </c>
    </row>
    <row r="20" spans="1:18" x14ac:dyDescent="0.4">
      <c r="A20" s="18" t="s">
        <v>10</v>
      </c>
      <c r="B20" s="11">
        <f>B23+B22</f>
        <v>221</v>
      </c>
      <c r="C20" s="5">
        <f>IF(B$3=0,0,B20/B$3)</f>
        <v>0.32452276064610869</v>
      </c>
      <c r="E20" s="27" t="s">
        <v>75</v>
      </c>
      <c r="F20" s="24" t="s">
        <v>30</v>
      </c>
      <c r="G20" s="12">
        <v>1</v>
      </c>
      <c r="H20" s="88">
        <f>IF(B$20=0,0,G20/B$20)</f>
        <v>4.5248868778280547E-3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 t="shared" si="2"/>
        <v>-3.45</v>
      </c>
      <c r="Q20" s="77">
        <v>34</v>
      </c>
      <c r="R20" s="68">
        <v>-117.30000000000001</v>
      </c>
    </row>
    <row r="21" spans="1:18" x14ac:dyDescent="0.4">
      <c r="A21" s="19" t="s">
        <v>13</v>
      </c>
      <c r="B21" s="12">
        <v>125</v>
      </c>
      <c r="C21" s="6">
        <f>IF(B$3=0,0,B21/B$3)</f>
        <v>0.18355359765051396</v>
      </c>
      <c r="E21" s="27" t="s">
        <v>79</v>
      </c>
      <c r="F21" s="24" t="s">
        <v>34</v>
      </c>
      <c r="G21" s="12">
        <v>1</v>
      </c>
      <c r="H21" s="88">
        <f>IF(B$20=0,0,G21/B$20)</f>
        <v>4.5248868778280547E-3</v>
      </c>
      <c r="I21" s="58">
        <v>6</v>
      </c>
      <c r="K21" s="74">
        <v>19</v>
      </c>
      <c r="L21" s="119">
        <v>174.6</v>
      </c>
      <c r="M21" s="117">
        <v>1845.7365495578231</v>
      </c>
      <c r="O21" s="74" t="s">
        <v>192</v>
      </c>
      <c r="P21" s="83">
        <f t="shared" si="2"/>
        <v>-3.7722222222222226</v>
      </c>
      <c r="Q21" s="77">
        <v>36</v>
      </c>
      <c r="R21" s="68">
        <v>-135.80000000000001</v>
      </c>
    </row>
    <row r="22" spans="1:18" x14ac:dyDescent="0.4">
      <c r="A22" s="19" t="s">
        <v>12</v>
      </c>
      <c r="B22" s="12">
        <v>104</v>
      </c>
      <c r="C22" s="6">
        <f>IF(B$20=0,0,B22/B$20)</f>
        <v>0.47058823529411764</v>
      </c>
      <c r="E22" s="27" t="s">
        <v>80</v>
      </c>
      <c r="F22" s="24" t="s">
        <v>35</v>
      </c>
      <c r="G22" s="12">
        <v>1</v>
      </c>
      <c r="H22" s="88">
        <f>IF(B$20=0,0,G22/B$20)</f>
        <v>4.5248868778280547E-3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195</v>
      </c>
      <c r="P22" s="83">
        <f t="shared" si="2"/>
        <v>-4.8999999999999986</v>
      </c>
      <c r="Q22" s="77">
        <v>7</v>
      </c>
      <c r="R22" s="68">
        <v>-34.29999999999999</v>
      </c>
    </row>
    <row r="23" spans="1:18" x14ac:dyDescent="0.4">
      <c r="A23" s="19" t="s">
        <v>11</v>
      </c>
      <c r="B23" s="12">
        <v>117</v>
      </c>
      <c r="C23" s="6">
        <f>IF(B$20=0,0,B23/B$20)</f>
        <v>0.52941176470588236</v>
      </c>
      <c r="E23" s="27" t="s">
        <v>85</v>
      </c>
      <c r="F23" s="24" t="s">
        <v>40</v>
      </c>
      <c r="G23" s="12">
        <v>1</v>
      </c>
      <c r="H23" s="88">
        <f>IF(B$20=0,0,G23/B$20)</f>
        <v>4.5248868778280547E-3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">
      <c r="A24" s="19" t="s">
        <v>183</v>
      </c>
      <c r="B24" s="12">
        <v>94</v>
      </c>
      <c r="C24" s="6">
        <f>IF(B$20=0,0,B24/B$20)</f>
        <v>0.42533936651583709</v>
      </c>
      <c r="E24" s="27" t="s">
        <v>90</v>
      </c>
      <c r="F24" s="24" t="s">
        <v>45</v>
      </c>
      <c r="G24" s="12">
        <v>1</v>
      </c>
      <c r="H24" s="88">
        <f>IF(B$20=0,0,G24/B$20)</f>
        <v>4.5248868778280547E-3</v>
      </c>
      <c r="I24" s="58">
        <v>1</v>
      </c>
      <c r="K24" s="74">
        <v>22</v>
      </c>
      <c r="L24" s="119">
        <v>106.3</v>
      </c>
      <c r="M24" s="117">
        <v>1829.4799049660398</v>
      </c>
    </row>
    <row r="25" spans="1:18" x14ac:dyDescent="0.4">
      <c r="A25" s="19" t="s">
        <v>181</v>
      </c>
      <c r="B25" s="12">
        <v>71</v>
      </c>
      <c r="C25" s="6">
        <f>IF(B$20=0,0,B25/B$20)</f>
        <v>0.32126696832579188</v>
      </c>
      <c r="E25" s="27" t="s">
        <v>92</v>
      </c>
      <c r="F25" s="24" t="s">
        <v>47</v>
      </c>
      <c r="G25" s="12">
        <v>1</v>
      </c>
      <c r="H25" s="88">
        <f>IF(B$20=0,0,G25/B$20)</f>
        <v>4.5248868778280547E-3</v>
      </c>
      <c r="I25" s="58">
        <v>2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56</v>
      </c>
      <c r="C26" s="6">
        <f>IF(B$20=0,0,B26/B$20)</f>
        <v>0.25339366515837103</v>
      </c>
      <c r="E26" s="27" t="s">
        <v>74</v>
      </c>
      <c r="F26" s="24" t="s">
        <v>29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8244.7963800904981</v>
      </c>
      <c r="C27" s="8">
        <v>1822100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8436.6666666666661</v>
      </c>
      <c r="C28" s="96">
        <v>1265500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7839.4366197183099</v>
      </c>
      <c r="C29" s="96">
        <v>556600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-7146.4</v>
      </c>
      <c r="C30" s="96">
        <v>-893300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3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18</v>
      </c>
      <c r="C32" s="90">
        <v>18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1.4684287812041115E-3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6.3348416289592757E-2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38</v>
      </c>
      <c r="C38" s="6">
        <f t="shared" si="3"/>
        <v>0.17194570135746606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46</v>
      </c>
      <c r="C39" s="6">
        <f t="shared" si="3"/>
        <v>0.20814479638009051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42</v>
      </c>
      <c r="C40" s="6">
        <f t="shared" si="3"/>
        <v>0.19004524886877827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36</v>
      </c>
      <c r="C41" s="6">
        <f t="shared" si="3"/>
        <v>0.16289592760180996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25</v>
      </c>
      <c r="C42" s="6">
        <f t="shared" si="3"/>
        <v>0.11312217194570136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8</v>
      </c>
      <c r="C43" s="6">
        <f t="shared" si="3"/>
        <v>3.6199095022624438E-2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3</v>
      </c>
      <c r="C44" s="6">
        <f t="shared" si="3"/>
        <v>1.3574660633484163E-2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3"/>
        <v>2.2624434389140271E-2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3"/>
        <v>9.0497737556561094E-3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3"/>
        <v>4.5248868778280547E-3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3"/>
        <v>4.5248868778280547E-3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</sheetData>
  <sortState xmlns:xlrd2="http://schemas.microsoft.com/office/spreadsheetml/2017/richdata2" ref="E2:I85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43</v>
      </c>
      <c r="C2" s="134"/>
      <c r="E2" s="26" t="s">
        <v>66</v>
      </c>
      <c r="F2" s="23" t="s">
        <v>22</v>
      </c>
      <c r="G2" s="11">
        <v>92</v>
      </c>
      <c r="H2" s="87">
        <f>IF(B$20=0,0,G2/B$20)</f>
        <v>0.93877551020408168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1848.8372093023256</v>
      </c>
      <c r="Q2" s="76">
        <v>43</v>
      </c>
      <c r="R2" s="63">
        <v>79500</v>
      </c>
    </row>
    <row r="3" spans="1:18" x14ac:dyDescent="0.4">
      <c r="A3" s="19" t="s">
        <v>8</v>
      </c>
      <c r="B3" s="135">
        <v>379</v>
      </c>
      <c r="C3" s="136"/>
      <c r="E3" s="27" t="s">
        <v>72</v>
      </c>
      <c r="F3" s="24" t="s">
        <v>27</v>
      </c>
      <c r="G3" s="12">
        <v>55</v>
      </c>
      <c r="H3" s="88">
        <f>IF(B$20=0,0,G3/B$20)</f>
        <v>0.56122448979591832</v>
      </c>
      <c r="I3" s="58">
        <v>8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-682.92682926829264</v>
      </c>
      <c r="Q3" s="77">
        <v>41</v>
      </c>
      <c r="R3" s="64">
        <v>-28000</v>
      </c>
    </row>
    <row r="4" spans="1:18" x14ac:dyDescent="0.4">
      <c r="A4" s="19" t="s">
        <v>6</v>
      </c>
      <c r="B4" s="137">
        <v>-202.5</v>
      </c>
      <c r="C4" s="138"/>
      <c r="E4" s="27" t="s">
        <v>64</v>
      </c>
      <c r="F4" s="24" t="s">
        <v>20</v>
      </c>
      <c r="G4" s="12">
        <v>42</v>
      </c>
      <c r="H4" s="88">
        <f>IF(B$20=0,0,G4/B$20)</f>
        <v>0.42857142857142855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-485.36585365853659</v>
      </c>
      <c r="Q4" s="77">
        <v>41</v>
      </c>
      <c r="R4" s="64">
        <v>-19900</v>
      </c>
    </row>
    <row r="5" spans="1:18" x14ac:dyDescent="0.4">
      <c r="A5" s="19" t="s">
        <v>7</v>
      </c>
      <c r="B5" s="125">
        <f>IF(B$2=0,0,B$4/B$2)</f>
        <v>-4.7093023255813957</v>
      </c>
      <c r="C5" s="126"/>
      <c r="E5" s="27" t="s">
        <v>159</v>
      </c>
      <c r="F5" s="24" t="s">
        <v>160</v>
      </c>
      <c r="G5" s="12">
        <v>42</v>
      </c>
      <c r="H5" s="88">
        <f>IF(B$20=0,0,G5/B$20)</f>
        <v>0.42857142857142855</v>
      </c>
      <c r="I5" s="58">
        <v>4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-325</v>
      </c>
      <c r="Q5" s="77">
        <v>40</v>
      </c>
      <c r="R5" s="64">
        <v>-13000</v>
      </c>
    </row>
    <row r="6" spans="1:18" x14ac:dyDescent="0.4">
      <c r="A6" s="19" t="s">
        <v>196</v>
      </c>
      <c r="B6" s="129">
        <v>1612.7620181342795</v>
      </c>
      <c r="C6" s="130"/>
      <c r="E6" s="27" t="s">
        <v>68</v>
      </c>
      <c r="F6" s="24" t="s">
        <v>12</v>
      </c>
      <c r="G6" s="12">
        <v>33</v>
      </c>
      <c r="H6" s="88">
        <f>IF(B$20=0,0,G6/B$20)</f>
        <v>0.33673469387755101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-570.27027027027032</v>
      </c>
      <c r="Q6" s="77">
        <v>37</v>
      </c>
      <c r="R6" s="64">
        <v>-21100</v>
      </c>
    </row>
    <row r="7" spans="1:18" x14ac:dyDescent="0.4">
      <c r="A7" s="19" t="s">
        <v>1</v>
      </c>
      <c r="B7" s="139">
        <f>IF(B$2=0,0,(B$8*1+B$9*2+B$10*3)/B$2)</f>
        <v>2.1162790697674421</v>
      </c>
      <c r="C7" s="140"/>
      <c r="E7" s="27" t="s">
        <v>67</v>
      </c>
      <c r="F7" s="24" t="s">
        <v>23</v>
      </c>
      <c r="G7" s="12">
        <v>25</v>
      </c>
      <c r="H7" s="88">
        <f>IF(B$20=0,0,G7/B$20)</f>
        <v>0.25510204081632654</v>
      </c>
      <c r="I7" s="58">
        <v>5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-1016.1290322580645</v>
      </c>
      <c r="Q7" s="78">
        <v>31</v>
      </c>
      <c r="R7" s="65">
        <v>-31500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0.2558139534883721</v>
      </c>
      <c r="E8" s="27" t="s">
        <v>89</v>
      </c>
      <c r="F8" s="24" t="s">
        <v>44</v>
      </c>
      <c r="G8" s="12">
        <v>19</v>
      </c>
      <c r="H8" s="88">
        <f>IF(B$20=0,0,G8/B$20)</f>
        <v>0.19387755102040816</v>
      </c>
      <c r="I8" s="58">
        <v>4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0.37209302325581395</v>
      </c>
      <c r="E9" s="27" t="s">
        <v>69</v>
      </c>
      <c r="F9" s="24" t="s">
        <v>24</v>
      </c>
      <c r="G9" s="12">
        <v>11</v>
      </c>
      <c r="H9" s="88">
        <f>IF(B$20=0,0,G9/B$20)</f>
        <v>0.11224489795918367</v>
      </c>
      <c r="I9" s="58">
        <v>5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16</v>
      </c>
      <c r="C10" s="7">
        <f t="shared" si="1"/>
        <v>0.37209302325581395</v>
      </c>
      <c r="E10" s="27" t="s">
        <v>65</v>
      </c>
      <c r="F10" s="24" t="s">
        <v>21</v>
      </c>
      <c r="G10" s="12">
        <v>9</v>
      </c>
      <c r="H10" s="88">
        <f>IF(B$20=0,0,G10/B$20)</f>
        <v>9.1836734693877556E-2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-5.6611111111111114</v>
      </c>
      <c r="Q10" s="76">
        <v>18</v>
      </c>
      <c r="R10" s="67">
        <v>-101.9</v>
      </c>
    </row>
    <row r="11" spans="1:18" x14ac:dyDescent="0.4">
      <c r="A11" s="20" t="s">
        <v>184</v>
      </c>
      <c r="B11" s="109">
        <f>IF(B8=0,0,C11/B8)</f>
        <v>36.518181818181809</v>
      </c>
      <c r="C11" s="110">
        <v>401.69999999999993</v>
      </c>
      <c r="E11" s="27" t="s">
        <v>70</v>
      </c>
      <c r="F11" s="24" t="s">
        <v>25</v>
      </c>
      <c r="G11" s="12">
        <v>9</v>
      </c>
      <c r="H11" s="88">
        <f>IF(B$20=0,0,G11/B$20)</f>
        <v>9.1836734693877556E-2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-2.200000000000002</v>
      </c>
      <c r="Q11" s="77">
        <v>11</v>
      </c>
      <c r="R11" s="68">
        <v>-24.200000000000021</v>
      </c>
    </row>
    <row r="12" spans="1:18" x14ac:dyDescent="0.4">
      <c r="A12" s="20" t="s">
        <v>185</v>
      </c>
      <c r="B12" s="109">
        <f>IF(B9=0,0,C12/B9)</f>
        <v>1.6687499999999997</v>
      </c>
      <c r="C12" s="110">
        <v>26.699999999999996</v>
      </c>
      <c r="E12" s="27" t="s">
        <v>71</v>
      </c>
      <c r="F12" s="24" t="s">
        <v>26</v>
      </c>
      <c r="G12" s="12">
        <v>7</v>
      </c>
      <c r="H12" s="88">
        <f>IF(B$20=0,0,G12/B$20)</f>
        <v>7.1428571428571425E-2</v>
      </c>
      <c r="I12" s="58">
        <v>3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-5.4571428571428573</v>
      </c>
      <c r="Q12" s="78">
        <v>14</v>
      </c>
      <c r="R12" s="69">
        <v>-76.400000000000006</v>
      </c>
    </row>
    <row r="13" spans="1:18" x14ac:dyDescent="0.4">
      <c r="A13" s="20" t="s">
        <v>186</v>
      </c>
      <c r="B13" s="109">
        <f>IF(B10=0,0,C13/B10)</f>
        <v>-39.431250000000006</v>
      </c>
      <c r="C13" s="110">
        <v>-630.90000000000009</v>
      </c>
      <c r="E13" s="27" t="s">
        <v>86</v>
      </c>
      <c r="F13" s="24" t="s">
        <v>41</v>
      </c>
      <c r="G13" s="12">
        <v>7</v>
      </c>
      <c r="H13" s="88">
        <f>IF(B$20=0,0,G13/B$20)</f>
        <v>7.1428571428571425E-2</v>
      </c>
      <c r="I13" s="58">
        <v>2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-0.41477272727273135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5.1020408163265307E-2</v>
      </c>
      <c r="I14" s="58">
        <v>2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6</v>
      </c>
      <c r="C15" s="9">
        <f t="shared" si="1"/>
        <v>0.13953488372093023</v>
      </c>
      <c r="E15" s="27" t="s">
        <v>83</v>
      </c>
      <c r="F15" s="24" t="s">
        <v>38</v>
      </c>
      <c r="G15" s="12">
        <v>4</v>
      </c>
      <c r="H15" s="88">
        <f>IF(B$20=0,0,G15/B$20)</f>
        <v>4.0816326530612242E-2</v>
      </c>
      <c r="I15" s="58">
        <v>6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100</v>
      </c>
      <c r="C16" s="10">
        <f>IF(B$3=0,0,B16/B$3)</f>
        <v>0.26385224274406333</v>
      </c>
      <c r="E16" s="27" t="s">
        <v>78</v>
      </c>
      <c r="F16" s="24" t="s">
        <v>33</v>
      </c>
      <c r="G16" s="12">
        <v>3</v>
      </c>
      <c r="H16" s="88">
        <f>IF(B$20=0,0,G16/B$20)</f>
        <v>3.0612244897959183E-2</v>
      </c>
      <c r="I16" s="58">
        <v>5</v>
      </c>
      <c r="K16" s="74">
        <v>14</v>
      </c>
      <c r="L16" s="119">
        <v>-125.80000000000004</v>
      </c>
      <c r="M16" s="117">
        <v>1630.1668189337324</v>
      </c>
      <c r="O16" s="74" t="s">
        <v>190</v>
      </c>
      <c r="P16" s="83">
        <f>IF(Q16=0,0,R16/Q16)</f>
        <v>-0.15714285714285556</v>
      </c>
      <c r="Q16" s="77">
        <v>7</v>
      </c>
      <c r="R16" s="68">
        <v>-1.099999999999989</v>
      </c>
    </row>
    <row r="17" spans="1:18" x14ac:dyDescent="0.4">
      <c r="A17" s="19" t="s">
        <v>118</v>
      </c>
      <c r="B17" s="12">
        <v>87</v>
      </c>
      <c r="C17" s="6">
        <f>IF(B$3=0,0,B17/B$3)</f>
        <v>0.22955145118733508</v>
      </c>
      <c r="E17" s="27" t="s">
        <v>155</v>
      </c>
      <c r="F17" s="24" t="s">
        <v>156</v>
      </c>
      <c r="G17" s="12">
        <v>3</v>
      </c>
      <c r="H17" s="88">
        <f>IF(B$20=0,0,G17/B$20)</f>
        <v>3.0612244897959183E-2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189</v>
      </c>
      <c r="P17" s="83">
        <f>IF(Q17=0,0,R17/Q17)</f>
        <v>-7.4307692307692301</v>
      </c>
      <c r="Q17" s="77">
        <v>13</v>
      </c>
      <c r="R17" s="68">
        <v>-96.6</v>
      </c>
    </row>
    <row r="18" spans="1:18" x14ac:dyDescent="0.4">
      <c r="A18" s="18" t="s">
        <v>123</v>
      </c>
      <c r="B18" s="11">
        <f>B24</f>
        <v>44</v>
      </c>
      <c r="C18" s="5">
        <f>IF(B$16=0,0,B18/B$16)</f>
        <v>0.44</v>
      </c>
      <c r="E18" s="27" t="s">
        <v>73</v>
      </c>
      <c r="F18" s="24" t="s">
        <v>28</v>
      </c>
      <c r="G18" s="12">
        <v>1</v>
      </c>
      <c r="H18" s="88">
        <f>IF(B$20=0,0,G18/B$20)</f>
        <v>1.020408163265306E-2</v>
      </c>
      <c r="I18" s="58">
        <v>3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-10.658823529411768</v>
      </c>
      <c r="Q18" s="77">
        <v>34</v>
      </c>
      <c r="R18" s="68">
        <v>-362.40000000000009</v>
      </c>
    </row>
    <row r="19" spans="1:18" x14ac:dyDescent="0.4">
      <c r="A19" s="18" t="s">
        <v>124</v>
      </c>
      <c r="B19" s="11">
        <f>B25</f>
        <v>28</v>
      </c>
      <c r="C19" s="5">
        <f>IF(B$17=0,0,B19/B$17)</f>
        <v>0.32183908045977011</v>
      </c>
      <c r="E19" s="27" t="s">
        <v>79</v>
      </c>
      <c r="F19" s="24" t="s">
        <v>34</v>
      </c>
      <c r="G19" s="12">
        <v>1</v>
      </c>
      <c r="H19" s="88">
        <f>IF(B$20=0,0,G19/B$20)</f>
        <v>1.020408163265306E-2</v>
      </c>
      <c r="I19" s="58">
        <v>5</v>
      </c>
      <c r="K19" s="74">
        <v>17</v>
      </c>
      <c r="L19" s="119">
        <v>-91.000000000000014</v>
      </c>
      <c r="M19" s="117">
        <v>1635.9985155013371</v>
      </c>
      <c r="O19" s="74" t="s">
        <v>211</v>
      </c>
      <c r="P19" s="83">
        <f>IF(Q19=0,0,R19/Q19)</f>
        <v>-13.12857142857143</v>
      </c>
      <c r="Q19" s="77">
        <v>14</v>
      </c>
      <c r="R19" s="68">
        <v>-183.8</v>
      </c>
    </row>
    <row r="20" spans="1:18" x14ac:dyDescent="0.4">
      <c r="A20" s="18" t="s">
        <v>10</v>
      </c>
      <c r="B20" s="11">
        <f>B23+B22</f>
        <v>98</v>
      </c>
      <c r="C20" s="5">
        <f>IF(B$3=0,0,B20/B$3)</f>
        <v>0.25857519788918204</v>
      </c>
      <c r="E20" s="27" t="s">
        <v>85</v>
      </c>
      <c r="F20" s="24" t="s">
        <v>40</v>
      </c>
      <c r="G20" s="12">
        <v>1</v>
      </c>
      <c r="H20" s="88">
        <f>IF(B$20=0,0,G20/B$20)</f>
        <v>1.020408163265306E-2</v>
      </c>
      <c r="I20" s="58">
        <v>2</v>
      </c>
      <c r="K20" s="74">
        <v>18</v>
      </c>
      <c r="L20" s="119">
        <v>-91.000000000000014</v>
      </c>
      <c r="M20" s="117">
        <v>1635.974524408329</v>
      </c>
      <c r="O20" s="74" t="s">
        <v>192</v>
      </c>
      <c r="P20" s="83">
        <f>IF(Q20=0,0,R20/Q20)</f>
        <v>-14.800000000000002</v>
      </c>
      <c r="Q20" s="77">
        <v>9</v>
      </c>
      <c r="R20" s="68">
        <v>-133.20000000000002</v>
      </c>
    </row>
    <row r="21" spans="1:18" x14ac:dyDescent="0.4">
      <c r="A21" s="19" t="s">
        <v>13</v>
      </c>
      <c r="B21" s="12">
        <v>73</v>
      </c>
      <c r="C21" s="6">
        <f>IF(B$3=0,0,B21/B$3)</f>
        <v>0.19261213720316622</v>
      </c>
      <c r="E21" s="27" t="s">
        <v>88</v>
      </c>
      <c r="F21" s="24" t="s">
        <v>43</v>
      </c>
      <c r="G21" s="12">
        <v>1</v>
      </c>
      <c r="H21" s="88">
        <f>IF(B$20=0,0,G21/B$20)</f>
        <v>1.020408163265306E-2</v>
      </c>
      <c r="I21" s="58">
        <v>1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>IF(Q21=0,0,R21/Q21)</f>
        <v>-39.85</v>
      </c>
      <c r="Q21" s="77">
        <v>2</v>
      </c>
      <c r="R21" s="68">
        <v>-79.7</v>
      </c>
    </row>
    <row r="22" spans="1:18" x14ac:dyDescent="0.4">
      <c r="A22" s="19" t="s">
        <v>12</v>
      </c>
      <c r="B22" s="12">
        <v>43</v>
      </c>
      <c r="C22" s="6">
        <f>IF(B$20=0,0,B22/B$20)</f>
        <v>0.43877551020408162</v>
      </c>
      <c r="E22" s="27" t="s">
        <v>91</v>
      </c>
      <c r="F22" s="24" t="s">
        <v>46</v>
      </c>
      <c r="G22" s="12">
        <v>1</v>
      </c>
      <c r="H22" s="88">
        <f>IF(B$20=0,0,G22/B$20)</f>
        <v>1.020408163265306E-2</v>
      </c>
      <c r="I22" s="58">
        <v>5</v>
      </c>
      <c r="K22" s="74">
        <v>20</v>
      </c>
      <c r="L22" s="119">
        <v>-101.2</v>
      </c>
      <c r="M22" s="117">
        <v>1634.1175651983078</v>
      </c>
    </row>
    <row r="23" spans="1:18" x14ac:dyDescent="0.4">
      <c r="A23" s="19" t="s">
        <v>11</v>
      </c>
      <c r="B23" s="12">
        <v>55</v>
      </c>
      <c r="C23" s="6">
        <f>IF(B$20=0,0,B23/B$20)</f>
        <v>0.56122448979591832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-99.3</v>
      </c>
      <c r="M23" s="117">
        <v>1634.416859807118</v>
      </c>
    </row>
    <row r="24" spans="1:18" x14ac:dyDescent="0.4">
      <c r="A24" s="19" t="s">
        <v>183</v>
      </c>
      <c r="B24" s="12">
        <v>44</v>
      </c>
      <c r="C24" s="6">
        <f>IF(B$20=0,0,B24/B$20)</f>
        <v>0.44897959183673469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-95.2</v>
      </c>
      <c r="M24" s="117">
        <v>1635.1103586482752</v>
      </c>
    </row>
    <row r="25" spans="1:18" x14ac:dyDescent="0.4">
      <c r="A25" s="19" t="s">
        <v>181</v>
      </c>
      <c r="B25" s="12">
        <v>28</v>
      </c>
      <c r="C25" s="6">
        <f>IF(B$20=0,0,B25/B$20)</f>
        <v>0.2857142857142857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26</v>
      </c>
      <c r="C26" s="6">
        <f>IF(B$20=0,0,B26/B$20)</f>
        <v>0.26530612244897961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8946.9387755102034</v>
      </c>
      <c r="C27" s="8">
        <v>876800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9460</v>
      </c>
      <c r="C28" s="96">
        <v>662200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7664.2857142857147</v>
      </c>
      <c r="C29" s="96">
        <v>214600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-8212.3287671232883</v>
      </c>
      <c r="C30" s="96">
        <v>-599500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19</v>
      </c>
      <c r="C32" s="90">
        <v>3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2.6385224274406332E-3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8.1632653061224483E-2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9</v>
      </c>
      <c r="C38" s="6">
        <f t="shared" si="2"/>
        <v>9.1836734693877556E-2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19</v>
      </c>
      <c r="C39" s="6">
        <f t="shared" si="2"/>
        <v>0.19387755102040816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20</v>
      </c>
      <c r="C40" s="6">
        <f t="shared" si="2"/>
        <v>0.20408163265306123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18</v>
      </c>
      <c r="C41" s="6">
        <f t="shared" si="2"/>
        <v>0.18367346938775511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10</v>
      </c>
      <c r="C42" s="6">
        <f t="shared" si="2"/>
        <v>0.10204081632653061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6</v>
      </c>
      <c r="C43" s="6">
        <f t="shared" si="2"/>
        <v>6.1224489795918366E-2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4</v>
      </c>
      <c r="C44" s="6">
        <f t="shared" si="2"/>
        <v>4.0816326530612242E-2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2</v>
      </c>
      <c r="C45" s="6">
        <f t="shared" si="2"/>
        <v>2.0408163265306121E-2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1</v>
      </c>
      <c r="C46" s="6">
        <f t="shared" si="2"/>
        <v>1.020408163265306E-2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2"/>
        <v>1.020408163265306E-2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40</v>
      </c>
      <c r="C2" s="134"/>
      <c r="E2" s="26" t="s">
        <v>72</v>
      </c>
      <c r="F2" s="23" t="s">
        <v>27</v>
      </c>
      <c r="G2" s="11">
        <v>75</v>
      </c>
      <c r="H2" s="87">
        <f>IF(B$20=0,0,G2/B$20)</f>
        <v>0.7009345794392523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-145</v>
      </c>
      <c r="Q2" s="76">
        <v>40</v>
      </c>
      <c r="R2" s="63">
        <v>-5800</v>
      </c>
    </row>
    <row r="3" spans="1:18" x14ac:dyDescent="0.4">
      <c r="A3" s="19" t="s">
        <v>8</v>
      </c>
      <c r="B3" s="135">
        <v>350</v>
      </c>
      <c r="C3" s="136"/>
      <c r="E3" s="27" t="s">
        <v>66</v>
      </c>
      <c r="F3" s="24" t="s">
        <v>22</v>
      </c>
      <c r="G3" s="12">
        <v>67</v>
      </c>
      <c r="H3" s="88">
        <f>IF(B$20=0,0,G3/B$20)</f>
        <v>0.62616822429906538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-747.5</v>
      </c>
      <c r="Q3" s="77">
        <v>40</v>
      </c>
      <c r="R3" s="64">
        <v>-29900</v>
      </c>
    </row>
    <row r="4" spans="1:18" x14ac:dyDescent="0.4">
      <c r="A4" s="19" t="s">
        <v>6</v>
      </c>
      <c r="B4" s="137">
        <v>25.700000000000003</v>
      </c>
      <c r="C4" s="138"/>
      <c r="E4" s="27" t="s">
        <v>64</v>
      </c>
      <c r="F4" s="24" t="s">
        <v>20</v>
      </c>
      <c r="G4" s="12">
        <v>42</v>
      </c>
      <c r="H4" s="88">
        <f>IF(B$20=0,0,G4/B$20)</f>
        <v>0.3925233644859813</v>
      </c>
      <c r="I4" s="58">
        <v>8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1038.4615384615386</v>
      </c>
      <c r="Q4" s="77">
        <v>39</v>
      </c>
      <c r="R4" s="64">
        <v>40500</v>
      </c>
    </row>
    <row r="5" spans="1:18" x14ac:dyDescent="0.4">
      <c r="A5" s="19" t="s">
        <v>7</v>
      </c>
      <c r="B5" s="125">
        <f>IF(B$2=0,0,B$4/B$2)</f>
        <v>0.64250000000000007</v>
      </c>
      <c r="C5" s="126"/>
      <c r="E5" s="27" t="s">
        <v>159</v>
      </c>
      <c r="F5" s="24" t="s">
        <v>160</v>
      </c>
      <c r="G5" s="12">
        <v>36</v>
      </c>
      <c r="H5" s="88">
        <f>IF(B$20=0,0,G5/B$20)</f>
        <v>0.3364485981308411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-656.41025641025647</v>
      </c>
      <c r="Q5" s="77">
        <v>39</v>
      </c>
      <c r="R5" s="64">
        <v>-25600</v>
      </c>
    </row>
    <row r="6" spans="1:18" x14ac:dyDescent="0.4">
      <c r="A6" s="19" t="s">
        <v>196</v>
      </c>
      <c r="B6" s="129">
        <v>1470.3574394374596</v>
      </c>
      <c r="C6" s="130"/>
      <c r="E6" s="27" t="s">
        <v>68</v>
      </c>
      <c r="F6" s="24" t="s">
        <v>12</v>
      </c>
      <c r="G6" s="12">
        <v>29</v>
      </c>
      <c r="H6" s="88">
        <f>IF(B$20=0,0,G6/B$20)</f>
        <v>0.27102803738317754</v>
      </c>
      <c r="I6" s="58">
        <v>8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-848.71794871794873</v>
      </c>
      <c r="Q6" s="77">
        <v>39</v>
      </c>
      <c r="R6" s="64">
        <v>-33100</v>
      </c>
    </row>
    <row r="7" spans="1:18" x14ac:dyDescent="0.4">
      <c r="A7" s="19" t="s">
        <v>1</v>
      </c>
      <c r="B7" s="139">
        <f>IF(B$2=0,0,(B$8*1+B$9*2+B$10*3)/B$2)</f>
        <v>1.9750000000000001</v>
      </c>
      <c r="C7" s="140"/>
      <c r="E7" s="27" t="s">
        <v>67</v>
      </c>
      <c r="F7" s="24" t="s">
        <v>23</v>
      </c>
      <c r="G7" s="12">
        <v>28</v>
      </c>
      <c r="H7" s="88">
        <f>IF(B$20=0,0,G7/B$20)</f>
        <v>0.26168224299065418</v>
      </c>
      <c r="I7" s="58">
        <v>4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528.125</v>
      </c>
      <c r="Q7" s="78">
        <v>32</v>
      </c>
      <c r="R7" s="65">
        <v>16900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11</v>
      </c>
      <c r="H8" s="88">
        <f>IF(B$20=0,0,G8/B$20)</f>
        <v>0.10280373831775701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0.27500000000000002</v>
      </c>
      <c r="E9" s="27" t="s">
        <v>70</v>
      </c>
      <c r="F9" s="24" t="s">
        <v>25</v>
      </c>
      <c r="G9" s="12">
        <v>10</v>
      </c>
      <c r="H9" s="88">
        <f>IF(B$20=0,0,G9/B$20)</f>
        <v>9.3457943925233641E-2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0.35</v>
      </c>
      <c r="E10" s="27" t="s">
        <v>65</v>
      </c>
      <c r="F10" s="24" t="s">
        <v>21</v>
      </c>
      <c r="G10" s="12">
        <v>9</v>
      </c>
      <c r="H10" s="88">
        <f>IF(B$20=0,0,G10/B$20)</f>
        <v>8.4112149532710276E-2</v>
      </c>
      <c r="I10" s="58">
        <v>7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8</v>
      </c>
      <c r="H11" s="88">
        <f>IF(B$20=0,0,G11/B$20)</f>
        <v>7.476635514018691E-2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-3.85</v>
      </c>
      <c r="Q11" s="77">
        <v>14</v>
      </c>
      <c r="R11" s="68">
        <v>-53.9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6.5420560747663545E-2</v>
      </c>
      <c r="I12" s="58">
        <v>2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1.4199999999999988</v>
      </c>
      <c r="Q12" s="78">
        <v>15</v>
      </c>
      <c r="R12" s="69">
        <v>21.299999999999983</v>
      </c>
    </row>
    <row r="13" spans="1:18" x14ac:dyDescent="0.4">
      <c r="A13" s="20" t="s">
        <v>186</v>
      </c>
      <c r="B13" s="109">
        <f>IF(B10=0,0,C13/B10)</f>
        <v>-33.114285714285714</v>
      </c>
      <c r="C13" s="110">
        <v>-463.6</v>
      </c>
      <c r="E13" s="27" t="s">
        <v>71</v>
      </c>
      <c r="F13" s="24" t="s">
        <v>26</v>
      </c>
      <c r="G13" s="12">
        <v>4</v>
      </c>
      <c r="H13" s="88">
        <f>IF(B$20=0,0,G13/B$20)</f>
        <v>3.7383177570093455E-2</v>
      </c>
      <c r="I13" s="58">
        <v>7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0.27240981240981438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3.7383177570093455E-2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0.05</v>
      </c>
      <c r="E15" s="27" t="s">
        <v>81</v>
      </c>
      <c r="F15" s="24" t="s">
        <v>36</v>
      </c>
      <c r="G15" s="12">
        <v>4</v>
      </c>
      <c r="H15" s="88">
        <f>IF(B$20=0,0,G15/B$20)</f>
        <v>3.7383177570093455E-2</v>
      </c>
      <c r="I15" s="58">
        <v>4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91</v>
      </c>
      <c r="C16" s="10">
        <f>IF(B$3=0,0,B16/B$3)</f>
        <v>0.26</v>
      </c>
      <c r="E16" s="27" t="s">
        <v>79</v>
      </c>
      <c r="F16" s="24" t="s">
        <v>34</v>
      </c>
      <c r="G16" s="12">
        <v>3</v>
      </c>
      <c r="H16" s="88">
        <f>IF(B$20=0,0,G16/B$20)</f>
        <v>2.8037383177570093E-2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>IF(Q16=0,0,R16/Q16)</f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108</v>
      </c>
      <c r="C17" s="6">
        <f>IF(B$3=0,0,B17/B$3)</f>
        <v>0.30857142857142855</v>
      </c>
      <c r="E17" s="27" t="s">
        <v>86</v>
      </c>
      <c r="F17" s="24" t="s">
        <v>41</v>
      </c>
      <c r="G17" s="12">
        <v>2</v>
      </c>
      <c r="H17" s="88">
        <f>IF(B$20=0,0,G17/B$20)</f>
        <v>1.8691588785046728E-2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>IF(Q17=0,0,R17/Q17)</f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42</v>
      </c>
      <c r="C18" s="5">
        <f>IF(B$16=0,0,B18/B$16)</f>
        <v>0.46153846153846156</v>
      </c>
      <c r="E18" s="27" t="s">
        <v>91</v>
      </c>
      <c r="F18" s="24" t="s">
        <v>46</v>
      </c>
      <c r="G18" s="12">
        <v>2</v>
      </c>
      <c r="H18" s="88">
        <f>IF(B$20=0,0,G18/B$20)</f>
        <v>1.8691588785046728E-2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163</v>
      </c>
      <c r="P18" s="83">
        <f>IF(Q18=0,0,R18/Q18)</f>
        <v>7.4307692307692337</v>
      </c>
      <c r="Q18" s="77">
        <v>13</v>
      </c>
      <c r="R18" s="68">
        <v>96.600000000000037</v>
      </c>
    </row>
    <row r="19" spans="1:18" x14ac:dyDescent="0.4">
      <c r="A19" s="18" t="s">
        <v>124</v>
      </c>
      <c r="B19" s="11">
        <f>B25</f>
        <v>45</v>
      </c>
      <c r="C19" s="5">
        <f>IF(B$17=0,0,B19/B$17)</f>
        <v>0.41666666666666669</v>
      </c>
      <c r="E19" s="27" t="s">
        <v>88</v>
      </c>
      <c r="F19" s="24" t="s">
        <v>43</v>
      </c>
      <c r="G19" s="12">
        <v>1</v>
      </c>
      <c r="H19" s="88">
        <f>IF(B$20=0,0,G19/B$20)</f>
        <v>9.3457943925233638E-3</v>
      </c>
      <c r="I19" s="58">
        <v>2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>IF(Q19=0,0,R19/Q19)</f>
        <v>6.9000000000000012</v>
      </c>
      <c r="Q19" s="77">
        <v>9</v>
      </c>
      <c r="R19" s="68">
        <v>62.100000000000009</v>
      </c>
    </row>
    <row r="20" spans="1:18" x14ac:dyDescent="0.4">
      <c r="A20" s="18" t="s">
        <v>10</v>
      </c>
      <c r="B20" s="11">
        <f>B23+B22</f>
        <v>107</v>
      </c>
      <c r="C20" s="5">
        <f>IF(B$3=0,0,B20/B$3)</f>
        <v>0.30571428571428572</v>
      </c>
      <c r="E20" s="27" t="s">
        <v>93</v>
      </c>
      <c r="F20" s="24" t="s">
        <v>48</v>
      </c>
      <c r="G20" s="12">
        <v>1</v>
      </c>
      <c r="H20" s="88">
        <f>IF(B$20=0,0,G20/B$20)</f>
        <v>9.3457943925233638E-3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126</v>
      </c>
      <c r="P20" s="83">
        <f>IF(Q20=0,0,R20/Q20)</f>
        <v>3.4499999999999993</v>
      </c>
      <c r="Q20" s="77">
        <v>34</v>
      </c>
      <c r="R20" s="68">
        <v>117.29999999999998</v>
      </c>
    </row>
    <row r="21" spans="1:18" x14ac:dyDescent="0.4">
      <c r="A21" s="19" t="s">
        <v>13</v>
      </c>
      <c r="B21" s="12">
        <v>61</v>
      </c>
      <c r="C21" s="6">
        <f>IF(B$3=0,0,B21/B$3)</f>
        <v>0.17428571428571429</v>
      </c>
      <c r="E21" s="27" t="s">
        <v>106</v>
      </c>
      <c r="F21" s="24" t="s">
        <v>113</v>
      </c>
      <c r="G21" s="12">
        <v>1</v>
      </c>
      <c r="H21" s="88">
        <f>IF(B$20=0,0,G21/B$20)</f>
        <v>9.3457943925233638E-3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>IF(Q21=0,0,R21/Q21)</f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50</v>
      </c>
      <c r="C22" s="6">
        <f>IF(B$20=0,0,B22/B$20)</f>
        <v>0.46728971962616822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57</v>
      </c>
      <c r="C23" s="6">
        <f>IF(B$20=0,0,B23/B$20)</f>
        <v>0.53271028037383172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42</v>
      </c>
      <c r="C24" s="6">
        <f>IF(B$20=0,0,B24/B$20)</f>
        <v>0.3925233644859813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45</v>
      </c>
      <c r="C25" s="6">
        <f>IF(B$20=0,0,B25/B$20)</f>
        <v>0.42056074766355139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20</v>
      </c>
      <c r="C26" s="6">
        <f>IF(B$20=0,0,B26/B$20)</f>
        <v>0.18691588785046728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7552.336448598131</v>
      </c>
      <c r="C27" s="8">
        <v>808100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9332.2580645161288</v>
      </c>
      <c r="C28" s="96">
        <v>578600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5100</v>
      </c>
      <c r="C29" s="96">
        <v>229500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-8100</v>
      </c>
      <c r="C30" s="96">
        <v>-494100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29">
        <v>89900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2.8571428571428571E-3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14</v>
      </c>
      <c r="C37" s="98">
        <f t="shared" ref="C37:C49" si="2">IF(B$20=0,0,B37/B$20)</f>
        <v>0.13084112149532709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26</v>
      </c>
      <c r="C38" s="6">
        <f t="shared" si="2"/>
        <v>0.24299065420560748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21</v>
      </c>
      <c r="C39" s="6">
        <f t="shared" si="2"/>
        <v>0.19626168224299065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20</v>
      </c>
      <c r="C40" s="6">
        <f t="shared" si="2"/>
        <v>0.18691588785046728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2"/>
        <v>4.6728971962616821E-2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4</v>
      </c>
      <c r="C42" s="6">
        <f t="shared" si="2"/>
        <v>3.7383177570093455E-2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2"/>
        <v>4.6728971962616821E-2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2</v>
      </c>
      <c r="C44" s="6">
        <f t="shared" si="2"/>
        <v>1.8691588785046728E-2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4</v>
      </c>
      <c r="C45" s="6">
        <f t="shared" si="2"/>
        <v>3.7383177570093455E-2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4</v>
      </c>
      <c r="C46" s="6">
        <f t="shared" si="2"/>
        <v>3.7383177570093455E-2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1.8691588785046728E-2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26</v>
      </c>
      <c r="C2" s="134"/>
      <c r="E2" s="26" t="s">
        <v>66</v>
      </c>
      <c r="F2" s="23" t="s">
        <v>22</v>
      </c>
      <c r="G2" s="11">
        <v>49</v>
      </c>
      <c r="H2" s="87">
        <f>IF(B$20=0,0,G2/B$20)</f>
        <v>0.875</v>
      </c>
      <c r="I2" s="57">
        <v>3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169.23076923076923</v>
      </c>
      <c r="Q2" s="76">
        <v>26</v>
      </c>
      <c r="R2" s="63">
        <v>4400</v>
      </c>
    </row>
    <row r="3" spans="1:18" x14ac:dyDescent="0.4">
      <c r="A3" s="19" t="s">
        <v>8</v>
      </c>
      <c r="B3" s="135">
        <v>225</v>
      </c>
      <c r="C3" s="136"/>
      <c r="E3" s="27" t="s">
        <v>72</v>
      </c>
      <c r="F3" s="24" t="s">
        <v>27</v>
      </c>
      <c r="G3" s="12">
        <v>36</v>
      </c>
      <c r="H3" s="88">
        <f>IF(B$20=0,0,G3/B$20)</f>
        <v>0.6428571428571429</v>
      </c>
      <c r="I3" s="58">
        <v>4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1042.3076923076924</v>
      </c>
      <c r="Q3" s="77">
        <v>26</v>
      </c>
      <c r="R3" s="64">
        <v>27100</v>
      </c>
    </row>
    <row r="4" spans="1:18" x14ac:dyDescent="0.4">
      <c r="A4" s="19" t="s">
        <v>6</v>
      </c>
      <c r="B4" s="137">
        <v>-31.000000000000021</v>
      </c>
      <c r="C4" s="138"/>
      <c r="E4" s="27" t="s">
        <v>64</v>
      </c>
      <c r="F4" s="24" t="s">
        <v>20</v>
      </c>
      <c r="G4" s="12">
        <v>28</v>
      </c>
      <c r="H4" s="88">
        <f>IF(B$20=0,0,G4/B$20)</f>
        <v>0.5</v>
      </c>
      <c r="I4" s="58">
        <v>2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-1072</v>
      </c>
      <c r="Q4" s="77">
        <v>25</v>
      </c>
      <c r="R4" s="64">
        <v>-26800</v>
      </c>
    </row>
    <row r="5" spans="1:18" x14ac:dyDescent="0.4">
      <c r="A5" s="19" t="s">
        <v>7</v>
      </c>
      <c r="B5" s="125">
        <f>IF(B$2=0,0,B$4/B$2)</f>
        <v>-1.1923076923076932</v>
      </c>
      <c r="C5" s="126"/>
      <c r="E5" s="27" t="s">
        <v>159</v>
      </c>
      <c r="F5" s="24" t="s">
        <v>160</v>
      </c>
      <c r="G5" s="12">
        <v>27</v>
      </c>
      <c r="H5" s="88">
        <f>IF(B$20=0,0,G5/B$20)</f>
        <v>0.48214285714285715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-2150</v>
      </c>
      <c r="Q5" s="77">
        <v>22</v>
      </c>
      <c r="R5" s="64">
        <v>-47300</v>
      </c>
    </row>
    <row r="6" spans="1:18" x14ac:dyDescent="0.4">
      <c r="A6" s="19" t="s">
        <v>196</v>
      </c>
      <c r="B6" s="129">
        <v>1530.4544498518735</v>
      </c>
      <c r="C6" s="130"/>
      <c r="E6" s="27" t="s">
        <v>67</v>
      </c>
      <c r="F6" s="24" t="s">
        <v>23</v>
      </c>
      <c r="G6" s="12">
        <v>15</v>
      </c>
      <c r="H6" s="88">
        <f>IF(B$20=0,0,G6/B$20)</f>
        <v>0.26785714285714285</v>
      </c>
      <c r="I6" s="58">
        <v>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2800</v>
      </c>
      <c r="Q6" s="77">
        <v>21</v>
      </c>
      <c r="R6" s="64">
        <v>58800</v>
      </c>
    </row>
    <row r="7" spans="1:18" x14ac:dyDescent="0.4">
      <c r="A7" s="19" t="s">
        <v>1</v>
      </c>
      <c r="B7" s="139">
        <f>IF(B$2=0,0,(B$8*1+B$9*2+B$10*3)/B$2)</f>
        <v>1.9615384615384615</v>
      </c>
      <c r="C7" s="140"/>
      <c r="E7" s="27" t="s">
        <v>68</v>
      </c>
      <c r="F7" s="24" t="s">
        <v>12</v>
      </c>
      <c r="G7" s="12">
        <v>13</v>
      </c>
      <c r="H7" s="88">
        <f>IF(B$20=0,0,G7/B$20)</f>
        <v>0.23214285714285715</v>
      </c>
      <c r="I7" s="58">
        <v>11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-1011.1111111111111</v>
      </c>
      <c r="Q7" s="78">
        <v>18</v>
      </c>
      <c r="R7" s="65">
        <v>-18200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0.23076923076923078</v>
      </c>
      <c r="E8" s="27" t="s">
        <v>65</v>
      </c>
      <c r="F8" s="24" t="s">
        <v>21</v>
      </c>
      <c r="G8" s="12">
        <v>11</v>
      </c>
      <c r="H8" s="88">
        <f>IF(B$20=0,0,G8/B$20)</f>
        <v>0.19642857142857142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15</v>
      </c>
      <c r="C9" s="6">
        <f t="shared" si="1"/>
        <v>0.57692307692307687</v>
      </c>
      <c r="E9" s="27" t="s">
        <v>89</v>
      </c>
      <c r="F9" s="24" t="s">
        <v>44</v>
      </c>
      <c r="G9" s="12">
        <v>7</v>
      </c>
      <c r="H9" s="88">
        <f>IF(B$20=0,0,G9/B$20)</f>
        <v>0.125</v>
      </c>
      <c r="I9" s="58">
        <v>8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0.19230769230769232</v>
      </c>
      <c r="E10" s="27" t="s">
        <v>69</v>
      </c>
      <c r="F10" s="24" t="s">
        <v>24</v>
      </c>
      <c r="G10" s="12">
        <v>6</v>
      </c>
      <c r="H10" s="88">
        <f>IF(B$20=0,0,G10/B$20)</f>
        <v>0.10714285714285714</v>
      </c>
      <c r="I10" s="58">
        <v>6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-4.7444444444444436</v>
      </c>
      <c r="Q10" s="76">
        <v>9</v>
      </c>
      <c r="R10" s="67">
        <v>-42.699999999999996</v>
      </c>
    </row>
    <row r="11" spans="1:18" x14ac:dyDescent="0.4">
      <c r="A11" s="20" t="s">
        <v>184</v>
      </c>
      <c r="B11" s="109">
        <f>IF(B8=0,0,C11/B8)</f>
        <v>32.949999999999996</v>
      </c>
      <c r="C11" s="110">
        <v>197.7</v>
      </c>
      <c r="E11" s="27" t="s">
        <v>70</v>
      </c>
      <c r="F11" s="24" t="s">
        <v>25</v>
      </c>
      <c r="G11" s="12">
        <v>5</v>
      </c>
      <c r="H11" s="88">
        <f>IF(B$20=0,0,G11/B$20)</f>
        <v>8.9285714285714288E-2</v>
      </c>
      <c r="I11" s="58">
        <v>7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-5.0222222222222221</v>
      </c>
      <c r="Q11" s="77">
        <v>9</v>
      </c>
      <c r="R11" s="68">
        <v>-45.199999999999996</v>
      </c>
    </row>
    <row r="12" spans="1:18" x14ac:dyDescent="0.4">
      <c r="A12" s="20" t="s">
        <v>185</v>
      </c>
      <c r="B12" s="109">
        <f>IF(B9=0,0,C12/B9)</f>
        <v>-1.7799999999999998</v>
      </c>
      <c r="C12" s="110">
        <v>-26.699999999999996</v>
      </c>
      <c r="E12" s="27" t="s">
        <v>86</v>
      </c>
      <c r="F12" s="24" t="s">
        <v>41</v>
      </c>
      <c r="G12" s="12">
        <v>4</v>
      </c>
      <c r="H12" s="88">
        <f>IF(B$20=0,0,G12/B$20)</f>
        <v>7.1428571428571425E-2</v>
      </c>
      <c r="I12" s="58">
        <v>2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7.1125000000000007</v>
      </c>
      <c r="Q12" s="78">
        <v>8</v>
      </c>
      <c r="R12" s="69">
        <v>56.900000000000006</v>
      </c>
    </row>
    <row r="13" spans="1:18" x14ac:dyDescent="0.4">
      <c r="A13" s="20" t="s">
        <v>186</v>
      </c>
      <c r="B13" s="109">
        <f>IF(B10=0,0,C13/B10)</f>
        <v>-40.4</v>
      </c>
      <c r="C13" s="110">
        <v>-202</v>
      </c>
      <c r="E13" s="27" t="s">
        <v>79</v>
      </c>
      <c r="F13" s="24" t="s">
        <v>34</v>
      </c>
      <c r="G13" s="12">
        <v>2</v>
      </c>
      <c r="H13" s="88">
        <f>IF(B$20=0,0,G13/B$20)</f>
        <v>3.5714285714285712E-2</v>
      </c>
      <c r="I13" s="58">
        <v>1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-3.076666666666668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3.5714285714285712E-2</v>
      </c>
      <c r="I14" s="58">
        <v>5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7.6923076923076927E-2</v>
      </c>
      <c r="E15" s="27" t="s">
        <v>83</v>
      </c>
      <c r="F15" s="24" t="s">
        <v>38</v>
      </c>
      <c r="G15" s="12">
        <v>2</v>
      </c>
      <c r="H15" s="88">
        <f>IF(B$20=0,0,G15/B$20)</f>
        <v>3.5714285714285712E-2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53</v>
      </c>
      <c r="C16" s="10">
        <f>IF(B$3=0,0,B16/B$3)</f>
        <v>0.23555555555555555</v>
      </c>
      <c r="E16" s="27" t="s">
        <v>71</v>
      </c>
      <c r="F16" s="24" t="s">
        <v>26</v>
      </c>
      <c r="G16" s="12">
        <v>1</v>
      </c>
      <c r="H16" s="88">
        <f>IF(B$20=0,0,G16/B$20)</f>
        <v>1.7857142857142856E-2</v>
      </c>
      <c r="I16" s="58">
        <v>8</v>
      </c>
      <c r="K16" s="74">
        <v>14</v>
      </c>
      <c r="L16" s="119">
        <v>-79.200000000000017</v>
      </c>
      <c r="M16" s="117">
        <v>1517.1299332658102</v>
      </c>
      <c r="O16" s="74" t="s">
        <v>211</v>
      </c>
      <c r="P16" s="83">
        <f>IF(Q16=0,0,R16/Q16)</f>
        <v>6.5555555555555571</v>
      </c>
      <c r="Q16" s="77">
        <v>9</v>
      </c>
      <c r="R16" s="68">
        <v>59.000000000000014</v>
      </c>
    </row>
    <row r="17" spans="1:18" x14ac:dyDescent="0.4">
      <c r="A17" s="19" t="s">
        <v>118</v>
      </c>
      <c r="B17" s="12">
        <v>48</v>
      </c>
      <c r="C17" s="6">
        <f>IF(B$3=0,0,B17/B$3)</f>
        <v>0.21333333333333335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163</v>
      </c>
      <c r="P17" s="83">
        <f>IF(Q17=0,0,R17/Q17)</f>
        <v>0.15714285714285733</v>
      </c>
      <c r="Q17" s="77">
        <v>7</v>
      </c>
      <c r="R17" s="68">
        <v>1.1000000000000014</v>
      </c>
    </row>
    <row r="18" spans="1:18" x14ac:dyDescent="0.4">
      <c r="A18" s="18" t="s">
        <v>123</v>
      </c>
      <c r="B18" s="11">
        <f>B24</f>
        <v>28</v>
      </c>
      <c r="C18" s="5">
        <f>IF(B$16=0,0,B18/B$16)</f>
        <v>0.52830188679245282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126</v>
      </c>
      <c r="P18" s="83">
        <f>IF(Q18=0,0,R18/Q18)</f>
        <v>-6.625</v>
      </c>
      <c r="Q18" s="77">
        <v>20</v>
      </c>
      <c r="R18" s="68">
        <v>-132.5</v>
      </c>
    </row>
    <row r="19" spans="1:18" x14ac:dyDescent="0.4">
      <c r="A19" s="18" t="s">
        <v>124</v>
      </c>
      <c r="B19" s="11">
        <f>B25</f>
        <v>18</v>
      </c>
      <c r="C19" s="5">
        <f>IF(B$17=0,0,B19/B$17)</f>
        <v>0.375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>IF(Q19=0,0,R19/Q19)</f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56</v>
      </c>
      <c r="C20" s="5">
        <f>IF(B$3=0,0,B20/B$3)</f>
        <v>0.24888888888888888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>IF(Q20=0,0,R20/Q20)</f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24</v>
      </c>
      <c r="C21" s="6">
        <f>IF(B$3=0,0,B21/B$3)</f>
        <v>0.10666666666666667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17</v>
      </c>
      <c r="C22" s="6">
        <f>IF(B$20=0,0,B22/B$20)</f>
        <v>0.30357142857142855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9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39</v>
      </c>
      <c r="C23" s="6">
        <f>IF(B$20=0,0,B23/B$20)</f>
        <v>0.6964285714285714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28</v>
      </c>
      <c r="C24" s="6">
        <f>IF(B$20=0,0,B24/B$20)</f>
        <v>0.5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18</v>
      </c>
      <c r="C25" s="6">
        <f>IF(B$20=0,0,B25/B$20)</f>
        <v>0.32142857142857145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10</v>
      </c>
      <c r="C26" s="6">
        <f>IF(B$20=0,0,B26/B$20)</f>
        <v>0.17857142857142858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8112.5</v>
      </c>
      <c r="C27" s="8">
        <v>454300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7831.5789473684208</v>
      </c>
      <c r="C28" s="96">
        <v>297600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8705.5555555555547</v>
      </c>
      <c r="C29" s="96">
        <v>156700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-6279.166666666667</v>
      </c>
      <c r="C30" s="96">
        <v>-150700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28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1.7857142857142856E-2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9</v>
      </c>
      <c r="C38" s="6">
        <f t="shared" si="2"/>
        <v>0.16071428571428573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14</v>
      </c>
      <c r="C39" s="6">
        <f t="shared" si="2"/>
        <v>0.25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16</v>
      </c>
      <c r="C40" s="6">
        <f t="shared" si="2"/>
        <v>0.2857142857142857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7</v>
      </c>
      <c r="C41" s="6">
        <f t="shared" si="2"/>
        <v>0.125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2"/>
        <v>7.1428571428571425E-2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1.7857142857142856E-2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2"/>
        <v>5.3571428571428568E-2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1.7857142857142856E-2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39</v>
      </c>
      <c r="C2" s="134"/>
      <c r="E2" s="26" t="s">
        <v>66</v>
      </c>
      <c r="F2" s="23" t="s">
        <v>22</v>
      </c>
      <c r="G2" s="11">
        <v>77</v>
      </c>
      <c r="H2" s="87">
        <f>IF(B$20=0,0,G2/B$20)</f>
        <v>0.74757281553398058</v>
      </c>
      <c r="I2" s="57">
        <v>9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169.23076923076923</v>
      </c>
      <c r="Q2" s="76">
        <v>39</v>
      </c>
      <c r="R2" s="63">
        <v>6600</v>
      </c>
    </row>
    <row r="3" spans="1:18" x14ac:dyDescent="0.4">
      <c r="A3" s="19" t="s">
        <v>8</v>
      </c>
      <c r="B3" s="135">
        <v>338</v>
      </c>
      <c r="C3" s="136"/>
      <c r="E3" s="27" t="s">
        <v>72</v>
      </c>
      <c r="F3" s="24" t="s">
        <v>27</v>
      </c>
      <c r="G3" s="12">
        <v>57</v>
      </c>
      <c r="H3" s="88">
        <f>IF(B$20=0,0,G3/B$20)</f>
        <v>0.55339805825242716</v>
      </c>
      <c r="I3" s="58">
        <v>9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864.10256410256409</v>
      </c>
      <c r="Q3" s="77">
        <v>39</v>
      </c>
      <c r="R3" s="64">
        <v>33700</v>
      </c>
    </row>
    <row r="4" spans="1:18" x14ac:dyDescent="0.4">
      <c r="A4" s="19" t="s">
        <v>6</v>
      </c>
      <c r="B4" s="137">
        <v>101.59999999999998</v>
      </c>
      <c r="C4" s="138"/>
      <c r="E4" s="27" t="s">
        <v>64</v>
      </c>
      <c r="F4" s="24" t="s">
        <v>20</v>
      </c>
      <c r="G4" s="12">
        <v>44</v>
      </c>
      <c r="H4" s="88">
        <f>IF(B$20=0,0,G4/B$20)</f>
        <v>0.42718446601941745</v>
      </c>
      <c r="I4" s="58">
        <v>5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2102.5641025641025</v>
      </c>
      <c r="Q4" s="77">
        <v>39</v>
      </c>
      <c r="R4" s="64">
        <v>82000</v>
      </c>
    </row>
    <row r="5" spans="1:18" x14ac:dyDescent="0.4">
      <c r="A5" s="19" t="s">
        <v>7</v>
      </c>
      <c r="B5" s="125">
        <f>IF(B$2=0,0,B$4/B$2)</f>
        <v>2.6051282051282048</v>
      </c>
      <c r="C5" s="126"/>
      <c r="E5" s="27" t="s">
        <v>159</v>
      </c>
      <c r="F5" s="24" t="s">
        <v>160</v>
      </c>
      <c r="G5" s="12">
        <v>34</v>
      </c>
      <c r="H5" s="88">
        <f>IF(B$20=0,0,G5/B$20)</f>
        <v>0.3300970873786408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-597.22222222222217</v>
      </c>
      <c r="Q5" s="77">
        <v>36</v>
      </c>
      <c r="R5" s="64">
        <v>-21500</v>
      </c>
    </row>
    <row r="6" spans="1:18" x14ac:dyDescent="0.4">
      <c r="A6" s="19" t="s">
        <v>196</v>
      </c>
      <c r="B6" s="129">
        <v>1522.0163768209231</v>
      </c>
      <c r="C6" s="130"/>
      <c r="E6" s="27" t="s">
        <v>68</v>
      </c>
      <c r="F6" s="24" t="s">
        <v>12</v>
      </c>
      <c r="G6" s="12">
        <v>29</v>
      </c>
      <c r="H6" s="88">
        <f>IF(B$20=0,0,G6/B$20)</f>
        <v>0.28155339805825241</v>
      </c>
      <c r="I6" s="58">
        <v>7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-912.5</v>
      </c>
      <c r="Q6" s="77">
        <v>32</v>
      </c>
      <c r="R6" s="64">
        <v>-29200</v>
      </c>
    </row>
    <row r="7" spans="1:18" x14ac:dyDescent="0.4">
      <c r="A7" s="19" t="s">
        <v>1</v>
      </c>
      <c r="B7" s="139">
        <f>IF(B$2=0,0,(B$8*1+B$9*2+B$10*3)/B$2)</f>
        <v>1.9487179487179487</v>
      </c>
      <c r="C7" s="140"/>
      <c r="E7" s="27" t="s">
        <v>67</v>
      </c>
      <c r="F7" s="24" t="s">
        <v>23</v>
      </c>
      <c r="G7" s="12">
        <v>27</v>
      </c>
      <c r="H7" s="88">
        <f>IF(B$20=0,0,G7/B$20)</f>
        <v>0.26213592233009708</v>
      </c>
      <c r="I7" s="58">
        <v>3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1046.6666666666667</v>
      </c>
      <c r="Q7" s="78">
        <v>30</v>
      </c>
      <c r="R7" s="65">
        <v>31400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0.38461538461538464</v>
      </c>
      <c r="E8" s="27" t="s">
        <v>89</v>
      </c>
      <c r="F8" s="24" t="s">
        <v>44</v>
      </c>
      <c r="G8" s="12">
        <v>17</v>
      </c>
      <c r="H8" s="88">
        <f>IF(B$20=0,0,G8/B$20)</f>
        <v>0.1650485436893204</v>
      </c>
      <c r="I8" s="58">
        <v>5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0.28205128205128205</v>
      </c>
      <c r="E9" s="27" t="s">
        <v>69</v>
      </c>
      <c r="F9" s="24" t="s">
        <v>24</v>
      </c>
      <c r="G9" s="12">
        <v>14</v>
      </c>
      <c r="H9" s="88">
        <f>IF(B$20=0,0,G9/B$20)</f>
        <v>0.13592233009708737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13</v>
      </c>
      <c r="C10" s="7">
        <f t="shared" si="1"/>
        <v>0.33333333333333331</v>
      </c>
      <c r="E10" s="27" t="s">
        <v>71</v>
      </c>
      <c r="F10" s="24" t="s">
        <v>26</v>
      </c>
      <c r="G10" s="12">
        <v>8</v>
      </c>
      <c r="H10" s="88">
        <f>IF(B$20=0,0,G10/B$20)</f>
        <v>7.7669902912621352E-2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-8.2555555555555546</v>
      </c>
      <c r="Q10" s="76">
        <v>9</v>
      </c>
      <c r="R10" s="67">
        <v>-74.3</v>
      </c>
    </row>
    <row r="11" spans="1:18" x14ac:dyDescent="0.4">
      <c r="A11" s="20" t="s">
        <v>184</v>
      </c>
      <c r="B11" s="109">
        <f>IF(B8=0,0,C11/B8)</f>
        <v>33.313333333333333</v>
      </c>
      <c r="C11" s="110">
        <v>499.7</v>
      </c>
      <c r="E11" s="27" t="s">
        <v>65</v>
      </c>
      <c r="F11" s="24" t="s">
        <v>21</v>
      </c>
      <c r="G11" s="12">
        <v>7</v>
      </c>
      <c r="H11" s="88">
        <f>IF(B$20=0,0,G11/B$20)</f>
        <v>6.7961165048543687E-2</v>
      </c>
      <c r="I11" s="58">
        <v>9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2.3571428571428581</v>
      </c>
      <c r="Q11" s="77">
        <v>14</v>
      </c>
      <c r="R11" s="68">
        <v>33.000000000000014</v>
      </c>
    </row>
    <row r="12" spans="1:18" x14ac:dyDescent="0.4">
      <c r="A12" s="20" t="s">
        <v>185</v>
      </c>
      <c r="B12" s="109">
        <f>IF(B9=0,0,C12/B9)</f>
        <v>-1.5545454545454549</v>
      </c>
      <c r="C12" s="110">
        <v>-17.100000000000005</v>
      </c>
      <c r="E12" s="27" t="s">
        <v>86</v>
      </c>
      <c r="F12" s="24" t="s">
        <v>41</v>
      </c>
      <c r="G12" s="12">
        <v>7</v>
      </c>
      <c r="H12" s="88">
        <f>IF(B$20=0,0,G12/B$20)</f>
        <v>6.7961165048543687E-2</v>
      </c>
      <c r="I12" s="58">
        <v>4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8.9312500000000004</v>
      </c>
      <c r="Q12" s="78">
        <v>16</v>
      </c>
      <c r="R12" s="69">
        <v>142.9</v>
      </c>
    </row>
    <row r="13" spans="1:18" x14ac:dyDescent="0.4">
      <c r="A13" s="20" t="s">
        <v>186</v>
      </c>
      <c r="B13" s="109">
        <f>IF(B10=0,0,C13/B10)</f>
        <v>-29.307692307692314</v>
      </c>
      <c r="C13" s="110">
        <v>-381.00000000000006</v>
      </c>
      <c r="E13" s="27" t="s">
        <v>83</v>
      </c>
      <c r="F13" s="24" t="s">
        <v>38</v>
      </c>
      <c r="G13" s="12">
        <v>6</v>
      </c>
      <c r="H13" s="88">
        <f>IF(B$20=0,0,G13/B$20)</f>
        <v>5.8252427184466021E-2</v>
      </c>
      <c r="I13" s="58">
        <v>3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0.81703185703185477</v>
      </c>
      <c r="C14" s="126"/>
      <c r="E14" s="27" t="s">
        <v>70</v>
      </c>
      <c r="F14" s="24" t="s">
        <v>25</v>
      </c>
      <c r="G14" s="12">
        <v>5</v>
      </c>
      <c r="H14" s="88">
        <f>IF(B$20=0,0,G14/B$20)</f>
        <v>4.8543689320388349E-2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5.128205128205128E-2</v>
      </c>
      <c r="E15" s="27" t="s">
        <v>91</v>
      </c>
      <c r="F15" s="24" t="s">
        <v>46</v>
      </c>
      <c r="G15" s="12">
        <v>5</v>
      </c>
      <c r="H15" s="88">
        <f>IF(B$20=0,0,G15/B$20)</f>
        <v>4.8543689320388349E-2</v>
      </c>
      <c r="I15" s="58">
        <v>1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73</v>
      </c>
      <c r="C16" s="10">
        <f>IF(B$3=0,0,B16/B$3)</f>
        <v>0.21597633136094674</v>
      </c>
      <c r="E16" s="27" t="s">
        <v>81</v>
      </c>
      <c r="F16" s="24" t="s">
        <v>36</v>
      </c>
      <c r="G16" s="12">
        <v>4</v>
      </c>
      <c r="H16" s="88">
        <f>IF(B$20=0,0,G16/B$20)</f>
        <v>3.8834951456310676E-2</v>
      </c>
      <c r="I16" s="58">
        <v>3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>IF(Q16=0,0,R16/Q16)</f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70</v>
      </c>
      <c r="C17" s="6">
        <f>IF(B$3=0,0,B17/B$3)</f>
        <v>0.20710059171597633</v>
      </c>
      <c r="E17" s="27" t="s">
        <v>78</v>
      </c>
      <c r="F17" s="24" t="s">
        <v>33</v>
      </c>
      <c r="G17" s="12">
        <v>3</v>
      </c>
      <c r="H17" s="88">
        <f>IF(B$20=0,0,G17/B$20)</f>
        <v>2.9126213592233011E-2</v>
      </c>
      <c r="I17" s="58">
        <v>6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42</v>
      </c>
      <c r="C18" s="5">
        <f>IF(B$16=0,0,B18/B$16)</f>
        <v>0.57534246575342463</v>
      </c>
      <c r="E18" s="27" t="s">
        <v>73</v>
      </c>
      <c r="F18" s="24" t="s">
        <v>28</v>
      </c>
      <c r="G18" s="12">
        <v>2</v>
      </c>
      <c r="H18" s="88">
        <f>IF(B$20=0,0,G18/B$20)</f>
        <v>1.9417475728155338E-2</v>
      </c>
      <c r="I18" s="58">
        <v>1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>IF(Q18=0,0,R18/Q18)</f>
        <v>13.12857142857143</v>
      </c>
      <c r="Q18" s="77">
        <v>14</v>
      </c>
      <c r="R18" s="68">
        <v>183.8</v>
      </c>
    </row>
    <row r="19" spans="1:18" x14ac:dyDescent="0.4">
      <c r="A19" s="18" t="s">
        <v>124</v>
      </c>
      <c r="B19" s="11">
        <f>B25</f>
        <v>34</v>
      </c>
      <c r="C19" s="5">
        <f>IF(B$17=0,0,B19/B$17)</f>
        <v>0.48571428571428571</v>
      </c>
      <c r="E19" s="27" t="s">
        <v>75</v>
      </c>
      <c r="F19" s="24" t="s">
        <v>30</v>
      </c>
      <c r="G19" s="12">
        <v>1</v>
      </c>
      <c r="H19" s="88">
        <f>IF(B$20=0,0,G19/B$20)</f>
        <v>9.7087378640776691E-3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195</v>
      </c>
      <c r="P19" s="83">
        <f>IF(Q19=0,0,R19/Q19)</f>
        <v>-3.0750000000000011</v>
      </c>
      <c r="Q19" s="77">
        <v>4</v>
      </c>
      <c r="R19" s="68">
        <v>-12.300000000000004</v>
      </c>
    </row>
    <row r="20" spans="1:18" x14ac:dyDescent="0.4">
      <c r="A20" s="18" t="s">
        <v>10</v>
      </c>
      <c r="B20" s="11">
        <f>B23+B22</f>
        <v>103</v>
      </c>
      <c r="C20" s="5">
        <f>IF(B$3=0,0,B20/B$3)</f>
        <v>0.30473372781065089</v>
      </c>
      <c r="E20" s="27" t="s">
        <v>74</v>
      </c>
      <c r="F20" s="24" t="s">
        <v>29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>IF(Q20=0,0,R20/Q20)</f>
        <v>-4.1523809523809518</v>
      </c>
      <c r="Q20" s="77">
        <v>21</v>
      </c>
      <c r="R20" s="68">
        <v>-87.199999999999989</v>
      </c>
    </row>
    <row r="21" spans="1:18" x14ac:dyDescent="0.4">
      <c r="A21" s="19" t="s">
        <v>13</v>
      </c>
      <c r="B21" s="12">
        <v>45</v>
      </c>
      <c r="C21" s="6">
        <f>IF(B$3=0,0,B21/B$3)</f>
        <v>0.13313609467455623</v>
      </c>
      <c r="E21" s="27" t="s">
        <v>76</v>
      </c>
      <c r="F21" s="24" t="s">
        <v>31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190</v>
      </c>
      <c r="P21" s="83">
        <f>IF(Q21=0,0,R21/Q21)</f>
        <v>-6.5555555555555562</v>
      </c>
      <c r="Q21" s="77">
        <v>9</v>
      </c>
      <c r="R21" s="68">
        <v>-59.000000000000007</v>
      </c>
    </row>
    <row r="22" spans="1:18" x14ac:dyDescent="0.4">
      <c r="A22" s="19" t="s">
        <v>12</v>
      </c>
      <c r="B22" s="12">
        <v>44</v>
      </c>
      <c r="C22" s="6">
        <f>IF(B$20=0,0,B22/B$20)</f>
        <v>0.42718446601941745</v>
      </c>
      <c r="E22" s="27" t="s">
        <v>77</v>
      </c>
      <c r="F22" s="24" t="s">
        <v>32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163</v>
      </c>
      <c r="M22" s="117">
        <v>1527.9899992947921</v>
      </c>
      <c r="O22" s="74" t="s">
        <v>189</v>
      </c>
      <c r="P22" s="83">
        <f>IF(Q22=0,0,R22/Q22)</f>
        <v>-6.9</v>
      </c>
      <c r="Q22" s="77">
        <v>9</v>
      </c>
      <c r="R22" s="68">
        <v>-62.1</v>
      </c>
    </row>
    <row r="23" spans="1:18" x14ac:dyDescent="0.4">
      <c r="A23" s="19" t="s">
        <v>11</v>
      </c>
      <c r="B23" s="12">
        <v>59</v>
      </c>
      <c r="C23" s="6">
        <f>IF(B$20=0,0,B23/B$20)</f>
        <v>0.57281553398058249</v>
      </c>
      <c r="E23" s="27" t="s">
        <v>79</v>
      </c>
      <c r="F23" s="24" t="s">
        <v>34</v>
      </c>
      <c r="G23" s="12">
        <v>0</v>
      </c>
      <c r="H23" s="88">
        <f>IF(B$20=0,0,G23/B$20)</f>
        <v>0</v>
      </c>
      <c r="I23" s="58">
        <v>7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>IF(Q23=0,0,R23/Q23)</f>
        <v>-7.1999999999999993</v>
      </c>
      <c r="Q23" s="77">
        <v>2</v>
      </c>
      <c r="R23" s="68">
        <v>-14.399999999999999</v>
      </c>
    </row>
    <row r="24" spans="1:18" x14ac:dyDescent="0.4">
      <c r="A24" s="19" t="s">
        <v>183</v>
      </c>
      <c r="B24" s="12">
        <v>42</v>
      </c>
      <c r="C24" s="6">
        <f>IF(B$20=0,0,B24/B$20)</f>
        <v>0.40776699029126212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34</v>
      </c>
      <c r="C25" s="6">
        <f>IF(B$20=0,0,B25/B$20)</f>
        <v>0.3300970873786408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27</v>
      </c>
      <c r="C26" s="6">
        <f>IF(B$20=0,0,B26/B$20)</f>
        <v>0.26213592233009708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7706.7961165048546</v>
      </c>
      <c r="C27" s="8">
        <v>793800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5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7957.971014492754</v>
      </c>
      <c r="C28" s="96">
        <v>549100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7197.0588235294117</v>
      </c>
      <c r="C29" s="96">
        <v>244700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5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-6708.8888888888887</v>
      </c>
      <c r="C30" s="96">
        <v>-301900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29">
        <v>86700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8.8757396449704144E-3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7.7669902912621352E-2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24</v>
      </c>
      <c r="C38" s="6">
        <f t="shared" si="2"/>
        <v>0.23300970873786409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20</v>
      </c>
      <c r="C39" s="6">
        <f t="shared" si="2"/>
        <v>0.1941747572815534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13</v>
      </c>
      <c r="C40" s="6">
        <f t="shared" si="2"/>
        <v>0.12621359223300971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14</v>
      </c>
      <c r="C41" s="6">
        <f t="shared" si="2"/>
        <v>0.13592233009708737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11</v>
      </c>
      <c r="C42" s="6">
        <f t="shared" si="2"/>
        <v>0.10679611650485436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5</v>
      </c>
      <c r="C43" s="6">
        <f t="shared" si="2"/>
        <v>4.8543689320388349E-2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4</v>
      </c>
      <c r="C44" s="6">
        <f t="shared" si="2"/>
        <v>3.8834951456310676E-2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2"/>
        <v>9.7087378640776691E-3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2</v>
      </c>
      <c r="C46" s="6">
        <f t="shared" si="2"/>
        <v>1.9417475728155338E-2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1</v>
      </c>
      <c r="C47" s="6">
        <f t="shared" si="2"/>
        <v>9.7087378640776691E-3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43</v>
      </c>
      <c r="C2" s="134"/>
      <c r="E2" s="26" t="s">
        <v>66</v>
      </c>
      <c r="F2" s="23" t="s">
        <v>22</v>
      </c>
      <c r="G2" s="11">
        <v>93</v>
      </c>
      <c r="H2" s="87">
        <f>IF(B$20=0,0,G2/B$20)</f>
        <v>0.75609756097560976</v>
      </c>
      <c r="I2" s="57">
        <v>7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-158.13953488372093</v>
      </c>
      <c r="Q2" s="76">
        <v>43</v>
      </c>
      <c r="R2" s="63">
        <v>-6800</v>
      </c>
    </row>
    <row r="3" spans="1:18" x14ac:dyDescent="0.4">
      <c r="A3" s="19" t="s">
        <v>8</v>
      </c>
      <c r="B3" s="135">
        <v>374</v>
      </c>
      <c r="C3" s="136"/>
      <c r="E3" s="27" t="s">
        <v>72</v>
      </c>
      <c r="F3" s="24" t="s">
        <v>27</v>
      </c>
      <c r="G3" s="12">
        <v>76</v>
      </c>
      <c r="H3" s="88">
        <f>IF(B$20=0,0,G3/B$20)</f>
        <v>0.61788617886178865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850</v>
      </c>
      <c r="Q3" s="77">
        <v>40</v>
      </c>
      <c r="R3" s="64">
        <v>34000</v>
      </c>
    </row>
    <row r="4" spans="1:18" x14ac:dyDescent="0.4">
      <c r="A4" s="19" t="s">
        <v>6</v>
      </c>
      <c r="B4" s="137">
        <v>234.09999999999994</v>
      </c>
      <c r="C4" s="138"/>
      <c r="E4" s="27" t="s">
        <v>159</v>
      </c>
      <c r="F4" s="24" t="s">
        <v>160</v>
      </c>
      <c r="G4" s="12">
        <v>62</v>
      </c>
      <c r="H4" s="88">
        <f>IF(B$20=0,0,G4/B$20)</f>
        <v>0.50406504065040647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58.536585365853661</v>
      </c>
      <c r="Q4" s="77">
        <v>41</v>
      </c>
      <c r="R4" s="64">
        <v>2400</v>
      </c>
    </row>
    <row r="5" spans="1:18" x14ac:dyDescent="0.4">
      <c r="A5" s="19" t="s">
        <v>7</v>
      </c>
      <c r="B5" s="125">
        <f>IF(B$2=0,0,B$4/B$2)</f>
        <v>5.4441860465116267</v>
      </c>
      <c r="C5" s="126"/>
      <c r="E5" s="27" t="s">
        <v>64</v>
      </c>
      <c r="F5" s="24" t="s">
        <v>20</v>
      </c>
      <c r="G5" s="12">
        <v>41</v>
      </c>
      <c r="H5" s="88">
        <f>IF(B$20=0,0,G5/B$20)</f>
        <v>0.33333333333333331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2318.4210526315787</v>
      </c>
      <c r="Q5" s="77">
        <v>38</v>
      </c>
      <c r="R5" s="64">
        <v>88100</v>
      </c>
    </row>
    <row r="6" spans="1:18" x14ac:dyDescent="0.4">
      <c r="A6" s="19" t="s">
        <v>196</v>
      </c>
      <c r="B6" s="129">
        <v>1573.2920192249817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0.26016260162601629</v>
      </c>
      <c r="I6" s="58">
        <v>9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808.57142857142856</v>
      </c>
      <c r="Q6" s="77">
        <v>35</v>
      </c>
      <c r="R6" s="64">
        <v>28300</v>
      </c>
    </row>
    <row r="7" spans="1:18" x14ac:dyDescent="0.4">
      <c r="A7" s="19" t="s">
        <v>1</v>
      </c>
      <c r="B7" s="139">
        <f>IF(B$2=0,0,(B$8*1+B$9*2+B$10*3)/B$2)</f>
        <v>1.7906976744186047</v>
      </c>
      <c r="C7" s="140"/>
      <c r="E7" s="27" t="s">
        <v>70</v>
      </c>
      <c r="F7" s="24" t="s">
        <v>25</v>
      </c>
      <c r="G7" s="12">
        <v>17</v>
      </c>
      <c r="H7" s="88">
        <f>IF(B$20=0,0,G7/B$20)</f>
        <v>0.13821138211382114</v>
      </c>
      <c r="I7" s="58">
        <v>2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79.310344827586206</v>
      </c>
      <c r="Q7" s="78">
        <v>29</v>
      </c>
      <c r="R7" s="65">
        <v>2300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0.44186046511627908</v>
      </c>
      <c r="E8" s="27" t="s">
        <v>67</v>
      </c>
      <c r="F8" s="24" t="s">
        <v>23</v>
      </c>
      <c r="G8" s="12">
        <v>16</v>
      </c>
      <c r="H8" s="88">
        <f>IF(B$20=0,0,G8/B$20)</f>
        <v>0.13008130081300814</v>
      </c>
      <c r="I8" s="58">
        <v>10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14</v>
      </c>
      <c r="C9" s="6">
        <f t="shared" si="1"/>
        <v>0.32558139534883723</v>
      </c>
      <c r="E9" s="27" t="s">
        <v>89</v>
      </c>
      <c r="F9" s="24" t="s">
        <v>44</v>
      </c>
      <c r="G9" s="12">
        <v>14</v>
      </c>
      <c r="H9" s="88">
        <f>IF(B$20=0,0,G9/B$20)</f>
        <v>0.11382113821138211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10</v>
      </c>
      <c r="C10" s="7">
        <f t="shared" si="1"/>
        <v>0.23255813953488372</v>
      </c>
      <c r="E10" s="27" t="s">
        <v>71</v>
      </c>
      <c r="F10" s="24" t="s">
        <v>26</v>
      </c>
      <c r="G10" s="12">
        <v>13</v>
      </c>
      <c r="H10" s="88">
        <f>IF(B$20=0,0,G10/B$20)</f>
        <v>0.10569105691056911</v>
      </c>
      <c r="I10" s="58">
        <v>1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14.277777777777779</v>
      </c>
      <c r="Q10" s="76">
        <v>18</v>
      </c>
      <c r="R10" s="67">
        <v>257</v>
      </c>
    </row>
    <row r="11" spans="1:18" x14ac:dyDescent="0.4">
      <c r="A11" s="20" t="s">
        <v>184</v>
      </c>
      <c r="B11" s="109">
        <f>IF(B8=0,0,C11/B8)</f>
        <v>36.057894736842108</v>
      </c>
      <c r="C11" s="110">
        <v>685.1</v>
      </c>
      <c r="E11" s="27" t="s">
        <v>69</v>
      </c>
      <c r="F11" s="24" t="s">
        <v>24</v>
      </c>
      <c r="G11" s="12">
        <v>11</v>
      </c>
      <c r="H11" s="88">
        <f>IF(B$20=0,0,G11/B$20)</f>
        <v>8.943089430894309E-2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0.52142857142857169</v>
      </c>
      <c r="Q11" s="77">
        <v>14</v>
      </c>
      <c r="R11" s="68">
        <v>7.3000000000000043</v>
      </c>
    </row>
    <row r="12" spans="1:18" x14ac:dyDescent="0.4">
      <c r="A12" s="20" t="s">
        <v>185</v>
      </c>
      <c r="B12" s="109">
        <f>IF(B9=0,0,C12/B9)</f>
        <v>-4.7285714285714278</v>
      </c>
      <c r="C12" s="110">
        <v>-66.199999999999989</v>
      </c>
      <c r="E12" s="27" t="s">
        <v>65</v>
      </c>
      <c r="F12" s="24" t="s">
        <v>21</v>
      </c>
      <c r="G12" s="12">
        <v>5</v>
      </c>
      <c r="H12" s="88">
        <f>IF(B$20=0,0,G12/B$20)</f>
        <v>4.065040650406504E-2</v>
      </c>
      <c r="I12" s="58">
        <v>10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-2.745454545454546</v>
      </c>
      <c r="Q12" s="78">
        <v>11</v>
      </c>
      <c r="R12" s="69">
        <v>-30.200000000000006</v>
      </c>
    </row>
    <row r="13" spans="1:18" x14ac:dyDescent="0.4">
      <c r="A13" s="20" t="s">
        <v>186</v>
      </c>
      <c r="B13" s="109">
        <f>IF(B10=0,0,C13/B10)</f>
        <v>-38.480000000000004</v>
      </c>
      <c r="C13" s="110">
        <v>-384.8</v>
      </c>
      <c r="E13" s="27" t="s">
        <v>78</v>
      </c>
      <c r="F13" s="24" t="s">
        <v>33</v>
      </c>
      <c r="G13" s="12">
        <v>4</v>
      </c>
      <c r="H13" s="88">
        <f>IF(B$20=0,0,G13/B$20)</f>
        <v>3.2520325203252036E-2</v>
      </c>
      <c r="I13" s="58">
        <v>4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-2.3835588972431077</v>
      </c>
      <c r="C14" s="126"/>
      <c r="E14" s="27" t="s">
        <v>86</v>
      </c>
      <c r="F14" s="24" t="s">
        <v>41</v>
      </c>
      <c r="G14" s="12">
        <v>4</v>
      </c>
      <c r="H14" s="88">
        <f>IF(B$20=0,0,G14/B$20)</f>
        <v>3.2520325203252036E-2</v>
      </c>
      <c r="I14" s="58">
        <v>7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9.3023255813953487E-2</v>
      </c>
      <c r="E15" s="27" t="s">
        <v>79</v>
      </c>
      <c r="F15" s="24" t="s">
        <v>34</v>
      </c>
      <c r="G15" s="12">
        <v>3</v>
      </c>
      <c r="H15" s="88">
        <f>IF(B$20=0,0,G15/B$20)</f>
        <v>2.4390243902439025E-2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76</v>
      </c>
      <c r="C16" s="10">
        <f>IF(B$3=0,0,B16/B$3)</f>
        <v>0.20320855614973263</v>
      </c>
      <c r="E16" s="27" t="s">
        <v>81</v>
      </c>
      <c r="F16" s="24" t="s">
        <v>36</v>
      </c>
      <c r="G16" s="12">
        <v>3</v>
      </c>
      <c r="H16" s="88">
        <f>IF(B$20=0,0,G16/B$20)</f>
        <v>2.4390243902439025E-2</v>
      </c>
      <c r="I16" s="58">
        <v>9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100</v>
      </c>
      <c r="C17" s="6">
        <f>IF(B$3=0,0,B17/B$3)</f>
        <v>0.26737967914438504</v>
      </c>
      <c r="E17" s="27" t="s">
        <v>83</v>
      </c>
      <c r="F17" s="24" t="s">
        <v>38</v>
      </c>
      <c r="G17" s="12">
        <v>2</v>
      </c>
      <c r="H17" s="88">
        <f>IF(B$20=0,0,G17/B$20)</f>
        <v>1.6260162601626018E-2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 t="shared" si="2"/>
        <v>23.666666666666668</v>
      </c>
      <c r="Q17" s="77">
        <v>18</v>
      </c>
      <c r="R17" s="68">
        <v>426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0.52631578947368418</v>
      </c>
      <c r="E18" s="27" t="s">
        <v>73</v>
      </c>
      <c r="F18" s="24" t="s">
        <v>28</v>
      </c>
      <c r="G18" s="12">
        <v>1</v>
      </c>
      <c r="H18" s="88">
        <f>IF(B$20=0,0,G18/B$20)</f>
        <v>8.130081300813009E-3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">
      <c r="A19" s="18" t="s">
        <v>124</v>
      </c>
      <c r="B19" s="11">
        <f>B25</f>
        <v>42</v>
      </c>
      <c r="C19" s="5">
        <f>IF(B$17=0,0,B19/B$17)</f>
        <v>0.42</v>
      </c>
      <c r="E19" s="27" t="s">
        <v>88</v>
      </c>
      <c r="F19" s="24" t="s">
        <v>43</v>
      </c>
      <c r="G19" s="12">
        <v>1</v>
      </c>
      <c r="H19" s="88">
        <f>IF(B$20=0,0,G19/B$20)</f>
        <v>8.130081300813009E-3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 t="shared" si="2"/>
        <v>14.799999999999999</v>
      </c>
      <c r="Q19" s="77">
        <v>9</v>
      </c>
      <c r="R19" s="68">
        <v>133.19999999999999</v>
      </c>
    </row>
    <row r="20" spans="1:18" x14ac:dyDescent="0.4">
      <c r="A20" s="18" t="s">
        <v>10</v>
      </c>
      <c r="B20" s="11">
        <f>B23+B22</f>
        <v>123</v>
      </c>
      <c r="C20" s="5">
        <f>IF(B$3=0,0,B20/B$3)</f>
        <v>0.32887700534759357</v>
      </c>
      <c r="E20" s="27" t="s">
        <v>92</v>
      </c>
      <c r="F20" s="24" t="s">
        <v>47</v>
      </c>
      <c r="G20" s="12">
        <v>1</v>
      </c>
      <c r="H20" s="88">
        <f>IF(B$20=0,0,G20/B$20)</f>
        <v>8.130081300813009E-3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 t="shared" si="2"/>
        <v>3.7722222222222195</v>
      </c>
      <c r="Q20" s="77">
        <v>36</v>
      </c>
      <c r="R20" s="68">
        <v>135.7999999999999</v>
      </c>
    </row>
    <row r="21" spans="1:18" x14ac:dyDescent="0.4">
      <c r="A21" s="19" t="s">
        <v>13</v>
      </c>
      <c r="B21" s="12">
        <v>45</v>
      </c>
      <c r="C21" s="6">
        <f>IF(B$3=0,0,B21/B$3)</f>
        <v>0.12032085561497326</v>
      </c>
      <c r="E21" s="27" t="s">
        <v>102</v>
      </c>
      <c r="F21" s="24" t="s">
        <v>57</v>
      </c>
      <c r="G21" s="12">
        <v>1</v>
      </c>
      <c r="H21" s="88">
        <f>IF(B$20=0,0,G21/B$20)</f>
        <v>8.130081300813009E-3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-9.2090909090909108</v>
      </c>
      <c r="Q21" s="77">
        <v>11</v>
      </c>
      <c r="R21" s="68">
        <v>-101.30000000000001</v>
      </c>
    </row>
    <row r="22" spans="1:18" x14ac:dyDescent="0.4">
      <c r="A22" s="19" t="s">
        <v>12</v>
      </c>
      <c r="B22" s="12">
        <v>51</v>
      </c>
      <c r="C22" s="6">
        <f>IF(B$20=0,0,B22/B$20)</f>
        <v>0.41463414634146339</v>
      </c>
      <c r="E22" s="27" t="s">
        <v>155</v>
      </c>
      <c r="F22" s="24" t="s">
        <v>156</v>
      </c>
      <c r="G22" s="12">
        <v>1</v>
      </c>
      <c r="H22" s="88">
        <f>IF(B$20=0,0,G22/B$20)</f>
        <v>8.130081300813009E-3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-25.18</v>
      </c>
      <c r="Q22" s="77">
        <v>5</v>
      </c>
      <c r="R22" s="68">
        <v>-125.9</v>
      </c>
    </row>
    <row r="23" spans="1:18" x14ac:dyDescent="0.4">
      <c r="A23" s="19" t="s">
        <v>11</v>
      </c>
      <c r="B23" s="12">
        <v>72</v>
      </c>
      <c r="C23" s="6">
        <f>IF(B$20=0,0,B23/B$20)</f>
        <v>0.58536585365853655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">
      <c r="A24" s="19" t="s">
        <v>183</v>
      </c>
      <c r="B24" s="12">
        <v>40</v>
      </c>
      <c r="C24" s="6">
        <f>IF(B$20=0,0,B24/B$20)</f>
        <v>0.32520325203252032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42</v>
      </c>
      <c r="C25" s="6">
        <f>IF(B$20=0,0,B25/B$20)</f>
        <v>0.34146341463414637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41</v>
      </c>
      <c r="C26" s="6">
        <f>IF(B$20=0,0,B26/B$20)</f>
        <v>0.33333333333333331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3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7573.1707317073169</v>
      </c>
      <c r="C27" s="8">
        <v>931500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8651.8518518518522</v>
      </c>
      <c r="C28" s="96">
        <v>700800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5492.8571428571431</v>
      </c>
      <c r="C29" s="96">
        <v>230700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-8017.7777777777774</v>
      </c>
      <c r="C30" s="96">
        <v>-360800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14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11</v>
      </c>
      <c r="C37" s="98">
        <f t="shared" ref="C37:C49" si="3">IF(B$20=0,0,B37/B$20)</f>
        <v>8.943089430894309E-2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30</v>
      </c>
      <c r="C38" s="6">
        <f t="shared" si="3"/>
        <v>0.24390243902439024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27</v>
      </c>
      <c r="C39" s="6">
        <f t="shared" si="3"/>
        <v>0.21951219512195122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18</v>
      </c>
      <c r="C40" s="6">
        <f t="shared" si="3"/>
        <v>0.14634146341463414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19</v>
      </c>
      <c r="C41" s="6">
        <f t="shared" si="3"/>
        <v>0.15447154471544716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3.2520325203252036E-2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6.5040650406504072E-2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1.6260162601626018E-2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1</v>
      </c>
      <c r="C45" s="6">
        <f t="shared" si="3"/>
        <v>8.130081300813009E-3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8.130081300813009E-3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1.6260162601626018E-2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3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6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4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9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4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9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10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9</v>
      </c>
    </row>
    <row r="21" spans="1:18" x14ac:dyDescent="0.4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35">
        <v>103</v>
      </c>
      <c r="C3" s="136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37">
        <v>-39.5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25">
        <f>IF(B$2=0,0,B$4/B$2)</f>
        <v>-3.2916666666666665</v>
      </c>
      <c r="C5" s="126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29">
        <v>1396.3170423346389</v>
      </c>
      <c r="C6" s="130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39">
        <f>IF(B$2=0,0,(B$8*1+B$9*2+B$10*3)/B$2)</f>
        <v>1.9166666666666667</v>
      </c>
      <c r="C7" s="140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4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3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6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-6.7477777777777765</v>
      </c>
      <c r="C14" s="126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9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 t="shared" si="2"/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 t="shared" si="2"/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3</v>
      </c>
      <c r="O19" s="74" t="s">
        <v>211</v>
      </c>
      <c r="P19" s="83">
        <f t="shared" si="2"/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3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5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4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2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4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8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0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2020-11-23T09:47:23Z</dcterms:modified>
</cp:coreProperties>
</file>