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C02E69D7-B17C-4CCC-B28D-355693CB0A7C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998" l="1"/>
  <c r="P17" i="7004"/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3" i="7004"/>
  <c r="B14" i="7004" s="1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4" i="7004"/>
  <c r="H3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6" i="7004"/>
  <c r="H25" i="7004"/>
  <c r="C47" i="7004"/>
  <c r="H42" i="7004"/>
  <c r="H48" i="7004"/>
  <c r="H49" i="7004"/>
  <c r="H41" i="7004"/>
  <c r="H35" i="7004"/>
  <c r="H5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7" i="6986"/>
  <c r="P19" i="6998" l="1"/>
  <c r="P18" i="6988"/>
  <c r="P22" i="6984" l="1"/>
  <c r="P16" i="6988"/>
  <c r="P18" i="6998" l="1"/>
  <c r="P20" i="6984"/>
  <c r="P15" i="6986" l="1"/>
  <c r="P20" i="6988"/>
  <c r="P22" i="6992"/>
  <c r="P15" i="6988"/>
  <c r="P19" i="6994" l="1"/>
  <c r="P16" i="6986"/>
  <c r="P20" i="6998" l="1"/>
  <c r="P18" i="6982"/>
  <c r="P23" i="6990" l="1"/>
  <c r="P18" i="6986"/>
  <c r="P16" i="6992" l="1"/>
  <c r="P19" i="6992"/>
  <c r="P22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9" i="6998"/>
  <c r="H7" i="6998"/>
  <c r="H37" i="6998"/>
  <c r="C22" i="6998"/>
  <c r="H25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3" i="6998"/>
  <c r="H15" i="6998"/>
  <c r="H20" i="6998"/>
  <c r="H35" i="6998"/>
  <c r="C47" i="6998"/>
  <c r="H29" i="6998"/>
  <c r="H43" i="6998"/>
  <c r="H48" i="6998"/>
  <c r="C37" i="6998"/>
  <c r="H4" i="6998"/>
  <c r="H14" i="6998"/>
  <c r="H18" i="6998"/>
  <c r="H17" i="6998"/>
  <c r="C24" i="6998"/>
  <c r="H38" i="6998"/>
  <c r="C43" i="6998"/>
  <c r="C49" i="6998"/>
  <c r="H13" i="6998"/>
  <c r="H39" i="6998"/>
  <c r="H44" i="6998"/>
  <c r="H50" i="6998"/>
  <c r="H12" i="6998"/>
  <c r="C20" i="6998"/>
  <c r="C25" i="6998"/>
  <c r="H32" i="6998"/>
  <c r="C39" i="6998"/>
  <c r="H45" i="6998"/>
  <c r="H5" i="6998"/>
  <c r="H31" i="6998"/>
  <c r="H6" i="6998"/>
  <c r="H2" i="6998"/>
  <c r="H8" i="6998"/>
  <c r="H16" i="6998"/>
  <c r="H21" i="6998"/>
  <c r="H23" i="6998"/>
  <c r="C26" i="6998"/>
  <c r="H34" i="6998"/>
  <c r="H40" i="6998"/>
  <c r="C45" i="6998"/>
  <c r="H52" i="6998"/>
  <c r="H22" i="6998"/>
  <c r="H24" i="6998"/>
  <c r="H27" i="6998"/>
  <c r="H30" i="6998"/>
  <c r="H36" i="6998"/>
  <c r="C40" i="6998"/>
  <c r="C44" i="6998"/>
  <c r="C48" i="6998"/>
  <c r="H49" i="6998"/>
  <c r="H26" i="6998"/>
  <c r="H11" i="6998"/>
  <c r="H33" i="6998"/>
  <c r="C38" i="6998"/>
  <c r="C42" i="6998"/>
  <c r="C46" i="6998"/>
  <c r="P24" i="6984" l="1"/>
  <c r="P20" i="6992"/>
  <c r="P15" i="6990"/>
  <c r="P15" i="6992"/>
  <c r="P23" i="6992"/>
  <c r="P18" i="6994"/>
  <c r="P17" i="6990"/>
  <c r="P20" i="6994"/>
  <c r="P23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0" i="6992"/>
  <c r="H25" i="6992"/>
  <c r="H17" i="6992"/>
  <c r="C24" i="6992"/>
  <c r="B28" i="6992"/>
  <c r="H36" i="6992"/>
  <c r="H41" i="6992"/>
  <c r="H44" i="6992"/>
  <c r="H48" i="6992"/>
  <c r="H4" i="6992"/>
  <c r="H29" i="6992"/>
  <c r="H14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9" i="6992"/>
  <c r="C42" i="6992"/>
  <c r="H18" i="6992"/>
  <c r="H7" i="6992"/>
  <c r="H8" i="6992"/>
  <c r="H28" i="6992"/>
  <c r="H13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1" i="6992"/>
  <c r="H24" i="6992"/>
  <c r="H30" i="6992"/>
  <c r="H20" i="6992"/>
  <c r="H22" i="6992"/>
  <c r="C37" i="6992"/>
  <c r="C41" i="6992"/>
  <c r="C45" i="6992"/>
  <c r="C49" i="6992"/>
  <c r="H12" i="6992"/>
  <c r="H15" i="6992"/>
  <c r="H16" i="6992"/>
  <c r="C23" i="6992"/>
  <c r="B27" i="6992"/>
  <c r="H34" i="6992"/>
  <c r="H40" i="6992"/>
  <c r="H43" i="6992"/>
  <c r="H47" i="6992"/>
  <c r="P23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1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1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3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2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6" i="6982"/>
  <c r="H2" i="6982"/>
  <c r="H8" i="6982"/>
  <c r="H21" i="6982"/>
  <c r="H19" i="6982"/>
  <c r="C24" i="6982"/>
  <c r="B28" i="6982"/>
  <c r="H35" i="6982"/>
  <c r="H40" i="6982"/>
  <c r="H44" i="6982"/>
  <c r="H48" i="6982"/>
  <c r="H5" i="6982"/>
  <c r="H31" i="6982"/>
  <c r="H12" i="6982"/>
  <c r="H27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4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5" i="6982"/>
  <c r="H26" i="6982"/>
  <c r="H23" i="6982"/>
  <c r="C37" i="6982"/>
  <c r="C41" i="6982"/>
  <c r="C45" i="6982"/>
  <c r="C49" i="6982"/>
  <c r="H11" i="6982"/>
  <c r="H15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2" i="6980"/>
  <c r="H26" i="6980"/>
  <c r="H48" i="6980"/>
  <c r="H25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5" i="6980"/>
  <c r="H16" i="6980"/>
  <c r="C23" i="6980"/>
  <c r="B27" i="6980"/>
  <c r="H27" i="6980"/>
  <c r="H41" i="6980"/>
  <c r="H44" i="6980"/>
  <c r="H47" i="6980"/>
  <c r="H51" i="6980"/>
  <c r="H21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<sst xmlns="http://schemas.openxmlformats.org/spreadsheetml/2006/main" count="3559" uniqueCount="280">
  <si>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</si>
  <si>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</si>
  <si>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</si>
  <si>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</si>
  <si>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</si>
  <si>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</si>
  <si>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</si>
  <si>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</si>
  <si>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</si>
  <si>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</si>
  <si>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</si>
  <si>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</si>
  <si>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</si>
  <si>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</si>
  <si>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</si>
  <si>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</si>
  <si>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</si>
  <si>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</si>
  <si>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</si>
  <si>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</si>
  <si>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</si>
  <si>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</si>
  <si>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</si>
  <si>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</si>
  <si>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</si>
  <si>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</si>
  <si>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</si>
  <si>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</si>
  <si>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</si>
  <si>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</si>
  <si>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</si>
  <si>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</si>
  <si>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</si>
  <si>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</si>
  <si>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</si>
  <si>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</si>
  <si>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</si>
  <si>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</si>
  <si>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</si>
  <si>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</si>
  <si>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</si>
  <si>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</si>
  <si>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</si>
  <si>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</si>
  <si>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</si>
  <si>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</si>
  <si>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</si>
  <si>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</si>
  <si>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</si>
  <si>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</si>
  <si>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</si>
  <si>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</si>
  <si>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</si>
  <si>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</si>
  <si>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</si>
  <si>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</si>
  <si>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</si>
  <si>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</si>
  <si>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</si>
  <si>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</si>
  <si>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</si>
  <si>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</si>
  <si>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</si>
  <si>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</si>
  <si>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</si>
  <si>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</si>
  <si>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</si>
  <si>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</si>
  <si>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</si>
  <si>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</si>
  <si>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</si>
  <si>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</si>
  <si>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</si>
  <si>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</si>
  <si>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</si>
  <si>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</si>
  <si>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</si>
  <si>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</si>
  <si>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</si>
  <si>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</si>
  <si>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</si>
  <si>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</si>
  <si>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</si>
  <si>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</si>
  <si>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</si>
  <si>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</si>
  <si>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</si>
  <si>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</si>
  <si>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</si>
  <si>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</si>
  <si>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</si>
  <si>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</si>
  <si>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</si>
  <si>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</si>
  <si>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</si>
  <si>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</si>
  <si>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</si>
  <si>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</si>
  <si>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</si>
  <si>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</si>
  <si>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</si>
  <si>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</si>
  <si>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</si>
  <si>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</si>
  <si>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</si>
  <si>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</si>
  <si>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</si>
  <si>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</si>
  <si>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</si>
  <si>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</si>
  <si>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</si>
  <si>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</si>
  <si>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</si>
  <si>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</si>
  <si>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</si>
  <si>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</si>
  <si>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</si>
  <si>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</si>
  <si>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</si>
  <si>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</si>
  <si>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</si>
  <si>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</si>
  <si>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</si>
  <si>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</si>
  <si>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</si>
  <si>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</si>
  <si>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</si>
  <si>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</si>
  <si>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</si>
  <si>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</si>
  <si>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</si>
  <si>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</si>
  <si>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</si>
  <si>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</si>
  <si>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</si>
  <si>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</si>
  <si>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</si>
  <si>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</si>
  <si>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</si>
  <si>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</si>
  <si>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</si>
  <si>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</si>
  <si>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</si>
  <si>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</si>
  <si>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</si>
  <si>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</si>
  <si>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</si>
  <si>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</si>
  <si>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</si>
  <si>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</si>
  <si>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</si>
  <si>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</si>
  <si>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</si>
  <si>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</si>
  <si>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</si>
  <si>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</si>
  <si>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</si>
  <si>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</si>
  <si>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</si>
  <si>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</si>
  <si>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</si>
  <si>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</si>
  <si>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</si>
  <si>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</si>
  <si>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</si>
  <si>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</si>
  <si>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</si>
  <si>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</si>
  <si>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</si>
  <si>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</si>
  <si>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</si>
  <si>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</si>
  <si>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</si>
  <si>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</si>
  <si>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</si>
  <si>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</si>
  <si>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</si>
  <si>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</si>
  <si>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</si>
  <si>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</si>
  <si>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</si>
  <si>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</si>
  <si>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</si>
  <si>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</si>
  <si>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</si>
  <si>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</si>
  <si>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</si>
  <si>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</si>
  <si>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</si>
  <si>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</si>
  <si>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</si>
  <si>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</si>
  <si>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</si>
  <si>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</si>
  <si>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</si>
  <si>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</si>
  <si>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</si>
  <si>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</si>
  <si>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</si>
  <si>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</si>
  <si>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</si>
  <si>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</si>
  <si>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</si>
  <si>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</si>
  <si>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</si>
  <si>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</si>
  <si>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</si>
  <si>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</si>
  <si>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</si>
  <si>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</si>
  <si>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</si>
  <si>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</si>
  <si>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</si>
  <si>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</si>
  <si>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</si>
  <si>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</si>
  <si>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</si>
  <si>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</si>
  <si>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</si>
  <si>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</si>
  <si>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</si>
  <si>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</si>
  <si>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</si>
  <si>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</si>
  <si>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</si>
  <si>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</si>
  <si>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</si>
  <si>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</si>
  <si>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</si>
  <si>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</si>
  <si>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</si>
  <si>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</si>
  <si>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</si>
  <si>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</si>
  <si>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</si>
  <si>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</si>
  <si>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</si>
  <si>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</si>
  <si>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</si>
  <si>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</si>
  <si>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</si>
  <si>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</si>
  <si>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</si>
  <si>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</si>
  <si>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</si>
  <si>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</si>
  <si>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</si>
  <si>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</si>
  <si>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</si>
  <si>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</si>
  <si>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</si>
  <si>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</si>
  <si>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</si>
  <si>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</si>
  <si>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</si>
  <si>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</si>
  <si>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</si>
  <si>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</si>
  <si>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</si>
  <si>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</si>
  <si>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</si>
  <si>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</si>
  <si>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</si>
  <si>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</si>
  <si>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</si>
  <si>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</si>
  <si>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</si>
  <si>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</si>
  <si>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</si>
  <si>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</si>
  <si>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</si>
  <si>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</si>
  <si>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</si>
  <si>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</si>
  <si>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</si>
  <si>
    <t>2021-01-29@0.xlsm</t>
  </si>
  <si>
    <t>2021-01-30@AllStar.xlsm</t>
  </si>
  <si>
    <t>Sheet8</t>
  </si>
  <si>
    <t>2021-02-02@0.xlsm</t>
  </si>
  <si>
    <t>2021-02-06@2.xlsm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</si>
</sst>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  <c:pt idx="451">
                  <c:v>30.800000000000047</c:v>
                </c:pt>
                <c:pt idx="452">
                  <c:v>33.400000000000048</c:v>
                </c:pt>
                <c:pt idx="453">
                  <c:v>4.9737991503207013E-14</c:v>
                </c:pt>
                <c:pt idx="454">
                  <c:v>26.900000000000048</c:v>
                </c:pt>
                <c:pt idx="455">
                  <c:v>21.900000000000048</c:v>
                </c:pt>
                <c:pt idx="456">
                  <c:v>4.9737991503207013E-14</c:v>
                </c:pt>
                <c:pt idx="457">
                  <c:v>57.00000000000005</c:v>
                </c:pt>
                <c:pt idx="458">
                  <c:v>11.400000000000048</c:v>
                </c:pt>
                <c:pt idx="459">
                  <c:v>4.7961634663806763E-14</c:v>
                </c:pt>
                <c:pt idx="460">
                  <c:v>8.3000000000000487</c:v>
                </c:pt>
                <c:pt idx="461">
                  <c:v>-27.899999999999956</c:v>
                </c:pt>
                <c:pt idx="462">
                  <c:v>4.2632564145606011E-14</c:v>
                </c:pt>
                <c:pt idx="463">
                  <c:v>2.6000000000000427</c:v>
                </c:pt>
                <c:pt idx="464">
                  <c:v>23.200000000000045</c:v>
                </c:pt>
                <c:pt idx="465">
                  <c:v>4.6185277824406512E-14</c:v>
                </c:pt>
                <c:pt idx="466">
                  <c:v>-43.899999999999949</c:v>
                </c:pt>
                <c:pt idx="467">
                  <c:v>-35.399999999999949</c:v>
                </c:pt>
                <c:pt idx="468">
                  <c:v>4.9737991503207013E-14</c:v>
                </c:pt>
                <c:pt idx="469">
                  <c:v>75.700000000000045</c:v>
                </c:pt>
                <c:pt idx="470">
                  <c:v>8.9000000000000483</c:v>
                </c:pt>
                <c:pt idx="471">
                  <c:v>4.7961634663806763E-14</c:v>
                </c:pt>
                <c:pt idx="472">
                  <c:v>29.50000000000005</c:v>
                </c:pt>
                <c:pt idx="473">
                  <c:v>39.00000000000005</c:v>
                </c:pt>
                <c:pt idx="474">
                  <c:v>4.9737991503207013E-14</c:v>
                </c:pt>
                <c:pt idx="475">
                  <c:v>-16.399999999999949</c:v>
                </c:pt>
                <c:pt idx="476">
                  <c:v>3.1000000000000512</c:v>
                </c:pt>
                <c:pt idx="477">
                  <c:v>5.1070259132757201E-14</c:v>
                </c:pt>
                <c:pt idx="478">
                  <c:v>-38.49999999999995</c:v>
                </c:pt>
                <c:pt idx="479">
                  <c:v>-64.599999999999952</c:v>
                </c:pt>
                <c:pt idx="480">
                  <c:v>4.2632564145606011E-14</c:v>
                </c:pt>
                <c:pt idx="481">
                  <c:v>-24.599999999999959</c:v>
                </c:pt>
                <c:pt idx="482">
                  <c:v>3.8000000000000398</c:v>
                </c:pt>
                <c:pt idx="483">
                  <c:v>3.9968028886505635E-14</c:v>
                </c:pt>
                <c:pt idx="484">
                  <c:v>11.700000000000038</c:v>
                </c:pt>
                <c:pt idx="485">
                  <c:v>43.000000000000043</c:v>
                </c:pt>
                <c:pt idx="486">
                  <c:v>4.2632564145606011E-14</c:v>
                </c:pt>
                <c:pt idx="487">
                  <c:v>-42.799999999999955</c:v>
                </c:pt>
                <c:pt idx="488">
                  <c:v>-2.4999999999999574</c:v>
                </c:pt>
                <c:pt idx="489">
                  <c:v>4.2632564145606011E-14</c:v>
                </c:pt>
                <c:pt idx="490">
                  <c:v>-30.299999999999958</c:v>
                </c:pt>
                <c:pt idx="491">
                  <c:v>-22.899999999999956</c:v>
                </c:pt>
                <c:pt idx="492">
                  <c:v>4.2632564145606011E-14</c:v>
                </c:pt>
                <c:pt idx="493">
                  <c:v>-20.899999999999956</c:v>
                </c:pt>
                <c:pt idx="494">
                  <c:v>-24.399999999999956</c:v>
                </c:pt>
                <c:pt idx="495">
                  <c:v>4.2632564145606011E-14</c:v>
                </c:pt>
                <c:pt idx="496">
                  <c:v>1.5000000000000426</c:v>
                </c:pt>
                <c:pt idx="497">
                  <c:v>-33.099999999999959</c:v>
                </c:pt>
                <c:pt idx="498">
                  <c:v>4.2632564145606011E-14</c:v>
                </c:pt>
                <c:pt idx="499">
                  <c:v>-39.499999999999957</c:v>
                </c:pt>
                <c:pt idx="500">
                  <c:v>-46.69999999999996</c:v>
                </c:pt>
                <c:pt idx="501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-32.128514056224901</c:v>
                </c:pt>
                <c:pt idx="1">
                  <c:v>8.2304526748971192</c:v>
                </c:pt>
                <c:pt idx="2">
                  <c:v>8.2815734989648035</c:v>
                </c:pt>
                <c:pt idx="3">
                  <c:v>-4.329004329004329</c:v>
                </c:pt>
                <c:pt idx="4">
                  <c:v>9.3896713615023479</c:v>
                </c:pt>
                <c:pt idx="5">
                  <c:v>13.774104683195592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90</c:v>
                </c:pt>
                <c:pt idx="1">
                  <c:v>228</c:v>
                </c:pt>
                <c:pt idx="2">
                  <c:v>244</c:v>
                </c:pt>
                <c:pt idx="3">
                  <c:v>244</c:v>
                </c:pt>
                <c:pt idx="4">
                  <c:v>185</c:v>
                </c:pt>
                <c:pt idx="5">
                  <c:v>123</c:v>
                </c:pt>
                <c:pt idx="6">
                  <c:v>58</c:v>
                </c:pt>
                <c:pt idx="7">
                  <c:v>39</c:v>
                </c:pt>
                <c:pt idx="8">
                  <c:v>21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全体!$M$2:$M$503</c:f>
              <c:numCache>
                <c:formatCode>0</c:formatCode>
                <c:ptCount val="50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  <c:pt idx="451">
                  <c:v>1616.9311385103581</c:v>
                </c:pt>
                <c:pt idx="452">
                  <c:v>1617.4955516792959</c:v>
                </c:pt>
                <c:pt idx="453">
                  <c:v>1611.5765783692202</c:v>
                </c:pt>
                <c:pt idx="454">
                  <c:v>1616.1751188990049</c:v>
                </c:pt>
                <c:pt idx="455">
                  <c:v>1615.004068185611</c:v>
                </c:pt>
                <c:pt idx="456">
                  <c:v>1610.7980437764973</c:v>
                </c:pt>
                <c:pt idx="457">
                  <c:v>1620.8192555138382</c:v>
                </c:pt>
                <c:pt idx="458">
                  <c:v>1612.3123399807553</c:v>
                </c:pt>
                <c:pt idx="459">
                  <c:v>1610.0124659408707</c:v>
                </c:pt>
                <c:pt idx="460">
                  <c:v>1611.2723911452256</c:v>
                </c:pt>
                <c:pt idx="461">
                  <c:v>1604.5147567983543</c:v>
                </c:pt>
                <c:pt idx="462">
                  <c:v>1609.3356682575641</c:v>
                </c:pt>
                <c:pt idx="463">
                  <c:v>1609.5736542480188</c:v>
                </c:pt>
                <c:pt idx="464">
                  <c:v>1613.0502123225306</c:v>
                </c:pt>
                <c:pt idx="465">
                  <c:v>1608.6219110485954</c:v>
                </c:pt>
                <c:pt idx="466">
                  <c:v>1600.4941795823038</c:v>
                </c:pt>
                <c:pt idx="467">
                  <c:v>1601.8472145048099</c:v>
                </c:pt>
                <c:pt idx="468">
                  <c:v>1608.0341312177811</c:v>
                </c:pt>
                <c:pt idx="469">
                  <c:v>1621.4379264304744</c:v>
                </c:pt>
                <c:pt idx="470">
                  <c:v>1609.1112988718914</c:v>
                </c:pt>
                <c:pt idx="471">
                  <c:v>1607.28063107866</c:v>
                </c:pt>
                <c:pt idx="472">
                  <c:v>1612.372947292188</c:v>
                </c:pt>
                <c:pt idx="473">
                  <c:v>1613.8347096084349</c:v>
                </c:pt>
                <c:pt idx="474">
                  <c:v>1606.5577013507843</c:v>
                </c:pt>
                <c:pt idx="475">
                  <c:v>1603.3923551426797</c:v>
                </c:pt>
                <c:pt idx="476">
                  <c:v>1606.7080010118236</c:v>
                </c:pt>
                <c:pt idx="477">
                  <c:v>1605.9357530057528</c:v>
                </c:pt>
                <c:pt idx="478">
                  <c:v>1598.5141384877184</c:v>
                </c:pt>
                <c:pt idx="479">
                  <c:v>1593.3690536567919</c:v>
                </c:pt>
                <c:pt idx="480">
                  <c:v>1604.5808393348511</c:v>
                </c:pt>
                <c:pt idx="481">
                  <c:v>1599.4293542988421</c:v>
                </c:pt>
                <c:pt idx="482">
                  <c:v>1603.8487781730491</c:v>
                </c:pt>
                <c:pt idx="483">
                  <c:v>1602.445685504011</c:v>
                </c:pt>
                <c:pt idx="484">
                  <c:v>1604.5730113909869</c:v>
                </c:pt>
                <c:pt idx="485">
                  <c:v>1610.2155733226409</c:v>
                </c:pt>
                <c:pt idx="486">
                  <c:v>1602.450279882705</c:v>
                </c:pt>
                <c:pt idx="487">
                  <c:v>1594.3355782034087</c:v>
                </c:pt>
                <c:pt idx="488">
                  <c:v>1601.2275647341883</c:v>
                </c:pt>
                <c:pt idx="489">
                  <c:v>1601.2741993457832</c:v>
                </c:pt>
                <c:pt idx="490">
                  <c:v>1595.4105541497086</c:v>
                </c:pt>
                <c:pt idx="491">
                  <c:v>1596.3680908248102</c:v>
                </c:pt>
                <c:pt idx="492">
                  <c:v>1600.1098822798613</c:v>
                </c:pt>
                <c:pt idx="493">
                  <c:v>1596.683222986182</c:v>
                </c:pt>
                <c:pt idx="494">
                  <c:v>1596.409123648265</c:v>
                </c:pt>
                <c:pt idx="495">
                  <c:v>1601.1586689063754</c:v>
                </c:pt>
                <c:pt idx="496">
                  <c:v>1601.7577168929372</c:v>
                </c:pt>
                <c:pt idx="497">
                  <c:v>1595.8551705915795</c:v>
                </c:pt>
                <c:pt idx="498">
                  <c:v>1602.1740395680301</c:v>
                </c:pt>
                <c:pt idx="499">
                  <c:v>1595.3869953306219</c:v>
                </c:pt>
                <c:pt idx="500">
                  <c:v>1594.454673358638</c:v>
                </c:pt>
                <c:pt idx="501">
                  <c:v>1603.2299453184862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だいち!$L$2:$L$144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  <c:pt idx="127">
                  <c:v>148.2999999999999</c:v>
                </c:pt>
                <c:pt idx="128">
                  <c:v>126.39999999999989</c:v>
                </c:pt>
                <c:pt idx="129">
                  <c:v>114.99999999999989</c:v>
                </c:pt>
                <c:pt idx="130">
                  <c:v>142.89999999999989</c:v>
                </c:pt>
                <c:pt idx="131">
                  <c:v>119.69999999999989</c:v>
                </c:pt>
                <c:pt idx="132">
                  <c:v>155.09999999999988</c:v>
                </c:pt>
                <c:pt idx="133">
                  <c:v>146.19999999999987</c:v>
                </c:pt>
                <c:pt idx="134">
                  <c:v>107.19999999999987</c:v>
                </c:pt>
                <c:pt idx="135">
                  <c:v>104.09999999999988</c:v>
                </c:pt>
                <c:pt idx="136">
                  <c:v>168.69999999999987</c:v>
                </c:pt>
                <c:pt idx="137">
                  <c:v>199.99999999999989</c:v>
                </c:pt>
                <c:pt idx="138">
                  <c:v>240.2999999999999</c:v>
                </c:pt>
                <c:pt idx="139">
                  <c:v>247.6999999999999</c:v>
                </c:pt>
                <c:pt idx="140">
                  <c:v>226.7999999999999</c:v>
                </c:pt>
                <c:pt idx="141">
                  <c:v>228.2999999999999</c:v>
                </c:pt>
                <c:pt idx="142">
                  <c:v>274.99999999999989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607.0921985815603</c:v>
                </c:pt>
                <c:pt idx="1">
                  <c:v>-148.17518248175182</c:v>
                </c:pt>
                <c:pt idx="2">
                  <c:v>-1349.2647058823529</c:v>
                </c:pt>
                <c:pt idx="3">
                  <c:v>1160.3053435114505</c:v>
                </c:pt>
                <c:pt idx="4">
                  <c:v>625.83333333333337</c:v>
                </c:pt>
                <c:pt idx="5">
                  <c:v>769.60784313725492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25</c:v>
                </c:pt>
                <c:pt idx="1">
                  <c:v>74</c:v>
                </c:pt>
                <c:pt idx="2">
                  <c:v>73</c:v>
                </c:pt>
                <c:pt idx="3">
                  <c:v>73</c:v>
                </c:pt>
                <c:pt idx="4">
                  <c:v>59</c:v>
                </c:pt>
                <c:pt idx="5">
                  <c:v>45</c:v>
                </c:pt>
                <c:pt idx="6">
                  <c:v>14</c:v>
                </c:pt>
                <c:pt idx="7">
                  <c:v>8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だいち!$M$2:$M$144</c:f>
              <c:numCache>
                <c:formatCode>0</c:formatCode>
                <c:ptCount val="143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  <c:pt idx="127">
                  <c:v>1740.9224663935174</c:v>
                </c:pt>
                <c:pt idx="128">
                  <c:v>1735.9609315951564</c:v>
                </c:pt>
                <c:pt idx="129">
                  <c:v>1732.9191660055853</c:v>
                </c:pt>
                <c:pt idx="130">
                  <c:v>1736.9696510095519</c:v>
                </c:pt>
                <c:pt idx="131">
                  <c:v>1731.7978331034944</c:v>
                </c:pt>
                <c:pt idx="132">
                  <c:v>1737.2050461048734</c:v>
                </c:pt>
                <c:pt idx="133">
                  <c:v>1734.6058158282442</c:v>
                </c:pt>
                <c:pt idx="134">
                  <c:v>1726.6041809332748</c:v>
                </c:pt>
                <c:pt idx="135">
                  <c:v>1725.1125558476751</c:v>
                </c:pt>
                <c:pt idx="136">
                  <c:v>1735.5338805125891</c:v>
                </c:pt>
                <c:pt idx="137">
                  <c:v>1740.3906772295136</c:v>
                </c:pt>
                <c:pt idx="138">
                  <c:v>1746.4063331661364</c:v>
                </c:pt>
                <c:pt idx="139">
                  <c:v>1746.4578951671397</c:v>
                </c:pt>
                <c:pt idx="140">
                  <c:v>1742.1531477961369</c:v>
                </c:pt>
                <c:pt idx="141">
                  <c:v>1741.9062289093602</c:v>
                </c:pt>
                <c:pt idx="142">
                  <c:v>1749.796791535904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  <c:pt idx="84">
                  <c:v>-180</c:v>
                </c:pt>
                <c:pt idx="85">
                  <c:v>-151.6</c:v>
                </c:pt>
                <c:pt idx="86">
                  <c:v>-194.6</c:v>
                </c:pt>
                <c:pt idx="87">
                  <c:v>-170.2</c:v>
                </c:pt>
                <c:pt idx="88">
                  <c:v>-204.79999999999998</c:v>
                </c:pt>
                <c:pt idx="89">
                  <c:v>-244.29999999999998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1247.1910112359551</c:v>
                </c:pt>
                <c:pt idx="1">
                  <c:v>-385.05747126436779</c:v>
                </c:pt>
                <c:pt idx="2">
                  <c:v>-972.09302325581393</c:v>
                </c:pt>
                <c:pt idx="3">
                  <c:v>-234.52380952380952</c:v>
                </c:pt>
                <c:pt idx="4">
                  <c:v>-183.11688311688312</c:v>
                </c:pt>
                <c:pt idx="5">
                  <c:v>-416.41791044776119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37</c:v>
                </c:pt>
                <c:pt idx="3">
                  <c:v>41</c:v>
                </c:pt>
                <c:pt idx="4">
                  <c:v>40</c:v>
                </c:pt>
                <c:pt idx="5">
                  <c:v>24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れんたろう!$M$2:$M$91</c:f>
              <c:numCache>
                <c:formatCode>0</c:formatCode>
                <c:ptCount val="9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  <c:pt idx="84">
                  <c:v>1616.7273241326677</c:v>
                </c:pt>
                <c:pt idx="85">
                  <c:v>1621.0429601878718</c:v>
                </c:pt>
                <c:pt idx="86">
                  <c:v>1613.2127024267445</c:v>
                </c:pt>
                <c:pt idx="87">
                  <c:v>1617.8614262121841</c:v>
                </c:pt>
                <c:pt idx="88">
                  <c:v>1611.862257654911</c:v>
                </c:pt>
                <c:pt idx="89">
                  <c:v>1605.0170841089816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  <c:pt idx="49">
                  <c:v>-70</c:v>
                </c:pt>
                <c:pt idx="50">
                  <c:v>-73.8</c:v>
                </c:pt>
                <c:pt idx="51">
                  <c:v>-62.099999999999994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-372.54901960784315</c:v>
                </c:pt>
                <c:pt idx="1">
                  <c:v>-370.58823529411762</c:v>
                </c:pt>
                <c:pt idx="2">
                  <c:v>1226</c:v>
                </c:pt>
                <c:pt idx="3">
                  <c:v>-1410</c:v>
                </c:pt>
                <c:pt idx="4">
                  <c:v>-841.66666666666663</c:v>
                </c:pt>
                <c:pt idx="5">
                  <c:v>-1140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17</c:v>
                </c:pt>
                <c:pt idx="1">
                  <c:v>27</c:v>
                </c:pt>
                <c:pt idx="2">
                  <c:v>30</c:v>
                </c:pt>
                <c:pt idx="3">
                  <c:v>28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たかの!$M$2:$M$53</c:f>
              <c:numCache>
                <c:formatCode>0</c:formatCode>
                <c:ptCount val="52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  <c:pt idx="49">
                  <c:v>1460.9652505396057</c:v>
                </c:pt>
                <c:pt idx="50">
                  <c:v>1460.4194590363682</c:v>
                </c:pt>
                <c:pt idx="51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-912</c:v>
                </c:pt>
                <c:pt idx="1">
                  <c:v>1166</c:v>
                </c:pt>
                <c:pt idx="2">
                  <c:v>2228</c:v>
                </c:pt>
                <c:pt idx="3">
                  <c:v>-382.97872340425533</c:v>
                </c:pt>
                <c:pt idx="4">
                  <c:v>257.14285714285717</c:v>
                </c:pt>
                <c:pt idx="5">
                  <c:v>1710.2564102564102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28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いちかわ!$M$2:$M$53</c:f>
              <c:numCache>
                <c:formatCode>0</c:formatCode>
                <c:ptCount val="5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  <c:pt idx="51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  <c:pt idx="65">
                  <c:v>411.49999999999994</c:v>
                </c:pt>
                <c:pt idx="66">
                  <c:v>444.59999999999997</c:v>
                </c:pt>
                <c:pt idx="67">
                  <c:v>437.4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-576.11940298507466</c:v>
                </c:pt>
                <c:pt idx="1">
                  <c:v>431.74603174603175</c:v>
                </c:pt>
                <c:pt idx="2">
                  <c:v>2280.9523809523807</c:v>
                </c:pt>
                <c:pt idx="3">
                  <c:v>2125</c:v>
                </c:pt>
                <c:pt idx="4">
                  <c:v>57.142857142857146</c:v>
                </c:pt>
                <c:pt idx="5">
                  <c:v>84.444444444444443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15</c:v>
                </c:pt>
                <c:pt idx="1">
                  <c:v>50</c:v>
                </c:pt>
                <c:pt idx="2">
                  <c:v>41</c:v>
                </c:pt>
                <c:pt idx="3">
                  <c:v>32</c:v>
                </c:pt>
                <c:pt idx="4">
                  <c:v>28</c:v>
                </c:pt>
                <c:pt idx="5">
                  <c:v>10</c:v>
                </c:pt>
                <c:pt idx="6">
                  <c:v>11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ただ!$M$2:$M$69</c:f>
              <c:numCache>
                <c:formatCode>0</c:formatCode>
                <c:ptCount val="68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  <c:pt idx="57">
                  <c:v>1590.0609404370073</c:v>
                </c:pt>
                <c:pt idx="58">
                  <c:v>1600.2065747943852</c:v>
                </c:pt>
                <c:pt idx="59">
                  <c:v>1601.5253353456189</c:v>
                </c:pt>
                <c:pt idx="60">
                  <c:v>1601.8101833335452</c:v>
                </c:pt>
                <c:pt idx="61">
                  <c:v>1593.723322233544</c:v>
                </c:pt>
                <c:pt idx="62">
                  <c:v>1607.2129823001428</c:v>
                </c:pt>
                <c:pt idx="63">
                  <c:v>1612.3057044063419</c:v>
                </c:pt>
                <c:pt idx="64">
                  <c:v>1609.1058701799038</c:v>
                </c:pt>
                <c:pt idx="65">
                  <c:v>1608.7572349588245</c:v>
                </c:pt>
                <c:pt idx="66">
                  <c:v>1614.9986915490715</c:v>
                </c:pt>
                <c:pt idx="67">
                  <c:v>1613.9486993997771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  <c:pt idx="25">
                  <c:v>-242.69999999999996</c:v>
                </c:pt>
                <c:pt idx="26">
                  <c:v>-267.29999999999995</c:v>
                </c:pt>
                <c:pt idx="27">
                  <c:v>-264.79999999999995</c:v>
                </c:pt>
                <c:pt idx="28">
                  <c:v>-241.89999999999995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-925</c:v>
                </c:pt>
                <c:pt idx="1">
                  <c:v>1073.0769230769231</c:v>
                </c:pt>
                <c:pt idx="2">
                  <c:v>-1900</c:v>
                </c:pt>
                <c:pt idx="3">
                  <c:v>-1257.6923076923076</c:v>
                </c:pt>
                <c:pt idx="4">
                  <c:v>-2520</c:v>
                </c:pt>
                <c:pt idx="5">
                  <c:v>-1127.2727272727273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りくと!$M$2:$M$30</c:f>
              <c:numCache>
                <c:formatCode>0</c:formatCode>
                <c:ptCount val="2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  <c:pt idx="17">
                  <c:v>1386.3964580576521</c:v>
                </c:pt>
                <c:pt idx="18">
                  <c:v>1379.2960793093062</c:v>
                </c:pt>
                <c:pt idx="19">
                  <c:v>1373.9303028334502</c:v>
                </c:pt>
                <c:pt idx="20">
                  <c:v>1378.8207210164496</c:v>
                </c:pt>
                <c:pt idx="21">
                  <c:v>1381.503796690351</c:v>
                </c:pt>
                <c:pt idx="22">
                  <c:v>1370.6167739102088</c:v>
                </c:pt>
                <c:pt idx="23">
                  <c:v>1373.5290732667477</c:v>
                </c:pt>
                <c:pt idx="24">
                  <c:v>1378.2238988271472</c:v>
                </c:pt>
                <c:pt idx="25">
                  <c:v>1374.4005554341843</c:v>
                </c:pt>
                <c:pt idx="26">
                  <c:v>1370.6301521015791</c:v>
                </c:pt>
                <c:pt idx="27">
                  <c:v>1372.0603711889696</c:v>
                </c:pt>
                <c:pt idx="28">
                  <c:v>1377.1480089618358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いっしー!$K$7:$L$7</c:f>
              <c:numCache>
                <c:formatCode>\+0.0;\-0.0;\±0</c:formatCode>
                <c:ptCount val="2"/>
                <c:pt idx="0" formatCode="General">
                  <c:v>5</c:v>
                </c:pt>
                <c:pt idx="1">
                  <c:v>-120.49999999999999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E-4F26-A631-5210B6DB0D1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いっしー!$K$8:$L$8</c:f>
              <c:numCache>
                <c:formatCode>\+0.0;\-0.0;\±0</c:formatCode>
                <c:ptCount val="2"/>
                <c:pt idx="0" formatCode="General">
                  <c:v>6</c:v>
                </c:pt>
                <c:pt idx="1">
                  <c:v>-150.79999999999998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6E-4F26-A631-5210B6DB0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-2716.6666666666665</c:v>
                </c:pt>
                <c:pt idx="1">
                  <c:v>-5900</c:v>
                </c:pt>
                <c:pt idx="2">
                  <c:v>83.333333333333329</c:v>
                </c:pt>
                <c:pt idx="3">
                  <c:v>-5580</c:v>
                </c:pt>
                <c:pt idx="4">
                  <c:v>-3240</c:v>
                </c:pt>
                <c:pt idx="5">
                  <c:v>-1775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いっしー!$M$2:$M$8</c:f>
              <c:numCache>
                <c:formatCode>0</c:formatCode>
                <c:ptCount val="7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  <c:pt idx="5">
                  <c:v>1482.1167707889801</c:v>
                </c:pt>
                <c:pt idx="6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ただ2!$B$3:$B$70</c:f>
              <c:numCache>
                <c:formatCode>\+0.0;\-0.0;\±0</c:formatCode>
                <c:ptCount val="6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  <c:pt idx="65">
                  <c:v>411.49999999999994</c:v>
                </c:pt>
                <c:pt idx="66">
                  <c:v>444.59999999999997</c:v>
                </c:pt>
                <c:pt idx="67">
                  <c:v>437.4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ただ2!$C$3:$C$70</c:f>
              <c:numCache>
                <c:formatCode>\+0.0;\-0.0;\±0</c:formatCode>
                <c:ptCount val="68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  <c:pt idx="39">
                  <c:v>9.4999999999999982</c:v>
                </c:pt>
                <c:pt idx="40">
                  <c:v>7.9324999999999992</c:v>
                </c:pt>
                <c:pt idx="41">
                  <c:v>6.9878048780487791</c:v>
                </c:pt>
                <c:pt idx="42">
                  <c:v>5.5619047619047608</c:v>
                </c:pt>
                <c:pt idx="43">
                  <c:v>5.4441860465116267</c:v>
                </c:pt>
                <c:pt idx="44">
                  <c:v>5.4863636363636354</c:v>
                </c:pt>
                <c:pt idx="45">
                  <c:v>5.0866666666666651</c:v>
                </c:pt>
                <c:pt idx="46">
                  <c:v>5.0195652173913032</c:v>
                </c:pt>
                <c:pt idx="47">
                  <c:v>4.744680851063829</c:v>
                </c:pt>
                <c:pt idx="48">
                  <c:v>5.456249999999998</c:v>
                </c:pt>
                <c:pt idx="49">
                  <c:v>5.0653061224489786</c:v>
                </c:pt>
                <c:pt idx="50">
                  <c:v>4.6259999999999986</c:v>
                </c:pt>
                <c:pt idx="51">
                  <c:v>5.1274509803921555</c:v>
                </c:pt>
                <c:pt idx="52">
                  <c:v>5.7307692307692299</c:v>
                </c:pt>
                <c:pt idx="53">
                  <c:v>5.6679245283018851</c:v>
                </c:pt>
                <c:pt idx="54">
                  <c:v>5.6685185185185167</c:v>
                </c:pt>
                <c:pt idx="55">
                  <c:v>5.5836363636363622</c:v>
                </c:pt>
                <c:pt idx="56">
                  <c:v>4.9160714285714269</c:v>
                </c:pt>
                <c:pt idx="57">
                  <c:v>5.3017543859649097</c:v>
                </c:pt>
                <c:pt idx="58">
                  <c:v>6.1931034482758598</c:v>
                </c:pt>
                <c:pt idx="59">
                  <c:v>6.228813559322032</c:v>
                </c:pt>
                <c:pt idx="60">
                  <c:v>6.1683333333333321</c:v>
                </c:pt>
                <c:pt idx="61">
                  <c:v>5.3475409836065566</c:v>
                </c:pt>
                <c:pt idx="62">
                  <c:v>6.4822580645161274</c:v>
                </c:pt>
                <c:pt idx="63">
                  <c:v>6.8476190476190464</c:v>
                </c:pt>
                <c:pt idx="64">
                  <c:v>6.4843749999999991</c:v>
                </c:pt>
                <c:pt idx="65">
                  <c:v>6.3307692307692296</c:v>
                </c:pt>
                <c:pt idx="66">
                  <c:v>6.7363636363636354</c:v>
                </c:pt>
                <c:pt idx="67">
                  <c:v>6.5283582089552237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509493841438326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ただ2!$D$3:$D$70</c:f>
              <c:numCache>
                <c:formatCode>0.00\ "位"</c:formatCode>
                <c:ptCount val="68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  <c:pt idx="39">
                  <c:v>1.6923076923076923</c:v>
                </c:pt>
                <c:pt idx="40">
                  <c:v>1.7250000000000001</c:v>
                </c:pt>
                <c:pt idx="41">
                  <c:v>1.7560975609756098</c:v>
                </c:pt>
                <c:pt idx="42">
                  <c:v>1.7857142857142858</c:v>
                </c:pt>
                <c:pt idx="43">
                  <c:v>1.7906976744186047</c:v>
                </c:pt>
                <c:pt idx="44">
                  <c:v>1.7954545454545454</c:v>
                </c:pt>
                <c:pt idx="45">
                  <c:v>1.8222222222222222</c:v>
                </c:pt>
                <c:pt idx="46">
                  <c:v>1.826086956521739</c:v>
                </c:pt>
                <c:pt idx="47">
                  <c:v>1.8297872340425532</c:v>
                </c:pt>
                <c:pt idx="48">
                  <c:v>1.8125</c:v>
                </c:pt>
                <c:pt idx="49">
                  <c:v>1.8367346938775511</c:v>
                </c:pt>
                <c:pt idx="50">
                  <c:v>1.84</c:v>
                </c:pt>
                <c:pt idx="51">
                  <c:v>1.8235294117647058</c:v>
                </c:pt>
                <c:pt idx="52">
                  <c:v>1.8076923076923077</c:v>
                </c:pt>
                <c:pt idx="53">
                  <c:v>1.8113207547169812</c:v>
                </c:pt>
                <c:pt idx="54">
                  <c:v>1.8148148148148149</c:v>
                </c:pt>
                <c:pt idx="55">
                  <c:v>1.8181818181818181</c:v>
                </c:pt>
                <c:pt idx="56">
                  <c:v>1.8392857142857142</c:v>
                </c:pt>
                <c:pt idx="57">
                  <c:v>1.8245614035087718</c:v>
                </c:pt>
                <c:pt idx="58">
                  <c:v>1.8103448275862069</c:v>
                </c:pt>
                <c:pt idx="59">
                  <c:v>1.8135593220338984</c:v>
                </c:pt>
                <c:pt idx="60">
                  <c:v>1.8166666666666667</c:v>
                </c:pt>
                <c:pt idx="61">
                  <c:v>1.8360655737704918</c:v>
                </c:pt>
                <c:pt idx="62">
                  <c:v>1.8225806451612903</c:v>
                </c:pt>
                <c:pt idx="63">
                  <c:v>1.8095238095238095</c:v>
                </c:pt>
                <c:pt idx="64">
                  <c:v>1.828125</c:v>
                </c:pt>
                <c:pt idx="65">
                  <c:v>1.8307692307692307</c:v>
                </c:pt>
                <c:pt idx="66">
                  <c:v>1.8181818181818181</c:v>
                </c:pt>
                <c:pt idx="67">
                  <c:v>1.8208955223880596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800399201596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ただ2!$E$3:$E$70</c:f>
              <c:numCache>
                <c:formatCode>0.0%</c:formatCode>
                <c:ptCount val="68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  <c:pt idx="40">
                  <c:v>0.47499999999999998</c:v>
                </c:pt>
                <c:pt idx="41">
                  <c:v>0.46341463414634149</c:v>
                </c:pt>
                <c:pt idx="42">
                  <c:v>0.45238095238095238</c:v>
                </c:pt>
                <c:pt idx="43">
                  <c:v>0.44186046511627908</c:v>
                </c:pt>
                <c:pt idx="44">
                  <c:v>0.43181818181818182</c:v>
                </c:pt>
                <c:pt idx="45">
                  <c:v>0.42222222222222222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0.41666666666666669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0.42307692307692307</c:v>
                </c:pt>
                <c:pt idx="53">
                  <c:v>0.41509433962264153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0.41379310344827586</c:v>
                </c:pt>
                <c:pt idx="59">
                  <c:v>0.40677966101694918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</c:v>
                </c:pt>
                <c:pt idx="66">
                  <c:v>0.40909090909090912</c:v>
                </c:pt>
                <c:pt idx="67">
                  <c:v>0.40298507462686567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32934131736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ただ2!$F$3:$F$70</c:f>
              <c:numCache>
                <c:formatCode>0.0%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0.23404255319148937</c:v>
                </c:pt>
                <c:pt idx="48">
                  <c:v>0.22916666666666666</c:v>
                </c:pt>
                <c:pt idx="49">
                  <c:v>0.24489795918367346</c:v>
                </c:pt>
                <c:pt idx="50">
                  <c:v>0.24</c:v>
                </c:pt>
                <c:pt idx="51">
                  <c:v>0.23529411764705882</c:v>
                </c:pt>
                <c:pt idx="52">
                  <c:v>0.23076923076923078</c:v>
                </c:pt>
                <c:pt idx="53">
                  <c:v>0.22641509433962265</c:v>
                </c:pt>
                <c:pt idx="54">
                  <c:v>0.22222222222222221</c:v>
                </c:pt>
                <c:pt idx="55">
                  <c:v>0.21818181818181817</c:v>
                </c:pt>
                <c:pt idx="56">
                  <c:v>0.23214285714285715</c:v>
                </c:pt>
                <c:pt idx="57">
                  <c:v>0.22807017543859648</c:v>
                </c:pt>
                <c:pt idx="58">
                  <c:v>0.22413793103448276</c:v>
                </c:pt>
                <c:pt idx="59">
                  <c:v>0.22033898305084745</c:v>
                </c:pt>
                <c:pt idx="60">
                  <c:v>0.21666666666666667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0.22222222222222221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ただ2!$G$3:$G$70</c:f>
              <c:numCache>
                <c:formatCode>0.0%</c:formatCode>
                <c:ptCount val="68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  <c:pt idx="39">
                  <c:v>0.34925373134328358</c:v>
                </c:pt>
                <c:pt idx="40">
                  <c:v>0.33913043478260868</c:v>
                </c:pt>
                <c:pt idx="41">
                  <c:v>0.3342696629213483</c:v>
                </c:pt>
                <c:pt idx="42">
                  <c:v>0.32970027247956402</c:v>
                </c:pt>
                <c:pt idx="43">
                  <c:v>0.32887700534759357</c:v>
                </c:pt>
                <c:pt idx="44">
                  <c:v>0.32808398950131235</c:v>
                </c:pt>
                <c:pt idx="45">
                  <c:v>0.32736572890025578</c:v>
                </c:pt>
                <c:pt idx="46">
                  <c:v>0.32663316582914576</c:v>
                </c:pt>
                <c:pt idx="47">
                  <c:v>0.32839506172839505</c:v>
                </c:pt>
                <c:pt idx="48">
                  <c:v>0.33574879227053139</c:v>
                </c:pt>
                <c:pt idx="49">
                  <c:v>0.33412322274881517</c:v>
                </c:pt>
                <c:pt idx="50">
                  <c:v>0.32943925233644861</c:v>
                </c:pt>
                <c:pt idx="51">
                  <c:v>0.33179723502304148</c:v>
                </c:pt>
                <c:pt idx="52">
                  <c:v>0.3355855855855856</c:v>
                </c:pt>
                <c:pt idx="53">
                  <c:v>0.33555555555555555</c:v>
                </c:pt>
                <c:pt idx="54">
                  <c:v>0.33839479392624727</c:v>
                </c:pt>
                <c:pt idx="55">
                  <c:v>0.33832976445396146</c:v>
                </c:pt>
                <c:pt idx="56">
                  <c:v>0.33540372670807456</c:v>
                </c:pt>
                <c:pt idx="57">
                  <c:v>0.33604887983706722</c:v>
                </c:pt>
                <c:pt idx="58">
                  <c:v>0.34337349397590361</c:v>
                </c:pt>
                <c:pt idx="59">
                  <c:v>0.34387351778656128</c:v>
                </c:pt>
                <c:pt idx="60">
                  <c:v>0.34689922480620156</c:v>
                </c:pt>
                <c:pt idx="61">
                  <c:v>0.34476190476190477</c:v>
                </c:pt>
                <c:pt idx="62">
                  <c:v>0.34774436090225563</c:v>
                </c:pt>
                <c:pt idx="63">
                  <c:v>0.34944237918215615</c:v>
                </c:pt>
                <c:pt idx="64">
                  <c:v>0.34615384615384615</c:v>
                </c:pt>
                <c:pt idx="65">
                  <c:v>0.34719710669077758</c:v>
                </c:pt>
                <c:pt idx="66">
                  <c:v>0.34759358288770054</c:v>
                </c:pt>
                <c:pt idx="67">
                  <c:v>0.34622144112478032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9141660851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ただ2!$H$3:$H$70</c:f>
              <c:numCache>
                <c:formatCode>0.0%</c:formatCode>
                <c:ptCount val="68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  <c:pt idx="39">
                  <c:v>0.11940298507462686</c:v>
                </c:pt>
                <c:pt idx="40">
                  <c:v>0.12173913043478261</c:v>
                </c:pt>
                <c:pt idx="41">
                  <c:v>0.12359550561797752</c:v>
                </c:pt>
                <c:pt idx="42">
                  <c:v>0.1226158038147139</c:v>
                </c:pt>
                <c:pt idx="43">
                  <c:v>0.12032085561497326</c:v>
                </c:pt>
                <c:pt idx="44">
                  <c:v>0.11811023622047244</c:v>
                </c:pt>
                <c:pt idx="45">
                  <c:v>0.11508951406649616</c:v>
                </c:pt>
                <c:pt idx="46">
                  <c:v>0.11306532663316583</c:v>
                </c:pt>
                <c:pt idx="47">
                  <c:v>0.11604938271604938</c:v>
                </c:pt>
                <c:pt idx="48">
                  <c:v>0.11352657004830918</c:v>
                </c:pt>
                <c:pt idx="49">
                  <c:v>0.11611374407582939</c:v>
                </c:pt>
                <c:pt idx="50">
                  <c:v>0.1191588785046729</c:v>
                </c:pt>
                <c:pt idx="51">
                  <c:v>0.11751152073732719</c:v>
                </c:pt>
                <c:pt idx="52">
                  <c:v>0.11711711711711711</c:v>
                </c:pt>
                <c:pt idx="53">
                  <c:v>0.12</c:v>
                </c:pt>
                <c:pt idx="54">
                  <c:v>0.11713665943600868</c:v>
                </c:pt>
                <c:pt idx="55">
                  <c:v>0.11563169164882227</c:v>
                </c:pt>
                <c:pt idx="56">
                  <c:v>0.12215320910973085</c:v>
                </c:pt>
                <c:pt idx="57">
                  <c:v>0.12016293279022404</c:v>
                </c:pt>
                <c:pt idx="58">
                  <c:v>0.11847389558232932</c:v>
                </c:pt>
                <c:pt idx="59">
                  <c:v>0.11857707509881422</c:v>
                </c:pt>
                <c:pt idx="60">
                  <c:v>0.11627906976744186</c:v>
                </c:pt>
                <c:pt idx="61">
                  <c:v>0.1180952380952381</c:v>
                </c:pt>
                <c:pt idx="62">
                  <c:v>0.11654135338345864</c:v>
                </c:pt>
                <c:pt idx="63">
                  <c:v>0.11895910780669144</c:v>
                </c:pt>
                <c:pt idx="64">
                  <c:v>0.12087912087912088</c:v>
                </c:pt>
                <c:pt idx="65">
                  <c:v>0.12115732368896925</c:v>
                </c:pt>
                <c:pt idx="66">
                  <c:v>0.12121212121212122</c:v>
                </c:pt>
                <c:pt idx="67">
                  <c:v>0.1195079086115993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264014887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ただ2!$I$3:$I$70</c:f>
              <c:numCache>
                <c:formatCode>0</c:formatCode>
                <c:ptCount val="68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  <c:pt idx="39">
                  <c:v>7710.2564102564102</c:v>
                </c:pt>
                <c:pt idx="40">
                  <c:v>7710.2564102564102</c:v>
                </c:pt>
                <c:pt idx="41">
                  <c:v>7712.6050420168067</c:v>
                </c:pt>
                <c:pt idx="42">
                  <c:v>7631.4049586776855</c:v>
                </c:pt>
                <c:pt idx="43">
                  <c:v>7573.1707317073169</c:v>
                </c:pt>
                <c:pt idx="44">
                  <c:v>7534.4</c:v>
                </c:pt>
                <c:pt idx="45">
                  <c:v>7482.8125</c:v>
                </c:pt>
                <c:pt idx="46">
                  <c:v>7520.7692307692305</c:v>
                </c:pt>
                <c:pt idx="47">
                  <c:v>7401.5037593984962</c:v>
                </c:pt>
                <c:pt idx="48">
                  <c:v>7306.4748201438852</c:v>
                </c:pt>
                <c:pt idx="49">
                  <c:v>7300</c:v>
                </c:pt>
                <c:pt idx="50">
                  <c:v>7300</c:v>
                </c:pt>
                <c:pt idx="51">
                  <c:v>7267.3611111111113</c:v>
                </c:pt>
                <c:pt idx="52">
                  <c:v>7322.1476510067114</c:v>
                </c:pt>
                <c:pt idx="53">
                  <c:v>7384.1059602649011</c:v>
                </c:pt>
                <c:pt idx="54">
                  <c:v>7321.7948717948721</c:v>
                </c:pt>
                <c:pt idx="55">
                  <c:v>7292.4050632911394</c:v>
                </c:pt>
                <c:pt idx="56">
                  <c:v>7298.7654320987658</c:v>
                </c:pt>
                <c:pt idx="57">
                  <c:v>7335.151515151515</c:v>
                </c:pt>
                <c:pt idx="58">
                  <c:v>7326.3157894736842</c:v>
                </c:pt>
                <c:pt idx="59">
                  <c:v>7296.5517241379312</c:v>
                </c:pt>
                <c:pt idx="60">
                  <c:v>7253.0726256983244</c:v>
                </c:pt>
                <c:pt idx="61">
                  <c:v>7228.1767955801106</c:v>
                </c:pt>
                <c:pt idx="62">
                  <c:v>7372.9729729729734</c:v>
                </c:pt>
                <c:pt idx="63">
                  <c:v>7432.4468085106382</c:v>
                </c:pt>
                <c:pt idx="64">
                  <c:v>7403.7037037037035</c:v>
                </c:pt>
                <c:pt idx="65">
                  <c:v>7370.833333333333</c:v>
                </c:pt>
                <c:pt idx="66">
                  <c:v>7493.333333333333</c:v>
                </c:pt>
                <c:pt idx="67">
                  <c:v>7488.8324873096444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13.4920634920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ただ2!$J$3:$J$70</c:f>
              <c:numCache>
                <c:formatCode>0</c:formatCode>
                <c:ptCount val="68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  <c:pt idx="39">
                  <c:v>-7302.5</c:v>
                </c:pt>
                <c:pt idx="40">
                  <c:v>-7366.666666666667</c:v>
                </c:pt>
                <c:pt idx="41">
                  <c:v>-7654.545454545455</c:v>
                </c:pt>
                <c:pt idx="42">
                  <c:v>-8017.7777777777774</c:v>
                </c:pt>
                <c:pt idx="43">
                  <c:v>-8017.7777777777774</c:v>
                </c:pt>
                <c:pt idx="44">
                  <c:v>-8017.7777777777774</c:v>
                </c:pt>
                <c:pt idx="45">
                  <c:v>-8017.7777777777774</c:v>
                </c:pt>
                <c:pt idx="46">
                  <c:v>-8017.7777777777774</c:v>
                </c:pt>
                <c:pt idx="47">
                  <c:v>-7774.4680851063831</c:v>
                </c:pt>
                <c:pt idx="48">
                  <c:v>-7774.4680851063831</c:v>
                </c:pt>
                <c:pt idx="49">
                  <c:v>-7693.8775510204077</c:v>
                </c:pt>
                <c:pt idx="50">
                  <c:v>-7507.8431372549021</c:v>
                </c:pt>
                <c:pt idx="51">
                  <c:v>-7507.8431372549021</c:v>
                </c:pt>
                <c:pt idx="52">
                  <c:v>-7671.1538461538457</c:v>
                </c:pt>
                <c:pt idx="53">
                  <c:v>-7731.4814814814818</c:v>
                </c:pt>
                <c:pt idx="54">
                  <c:v>-7731.4814814814818</c:v>
                </c:pt>
                <c:pt idx="55">
                  <c:v>-7731.4814814814818</c:v>
                </c:pt>
                <c:pt idx="56">
                  <c:v>-7877.9661016949149</c:v>
                </c:pt>
                <c:pt idx="57">
                  <c:v>-7877.9661016949149</c:v>
                </c:pt>
                <c:pt idx="58">
                  <c:v>-7877.9661016949149</c:v>
                </c:pt>
                <c:pt idx="59">
                  <c:v>-7780</c:v>
                </c:pt>
                <c:pt idx="60">
                  <c:v>-7780</c:v>
                </c:pt>
                <c:pt idx="61">
                  <c:v>-7916.1290322580644</c:v>
                </c:pt>
                <c:pt idx="62">
                  <c:v>-7916.1290322580644</c:v>
                </c:pt>
                <c:pt idx="63">
                  <c:v>-7814.0625</c:v>
                </c:pt>
                <c:pt idx="64">
                  <c:v>-7636.363636363636</c:v>
                </c:pt>
                <c:pt idx="65">
                  <c:v>-7565.6716417910447</c:v>
                </c:pt>
                <c:pt idx="66">
                  <c:v>-7492.6470588235297</c:v>
                </c:pt>
                <c:pt idx="67">
                  <c:v>-7492.6470588235297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7.80938833570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ただ2!$K$3:$K$70</c:f>
              <c:numCache>
                <c:formatCode>0.0%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6.6666666666666666E-2</c:v>
                </c:pt>
                <c:pt idx="61">
                  <c:v>6.5573770491803282E-2</c:v>
                </c:pt>
                <c:pt idx="62">
                  <c:v>6.4516129032258063E-2</c:v>
                </c:pt>
                <c:pt idx="63">
                  <c:v>6.3492063492063489E-2</c:v>
                </c:pt>
                <c:pt idx="64">
                  <c:v>6.25E-2</c:v>
                </c:pt>
                <c:pt idx="65">
                  <c:v>6.1538461538461542E-2</c:v>
                </c:pt>
                <c:pt idx="66">
                  <c:v>6.0606060606060608E-2</c:v>
                </c:pt>
                <c:pt idx="67">
                  <c:v>5.9701492537313432E-2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83233532934131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ただ2!$L$3:$L$70</c:f>
              <c:numCache>
                <c:formatCode>0.0%</c:formatCode>
                <c:ptCount val="68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  <c:pt idx="39">
                  <c:v>0.20895522388059701</c:v>
                </c:pt>
                <c:pt idx="40">
                  <c:v>0.20869565217391303</c:v>
                </c:pt>
                <c:pt idx="41">
                  <c:v>0.2050561797752809</c:v>
                </c:pt>
                <c:pt idx="42">
                  <c:v>0.20708446866485014</c:v>
                </c:pt>
                <c:pt idx="43">
                  <c:v>0.20320855614973263</c:v>
                </c:pt>
                <c:pt idx="44">
                  <c:v>0.20209973753280841</c:v>
                </c:pt>
                <c:pt idx="45">
                  <c:v>0.20204603580562661</c:v>
                </c:pt>
                <c:pt idx="46">
                  <c:v>0.20351758793969849</c:v>
                </c:pt>
                <c:pt idx="47">
                  <c:v>0.20246913580246914</c:v>
                </c:pt>
                <c:pt idx="48">
                  <c:v>0.20289855072463769</c:v>
                </c:pt>
                <c:pt idx="49">
                  <c:v>0.2014218009478673</c:v>
                </c:pt>
                <c:pt idx="50">
                  <c:v>0.19859813084112149</c:v>
                </c:pt>
                <c:pt idx="51">
                  <c:v>0.20046082949308755</c:v>
                </c:pt>
                <c:pt idx="52">
                  <c:v>0.20045045045045046</c:v>
                </c:pt>
                <c:pt idx="53">
                  <c:v>0.19777777777777777</c:v>
                </c:pt>
                <c:pt idx="54">
                  <c:v>0.19956616052060738</c:v>
                </c:pt>
                <c:pt idx="55">
                  <c:v>0.19914346895074947</c:v>
                </c:pt>
                <c:pt idx="56">
                  <c:v>0.20082815734989648</c:v>
                </c:pt>
                <c:pt idx="57">
                  <c:v>0.19755600814663951</c:v>
                </c:pt>
                <c:pt idx="58">
                  <c:v>0.20281124497991967</c:v>
                </c:pt>
                <c:pt idx="59">
                  <c:v>0.2075098814229249</c:v>
                </c:pt>
                <c:pt idx="60">
                  <c:v>0.21124031007751937</c:v>
                </c:pt>
                <c:pt idx="61">
                  <c:v>0.20952380952380953</c:v>
                </c:pt>
                <c:pt idx="62">
                  <c:v>0.21052631578947367</c:v>
                </c:pt>
                <c:pt idx="63">
                  <c:v>0.21189591078066913</c:v>
                </c:pt>
                <c:pt idx="64">
                  <c:v>0.21428571428571427</c:v>
                </c:pt>
                <c:pt idx="65">
                  <c:v>0.21518987341772153</c:v>
                </c:pt>
                <c:pt idx="66">
                  <c:v>0.21925133689839571</c:v>
                </c:pt>
                <c:pt idx="67">
                  <c:v>0.21616871704745166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80158176320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ただ2!$M$3:$M$70</c:f>
              <c:numCache>
                <c:formatCode>0.0%</c:formatCode>
                <c:ptCount val="68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  <c:pt idx="39">
                  <c:v>0.24776119402985075</c:v>
                </c:pt>
                <c:pt idx="40">
                  <c:v>0.25507246376811593</c:v>
                </c:pt>
                <c:pt idx="41">
                  <c:v>0.2640449438202247</c:v>
                </c:pt>
                <c:pt idx="42">
                  <c:v>0.25885558583106266</c:v>
                </c:pt>
                <c:pt idx="43">
                  <c:v>0.26737967914438504</c:v>
                </c:pt>
                <c:pt idx="44">
                  <c:v>0.27296587926509186</c:v>
                </c:pt>
                <c:pt idx="45">
                  <c:v>0.26854219948849106</c:v>
                </c:pt>
                <c:pt idx="46">
                  <c:v>0.26884422110552764</c:v>
                </c:pt>
                <c:pt idx="47">
                  <c:v>0.26913580246913582</c:v>
                </c:pt>
                <c:pt idx="48">
                  <c:v>0.27294685990338163</c:v>
                </c:pt>
                <c:pt idx="49">
                  <c:v>0.27488151658767773</c:v>
                </c:pt>
                <c:pt idx="50">
                  <c:v>0.2780373831775701</c:v>
                </c:pt>
                <c:pt idx="51">
                  <c:v>0.27419354838709675</c:v>
                </c:pt>
                <c:pt idx="52">
                  <c:v>0.2747747747747748</c:v>
                </c:pt>
                <c:pt idx="53">
                  <c:v>0.27555555555555555</c:v>
                </c:pt>
                <c:pt idx="54">
                  <c:v>0.27765726681127983</c:v>
                </c:pt>
                <c:pt idx="55">
                  <c:v>0.27837259100642398</c:v>
                </c:pt>
                <c:pt idx="56">
                  <c:v>0.2691511387163561</c:v>
                </c:pt>
                <c:pt idx="57">
                  <c:v>0.2708757637474542</c:v>
                </c:pt>
                <c:pt idx="58">
                  <c:v>0.27108433734939757</c:v>
                </c:pt>
                <c:pt idx="59">
                  <c:v>0.27075098814229248</c:v>
                </c:pt>
                <c:pt idx="60">
                  <c:v>0.27131782945736432</c:v>
                </c:pt>
                <c:pt idx="61">
                  <c:v>0.27238095238095239</c:v>
                </c:pt>
                <c:pt idx="62">
                  <c:v>0.27255639097744361</c:v>
                </c:pt>
                <c:pt idx="63">
                  <c:v>0.27137546468401486</c:v>
                </c:pt>
                <c:pt idx="64">
                  <c:v>0.27472527472527475</c:v>
                </c:pt>
                <c:pt idx="65">
                  <c:v>0.27305605786618448</c:v>
                </c:pt>
                <c:pt idx="66">
                  <c:v>0.27094474153297682</c:v>
                </c:pt>
                <c:pt idx="67">
                  <c:v>0.27592267135325133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28378692719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ただ2!$N$3:$N$70</c:f>
              <c:numCache>
                <c:formatCode>0.0%</c:formatCode>
                <c:ptCount val="68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  <c:pt idx="39">
                  <c:v>0.54285714285714282</c:v>
                </c:pt>
                <c:pt idx="40">
                  <c:v>0.52777777777777779</c:v>
                </c:pt>
                <c:pt idx="41">
                  <c:v>0.53424657534246578</c:v>
                </c:pt>
                <c:pt idx="42">
                  <c:v>0.52631578947368418</c:v>
                </c:pt>
                <c:pt idx="43">
                  <c:v>0.52631578947368418</c:v>
                </c:pt>
                <c:pt idx="44">
                  <c:v>0.53246753246753242</c:v>
                </c:pt>
                <c:pt idx="45">
                  <c:v>0.54430379746835444</c:v>
                </c:pt>
                <c:pt idx="46">
                  <c:v>0.53086419753086422</c:v>
                </c:pt>
                <c:pt idx="47">
                  <c:v>0.52439024390243905</c:v>
                </c:pt>
                <c:pt idx="48">
                  <c:v>0.52380952380952384</c:v>
                </c:pt>
                <c:pt idx="49">
                  <c:v>0.52941176470588236</c:v>
                </c:pt>
                <c:pt idx="50">
                  <c:v>0.52941176470588236</c:v>
                </c:pt>
                <c:pt idx="51">
                  <c:v>0.54022988505747127</c:v>
                </c:pt>
                <c:pt idx="52">
                  <c:v>0.550561797752809</c:v>
                </c:pt>
                <c:pt idx="53">
                  <c:v>0.550561797752809</c:v>
                </c:pt>
                <c:pt idx="54">
                  <c:v>0.54347826086956519</c:v>
                </c:pt>
                <c:pt idx="55">
                  <c:v>0.5376344086021505</c:v>
                </c:pt>
                <c:pt idx="56">
                  <c:v>0.53608247422680411</c:v>
                </c:pt>
                <c:pt idx="57">
                  <c:v>0.53608247422680411</c:v>
                </c:pt>
                <c:pt idx="58">
                  <c:v>0.5544554455445545</c:v>
                </c:pt>
                <c:pt idx="59">
                  <c:v>0.55238095238095242</c:v>
                </c:pt>
                <c:pt idx="60">
                  <c:v>0.55963302752293576</c:v>
                </c:pt>
                <c:pt idx="61">
                  <c:v>0.5636363636363636</c:v>
                </c:pt>
                <c:pt idx="62">
                  <c:v>0.5625</c:v>
                </c:pt>
                <c:pt idx="63">
                  <c:v>0.56140350877192979</c:v>
                </c:pt>
                <c:pt idx="64">
                  <c:v>0.54700854700854706</c:v>
                </c:pt>
                <c:pt idx="65">
                  <c:v>0.54621848739495793</c:v>
                </c:pt>
                <c:pt idx="66">
                  <c:v>0.55284552845528456</c:v>
                </c:pt>
                <c:pt idx="67">
                  <c:v>0.55284552845528456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8746465598492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ただ2!$O$3:$O$70</c:f>
              <c:numCache>
                <c:formatCode>0.0%</c:formatCode>
                <c:ptCount val="68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  <c:pt idx="39">
                  <c:v>0.48192771084337349</c:v>
                </c:pt>
                <c:pt idx="40">
                  <c:v>0.45454545454545453</c:v>
                </c:pt>
                <c:pt idx="41">
                  <c:v>0.43617021276595747</c:v>
                </c:pt>
                <c:pt idx="42">
                  <c:v>0.43157894736842106</c:v>
                </c:pt>
                <c:pt idx="43">
                  <c:v>0.42</c:v>
                </c:pt>
                <c:pt idx="44">
                  <c:v>0.41346153846153844</c:v>
                </c:pt>
                <c:pt idx="45">
                  <c:v>0.40952380952380951</c:v>
                </c:pt>
                <c:pt idx="46">
                  <c:v>0.41121495327102803</c:v>
                </c:pt>
                <c:pt idx="47">
                  <c:v>0.40366972477064222</c:v>
                </c:pt>
                <c:pt idx="48">
                  <c:v>0.41592920353982299</c:v>
                </c:pt>
                <c:pt idx="49">
                  <c:v>0.41379310344827586</c:v>
                </c:pt>
                <c:pt idx="50">
                  <c:v>0.40336134453781514</c:v>
                </c:pt>
                <c:pt idx="51">
                  <c:v>0.40336134453781514</c:v>
                </c:pt>
                <c:pt idx="52">
                  <c:v>0.40163934426229508</c:v>
                </c:pt>
                <c:pt idx="53">
                  <c:v>0.40322580645161288</c:v>
                </c:pt>
                <c:pt idx="54">
                  <c:v>0.421875</c:v>
                </c:pt>
                <c:pt idx="55">
                  <c:v>0.43076923076923079</c:v>
                </c:pt>
                <c:pt idx="56">
                  <c:v>0.43076923076923079</c:v>
                </c:pt>
                <c:pt idx="57">
                  <c:v>0.43609022556390975</c:v>
                </c:pt>
                <c:pt idx="58">
                  <c:v>0.44444444444444442</c:v>
                </c:pt>
                <c:pt idx="59">
                  <c:v>0.44525547445255476</c:v>
                </c:pt>
                <c:pt idx="60">
                  <c:v>0.45</c:v>
                </c:pt>
                <c:pt idx="61">
                  <c:v>0.44755244755244755</c:v>
                </c:pt>
                <c:pt idx="62">
                  <c:v>0.44827586206896552</c:v>
                </c:pt>
                <c:pt idx="63">
                  <c:v>0.4452054794520548</c:v>
                </c:pt>
                <c:pt idx="64">
                  <c:v>0.44</c:v>
                </c:pt>
                <c:pt idx="65">
                  <c:v>0.4370860927152318</c:v>
                </c:pt>
                <c:pt idx="66">
                  <c:v>0.43421052631578949</c:v>
                </c:pt>
                <c:pt idx="67">
                  <c:v>0.43312101910828027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435058078141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ただ2!$P$3:$P$70</c:f>
              <c:numCache>
                <c:formatCode>0.0%</c:formatCode>
                <c:ptCount val="68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  <c:pt idx="39">
                  <c:v>0.40170940170940173</c:v>
                </c:pt>
                <c:pt idx="40">
                  <c:v>0.40170940170940173</c:v>
                </c:pt>
                <c:pt idx="41">
                  <c:v>0.40336134453781514</c:v>
                </c:pt>
                <c:pt idx="42">
                  <c:v>0.4049586776859504</c:v>
                </c:pt>
                <c:pt idx="43">
                  <c:v>0.41463414634146339</c:v>
                </c:pt>
                <c:pt idx="44">
                  <c:v>0.41599999999999998</c:v>
                </c:pt>
                <c:pt idx="45">
                  <c:v>0.40625</c:v>
                </c:pt>
                <c:pt idx="46">
                  <c:v>0.40769230769230769</c:v>
                </c:pt>
                <c:pt idx="47">
                  <c:v>0.40601503759398494</c:v>
                </c:pt>
                <c:pt idx="48">
                  <c:v>0.39568345323741005</c:v>
                </c:pt>
                <c:pt idx="49">
                  <c:v>0.3971631205673759</c:v>
                </c:pt>
                <c:pt idx="50">
                  <c:v>0.3971631205673759</c:v>
                </c:pt>
                <c:pt idx="51">
                  <c:v>0.40277777777777779</c:v>
                </c:pt>
                <c:pt idx="52">
                  <c:v>0.40939597315436244</c:v>
                </c:pt>
                <c:pt idx="53">
                  <c:v>0.40397350993377484</c:v>
                </c:pt>
                <c:pt idx="54">
                  <c:v>0.40384615384615385</c:v>
                </c:pt>
                <c:pt idx="55">
                  <c:v>0.39873417721518989</c:v>
                </c:pt>
                <c:pt idx="56">
                  <c:v>0.39506172839506171</c:v>
                </c:pt>
                <c:pt idx="57">
                  <c:v>0.4</c:v>
                </c:pt>
                <c:pt idx="58">
                  <c:v>0.391812865497076</c:v>
                </c:pt>
                <c:pt idx="59">
                  <c:v>0.39655172413793105</c:v>
                </c:pt>
                <c:pt idx="60">
                  <c:v>0.4022346368715084</c:v>
                </c:pt>
                <c:pt idx="61">
                  <c:v>0.39779005524861877</c:v>
                </c:pt>
                <c:pt idx="62">
                  <c:v>0.38918918918918921</c:v>
                </c:pt>
                <c:pt idx="63">
                  <c:v>0.39361702127659576</c:v>
                </c:pt>
                <c:pt idx="64">
                  <c:v>0.39153439153439151</c:v>
                </c:pt>
                <c:pt idx="65">
                  <c:v>0.390625</c:v>
                </c:pt>
                <c:pt idx="66">
                  <c:v>0.39487179487179486</c:v>
                </c:pt>
                <c:pt idx="67">
                  <c:v>0.39593908629441626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71428571428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6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10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10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10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10" x14ac:dyDescent="0.4">
      <c r="A52" s="2" t="s">
        <v>269</v>
      </c>
      <c r="B52" s="3">
        <v>44188.877129629633</v>
      </c>
      <c r="C52" s="2" t="s">
        <v>127</v>
      </c>
    </row>
    <row r="53" spans="1:10" x14ac:dyDescent="0.4">
      <c r="A53" s="2" t="s">
        <v>270</v>
      </c>
      <c r="B53" s="3">
        <v>44202.692986111113</v>
      </c>
      <c r="C53" s="2" t="s">
        <v>127</v>
      </c>
    </row>
    <row r="54" spans="1:10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10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10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10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  <row r="58" spans="1:10" x14ac:dyDescent="0.4">
      <c r="A58" s="2" t="s">
        <v>275</v>
      </c>
      <c r="B58" s="3">
        <v>44225.852303240739</v>
      </c>
      <c r="C58" s="2" t="s">
        <v>127</v>
      </c>
    </row>
    <row r="59" spans="1:10" x14ac:dyDescent="0.4">
      <c r="A59" s="2" t="s">
        <v>276</v>
      </c>
      <c r="B59" s="3">
        <v>44226.852013888885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239</v>
      </c>
      <c r="H59" s="2" t="s">
        <v>245</v>
      </c>
      <c r="I59" s="2" t="s">
        <v>244</v>
      </c>
      <c r="J59" s="2" t="s">
        <v>277</v>
      </c>
    </row>
    <row r="60" spans="1:10" x14ac:dyDescent="0.4">
      <c r="A60" s="2" t="s">
        <v>278</v>
      </c>
      <c r="B60" s="3">
        <v>44229.712210648147</v>
      </c>
      <c r="C60" s="2" t="s">
        <v>127</v>
      </c>
      <c r="D60" s="2" t="s">
        <v>188</v>
      </c>
      <c r="E60" s="2" t="s">
        <v>191</v>
      </c>
    </row>
    <row r="61" spans="1:10" x14ac:dyDescent="0.4">
      <c r="A61" s="2" t="s">
        <v>279</v>
      </c>
      <c r="B61" s="3">
        <v>44233.661608796298</v>
      </c>
      <c r="C61" s="2" t="s">
        <v>127</v>
      </c>
      <c r="D61" s="2" t="s">
        <v>188</v>
      </c>
      <c r="E61" s="2" t="s">
        <v>191</v>
      </c>
      <c r="F61" s="2" t="s">
        <v>194</v>
      </c>
      <c r="G61" s="2" t="s">
        <v>239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142</v>
      </c>
      <c r="C2" s="120">
        <v>1842.3339395535957</v>
      </c>
    </row>
    <row r="3" spans="1:3" x14ac:dyDescent="0.4">
      <c r="A3" t="s">
        <v>163</v>
      </c>
      <c r="B3" s="120">
        <v>89</v>
      </c>
      <c r="C3" s="120">
        <v>1653.1699313523677</v>
      </c>
    </row>
    <row r="4" spans="1:3" x14ac:dyDescent="0.4">
      <c r="A4" t="s">
        <v>139</v>
      </c>
      <c r="B4" s="120">
        <v>501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67</v>
      </c>
      <c r="C6" s="120">
        <v>1517.1288342047803</v>
      </c>
    </row>
    <row r="7" spans="1:3" x14ac:dyDescent="0.4">
      <c r="A7" t="s">
        <v>211</v>
      </c>
      <c r="B7" s="120">
        <v>51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51</v>
      </c>
      <c r="C10" s="120">
        <v>1433.30445236539</v>
      </c>
    </row>
    <row r="11" spans="1:3" x14ac:dyDescent="0.4">
      <c r="A11" t="s">
        <v>195</v>
      </c>
      <c r="B11" s="120">
        <v>28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6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50" zoomScaleNormal="150" workbookViewId="0">
      <selection activeCell="A2" sqref="A2"/>
    </sheetView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0.87517816426026473</v>
      </c>
      <c r="C2" s="150"/>
      <c r="D2" s="149">
        <v>0.63068802240790089</v>
      </c>
      <c r="E2" s="150"/>
      <c r="F2" s="149">
        <v>0.65476559332664641</v>
      </c>
      <c r="G2" s="150"/>
      <c r="H2" s="155"/>
      <c r="I2" s="156"/>
      <c r="J2" s="149">
        <v>0.40652875368995872</v>
      </c>
      <c r="K2" s="150"/>
      <c r="L2" s="149">
        <v>0.32657896773180295</v>
      </c>
      <c r="M2" s="150"/>
      <c r="N2" s="149">
        <v>0.35200847511680672</v>
      </c>
      <c r="O2" s="150"/>
      <c r="P2" s="149">
        <v>0.63469467131485535</v>
      </c>
      <c r="Q2" s="150"/>
      <c r="R2" s="149">
        <v>0.17767173761146318</v>
      </c>
      <c r="S2" s="150"/>
      <c r="T2" s="149">
        <v>-0.15623590301390902</v>
      </c>
      <c r="U2" s="150"/>
      <c r="V2" s="149">
        <v>0.41501941555930921</v>
      </c>
      <c r="W2" s="150"/>
      <c r="X2" s="149">
        <v>0.49219287731590439</v>
      </c>
      <c r="Y2" s="150"/>
      <c r="Z2" s="149">
        <v>0.1851189237347384</v>
      </c>
      <c r="AA2" s="150"/>
      <c r="AB2" s="149">
        <v>0.31520443915782531</v>
      </c>
      <c r="AC2" s="150"/>
      <c r="AD2" s="149">
        <v>8.436631162466865E-2</v>
      </c>
      <c r="AE2" s="150"/>
      <c r="AF2" s="149">
        <v>0.69443211831285501</v>
      </c>
      <c r="AG2" s="150"/>
      <c r="AH2" s="149">
        <v>-0.4273542404398471</v>
      </c>
      <c r="AI2" s="150"/>
      <c r="AJ2" s="149">
        <v>0.78735401044563202</v>
      </c>
      <c r="AK2" s="150"/>
    </row>
    <row r="3" spans="1:37" x14ac:dyDescent="0.4">
      <c r="A3" s="38">
        <v>1</v>
      </c>
      <c r="B3" s="41" t="s">
        <v>139</v>
      </c>
      <c r="C3" s="113">
        <v>167</v>
      </c>
      <c r="D3" s="39" t="s">
        <v>192</v>
      </c>
      <c r="E3" s="40">
        <v>437.4</v>
      </c>
      <c r="F3" s="41" t="s">
        <v>192</v>
      </c>
      <c r="G3" s="60">
        <v>6.5283582089552237</v>
      </c>
      <c r="H3" s="41" t="s">
        <v>126</v>
      </c>
      <c r="I3" s="45">
        <v>1749.796791535904</v>
      </c>
      <c r="J3" s="41" t="s">
        <v>192</v>
      </c>
      <c r="K3" s="42">
        <v>1.8208955223880596</v>
      </c>
      <c r="L3" s="41" t="s">
        <v>192</v>
      </c>
      <c r="M3" s="43">
        <v>0.40298507462686567</v>
      </c>
      <c r="N3" s="41" t="s">
        <v>190</v>
      </c>
      <c r="O3" s="43">
        <v>0.1891891891891892</v>
      </c>
      <c r="P3" s="41" t="s">
        <v>192</v>
      </c>
      <c r="Q3" s="44">
        <v>0.34622144112478032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0.28445006321112515</v>
      </c>
      <c r="AB3" s="41" t="s">
        <v>189</v>
      </c>
      <c r="AC3" s="44">
        <v>0.29268292682926828</v>
      </c>
      <c r="AD3" s="41" t="s">
        <v>259</v>
      </c>
      <c r="AE3" s="44">
        <v>0.66666666666666663</v>
      </c>
      <c r="AF3" s="41" t="s">
        <v>126</v>
      </c>
      <c r="AG3" s="44">
        <v>0.46413502109704641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142</v>
      </c>
      <c r="D4" s="47" t="s">
        <v>126</v>
      </c>
      <c r="E4" s="48">
        <v>274.99999999999989</v>
      </c>
      <c r="F4" s="49" t="s">
        <v>211</v>
      </c>
      <c r="G4" s="61">
        <v>3.4941176470588231</v>
      </c>
      <c r="H4" s="49" t="s">
        <v>192</v>
      </c>
      <c r="I4" s="53">
        <v>1613.9486993997771</v>
      </c>
      <c r="J4" s="49" t="s">
        <v>190</v>
      </c>
      <c r="K4" s="50">
        <v>1.8918918918918919</v>
      </c>
      <c r="L4" s="49" t="s">
        <v>211</v>
      </c>
      <c r="M4" s="51">
        <v>0.37254901960784315</v>
      </c>
      <c r="N4" s="49" t="s">
        <v>192</v>
      </c>
      <c r="O4" s="51">
        <v>0.22388059701492538</v>
      </c>
      <c r="P4" s="49" t="s">
        <v>126</v>
      </c>
      <c r="Q4" s="52">
        <v>0.32023411371237459</v>
      </c>
      <c r="R4" s="49" t="s">
        <v>192</v>
      </c>
      <c r="S4" s="52">
        <v>0.1195079086115993</v>
      </c>
      <c r="T4" s="49" t="s">
        <v>163</v>
      </c>
      <c r="U4" s="53">
        <v>9417.961165048544</v>
      </c>
      <c r="V4" s="49" t="s">
        <v>211</v>
      </c>
      <c r="W4" s="53">
        <v>-6961.0169491525421</v>
      </c>
      <c r="X4" s="49" t="s">
        <v>221</v>
      </c>
      <c r="Y4" s="51">
        <v>0</v>
      </c>
      <c r="Z4" s="49" t="s">
        <v>190</v>
      </c>
      <c r="AA4" s="52">
        <v>0.26168224299065418</v>
      </c>
      <c r="AB4" s="49" t="s">
        <v>221</v>
      </c>
      <c r="AC4" s="52">
        <v>0.27777777777777779</v>
      </c>
      <c r="AD4" s="49" t="s">
        <v>201</v>
      </c>
      <c r="AE4" s="52">
        <v>0.625</v>
      </c>
      <c r="AF4" s="49" t="s">
        <v>211</v>
      </c>
      <c r="AG4" s="52">
        <v>0.45360824742268041</v>
      </c>
      <c r="AH4" s="49" t="s">
        <v>201</v>
      </c>
      <c r="AI4" s="52">
        <v>0.6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89</v>
      </c>
      <c r="D5" s="47" t="s">
        <v>211</v>
      </c>
      <c r="E5" s="48">
        <v>178.2</v>
      </c>
      <c r="F5" s="49" t="s">
        <v>126</v>
      </c>
      <c r="G5" s="61">
        <v>1.9366197183098584</v>
      </c>
      <c r="H5" s="49" t="s">
        <v>163</v>
      </c>
      <c r="I5" s="53">
        <v>1605.0170841089816</v>
      </c>
      <c r="J5" s="49" t="s">
        <v>211</v>
      </c>
      <c r="K5" s="50">
        <v>1.9215686274509804</v>
      </c>
      <c r="L5" s="49" t="s">
        <v>189</v>
      </c>
      <c r="M5" s="51">
        <v>0.35294117647058826</v>
      </c>
      <c r="N5" s="49" t="s">
        <v>211</v>
      </c>
      <c r="O5" s="51">
        <v>0.29411764705882354</v>
      </c>
      <c r="P5" s="49" t="s">
        <v>211</v>
      </c>
      <c r="Q5" s="52">
        <v>0.30697674418604654</v>
      </c>
      <c r="R5" s="49" t="s">
        <v>211</v>
      </c>
      <c r="S5" s="52">
        <v>0.1372093023255814</v>
      </c>
      <c r="T5" s="49" t="s">
        <v>195</v>
      </c>
      <c r="U5" s="53">
        <v>9282.1428571428569</v>
      </c>
      <c r="V5" s="49" t="s">
        <v>201</v>
      </c>
      <c r="W5" s="53">
        <v>-7157.1428571428569</v>
      </c>
      <c r="X5" s="49" t="s">
        <v>259</v>
      </c>
      <c r="Y5" s="51">
        <v>0</v>
      </c>
      <c r="Z5" s="49" t="s">
        <v>189</v>
      </c>
      <c r="AA5" s="52">
        <v>0.25498891352549891</v>
      </c>
      <c r="AB5" s="49" t="s">
        <v>192</v>
      </c>
      <c r="AC5" s="52">
        <v>0.27592267135325133</v>
      </c>
      <c r="AD5" s="49" t="s">
        <v>195</v>
      </c>
      <c r="AE5" s="52">
        <v>0.59649122807017541</v>
      </c>
      <c r="AF5" s="49" t="s">
        <v>192</v>
      </c>
      <c r="AG5" s="52">
        <v>0.43312101910828027</v>
      </c>
      <c r="AH5" s="49" t="s">
        <v>195</v>
      </c>
      <c r="AI5" s="52">
        <v>0.5357142857142857</v>
      </c>
      <c r="AJ5" s="49" t="s">
        <v>192</v>
      </c>
      <c r="AK5" s="56">
        <v>100700</v>
      </c>
    </row>
    <row r="6" spans="1:37" x14ac:dyDescent="0.4">
      <c r="A6" s="46">
        <v>4</v>
      </c>
      <c r="B6" s="49" t="s">
        <v>192</v>
      </c>
      <c r="C6" s="114">
        <v>67</v>
      </c>
      <c r="D6" s="47" t="s">
        <v>190</v>
      </c>
      <c r="E6" s="48">
        <v>58.499999999999957</v>
      </c>
      <c r="F6" s="49" t="s">
        <v>190</v>
      </c>
      <c r="G6" s="61">
        <v>1.58108108108108</v>
      </c>
      <c r="H6" s="49" t="s">
        <v>139</v>
      </c>
      <c r="I6" s="53">
        <v>1603.2299453184862</v>
      </c>
      <c r="J6" s="49" t="s">
        <v>139</v>
      </c>
      <c r="K6" s="50">
        <v>1.998003992015968</v>
      </c>
      <c r="L6" s="49" t="s">
        <v>126</v>
      </c>
      <c r="M6" s="51">
        <v>0.352112676056338</v>
      </c>
      <c r="N6" s="49" t="s">
        <v>139</v>
      </c>
      <c r="O6" s="51">
        <v>0.33333333333333331</v>
      </c>
      <c r="P6" s="49" t="s">
        <v>189</v>
      </c>
      <c r="Q6" s="52">
        <v>0.29933481152993346</v>
      </c>
      <c r="R6" s="49" t="s">
        <v>189</v>
      </c>
      <c r="S6" s="52">
        <v>0.15964523281596452</v>
      </c>
      <c r="T6" s="49" t="s">
        <v>139</v>
      </c>
      <c r="U6" s="53">
        <v>8213.4920634920636</v>
      </c>
      <c r="V6" s="49" t="s">
        <v>192</v>
      </c>
      <c r="W6" s="53">
        <v>-7492.6470588235297</v>
      </c>
      <c r="X6" s="49" t="s">
        <v>211</v>
      </c>
      <c r="Y6" s="51">
        <v>3.9215686274509803E-2</v>
      </c>
      <c r="Z6" s="49" t="s">
        <v>126</v>
      </c>
      <c r="AA6" s="52">
        <v>0.24916387959866221</v>
      </c>
      <c r="AB6" s="49" t="s">
        <v>211</v>
      </c>
      <c r="AC6" s="52">
        <v>0.2255813953488372</v>
      </c>
      <c r="AD6" s="49" t="s">
        <v>211</v>
      </c>
      <c r="AE6" s="52">
        <v>0.59183673469387754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51</v>
      </c>
      <c r="D7" s="47" t="s">
        <v>139</v>
      </c>
      <c r="E7" s="48">
        <v>4.2632564145606011E-14</v>
      </c>
      <c r="F7" s="49" t="s">
        <v>139</v>
      </c>
      <c r="G7" s="61">
        <v>8.5094938414383261E-17</v>
      </c>
      <c r="H7" s="49" t="s">
        <v>190</v>
      </c>
      <c r="I7" s="53">
        <v>1552.235570864417</v>
      </c>
      <c r="J7" s="49" t="s">
        <v>126</v>
      </c>
      <c r="K7" s="50">
        <v>2</v>
      </c>
      <c r="L7" s="49" t="s">
        <v>139</v>
      </c>
      <c r="M7" s="51">
        <v>0.33532934131736525</v>
      </c>
      <c r="N7" s="49" t="s">
        <v>163</v>
      </c>
      <c r="O7" s="51">
        <v>0.34831460674157305</v>
      </c>
      <c r="P7" s="49" t="s">
        <v>139</v>
      </c>
      <c r="Q7" s="52">
        <v>0.29309141660851362</v>
      </c>
      <c r="R7" s="49" t="s">
        <v>139</v>
      </c>
      <c r="S7" s="52">
        <v>0.1635264014887183</v>
      </c>
      <c r="T7" s="49" t="s">
        <v>126</v>
      </c>
      <c r="U7" s="53">
        <v>8194.516971279374</v>
      </c>
      <c r="V7" s="49" t="s">
        <v>126</v>
      </c>
      <c r="W7" s="53">
        <v>-7555.2238805970146</v>
      </c>
      <c r="X7" s="49" t="s">
        <v>190</v>
      </c>
      <c r="Y7" s="51">
        <v>5.4054054054054057E-2</v>
      </c>
      <c r="Z7" s="49" t="s">
        <v>139</v>
      </c>
      <c r="AA7" s="52">
        <v>0.24680158176320074</v>
      </c>
      <c r="AB7" s="49" t="s">
        <v>163</v>
      </c>
      <c r="AC7" s="52">
        <v>0.22250316055625791</v>
      </c>
      <c r="AD7" s="49" t="s">
        <v>126</v>
      </c>
      <c r="AE7" s="52">
        <v>0.56711409395973156</v>
      </c>
      <c r="AF7" s="49" t="s">
        <v>189</v>
      </c>
      <c r="AG7" s="52">
        <v>0.40909090909090912</v>
      </c>
      <c r="AH7" s="49" t="s">
        <v>189</v>
      </c>
      <c r="AI7" s="52">
        <v>0.47407407407407409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51</v>
      </c>
      <c r="D8" s="47" t="s">
        <v>221</v>
      </c>
      <c r="E8" s="48">
        <v>-13.5</v>
      </c>
      <c r="F8" s="49" t="s">
        <v>189</v>
      </c>
      <c r="G8" s="61">
        <v>-1.2176470588235293</v>
      </c>
      <c r="H8" s="49" t="s">
        <v>211</v>
      </c>
      <c r="I8" s="53">
        <v>1541.223654027415</v>
      </c>
      <c r="J8" s="49" t="s">
        <v>163</v>
      </c>
      <c r="K8" s="50">
        <v>2.0337078651685392</v>
      </c>
      <c r="L8" s="49" t="s">
        <v>195</v>
      </c>
      <c r="M8" s="51">
        <v>0.32142857142857145</v>
      </c>
      <c r="N8" s="49" t="s">
        <v>126</v>
      </c>
      <c r="O8" s="51">
        <v>0.352112676056338</v>
      </c>
      <c r="P8" s="49" t="s">
        <v>190</v>
      </c>
      <c r="Q8" s="52">
        <v>0.26479750778816197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163</v>
      </c>
      <c r="W8" s="53">
        <v>-7673.913043478261</v>
      </c>
      <c r="X8" s="49" t="s">
        <v>192</v>
      </c>
      <c r="Y8" s="51">
        <v>5.9701492537313432E-2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0.55284552845528456</v>
      </c>
      <c r="AF8" s="49" t="s">
        <v>139</v>
      </c>
      <c r="AG8" s="52">
        <v>0.40443505807814151</v>
      </c>
      <c r="AH8" s="49" t="s">
        <v>216</v>
      </c>
      <c r="AI8" s="52">
        <v>0.47058823529411764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259</v>
      </c>
      <c r="E9" s="48">
        <v>-50</v>
      </c>
      <c r="F9" s="49" t="s">
        <v>163</v>
      </c>
      <c r="G9" s="61">
        <v>-2.7449438202247189</v>
      </c>
      <c r="H9" s="49" t="s">
        <v>221</v>
      </c>
      <c r="I9" s="53">
        <v>1497.379788</v>
      </c>
      <c r="J9" s="49" t="s">
        <v>189</v>
      </c>
      <c r="K9" s="50">
        <v>2.0392156862745097</v>
      </c>
      <c r="L9" s="49" t="s">
        <v>163</v>
      </c>
      <c r="M9" s="51">
        <v>0.3146067415730337</v>
      </c>
      <c r="N9" s="49" t="s">
        <v>189</v>
      </c>
      <c r="O9" s="51">
        <v>0.39215686274509803</v>
      </c>
      <c r="P9" s="49" t="s">
        <v>163</v>
      </c>
      <c r="Q9" s="52">
        <v>0.26042983565107458</v>
      </c>
      <c r="R9" s="49" t="s">
        <v>126</v>
      </c>
      <c r="S9" s="52">
        <v>0.16806020066889632</v>
      </c>
      <c r="T9" s="49" t="s">
        <v>211</v>
      </c>
      <c r="U9" s="53">
        <v>7929.545454545455</v>
      </c>
      <c r="V9" s="49" t="s">
        <v>139</v>
      </c>
      <c r="W9" s="53">
        <v>-7677.8093883357042</v>
      </c>
      <c r="X9" s="49" t="s">
        <v>126</v>
      </c>
      <c r="Y9" s="51">
        <v>7.746478873239436E-2</v>
      </c>
      <c r="Z9" s="49" t="s">
        <v>216</v>
      </c>
      <c r="AA9" s="52">
        <v>0.2361111111111111</v>
      </c>
      <c r="AB9" s="49" t="s">
        <v>139</v>
      </c>
      <c r="AC9" s="52">
        <v>0.22028378692719236</v>
      </c>
      <c r="AD9" s="49" t="s">
        <v>139</v>
      </c>
      <c r="AE9" s="52">
        <v>0.52874646559849203</v>
      </c>
      <c r="AF9" s="49" t="s">
        <v>221</v>
      </c>
      <c r="AG9" s="52">
        <v>0.4</v>
      </c>
      <c r="AH9" s="49" t="s">
        <v>163</v>
      </c>
      <c r="AI9" s="52">
        <v>0.4563106796116505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195</v>
      </c>
      <c r="C10" s="114">
        <v>28</v>
      </c>
      <c r="D10" s="47" t="s">
        <v>189</v>
      </c>
      <c r="E10" s="48">
        <v>-62.099999999999994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2.0714285714285716</v>
      </c>
      <c r="L10" s="49" t="s">
        <v>190</v>
      </c>
      <c r="M10" s="51">
        <v>0.29729729729729731</v>
      </c>
      <c r="N10" s="49" t="s">
        <v>195</v>
      </c>
      <c r="O10" s="51">
        <v>0.39285714285714285</v>
      </c>
      <c r="P10" s="49" t="s">
        <v>259</v>
      </c>
      <c r="Q10" s="52">
        <v>0.24</v>
      </c>
      <c r="R10" s="49" t="s">
        <v>195</v>
      </c>
      <c r="S10" s="52">
        <v>0.18367346938775511</v>
      </c>
      <c r="T10" s="49" t="s">
        <v>216</v>
      </c>
      <c r="U10" s="53">
        <v>7926.4705882352937</v>
      </c>
      <c r="V10" s="49" t="s">
        <v>216</v>
      </c>
      <c r="W10" s="53">
        <v>-7886.2068965517237</v>
      </c>
      <c r="X10" s="49" t="s">
        <v>189</v>
      </c>
      <c r="Y10" s="51">
        <v>7.8431372549019607E-2</v>
      </c>
      <c r="Z10" s="49" t="s">
        <v>195</v>
      </c>
      <c r="AA10" s="52">
        <v>0.23265306122448978</v>
      </c>
      <c r="AB10" s="49" t="s">
        <v>201</v>
      </c>
      <c r="AC10" s="52">
        <v>0.2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126</v>
      </c>
      <c r="AI10" s="52">
        <v>0.44647519582245432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216</v>
      </c>
      <c r="C11" s="114">
        <v>19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216</v>
      </c>
      <c r="I11" s="53">
        <v>1488.9447185272431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216</v>
      </c>
      <c r="O11" s="51">
        <v>0.42105263157894735</v>
      </c>
      <c r="P11" s="49" t="s">
        <v>216</v>
      </c>
      <c r="Q11" s="52">
        <v>0.2361111111111111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195</v>
      </c>
      <c r="W11" s="53">
        <v>-8188.8888888888887</v>
      </c>
      <c r="X11" s="49" t="s">
        <v>139</v>
      </c>
      <c r="Y11" s="51">
        <v>8.3832335329341312E-2</v>
      </c>
      <c r="Z11" s="49" t="s">
        <v>211</v>
      </c>
      <c r="AA11" s="52">
        <v>0.22790697674418606</v>
      </c>
      <c r="AB11" s="49" t="s">
        <v>126</v>
      </c>
      <c r="AC11" s="52">
        <v>0.19816053511705686</v>
      </c>
      <c r="AD11" s="49" t="s">
        <v>163</v>
      </c>
      <c r="AE11" s="52">
        <v>0.48</v>
      </c>
      <c r="AF11" s="49" t="s">
        <v>163</v>
      </c>
      <c r="AG11" s="52">
        <v>0.33522727272727271</v>
      </c>
      <c r="AH11" s="49" t="s">
        <v>139</v>
      </c>
      <c r="AI11" s="52">
        <v>0.43571428571428572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216</v>
      </c>
      <c r="E12" s="48">
        <v>-108.30000000000001</v>
      </c>
      <c r="F12" s="49" t="s">
        <v>195</v>
      </c>
      <c r="G12" s="61">
        <v>-8.6392857142857125</v>
      </c>
      <c r="H12" s="49" t="s">
        <v>201</v>
      </c>
      <c r="I12" s="53">
        <v>1476.9680701642462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195</v>
      </c>
      <c r="Q12" s="52">
        <v>0.22857142857142856</v>
      </c>
      <c r="R12" s="49" t="s">
        <v>216</v>
      </c>
      <c r="S12" s="52">
        <v>0.2013888888888889</v>
      </c>
      <c r="T12" s="49" t="s">
        <v>189</v>
      </c>
      <c r="U12" s="53">
        <v>7534.8148148148148</v>
      </c>
      <c r="V12" s="49" t="s">
        <v>189</v>
      </c>
      <c r="W12" s="53">
        <v>-8606.9444444444453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0.40151515151515149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6</v>
      </c>
      <c r="D13" s="47" t="s">
        <v>201</v>
      </c>
      <c r="E13" s="48">
        <v>-150.79999999999998</v>
      </c>
      <c r="F13" s="49" t="s">
        <v>193</v>
      </c>
      <c r="G13" s="61">
        <v>-13.033333333333331</v>
      </c>
      <c r="H13" s="49" t="s">
        <v>189</v>
      </c>
      <c r="I13" s="53">
        <v>1463.3989422821498</v>
      </c>
      <c r="J13" s="49" t="s">
        <v>221</v>
      </c>
      <c r="K13" s="50">
        <v>2.5</v>
      </c>
      <c r="L13" s="49" t="s">
        <v>201</v>
      </c>
      <c r="M13" s="51">
        <v>0</v>
      </c>
      <c r="N13" s="49" t="s">
        <v>221</v>
      </c>
      <c r="O13" s="51">
        <v>0.5</v>
      </c>
      <c r="P13" s="49" t="s">
        <v>193</v>
      </c>
      <c r="Q13" s="52">
        <v>0.22222222222222221</v>
      </c>
      <c r="R13" s="49" t="s">
        <v>163</v>
      </c>
      <c r="S13" s="52">
        <v>0.20353982300884957</v>
      </c>
      <c r="T13" s="49" t="s">
        <v>192</v>
      </c>
      <c r="U13" s="53">
        <v>7488.8324873096444</v>
      </c>
      <c r="V13" s="49" t="s">
        <v>193</v>
      </c>
      <c r="W13" s="53">
        <v>-8875</v>
      </c>
      <c r="X13" s="49" t="s">
        <v>163</v>
      </c>
      <c r="Y13" s="51">
        <v>0.12359550561797752</v>
      </c>
      <c r="Z13" s="49" t="s">
        <v>192</v>
      </c>
      <c r="AA13" s="52">
        <v>0.21616871704745166</v>
      </c>
      <c r="AB13" s="49" t="s">
        <v>216</v>
      </c>
      <c r="AC13" s="52">
        <v>0.1736111111111111</v>
      </c>
      <c r="AD13" s="49" t="s">
        <v>189</v>
      </c>
      <c r="AE13" s="52">
        <v>0.46086956521739131</v>
      </c>
      <c r="AF13" s="49" t="s">
        <v>195</v>
      </c>
      <c r="AG13" s="52">
        <v>0.25</v>
      </c>
      <c r="AH13" s="49" t="s">
        <v>192</v>
      </c>
      <c r="AI13" s="52">
        <v>0.39593908629441626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195</v>
      </c>
      <c r="E14" s="48">
        <v>-241.89999999999995</v>
      </c>
      <c r="F14" s="49" t="s">
        <v>259</v>
      </c>
      <c r="G14" s="61">
        <v>-16.666666666666668</v>
      </c>
      <c r="H14" s="49" t="s">
        <v>195</v>
      </c>
      <c r="I14" s="53">
        <v>1377.1480089618358</v>
      </c>
      <c r="J14" s="49" t="s">
        <v>201</v>
      </c>
      <c r="K14" s="50">
        <v>2.6666666666666665</v>
      </c>
      <c r="L14" s="49" t="s">
        <v>221</v>
      </c>
      <c r="M14" s="51">
        <v>0</v>
      </c>
      <c r="N14" s="49" t="s">
        <v>201</v>
      </c>
      <c r="O14" s="51">
        <v>0.66666666666666663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201</v>
      </c>
      <c r="U14" s="53">
        <v>7270</v>
      </c>
      <c r="V14" s="49" t="s">
        <v>259</v>
      </c>
      <c r="W14" s="53">
        <v>-9420</v>
      </c>
      <c r="X14" s="49" t="s">
        <v>201</v>
      </c>
      <c r="Y14" s="51">
        <v>0.16666666666666666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259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163</v>
      </c>
      <c r="E15" s="48">
        <v>-244.29999999999998</v>
      </c>
      <c r="F15" s="49" t="s">
        <v>201</v>
      </c>
      <c r="G15" s="61">
        <v>-25.133333333333329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201</v>
      </c>
      <c r="Q15" s="52">
        <v>0.18181818181818182</v>
      </c>
      <c r="R15" s="49" t="s">
        <v>201</v>
      </c>
      <c r="S15" s="52">
        <v>0.25454545454545452</v>
      </c>
      <c r="T15" s="49" t="s">
        <v>259</v>
      </c>
      <c r="U15" s="53">
        <v>7216.666666666667</v>
      </c>
      <c r="V15" s="49" t="s">
        <v>221</v>
      </c>
      <c r="W15" s="53">
        <v>-10300</v>
      </c>
      <c r="X15" s="49" t="s">
        <v>195</v>
      </c>
      <c r="Y15" s="51">
        <v>0.17857142857142858</v>
      </c>
      <c r="Z15" s="49" t="s">
        <v>201</v>
      </c>
      <c r="AA15" s="52">
        <v>0.14545454545454545</v>
      </c>
      <c r="AB15" s="49" t="s">
        <v>195</v>
      </c>
      <c r="AC15" s="52">
        <v>0.11428571428571428</v>
      </c>
      <c r="AD15" s="49" t="s">
        <v>193</v>
      </c>
      <c r="AE15" s="52">
        <v>0.22222222222222221</v>
      </c>
      <c r="AF15" s="49" t="s">
        <v>201</v>
      </c>
      <c r="AG15" s="52">
        <v>0.18181818181818182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50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501</v>
      </c>
      <c r="C2" s="142"/>
      <c r="E2" s="26" t="s">
        <v>66</v>
      </c>
      <c r="F2" s="23" t="s">
        <v>22</v>
      </c>
      <c r="G2" s="11">
        <v>980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-32.128514056224901</v>
      </c>
      <c r="Q2" s="76">
        <v>498</v>
      </c>
      <c r="R2" s="63">
        <v>-16000</v>
      </c>
    </row>
    <row r="3" spans="1:18" x14ac:dyDescent="0.4">
      <c r="A3" s="19" t="s">
        <v>8</v>
      </c>
      <c r="B3" s="143">
        <v>4299</v>
      </c>
      <c r="C3" s="144"/>
      <c r="E3" s="27" t="s">
        <v>72</v>
      </c>
      <c r="F3" s="24" t="s">
        <v>27</v>
      </c>
      <c r="G3" s="12">
        <v>738</v>
      </c>
      <c r="H3" s="88">
        <f>IF(B$20=0,0,G3/B$20)</f>
        <v>0.58571428571428574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8.2304526748971192</v>
      </c>
      <c r="Q3" s="77">
        <v>486</v>
      </c>
      <c r="R3" s="64">
        <v>4000</v>
      </c>
    </row>
    <row r="4" spans="1:18" x14ac:dyDescent="0.4">
      <c r="A4" s="19" t="s">
        <v>6</v>
      </c>
      <c r="B4" s="145">
        <v>4.2632564145606011E-14</v>
      </c>
      <c r="C4" s="146"/>
      <c r="E4" s="27" t="s">
        <v>64</v>
      </c>
      <c r="F4" s="24" t="s">
        <v>20</v>
      </c>
      <c r="G4" s="12">
        <v>545</v>
      </c>
      <c r="H4" s="88">
        <f>IF(B$20=0,0,G4/B$20)</f>
        <v>0.43253968253968256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8.2815734989648035</v>
      </c>
      <c r="Q4" s="77">
        <v>483</v>
      </c>
      <c r="R4" s="64">
        <v>4000</v>
      </c>
    </row>
    <row r="5" spans="1:18" x14ac:dyDescent="0.4">
      <c r="A5" s="19" t="s">
        <v>7</v>
      </c>
      <c r="B5" s="133">
        <f>IF(B$2=0,0,B$4/B$2)</f>
        <v>8.5094938414383261E-17</v>
      </c>
      <c r="C5" s="134"/>
      <c r="E5" s="27" t="s">
        <v>159</v>
      </c>
      <c r="F5" s="24" t="s">
        <v>160</v>
      </c>
      <c r="G5" s="12">
        <v>502</v>
      </c>
      <c r="H5" s="88">
        <f>IF(B$20=0,0,G5/B$20)</f>
        <v>0.39841269841269839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-4.329004329004329</v>
      </c>
      <c r="Q5" s="77">
        <v>462</v>
      </c>
      <c r="R5" s="64">
        <v>-2000</v>
      </c>
    </row>
    <row r="6" spans="1:18" x14ac:dyDescent="0.4">
      <c r="A6" s="19" t="s">
        <v>196</v>
      </c>
      <c r="B6" s="137">
        <v>1603.2299453184862</v>
      </c>
      <c r="C6" s="138"/>
      <c r="E6" s="27" t="s">
        <v>68</v>
      </c>
      <c r="F6" s="24" t="s">
        <v>12</v>
      </c>
      <c r="G6" s="12">
        <v>379</v>
      </c>
      <c r="H6" s="88">
        <f>IF(B$20=0,0,G6/B$20)</f>
        <v>0.30079365079365078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9.3896713615023479</v>
      </c>
      <c r="Q6" s="77">
        <v>426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1.998003992015968</v>
      </c>
      <c r="C7" s="148"/>
      <c r="E7" s="27" t="s">
        <v>67</v>
      </c>
      <c r="F7" s="24" t="s">
        <v>23</v>
      </c>
      <c r="G7" s="12">
        <v>289</v>
      </c>
      <c r="H7" s="88">
        <f>IF(B$20=0,0,G7/B$20)</f>
        <v>0.22936507936507936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13.774104683195592</v>
      </c>
      <c r="Q7" s="78">
        <v>363</v>
      </c>
      <c r="R7" s="65">
        <v>5000</v>
      </c>
    </row>
    <row r="8" spans="1:18" x14ac:dyDescent="0.4">
      <c r="A8" s="19" t="s">
        <v>2</v>
      </c>
      <c r="B8" s="12">
        <v>168</v>
      </c>
      <c r="C8" s="6">
        <f t="shared" ref="C8:C15" si="1">IF(B$2=0,0,B8/B$2)</f>
        <v>0.33532934131736525</v>
      </c>
      <c r="E8" s="27" t="s">
        <v>89</v>
      </c>
      <c r="F8" s="24" t="s">
        <v>44</v>
      </c>
      <c r="G8" s="12">
        <v>169</v>
      </c>
      <c r="H8" s="88">
        <f>IF(B$20=0,0,G8/B$20)</f>
        <v>0.13412698412698412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166</v>
      </c>
      <c r="C9" s="6">
        <f t="shared" si="1"/>
        <v>0.33133732534930138</v>
      </c>
      <c r="E9" s="27" t="s">
        <v>69</v>
      </c>
      <c r="F9" s="24" t="s">
        <v>24</v>
      </c>
      <c r="G9" s="12">
        <v>168</v>
      </c>
      <c r="H9" s="88">
        <f>IF(B$20=0,0,G9/B$20)</f>
        <v>0.13333333333333333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167</v>
      </c>
      <c r="C10" s="7">
        <f t="shared" si="1"/>
        <v>0.33333333333333331</v>
      </c>
      <c r="E10" s="27" t="s">
        <v>70</v>
      </c>
      <c r="F10" s="24" t="s">
        <v>25</v>
      </c>
      <c r="G10" s="12">
        <v>128</v>
      </c>
      <c r="H10" s="88">
        <f>IF(B$20=0,0,G10/B$20)</f>
        <v>0.10158730158730159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2.095209580838322</v>
      </c>
      <c r="Q10" s="76">
        <v>167</v>
      </c>
      <c r="R10" s="67">
        <v>349.89999999999981</v>
      </c>
    </row>
    <row r="11" spans="1:18" x14ac:dyDescent="0.4">
      <c r="A11" s="20" t="s">
        <v>184</v>
      </c>
      <c r="B11" s="109">
        <f>IF(B8=0,0,C11/B8)</f>
        <v>34.871428571428559</v>
      </c>
      <c r="C11" s="110">
        <v>5858.3999999999978</v>
      </c>
      <c r="E11" s="27" t="s">
        <v>65</v>
      </c>
      <c r="F11" s="24" t="s">
        <v>21</v>
      </c>
      <c r="G11" s="12">
        <v>124</v>
      </c>
      <c r="H11" s="88">
        <f>IF(B$20=0,0,G11/B$20)</f>
        <v>9.841269841269841E-2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-3.5299401197604805</v>
      </c>
      <c r="Q11" s="77">
        <v>167</v>
      </c>
      <c r="R11" s="68">
        <v>-589.50000000000023</v>
      </c>
    </row>
    <row r="12" spans="1:18" x14ac:dyDescent="0.4">
      <c r="A12" s="20" t="s">
        <v>185</v>
      </c>
      <c r="B12" s="109">
        <f>IF(B9=0,0,C12/B9)</f>
        <v>-1.0819277108433736</v>
      </c>
      <c r="C12" s="110">
        <v>-179.60000000000002</v>
      </c>
      <c r="E12" s="27" t="s">
        <v>71</v>
      </c>
      <c r="F12" s="24" t="s">
        <v>26</v>
      </c>
      <c r="G12" s="12">
        <v>79</v>
      </c>
      <c r="H12" s="88">
        <f>IF(B$20=0,0,G12/B$20)</f>
        <v>6.2698412698412698E-2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1.4347305389221559</v>
      </c>
      <c r="Q12" s="78">
        <v>167</v>
      </c>
      <c r="R12" s="69">
        <v>239.60000000000002</v>
      </c>
    </row>
    <row r="13" spans="1:18" x14ac:dyDescent="0.4">
      <c r="A13" s="20" t="s">
        <v>186</v>
      </c>
      <c r="B13" s="109">
        <f>IF(B10=0,0,C13/B10)</f>
        <v>-34.004790419161679</v>
      </c>
      <c r="C13" s="110">
        <v>-5678.8</v>
      </c>
      <c r="E13" s="27" t="s">
        <v>86</v>
      </c>
      <c r="F13" s="24" t="s">
        <v>41</v>
      </c>
      <c r="G13" s="12">
        <v>72</v>
      </c>
      <c r="H13" s="88">
        <f>IF(B$20=0,0,G13/B$20)</f>
        <v>5.7142857142857141E-2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-7.1763186192164596E-2</v>
      </c>
      <c r="C14" s="134"/>
      <c r="E14" s="27" t="s">
        <v>83</v>
      </c>
      <c r="F14" s="24" t="s">
        <v>38</v>
      </c>
      <c r="G14" s="12">
        <v>56</v>
      </c>
      <c r="H14" s="88">
        <f>IF(B$20=0,0,G14/B$20)</f>
        <v>4.4444444444444446E-2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42</v>
      </c>
      <c r="C15" s="9">
        <f t="shared" si="1"/>
        <v>8.3832335329341312E-2</v>
      </c>
      <c r="E15" s="27" t="s">
        <v>78</v>
      </c>
      <c r="F15" s="24" t="s">
        <v>33</v>
      </c>
      <c r="G15" s="12">
        <v>40</v>
      </c>
      <c r="H15" s="88">
        <f>IF(B$20=0,0,G15/B$20)</f>
        <v>3.1746031746031744E-2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37.700000000000003</v>
      </c>
      <c r="Q15" s="76">
        <v>12</v>
      </c>
      <c r="R15" s="67">
        <v>452.40000000000003</v>
      </c>
    </row>
    <row r="16" spans="1:18" x14ac:dyDescent="0.4">
      <c r="A16" s="22" t="s">
        <v>121</v>
      </c>
      <c r="B16" s="15">
        <v>1061</v>
      </c>
      <c r="C16" s="10">
        <f>IF(B$3=0,0,B16/B$3)</f>
        <v>0.24680158176320074</v>
      </c>
      <c r="E16" s="27" t="s">
        <v>81</v>
      </c>
      <c r="F16" s="24" t="s">
        <v>36</v>
      </c>
      <c r="G16" s="12">
        <v>36</v>
      </c>
      <c r="H16" s="88">
        <f>IF(B$20=0,0,G16/B$20)</f>
        <v>2.8571428571428571E-2</v>
      </c>
      <c r="I16" s="58">
        <v>8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947</v>
      </c>
      <c r="C17" s="6">
        <f>IF(B$3=0,0,B17/B$3)</f>
        <v>0.22028378692719236</v>
      </c>
      <c r="E17" s="27" t="s">
        <v>91</v>
      </c>
      <c r="F17" s="24" t="s">
        <v>46</v>
      </c>
      <c r="G17" s="12">
        <v>23</v>
      </c>
      <c r="H17" s="88">
        <f>IF(B$20=0,0,G17/B$20)</f>
        <v>1.8253968253968255E-2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561</v>
      </c>
      <c r="C18" s="5">
        <f>IF(B$16=0,0,B18/B$16)</f>
        <v>0.52874646559849203</v>
      </c>
      <c r="E18" s="27" t="s">
        <v>155</v>
      </c>
      <c r="F18" s="24" t="s">
        <v>156</v>
      </c>
      <c r="G18" s="12">
        <v>20</v>
      </c>
      <c r="H18" s="88">
        <f>IF(B$20=0,0,G18/B$20)</f>
        <v>1.5873015873015872E-2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12.958928571428574</v>
      </c>
      <c r="Q18" s="77">
        <v>56</v>
      </c>
      <c r="R18" s="68">
        <v>725.70000000000016</v>
      </c>
    </row>
    <row r="19" spans="1:18" x14ac:dyDescent="0.4">
      <c r="A19" s="18" t="s">
        <v>124</v>
      </c>
      <c r="B19" s="11">
        <f>B25</f>
        <v>383</v>
      </c>
      <c r="C19" s="5">
        <f>IF(B$17=0,0,B19/B$17)</f>
        <v>0.40443505807814151</v>
      </c>
      <c r="E19" s="27" t="s">
        <v>79</v>
      </c>
      <c r="F19" s="24" t="s">
        <v>34</v>
      </c>
      <c r="G19" s="12">
        <v>15</v>
      </c>
      <c r="H19" s="88">
        <f>IF(B$20=0,0,G19/B$20)</f>
        <v>1.1904761904761904E-2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1260</v>
      </c>
      <c r="C20" s="5">
        <f>IF(B$3=0,0,B20/B$3)</f>
        <v>0.29309141660851362</v>
      </c>
      <c r="E20" s="27" t="s">
        <v>73</v>
      </c>
      <c r="F20" s="24" t="s">
        <v>28</v>
      </c>
      <c r="G20" s="12">
        <v>10</v>
      </c>
      <c r="H20" s="88">
        <f>IF(B$20=0,0,G20/B$20)</f>
        <v>7.9365079365079361E-3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703</v>
      </c>
      <c r="C21" s="6">
        <f>IF(B$3=0,0,B21/B$3)</f>
        <v>0.1635264014887183</v>
      </c>
      <c r="E21" s="27" t="s">
        <v>85</v>
      </c>
      <c r="F21" s="24" t="s">
        <v>40</v>
      </c>
      <c r="G21" s="12">
        <v>6</v>
      </c>
      <c r="H21" s="88">
        <f>IF(B$20=0,0,G21/B$20)</f>
        <v>4.7619047619047623E-3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4.11741573033708</v>
      </c>
      <c r="Q21" s="77">
        <v>178</v>
      </c>
      <c r="R21" s="68">
        <v>732.9000000000002</v>
      </c>
    </row>
    <row r="22" spans="1:18" x14ac:dyDescent="0.4">
      <c r="A22" s="19" t="s">
        <v>12</v>
      </c>
      <c r="B22" s="12">
        <v>549</v>
      </c>
      <c r="C22" s="6">
        <f>IF(B$20=0,0,B22/B$20)</f>
        <v>0.43571428571428572</v>
      </c>
      <c r="E22" s="27" t="s">
        <v>75</v>
      </c>
      <c r="F22" s="24" t="s">
        <v>30</v>
      </c>
      <c r="G22" s="12">
        <v>5</v>
      </c>
      <c r="H22" s="88">
        <f>IF(B$20=0,0,G22/B$20)</f>
        <v>3.968253968253968E-3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1.8264705882352947</v>
      </c>
      <c r="Q22" s="77">
        <v>102</v>
      </c>
      <c r="R22" s="68">
        <v>186.30000000000007</v>
      </c>
    </row>
    <row r="23" spans="1:18" x14ac:dyDescent="0.4">
      <c r="A23" s="19" t="s">
        <v>11</v>
      </c>
      <c r="B23" s="12">
        <v>711</v>
      </c>
      <c r="C23" s="6">
        <f>IF(B$20=0,0,B23/B$20)</f>
        <v>0.56428571428571428</v>
      </c>
      <c r="E23" s="27" t="s">
        <v>77</v>
      </c>
      <c r="F23" s="24" t="s">
        <v>32</v>
      </c>
      <c r="G23" s="12">
        <v>5</v>
      </c>
      <c r="H23" s="88">
        <f>IF(B$20=0,0,G23/B$20)</f>
        <v>3.968253968253968E-3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-2.3716216216216215</v>
      </c>
      <c r="Q23" s="77">
        <v>74</v>
      </c>
      <c r="R23" s="68">
        <v>-175.5</v>
      </c>
    </row>
    <row r="24" spans="1:18" x14ac:dyDescent="0.4">
      <c r="A24" s="19" t="s">
        <v>183</v>
      </c>
      <c r="B24" s="12">
        <v>561</v>
      </c>
      <c r="C24" s="6">
        <f>IF(B$20=0,0,B24/B$20)</f>
        <v>0.44523809523809521</v>
      </c>
      <c r="E24" s="27" t="s">
        <v>88</v>
      </c>
      <c r="F24" s="24" t="s">
        <v>43</v>
      </c>
      <c r="G24" s="12">
        <v>5</v>
      </c>
      <c r="H24" s="88">
        <f>IF(B$20=0,0,G24/B$20)</f>
        <v>3.968253968253968E-3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-2.9049295774647876</v>
      </c>
      <c r="Q24" s="77">
        <v>284</v>
      </c>
      <c r="R24" s="68">
        <v>-824.99999999999966</v>
      </c>
    </row>
    <row r="25" spans="1:18" x14ac:dyDescent="0.4">
      <c r="A25" s="19" t="s">
        <v>181</v>
      </c>
      <c r="B25" s="12">
        <v>383</v>
      </c>
      <c r="C25" s="6">
        <f>IF(B$20=0,0,B25/B$20)</f>
        <v>0.30396825396825394</v>
      </c>
      <c r="E25" s="27" t="s">
        <v>92</v>
      </c>
      <c r="F25" s="24" t="s">
        <v>47</v>
      </c>
      <c r="G25" s="12">
        <v>4</v>
      </c>
      <c r="H25" s="88">
        <f>IF(B$20=0,0,G25/B$20)</f>
        <v>3.1746031746031746E-3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-5.2411764705882344</v>
      </c>
      <c r="Q25" s="77">
        <v>102</v>
      </c>
      <c r="R25" s="68">
        <v>-534.59999999999991</v>
      </c>
    </row>
    <row r="26" spans="1:18" x14ac:dyDescent="0.4">
      <c r="A26" s="19" t="s">
        <v>182</v>
      </c>
      <c r="B26" s="12">
        <v>316</v>
      </c>
      <c r="C26" s="6">
        <f>IF(B$20=0,0,B26/B$20)</f>
        <v>0.25079365079365079</v>
      </c>
      <c r="E26" s="27" t="s">
        <v>90</v>
      </c>
      <c r="F26" s="24" t="s">
        <v>45</v>
      </c>
      <c r="G26" s="12">
        <v>3</v>
      </c>
      <c r="H26" s="88">
        <f>IF(B$20=0,0,G26/B$20)</f>
        <v>2.3809523809523812E-3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-9.7925373134328364</v>
      </c>
      <c r="Q26" s="77">
        <v>134</v>
      </c>
      <c r="R26" s="68">
        <v>-1312.2</v>
      </c>
    </row>
    <row r="27" spans="1:18" x14ac:dyDescent="0.4">
      <c r="A27" s="19" t="s">
        <v>5</v>
      </c>
      <c r="B27" s="16">
        <f>IF(B$20=0,0,C27/B$20)</f>
        <v>8213.4920634920636</v>
      </c>
      <c r="C27" s="8">
        <v>10349000</v>
      </c>
      <c r="E27" s="27" t="s">
        <v>93</v>
      </c>
      <c r="F27" s="24" t="s">
        <v>48</v>
      </c>
      <c r="G27" s="12">
        <v>2</v>
      </c>
      <c r="H27" s="88">
        <f>IF(B$20=0,0,G27/B$20)</f>
        <v>1.5873015873015873E-3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8785.1767388825538</v>
      </c>
      <c r="C28" s="96">
        <v>7704600</v>
      </c>
      <c r="E28" s="27" t="s">
        <v>80</v>
      </c>
      <c r="F28" s="24" t="s">
        <v>35</v>
      </c>
      <c r="G28" s="12">
        <v>1</v>
      </c>
      <c r="H28" s="88">
        <f>IF(B$20=0,0,G28/B$20)</f>
        <v>7.9365079365079365E-4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6904.4386422976504</v>
      </c>
      <c r="C29" s="96">
        <v>2644400</v>
      </c>
      <c r="E29" s="27" t="s">
        <v>84</v>
      </c>
      <c r="F29" s="24" t="s">
        <v>39</v>
      </c>
      <c r="G29" s="12">
        <v>1</v>
      </c>
      <c r="H29" s="88">
        <f>IF(B$20=0,0,G29/B$20)</f>
        <v>7.9365079365079365E-4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-7677.8093883357042</v>
      </c>
      <c r="C30" s="96">
        <v>-5397500</v>
      </c>
      <c r="E30" s="27" t="s">
        <v>102</v>
      </c>
      <c r="F30" s="24" t="s">
        <v>57</v>
      </c>
      <c r="G30" s="12">
        <v>1</v>
      </c>
      <c r="H30" s="88">
        <f>IF(B$20=0,0,G30/B$20)</f>
        <v>7.9365079365079365E-4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106</v>
      </c>
      <c r="F31" s="24" t="s">
        <v>113</v>
      </c>
      <c r="G31" s="12">
        <v>1</v>
      </c>
      <c r="H31" s="88">
        <f>IF(B$20=0,0,G31/B$20)</f>
        <v>7.9365079365079365E-4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16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8</v>
      </c>
      <c r="C35" s="9">
        <f>IF(B$3=0,0,B35/B$3)</f>
        <v>1.8608978832286578E-3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90</v>
      </c>
      <c r="C37" s="98">
        <f t="shared" ref="C37:C49" si="2">IF(B$20=0,0,B37/B$20)</f>
        <v>7.1428571428571425E-2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228</v>
      </c>
      <c r="C38" s="6">
        <f t="shared" si="2"/>
        <v>0.18095238095238095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244</v>
      </c>
      <c r="C39" s="6">
        <f t="shared" si="2"/>
        <v>0.19365079365079366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244</v>
      </c>
      <c r="C40" s="6">
        <f t="shared" si="2"/>
        <v>0.19365079365079366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185</v>
      </c>
      <c r="C41" s="6">
        <f t="shared" si="2"/>
        <v>0.14682539682539683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123</v>
      </c>
      <c r="C42" s="6">
        <f t="shared" si="2"/>
        <v>9.7619047619047619E-2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58</v>
      </c>
      <c r="C43" s="6">
        <f t="shared" si="2"/>
        <v>4.6031746031746035E-2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39</v>
      </c>
      <c r="C44" s="6">
        <f t="shared" si="2"/>
        <v>3.0952380952380953E-2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21</v>
      </c>
      <c r="C45" s="6">
        <f t="shared" si="2"/>
        <v>1.6666666666666666E-2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13</v>
      </c>
      <c r="C46" s="6">
        <f t="shared" si="2"/>
        <v>1.0317460317460317E-2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5</v>
      </c>
      <c r="C47" s="6">
        <f t="shared" si="2"/>
        <v>3.968253968253968E-3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7.9365079365079365E-4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9</v>
      </c>
      <c r="C49" s="9">
        <f t="shared" si="2"/>
        <v>7.1428571428571426E-3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  <row r="453" spans="11:13" x14ac:dyDescent="0.4">
      <c r="K453" s="74">
        <v>451</v>
      </c>
      <c r="L453" s="119">
        <v>30.800000000000047</v>
      </c>
      <c r="M453" s="117">
        <v>1616.9311385103581</v>
      </c>
    </row>
    <row r="454" spans="11:13" x14ac:dyDescent="0.4">
      <c r="K454" s="74">
        <v>452</v>
      </c>
      <c r="L454" s="119">
        <v>33.400000000000048</v>
      </c>
      <c r="M454" s="117">
        <v>1617.4955516792959</v>
      </c>
    </row>
    <row r="455" spans="11:13" x14ac:dyDescent="0.4">
      <c r="K455" s="74">
        <v>453</v>
      </c>
      <c r="L455" s="119">
        <v>4.9737991503207013E-14</v>
      </c>
      <c r="M455" s="117">
        <v>1611.5765783692202</v>
      </c>
    </row>
    <row r="456" spans="11:13" x14ac:dyDescent="0.4">
      <c r="K456" s="74">
        <v>454</v>
      </c>
      <c r="L456" s="119">
        <v>26.900000000000048</v>
      </c>
      <c r="M456" s="117">
        <v>1616.1751188990049</v>
      </c>
    </row>
    <row r="457" spans="11:13" x14ac:dyDescent="0.4">
      <c r="K457" s="74">
        <v>455</v>
      </c>
      <c r="L457" s="119">
        <v>21.900000000000048</v>
      </c>
      <c r="M457" s="117">
        <v>1615.004068185611</v>
      </c>
    </row>
    <row r="458" spans="11:13" x14ac:dyDescent="0.4">
      <c r="K458" s="74">
        <v>456</v>
      </c>
      <c r="L458" s="119">
        <v>4.9737991503207013E-14</v>
      </c>
      <c r="M458" s="117">
        <v>1610.7980437764973</v>
      </c>
    </row>
    <row r="459" spans="11:13" x14ac:dyDescent="0.4">
      <c r="K459" s="74">
        <v>457</v>
      </c>
      <c r="L459" s="119">
        <v>57.00000000000005</v>
      </c>
      <c r="M459" s="117">
        <v>1620.8192555138382</v>
      </c>
    </row>
    <row r="460" spans="11:13" x14ac:dyDescent="0.4">
      <c r="K460" s="74">
        <v>458</v>
      </c>
      <c r="L460" s="119">
        <v>11.400000000000048</v>
      </c>
      <c r="M460" s="117">
        <v>1612.3123399807553</v>
      </c>
    </row>
    <row r="461" spans="11:13" x14ac:dyDescent="0.4">
      <c r="K461" s="74">
        <v>459</v>
      </c>
      <c r="L461" s="119">
        <v>4.7961634663806763E-14</v>
      </c>
      <c r="M461" s="117">
        <v>1610.0124659408707</v>
      </c>
    </row>
    <row r="462" spans="11:13" x14ac:dyDescent="0.4">
      <c r="K462" s="74">
        <v>460</v>
      </c>
      <c r="L462" s="119">
        <v>8.3000000000000487</v>
      </c>
      <c r="M462" s="117">
        <v>1611.2723911452256</v>
      </c>
    </row>
    <row r="463" spans="11:13" x14ac:dyDescent="0.4">
      <c r="K463" s="74">
        <v>461</v>
      </c>
      <c r="L463" s="119">
        <v>-27.899999999999956</v>
      </c>
      <c r="M463" s="117">
        <v>1604.5147567983543</v>
      </c>
    </row>
    <row r="464" spans="11:13" x14ac:dyDescent="0.4">
      <c r="K464" s="74">
        <v>462</v>
      </c>
      <c r="L464" s="119">
        <v>4.2632564145606011E-14</v>
      </c>
      <c r="M464" s="117">
        <v>1609.3356682575641</v>
      </c>
    </row>
    <row r="465" spans="11:13" x14ac:dyDescent="0.4">
      <c r="K465" s="74">
        <v>463</v>
      </c>
      <c r="L465" s="119">
        <v>2.6000000000000427</v>
      </c>
      <c r="M465" s="117">
        <v>1609.5736542480188</v>
      </c>
    </row>
    <row r="466" spans="11:13" x14ac:dyDescent="0.4">
      <c r="K466" s="74">
        <v>464</v>
      </c>
      <c r="L466" s="119">
        <v>23.200000000000045</v>
      </c>
      <c r="M466" s="117">
        <v>1613.0502123225306</v>
      </c>
    </row>
    <row r="467" spans="11:13" x14ac:dyDescent="0.4">
      <c r="K467" s="74">
        <v>465</v>
      </c>
      <c r="L467" s="119">
        <v>4.6185277824406512E-14</v>
      </c>
      <c r="M467" s="117">
        <v>1608.6219110485954</v>
      </c>
    </row>
    <row r="468" spans="11:13" x14ac:dyDescent="0.4">
      <c r="K468" s="74">
        <v>466</v>
      </c>
      <c r="L468" s="119">
        <v>-43.899999999999949</v>
      </c>
      <c r="M468" s="117">
        <v>1600.4941795823038</v>
      </c>
    </row>
    <row r="469" spans="11:13" x14ac:dyDescent="0.4">
      <c r="K469" s="74">
        <v>467</v>
      </c>
      <c r="L469" s="119">
        <v>-35.399999999999949</v>
      </c>
      <c r="M469" s="117">
        <v>1601.8472145048099</v>
      </c>
    </row>
    <row r="470" spans="11:13" x14ac:dyDescent="0.4">
      <c r="K470" s="74">
        <v>468</v>
      </c>
      <c r="L470" s="119">
        <v>4.9737991503207013E-14</v>
      </c>
      <c r="M470" s="117">
        <v>1608.0341312177811</v>
      </c>
    </row>
    <row r="471" spans="11:13" x14ac:dyDescent="0.4">
      <c r="K471" s="74">
        <v>469</v>
      </c>
      <c r="L471" s="119">
        <v>75.700000000000045</v>
      </c>
      <c r="M471" s="117">
        <v>1621.4379264304744</v>
      </c>
    </row>
    <row r="472" spans="11:13" x14ac:dyDescent="0.4">
      <c r="K472" s="74">
        <v>470</v>
      </c>
      <c r="L472" s="119">
        <v>8.9000000000000483</v>
      </c>
      <c r="M472" s="117">
        <v>1609.1112988718914</v>
      </c>
    </row>
    <row r="473" spans="11:13" x14ac:dyDescent="0.4">
      <c r="K473" s="74">
        <v>471</v>
      </c>
      <c r="L473" s="119">
        <v>4.7961634663806763E-14</v>
      </c>
      <c r="M473" s="117">
        <v>1607.28063107866</v>
      </c>
    </row>
    <row r="474" spans="11:13" x14ac:dyDescent="0.4">
      <c r="K474" s="74">
        <v>472</v>
      </c>
      <c r="L474" s="119">
        <v>29.50000000000005</v>
      </c>
      <c r="M474" s="117">
        <v>1612.372947292188</v>
      </c>
    </row>
    <row r="475" spans="11:13" x14ac:dyDescent="0.4">
      <c r="K475" s="74">
        <v>473</v>
      </c>
      <c r="L475" s="119">
        <v>39.00000000000005</v>
      </c>
      <c r="M475" s="117">
        <v>1613.8347096084349</v>
      </c>
    </row>
    <row r="476" spans="11:13" x14ac:dyDescent="0.4">
      <c r="K476" s="74">
        <v>474</v>
      </c>
      <c r="L476" s="119">
        <v>4.9737991503207013E-14</v>
      </c>
      <c r="M476" s="117">
        <v>1606.5577013507843</v>
      </c>
    </row>
    <row r="477" spans="11:13" x14ac:dyDescent="0.4">
      <c r="K477" s="74">
        <v>475</v>
      </c>
      <c r="L477" s="119">
        <v>-16.399999999999949</v>
      </c>
      <c r="M477" s="117">
        <v>1603.3923551426797</v>
      </c>
    </row>
    <row r="478" spans="11:13" x14ac:dyDescent="0.4">
      <c r="K478" s="74">
        <v>476</v>
      </c>
      <c r="L478" s="119">
        <v>3.1000000000000512</v>
      </c>
      <c r="M478" s="117">
        <v>1606.7080010118236</v>
      </c>
    </row>
    <row r="479" spans="11:13" x14ac:dyDescent="0.4">
      <c r="K479" s="74">
        <v>477</v>
      </c>
      <c r="L479" s="119">
        <v>5.1070259132757201E-14</v>
      </c>
      <c r="M479" s="117">
        <v>1605.9357530057528</v>
      </c>
    </row>
    <row r="480" spans="11:13" x14ac:dyDescent="0.4">
      <c r="K480" s="74">
        <v>478</v>
      </c>
      <c r="L480" s="119">
        <v>-38.49999999999995</v>
      </c>
      <c r="M480" s="117">
        <v>1598.5141384877184</v>
      </c>
    </row>
    <row r="481" spans="11:13" x14ac:dyDescent="0.4">
      <c r="K481" s="74">
        <v>479</v>
      </c>
      <c r="L481" s="119">
        <v>-64.599999999999952</v>
      </c>
      <c r="M481" s="117">
        <v>1593.3690536567919</v>
      </c>
    </row>
    <row r="482" spans="11:13" x14ac:dyDescent="0.4">
      <c r="K482" s="74">
        <v>480</v>
      </c>
      <c r="L482" s="119">
        <v>4.2632564145606011E-14</v>
      </c>
      <c r="M482" s="117">
        <v>1604.5808393348511</v>
      </c>
    </row>
    <row r="483" spans="11:13" x14ac:dyDescent="0.4">
      <c r="K483" s="74">
        <v>481</v>
      </c>
      <c r="L483" s="119">
        <v>-24.599999999999959</v>
      </c>
      <c r="M483" s="117">
        <v>1599.4293542988421</v>
      </c>
    </row>
    <row r="484" spans="11:13" x14ac:dyDescent="0.4">
      <c r="K484" s="74">
        <v>482</v>
      </c>
      <c r="L484" s="119">
        <v>3.8000000000000398</v>
      </c>
      <c r="M484" s="117">
        <v>1603.8487781730491</v>
      </c>
    </row>
    <row r="485" spans="11:13" x14ac:dyDescent="0.4">
      <c r="K485" s="74">
        <v>483</v>
      </c>
      <c r="L485" s="119">
        <v>3.9968028886505635E-14</v>
      </c>
      <c r="M485" s="117">
        <v>1602.445685504011</v>
      </c>
    </row>
    <row r="486" spans="11:13" x14ac:dyDescent="0.4">
      <c r="K486" s="74">
        <v>484</v>
      </c>
      <c r="L486" s="119">
        <v>11.700000000000038</v>
      </c>
      <c r="M486" s="117">
        <v>1604.5730113909869</v>
      </c>
    </row>
    <row r="487" spans="11:13" x14ac:dyDescent="0.4">
      <c r="K487" s="74">
        <v>485</v>
      </c>
      <c r="L487" s="119">
        <v>43.000000000000043</v>
      </c>
      <c r="M487" s="117">
        <v>1610.2155733226409</v>
      </c>
    </row>
    <row r="488" spans="11:13" x14ac:dyDescent="0.4">
      <c r="K488" s="74">
        <v>486</v>
      </c>
      <c r="L488" s="119">
        <v>4.2632564145606011E-14</v>
      </c>
      <c r="M488" s="117">
        <v>1602.450279882705</v>
      </c>
    </row>
    <row r="489" spans="11:13" x14ac:dyDescent="0.4">
      <c r="K489" s="74">
        <v>487</v>
      </c>
      <c r="L489" s="119">
        <v>-42.799999999999955</v>
      </c>
      <c r="M489" s="117">
        <v>1594.3355782034087</v>
      </c>
    </row>
    <row r="490" spans="11:13" x14ac:dyDescent="0.4">
      <c r="K490" s="74">
        <v>488</v>
      </c>
      <c r="L490" s="119">
        <v>-2.4999999999999574</v>
      </c>
      <c r="M490" s="117">
        <v>1601.2275647341883</v>
      </c>
    </row>
    <row r="491" spans="11:13" x14ac:dyDescent="0.4">
      <c r="K491" s="74">
        <v>489</v>
      </c>
      <c r="L491" s="119">
        <v>4.2632564145606011E-14</v>
      </c>
      <c r="M491" s="117">
        <v>1601.2741993457832</v>
      </c>
    </row>
    <row r="492" spans="11:13" x14ac:dyDescent="0.4">
      <c r="K492" s="74">
        <v>490</v>
      </c>
      <c r="L492" s="119">
        <v>-30.299999999999958</v>
      </c>
      <c r="M492" s="117">
        <v>1595.4105541497086</v>
      </c>
    </row>
    <row r="493" spans="11:13" x14ac:dyDescent="0.4">
      <c r="K493" s="74">
        <v>491</v>
      </c>
      <c r="L493" s="119">
        <v>-22.899999999999956</v>
      </c>
      <c r="M493" s="117">
        <v>1596.3680908248102</v>
      </c>
    </row>
    <row r="494" spans="11:13" x14ac:dyDescent="0.4">
      <c r="K494" s="74">
        <v>492</v>
      </c>
      <c r="L494" s="119">
        <v>4.2632564145606011E-14</v>
      </c>
      <c r="M494" s="117">
        <v>1600.1098822798613</v>
      </c>
    </row>
    <row r="495" spans="11:13" x14ac:dyDescent="0.4">
      <c r="K495" s="74">
        <v>493</v>
      </c>
      <c r="L495" s="119">
        <v>-20.899999999999956</v>
      </c>
      <c r="M495" s="117">
        <v>1596.683222986182</v>
      </c>
    </row>
    <row r="496" spans="11:13" x14ac:dyDescent="0.4">
      <c r="K496" s="74">
        <v>494</v>
      </c>
      <c r="L496" s="119">
        <v>-24.399999999999956</v>
      </c>
      <c r="M496" s="117">
        <v>1596.409123648265</v>
      </c>
    </row>
    <row r="497" spans="11:13" x14ac:dyDescent="0.4">
      <c r="K497" s="74">
        <v>495</v>
      </c>
      <c r="L497" s="119">
        <v>4.2632564145606011E-14</v>
      </c>
      <c r="M497" s="117">
        <v>1601.1586689063754</v>
      </c>
    </row>
    <row r="498" spans="11:13" x14ac:dyDescent="0.4">
      <c r="K498" s="74">
        <v>496</v>
      </c>
      <c r="L498" s="119">
        <v>1.5000000000000426</v>
      </c>
      <c r="M498" s="117">
        <v>1601.7577168929372</v>
      </c>
    </row>
    <row r="499" spans="11:13" x14ac:dyDescent="0.4">
      <c r="K499" s="74">
        <v>497</v>
      </c>
      <c r="L499" s="119">
        <v>-33.099999999999959</v>
      </c>
      <c r="M499" s="117">
        <v>1595.8551705915795</v>
      </c>
    </row>
    <row r="500" spans="11:13" x14ac:dyDescent="0.4">
      <c r="K500" s="74">
        <v>498</v>
      </c>
      <c r="L500" s="119">
        <v>4.2632564145606011E-14</v>
      </c>
      <c r="M500" s="117">
        <v>1602.1740395680301</v>
      </c>
    </row>
    <row r="501" spans="11:13" x14ac:dyDescent="0.4">
      <c r="K501" s="74">
        <v>499</v>
      </c>
      <c r="L501" s="119">
        <v>-39.499999999999957</v>
      </c>
      <c r="M501" s="117">
        <v>1595.3869953306219</v>
      </c>
    </row>
    <row r="502" spans="11:13" x14ac:dyDescent="0.4">
      <c r="K502" s="74">
        <v>500</v>
      </c>
      <c r="L502" s="119">
        <v>-46.69999999999996</v>
      </c>
      <c r="M502" s="117">
        <v>1594.454673358638</v>
      </c>
    </row>
    <row r="503" spans="11:13" x14ac:dyDescent="0.4">
      <c r="K503" s="74">
        <v>501</v>
      </c>
      <c r="L503" s="119">
        <v>4.2632564145606011E-14</v>
      </c>
      <c r="M503" s="117">
        <v>1603.2299453184862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4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142</v>
      </c>
      <c r="C2" s="142"/>
      <c r="E2" s="26" t="s">
        <v>66</v>
      </c>
      <c r="F2" s="23" t="s">
        <v>22</v>
      </c>
      <c r="G2" s="11">
        <v>287</v>
      </c>
      <c r="H2" s="87">
        <f>IF(B$20=0,0,G2/B$20)</f>
        <v>0.74934725848563966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607.0921985815603</v>
      </c>
      <c r="Q2" s="76">
        <v>141</v>
      </c>
      <c r="R2" s="63">
        <v>85600</v>
      </c>
    </row>
    <row r="3" spans="1:18" x14ac:dyDescent="0.4">
      <c r="A3" s="19" t="s">
        <v>8</v>
      </c>
      <c r="B3" s="143">
        <v>1196</v>
      </c>
      <c r="C3" s="144"/>
      <c r="E3" s="27" t="s">
        <v>72</v>
      </c>
      <c r="F3" s="24" t="s">
        <v>27</v>
      </c>
      <c r="G3" s="12">
        <v>205</v>
      </c>
      <c r="H3" s="88">
        <f>IF(B$20=0,0,G3/B$20)</f>
        <v>0.53524804177545693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-148.17518248175182</v>
      </c>
      <c r="Q3" s="77">
        <v>137</v>
      </c>
      <c r="R3" s="64">
        <v>-20300</v>
      </c>
    </row>
    <row r="4" spans="1:18" x14ac:dyDescent="0.4">
      <c r="A4" s="19" t="s">
        <v>6</v>
      </c>
      <c r="B4" s="145">
        <v>274.99999999999989</v>
      </c>
      <c r="C4" s="146"/>
      <c r="E4" s="27" t="s">
        <v>64</v>
      </c>
      <c r="F4" s="24" t="s">
        <v>20</v>
      </c>
      <c r="G4" s="12">
        <v>161</v>
      </c>
      <c r="H4" s="88">
        <f>IF(B$20=0,0,G4/B$20)</f>
        <v>0.42036553524804177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-1349.2647058823529</v>
      </c>
      <c r="Q4" s="77">
        <v>136</v>
      </c>
      <c r="R4" s="64">
        <v>-183500</v>
      </c>
    </row>
    <row r="5" spans="1:18" x14ac:dyDescent="0.4">
      <c r="A5" s="19" t="s">
        <v>7</v>
      </c>
      <c r="B5" s="133">
        <f>IF(B$2=0,0,B$4/B$2)</f>
        <v>1.9366197183098584</v>
      </c>
      <c r="C5" s="134"/>
      <c r="E5" s="27" t="s">
        <v>159</v>
      </c>
      <c r="F5" s="24" t="s">
        <v>160</v>
      </c>
      <c r="G5" s="12">
        <v>148</v>
      </c>
      <c r="H5" s="88">
        <f>IF(B$20=0,0,G5/B$20)</f>
        <v>0.38642297650130547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1160.3053435114505</v>
      </c>
      <c r="Q5" s="77">
        <v>131</v>
      </c>
      <c r="R5" s="64">
        <v>152000</v>
      </c>
    </row>
    <row r="6" spans="1:18" x14ac:dyDescent="0.4">
      <c r="A6" s="19" t="s">
        <v>196</v>
      </c>
      <c r="B6" s="137">
        <v>1749.796791535904</v>
      </c>
      <c r="C6" s="138"/>
      <c r="E6" s="27" t="s">
        <v>68</v>
      </c>
      <c r="F6" s="24" t="s">
        <v>12</v>
      </c>
      <c r="G6" s="12">
        <v>117</v>
      </c>
      <c r="H6" s="88">
        <f>IF(B$20=0,0,G6/B$20)</f>
        <v>0.30548302872062666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625.83333333333337</v>
      </c>
      <c r="Q6" s="77">
        <v>120</v>
      </c>
      <c r="R6" s="64">
        <v>75100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80</v>
      </c>
      <c r="H7" s="88">
        <f>IF(B$20=0,0,G7/B$20)</f>
        <v>0.20887728459530025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769.60784313725492</v>
      </c>
      <c r="Q7" s="78">
        <v>102</v>
      </c>
      <c r="R7" s="65">
        <v>78500</v>
      </c>
    </row>
    <row r="8" spans="1:18" x14ac:dyDescent="0.4">
      <c r="A8" s="19" t="s">
        <v>2</v>
      </c>
      <c r="B8" s="12">
        <v>50</v>
      </c>
      <c r="C8" s="6">
        <f t="shared" ref="C8:C15" si="1">IF(B$2=0,0,B8/B$2)</f>
        <v>0.352112676056338</v>
      </c>
      <c r="E8" s="27" t="s">
        <v>69</v>
      </c>
      <c r="F8" s="24" t="s">
        <v>24</v>
      </c>
      <c r="G8" s="12">
        <v>60</v>
      </c>
      <c r="H8" s="88">
        <f>IF(B$20=0,0,G8/B$20)</f>
        <v>0.1566579634464752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42</v>
      </c>
      <c r="C9" s="6">
        <f t="shared" si="1"/>
        <v>0.29577464788732394</v>
      </c>
      <c r="E9" s="27" t="s">
        <v>70</v>
      </c>
      <c r="F9" s="24" t="s">
        <v>25</v>
      </c>
      <c r="G9" s="12">
        <v>48</v>
      </c>
      <c r="H9" s="88">
        <f>IF(B$20=0,0,G9/B$20)</f>
        <v>0.12532637075718014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50</v>
      </c>
      <c r="C10" s="7">
        <f t="shared" si="1"/>
        <v>0.352112676056338</v>
      </c>
      <c r="E10" s="27" t="s">
        <v>89</v>
      </c>
      <c r="F10" s="24" t="s">
        <v>44</v>
      </c>
      <c r="G10" s="12">
        <v>47</v>
      </c>
      <c r="H10" s="88">
        <f>IF(B$20=0,0,G10/B$20)</f>
        <v>0.12271540469973891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6.1419999999999995</v>
      </c>
      <c r="Q10" s="76">
        <v>50</v>
      </c>
      <c r="R10" s="67">
        <v>307.09999999999997</v>
      </c>
    </row>
    <row r="11" spans="1:18" x14ac:dyDescent="0.4">
      <c r="A11" s="20" t="s">
        <v>184</v>
      </c>
      <c r="B11" s="109">
        <f>IF(B8=0,0,C11/B8)</f>
        <v>38.118000000000009</v>
      </c>
      <c r="C11" s="110">
        <v>1905.9000000000003</v>
      </c>
      <c r="E11" s="27" t="s">
        <v>65</v>
      </c>
      <c r="F11" s="24" t="s">
        <v>21</v>
      </c>
      <c r="G11" s="12">
        <v>33</v>
      </c>
      <c r="H11" s="88">
        <f>IF(B$20=0,0,G11/B$20)</f>
        <v>8.6161879895561358E-2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-5.6958333333333337</v>
      </c>
      <c r="Q11" s="77">
        <v>48</v>
      </c>
      <c r="R11" s="68">
        <v>-273.40000000000003</v>
      </c>
    </row>
    <row r="12" spans="1:18" x14ac:dyDescent="0.4">
      <c r="A12" s="20" t="s">
        <v>185</v>
      </c>
      <c r="B12" s="109">
        <f>IF(B9=0,0,C12/B9)</f>
        <v>-1.7357142857142855</v>
      </c>
      <c r="C12" s="110">
        <v>-72.899999999999991</v>
      </c>
      <c r="E12" s="27" t="s">
        <v>86</v>
      </c>
      <c r="F12" s="24" t="s">
        <v>41</v>
      </c>
      <c r="G12" s="12">
        <v>26</v>
      </c>
      <c r="H12" s="88">
        <f>IF(B$20=0,0,G12/B$20)</f>
        <v>6.7885117493472591E-2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5.4840909090909093</v>
      </c>
      <c r="Q12" s="78">
        <v>44</v>
      </c>
      <c r="R12" s="69">
        <v>241.3</v>
      </c>
    </row>
    <row r="13" spans="1:18" x14ac:dyDescent="0.4">
      <c r="A13" s="20" t="s">
        <v>186</v>
      </c>
      <c r="B13" s="109">
        <f>IF(B10=0,0,C13/B10)</f>
        <v>-31.160000000000004</v>
      </c>
      <c r="C13" s="110">
        <v>-1558.0000000000002</v>
      </c>
      <c r="E13" s="27" t="s">
        <v>83</v>
      </c>
      <c r="F13" s="24" t="s">
        <v>38</v>
      </c>
      <c r="G13" s="12">
        <v>17</v>
      </c>
      <c r="H13" s="88">
        <f>IF(B$20=0,0,G13/B$20)</f>
        <v>4.4386422976501305E-2</v>
      </c>
      <c r="I13" s="58">
        <v>9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1.7407619047619061</v>
      </c>
      <c r="C14" s="134"/>
      <c r="E14" s="27" t="s">
        <v>71</v>
      </c>
      <c r="F14" s="24" t="s">
        <v>26</v>
      </c>
      <c r="G14" s="12">
        <v>16</v>
      </c>
      <c r="H14" s="88">
        <f>IF(B$20=0,0,G14/B$20)</f>
        <v>4.1775456919060053E-2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7.746478873239436E-2</v>
      </c>
      <c r="E15" s="27" t="s">
        <v>78</v>
      </c>
      <c r="F15" s="24" t="s">
        <v>33</v>
      </c>
      <c r="G15" s="12">
        <v>14</v>
      </c>
      <c r="H15" s="88">
        <f>IF(B$20=0,0,G15/B$20)</f>
        <v>3.6553524804177548E-2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298</v>
      </c>
      <c r="C16" s="10">
        <f>IF(B$3=0,0,B16/B$3)</f>
        <v>0.24916387959866221</v>
      </c>
      <c r="E16" s="27" t="s">
        <v>155</v>
      </c>
      <c r="F16" s="24" t="s">
        <v>156</v>
      </c>
      <c r="G16" s="12">
        <v>12</v>
      </c>
      <c r="H16" s="88">
        <f>IF(B$20=0,0,G16/B$20)</f>
        <v>3.1331592689295036E-2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44.933333333333337</v>
      </c>
      <c r="Q16" s="77">
        <v>6</v>
      </c>
      <c r="R16" s="68">
        <v>269.60000000000002</v>
      </c>
    </row>
    <row r="17" spans="1:18" x14ac:dyDescent="0.4">
      <c r="A17" s="19" t="s">
        <v>118</v>
      </c>
      <c r="B17" s="12">
        <v>237</v>
      </c>
      <c r="C17" s="6">
        <f>IF(B$3=0,0,B17/B$3)</f>
        <v>0.19816053511705686</v>
      </c>
      <c r="E17" s="27" t="s">
        <v>91</v>
      </c>
      <c r="F17" s="24" t="s">
        <v>46</v>
      </c>
      <c r="G17" s="12">
        <v>9</v>
      </c>
      <c r="H17" s="88">
        <f>IF(B$20=0,0,G17/B$20)</f>
        <v>2.3498694516971279E-2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169</v>
      </c>
      <c r="C18" s="5">
        <f>IF(B$16=0,0,B18/B$16)</f>
        <v>0.56711409395973156</v>
      </c>
      <c r="E18" s="27" t="s">
        <v>81</v>
      </c>
      <c r="F18" s="24" t="s">
        <v>36</v>
      </c>
      <c r="G18" s="12">
        <v>7</v>
      </c>
      <c r="H18" s="88">
        <f>IF(B$20=0,0,G18/B$20)</f>
        <v>1.8276762402088774E-2</v>
      </c>
      <c r="I18" s="58">
        <v>11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14.013636363636367</v>
      </c>
      <c r="Q18" s="77">
        <v>22</v>
      </c>
      <c r="R18" s="68">
        <v>308.30000000000007</v>
      </c>
    </row>
    <row r="19" spans="1:18" x14ac:dyDescent="0.4">
      <c r="A19" s="18" t="s">
        <v>124</v>
      </c>
      <c r="B19" s="11">
        <f>B25</f>
        <v>110</v>
      </c>
      <c r="C19" s="5">
        <f>IF(B$17=0,0,B19/B$17)</f>
        <v>0.46413502109704641</v>
      </c>
      <c r="E19" s="27" t="s">
        <v>79</v>
      </c>
      <c r="F19" s="24" t="s">
        <v>34</v>
      </c>
      <c r="G19" s="12">
        <v>5</v>
      </c>
      <c r="H19" s="88">
        <f>IF(B$20=0,0,G19/B$20)</f>
        <v>1.3054830287206266E-2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7.8605263157894765</v>
      </c>
      <c r="Q19" s="77">
        <v>76</v>
      </c>
      <c r="R19" s="68">
        <v>597.4000000000002</v>
      </c>
    </row>
    <row r="20" spans="1:18" x14ac:dyDescent="0.4">
      <c r="A20" s="18" t="s">
        <v>10</v>
      </c>
      <c r="B20" s="11">
        <f>B23+B22</f>
        <v>383</v>
      </c>
      <c r="C20" s="5">
        <f>IF(B$3=0,0,B20/B$3)</f>
        <v>0.32023411371237459</v>
      </c>
      <c r="E20" s="27" t="s">
        <v>73</v>
      </c>
      <c r="F20" s="24" t="s">
        <v>28</v>
      </c>
      <c r="G20" s="12">
        <v>3</v>
      </c>
      <c r="H20" s="88">
        <f>IF(B$20=0,0,G20/B$20)</f>
        <v>7.832898172323759E-3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201</v>
      </c>
      <c r="C21" s="6">
        <f>IF(B$3=0,0,B21/B$3)</f>
        <v>0.16806020066889632</v>
      </c>
      <c r="E21" s="27" t="s">
        <v>75</v>
      </c>
      <c r="F21" s="24" t="s">
        <v>30</v>
      </c>
      <c r="G21" s="12">
        <v>3</v>
      </c>
      <c r="H21" s="88">
        <f>IF(B$20=0,0,G21/B$20)</f>
        <v>7.832898172323759E-3</v>
      </c>
      <c r="I21" s="58">
        <v>2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-0.46818181818181853</v>
      </c>
      <c r="Q21" s="77">
        <v>44</v>
      </c>
      <c r="R21" s="68">
        <v>-20.600000000000016</v>
      </c>
    </row>
    <row r="22" spans="1:18" x14ac:dyDescent="0.4">
      <c r="A22" s="19" t="s">
        <v>12</v>
      </c>
      <c r="B22" s="12">
        <v>171</v>
      </c>
      <c r="C22" s="6">
        <f>IF(B$20=0,0,B22/B$20)</f>
        <v>0.44647519582245432</v>
      </c>
      <c r="E22" s="27" t="s">
        <v>85</v>
      </c>
      <c r="F22" s="24" t="s">
        <v>40</v>
      </c>
      <c r="G22" s="12">
        <v>3</v>
      </c>
      <c r="H22" s="88">
        <f>IF(B$20=0,0,G22/B$20)</f>
        <v>7.832898172323759E-3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-0.82903225806451564</v>
      </c>
      <c r="Q22" s="77">
        <v>31</v>
      </c>
      <c r="R22" s="68">
        <v>-25.699999999999985</v>
      </c>
    </row>
    <row r="23" spans="1:18" x14ac:dyDescent="0.4">
      <c r="A23" s="19" t="s">
        <v>11</v>
      </c>
      <c r="B23" s="12">
        <v>212</v>
      </c>
      <c r="C23" s="6">
        <f>IF(B$20=0,0,B23/B$20)</f>
        <v>0.55352480417754568</v>
      </c>
      <c r="E23" s="27" t="s">
        <v>92</v>
      </c>
      <c r="F23" s="24" t="s">
        <v>47</v>
      </c>
      <c r="G23" s="12">
        <v>2</v>
      </c>
      <c r="H23" s="88">
        <f>IF(B$20=0,0,G23/B$20)</f>
        <v>5.2219321148825066E-3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-3.0419354838709682</v>
      </c>
      <c r="Q23" s="77">
        <v>31</v>
      </c>
      <c r="R23" s="68">
        <v>-94.300000000000011</v>
      </c>
    </row>
    <row r="24" spans="1:18" x14ac:dyDescent="0.4">
      <c r="A24" s="19" t="s">
        <v>183</v>
      </c>
      <c r="B24" s="12">
        <v>169</v>
      </c>
      <c r="C24" s="6">
        <f>IF(B$20=0,0,B24/B$20)</f>
        <v>0.44125326370757179</v>
      </c>
      <c r="E24" s="27" t="s">
        <v>80</v>
      </c>
      <c r="F24" s="24" t="s">
        <v>35</v>
      </c>
      <c r="G24" s="12">
        <v>1</v>
      </c>
      <c r="H24" s="88">
        <f>IF(B$20=0,0,G24/B$20)</f>
        <v>2.6109660574412533E-3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-6.4152542372881376</v>
      </c>
      <c r="Q24" s="77">
        <v>59</v>
      </c>
      <c r="R24" s="68">
        <v>-378.50000000000011</v>
      </c>
    </row>
    <row r="25" spans="1:18" x14ac:dyDescent="0.4">
      <c r="A25" s="19" t="s">
        <v>181</v>
      </c>
      <c r="B25" s="12">
        <v>110</v>
      </c>
      <c r="C25" s="6">
        <f>IF(B$20=0,0,B25/B$20)</f>
        <v>0.28720626631853785</v>
      </c>
      <c r="E25" s="27" t="s">
        <v>84</v>
      </c>
      <c r="F25" s="24" t="s">
        <v>39</v>
      </c>
      <c r="G25" s="12">
        <v>1</v>
      </c>
      <c r="H25" s="88">
        <f>IF(B$20=0,0,G25/B$20)</f>
        <v>2.6109660574412533E-3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104</v>
      </c>
      <c r="C26" s="6">
        <f>IF(B$20=0,0,B26/B$20)</f>
        <v>0.27154046997389036</v>
      </c>
      <c r="E26" s="27" t="s">
        <v>88</v>
      </c>
      <c r="F26" s="24" t="s">
        <v>43</v>
      </c>
      <c r="G26" s="12">
        <v>1</v>
      </c>
      <c r="H26" s="88">
        <f>IF(B$20=0,0,G26/B$20)</f>
        <v>2.6109660574412533E-3</v>
      </c>
      <c r="I26" s="58">
        <v>5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8194.516971279374</v>
      </c>
      <c r="C27" s="8">
        <v>3138500</v>
      </c>
      <c r="E27" s="27" t="s">
        <v>90</v>
      </c>
      <c r="F27" s="24" t="s">
        <v>45</v>
      </c>
      <c r="G27" s="12">
        <v>1</v>
      </c>
      <c r="H27" s="88">
        <f>IF(B$20=0,0,G27/B$20)</f>
        <v>2.6109660574412533E-3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8416.4835164835167</v>
      </c>
      <c r="C28" s="96">
        <v>2297700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7643.636363636364</v>
      </c>
      <c r="C29" s="96">
        <v>840800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-7555.2238805970146</v>
      </c>
      <c r="C30" s="96">
        <v>-1518600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31</v>
      </c>
      <c r="C32" s="90">
        <v>16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8.3612040133779263E-4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25</v>
      </c>
      <c r="C37" s="98">
        <f t="shared" ref="C37:C49" si="2">IF(B$20=0,0,B37/B$20)</f>
        <v>6.5274151436031339E-2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74</v>
      </c>
      <c r="C38" s="6">
        <f t="shared" si="2"/>
        <v>0.19321148825065274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73</v>
      </c>
      <c r="C39" s="6">
        <f t="shared" si="2"/>
        <v>0.1906005221932115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73</v>
      </c>
      <c r="C40" s="6">
        <f t="shared" si="2"/>
        <v>0.1906005221932115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59</v>
      </c>
      <c r="C41" s="6">
        <f t="shared" si="2"/>
        <v>0.15404699738903394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45</v>
      </c>
      <c r="C42" s="6">
        <f t="shared" si="2"/>
        <v>0.1174934725848564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14</v>
      </c>
      <c r="C43" s="6">
        <f t="shared" si="2"/>
        <v>3.6553524804177548E-2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8</v>
      </c>
      <c r="C44" s="6">
        <f t="shared" si="2"/>
        <v>2.0887728459530026E-2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1.3054830287206266E-2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3</v>
      </c>
      <c r="C46" s="6">
        <f t="shared" si="2"/>
        <v>7.832898172323759E-3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2.6109660574412533E-3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2.6109660574412533E-3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2</v>
      </c>
      <c r="C49" s="9">
        <f t="shared" si="2"/>
        <v>5.2219321148825066E-3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  <row r="129" spans="11:13" x14ac:dyDescent="0.4">
      <c r="K129" s="74">
        <v>127</v>
      </c>
      <c r="L129" s="119">
        <v>148.2999999999999</v>
      </c>
      <c r="M129" s="117">
        <v>1740.9224663935174</v>
      </c>
    </row>
    <row r="130" spans="11:13" x14ac:dyDescent="0.4">
      <c r="K130" s="74">
        <v>128</v>
      </c>
      <c r="L130" s="119">
        <v>126.39999999999989</v>
      </c>
      <c r="M130" s="117">
        <v>1735.9609315951564</v>
      </c>
    </row>
    <row r="131" spans="11:13" x14ac:dyDescent="0.4">
      <c r="K131" s="74">
        <v>129</v>
      </c>
      <c r="L131" s="119">
        <v>114.99999999999989</v>
      </c>
      <c r="M131" s="117">
        <v>1732.9191660055853</v>
      </c>
    </row>
    <row r="132" spans="11:13" x14ac:dyDescent="0.4">
      <c r="K132" s="74">
        <v>130</v>
      </c>
      <c r="L132" s="119">
        <v>142.89999999999989</v>
      </c>
      <c r="M132" s="117">
        <v>1736.9696510095519</v>
      </c>
    </row>
    <row r="133" spans="11:13" x14ac:dyDescent="0.4">
      <c r="K133" s="74">
        <v>131</v>
      </c>
      <c r="L133" s="119">
        <v>119.69999999999989</v>
      </c>
      <c r="M133" s="117">
        <v>1731.7978331034944</v>
      </c>
    </row>
    <row r="134" spans="11:13" x14ac:dyDescent="0.4">
      <c r="K134" s="74">
        <v>132</v>
      </c>
      <c r="L134" s="119">
        <v>155.09999999999988</v>
      </c>
      <c r="M134" s="117">
        <v>1737.2050461048734</v>
      </c>
    </row>
    <row r="135" spans="11:13" x14ac:dyDescent="0.4">
      <c r="K135" s="74">
        <v>133</v>
      </c>
      <c r="L135" s="119">
        <v>146.19999999999987</v>
      </c>
      <c r="M135" s="117">
        <v>1734.6058158282442</v>
      </c>
    </row>
    <row r="136" spans="11:13" x14ac:dyDescent="0.4">
      <c r="K136" s="74">
        <v>134</v>
      </c>
      <c r="L136" s="119">
        <v>107.19999999999987</v>
      </c>
      <c r="M136" s="117">
        <v>1726.6041809332748</v>
      </c>
    </row>
    <row r="137" spans="11:13" x14ac:dyDescent="0.4">
      <c r="K137" s="74">
        <v>135</v>
      </c>
      <c r="L137" s="119">
        <v>104.09999999999988</v>
      </c>
      <c r="M137" s="117">
        <v>1725.1125558476751</v>
      </c>
    </row>
    <row r="138" spans="11:13" x14ac:dyDescent="0.4">
      <c r="K138" s="74">
        <v>136</v>
      </c>
      <c r="L138" s="119">
        <v>168.69999999999987</v>
      </c>
      <c r="M138" s="117">
        <v>1735.5338805125891</v>
      </c>
    </row>
    <row r="139" spans="11:13" x14ac:dyDescent="0.4">
      <c r="K139" s="74">
        <v>137</v>
      </c>
      <c r="L139" s="119">
        <v>199.99999999999989</v>
      </c>
      <c r="M139" s="117">
        <v>1740.3906772295136</v>
      </c>
    </row>
    <row r="140" spans="11:13" x14ac:dyDescent="0.4">
      <c r="K140" s="74">
        <v>138</v>
      </c>
      <c r="L140" s="119">
        <v>240.2999999999999</v>
      </c>
      <c r="M140" s="117">
        <v>1746.4063331661364</v>
      </c>
    </row>
    <row r="141" spans="11:13" x14ac:dyDescent="0.4">
      <c r="K141" s="74">
        <v>139</v>
      </c>
      <c r="L141" s="119">
        <v>247.6999999999999</v>
      </c>
      <c r="M141" s="117">
        <v>1746.4578951671397</v>
      </c>
    </row>
    <row r="142" spans="11:13" x14ac:dyDescent="0.4">
      <c r="K142" s="74">
        <v>140</v>
      </c>
      <c r="L142" s="119">
        <v>226.7999999999999</v>
      </c>
      <c r="M142" s="117">
        <v>1742.1531477961369</v>
      </c>
    </row>
    <row r="143" spans="11:13" x14ac:dyDescent="0.4">
      <c r="K143" s="74">
        <v>141</v>
      </c>
      <c r="L143" s="119">
        <v>228.2999999999999</v>
      </c>
      <c r="M143" s="117">
        <v>1741.9062289093602</v>
      </c>
    </row>
    <row r="144" spans="11:13" x14ac:dyDescent="0.4">
      <c r="K144" s="74">
        <v>142</v>
      </c>
      <c r="L144" s="119">
        <v>274.99999999999989</v>
      </c>
      <c r="M144" s="117">
        <v>1749.796791535904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9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89</v>
      </c>
      <c r="C2" s="142"/>
      <c r="E2" s="26" t="s">
        <v>66</v>
      </c>
      <c r="F2" s="23" t="s">
        <v>22</v>
      </c>
      <c r="G2" s="11">
        <v>197</v>
      </c>
      <c r="H2" s="87">
        <f>IF(B$20=0,0,G2/B$20)</f>
        <v>0.9563106796116505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1247.1910112359551</v>
      </c>
      <c r="Q2" s="76">
        <v>89</v>
      </c>
      <c r="R2" s="63">
        <v>111000</v>
      </c>
    </row>
    <row r="3" spans="1:18" x14ac:dyDescent="0.4">
      <c r="A3" s="19" t="s">
        <v>8</v>
      </c>
      <c r="B3" s="143">
        <v>791</v>
      </c>
      <c r="C3" s="144"/>
      <c r="E3" s="27" t="s">
        <v>72</v>
      </c>
      <c r="F3" s="24" t="s">
        <v>27</v>
      </c>
      <c r="G3" s="12">
        <v>135</v>
      </c>
      <c r="H3" s="88">
        <f>IF(B$20=0,0,G3/B$20)</f>
        <v>0.65533980582524276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-385.05747126436779</v>
      </c>
      <c r="Q3" s="77">
        <v>87</v>
      </c>
      <c r="R3" s="64">
        <v>-33500</v>
      </c>
    </row>
    <row r="4" spans="1:18" x14ac:dyDescent="0.4">
      <c r="A4" s="19" t="s">
        <v>6</v>
      </c>
      <c r="B4" s="145">
        <v>-244.29999999999998</v>
      </c>
      <c r="C4" s="146"/>
      <c r="E4" s="27" t="s">
        <v>64</v>
      </c>
      <c r="F4" s="24" t="s">
        <v>20</v>
      </c>
      <c r="G4" s="12">
        <v>101</v>
      </c>
      <c r="H4" s="88">
        <f>IF(B$20=0,0,G4/B$20)</f>
        <v>0.49029126213592233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-972.09302325581393</v>
      </c>
      <c r="Q4" s="77">
        <v>86</v>
      </c>
      <c r="R4" s="64">
        <v>-83600</v>
      </c>
    </row>
    <row r="5" spans="1:18" x14ac:dyDescent="0.4">
      <c r="A5" s="19" t="s">
        <v>7</v>
      </c>
      <c r="B5" s="133">
        <f>IF(B$2=0,0,B$4/B$2)</f>
        <v>-2.7449438202247189</v>
      </c>
      <c r="C5" s="134"/>
      <c r="E5" s="27" t="s">
        <v>159</v>
      </c>
      <c r="F5" s="24" t="s">
        <v>160</v>
      </c>
      <c r="G5" s="12">
        <v>79</v>
      </c>
      <c r="H5" s="88">
        <f>IF(B$20=0,0,G5/B$20)</f>
        <v>0.38349514563106796</v>
      </c>
      <c r="I5" s="58">
        <v>10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-234.52380952380952</v>
      </c>
      <c r="Q5" s="77">
        <v>84</v>
      </c>
      <c r="R5" s="64">
        <v>-19700</v>
      </c>
    </row>
    <row r="6" spans="1:18" x14ac:dyDescent="0.4">
      <c r="A6" s="19" t="s">
        <v>196</v>
      </c>
      <c r="B6" s="137">
        <v>1605.0170841089816</v>
      </c>
      <c r="C6" s="138"/>
      <c r="E6" s="27" t="s">
        <v>68</v>
      </c>
      <c r="F6" s="24" t="s">
        <v>12</v>
      </c>
      <c r="G6" s="12">
        <v>71</v>
      </c>
      <c r="H6" s="88">
        <f>IF(B$20=0,0,G6/B$20)</f>
        <v>0.3446601941747573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-183.11688311688312</v>
      </c>
      <c r="Q6" s="77">
        <v>77</v>
      </c>
      <c r="R6" s="64">
        <v>-14100</v>
      </c>
    </row>
    <row r="7" spans="1:18" x14ac:dyDescent="0.4">
      <c r="A7" s="19" t="s">
        <v>1</v>
      </c>
      <c r="B7" s="147">
        <f>IF(B$2=0,0,(B$8*1+B$9*2+B$10*3)/B$2)</f>
        <v>2.0337078651685392</v>
      </c>
      <c r="C7" s="148"/>
      <c r="E7" s="27" t="s">
        <v>67</v>
      </c>
      <c r="F7" s="24" t="s">
        <v>23</v>
      </c>
      <c r="G7" s="12">
        <v>66</v>
      </c>
      <c r="H7" s="88">
        <f>IF(B$20=0,0,G7/B$20)</f>
        <v>0.32038834951456313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-416.41791044776119</v>
      </c>
      <c r="Q7" s="78">
        <v>67</v>
      </c>
      <c r="R7" s="65">
        <v>-27900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0.3146067415730337</v>
      </c>
      <c r="E8" s="27" t="s">
        <v>89</v>
      </c>
      <c r="F8" s="24" t="s">
        <v>44</v>
      </c>
      <c r="G8" s="12">
        <v>32</v>
      </c>
      <c r="H8" s="88">
        <f>IF(B$20=0,0,G8/B$20)</f>
        <v>0.1553398058252427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0.33707865168539325</v>
      </c>
      <c r="E9" s="27" t="s">
        <v>69</v>
      </c>
      <c r="F9" s="24" t="s">
        <v>24</v>
      </c>
      <c r="G9" s="12">
        <v>26</v>
      </c>
      <c r="H9" s="88">
        <f>IF(B$20=0,0,G9/B$20)</f>
        <v>0.12621359223300971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31</v>
      </c>
      <c r="C10" s="7">
        <f t="shared" si="1"/>
        <v>0.34831460674157305</v>
      </c>
      <c r="E10" s="27" t="s">
        <v>65</v>
      </c>
      <c r="F10" s="24" t="s">
        <v>21</v>
      </c>
      <c r="G10" s="12">
        <v>25</v>
      </c>
      <c r="H10" s="88">
        <f>IF(B$20=0,0,G10/B$20)</f>
        <v>0.12135922330097088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-3.5606060606060606</v>
      </c>
      <c r="Q10" s="76">
        <v>33</v>
      </c>
      <c r="R10" s="67">
        <v>-117.5</v>
      </c>
    </row>
    <row r="11" spans="1:18" x14ac:dyDescent="0.4">
      <c r="A11" s="20" t="s">
        <v>184</v>
      </c>
      <c r="B11" s="109">
        <f>IF(B8=0,0,C11/B8)</f>
        <v>32.546428571428571</v>
      </c>
      <c r="C11" s="110">
        <v>911.3</v>
      </c>
      <c r="E11" s="27" t="s">
        <v>70</v>
      </c>
      <c r="F11" s="24" t="s">
        <v>25</v>
      </c>
      <c r="G11" s="12">
        <v>19</v>
      </c>
      <c r="H11" s="88">
        <f>IF(B$20=0,0,G11/B$20)</f>
        <v>9.2233009708737865E-2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-0.64615384615384697</v>
      </c>
      <c r="Q11" s="77">
        <v>26</v>
      </c>
      <c r="R11" s="68">
        <v>-16.800000000000022</v>
      </c>
    </row>
    <row r="12" spans="1:18" x14ac:dyDescent="0.4">
      <c r="A12" s="20" t="s">
        <v>185</v>
      </c>
      <c r="B12" s="109">
        <f>IF(B9=0,0,C12/B9)</f>
        <v>0.59333333333333349</v>
      </c>
      <c r="C12" s="110">
        <v>17.800000000000004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7.281553398058252E-2</v>
      </c>
      <c r="I12" s="58">
        <v>6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-3.6666666666666665</v>
      </c>
      <c r="Q12" s="78">
        <v>30</v>
      </c>
      <c r="R12" s="69">
        <v>-110</v>
      </c>
    </row>
    <row r="13" spans="1:18" x14ac:dyDescent="0.4">
      <c r="A13" s="20" t="s">
        <v>186</v>
      </c>
      <c r="B13" s="109">
        <f>IF(B10=0,0,C13/B10)</f>
        <v>-37.851612903225806</v>
      </c>
      <c r="C13" s="110">
        <v>-1173.4000000000001</v>
      </c>
      <c r="E13" s="27" t="s">
        <v>86</v>
      </c>
      <c r="F13" s="24" t="s">
        <v>41</v>
      </c>
      <c r="G13" s="12">
        <v>12</v>
      </c>
      <c r="H13" s="88">
        <f>IF(B$20=0,0,G13/B$20)</f>
        <v>5.8252427184466021E-2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-1.5706169994879673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2.9126213592233011E-2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0.12359550561797752</v>
      </c>
      <c r="E15" s="27" t="s">
        <v>91</v>
      </c>
      <c r="F15" s="24" t="s">
        <v>46</v>
      </c>
      <c r="G15" s="12">
        <v>6</v>
      </c>
      <c r="H15" s="88">
        <f>IF(B$20=0,0,G15/B$20)</f>
        <v>2.9126213592233011E-2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225</v>
      </c>
      <c r="C16" s="10">
        <f>IF(B$3=0,0,B16/B$3)</f>
        <v>0.28445006321112515</v>
      </c>
      <c r="E16" s="27" t="s">
        <v>155</v>
      </c>
      <c r="F16" s="24" t="s">
        <v>156</v>
      </c>
      <c r="G16" s="12">
        <v>6</v>
      </c>
      <c r="H16" s="88">
        <f>IF(B$20=0,0,G16/B$20)</f>
        <v>2.9126213592233011E-2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176</v>
      </c>
      <c r="C17" s="6">
        <f>IF(B$3=0,0,B17/B$3)</f>
        <v>0.22250316055625791</v>
      </c>
      <c r="E17" s="27" t="s">
        <v>81</v>
      </c>
      <c r="F17" s="24" t="s">
        <v>36</v>
      </c>
      <c r="G17" s="12">
        <v>5</v>
      </c>
      <c r="H17" s="88">
        <f>IF(B$20=0,0,G17/B$20)</f>
        <v>2.4271844660194174E-2</v>
      </c>
      <c r="I17" s="58">
        <v>9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108</v>
      </c>
      <c r="C18" s="5">
        <f>IF(B$16=0,0,B18/B$16)</f>
        <v>0.48</v>
      </c>
      <c r="E18" s="27" t="s">
        <v>78</v>
      </c>
      <c r="F18" s="24" t="s">
        <v>33</v>
      </c>
      <c r="G18" s="12">
        <v>4</v>
      </c>
      <c r="H18" s="88">
        <f>IF(B$20=0,0,G18/B$20)</f>
        <v>1.9417475728155338E-2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6.3545454545454554</v>
      </c>
      <c r="Q18" s="77">
        <v>22</v>
      </c>
      <c r="R18" s="68">
        <v>139.80000000000001</v>
      </c>
    </row>
    <row r="19" spans="1:18" x14ac:dyDescent="0.4">
      <c r="A19" s="18" t="s">
        <v>124</v>
      </c>
      <c r="B19" s="11">
        <f>B25</f>
        <v>59</v>
      </c>
      <c r="C19" s="5">
        <f>IF(B$17=0,0,B19/B$17)</f>
        <v>0.33522727272727271</v>
      </c>
      <c r="E19" s="27" t="s">
        <v>73</v>
      </c>
      <c r="F19" s="24" t="s">
        <v>28</v>
      </c>
      <c r="G19" s="12">
        <v>3</v>
      </c>
      <c r="H19" s="88">
        <f>IF(B$20=0,0,G19/B$20)</f>
        <v>1.4563106796116505E-2</v>
      </c>
      <c r="I19" s="58">
        <v>3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206</v>
      </c>
      <c r="C20" s="5">
        <f>IF(B$3=0,0,B20/B$3)</f>
        <v>0.26042983565107458</v>
      </c>
      <c r="E20" s="27" t="s">
        <v>77</v>
      </c>
      <c r="F20" s="24" t="s">
        <v>32</v>
      </c>
      <c r="G20" s="12">
        <v>2</v>
      </c>
      <c r="H20" s="88">
        <f>IF(B$20=0,0,G20/B$20)</f>
        <v>9.7087378640776691E-3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195</v>
      </c>
      <c r="P20" s="83">
        <f>IF(Q20=0,0,R20/Q20)</f>
        <v>-0.22000000000000169</v>
      </c>
      <c r="Q20" s="77">
        <v>5</v>
      </c>
      <c r="R20" s="68">
        <v>-1.1000000000000085</v>
      </c>
    </row>
    <row r="21" spans="1:18" x14ac:dyDescent="0.4">
      <c r="A21" s="19" t="s">
        <v>13</v>
      </c>
      <c r="B21" s="12">
        <v>161</v>
      </c>
      <c r="C21" s="6">
        <f>IF(B$3=0,0,B21/B$3)</f>
        <v>0.20353982300884957</v>
      </c>
      <c r="E21" s="27" t="s">
        <v>85</v>
      </c>
      <c r="F21" s="24" t="s">
        <v>40</v>
      </c>
      <c r="G21" s="12">
        <v>2</v>
      </c>
      <c r="H21" s="88">
        <f>IF(B$20=0,0,G21/B$20)</f>
        <v>9.7087378640776691E-3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126</v>
      </c>
      <c r="P21" s="83">
        <f>IF(Q21=0,0,R21/Q21)</f>
        <v>-7.8605263157894738</v>
      </c>
      <c r="Q21" s="77">
        <v>76</v>
      </c>
      <c r="R21" s="68">
        <v>-597.4</v>
      </c>
    </row>
    <row r="22" spans="1:18" x14ac:dyDescent="0.4">
      <c r="A22" s="19" t="s">
        <v>12</v>
      </c>
      <c r="B22" s="12">
        <v>94</v>
      </c>
      <c r="C22" s="6">
        <f>IF(B$20=0,0,B22/B$20)</f>
        <v>0.4563106796116505</v>
      </c>
      <c r="E22" s="27" t="s">
        <v>88</v>
      </c>
      <c r="F22" s="24" t="s">
        <v>43</v>
      </c>
      <c r="G22" s="12">
        <v>2</v>
      </c>
      <c r="H22" s="88">
        <f>IF(B$20=0,0,G22/B$20)</f>
        <v>9.7087378640776691E-3</v>
      </c>
      <c r="I22" s="58">
        <v>1</v>
      </c>
      <c r="K22" s="74">
        <v>20</v>
      </c>
      <c r="L22" s="119">
        <v>-101.2</v>
      </c>
      <c r="M22" s="117">
        <v>1634.1175651983078</v>
      </c>
      <c r="O22" s="74" t="s">
        <v>190</v>
      </c>
      <c r="P22" s="83">
        <f>IF(Q22=0,0,R22/Q22)</f>
        <v>-8.7866666666666653</v>
      </c>
      <c r="Q22" s="77">
        <v>15</v>
      </c>
      <c r="R22" s="68">
        <v>-131.79999999999998</v>
      </c>
    </row>
    <row r="23" spans="1:18" x14ac:dyDescent="0.4">
      <c r="A23" s="19" t="s">
        <v>11</v>
      </c>
      <c r="B23" s="12">
        <v>112</v>
      </c>
      <c r="C23" s="6">
        <f>IF(B$20=0,0,B23/B$20)</f>
        <v>0.5436893203883495</v>
      </c>
      <c r="E23" s="27" t="s">
        <v>79</v>
      </c>
      <c r="F23" s="24" t="s">
        <v>34</v>
      </c>
      <c r="G23" s="12">
        <v>1</v>
      </c>
      <c r="H23" s="88">
        <f>IF(B$20=0,0,G23/B$20)</f>
        <v>4.8543689320388345E-3</v>
      </c>
      <c r="I23" s="58">
        <v>7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-9.0636363636363644</v>
      </c>
      <c r="Q23" s="77">
        <v>22</v>
      </c>
      <c r="R23" s="68">
        <v>-199.40000000000003</v>
      </c>
    </row>
    <row r="24" spans="1:18" x14ac:dyDescent="0.4">
      <c r="A24" s="19" t="s">
        <v>183</v>
      </c>
      <c r="B24" s="12">
        <v>108</v>
      </c>
      <c r="C24" s="6">
        <f>IF(B$20=0,0,B24/B$20)</f>
        <v>0.52427184466019416</v>
      </c>
      <c r="E24" s="27" t="s">
        <v>92</v>
      </c>
      <c r="F24" s="24" t="s">
        <v>47</v>
      </c>
      <c r="G24" s="12">
        <v>1</v>
      </c>
      <c r="H24" s="88">
        <f>IF(B$20=0,0,G24/B$20)</f>
        <v>4.8543689320388345E-3</v>
      </c>
      <c r="I24" s="58">
        <v>3</v>
      </c>
      <c r="K24" s="74">
        <v>22</v>
      </c>
      <c r="L24" s="119">
        <v>-95.2</v>
      </c>
      <c r="M24" s="117">
        <v>1635.1103586482752</v>
      </c>
      <c r="O24" s="74" t="s">
        <v>192</v>
      </c>
      <c r="P24" s="83">
        <f>IF(Q24=0,0,R24/Q24)</f>
        <v>-14.495454545454548</v>
      </c>
      <c r="Q24" s="77">
        <v>22</v>
      </c>
      <c r="R24" s="68">
        <v>-318.90000000000003</v>
      </c>
    </row>
    <row r="25" spans="1:18" x14ac:dyDescent="0.4">
      <c r="A25" s="19" t="s">
        <v>181</v>
      </c>
      <c r="B25" s="12">
        <v>59</v>
      </c>
      <c r="C25" s="6">
        <f>IF(B$20=0,0,B25/B$20)</f>
        <v>0.28640776699029125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0.18932038834951456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9417.961165048544</v>
      </c>
      <c r="C27" s="8">
        <v>1940100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10224.489795918367</v>
      </c>
      <c r="C28" s="96">
        <v>1503000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7408.4745762711864</v>
      </c>
      <c r="C29" s="96">
        <v>437100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-7673.913043478261</v>
      </c>
      <c r="C30" s="96">
        <v>-1235500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1.2642225031605564E-3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4.8543689320388349E-2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21</v>
      </c>
      <c r="C38" s="6">
        <f t="shared" si="2"/>
        <v>0.10194174757281553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37</v>
      </c>
      <c r="C39" s="6">
        <f t="shared" si="2"/>
        <v>0.1796116504854369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41</v>
      </c>
      <c r="C40" s="6">
        <f t="shared" si="2"/>
        <v>0.19902912621359223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40</v>
      </c>
      <c r="C41" s="6">
        <f t="shared" si="2"/>
        <v>0.1941747572815534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24</v>
      </c>
      <c r="C42" s="6">
        <f t="shared" si="2"/>
        <v>0.11650485436893204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12</v>
      </c>
      <c r="C43" s="6">
        <f t="shared" si="2"/>
        <v>5.8252427184466021E-2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9</v>
      </c>
      <c r="C44" s="6">
        <f t="shared" si="2"/>
        <v>4.3689320388349516E-2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2"/>
        <v>3.3980582524271843E-2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9.7087378640776691E-3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4.8543689320388345E-3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9.7087378640776691E-3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  <row r="86" spans="11:13" x14ac:dyDescent="0.4">
      <c r="K86" s="74">
        <v>84</v>
      </c>
      <c r="L86" s="119">
        <v>-180</v>
      </c>
      <c r="M86" s="117">
        <v>1616.7273241326677</v>
      </c>
    </row>
    <row r="87" spans="11:13" x14ac:dyDescent="0.4">
      <c r="K87" s="74">
        <v>85</v>
      </c>
      <c r="L87" s="119">
        <v>-151.6</v>
      </c>
      <c r="M87" s="117">
        <v>1621.0429601878718</v>
      </c>
    </row>
    <row r="88" spans="11:13" x14ac:dyDescent="0.4">
      <c r="K88" s="74">
        <v>86</v>
      </c>
      <c r="L88" s="119">
        <v>-194.6</v>
      </c>
      <c r="M88" s="117">
        <v>1613.2127024267445</v>
      </c>
    </row>
    <row r="89" spans="11:13" x14ac:dyDescent="0.4">
      <c r="K89" s="74">
        <v>87</v>
      </c>
      <c r="L89" s="119">
        <v>-170.2</v>
      </c>
      <c r="M89" s="117">
        <v>1617.8614262121841</v>
      </c>
    </row>
    <row r="90" spans="11:13" x14ac:dyDescent="0.4">
      <c r="K90" s="74">
        <v>88</v>
      </c>
      <c r="L90" s="119">
        <v>-204.79999999999998</v>
      </c>
      <c r="M90" s="117">
        <v>1611.862257654911</v>
      </c>
    </row>
    <row r="91" spans="11:13" x14ac:dyDescent="0.4">
      <c r="K91" s="74">
        <v>89</v>
      </c>
      <c r="L91" s="119">
        <v>-244.29999999999998</v>
      </c>
      <c r="M91" s="117">
        <v>1605.0170841089816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72</v>
      </c>
      <c r="F2" s="23" t="s">
        <v>27</v>
      </c>
      <c r="G2" s="11">
        <v>93</v>
      </c>
      <c r="H2" s="87">
        <f>IF(B$20=0,0,G2/B$20)</f>
        <v>0.68888888888888888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-372.54901960784315</v>
      </c>
      <c r="Q2" s="76">
        <v>51</v>
      </c>
      <c r="R2" s="63">
        <v>-19000</v>
      </c>
    </row>
    <row r="3" spans="1:18" x14ac:dyDescent="0.4">
      <c r="A3" s="19" t="s">
        <v>8</v>
      </c>
      <c r="B3" s="143">
        <v>451</v>
      </c>
      <c r="C3" s="144"/>
      <c r="E3" s="27" t="s">
        <v>66</v>
      </c>
      <c r="F3" s="24" t="s">
        <v>22</v>
      </c>
      <c r="G3" s="12">
        <v>86</v>
      </c>
      <c r="H3" s="88">
        <f>IF(B$20=0,0,G3/B$20)</f>
        <v>0.63703703703703707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-370.58823529411762</v>
      </c>
      <c r="Q3" s="77">
        <v>51</v>
      </c>
      <c r="R3" s="64">
        <v>-18900</v>
      </c>
    </row>
    <row r="4" spans="1:18" x14ac:dyDescent="0.4">
      <c r="A4" s="19" t="s">
        <v>6</v>
      </c>
      <c r="B4" s="145">
        <v>-62.099999999999994</v>
      </c>
      <c r="C4" s="146"/>
      <c r="E4" s="27" t="s">
        <v>64</v>
      </c>
      <c r="F4" s="24" t="s">
        <v>20</v>
      </c>
      <c r="G4" s="12">
        <v>53</v>
      </c>
      <c r="H4" s="88">
        <f>IF(B$20=0,0,G4/B$20)</f>
        <v>0.3925925925925926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1226</v>
      </c>
      <c r="Q4" s="77">
        <v>50</v>
      </c>
      <c r="R4" s="64">
        <v>61300</v>
      </c>
    </row>
    <row r="5" spans="1:18" x14ac:dyDescent="0.4">
      <c r="A5" s="19" t="s">
        <v>7</v>
      </c>
      <c r="B5" s="133">
        <f>IF(B$2=0,0,B$4/B$2)</f>
        <v>-1.2176470588235293</v>
      </c>
      <c r="C5" s="134"/>
      <c r="E5" s="27" t="s">
        <v>159</v>
      </c>
      <c r="F5" s="24" t="s">
        <v>160</v>
      </c>
      <c r="G5" s="12">
        <v>52</v>
      </c>
      <c r="H5" s="88">
        <f>IF(B$20=0,0,G5/B$20)</f>
        <v>0.38518518518518519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-1410</v>
      </c>
      <c r="Q5" s="77">
        <v>50</v>
      </c>
      <c r="R5" s="64">
        <v>-70500</v>
      </c>
    </row>
    <row r="6" spans="1:18" x14ac:dyDescent="0.4">
      <c r="A6" s="19" t="s">
        <v>196</v>
      </c>
      <c r="B6" s="137">
        <v>1463.3989422821498</v>
      </c>
      <c r="C6" s="138"/>
      <c r="E6" s="27" t="s">
        <v>68</v>
      </c>
      <c r="F6" s="24" t="s">
        <v>12</v>
      </c>
      <c r="G6" s="12">
        <v>38</v>
      </c>
      <c r="H6" s="88">
        <f>IF(B$20=0,0,G6/B$20)</f>
        <v>0.2814814814814815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-841.66666666666663</v>
      </c>
      <c r="Q6" s="77">
        <v>48</v>
      </c>
      <c r="R6" s="64">
        <v>-40400</v>
      </c>
    </row>
    <row r="7" spans="1:18" x14ac:dyDescent="0.4">
      <c r="A7" s="19" t="s">
        <v>1</v>
      </c>
      <c r="B7" s="147">
        <f>IF(B$2=0,0,(B$8*1+B$9*2+B$10*3)/B$2)</f>
        <v>2.0392156862745097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0.22222222222222221</v>
      </c>
      <c r="I7" s="58">
        <v>8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-1140</v>
      </c>
      <c r="Q7" s="78">
        <v>40</v>
      </c>
      <c r="R7" s="65">
        <v>-45600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0.35294117647058826</v>
      </c>
      <c r="E8" s="27" t="s">
        <v>89</v>
      </c>
      <c r="F8" s="24" t="s">
        <v>44</v>
      </c>
      <c r="G8" s="12">
        <v>15</v>
      </c>
      <c r="H8" s="88">
        <f>IF(B$20=0,0,G8/B$20)</f>
        <v>0.1111111111111111</v>
      </c>
      <c r="I8" s="58">
        <v>9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0.25490196078431371</v>
      </c>
      <c r="E9" s="27" t="s">
        <v>70</v>
      </c>
      <c r="F9" s="24" t="s">
        <v>25</v>
      </c>
      <c r="G9" s="12">
        <v>12</v>
      </c>
      <c r="H9" s="88">
        <f>IF(B$20=0,0,G9/B$20)</f>
        <v>8.8888888888888892E-2</v>
      </c>
      <c r="I9" s="58">
        <v>7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20</v>
      </c>
      <c r="C10" s="7">
        <f t="shared" si="1"/>
        <v>0.39215686274509803</v>
      </c>
      <c r="E10" s="27" t="s">
        <v>69</v>
      </c>
      <c r="F10" s="24" t="s">
        <v>24</v>
      </c>
      <c r="G10" s="12">
        <v>11</v>
      </c>
      <c r="H10" s="88">
        <f>IF(B$20=0,0,G10/B$20)</f>
        <v>8.1481481481481488E-2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4.0000000000000009</v>
      </c>
      <c r="Q10" s="76">
        <v>14</v>
      </c>
      <c r="R10" s="67">
        <v>56.000000000000014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7.407407407407407E-2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4.7692307692307692</v>
      </c>
      <c r="C12" s="110">
        <v>62</v>
      </c>
      <c r="E12" s="27" t="s">
        <v>83</v>
      </c>
      <c r="F12" s="24" t="s">
        <v>38</v>
      </c>
      <c r="G12" s="12">
        <v>9</v>
      </c>
      <c r="H12" s="88">
        <f>IF(B$20=0,0,G12/B$20)</f>
        <v>6.6666666666666666E-2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-1.3789473684210534</v>
      </c>
      <c r="Q12" s="78">
        <v>19</v>
      </c>
      <c r="R12" s="69">
        <v>-26.200000000000014</v>
      </c>
    </row>
    <row r="13" spans="1:18" x14ac:dyDescent="0.4">
      <c r="A13" s="20" t="s">
        <v>186</v>
      </c>
      <c r="B13" s="109">
        <f>IF(B10=0,0,C13/B10)</f>
        <v>-33.725000000000001</v>
      </c>
      <c r="C13" s="110">
        <v>-674.5</v>
      </c>
      <c r="E13" s="27" t="s">
        <v>71</v>
      </c>
      <c r="F13" s="24" t="s">
        <v>26</v>
      </c>
      <c r="G13" s="12">
        <v>8</v>
      </c>
      <c r="H13" s="88">
        <f>IF(B$20=0,0,G13/B$20)</f>
        <v>5.9259259259259262E-2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0.54066951566951593</v>
      </c>
      <c r="C14" s="134"/>
      <c r="E14" s="27" t="s">
        <v>78</v>
      </c>
      <c r="F14" s="24" t="s">
        <v>33</v>
      </c>
      <c r="G14" s="12">
        <v>5</v>
      </c>
      <c r="H14" s="88">
        <f>IF(B$20=0,0,G14/B$20)</f>
        <v>3.7037037037037035E-2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81</v>
      </c>
      <c r="F15" s="24" t="s">
        <v>36</v>
      </c>
      <c r="G15" s="12">
        <v>5</v>
      </c>
      <c r="H15" s="88">
        <f>IF(B$20=0,0,G15/B$20)</f>
        <v>3.7037037037037035E-2</v>
      </c>
      <c r="I15" s="58">
        <v>6</v>
      </c>
      <c r="K15" s="74">
        <v>13</v>
      </c>
      <c r="L15" s="119">
        <v>35.000000000000007</v>
      </c>
      <c r="M15" s="117">
        <v>1449.5174194108242</v>
      </c>
      <c r="O15" s="73" t="s">
        <v>190</v>
      </c>
      <c r="P15" s="82">
        <f t="shared" ref="P15:P21" si="2">IF(Q15=0,0,R15/Q15)</f>
        <v>39.524999999999999</v>
      </c>
      <c r="Q15" s="76">
        <v>4</v>
      </c>
      <c r="R15" s="67">
        <v>158.1</v>
      </c>
    </row>
    <row r="16" spans="1:18" x14ac:dyDescent="0.4">
      <c r="A16" s="22" t="s">
        <v>121</v>
      </c>
      <c r="B16" s="15">
        <v>115</v>
      </c>
      <c r="C16" s="10">
        <f>IF(B$3=0,0,B16/B$3)</f>
        <v>0.25498891352549891</v>
      </c>
      <c r="E16" s="27" t="s">
        <v>79</v>
      </c>
      <c r="F16" s="24" t="s">
        <v>34</v>
      </c>
      <c r="G16" s="12">
        <v>3</v>
      </c>
      <c r="H16" s="88">
        <f>IF(B$20=0,0,G16/B$20)</f>
        <v>2.2222222222222223E-2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132</v>
      </c>
      <c r="C17" s="6">
        <f>IF(B$3=0,0,B17/B$3)</f>
        <v>0.29268292682926828</v>
      </c>
      <c r="E17" s="27" t="s">
        <v>86</v>
      </c>
      <c r="F17" s="24" t="s">
        <v>41</v>
      </c>
      <c r="G17" s="12">
        <v>3</v>
      </c>
      <c r="H17" s="88">
        <f>IF(B$20=0,0,G17/B$20)</f>
        <v>2.2222222222222223E-2</v>
      </c>
      <c r="I17" s="58">
        <v>9</v>
      </c>
      <c r="K17" s="74">
        <v>15</v>
      </c>
      <c r="L17" s="119">
        <v>60.900000000000006</v>
      </c>
      <c r="M17" s="117">
        <v>1455.9833330049933</v>
      </c>
      <c r="O17" s="74" t="s">
        <v>195</v>
      </c>
      <c r="P17" s="83">
        <f t="shared" si="2"/>
        <v>25.800000000000004</v>
      </c>
      <c r="Q17" s="77">
        <v>4</v>
      </c>
      <c r="R17" s="68">
        <v>103.20000000000002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0.46086956521739131</v>
      </c>
      <c r="E18" s="27" t="s">
        <v>91</v>
      </c>
      <c r="F18" s="24" t="s">
        <v>46</v>
      </c>
      <c r="G18" s="12">
        <v>2</v>
      </c>
      <c r="H18" s="88">
        <f>IF(B$20=0,0,G18/B$20)</f>
        <v>1.4814814814814815E-2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54</v>
      </c>
      <c r="C19" s="5">
        <f>IF(B$17=0,0,B19/B$17)</f>
        <v>0.40909090909090912</v>
      </c>
      <c r="E19" s="27" t="s">
        <v>88</v>
      </c>
      <c r="F19" s="24" t="s">
        <v>43</v>
      </c>
      <c r="G19" s="12">
        <v>1</v>
      </c>
      <c r="H19" s="88">
        <f>IF(B$20=0,0,G19/B$20)</f>
        <v>7.4074074074074077E-3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0.46818181818181864</v>
      </c>
      <c r="Q19" s="77">
        <v>44</v>
      </c>
      <c r="R19" s="68">
        <v>20.600000000000019</v>
      </c>
    </row>
    <row r="20" spans="1:18" x14ac:dyDescent="0.4">
      <c r="A20" s="18" t="s">
        <v>10</v>
      </c>
      <c r="B20" s="11">
        <f>B23+B22</f>
        <v>135</v>
      </c>
      <c r="C20" s="5">
        <f>IF(B$3=0,0,B20/B$3)</f>
        <v>0.29933481152993346</v>
      </c>
      <c r="E20" s="27" t="s">
        <v>93</v>
      </c>
      <c r="F20" s="24" t="s">
        <v>48</v>
      </c>
      <c r="G20" s="12">
        <v>1</v>
      </c>
      <c r="H20" s="88">
        <f>IF(B$20=0,0,G20/B$20)</f>
        <v>7.4074074074074077E-3</v>
      </c>
      <c r="I20" s="58">
        <v>2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-6.3545454545454527</v>
      </c>
      <c r="Q20" s="77">
        <v>22</v>
      </c>
      <c r="R20" s="68">
        <v>-139.79999999999995</v>
      </c>
    </row>
    <row r="21" spans="1:18" x14ac:dyDescent="0.4">
      <c r="A21" s="19" t="s">
        <v>13</v>
      </c>
      <c r="B21" s="12">
        <v>72</v>
      </c>
      <c r="C21" s="6">
        <f>IF(B$3=0,0,B21/B$3)</f>
        <v>0.15964523281596452</v>
      </c>
      <c r="E21" s="27" t="s">
        <v>106</v>
      </c>
      <c r="F21" s="24" t="s">
        <v>113</v>
      </c>
      <c r="G21" s="12">
        <v>1</v>
      </c>
      <c r="H21" s="88">
        <f>IF(B$20=0,0,G21/B$20)</f>
        <v>7.4074074074074077E-3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64</v>
      </c>
      <c r="C22" s="6">
        <f>IF(B$20=0,0,B22/B$20)</f>
        <v>0.47407407407407409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71</v>
      </c>
      <c r="C23" s="6">
        <f>IF(B$20=0,0,B23/B$20)</f>
        <v>0.52592592592592591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53</v>
      </c>
      <c r="C24" s="6">
        <f>IF(B$20=0,0,B24/B$20)</f>
        <v>0.3925925925925926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54</v>
      </c>
      <c r="C25" s="6">
        <f>IF(B$20=0,0,B25/B$20)</f>
        <v>0.4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28</v>
      </c>
      <c r="C26" s="6">
        <f>IF(B$20=0,0,B26/B$20)</f>
        <v>0.2074074074074074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7534.8148148148148</v>
      </c>
      <c r="C27" s="8">
        <v>1017200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8919.7530864197524</v>
      </c>
      <c r="C28" s="96">
        <v>722500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5457.4074074074078</v>
      </c>
      <c r="C29" s="96">
        <v>294700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-8606.9444444444453</v>
      </c>
      <c r="C30" s="96">
        <v>-619700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2.2172949002217295E-3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17</v>
      </c>
      <c r="C37" s="98">
        <f t="shared" ref="C37:C49" si="3">IF(B$20=0,0,B37/B$20)</f>
        <v>0.12592592592592591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30</v>
      </c>
      <c r="C39" s="6">
        <f t="shared" si="3"/>
        <v>0.22222222222222221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28</v>
      </c>
      <c r="C40" s="6">
        <f t="shared" si="3"/>
        <v>0.2074074074074074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8</v>
      </c>
      <c r="C41" s="6">
        <f t="shared" si="3"/>
        <v>5.9259259259259262E-2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6</v>
      </c>
      <c r="C42" s="6">
        <f t="shared" si="3"/>
        <v>4.4444444444444446E-2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7</v>
      </c>
      <c r="C43" s="6">
        <f t="shared" si="3"/>
        <v>5.185185185185185E-2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1.4814814814814815E-2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2.9629629629629631E-2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2.9629629629629631E-2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1.4814814814814815E-2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-70</v>
      </c>
      <c r="M51" s="117">
        <v>1460.9652505396057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-73.8</v>
      </c>
      <c r="M52" s="117">
        <v>1460.4194590363682</v>
      </c>
    </row>
    <row r="53" spans="1:13" x14ac:dyDescent="0.4">
      <c r="K53" s="74">
        <v>51</v>
      </c>
      <c r="L53" s="119">
        <v>-62.099999999999994</v>
      </c>
      <c r="M53" s="117">
        <v>1463.3989422821498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6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5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7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7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-912</v>
      </c>
      <c r="Q2" s="76">
        <v>50</v>
      </c>
      <c r="R2" s="63">
        <v>-45600</v>
      </c>
    </row>
    <row r="3" spans="1:18" x14ac:dyDescent="0.4">
      <c r="A3" s="19" t="s">
        <v>8</v>
      </c>
      <c r="B3" s="143">
        <v>430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0.59090909090909094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1166</v>
      </c>
      <c r="Q3" s="77">
        <v>50</v>
      </c>
      <c r="R3" s="64">
        <v>58300</v>
      </c>
    </row>
    <row r="4" spans="1:18" x14ac:dyDescent="0.4">
      <c r="A4" s="19" t="s">
        <v>6</v>
      </c>
      <c r="B4" s="145">
        <v>178.2</v>
      </c>
      <c r="C4" s="146"/>
      <c r="E4" s="27" t="s">
        <v>64</v>
      </c>
      <c r="F4" s="24" t="s">
        <v>20</v>
      </c>
      <c r="G4" s="12">
        <v>59</v>
      </c>
      <c r="H4" s="88">
        <f>IF(B$20=0,0,G4/B$20)</f>
        <v>0.44696969696969696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2228</v>
      </c>
      <c r="Q4" s="77">
        <v>50</v>
      </c>
      <c r="R4" s="64">
        <v>111400</v>
      </c>
    </row>
    <row r="5" spans="1:18" x14ac:dyDescent="0.4">
      <c r="A5" s="19" t="s">
        <v>7</v>
      </c>
      <c r="B5" s="133">
        <f>IF(B$2=0,0,B$4/B$2)</f>
        <v>3.4941176470588231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0.33333333333333331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-382.97872340425533</v>
      </c>
      <c r="Q5" s="77">
        <v>47</v>
      </c>
      <c r="R5" s="64">
        <v>-18000</v>
      </c>
    </row>
    <row r="6" spans="1:18" x14ac:dyDescent="0.4">
      <c r="A6" s="19" t="s">
        <v>196</v>
      </c>
      <c r="B6" s="137">
        <v>1541.223654027415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0.28030303030303028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257.14285714285717</v>
      </c>
      <c r="Q6" s="77">
        <v>42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1.9215686274509804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0.24242424242424243</v>
      </c>
      <c r="I7" s="58">
        <v>13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1710.2564102564102</v>
      </c>
      <c r="Q7" s="78">
        <v>39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89</v>
      </c>
      <c r="F8" s="24" t="s">
        <v>44</v>
      </c>
      <c r="G8" s="12">
        <v>26</v>
      </c>
      <c r="H8" s="88">
        <f>IF(B$20=0,0,G8/B$20)</f>
        <v>0.19696969696969696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0.15151515151515152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11</v>
      </c>
      <c r="H10" s="88">
        <f>IF(B$20=0,0,G10/B$20)</f>
        <v>8.3333333333333329E-2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71</v>
      </c>
      <c r="F11" s="24" t="s">
        <v>26</v>
      </c>
      <c r="G11" s="12">
        <v>10</v>
      </c>
      <c r="H11" s="88">
        <f>IF(B$20=0,0,G11/B$20)</f>
        <v>7.575757575757576E-2</v>
      </c>
      <c r="I11" s="58">
        <v>5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86</v>
      </c>
      <c r="F12" s="24" t="s">
        <v>41</v>
      </c>
      <c r="G12" s="12">
        <v>10</v>
      </c>
      <c r="H12" s="88">
        <f>IF(B$20=0,0,G12/B$20)</f>
        <v>7.575757575757576E-2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7.2777777777777777</v>
      </c>
      <c r="Q12" s="78">
        <v>18</v>
      </c>
      <c r="R12" s="69">
        <v>131</v>
      </c>
    </row>
    <row r="13" spans="1:18" x14ac:dyDescent="0.4">
      <c r="A13" s="20" t="s">
        <v>186</v>
      </c>
      <c r="B13" s="109">
        <f>IF(B10=0,0,C13/B10)</f>
        <v>-28.773333333333333</v>
      </c>
      <c r="C13" s="110">
        <v>-431.6</v>
      </c>
      <c r="E13" s="27" t="s">
        <v>83</v>
      </c>
      <c r="F13" s="24" t="s">
        <v>38</v>
      </c>
      <c r="G13" s="12">
        <v>7</v>
      </c>
      <c r="H13" s="88">
        <f>IF(B$20=0,0,G13/B$20)</f>
        <v>5.3030303030303032E-2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1.0375782593739256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3.787878787878788E-2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3.9215686274509803E-2</v>
      </c>
      <c r="E15" s="27" t="s">
        <v>78</v>
      </c>
      <c r="F15" s="24" t="s">
        <v>33</v>
      </c>
      <c r="G15" s="12">
        <v>5</v>
      </c>
      <c r="H15" s="88">
        <f>IF(B$20=0,0,G15/B$20)</f>
        <v>3.787878787878788E-2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98</v>
      </c>
      <c r="C16" s="10">
        <f>IF(B$3=0,0,B16/B$3)</f>
        <v>0.22790697674418606</v>
      </c>
      <c r="E16" s="27" t="s">
        <v>81</v>
      </c>
      <c r="F16" s="24" t="s">
        <v>36</v>
      </c>
      <c r="G16" s="12">
        <v>5</v>
      </c>
      <c r="H16" s="88">
        <f>IF(B$20=0,0,G16/B$20)</f>
        <v>3.787878787878788E-2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97</v>
      </c>
      <c r="C17" s="6">
        <f>IF(B$3=0,0,B17/B$3)</f>
        <v>0.2255813953488372</v>
      </c>
      <c r="E17" s="27" t="s">
        <v>91</v>
      </c>
      <c r="F17" s="24" t="s">
        <v>46</v>
      </c>
      <c r="G17" s="12">
        <v>5</v>
      </c>
      <c r="H17" s="88">
        <f>IF(B$20=0,0,G17/B$20)</f>
        <v>3.787878787878788E-2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9.0636363636363662</v>
      </c>
      <c r="Q17" s="77">
        <v>22</v>
      </c>
      <c r="R17" s="68">
        <v>199.40000000000006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0.59183673469387754</v>
      </c>
      <c r="E18" s="27" t="s">
        <v>73</v>
      </c>
      <c r="F18" s="24" t="s">
        <v>28</v>
      </c>
      <c r="G18" s="12">
        <v>2</v>
      </c>
      <c r="H18" s="88">
        <f>IF(B$20=0,0,G18/B$20)</f>
        <v>1.5151515151515152E-2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0.45360824742268041</v>
      </c>
      <c r="E19" s="27" t="s">
        <v>75</v>
      </c>
      <c r="F19" s="24" t="s">
        <v>30</v>
      </c>
      <c r="G19" s="12">
        <v>1</v>
      </c>
      <c r="H19" s="88">
        <f>IF(B$20=0,0,G19/B$20)</f>
        <v>7.575757575757576E-3</v>
      </c>
      <c r="I19" s="58">
        <v>3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132</v>
      </c>
      <c r="C20" s="5">
        <f>IF(B$3=0,0,B20/B$3)</f>
        <v>0.30697674418604654</v>
      </c>
      <c r="E20" s="27" t="s">
        <v>79</v>
      </c>
      <c r="F20" s="24" t="s">
        <v>34</v>
      </c>
      <c r="G20" s="12">
        <v>1</v>
      </c>
      <c r="H20" s="88">
        <f>IF(B$20=0,0,G20/B$20)</f>
        <v>7.575757575757576E-3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3.0419354838709678</v>
      </c>
      <c r="Q20" s="77">
        <v>31</v>
      </c>
      <c r="R20" s="68">
        <v>94.3</v>
      </c>
    </row>
    <row r="21" spans="1:18" x14ac:dyDescent="0.4">
      <c r="A21" s="19" t="s">
        <v>13</v>
      </c>
      <c r="B21" s="12">
        <v>59</v>
      </c>
      <c r="C21" s="6">
        <f>IF(B$3=0,0,B21/B$3)</f>
        <v>0.1372093023255814</v>
      </c>
      <c r="E21" s="27" t="s">
        <v>93</v>
      </c>
      <c r="F21" s="24" t="s">
        <v>48</v>
      </c>
      <c r="G21" s="12">
        <v>1</v>
      </c>
      <c r="H21" s="88">
        <f>IF(B$20=0,0,G21/B$20)</f>
        <v>7.575757575757576E-3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0.40151515151515149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79</v>
      </c>
      <c r="C23" s="6">
        <f>IF(B$20=0,0,B23/B$20)</f>
        <v>0.59848484848484851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58</v>
      </c>
      <c r="C24" s="6">
        <f>IF(B$20=0,0,B24/B$20)</f>
        <v>0.43939393939393939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0.33333333333333331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0.22727272727272727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7929.545454545455</v>
      </c>
      <c r="C27" s="8">
        <v>1046700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8413.636363636364</v>
      </c>
      <c r="C28" s="96">
        <v>740400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-6961.0169491525421</v>
      </c>
      <c r="C30" s="96">
        <v>-410700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6.9767441860465115E-3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6.0606060606060608E-2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0.20454545454545456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28</v>
      </c>
      <c r="C39" s="6">
        <f t="shared" si="3"/>
        <v>0.21212121212121213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0.14393939393939395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0.15151515151515152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3.787878787878788E-2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3.0303030303030304E-2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7.575757575757576E-3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1.5151515151515152E-2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1.5151515151515152E-2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7.575757575757576E-3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  <row r="53" spans="1:13" x14ac:dyDescent="0.4">
      <c r="K53" s="74">
        <v>51</v>
      </c>
      <c r="L53" s="119">
        <v>178.2</v>
      </c>
      <c r="M53" s="117">
        <v>1541.223654027415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67</v>
      </c>
      <c r="C2" s="142"/>
      <c r="E2" s="26" t="s">
        <v>66</v>
      </c>
      <c r="F2" s="23" t="s">
        <v>22</v>
      </c>
      <c r="G2" s="11">
        <v>153</v>
      </c>
      <c r="H2" s="87">
        <f>IF(B$20=0,0,G2/B$20)</f>
        <v>0.7766497461928934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-576.11940298507466</v>
      </c>
      <c r="Q2" s="76">
        <v>67</v>
      </c>
      <c r="R2" s="63">
        <v>-38600</v>
      </c>
    </row>
    <row r="3" spans="1:18" x14ac:dyDescent="0.4">
      <c r="A3" s="19" t="s">
        <v>8</v>
      </c>
      <c r="B3" s="143">
        <v>569</v>
      </c>
      <c r="C3" s="144"/>
      <c r="E3" s="27" t="s">
        <v>72</v>
      </c>
      <c r="F3" s="24" t="s">
        <v>27</v>
      </c>
      <c r="G3" s="12">
        <v>120</v>
      </c>
      <c r="H3" s="88">
        <f>IF(B$20=0,0,G3/B$20)</f>
        <v>0.6091370558375635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431.74603174603175</v>
      </c>
      <c r="Q3" s="77">
        <v>63</v>
      </c>
      <c r="R3" s="64">
        <v>27200</v>
      </c>
    </row>
    <row r="4" spans="1:18" x14ac:dyDescent="0.4">
      <c r="A4" s="19" t="s">
        <v>6</v>
      </c>
      <c r="B4" s="145">
        <v>437.4</v>
      </c>
      <c r="C4" s="146"/>
      <c r="E4" s="27" t="s">
        <v>159</v>
      </c>
      <c r="F4" s="24" t="s">
        <v>160</v>
      </c>
      <c r="G4" s="12">
        <v>88</v>
      </c>
      <c r="H4" s="88">
        <f>IF(B$20=0,0,G4/B$20)</f>
        <v>0.4467005076142132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2280.9523809523807</v>
      </c>
      <c r="Q4" s="77">
        <v>63</v>
      </c>
      <c r="R4" s="64">
        <v>143700</v>
      </c>
    </row>
    <row r="5" spans="1:18" x14ac:dyDescent="0.4">
      <c r="A5" s="19" t="s">
        <v>7</v>
      </c>
      <c r="B5" s="133">
        <f>IF(B$2=0,0,B$4/B$2)</f>
        <v>6.5283582089552237</v>
      </c>
      <c r="C5" s="134"/>
      <c r="E5" s="27" t="s">
        <v>64</v>
      </c>
      <c r="F5" s="24" t="s">
        <v>20</v>
      </c>
      <c r="G5" s="12">
        <v>68</v>
      </c>
      <c r="H5" s="88">
        <f>IF(B$20=0,0,G5/B$20)</f>
        <v>0.34517766497461927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2125</v>
      </c>
      <c r="Q5" s="77">
        <v>60</v>
      </c>
      <c r="R5" s="64">
        <v>127500</v>
      </c>
    </row>
    <row r="6" spans="1:18" x14ac:dyDescent="0.4">
      <c r="A6" s="19" t="s">
        <v>196</v>
      </c>
      <c r="B6" s="137">
        <v>1613.9486993997771</v>
      </c>
      <c r="C6" s="138"/>
      <c r="E6" s="27" t="s">
        <v>68</v>
      </c>
      <c r="F6" s="24" t="s">
        <v>12</v>
      </c>
      <c r="G6" s="12">
        <v>48</v>
      </c>
      <c r="H6" s="88">
        <f>IF(B$20=0,0,G6/B$20)</f>
        <v>0.24365482233502539</v>
      </c>
      <c r="I6" s="58">
        <v>12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57.142857142857146</v>
      </c>
      <c r="Q6" s="77">
        <v>56</v>
      </c>
      <c r="R6" s="64">
        <v>3200</v>
      </c>
    </row>
    <row r="7" spans="1:18" x14ac:dyDescent="0.4">
      <c r="A7" s="19" t="s">
        <v>1</v>
      </c>
      <c r="B7" s="147">
        <f>IF(B$2=0,0,(B$8*1+B$9*2+B$10*3)/B$2)</f>
        <v>1.8208955223880596</v>
      </c>
      <c r="C7" s="148"/>
      <c r="E7" s="27" t="s">
        <v>67</v>
      </c>
      <c r="F7" s="24" t="s">
        <v>23</v>
      </c>
      <c r="G7" s="12">
        <v>26</v>
      </c>
      <c r="H7" s="88">
        <f>IF(B$20=0,0,G7/B$20)</f>
        <v>0.13197969543147209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84.444444444444443</v>
      </c>
      <c r="Q7" s="78">
        <v>45</v>
      </c>
      <c r="R7" s="65">
        <v>3800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0.40298507462686567</v>
      </c>
      <c r="E8" s="27" t="s">
        <v>70</v>
      </c>
      <c r="F8" s="24" t="s">
        <v>25</v>
      </c>
      <c r="G8" s="12">
        <v>26</v>
      </c>
      <c r="H8" s="88">
        <f>IF(B$20=0,0,G8/B$20)</f>
        <v>0.13197969543147209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0.37313432835820898</v>
      </c>
      <c r="E9" s="27" t="s">
        <v>89</v>
      </c>
      <c r="F9" s="24" t="s">
        <v>44</v>
      </c>
      <c r="G9" s="12">
        <v>23</v>
      </c>
      <c r="H9" s="88">
        <f>IF(B$20=0,0,G9/B$20)</f>
        <v>0.116751269035533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0.22388059701492538</v>
      </c>
      <c r="E10" s="27" t="s">
        <v>69</v>
      </c>
      <c r="F10" s="24" t="s">
        <v>24</v>
      </c>
      <c r="G10" s="12">
        <v>21</v>
      </c>
      <c r="H10" s="88">
        <f>IF(B$20=0,0,G10/B$20)</f>
        <v>0.1065989847715736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13.179166666666667</v>
      </c>
      <c r="Q10" s="76">
        <v>24</v>
      </c>
      <c r="R10" s="67">
        <v>316.3</v>
      </c>
    </row>
    <row r="11" spans="1:18" x14ac:dyDescent="0.4">
      <c r="A11" s="20" t="s">
        <v>184</v>
      </c>
      <c r="B11" s="109">
        <f>IF(B8=0,0,C11/B8)</f>
        <v>37.514814814814819</v>
      </c>
      <c r="C11" s="110">
        <v>1012.9000000000001</v>
      </c>
      <c r="E11" s="27" t="s">
        <v>71</v>
      </c>
      <c r="F11" s="24" t="s">
        <v>26</v>
      </c>
      <c r="G11" s="12">
        <v>20</v>
      </c>
      <c r="H11" s="88">
        <f>IF(B$20=0,0,G11/B$20)</f>
        <v>0.10152284263959391</v>
      </c>
      <c r="I11" s="58">
        <v>3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1.9391304347826088</v>
      </c>
      <c r="Q11" s="77">
        <v>23</v>
      </c>
      <c r="R11" s="68">
        <v>44.6</v>
      </c>
    </row>
    <row r="12" spans="1:18" x14ac:dyDescent="0.4">
      <c r="A12" s="20" t="s">
        <v>185</v>
      </c>
      <c r="B12" s="109">
        <f>IF(B9=0,0,C12/B9)</f>
        <v>-2.8959999999999995</v>
      </c>
      <c r="C12" s="110">
        <v>-72.399999999999991</v>
      </c>
      <c r="E12" s="27" t="s">
        <v>65</v>
      </c>
      <c r="F12" s="24" t="s">
        <v>21</v>
      </c>
      <c r="G12" s="12">
        <v>14</v>
      </c>
      <c r="H12" s="88">
        <f>IF(B$20=0,0,G12/B$20)</f>
        <v>7.1065989847715741E-2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3.8250000000000002</v>
      </c>
      <c r="Q12" s="78">
        <v>20</v>
      </c>
      <c r="R12" s="69">
        <v>76.5</v>
      </c>
    </row>
    <row r="13" spans="1:18" x14ac:dyDescent="0.4">
      <c r="A13" s="20" t="s">
        <v>186</v>
      </c>
      <c r="B13" s="109">
        <f>IF(B10=0,0,C13/B10)</f>
        <v>-33.54</v>
      </c>
      <c r="C13" s="110">
        <v>-503.09999999999997</v>
      </c>
      <c r="E13" s="27" t="s">
        <v>83</v>
      </c>
      <c r="F13" s="24" t="s">
        <v>38</v>
      </c>
      <c r="G13" s="12">
        <v>9</v>
      </c>
      <c r="H13" s="88">
        <f>IF(B$20=0,0,G13/B$20)</f>
        <v>4.5685279187817257E-2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0.3596049382716065</v>
      </c>
      <c r="C14" s="134"/>
      <c r="E14" s="27" t="s">
        <v>86</v>
      </c>
      <c r="F14" s="24" t="s">
        <v>41</v>
      </c>
      <c r="G14" s="12">
        <v>7</v>
      </c>
      <c r="H14" s="88">
        <f>IF(B$20=0,0,G14/B$20)</f>
        <v>3.553299492385787E-2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5.9701492537313432E-2</v>
      </c>
      <c r="E15" s="27" t="s">
        <v>78</v>
      </c>
      <c r="F15" s="24" t="s">
        <v>33</v>
      </c>
      <c r="G15" s="12">
        <v>4</v>
      </c>
      <c r="H15" s="88">
        <f>IF(B$20=0,0,G15/B$20)</f>
        <v>2.030456852791878E-2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216</v>
      </c>
      <c r="P15" s="82">
        <f>IF(Q15=0,0,R15/Q15)</f>
        <v>35.1</v>
      </c>
      <c r="Q15" s="76">
        <v>1</v>
      </c>
      <c r="R15" s="67">
        <v>35.1</v>
      </c>
    </row>
    <row r="16" spans="1:18" x14ac:dyDescent="0.4">
      <c r="A16" s="22" t="s">
        <v>121</v>
      </c>
      <c r="B16" s="15">
        <v>123</v>
      </c>
      <c r="C16" s="10">
        <f>IF(B$3=0,0,B16/B$3)</f>
        <v>0.21616871704745166</v>
      </c>
      <c r="E16" s="27" t="s">
        <v>81</v>
      </c>
      <c r="F16" s="24" t="s">
        <v>36</v>
      </c>
      <c r="G16" s="12">
        <v>4</v>
      </c>
      <c r="H16" s="88">
        <f>IF(B$20=0,0,G16/B$20)</f>
        <v>2.030456852791878E-2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195</v>
      </c>
      <c r="P16" s="83">
        <f>IF(Q16=0,0,R16/Q16)</f>
        <v>32.123076923076923</v>
      </c>
      <c r="Q16" s="77">
        <v>13</v>
      </c>
      <c r="R16" s="68">
        <v>417.6</v>
      </c>
    </row>
    <row r="17" spans="1:18" x14ac:dyDescent="0.4">
      <c r="A17" s="19" t="s">
        <v>118</v>
      </c>
      <c r="B17" s="12">
        <v>157</v>
      </c>
      <c r="C17" s="6">
        <f>IF(B$3=0,0,B17/B$3)</f>
        <v>0.27592267135325133</v>
      </c>
      <c r="E17" s="27" t="s">
        <v>79</v>
      </c>
      <c r="F17" s="24" t="s">
        <v>34</v>
      </c>
      <c r="G17" s="12">
        <v>3</v>
      </c>
      <c r="H17" s="88">
        <f>IF(B$20=0,0,G17/B$20)</f>
        <v>1.5228426395939087E-2</v>
      </c>
      <c r="I17" s="58">
        <v>3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0.55284552845528456</v>
      </c>
      <c r="E18" s="27" t="s">
        <v>155</v>
      </c>
      <c r="F18" s="24" t="s">
        <v>156</v>
      </c>
      <c r="G18" s="12">
        <v>2</v>
      </c>
      <c r="H18" s="88">
        <f>IF(B$20=0,0,G18/B$20)</f>
        <v>1.015228426395939E-2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68</v>
      </c>
      <c r="C19" s="5">
        <f>IF(B$17=0,0,B19/B$17)</f>
        <v>0.43312101910828027</v>
      </c>
      <c r="E19" s="27" t="s">
        <v>73</v>
      </c>
      <c r="F19" s="24" t="s">
        <v>28</v>
      </c>
      <c r="G19" s="12">
        <v>1</v>
      </c>
      <c r="H19" s="88">
        <f>IF(B$20=0,0,G19/B$20)</f>
        <v>5.076142131979695E-3</v>
      </c>
      <c r="I19" s="58">
        <v>6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197</v>
      </c>
      <c r="C20" s="5">
        <f>IF(B$3=0,0,B20/B$3)</f>
        <v>0.34622144112478032</v>
      </c>
      <c r="E20" s="27" t="s">
        <v>88</v>
      </c>
      <c r="F20" s="24" t="s">
        <v>43</v>
      </c>
      <c r="G20" s="12">
        <v>1</v>
      </c>
      <c r="H20" s="88">
        <f>IF(B$20=0,0,G20/B$20)</f>
        <v>5.076142131979695E-3</v>
      </c>
      <c r="I20" s="58">
        <v>3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14.495454545454544</v>
      </c>
      <c r="Q20" s="77">
        <v>22</v>
      </c>
      <c r="R20" s="68">
        <v>318.89999999999998</v>
      </c>
    </row>
    <row r="21" spans="1:18" x14ac:dyDescent="0.4">
      <c r="A21" s="19" t="s">
        <v>13</v>
      </c>
      <c r="B21" s="12">
        <v>68</v>
      </c>
      <c r="C21" s="6">
        <f>IF(B$3=0,0,B21/B$3)</f>
        <v>0.1195079086115993</v>
      </c>
      <c r="E21" s="27" t="s">
        <v>90</v>
      </c>
      <c r="F21" s="24" t="s">
        <v>45</v>
      </c>
      <c r="G21" s="12">
        <v>1</v>
      </c>
      <c r="H21" s="88">
        <f>IF(B$20=0,0,G21/B$20)</f>
        <v>5.076142131979695E-3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6.4152542372881349</v>
      </c>
      <c r="Q21" s="77">
        <v>59</v>
      </c>
      <c r="R21" s="68">
        <v>378.49999999999994</v>
      </c>
    </row>
    <row r="22" spans="1:18" x14ac:dyDescent="0.4">
      <c r="A22" s="19" t="s">
        <v>12</v>
      </c>
      <c r="B22" s="12">
        <v>78</v>
      </c>
      <c r="C22" s="6">
        <f>IF(B$20=0,0,B22/B$20)</f>
        <v>0.39593908629441626</v>
      </c>
      <c r="E22" s="27" t="s">
        <v>92</v>
      </c>
      <c r="F22" s="24" t="s">
        <v>47</v>
      </c>
      <c r="G22" s="12">
        <v>1</v>
      </c>
      <c r="H22" s="88">
        <f>IF(B$20=0,0,G22/B$20)</f>
        <v>5.076142131979695E-3</v>
      </c>
      <c r="I22" s="58">
        <v>2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119</v>
      </c>
      <c r="C23" s="6">
        <f>IF(B$20=0,0,B23/B$20)</f>
        <v>0.60406091370558379</v>
      </c>
      <c r="E23" s="27" t="s">
        <v>102</v>
      </c>
      <c r="F23" s="24" t="s">
        <v>57</v>
      </c>
      <c r="G23" s="12">
        <v>1</v>
      </c>
      <c r="H23" s="88">
        <f>IF(B$20=0,0,G23/B$20)</f>
        <v>5.076142131979695E-3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68</v>
      </c>
      <c r="C24" s="6">
        <f>IF(B$20=0,0,B24/B$20)</f>
        <v>0.34517766497461927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68</v>
      </c>
      <c r="C25" s="6">
        <f>IF(B$20=0,0,B25/B$20)</f>
        <v>0.34517766497461927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61</v>
      </c>
      <c r="C26" s="6">
        <f>IF(B$20=0,0,B26/B$20)</f>
        <v>0.30964467005076141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7488.8324873096444</v>
      </c>
      <c r="C27" s="8">
        <v>1475300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8431.7829457364332</v>
      </c>
      <c r="C28" s="96">
        <v>1087700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5700</v>
      </c>
      <c r="C29" s="96">
        <v>387600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-7492.6470588235297</v>
      </c>
      <c r="C30" s="96">
        <v>-509500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100700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1</v>
      </c>
      <c r="C35" s="9">
        <f>IF(B$3=0,0,B35/B$3)</f>
        <v>1.7574692442882249E-3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7.6142131979695438E-2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50</v>
      </c>
      <c r="C38" s="6">
        <f t="shared" si="2"/>
        <v>0.25380710659898476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41</v>
      </c>
      <c r="C39" s="6">
        <f t="shared" si="2"/>
        <v>0.20812182741116753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32</v>
      </c>
      <c r="C40" s="6">
        <f t="shared" si="2"/>
        <v>0.16243654822335024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28</v>
      </c>
      <c r="C41" s="6">
        <f t="shared" si="2"/>
        <v>0.14213197969543148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10</v>
      </c>
      <c r="C42" s="6">
        <f t="shared" si="2"/>
        <v>5.0761421319796954E-2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11</v>
      </c>
      <c r="C43" s="6">
        <f t="shared" si="2"/>
        <v>5.5837563451776651E-2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3</v>
      </c>
      <c r="C44" s="6">
        <f t="shared" si="2"/>
        <v>1.5228426395939087E-2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3</v>
      </c>
      <c r="C45" s="6">
        <f t="shared" si="2"/>
        <v>1.5228426395939087E-2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2"/>
        <v>1.015228426395939E-2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1.015228426395939E-2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  <row r="59" spans="1:13" x14ac:dyDescent="0.4">
      <c r="K59" s="74">
        <v>57</v>
      </c>
      <c r="L59" s="119">
        <v>302.19999999999987</v>
      </c>
      <c r="M59" s="117">
        <v>1590.0609404370073</v>
      </c>
    </row>
    <row r="60" spans="1:13" x14ac:dyDescent="0.4">
      <c r="K60" s="74">
        <v>58</v>
      </c>
      <c r="L60" s="119">
        <v>359.19999999999987</v>
      </c>
      <c r="M60" s="117">
        <v>1600.2065747943852</v>
      </c>
    </row>
    <row r="61" spans="1:13" x14ac:dyDescent="0.4">
      <c r="K61" s="74">
        <v>59</v>
      </c>
      <c r="L61" s="119">
        <v>367.49999999999989</v>
      </c>
      <c r="M61" s="117">
        <v>1601.5253353456189</v>
      </c>
    </row>
    <row r="62" spans="1:13" x14ac:dyDescent="0.4">
      <c r="K62" s="74">
        <v>60</v>
      </c>
      <c r="L62" s="119">
        <v>370.09999999999991</v>
      </c>
      <c r="M62" s="117">
        <v>1601.8101833335452</v>
      </c>
    </row>
    <row r="63" spans="1:13" x14ac:dyDescent="0.4">
      <c r="K63" s="74">
        <v>61</v>
      </c>
      <c r="L63" s="119">
        <v>326.19999999999993</v>
      </c>
      <c r="M63" s="117">
        <v>1593.723322233544</v>
      </c>
    </row>
    <row r="64" spans="1:13" x14ac:dyDescent="0.4">
      <c r="K64" s="74">
        <v>62</v>
      </c>
      <c r="L64" s="119">
        <v>401.89999999999992</v>
      </c>
      <c r="M64" s="117">
        <v>1607.2129823001428</v>
      </c>
    </row>
    <row r="65" spans="11:13" x14ac:dyDescent="0.4">
      <c r="K65" s="74">
        <v>63</v>
      </c>
      <c r="L65" s="119">
        <v>431.39999999999992</v>
      </c>
      <c r="M65" s="117">
        <v>1612.3057044063419</v>
      </c>
    </row>
    <row r="66" spans="11:13" x14ac:dyDescent="0.4">
      <c r="K66" s="74">
        <v>64</v>
      </c>
      <c r="L66" s="119">
        <v>414.99999999999994</v>
      </c>
      <c r="M66" s="117">
        <v>1609.1058701799038</v>
      </c>
    </row>
    <row r="67" spans="11:13" x14ac:dyDescent="0.4">
      <c r="K67" s="74">
        <v>65</v>
      </c>
      <c r="L67" s="119">
        <v>411.49999999999994</v>
      </c>
      <c r="M67" s="117">
        <v>1608.7572349588245</v>
      </c>
    </row>
    <row r="68" spans="11:13" x14ac:dyDescent="0.4">
      <c r="K68" s="74">
        <v>66</v>
      </c>
      <c r="L68" s="119">
        <v>444.59999999999997</v>
      </c>
      <c r="M68" s="117">
        <v>1614.9986915490715</v>
      </c>
    </row>
    <row r="69" spans="11:13" x14ac:dyDescent="0.4">
      <c r="K69" s="74">
        <v>67</v>
      </c>
      <c r="L69" s="119">
        <v>437.4</v>
      </c>
      <c r="M69" s="117">
        <v>1613.9486993997771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4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7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28</v>
      </c>
      <c r="C2" s="142"/>
      <c r="E2" s="26" t="s">
        <v>66</v>
      </c>
      <c r="F2" s="23" t="s">
        <v>22</v>
      </c>
      <c r="G2" s="11">
        <v>48</v>
      </c>
      <c r="H2" s="87">
        <f>IF(B$20=0,0,G2/B$20)</f>
        <v>0.8571428571428571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-925</v>
      </c>
      <c r="Q2" s="76">
        <v>28</v>
      </c>
      <c r="R2" s="63">
        <v>-25900</v>
      </c>
    </row>
    <row r="3" spans="1:18" x14ac:dyDescent="0.4">
      <c r="A3" s="19" t="s">
        <v>8</v>
      </c>
      <c r="B3" s="143">
        <v>245</v>
      </c>
      <c r="C3" s="144"/>
      <c r="E3" s="27" t="s">
        <v>64</v>
      </c>
      <c r="F3" s="24" t="s">
        <v>20</v>
      </c>
      <c r="G3" s="12">
        <v>34</v>
      </c>
      <c r="H3" s="88">
        <f>IF(B$20=0,0,G3/B$20)</f>
        <v>0.6071428571428571</v>
      </c>
      <c r="I3" s="58">
        <v>2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1073.0769230769231</v>
      </c>
      <c r="Q3" s="77">
        <v>26</v>
      </c>
      <c r="R3" s="64">
        <v>27900</v>
      </c>
    </row>
    <row r="4" spans="1:18" x14ac:dyDescent="0.4">
      <c r="A4" s="19" t="s">
        <v>6</v>
      </c>
      <c r="B4" s="145">
        <v>-241.89999999999995</v>
      </c>
      <c r="C4" s="146"/>
      <c r="E4" s="27" t="s">
        <v>68</v>
      </c>
      <c r="F4" s="24" t="s">
        <v>12</v>
      </c>
      <c r="G4" s="12">
        <v>28</v>
      </c>
      <c r="H4" s="88">
        <f>IF(B$20=0,0,G4/B$20)</f>
        <v>0.5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-1900</v>
      </c>
      <c r="Q4" s="77">
        <v>27</v>
      </c>
      <c r="R4" s="64">
        <v>-51300</v>
      </c>
    </row>
    <row r="5" spans="1:18" x14ac:dyDescent="0.4">
      <c r="A5" s="19" t="s">
        <v>7</v>
      </c>
      <c r="B5" s="133">
        <f>IF(B$2=0,0,B$4/B$2)</f>
        <v>-8.6392857142857125</v>
      </c>
      <c r="C5" s="134"/>
      <c r="E5" s="27" t="s">
        <v>159</v>
      </c>
      <c r="F5" s="24" t="s">
        <v>160</v>
      </c>
      <c r="G5" s="12">
        <v>28</v>
      </c>
      <c r="H5" s="88">
        <f>IF(B$20=0,0,G5/B$20)</f>
        <v>0.5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-1257.6923076923076</v>
      </c>
      <c r="Q5" s="77">
        <v>26</v>
      </c>
      <c r="R5" s="64">
        <v>-32700</v>
      </c>
    </row>
    <row r="6" spans="1:18" x14ac:dyDescent="0.4">
      <c r="A6" s="19" t="s">
        <v>196</v>
      </c>
      <c r="B6" s="137">
        <v>1377.1480089618358</v>
      </c>
      <c r="C6" s="138"/>
      <c r="E6" s="27" t="s">
        <v>72</v>
      </c>
      <c r="F6" s="24" t="s">
        <v>27</v>
      </c>
      <c r="G6" s="12">
        <v>22</v>
      </c>
      <c r="H6" s="88">
        <f>IF(B$20=0,0,G6/B$20)</f>
        <v>0.39285714285714285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-2520</v>
      </c>
      <c r="Q6" s="77">
        <v>25</v>
      </c>
      <c r="R6" s="64">
        <v>-63000</v>
      </c>
    </row>
    <row r="7" spans="1:18" x14ac:dyDescent="0.4">
      <c r="A7" s="19" t="s">
        <v>1</v>
      </c>
      <c r="B7" s="147">
        <f>IF(B$2=0,0,(B$8*1+B$9*2+B$10*3)/B$2)</f>
        <v>2.0714285714285716</v>
      </c>
      <c r="C7" s="148"/>
      <c r="E7" s="27" t="s">
        <v>67</v>
      </c>
      <c r="F7" s="24" t="s">
        <v>23</v>
      </c>
      <c r="G7" s="12">
        <v>21</v>
      </c>
      <c r="H7" s="88">
        <f>IF(B$20=0,0,G7/B$20)</f>
        <v>0.375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-1127.2727272727273</v>
      </c>
      <c r="Q7" s="78">
        <v>22</v>
      </c>
      <c r="R7" s="65">
        <v>-24800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0.32142857142857145</v>
      </c>
      <c r="E8" s="27" t="s">
        <v>69</v>
      </c>
      <c r="F8" s="24" t="s">
        <v>24</v>
      </c>
      <c r="G8" s="12">
        <v>13</v>
      </c>
      <c r="H8" s="88">
        <f>IF(B$20=0,0,G8/B$20)</f>
        <v>0.23214285714285715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0.2857142857142857</v>
      </c>
      <c r="E9" s="27" t="s">
        <v>65</v>
      </c>
      <c r="F9" s="24" t="s">
        <v>21</v>
      </c>
      <c r="G9" s="12">
        <v>8</v>
      </c>
      <c r="H9" s="88">
        <f>IF(B$20=0,0,G9/B$20)</f>
        <v>0.14285714285714285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0.39285714285714285</v>
      </c>
      <c r="E10" s="27" t="s">
        <v>70</v>
      </c>
      <c r="F10" s="24" t="s">
        <v>25</v>
      </c>
      <c r="G10" s="12">
        <v>8</v>
      </c>
      <c r="H10" s="88">
        <f>IF(B$20=0,0,G10/B$20)</f>
        <v>0.14285714285714285</v>
      </c>
      <c r="I10" s="58">
        <v>1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-15.342857142857143</v>
      </c>
      <c r="Q10" s="76">
        <v>7</v>
      </c>
      <c r="R10" s="67">
        <v>-107.4</v>
      </c>
    </row>
    <row r="11" spans="1:18" x14ac:dyDescent="0.4">
      <c r="A11" s="20" t="s">
        <v>184</v>
      </c>
      <c r="B11" s="109">
        <f>IF(B8=0,0,C11/B8)</f>
        <v>24.144444444444442</v>
      </c>
      <c r="C11" s="110">
        <v>217.29999999999998</v>
      </c>
      <c r="E11" s="27" t="s">
        <v>89</v>
      </c>
      <c r="F11" s="24" t="s">
        <v>44</v>
      </c>
      <c r="G11" s="12">
        <v>5</v>
      </c>
      <c r="H11" s="88">
        <f>IF(B$20=0,0,G11/B$20)</f>
        <v>8.9285714285714288E-2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-7.580000000000001</v>
      </c>
      <c r="Q11" s="77">
        <v>10</v>
      </c>
      <c r="R11" s="68">
        <v>-75.800000000000011</v>
      </c>
    </row>
    <row r="12" spans="1:18" x14ac:dyDescent="0.4">
      <c r="A12" s="20" t="s">
        <v>185</v>
      </c>
      <c r="B12" s="109">
        <f>IF(B9=0,0,C12/B9)</f>
        <v>-1.8125</v>
      </c>
      <c r="C12" s="110">
        <v>-14.5</v>
      </c>
      <c r="E12" s="27" t="s">
        <v>78</v>
      </c>
      <c r="F12" s="24" t="s">
        <v>33</v>
      </c>
      <c r="G12" s="12">
        <v>3</v>
      </c>
      <c r="H12" s="88">
        <f>IF(B$20=0,0,G12/B$20)</f>
        <v>5.3571428571428568E-2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-5.336363636363636</v>
      </c>
      <c r="Q12" s="78">
        <v>11</v>
      </c>
      <c r="R12" s="69">
        <v>-58.699999999999996</v>
      </c>
    </row>
    <row r="13" spans="1:18" x14ac:dyDescent="0.4">
      <c r="A13" s="20" t="s">
        <v>186</v>
      </c>
      <c r="B13" s="109">
        <f>IF(B10=0,0,C13/B10)</f>
        <v>-40.427272727272729</v>
      </c>
      <c r="C13" s="110">
        <v>-444.70000000000005</v>
      </c>
      <c r="E13" s="27" t="s">
        <v>86</v>
      </c>
      <c r="F13" s="24" t="s">
        <v>41</v>
      </c>
      <c r="G13" s="12">
        <v>3</v>
      </c>
      <c r="H13" s="88">
        <f>IF(B$20=0,0,G13/B$20)</f>
        <v>5.3571428571428568E-2</v>
      </c>
      <c r="I13" s="58">
        <v>7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-6.0317760942760961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3.5714285714285712E-2</v>
      </c>
      <c r="I14" s="58">
        <v>10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0.17857142857142858</v>
      </c>
      <c r="E15" s="27" t="s">
        <v>73</v>
      </c>
      <c r="F15" s="24" t="s">
        <v>28</v>
      </c>
      <c r="G15" s="12">
        <v>1</v>
      </c>
      <c r="H15" s="88">
        <f>IF(B$20=0,0,G15/B$20)</f>
        <v>1.7857142857142856E-2</v>
      </c>
      <c r="I15" s="58">
        <v>1</v>
      </c>
      <c r="K15" s="74">
        <v>13</v>
      </c>
      <c r="L15" s="119">
        <v>-75.599999999999994</v>
      </c>
      <c r="M15" s="117">
        <v>1390.8671400806311</v>
      </c>
      <c r="O15" s="73" t="s">
        <v>201</v>
      </c>
      <c r="P15" s="82">
        <f>IF(Q15=0,0,R15/Q15)</f>
        <v>49.249999999999993</v>
      </c>
      <c r="Q15" s="76">
        <v>2</v>
      </c>
      <c r="R15" s="67">
        <v>98.499999999999986</v>
      </c>
    </row>
    <row r="16" spans="1:18" x14ac:dyDescent="0.4">
      <c r="A16" s="22" t="s">
        <v>121</v>
      </c>
      <c r="B16" s="15">
        <v>57</v>
      </c>
      <c r="C16" s="10">
        <f>IF(B$3=0,0,B16/B$3)</f>
        <v>0.23265306122448978</v>
      </c>
      <c r="E16" s="27" t="s">
        <v>75</v>
      </c>
      <c r="F16" s="24" t="s">
        <v>30</v>
      </c>
      <c r="G16" s="12">
        <v>1</v>
      </c>
      <c r="H16" s="88">
        <f>IF(B$20=0,0,G16/B$20)</f>
        <v>1.7857142857142856E-2</v>
      </c>
      <c r="I16" s="58">
        <v>1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28</v>
      </c>
      <c r="C17" s="6">
        <f>IF(B$3=0,0,B17/B$3)</f>
        <v>0.11428571428571428</v>
      </c>
      <c r="E17" s="27" t="s">
        <v>81</v>
      </c>
      <c r="F17" s="24" t="s">
        <v>36</v>
      </c>
      <c r="G17" s="12">
        <v>1</v>
      </c>
      <c r="H17" s="88">
        <f>IF(B$20=0,0,G17/B$20)</f>
        <v>1.7857142857142856E-2</v>
      </c>
      <c r="I17" s="58">
        <v>12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>IF(Q17=0,0,R17/Q17)</f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34</v>
      </c>
      <c r="C18" s="5">
        <f>IF(B$16=0,0,B18/B$16)</f>
        <v>0.59649122807017541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163</v>
      </c>
      <c r="P18" s="83">
        <f>IF(Q18=0,0,R18/Q18)</f>
        <v>0.22000000000000314</v>
      </c>
      <c r="Q18" s="77">
        <v>5</v>
      </c>
      <c r="R18" s="68">
        <v>1.1000000000000156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-126.1</v>
      </c>
      <c r="M19" s="117">
        <v>1386.3964580576521</v>
      </c>
      <c r="O19" s="74" t="s">
        <v>190</v>
      </c>
      <c r="P19" s="83">
        <f>IF(Q19=0,0,R19/Q19)</f>
        <v>-3.9500000000000011</v>
      </c>
      <c r="Q19" s="77">
        <v>4</v>
      </c>
      <c r="R19" s="68">
        <v>-15.800000000000004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0.22857142857142856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-171.7</v>
      </c>
      <c r="M20" s="117">
        <v>1379.2960793093062</v>
      </c>
      <c r="O20" s="74" t="s">
        <v>126</v>
      </c>
      <c r="P20" s="83">
        <f>IF(Q20=0,0,R20/Q20)</f>
        <v>-14.013636363636364</v>
      </c>
      <c r="Q20" s="77">
        <v>22</v>
      </c>
      <c r="R20" s="68">
        <v>-308.3</v>
      </c>
    </row>
    <row r="21" spans="1:18" x14ac:dyDescent="0.4">
      <c r="A21" s="19" t="s">
        <v>13</v>
      </c>
      <c r="B21" s="12">
        <v>45</v>
      </c>
      <c r="C21" s="6">
        <f>IF(B$3=0,0,B21/B$3)</f>
        <v>0.18367346938775511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  <c r="K21" s="74">
        <v>19</v>
      </c>
      <c r="L21" s="119">
        <v>-207.89999999999998</v>
      </c>
      <c r="M21" s="117">
        <v>1373.9303028334502</v>
      </c>
      <c r="O21" s="74" t="s">
        <v>189</v>
      </c>
      <c r="P21" s="83">
        <f>IF(Q21=0,0,R21/Q21)</f>
        <v>-25.8</v>
      </c>
      <c r="Q21" s="77">
        <v>4</v>
      </c>
      <c r="R21" s="68">
        <v>-103.2</v>
      </c>
    </row>
    <row r="22" spans="1:18" x14ac:dyDescent="0.4">
      <c r="A22" s="19" t="s">
        <v>12</v>
      </c>
      <c r="B22" s="12">
        <v>30</v>
      </c>
      <c r="C22" s="6">
        <f>IF(B$20=0,0,B22/B$20)</f>
        <v>0.5357142857142857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-187.29999999999998</v>
      </c>
      <c r="M22" s="117">
        <v>1378.8207210164496</v>
      </c>
      <c r="O22" s="74" t="s">
        <v>192</v>
      </c>
      <c r="P22" s="83">
        <f>IF(Q22=0,0,R22/Q22)</f>
        <v>-32.123076923076923</v>
      </c>
      <c r="Q22" s="77">
        <v>13</v>
      </c>
      <c r="R22" s="68">
        <v>-417.6</v>
      </c>
    </row>
    <row r="23" spans="1:18" x14ac:dyDescent="0.4">
      <c r="A23" s="19" t="s">
        <v>11</v>
      </c>
      <c r="B23" s="12">
        <v>26</v>
      </c>
      <c r="C23" s="6">
        <f>IF(B$20=0,0,B23/B$20)</f>
        <v>0.4642857142857143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-178.79999999999998</v>
      </c>
      <c r="M23" s="117">
        <v>1381.503796690351</v>
      </c>
    </row>
    <row r="24" spans="1:18" x14ac:dyDescent="0.4">
      <c r="A24" s="19" t="s">
        <v>183</v>
      </c>
      <c r="B24" s="12">
        <v>34</v>
      </c>
      <c r="C24" s="6">
        <f>IF(B$20=0,0,B24/B$20)</f>
        <v>0.6071428571428571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11</v>
      </c>
      <c r="K24" s="74">
        <v>22</v>
      </c>
      <c r="L24" s="119">
        <v>-245.59999999999997</v>
      </c>
      <c r="M24" s="117">
        <v>1370.6167739102088</v>
      </c>
    </row>
    <row r="25" spans="1:18" x14ac:dyDescent="0.4">
      <c r="A25" s="19" t="s">
        <v>181</v>
      </c>
      <c r="B25" s="12">
        <v>7</v>
      </c>
      <c r="C25" s="6">
        <f>IF(B$20=0,0,B25/B$20)</f>
        <v>0.125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-236.09999999999997</v>
      </c>
      <c r="M25" s="117">
        <v>1373.5290732667477</v>
      </c>
    </row>
    <row r="26" spans="1:18" x14ac:dyDescent="0.4">
      <c r="A26" s="19" t="s">
        <v>182</v>
      </c>
      <c r="B26" s="12">
        <v>15</v>
      </c>
      <c r="C26" s="6">
        <f>IF(B$20=0,0,B26/B$20)</f>
        <v>0.26785714285714285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-216.59999999999997</v>
      </c>
      <c r="M26" s="117">
        <v>1378.2238988271472</v>
      </c>
    </row>
    <row r="27" spans="1:18" x14ac:dyDescent="0.4">
      <c r="A27" s="19" t="s">
        <v>5</v>
      </c>
      <c r="B27" s="16">
        <f>IF(B$20=0,0,C27/B$20)</f>
        <v>9282.1428571428569</v>
      </c>
      <c r="C27" s="8">
        <v>519800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-242.69999999999996</v>
      </c>
      <c r="M27" s="117">
        <v>1374.4005554341843</v>
      </c>
    </row>
    <row r="28" spans="1:18" x14ac:dyDescent="0.4">
      <c r="A28" s="20" t="s">
        <v>165</v>
      </c>
      <c r="B28" s="95">
        <f>IF($B$20-B$19=0,0,C28/($B$20-B$19))</f>
        <v>9244.8979591836742</v>
      </c>
      <c r="C28" s="96">
        <v>453000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-267.29999999999995</v>
      </c>
      <c r="M28" s="117">
        <v>1370.6301521015791</v>
      </c>
    </row>
    <row r="29" spans="1:18" x14ac:dyDescent="0.4">
      <c r="A29" s="20" t="s">
        <v>166</v>
      </c>
      <c r="B29" s="95">
        <f>IF(B$19=0,0,C29/B$19)</f>
        <v>9542.8571428571431</v>
      </c>
      <c r="C29" s="96">
        <v>66800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-264.79999999999995</v>
      </c>
      <c r="M29" s="117">
        <v>1372.0603711889696</v>
      </c>
    </row>
    <row r="30" spans="1:18" x14ac:dyDescent="0.4">
      <c r="A30" s="20" t="s">
        <v>164</v>
      </c>
      <c r="B30" s="95">
        <f>IF(B$21=0,0,C30/B$21)</f>
        <v>-8188.8888888888887</v>
      </c>
      <c r="C30" s="96">
        <v>-368500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  <c r="K30" s="74">
        <v>28</v>
      </c>
      <c r="L30" s="119">
        <v>-241.89999999999995</v>
      </c>
      <c r="M30" s="117">
        <v>1377.1480089618358</v>
      </c>
    </row>
    <row r="31" spans="1:18" x14ac:dyDescent="0.4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4.0816326530612249E-3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5.3571428571428568E-2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2"/>
        <v>0.10714285714285714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0.23214285714285715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0.19642857142857142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8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3</v>
      </c>
      <c r="C43" s="6">
        <f t="shared" si="2"/>
        <v>5.3571428571428568E-2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5.3571428571428568E-2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1.7857142857142856E-2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66</v>
      </c>
      <c r="F2" s="23" t="s">
        <v>22</v>
      </c>
      <c r="G2" s="11">
        <v>10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-2716.6666666666665</v>
      </c>
      <c r="Q2" s="76">
        <v>6</v>
      </c>
      <c r="R2" s="63">
        <v>-16300</v>
      </c>
    </row>
    <row r="3" spans="1:18" x14ac:dyDescent="0.4">
      <c r="A3" s="19" t="s">
        <v>8</v>
      </c>
      <c r="B3" s="143">
        <v>55</v>
      </c>
      <c r="C3" s="144"/>
      <c r="E3" s="27" t="s">
        <v>64</v>
      </c>
      <c r="F3" s="24" t="s">
        <v>20</v>
      </c>
      <c r="G3" s="12">
        <v>5</v>
      </c>
      <c r="H3" s="88">
        <f>IF(B$20=0,0,G3/B$20)</f>
        <v>0.5</v>
      </c>
      <c r="I3" s="58">
        <v>3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-5900</v>
      </c>
      <c r="Q3" s="77">
        <v>6</v>
      </c>
      <c r="R3" s="64">
        <v>-35400</v>
      </c>
    </row>
    <row r="4" spans="1:18" x14ac:dyDescent="0.4">
      <c r="A4" s="19" t="s">
        <v>6</v>
      </c>
      <c r="B4" s="145">
        <v>-150.79999999999998</v>
      </c>
      <c r="C4" s="146"/>
      <c r="E4" s="27" t="s">
        <v>68</v>
      </c>
      <c r="F4" s="24" t="s">
        <v>12</v>
      </c>
      <c r="G4" s="12">
        <v>5</v>
      </c>
      <c r="H4" s="88">
        <f>IF(B$20=0,0,G4/B$20)</f>
        <v>0.5</v>
      </c>
      <c r="I4" s="58">
        <v>1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83.333333333333329</v>
      </c>
      <c r="Q4" s="77">
        <v>6</v>
      </c>
      <c r="R4" s="64">
        <v>500</v>
      </c>
    </row>
    <row r="5" spans="1:18" x14ac:dyDescent="0.4">
      <c r="A5" s="19" t="s">
        <v>7</v>
      </c>
      <c r="B5" s="133">
        <f>IF(B$2=0,0,B$4/B$2)</f>
        <v>-25.133333333333329</v>
      </c>
      <c r="C5" s="134"/>
      <c r="E5" s="27" t="s">
        <v>72</v>
      </c>
      <c r="F5" s="24" t="s">
        <v>27</v>
      </c>
      <c r="G5" s="12">
        <v>5</v>
      </c>
      <c r="H5" s="88">
        <f>IF(B$20=0,0,G5/B$20)</f>
        <v>0.5</v>
      </c>
      <c r="I5" s="58">
        <v>10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-5580</v>
      </c>
      <c r="Q5" s="77">
        <v>5</v>
      </c>
      <c r="R5" s="64">
        <v>-27900</v>
      </c>
    </row>
    <row r="6" spans="1:18" x14ac:dyDescent="0.4">
      <c r="A6" s="19" t="s">
        <v>196</v>
      </c>
      <c r="B6" s="137">
        <v>1476.9680701642462</v>
      </c>
      <c r="C6" s="138"/>
      <c r="E6" s="27" t="s">
        <v>67</v>
      </c>
      <c r="F6" s="24" t="s">
        <v>23</v>
      </c>
      <c r="G6" s="12">
        <v>4</v>
      </c>
      <c r="H6" s="88">
        <f>IF(B$20=0,0,G6/B$20)</f>
        <v>0.4</v>
      </c>
      <c r="I6" s="58">
        <v>1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-3240</v>
      </c>
      <c r="Q6" s="77">
        <v>5</v>
      </c>
      <c r="R6" s="64">
        <v>-16200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</v>
      </c>
      <c r="I7" s="58">
        <v>6</v>
      </c>
      <c r="K7" s="74">
        <v>5</v>
      </c>
      <c r="L7" s="119">
        <v>-120.49999999999999</v>
      </c>
      <c r="M7" s="117">
        <v>1482.1167707889801</v>
      </c>
      <c r="O7" s="75" t="s">
        <v>133</v>
      </c>
      <c r="P7" s="81">
        <f t="shared" si="0"/>
        <v>-1775</v>
      </c>
      <c r="Q7" s="78">
        <v>4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8</v>
      </c>
      <c r="K8" s="74">
        <v>6</v>
      </c>
      <c r="L8" s="119">
        <v>-150.79999999999998</v>
      </c>
      <c r="M8" s="117">
        <v>1476.9680701642462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78</v>
      </c>
      <c r="F9" s="24" t="s">
        <v>33</v>
      </c>
      <c r="G9" s="12">
        <v>1</v>
      </c>
      <c r="H9" s="88">
        <f>IF(B$20=0,0,G9/B$20)</f>
        <v>0.1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0.66666666666666663</v>
      </c>
      <c r="E10" s="27" t="s">
        <v>81</v>
      </c>
      <c r="F10" s="24" t="s">
        <v>36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-25.866666666666664</v>
      </c>
      <c r="Q10" s="76">
        <v>3</v>
      </c>
      <c r="R10" s="67">
        <v>-77.599999999999994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-36.85</v>
      </c>
      <c r="C13" s="110">
        <v>-147.4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-12.850000000000001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0.16666666666666666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8</v>
      </c>
      <c r="C16" s="10">
        <f>IF(B$3=0,0,B16/B$3)</f>
        <v>0.14545454545454545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-44.933333333333337</v>
      </c>
      <c r="Q16" s="77">
        <v>6</v>
      </c>
      <c r="R16" s="68">
        <v>-269.60000000000002</v>
      </c>
    </row>
    <row r="17" spans="1:18" x14ac:dyDescent="0.4">
      <c r="A17" s="19" t="s">
        <v>118</v>
      </c>
      <c r="B17" s="12">
        <v>11</v>
      </c>
      <c r="C17" s="6">
        <f>IF(B$3=0,0,B17/B$3)</f>
        <v>0.2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195</v>
      </c>
      <c r="P17" s="83">
        <f>IF(Q17=0,0,R17/Q17)</f>
        <v>-49.25</v>
      </c>
      <c r="Q17" s="77">
        <v>2</v>
      </c>
      <c r="R17" s="68">
        <v>-98.5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0.625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0.18181818181818182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0.18181818181818182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14</v>
      </c>
      <c r="C21" s="6">
        <f>IF(B$3=0,0,B21/B$3)</f>
        <v>0.25454545454545452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6</v>
      </c>
      <c r="C22" s="6">
        <f>IF(B$20=0,0,B22/B$20)</f>
        <v>0.6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4</v>
      </c>
      <c r="C23" s="6">
        <f>IF(B$20=0,0,B23/B$20)</f>
        <v>0.4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5</v>
      </c>
      <c r="C24" s="6">
        <f>IF(B$20=0,0,B24/B$20)</f>
        <v>0.5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2</v>
      </c>
      <c r="C25" s="6">
        <f>IF(B$20=0,0,B25/B$20)</f>
        <v>0.2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3</v>
      </c>
      <c r="C26" s="6">
        <f>IF(B$20=0,0,B26/B$20)</f>
        <v>0.3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7270</v>
      </c>
      <c r="C27" s="8">
        <v>72700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7850</v>
      </c>
      <c r="C28" s="96">
        <v>62800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-7157.1428571428569</v>
      </c>
      <c r="C30" s="96">
        <v>-100200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1</v>
      </c>
      <c r="C43" s="6">
        <f t="shared" si="2"/>
        <v>0.1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  <row r="8" spans="1:17" x14ac:dyDescent="0.4">
      <c r="A8" s="33">
        <v>5</v>
      </c>
      <c r="B8" s="30">
        <v>-120.49999999999999</v>
      </c>
      <c r="C8" s="30">
        <v>-24.099999999999998</v>
      </c>
      <c r="D8" s="35">
        <v>2.6</v>
      </c>
      <c r="E8" s="31">
        <v>0</v>
      </c>
      <c r="F8" s="31">
        <v>0.6</v>
      </c>
      <c r="G8" s="31">
        <v>0.2</v>
      </c>
      <c r="H8" s="31">
        <v>0.24444444444444444</v>
      </c>
      <c r="I8" s="32">
        <v>6744.4444444444443</v>
      </c>
      <c r="J8" s="32">
        <v>-7427.272727272727</v>
      </c>
      <c r="K8" s="31">
        <v>0.2</v>
      </c>
      <c r="L8" s="31">
        <v>0.13333333333333333</v>
      </c>
      <c r="M8" s="31">
        <v>0.2</v>
      </c>
      <c r="N8" s="31">
        <v>0.66666666666666663</v>
      </c>
      <c r="O8" s="31">
        <v>0.22222222222222221</v>
      </c>
      <c r="P8" s="31">
        <v>0.55555555555555558</v>
      </c>
    </row>
    <row r="9" spans="1:17" x14ac:dyDescent="0.4">
      <c r="A9" s="33">
        <v>6</v>
      </c>
      <c r="B9" s="30">
        <v>-150.79999999999998</v>
      </c>
      <c r="C9" s="30">
        <v>-25.133333333333329</v>
      </c>
      <c r="D9" s="35">
        <v>2.6666666666666665</v>
      </c>
      <c r="E9" s="31">
        <v>0</v>
      </c>
      <c r="F9" s="31">
        <v>0.66666666666666663</v>
      </c>
      <c r="G9" s="31">
        <v>0.18181818181818182</v>
      </c>
      <c r="H9" s="31">
        <v>0.25454545454545452</v>
      </c>
      <c r="I9" s="32">
        <v>7270</v>
      </c>
      <c r="J9" s="32">
        <v>-7157.1428571428569</v>
      </c>
      <c r="K9" s="31">
        <v>0.16666666666666666</v>
      </c>
      <c r="L9" s="31">
        <v>0.14545454545454545</v>
      </c>
      <c r="M9" s="31">
        <v>0.2</v>
      </c>
      <c r="N9" s="31">
        <v>0.625</v>
      </c>
      <c r="O9" s="31">
        <v>0.18181818181818182</v>
      </c>
      <c r="P9" s="31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  <row r="20" spans="1:16" x14ac:dyDescent="0.4">
      <c r="A20" s="33">
        <v>17</v>
      </c>
      <c r="B20" s="30">
        <v>-126.1</v>
      </c>
      <c r="C20" s="30">
        <v>-7.4176470588235288</v>
      </c>
      <c r="D20" s="35">
        <v>2.0588235294117645</v>
      </c>
      <c r="E20" s="31">
        <v>0.35294117647058826</v>
      </c>
      <c r="F20" s="31">
        <v>0.41176470588235292</v>
      </c>
      <c r="G20" s="31">
        <v>0.24183006535947713</v>
      </c>
      <c r="H20" s="31">
        <v>0.16339869281045752</v>
      </c>
      <c r="I20" s="32">
        <v>8921.6216216216217</v>
      </c>
      <c r="J20" s="32">
        <v>-7868</v>
      </c>
      <c r="K20" s="31">
        <v>0.17647058823529413</v>
      </c>
      <c r="L20" s="31">
        <v>0.23529411764705882</v>
      </c>
      <c r="M20" s="31">
        <v>0.13071895424836602</v>
      </c>
      <c r="N20" s="31">
        <v>0.63888888888888884</v>
      </c>
      <c r="O20" s="31">
        <v>0.25</v>
      </c>
      <c r="P20" s="31">
        <v>0.56756756756756754</v>
      </c>
    </row>
    <row r="21" spans="1:16" x14ac:dyDescent="0.4">
      <c r="A21" s="33">
        <v>18</v>
      </c>
      <c r="B21" s="30">
        <v>-171.7</v>
      </c>
      <c r="C21" s="30">
        <v>-9.5388888888888879</v>
      </c>
      <c r="D21" s="35">
        <v>2.1111111111111112</v>
      </c>
      <c r="E21" s="31">
        <v>0.33333333333333331</v>
      </c>
      <c r="F21" s="31">
        <v>0.44444444444444442</v>
      </c>
      <c r="G21" s="31">
        <v>0.23125000000000001</v>
      </c>
      <c r="H21" s="31">
        <v>0.18124999999999999</v>
      </c>
      <c r="I21" s="32">
        <v>8921.6216216216217</v>
      </c>
      <c r="J21" s="32">
        <v>-7493.1034482758623</v>
      </c>
      <c r="K21" s="31">
        <v>0.22222222222222221</v>
      </c>
      <c r="L21" s="31">
        <v>0.22500000000000001</v>
      </c>
      <c r="M21" s="31">
        <v>0.125</v>
      </c>
      <c r="N21" s="31">
        <v>0.63888888888888884</v>
      </c>
      <c r="O21" s="31">
        <v>0.25</v>
      </c>
      <c r="P21" s="31">
        <v>0.56756756756756754</v>
      </c>
    </row>
    <row r="22" spans="1:16" x14ac:dyDescent="0.4">
      <c r="A22" s="33">
        <v>19</v>
      </c>
      <c r="B22" s="30">
        <v>-207.89999999999998</v>
      </c>
      <c r="C22" s="30">
        <v>-10.942105263157893</v>
      </c>
      <c r="D22" s="35">
        <v>2.1578947368421053</v>
      </c>
      <c r="E22" s="31">
        <v>0.31578947368421051</v>
      </c>
      <c r="F22" s="31">
        <v>0.47368421052631576</v>
      </c>
      <c r="G22" s="31">
        <v>0.23809523809523808</v>
      </c>
      <c r="H22" s="31">
        <v>0.17857142857142858</v>
      </c>
      <c r="I22" s="32">
        <v>8535</v>
      </c>
      <c r="J22" s="32">
        <v>-8310</v>
      </c>
      <c r="K22" s="31">
        <v>0.21052631578947367</v>
      </c>
      <c r="L22" s="31">
        <v>0.22619047619047619</v>
      </c>
      <c r="M22" s="31">
        <v>0.125</v>
      </c>
      <c r="N22" s="31">
        <v>0.65789473684210531</v>
      </c>
      <c r="O22" s="31">
        <v>0.23809523809523808</v>
      </c>
      <c r="P22" s="31">
        <v>0.55000000000000004</v>
      </c>
    </row>
    <row r="23" spans="1:16" x14ac:dyDescent="0.4">
      <c r="A23" s="33">
        <v>20</v>
      </c>
      <c r="B23" s="30">
        <v>-187.29999999999998</v>
      </c>
      <c r="C23" s="30">
        <v>-9.3649999999999984</v>
      </c>
      <c r="D23" s="35">
        <v>2.1</v>
      </c>
      <c r="E23" s="31">
        <v>0.35</v>
      </c>
      <c r="F23" s="31">
        <v>0.45</v>
      </c>
      <c r="G23" s="31">
        <v>0.23595505617977527</v>
      </c>
      <c r="H23" s="31">
        <v>0.1797752808988764</v>
      </c>
      <c r="I23" s="32">
        <v>9080.9523809523816</v>
      </c>
      <c r="J23" s="32">
        <v>-8071.875</v>
      </c>
      <c r="K23" s="31">
        <v>0.2</v>
      </c>
      <c r="L23" s="31">
        <v>0.2247191011235955</v>
      </c>
      <c r="M23" s="31">
        <v>0.12359550561797752</v>
      </c>
      <c r="N23" s="31">
        <v>0.65</v>
      </c>
      <c r="O23" s="31">
        <v>0.22727272727272727</v>
      </c>
      <c r="P23" s="31">
        <v>0.5714285714285714</v>
      </c>
    </row>
    <row r="24" spans="1:16" x14ac:dyDescent="0.4">
      <c r="A24" s="33">
        <v>21</v>
      </c>
      <c r="B24" s="30">
        <v>-178.79999999999998</v>
      </c>
      <c r="C24" s="30">
        <v>-8.5142857142857142</v>
      </c>
      <c r="D24" s="35">
        <v>2.0952380952380953</v>
      </c>
      <c r="E24" s="31">
        <v>0.33333333333333331</v>
      </c>
      <c r="F24" s="31">
        <v>0.42857142857142855</v>
      </c>
      <c r="G24" s="31">
        <v>0.23529411764705882</v>
      </c>
      <c r="H24" s="31">
        <v>0.17112299465240641</v>
      </c>
      <c r="I24" s="32">
        <v>9159.0909090909099</v>
      </c>
      <c r="J24" s="32">
        <v>-8071.875</v>
      </c>
      <c r="K24" s="31">
        <v>0.19047619047619047</v>
      </c>
      <c r="L24" s="31">
        <v>0.21925133689839571</v>
      </c>
      <c r="M24" s="31">
        <v>0.12299465240641712</v>
      </c>
      <c r="N24" s="31">
        <v>0.65853658536585369</v>
      </c>
      <c r="O24" s="31">
        <v>0.21739130434782608</v>
      </c>
      <c r="P24" s="31">
        <v>0.56818181818181823</v>
      </c>
    </row>
    <row r="25" spans="1:16" x14ac:dyDescent="0.4">
      <c r="A25" s="33">
        <v>22</v>
      </c>
      <c r="B25" s="30">
        <v>-245.59999999999997</v>
      </c>
      <c r="C25" s="30">
        <v>-11.163636363636362</v>
      </c>
      <c r="D25" s="35">
        <v>2.1363636363636362</v>
      </c>
      <c r="E25" s="31">
        <v>0.31818181818181818</v>
      </c>
      <c r="F25" s="31">
        <v>0.45454545454545453</v>
      </c>
      <c r="G25" s="31">
        <v>0.22680412371134021</v>
      </c>
      <c r="H25" s="31">
        <v>0.18041237113402062</v>
      </c>
      <c r="I25" s="32">
        <v>9159.0909090909099</v>
      </c>
      <c r="J25" s="32">
        <v>-8745.7142857142862</v>
      </c>
      <c r="K25" s="31">
        <v>0.22727272727272727</v>
      </c>
      <c r="L25" s="31">
        <v>0.21134020618556701</v>
      </c>
      <c r="M25" s="31">
        <v>0.11855670103092783</v>
      </c>
      <c r="N25" s="31">
        <v>0.65853658536585369</v>
      </c>
      <c r="O25" s="31">
        <v>0.21739130434782608</v>
      </c>
      <c r="P25" s="31">
        <v>0.56818181818181823</v>
      </c>
    </row>
    <row r="26" spans="1:16" x14ac:dyDescent="0.4">
      <c r="A26" s="33">
        <v>23</v>
      </c>
      <c r="B26" s="30">
        <v>-236.09999999999997</v>
      </c>
      <c r="C26" s="30">
        <v>-10.265217391304347</v>
      </c>
      <c r="D26" s="35">
        <v>2.1304347826086958</v>
      </c>
      <c r="E26" s="31">
        <v>0.30434782608695654</v>
      </c>
      <c r="F26" s="31">
        <v>0.43478260869565216</v>
      </c>
      <c r="G26" s="31">
        <v>0.23</v>
      </c>
      <c r="H26" s="31">
        <v>0.17499999999999999</v>
      </c>
      <c r="I26" s="32">
        <v>9195.652173913044</v>
      </c>
      <c r="J26" s="32">
        <v>-8745.7142857142862</v>
      </c>
      <c r="K26" s="31">
        <v>0.21739130434782608</v>
      </c>
      <c r="L26" s="31">
        <v>0.22</v>
      </c>
      <c r="M26" s="31">
        <v>0.115</v>
      </c>
      <c r="N26" s="31">
        <v>0.65909090909090906</v>
      </c>
      <c r="O26" s="31">
        <v>0.21739130434782608</v>
      </c>
      <c r="P26" s="31">
        <v>0.56521739130434778</v>
      </c>
    </row>
    <row r="27" spans="1:16" x14ac:dyDescent="0.4">
      <c r="A27" s="33">
        <v>24</v>
      </c>
      <c r="B27" s="30">
        <v>-216.59999999999997</v>
      </c>
      <c r="C27" s="30">
        <v>-9.0249999999999986</v>
      </c>
      <c r="D27" s="35">
        <v>2.0833333333333335</v>
      </c>
      <c r="E27" s="31">
        <v>0.33333333333333331</v>
      </c>
      <c r="F27" s="31">
        <v>0.41666666666666669</v>
      </c>
      <c r="G27" s="31">
        <v>0.23076923076923078</v>
      </c>
      <c r="H27" s="31">
        <v>0.17307692307692307</v>
      </c>
      <c r="I27" s="32">
        <v>9089.5833333333339</v>
      </c>
      <c r="J27" s="32">
        <v>-8538.8888888888887</v>
      </c>
      <c r="K27" s="31">
        <v>0.20833333333333334</v>
      </c>
      <c r="L27" s="31">
        <v>0.22115384615384615</v>
      </c>
      <c r="M27" s="31">
        <v>0.11538461538461539</v>
      </c>
      <c r="N27" s="31">
        <v>0.65217391304347827</v>
      </c>
      <c r="O27" s="31">
        <v>0.20833333333333334</v>
      </c>
      <c r="P27" s="31">
        <v>0.54166666666666663</v>
      </c>
    </row>
    <row r="28" spans="1:16" x14ac:dyDescent="0.4">
      <c r="A28" s="33">
        <v>25</v>
      </c>
      <c r="B28" s="30">
        <v>-242.69999999999996</v>
      </c>
      <c r="C28" s="30">
        <v>-9.7079999999999984</v>
      </c>
      <c r="D28" s="35">
        <v>2.08</v>
      </c>
      <c r="E28" s="31">
        <v>0.32</v>
      </c>
      <c r="F28" s="31">
        <v>0.4</v>
      </c>
      <c r="G28" s="31">
        <v>0.22119815668202766</v>
      </c>
      <c r="H28" s="31">
        <v>0.17972350230414746</v>
      </c>
      <c r="I28" s="32">
        <v>9089.5833333333339</v>
      </c>
      <c r="J28" s="32">
        <v>-8307.6923076923085</v>
      </c>
      <c r="K28" s="31">
        <v>0.2</v>
      </c>
      <c r="L28" s="31">
        <v>0.22119815668202766</v>
      </c>
      <c r="M28" s="31">
        <v>0.11059907834101383</v>
      </c>
      <c r="N28" s="31">
        <v>0.625</v>
      </c>
      <c r="O28" s="31">
        <v>0.20833333333333334</v>
      </c>
      <c r="P28" s="31">
        <v>0.54166666666666663</v>
      </c>
    </row>
    <row r="29" spans="1:16" x14ac:dyDescent="0.4">
      <c r="A29" s="33">
        <v>26</v>
      </c>
      <c r="B29" s="30">
        <v>-267.29999999999995</v>
      </c>
      <c r="C29" s="30">
        <v>-10.280769230769229</v>
      </c>
      <c r="D29" s="35">
        <v>2.1153846153846154</v>
      </c>
      <c r="E29" s="31">
        <v>0.30769230769230771</v>
      </c>
      <c r="F29" s="31">
        <v>0.42307692307692307</v>
      </c>
      <c r="G29" s="31">
        <v>0.22123893805309736</v>
      </c>
      <c r="H29" s="31">
        <v>0.18141592920353983</v>
      </c>
      <c r="I29" s="32">
        <v>9206</v>
      </c>
      <c r="J29" s="32">
        <v>-8321.9512195121952</v>
      </c>
      <c r="K29" s="31">
        <v>0.19230769230769232</v>
      </c>
      <c r="L29" s="31">
        <v>0.22123893805309736</v>
      </c>
      <c r="M29" s="31">
        <v>0.11061946902654868</v>
      </c>
      <c r="N29" s="31">
        <v>0.62</v>
      </c>
      <c r="O29" s="31">
        <v>0.2</v>
      </c>
      <c r="P29" s="31">
        <v>0.56000000000000005</v>
      </c>
    </row>
    <row r="30" spans="1:16" x14ac:dyDescent="0.4">
      <c r="A30" s="33">
        <v>27</v>
      </c>
      <c r="B30" s="30">
        <v>-264.79999999999995</v>
      </c>
      <c r="C30" s="30">
        <v>-9.8074074074074051</v>
      </c>
      <c r="D30" s="35">
        <v>2.1111111111111112</v>
      </c>
      <c r="E30" s="31">
        <v>0.29629629629629628</v>
      </c>
      <c r="F30" s="31">
        <v>0.40740740740740738</v>
      </c>
      <c r="G30" s="31">
        <v>0.22553191489361701</v>
      </c>
      <c r="H30" s="31">
        <v>0.18723404255319148</v>
      </c>
      <c r="I30" s="32">
        <v>9281.132075471698</v>
      </c>
      <c r="J30" s="32">
        <v>-8200</v>
      </c>
      <c r="K30" s="31">
        <v>0.18518518518518517</v>
      </c>
      <c r="L30" s="31">
        <v>0.22127659574468084</v>
      </c>
      <c r="M30" s="31">
        <v>0.1148936170212766</v>
      </c>
      <c r="N30" s="31">
        <v>0.61538461538461542</v>
      </c>
      <c r="O30" s="31">
        <v>0.22222222222222221</v>
      </c>
      <c r="P30" s="31">
        <v>0.54716981132075471</v>
      </c>
    </row>
    <row r="31" spans="1:16" x14ac:dyDescent="0.4">
      <c r="A31" s="33">
        <v>28</v>
      </c>
      <c r="B31" s="30">
        <v>-241.89999999999995</v>
      </c>
      <c r="C31" s="30">
        <v>-8.6392857142857125</v>
      </c>
      <c r="D31" s="35">
        <v>2.0714285714285716</v>
      </c>
      <c r="E31" s="31">
        <v>0.32142857142857145</v>
      </c>
      <c r="F31" s="31">
        <v>0.39285714285714285</v>
      </c>
      <c r="G31" s="31">
        <v>0.22857142857142856</v>
      </c>
      <c r="H31" s="31">
        <v>0.18367346938775511</v>
      </c>
      <c r="I31" s="32">
        <v>9282.1428571428569</v>
      </c>
      <c r="J31" s="32">
        <v>-8188.8888888888887</v>
      </c>
      <c r="K31" s="31">
        <v>0.17857142857142858</v>
      </c>
      <c r="L31" s="31">
        <v>0.23265306122448978</v>
      </c>
      <c r="M31" s="31">
        <v>0.11428571428571428</v>
      </c>
      <c r="N31" s="31">
        <v>0.59649122807017541</v>
      </c>
      <c r="O31" s="31">
        <v>0.25</v>
      </c>
      <c r="P31" s="31">
        <v>0.5357142857142857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  <row r="60" spans="1:16" x14ac:dyDescent="0.4">
      <c r="A60" s="33">
        <v>57</v>
      </c>
      <c r="B60" s="30">
        <v>302.19999999999987</v>
      </c>
      <c r="C60" s="30">
        <v>5.3017543859649097</v>
      </c>
      <c r="D60" s="35">
        <v>1.8245614035087718</v>
      </c>
      <c r="E60" s="31">
        <v>0.40350877192982454</v>
      </c>
      <c r="F60" s="31">
        <v>0.22807017543859648</v>
      </c>
      <c r="G60" s="31">
        <v>0.33604887983706722</v>
      </c>
      <c r="H60" s="31">
        <v>0.12016293279022404</v>
      </c>
      <c r="I60" s="32">
        <v>7335.151515151515</v>
      </c>
      <c r="J60" s="32">
        <v>-7877.9661016949149</v>
      </c>
      <c r="K60" s="31">
        <v>7.0175438596491224E-2</v>
      </c>
      <c r="L60" s="31">
        <v>0.19755600814663951</v>
      </c>
      <c r="M60" s="31">
        <v>0.2708757637474542</v>
      </c>
      <c r="N60" s="31">
        <v>0.53608247422680411</v>
      </c>
      <c r="O60" s="31">
        <v>0.43609022556390975</v>
      </c>
      <c r="P60" s="31">
        <v>0.4</v>
      </c>
    </row>
    <row r="61" spans="1:16" x14ac:dyDescent="0.4">
      <c r="A61" s="33">
        <v>58</v>
      </c>
      <c r="B61" s="30">
        <v>359.19999999999987</v>
      </c>
      <c r="C61" s="30">
        <v>6.1931034482758598</v>
      </c>
      <c r="D61" s="35">
        <v>1.8103448275862069</v>
      </c>
      <c r="E61" s="31">
        <v>0.41379310344827586</v>
      </c>
      <c r="F61" s="31">
        <v>0.22413793103448276</v>
      </c>
      <c r="G61" s="31">
        <v>0.34337349397590361</v>
      </c>
      <c r="H61" s="31">
        <v>0.11847389558232932</v>
      </c>
      <c r="I61" s="32">
        <v>7326.3157894736842</v>
      </c>
      <c r="J61" s="32">
        <v>-7877.9661016949149</v>
      </c>
      <c r="K61" s="31">
        <v>6.8965517241379309E-2</v>
      </c>
      <c r="L61" s="31">
        <v>0.20281124497991967</v>
      </c>
      <c r="M61" s="31">
        <v>0.27108433734939757</v>
      </c>
      <c r="N61" s="31">
        <v>0.5544554455445545</v>
      </c>
      <c r="O61" s="31">
        <v>0.44444444444444442</v>
      </c>
      <c r="P61" s="31">
        <v>0.391812865497076</v>
      </c>
    </row>
    <row r="62" spans="1:16" x14ac:dyDescent="0.4">
      <c r="A62" s="33">
        <v>59</v>
      </c>
      <c r="B62" s="30">
        <v>367.49999999999989</v>
      </c>
      <c r="C62" s="30">
        <v>6.228813559322032</v>
      </c>
      <c r="D62" s="35">
        <v>1.8135593220338984</v>
      </c>
      <c r="E62" s="31">
        <v>0.40677966101694918</v>
      </c>
      <c r="F62" s="31">
        <v>0.22033898305084745</v>
      </c>
      <c r="G62" s="31">
        <v>0.34387351778656128</v>
      </c>
      <c r="H62" s="31">
        <v>0.11857707509881422</v>
      </c>
      <c r="I62" s="32">
        <v>7296.5517241379312</v>
      </c>
      <c r="J62" s="32">
        <v>-7780</v>
      </c>
      <c r="K62" s="31">
        <v>6.7796610169491525E-2</v>
      </c>
      <c r="L62" s="31">
        <v>0.2075098814229249</v>
      </c>
      <c r="M62" s="31">
        <v>0.27075098814229248</v>
      </c>
      <c r="N62" s="31">
        <v>0.55238095238095242</v>
      </c>
      <c r="O62" s="31">
        <v>0.44525547445255476</v>
      </c>
      <c r="P62" s="31">
        <v>0.39655172413793105</v>
      </c>
    </row>
    <row r="63" spans="1:16" x14ac:dyDescent="0.4">
      <c r="A63" s="33">
        <v>60</v>
      </c>
      <c r="B63" s="30">
        <v>370.09999999999991</v>
      </c>
      <c r="C63" s="30">
        <v>6.1683333333333321</v>
      </c>
      <c r="D63" s="35">
        <v>1.8166666666666667</v>
      </c>
      <c r="E63" s="31">
        <v>0.4</v>
      </c>
      <c r="F63" s="31">
        <v>0.21666666666666667</v>
      </c>
      <c r="G63" s="31">
        <v>0.34689922480620156</v>
      </c>
      <c r="H63" s="31">
        <v>0.11627906976744186</v>
      </c>
      <c r="I63" s="32">
        <v>7253.0726256983244</v>
      </c>
      <c r="J63" s="32">
        <v>-7780</v>
      </c>
      <c r="K63" s="31">
        <v>6.6666666666666666E-2</v>
      </c>
      <c r="L63" s="31">
        <v>0.21124031007751937</v>
      </c>
      <c r="M63" s="31">
        <v>0.27131782945736432</v>
      </c>
      <c r="N63" s="31">
        <v>0.55963302752293576</v>
      </c>
      <c r="O63" s="31">
        <v>0.45</v>
      </c>
      <c r="P63" s="31">
        <v>0.4022346368715084</v>
      </c>
    </row>
    <row r="64" spans="1:16" x14ac:dyDescent="0.4">
      <c r="A64" s="33">
        <v>61</v>
      </c>
      <c r="B64" s="30">
        <v>326.19999999999993</v>
      </c>
      <c r="C64" s="30">
        <v>5.3475409836065566</v>
      </c>
      <c r="D64" s="35">
        <v>1.8360655737704918</v>
      </c>
      <c r="E64" s="31">
        <v>0.39344262295081966</v>
      </c>
      <c r="F64" s="31">
        <v>0.22950819672131148</v>
      </c>
      <c r="G64" s="31">
        <v>0.34476190476190477</v>
      </c>
      <c r="H64" s="31">
        <v>0.1180952380952381</v>
      </c>
      <c r="I64" s="32">
        <v>7228.1767955801106</v>
      </c>
      <c r="J64" s="32">
        <v>-7916.1290322580644</v>
      </c>
      <c r="K64" s="31">
        <v>6.5573770491803282E-2</v>
      </c>
      <c r="L64" s="31">
        <v>0.20952380952380953</v>
      </c>
      <c r="M64" s="31">
        <v>0.27238095238095239</v>
      </c>
      <c r="N64" s="31">
        <v>0.5636363636363636</v>
      </c>
      <c r="O64" s="31">
        <v>0.44755244755244755</v>
      </c>
      <c r="P64" s="31">
        <v>0.39779005524861877</v>
      </c>
    </row>
    <row r="65" spans="1:16" x14ac:dyDescent="0.4">
      <c r="A65" s="33">
        <v>62</v>
      </c>
      <c r="B65" s="30">
        <v>401.89999999999992</v>
      </c>
      <c r="C65" s="30">
        <v>6.4822580645161274</v>
      </c>
      <c r="D65" s="35">
        <v>1.8225806451612903</v>
      </c>
      <c r="E65" s="31">
        <v>0.40322580645161288</v>
      </c>
      <c r="F65" s="31">
        <v>0.22580645161290322</v>
      </c>
      <c r="G65" s="31">
        <v>0.34774436090225563</v>
      </c>
      <c r="H65" s="31">
        <v>0.11654135338345864</v>
      </c>
      <c r="I65" s="32">
        <v>7372.9729729729734</v>
      </c>
      <c r="J65" s="32">
        <v>-7916.1290322580644</v>
      </c>
      <c r="K65" s="31">
        <v>6.4516129032258063E-2</v>
      </c>
      <c r="L65" s="31">
        <v>0.21052631578947367</v>
      </c>
      <c r="M65" s="31">
        <v>0.27255639097744361</v>
      </c>
      <c r="N65" s="31">
        <v>0.5625</v>
      </c>
      <c r="O65" s="31">
        <v>0.44827586206896552</v>
      </c>
      <c r="P65" s="31">
        <v>0.38918918918918921</v>
      </c>
    </row>
    <row r="66" spans="1:16" x14ac:dyDescent="0.4">
      <c r="A66" s="33">
        <v>63</v>
      </c>
      <c r="B66" s="30">
        <v>431.39999999999992</v>
      </c>
      <c r="C66" s="30">
        <v>6.8476190476190464</v>
      </c>
      <c r="D66" s="35">
        <v>1.8095238095238095</v>
      </c>
      <c r="E66" s="31">
        <v>0.41269841269841268</v>
      </c>
      <c r="F66" s="31">
        <v>0.22222222222222221</v>
      </c>
      <c r="G66" s="31">
        <v>0.34944237918215615</v>
      </c>
      <c r="H66" s="31">
        <v>0.11895910780669144</v>
      </c>
      <c r="I66" s="32">
        <v>7432.4468085106382</v>
      </c>
      <c r="J66" s="32">
        <v>-7814.0625</v>
      </c>
      <c r="K66" s="31">
        <v>6.3492063492063489E-2</v>
      </c>
      <c r="L66" s="31">
        <v>0.21189591078066913</v>
      </c>
      <c r="M66" s="31">
        <v>0.27137546468401486</v>
      </c>
      <c r="N66" s="31">
        <v>0.56140350877192979</v>
      </c>
      <c r="O66" s="31">
        <v>0.4452054794520548</v>
      </c>
      <c r="P66" s="31">
        <v>0.39361702127659576</v>
      </c>
    </row>
    <row r="67" spans="1:16" x14ac:dyDescent="0.4">
      <c r="A67" s="33">
        <v>64</v>
      </c>
      <c r="B67" s="30">
        <v>414.99999999999994</v>
      </c>
      <c r="C67" s="30">
        <v>6.4843749999999991</v>
      </c>
      <c r="D67" s="35">
        <v>1.828125</v>
      </c>
      <c r="E67" s="31">
        <v>0.40625</v>
      </c>
      <c r="F67" s="31">
        <v>0.234375</v>
      </c>
      <c r="G67" s="31">
        <v>0.34615384615384615</v>
      </c>
      <c r="H67" s="31">
        <v>0.12087912087912088</v>
      </c>
      <c r="I67" s="32">
        <v>7403.7037037037035</v>
      </c>
      <c r="J67" s="32">
        <v>-7636.363636363636</v>
      </c>
      <c r="K67" s="31">
        <v>6.25E-2</v>
      </c>
      <c r="L67" s="31">
        <v>0.21428571428571427</v>
      </c>
      <c r="M67" s="31">
        <v>0.27472527472527475</v>
      </c>
      <c r="N67" s="31">
        <v>0.54700854700854706</v>
      </c>
      <c r="O67" s="31">
        <v>0.44</v>
      </c>
      <c r="P67" s="31">
        <v>0.39153439153439151</v>
      </c>
    </row>
    <row r="68" spans="1:16" x14ac:dyDescent="0.4">
      <c r="A68" s="33">
        <v>65</v>
      </c>
      <c r="B68" s="30">
        <v>411.49999999999994</v>
      </c>
      <c r="C68" s="30">
        <v>6.3307692307692296</v>
      </c>
      <c r="D68" s="35">
        <v>1.8307692307692307</v>
      </c>
      <c r="E68" s="31">
        <v>0.4</v>
      </c>
      <c r="F68" s="31">
        <v>0.23076923076923078</v>
      </c>
      <c r="G68" s="31">
        <v>0.34719710669077758</v>
      </c>
      <c r="H68" s="31">
        <v>0.12115732368896925</v>
      </c>
      <c r="I68" s="32">
        <v>7370.833333333333</v>
      </c>
      <c r="J68" s="32">
        <v>-7565.6716417910447</v>
      </c>
      <c r="K68" s="31">
        <v>6.1538461538461542E-2</v>
      </c>
      <c r="L68" s="31">
        <v>0.21518987341772153</v>
      </c>
      <c r="M68" s="31">
        <v>0.27305605786618448</v>
      </c>
      <c r="N68" s="31">
        <v>0.54621848739495793</v>
      </c>
      <c r="O68" s="31">
        <v>0.4370860927152318</v>
      </c>
      <c r="P68" s="31">
        <v>0.390625</v>
      </c>
    </row>
    <row r="69" spans="1:16" x14ac:dyDescent="0.4">
      <c r="A69" s="33">
        <v>66</v>
      </c>
      <c r="B69" s="30">
        <v>444.59999999999997</v>
      </c>
      <c r="C69" s="30">
        <v>6.7363636363636354</v>
      </c>
      <c r="D69" s="35">
        <v>1.8181818181818181</v>
      </c>
      <c r="E69" s="31">
        <v>0.40909090909090912</v>
      </c>
      <c r="F69" s="31">
        <v>0.22727272727272727</v>
      </c>
      <c r="G69" s="31">
        <v>0.34759358288770054</v>
      </c>
      <c r="H69" s="31">
        <v>0.12121212121212122</v>
      </c>
      <c r="I69" s="32">
        <v>7493.333333333333</v>
      </c>
      <c r="J69" s="32">
        <v>-7492.6470588235297</v>
      </c>
      <c r="K69" s="31">
        <v>6.0606060606060608E-2</v>
      </c>
      <c r="L69" s="31">
        <v>0.21925133689839571</v>
      </c>
      <c r="M69" s="31">
        <v>0.27094474153297682</v>
      </c>
      <c r="N69" s="31">
        <v>0.55284552845528456</v>
      </c>
      <c r="O69" s="31">
        <v>0.43421052631578949</v>
      </c>
      <c r="P69" s="31">
        <v>0.39487179487179486</v>
      </c>
    </row>
    <row r="70" spans="1:16" x14ac:dyDescent="0.4">
      <c r="A70" s="33">
        <v>67</v>
      </c>
      <c r="B70" s="30">
        <v>437.4</v>
      </c>
      <c r="C70" s="30">
        <v>6.5283582089552237</v>
      </c>
      <c r="D70" s="35">
        <v>1.8208955223880596</v>
      </c>
      <c r="E70" s="31">
        <v>0.40298507462686567</v>
      </c>
      <c r="F70" s="31">
        <v>0.22388059701492538</v>
      </c>
      <c r="G70" s="31">
        <v>0.34622144112478032</v>
      </c>
      <c r="H70" s="31">
        <v>0.1195079086115993</v>
      </c>
      <c r="I70" s="32">
        <v>7488.8324873096444</v>
      </c>
      <c r="J70" s="32">
        <v>-7492.6470588235297</v>
      </c>
      <c r="K70" s="31">
        <v>5.9701492537313432E-2</v>
      </c>
      <c r="L70" s="31">
        <v>0.21616871704745166</v>
      </c>
      <c r="M70" s="31">
        <v>0.27592267135325133</v>
      </c>
      <c r="N70" s="31">
        <v>0.55284552845528456</v>
      </c>
      <c r="O70" s="31">
        <v>0.43312101910828027</v>
      </c>
      <c r="P70" s="31">
        <v>0.39593908629441626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  <row r="54" spans="1:16" x14ac:dyDescent="0.4">
      <c r="A54" s="33">
        <v>51</v>
      </c>
      <c r="B54" s="30">
        <v>178.2</v>
      </c>
      <c r="C54" s="30">
        <v>3.4941176470588231</v>
      </c>
      <c r="D54" s="35">
        <v>1.9215686274509804</v>
      </c>
      <c r="E54" s="31">
        <v>0.37254901960784315</v>
      </c>
      <c r="F54" s="31">
        <v>0.29411764705882354</v>
      </c>
      <c r="G54" s="31">
        <v>0.30697674418604654</v>
      </c>
      <c r="H54" s="31">
        <v>0.1372093023255814</v>
      </c>
      <c r="I54" s="32">
        <v>7929.545454545455</v>
      </c>
      <c r="J54" s="32">
        <v>-6961.0169491525421</v>
      </c>
      <c r="K54" s="31">
        <v>3.9215686274509803E-2</v>
      </c>
      <c r="L54" s="31">
        <v>0.22790697674418606</v>
      </c>
      <c r="M54" s="31">
        <v>0.2255813953488372</v>
      </c>
      <c r="N54" s="31">
        <v>0.59183673469387754</v>
      </c>
      <c r="O54" s="31">
        <v>0.45360824742268041</v>
      </c>
      <c r="P54" s="31">
        <v>0.40151515151515149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  <row r="52" spans="1:16" x14ac:dyDescent="0.4">
      <c r="A52" s="33">
        <v>49</v>
      </c>
      <c r="B52" s="30">
        <v>-70</v>
      </c>
      <c r="C52" s="30">
        <v>-1.4285714285714286</v>
      </c>
      <c r="D52" s="35">
        <v>2.0408163265306123</v>
      </c>
      <c r="E52" s="31">
        <v>0.36734693877551022</v>
      </c>
      <c r="F52" s="31">
        <v>0.40816326530612246</v>
      </c>
      <c r="G52" s="31">
        <v>0.30023094688221708</v>
      </c>
      <c r="H52" s="31">
        <v>0.16166281755196305</v>
      </c>
      <c r="I52" s="32">
        <v>7521.5384615384619</v>
      </c>
      <c r="J52" s="32">
        <v>-8724.2857142857138</v>
      </c>
      <c r="K52" s="31">
        <v>8.1632653061224483E-2</v>
      </c>
      <c r="L52" s="31">
        <v>0.25866050808314089</v>
      </c>
      <c r="M52" s="31">
        <v>0.29561200923787528</v>
      </c>
      <c r="N52" s="31">
        <v>0.45535714285714285</v>
      </c>
      <c r="O52" s="31">
        <v>0.40625</v>
      </c>
      <c r="P52" s="31">
        <v>0.46923076923076923</v>
      </c>
    </row>
    <row r="53" spans="1:16" x14ac:dyDescent="0.4">
      <c r="A53" s="33">
        <v>50</v>
      </c>
      <c r="B53" s="30">
        <v>-73.8</v>
      </c>
      <c r="C53" s="30">
        <v>-1.476</v>
      </c>
      <c r="D53" s="35">
        <v>2.04</v>
      </c>
      <c r="E53" s="31">
        <v>0.36</v>
      </c>
      <c r="F53" s="31">
        <v>0.4</v>
      </c>
      <c r="G53" s="31">
        <v>0.29864253393665158</v>
      </c>
      <c r="H53" s="31">
        <v>0.15837104072398189</v>
      </c>
      <c r="I53" s="32">
        <v>7526.515151515152</v>
      </c>
      <c r="J53" s="32">
        <v>-8724.2857142857138</v>
      </c>
      <c r="K53" s="31">
        <v>0.08</v>
      </c>
      <c r="L53" s="31">
        <v>0.25339366515837103</v>
      </c>
      <c r="M53" s="31">
        <v>0.29411764705882354</v>
      </c>
      <c r="N53" s="31">
        <v>0.45535714285714285</v>
      </c>
      <c r="O53" s="31">
        <v>0.40769230769230769</v>
      </c>
      <c r="P53" s="31">
        <v>0.47727272727272729</v>
      </c>
    </row>
    <row r="54" spans="1:16" x14ac:dyDescent="0.4">
      <c r="A54" s="33">
        <v>51</v>
      </c>
      <c r="B54" s="30">
        <v>-62.099999999999994</v>
      </c>
      <c r="C54" s="30">
        <v>-1.2176470588235293</v>
      </c>
      <c r="D54" s="35">
        <v>2.0392156862745097</v>
      </c>
      <c r="E54" s="31">
        <v>0.35294117647058826</v>
      </c>
      <c r="F54" s="31">
        <v>0.39215686274509803</v>
      </c>
      <c r="G54" s="31">
        <v>0.29933481152993346</v>
      </c>
      <c r="H54" s="31">
        <v>0.15964523281596452</v>
      </c>
      <c r="I54" s="32">
        <v>7534.8148148148148</v>
      </c>
      <c r="J54" s="32">
        <v>-8606.9444444444453</v>
      </c>
      <c r="K54" s="31">
        <v>7.8431372549019607E-2</v>
      </c>
      <c r="L54" s="31">
        <v>0.25498891352549891</v>
      </c>
      <c r="M54" s="31">
        <v>0.29268292682926828</v>
      </c>
      <c r="N54" s="31">
        <v>0.46086956521739131</v>
      </c>
      <c r="O54" s="31">
        <v>0.40909090909090912</v>
      </c>
      <c r="P54" s="31">
        <v>0.47407407407407409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9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  <row r="87" spans="1:16" x14ac:dyDescent="0.4">
      <c r="A87" s="33">
        <v>84</v>
      </c>
      <c r="B87" s="30">
        <v>-180</v>
      </c>
      <c r="C87" s="30">
        <v>-2.1428571428571428</v>
      </c>
      <c r="D87" s="35">
        <v>2.0238095238095237</v>
      </c>
      <c r="E87" s="31">
        <v>0.30952380952380953</v>
      </c>
      <c r="F87" s="31">
        <v>0.33333333333333331</v>
      </c>
      <c r="G87" s="31">
        <v>0.26266666666666666</v>
      </c>
      <c r="H87" s="31">
        <v>0.20266666666666666</v>
      </c>
      <c r="I87" s="32">
        <v>9402.5380710659902</v>
      </c>
      <c r="J87" s="32">
        <v>-7679.605263157895</v>
      </c>
      <c r="K87" s="31">
        <v>0.13095238095238096</v>
      </c>
      <c r="L87" s="31">
        <v>0.28133333333333332</v>
      </c>
      <c r="M87" s="31">
        <v>0.22533333333333333</v>
      </c>
      <c r="N87" s="31">
        <v>0.47867298578199052</v>
      </c>
      <c r="O87" s="31">
        <v>0.33727810650887574</v>
      </c>
      <c r="P87" s="31">
        <v>0.45177664974619292</v>
      </c>
    </row>
    <row r="88" spans="1:16" x14ac:dyDescent="0.4">
      <c r="A88" s="33">
        <v>85</v>
      </c>
      <c r="B88" s="30">
        <v>-151.6</v>
      </c>
      <c r="C88" s="30">
        <v>-1.7835294117647058</v>
      </c>
      <c r="D88" s="35">
        <v>2.0117647058823529</v>
      </c>
      <c r="E88" s="31">
        <v>0.31764705882352939</v>
      </c>
      <c r="F88" s="31">
        <v>0.32941176470588235</v>
      </c>
      <c r="G88" s="31">
        <v>0.2648221343873518</v>
      </c>
      <c r="H88" s="31">
        <v>0.20026350461133069</v>
      </c>
      <c r="I88" s="32">
        <v>9400.4975124378107</v>
      </c>
      <c r="J88" s="32">
        <v>-7679.605263157895</v>
      </c>
      <c r="K88" s="31">
        <v>0.12941176470588237</v>
      </c>
      <c r="L88" s="31">
        <v>0.28326745718050067</v>
      </c>
      <c r="M88" s="31">
        <v>0.22529644268774704</v>
      </c>
      <c r="N88" s="31">
        <v>0.48372093023255813</v>
      </c>
      <c r="O88" s="31">
        <v>0.33918128654970758</v>
      </c>
      <c r="P88" s="31">
        <v>0.45273631840796019</v>
      </c>
    </row>
    <row r="89" spans="1:16" x14ac:dyDescent="0.4">
      <c r="A89" s="33">
        <v>86</v>
      </c>
      <c r="B89" s="30">
        <v>-194.6</v>
      </c>
      <c r="C89" s="30">
        <v>-2.2627906976744185</v>
      </c>
      <c r="D89" s="35">
        <v>2.0232558139534884</v>
      </c>
      <c r="E89" s="31">
        <v>0.31395348837209303</v>
      </c>
      <c r="F89" s="31">
        <v>0.33720930232558138</v>
      </c>
      <c r="G89" s="31">
        <v>0.26171875</v>
      </c>
      <c r="H89" s="31">
        <v>0.203125</v>
      </c>
      <c r="I89" s="32">
        <v>9400.4975124378107</v>
      </c>
      <c r="J89" s="32">
        <v>-7614.1025641025644</v>
      </c>
      <c r="K89" s="31">
        <v>0.12790697674418605</v>
      </c>
      <c r="L89" s="31">
        <v>0.28255208333333331</v>
      </c>
      <c r="M89" s="31">
        <v>0.22395833333333334</v>
      </c>
      <c r="N89" s="31">
        <v>0.47926267281105989</v>
      </c>
      <c r="O89" s="31">
        <v>0.33720930232558138</v>
      </c>
      <c r="P89" s="31">
        <v>0.45273631840796019</v>
      </c>
    </row>
    <row r="90" spans="1:16" x14ac:dyDescent="0.4">
      <c r="A90" s="33">
        <v>87</v>
      </c>
      <c r="B90" s="30">
        <v>-170.2</v>
      </c>
      <c r="C90" s="30">
        <v>-1.9563218390804595</v>
      </c>
      <c r="D90" s="35">
        <v>2.0114942528735633</v>
      </c>
      <c r="E90" s="31">
        <v>0.32183908045977011</v>
      </c>
      <c r="F90" s="31">
        <v>0.33333333333333331</v>
      </c>
      <c r="G90" s="31">
        <v>0.26322580645161292</v>
      </c>
      <c r="H90" s="31">
        <v>0.20258064516129032</v>
      </c>
      <c r="I90" s="32">
        <v>9413.7254901960787</v>
      </c>
      <c r="J90" s="32">
        <v>-7616.5605095541405</v>
      </c>
      <c r="K90" s="31">
        <v>0.12643678160919541</v>
      </c>
      <c r="L90" s="31">
        <v>0.28387096774193549</v>
      </c>
      <c r="M90" s="31">
        <v>0.22451612903225807</v>
      </c>
      <c r="N90" s="31">
        <v>0.48181818181818181</v>
      </c>
      <c r="O90" s="31">
        <v>0.33908045977011492</v>
      </c>
      <c r="P90" s="31">
        <v>0.45098039215686275</v>
      </c>
    </row>
    <row r="91" spans="1:16" x14ac:dyDescent="0.4">
      <c r="A91" s="33">
        <v>88</v>
      </c>
      <c r="B91" s="30">
        <v>-204.79999999999998</v>
      </c>
      <c r="C91" s="30">
        <v>-2.3272727272727272</v>
      </c>
      <c r="D91" s="35">
        <v>2.0227272727272729</v>
      </c>
      <c r="E91" s="31">
        <v>0.31818181818181818</v>
      </c>
      <c r="F91" s="31">
        <v>0.34090909090909088</v>
      </c>
      <c r="G91" s="31">
        <v>0.26181353767560667</v>
      </c>
      <c r="H91" s="31">
        <v>0.20306513409961685</v>
      </c>
      <c r="I91" s="32">
        <v>9426.3414634146338</v>
      </c>
      <c r="J91" s="32">
        <v>-7670.4402515723268</v>
      </c>
      <c r="K91" s="31">
        <v>0.125</v>
      </c>
      <c r="L91" s="31">
        <v>0.28352490421455939</v>
      </c>
      <c r="M91" s="31">
        <v>0.22349936143039592</v>
      </c>
      <c r="N91" s="31">
        <v>0.481981981981982</v>
      </c>
      <c r="O91" s="31">
        <v>0.33714285714285713</v>
      </c>
      <c r="P91" s="31">
        <v>0.45365853658536587</v>
      </c>
    </row>
    <row r="92" spans="1:16" x14ac:dyDescent="0.4">
      <c r="A92" s="33">
        <v>89</v>
      </c>
      <c r="B92" s="30">
        <v>-244.29999999999998</v>
      </c>
      <c r="C92" s="30">
        <v>-2.7449438202247189</v>
      </c>
      <c r="D92" s="35">
        <v>2.0337078651685392</v>
      </c>
      <c r="E92" s="31">
        <v>0.3146067415730337</v>
      </c>
      <c r="F92" s="31">
        <v>0.34831460674157305</v>
      </c>
      <c r="G92" s="31">
        <v>0.26042983565107458</v>
      </c>
      <c r="H92" s="31">
        <v>0.20353982300884957</v>
      </c>
      <c r="I92" s="32">
        <v>9417.961165048544</v>
      </c>
      <c r="J92" s="32">
        <v>-7673.913043478261</v>
      </c>
      <c r="K92" s="31">
        <v>0.12359550561797752</v>
      </c>
      <c r="L92" s="31">
        <v>0.28445006321112515</v>
      </c>
      <c r="M92" s="31">
        <v>0.22250316055625791</v>
      </c>
      <c r="N92" s="31">
        <v>0.48</v>
      </c>
      <c r="O92" s="31">
        <v>0.33522727272727271</v>
      </c>
      <c r="P92" s="31">
        <v>0.4563106796116505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  <row r="130" spans="1:16" x14ac:dyDescent="0.4">
      <c r="A130" s="33">
        <v>127</v>
      </c>
      <c r="B130" s="30">
        <v>148.2999999999999</v>
      </c>
      <c r="C130" s="30">
        <v>1.1677165354330701</v>
      </c>
      <c r="D130" s="35">
        <v>2.015748031496063</v>
      </c>
      <c r="E130" s="31">
        <v>0.34645669291338582</v>
      </c>
      <c r="F130" s="31">
        <v>0.36220472440944884</v>
      </c>
      <c r="G130" s="31">
        <v>0.3168685927306617</v>
      </c>
      <c r="H130" s="31">
        <v>0.17241379310344829</v>
      </c>
      <c r="I130" s="32">
        <v>8165</v>
      </c>
      <c r="J130" s="32">
        <v>-7541.0810810810808</v>
      </c>
      <c r="K130" s="31">
        <v>8.6614173228346455E-2</v>
      </c>
      <c r="L130" s="31">
        <v>0.24790307548928239</v>
      </c>
      <c r="M130" s="31">
        <v>0.20037278657968313</v>
      </c>
      <c r="N130" s="31">
        <v>0.56390977443609025</v>
      </c>
      <c r="O130" s="31">
        <v>0.4697674418604651</v>
      </c>
      <c r="P130" s="31">
        <v>0.45294117647058824</v>
      </c>
    </row>
    <row r="131" spans="1:16" x14ac:dyDescent="0.4">
      <c r="A131" s="33">
        <v>128</v>
      </c>
      <c r="B131" s="30">
        <v>126.39999999999989</v>
      </c>
      <c r="C131" s="30">
        <v>0.98749999999999916</v>
      </c>
      <c r="D131" s="35">
        <v>2.0234375</v>
      </c>
      <c r="E131" s="31">
        <v>0.34375</v>
      </c>
      <c r="F131" s="31">
        <v>0.3671875</v>
      </c>
      <c r="G131" s="31">
        <v>0.31637372802960223</v>
      </c>
      <c r="H131" s="31">
        <v>0.17206290471785385</v>
      </c>
      <c r="I131" s="32">
        <v>8152.3391812865493</v>
      </c>
      <c r="J131" s="32">
        <v>-7521.5053763440865</v>
      </c>
      <c r="K131" s="31">
        <v>8.59375E-2</v>
      </c>
      <c r="L131" s="31">
        <v>0.24884366327474561</v>
      </c>
      <c r="M131" s="31">
        <v>0.20074005550416282</v>
      </c>
      <c r="N131" s="31">
        <v>0.55762081784386619</v>
      </c>
      <c r="O131" s="31">
        <v>0.47465437788018433</v>
      </c>
      <c r="P131" s="31">
        <v>0.45614035087719296</v>
      </c>
    </row>
    <row r="132" spans="1:16" x14ac:dyDescent="0.4">
      <c r="A132" s="33">
        <v>129</v>
      </c>
      <c r="B132" s="30">
        <v>114.99999999999989</v>
      </c>
      <c r="C132" s="30">
        <v>0.8914728682170534</v>
      </c>
      <c r="D132" s="35">
        <v>2.0232558139534884</v>
      </c>
      <c r="E132" s="31">
        <v>0.34108527131782945</v>
      </c>
      <c r="F132" s="31">
        <v>0.36434108527131781</v>
      </c>
      <c r="G132" s="31">
        <v>0.31433823529411764</v>
      </c>
      <c r="H132" s="31">
        <v>0.171875</v>
      </c>
      <c r="I132" s="32">
        <v>8152.3391812865493</v>
      </c>
      <c r="J132" s="32">
        <v>-7502.139037433155</v>
      </c>
      <c r="K132" s="31">
        <v>8.5271317829457363E-2</v>
      </c>
      <c r="L132" s="31">
        <v>0.24724264705882354</v>
      </c>
      <c r="M132" s="31">
        <v>0.19944852941176472</v>
      </c>
      <c r="N132" s="31">
        <v>0.55762081784386619</v>
      </c>
      <c r="O132" s="31">
        <v>0.47465437788018433</v>
      </c>
      <c r="P132" s="31">
        <v>0.45614035087719296</v>
      </c>
    </row>
    <row r="133" spans="1:16" x14ac:dyDescent="0.4">
      <c r="A133" s="33">
        <v>130</v>
      </c>
      <c r="B133" s="30">
        <v>142.89999999999989</v>
      </c>
      <c r="C133" s="30">
        <v>1.0992307692307683</v>
      </c>
      <c r="D133" s="35">
        <v>2.0153846153846153</v>
      </c>
      <c r="E133" s="31">
        <v>0.34615384615384615</v>
      </c>
      <c r="F133" s="31">
        <v>0.36153846153846153</v>
      </c>
      <c r="G133" s="31">
        <v>0.31295620437956206</v>
      </c>
      <c r="H133" s="31">
        <v>0.17244525547445255</v>
      </c>
      <c r="I133" s="32">
        <v>8221.8658892128278</v>
      </c>
      <c r="J133" s="32">
        <v>-7455.0264550264546</v>
      </c>
      <c r="K133" s="31">
        <v>8.461538461538462E-2</v>
      </c>
      <c r="L133" s="31">
        <v>0.24543795620437955</v>
      </c>
      <c r="M133" s="31">
        <v>0.19981751824817517</v>
      </c>
      <c r="N133" s="31">
        <v>0.55762081784386619</v>
      </c>
      <c r="O133" s="31">
        <v>0.47031963470319632</v>
      </c>
      <c r="P133" s="31">
        <v>0.45481049562682213</v>
      </c>
    </row>
    <row r="134" spans="1:16" x14ac:dyDescent="0.4">
      <c r="A134" s="33">
        <v>131</v>
      </c>
      <c r="B134" s="30">
        <v>119.69999999999989</v>
      </c>
      <c r="C134" s="30">
        <v>0.91374045801526638</v>
      </c>
      <c r="D134" s="35">
        <v>2.0229007633587788</v>
      </c>
      <c r="E134" s="31">
        <v>0.34351145038167941</v>
      </c>
      <c r="F134" s="31">
        <v>0.36641221374045801</v>
      </c>
      <c r="G134" s="31">
        <v>0.31283905967450271</v>
      </c>
      <c r="H134" s="31">
        <v>0.17088607594936708</v>
      </c>
      <c r="I134" s="32">
        <v>8206.6473988439302</v>
      </c>
      <c r="J134" s="32">
        <v>-7455.0264550264546</v>
      </c>
      <c r="K134" s="31">
        <v>8.3969465648854963E-2</v>
      </c>
      <c r="L134" s="31">
        <v>0.24593128390596744</v>
      </c>
      <c r="M134" s="31">
        <v>0.19981916817359854</v>
      </c>
      <c r="N134" s="31">
        <v>0.55514705882352944</v>
      </c>
      <c r="O134" s="31">
        <v>0.47058823529411764</v>
      </c>
      <c r="P134" s="31">
        <v>0.45953757225433528</v>
      </c>
    </row>
    <row r="135" spans="1:16" x14ac:dyDescent="0.4">
      <c r="A135" s="33">
        <v>132</v>
      </c>
      <c r="B135" s="30">
        <v>155.09999999999988</v>
      </c>
      <c r="C135" s="30">
        <v>1.1749999999999992</v>
      </c>
      <c r="D135" s="35">
        <v>2.0151515151515151</v>
      </c>
      <c r="E135" s="31">
        <v>0.34848484848484851</v>
      </c>
      <c r="F135" s="31">
        <v>0.36363636363636365</v>
      </c>
      <c r="G135" s="31">
        <v>0.3147982062780269</v>
      </c>
      <c r="H135" s="31">
        <v>0.17219730941704037</v>
      </c>
      <c r="I135" s="32">
        <v>8239.3162393162402</v>
      </c>
      <c r="J135" s="32">
        <v>-7440.625</v>
      </c>
      <c r="K135" s="31">
        <v>8.3333333333333329E-2</v>
      </c>
      <c r="L135" s="31">
        <v>0.24932735426008967</v>
      </c>
      <c r="M135" s="31">
        <v>0.19820627802690582</v>
      </c>
      <c r="N135" s="31">
        <v>0.5611510791366906</v>
      </c>
      <c r="O135" s="31">
        <v>0.47058823529411764</v>
      </c>
      <c r="P135" s="31">
        <v>0.46153846153846156</v>
      </c>
    </row>
    <row r="136" spans="1:16" x14ac:dyDescent="0.4">
      <c r="A136" s="33">
        <v>133</v>
      </c>
      <c r="B136" s="30">
        <v>146.19999999999987</v>
      </c>
      <c r="C136" s="30">
        <v>1.0992481203007509</v>
      </c>
      <c r="D136" s="35">
        <v>2.0150375939849625</v>
      </c>
      <c r="E136" s="31">
        <v>0.34586466165413532</v>
      </c>
      <c r="F136" s="31">
        <v>0.36090225563909772</v>
      </c>
      <c r="G136" s="31">
        <v>0.3146167557932264</v>
      </c>
      <c r="H136" s="31">
        <v>0.17290552584670232</v>
      </c>
      <c r="I136" s="32">
        <v>8243.0594900849865</v>
      </c>
      <c r="J136" s="32">
        <v>-7496.3917525773195</v>
      </c>
      <c r="K136" s="31">
        <v>8.2706766917293228E-2</v>
      </c>
      <c r="L136" s="31">
        <v>0.24866310160427807</v>
      </c>
      <c r="M136" s="31">
        <v>0.19875222816399288</v>
      </c>
      <c r="N136" s="31">
        <v>0.55913978494623651</v>
      </c>
      <c r="O136" s="31">
        <v>0.47533632286995514</v>
      </c>
      <c r="P136" s="31">
        <v>0.45892351274787535</v>
      </c>
    </row>
    <row r="137" spans="1:16" x14ac:dyDescent="0.4">
      <c r="A137" s="33">
        <v>134</v>
      </c>
      <c r="B137" s="30">
        <v>107.19999999999987</v>
      </c>
      <c r="C137" s="30">
        <v>0.79999999999999905</v>
      </c>
      <c r="D137" s="35">
        <v>2.0223880597014925</v>
      </c>
      <c r="E137" s="31">
        <v>0.34328358208955223</v>
      </c>
      <c r="F137" s="31">
        <v>0.36567164179104478</v>
      </c>
      <c r="G137" s="31">
        <v>0.31382978723404253</v>
      </c>
      <c r="H137" s="31">
        <v>0.17287234042553193</v>
      </c>
      <c r="I137" s="32">
        <v>8223.4463276836159</v>
      </c>
      <c r="J137" s="32">
        <v>-7540</v>
      </c>
      <c r="K137" s="31">
        <v>8.2089552238805971E-2</v>
      </c>
      <c r="L137" s="31">
        <v>0.24822695035460993</v>
      </c>
      <c r="M137" s="31">
        <v>0.20035460992907803</v>
      </c>
      <c r="N137" s="31">
        <v>0.56071428571428572</v>
      </c>
      <c r="O137" s="31">
        <v>0.46902654867256638</v>
      </c>
      <c r="P137" s="31">
        <v>0.4576271186440678</v>
      </c>
    </row>
    <row r="138" spans="1:16" x14ac:dyDescent="0.4">
      <c r="A138" s="33">
        <v>135</v>
      </c>
      <c r="B138" s="30">
        <v>104.09999999999988</v>
      </c>
      <c r="C138" s="30">
        <v>0.77111111111111019</v>
      </c>
      <c r="D138" s="35">
        <v>2.0222222222222221</v>
      </c>
      <c r="E138" s="31">
        <v>0.34074074074074073</v>
      </c>
      <c r="F138" s="31">
        <v>0.36296296296296299</v>
      </c>
      <c r="G138" s="31">
        <v>0.31338028169014087</v>
      </c>
      <c r="H138" s="31">
        <v>0.17341549295774647</v>
      </c>
      <c r="I138" s="32">
        <v>8188.2022471910113</v>
      </c>
      <c r="J138" s="32">
        <v>-7534.5177664974617</v>
      </c>
      <c r="K138" s="31">
        <v>8.1481481481481488E-2</v>
      </c>
      <c r="L138" s="31">
        <v>0.24911971830985916</v>
      </c>
      <c r="M138" s="31">
        <v>0.20070422535211269</v>
      </c>
      <c r="N138" s="31">
        <v>0.55830388692579502</v>
      </c>
      <c r="O138" s="31">
        <v>0.46491228070175439</v>
      </c>
      <c r="P138" s="31">
        <v>0.4550561797752809</v>
      </c>
    </row>
    <row r="139" spans="1:16" x14ac:dyDescent="0.4">
      <c r="A139" s="33">
        <v>136</v>
      </c>
      <c r="B139" s="30">
        <v>168.69999999999987</v>
      </c>
      <c r="C139" s="30">
        <v>1.2404411764705874</v>
      </c>
      <c r="D139" s="35">
        <v>2.0147058823529411</v>
      </c>
      <c r="E139" s="31">
        <v>0.34558823529411764</v>
      </c>
      <c r="F139" s="31">
        <v>0.36029411764705882</v>
      </c>
      <c r="G139" s="31">
        <v>0.31615720524017465</v>
      </c>
      <c r="H139" s="31">
        <v>0.1720524017467249</v>
      </c>
      <c r="I139" s="32">
        <v>8225.4143646408847</v>
      </c>
      <c r="J139" s="32">
        <v>-7534.5177664974617</v>
      </c>
      <c r="K139" s="31">
        <v>8.0882352941176475E-2</v>
      </c>
      <c r="L139" s="31">
        <v>0.2497816593886463</v>
      </c>
      <c r="M139" s="31">
        <v>0.19912663755458515</v>
      </c>
      <c r="N139" s="31">
        <v>0.55944055944055948</v>
      </c>
      <c r="O139" s="31">
        <v>0.46491228070175439</v>
      </c>
      <c r="P139" s="31">
        <v>0.45027624309392267</v>
      </c>
    </row>
    <row r="140" spans="1:16" x14ac:dyDescent="0.4">
      <c r="A140" s="33">
        <v>137</v>
      </c>
      <c r="B140" s="30">
        <v>199.99999999999989</v>
      </c>
      <c r="C140" s="30">
        <v>1.4598540145985393</v>
      </c>
      <c r="D140" s="35">
        <v>2.0072992700729926</v>
      </c>
      <c r="E140" s="31">
        <v>0.35036496350364965</v>
      </c>
      <c r="F140" s="31">
        <v>0.35766423357664234</v>
      </c>
      <c r="G140" s="31">
        <v>0.3188908145580589</v>
      </c>
      <c r="H140" s="31">
        <v>0.17157712305025996</v>
      </c>
      <c r="I140" s="32">
        <v>8160.597826086957</v>
      </c>
      <c r="J140" s="32">
        <v>-7535.3535353535353</v>
      </c>
      <c r="K140" s="31">
        <v>8.0291970802919707E-2</v>
      </c>
      <c r="L140" s="31">
        <v>0.24870017331022531</v>
      </c>
      <c r="M140" s="31">
        <v>0.19844020797227035</v>
      </c>
      <c r="N140" s="31">
        <v>0.56097560975609762</v>
      </c>
      <c r="O140" s="31">
        <v>0.46724890829694321</v>
      </c>
      <c r="P140" s="31">
        <v>0.44565217391304346</v>
      </c>
    </row>
    <row r="141" spans="1:16" x14ac:dyDescent="0.4">
      <c r="A141" s="33">
        <v>138</v>
      </c>
      <c r="B141" s="30">
        <v>240.2999999999999</v>
      </c>
      <c r="C141" s="30">
        <v>1.7413043478260861</v>
      </c>
      <c r="D141" s="35">
        <v>2</v>
      </c>
      <c r="E141" s="31">
        <v>0.35507246376811596</v>
      </c>
      <c r="F141" s="31">
        <v>0.35507246376811596</v>
      </c>
      <c r="G141" s="31">
        <v>0.32072226999140152</v>
      </c>
      <c r="H141" s="31">
        <v>0.17110920034393809</v>
      </c>
      <c r="I141" s="32">
        <v>8178.8203753351208</v>
      </c>
      <c r="J141" s="32">
        <v>-7557.7889447236184</v>
      </c>
      <c r="K141" s="31">
        <v>7.9710144927536225E-2</v>
      </c>
      <c r="L141" s="31">
        <v>0.24849527085124679</v>
      </c>
      <c r="M141" s="31">
        <v>0.19948409286328461</v>
      </c>
      <c r="N141" s="31">
        <v>0.56055363321799312</v>
      </c>
      <c r="O141" s="31">
        <v>0.46982758620689657</v>
      </c>
      <c r="P141" s="31">
        <v>0.44504021447721182</v>
      </c>
    </row>
    <row r="142" spans="1:16" x14ac:dyDescent="0.4">
      <c r="A142" s="33">
        <v>139</v>
      </c>
      <c r="B142" s="30">
        <v>247.6999999999999</v>
      </c>
      <c r="C142" s="30">
        <v>1.7820143884892079</v>
      </c>
      <c r="D142" s="35">
        <v>2</v>
      </c>
      <c r="E142" s="31">
        <v>0.35251798561151076</v>
      </c>
      <c r="F142" s="31">
        <v>0.35251798561151076</v>
      </c>
      <c r="G142" s="31">
        <v>0.32054560954816708</v>
      </c>
      <c r="H142" s="31">
        <v>0.16965046888320545</v>
      </c>
      <c r="I142" s="32">
        <v>8171.8085106382978</v>
      </c>
      <c r="J142" s="32">
        <v>-7557.7889447236184</v>
      </c>
      <c r="K142" s="31">
        <v>7.9136690647482008E-2</v>
      </c>
      <c r="L142" s="31">
        <v>0.24893435635123615</v>
      </c>
      <c r="M142" s="31">
        <v>0.19948849104859334</v>
      </c>
      <c r="N142" s="31">
        <v>0.56164383561643838</v>
      </c>
      <c r="O142" s="31">
        <v>0.46581196581196582</v>
      </c>
      <c r="P142" s="31">
        <v>0.44414893617021278</v>
      </c>
    </row>
    <row r="143" spans="1:16" x14ac:dyDescent="0.4">
      <c r="A143" s="33">
        <v>140</v>
      </c>
      <c r="B143" s="30">
        <v>226.7999999999999</v>
      </c>
      <c r="C143" s="30">
        <v>1.6199999999999992</v>
      </c>
      <c r="D143" s="35">
        <v>2.0071428571428571</v>
      </c>
      <c r="E143" s="31">
        <v>0.35</v>
      </c>
      <c r="F143" s="31">
        <v>0.35714285714285715</v>
      </c>
      <c r="G143" s="31">
        <v>0.31949152542372883</v>
      </c>
      <c r="H143" s="31">
        <v>0.17033898305084746</v>
      </c>
      <c r="I143" s="32">
        <v>8181.9628647214859</v>
      </c>
      <c r="J143" s="32">
        <v>-7555.2238805970146</v>
      </c>
      <c r="K143" s="31">
        <v>7.857142857142857E-2</v>
      </c>
      <c r="L143" s="31">
        <v>0.24830508474576271</v>
      </c>
      <c r="M143" s="31">
        <v>0.19915254237288135</v>
      </c>
      <c r="N143" s="31">
        <v>0.56313993174061439</v>
      </c>
      <c r="O143" s="31">
        <v>0.46382978723404256</v>
      </c>
      <c r="P143" s="31">
        <v>0.44562334217506633</v>
      </c>
    </row>
    <row r="144" spans="1:16" x14ac:dyDescent="0.4">
      <c r="A144" s="33">
        <v>141</v>
      </c>
      <c r="B144" s="30">
        <v>228.2999999999999</v>
      </c>
      <c r="C144" s="30">
        <v>1.619148936170212</v>
      </c>
      <c r="D144" s="35">
        <v>2.0070921985815602</v>
      </c>
      <c r="E144" s="31">
        <v>0.3475177304964539</v>
      </c>
      <c r="F144" s="31">
        <v>0.3546099290780142</v>
      </c>
      <c r="G144" s="31">
        <v>0.31986531986531985</v>
      </c>
      <c r="H144" s="31">
        <v>0.1691919191919192</v>
      </c>
      <c r="I144" s="32">
        <v>8170</v>
      </c>
      <c r="J144" s="32">
        <v>-7555.2238805970146</v>
      </c>
      <c r="K144" s="31">
        <v>7.8014184397163122E-2</v>
      </c>
      <c r="L144" s="31">
        <v>0.25</v>
      </c>
      <c r="M144" s="31">
        <v>0.1978114478114478</v>
      </c>
      <c r="N144" s="31">
        <v>0.56565656565656564</v>
      </c>
      <c r="O144" s="31">
        <v>0.46382978723404256</v>
      </c>
      <c r="P144" s="31">
        <v>0.44473684210526315</v>
      </c>
    </row>
    <row r="145" spans="1:16" x14ac:dyDescent="0.4">
      <c r="A145" s="33">
        <v>142</v>
      </c>
      <c r="B145" s="30">
        <v>274.99999999999989</v>
      </c>
      <c r="C145" s="30">
        <v>1.9366197183098584</v>
      </c>
      <c r="D145" s="35">
        <v>2</v>
      </c>
      <c r="E145" s="31">
        <v>0.352112676056338</v>
      </c>
      <c r="F145" s="31">
        <v>0.352112676056338</v>
      </c>
      <c r="G145" s="31">
        <v>0.32023411371237459</v>
      </c>
      <c r="H145" s="31">
        <v>0.16806020066889632</v>
      </c>
      <c r="I145" s="32">
        <v>8194.516971279374</v>
      </c>
      <c r="J145" s="32">
        <v>-7555.2238805970146</v>
      </c>
      <c r="K145" s="31">
        <v>7.746478873239436E-2</v>
      </c>
      <c r="L145" s="31">
        <v>0.24916387959866221</v>
      </c>
      <c r="M145" s="31">
        <v>0.19816053511705686</v>
      </c>
      <c r="N145" s="31">
        <v>0.56711409395973156</v>
      </c>
      <c r="O145" s="31">
        <v>0.46413502109704641</v>
      </c>
      <c r="P145" s="31">
        <v>0.44647519582245432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  <row r="154" spans="1:16" x14ac:dyDescent="0.4">
      <c r="A154" s="33">
        <v>151</v>
      </c>
      <c r="B154" s="30">
        <v>4.9737991503207013E-14</v>
      </c>
      <c r="C154" s="30">
        <v>1.0979689073555633E-16</v>
      </c>
      <c r="D154" s="35">
        <v>1.9977924944812362</v>
      </c>
      <c r="E154" s="31">
        <v>0.33554083885209712</v>
      </c>
      <c r="F154" s="31">
        <v>0.33333333333333331</v>
      </c>
      <c r="G154" s="31">
        <v>0.29310786574429926</v>
      </c>
      <c r="H154" s="31">
        <v>0.16397642838841917</v>
      </c>
      <c r="I154" s="32">
        <v>8159.7902097902097</v>
      </c>
      <c r="J154" s="32">
        <v>-7674.6875</v>
      </c>
      <c r="K154" s="31">
        <v>8.8300220750551883E-2</v>
      </c>
      <c r="L154" s="31">
        <v>0.24596464258262873</v>
      </c>
      <c r="M154" s="31">
        <v>0.22367409684857803</v>
      </c>
      <c r="N154" s="31">
        <v>0.5229166666666667</v>
      </c>
      <c r="O154" s="31">
        <v>0.40778923253150057</v>
      </c>
      <c r="P154" s="31">
        <v>0.43444055944055943</v>
      </c>
    </row>
    <row r="155" spans="1:16" x14ac:dyDescent="0.4">
      <c r="A155" s="33">
        <v>152</v>
      </c>
      <c r="B155" s="30">
        <v>4.9737991503207013E-14</v>
      </c>
      <c r="C155" s="30">
        <v>1.0907454277019081E-16</v>
      </c>
      <c r="D155" s="35">
        <v>1.9978070175438596</v>
      </c>
      <c r="E155" s="31">
        <v>0.33552631578947367</v>
      </c>
      <c r="F155" s="31">
        <v>0.33333333333333331</v>
      </c>
      <c r="G155" s="31">
        <v>0.29309905780494017</v>
      </c>
      <c r="H155" s="31">
        <v>0.16322892793481028</v>
      </c>
      <c r="I155" s="32">
        <v>8158.7315377932237</v>
      </c>
      <c r="J155" s="32">
        <v>-7668.7987519500784</v>
      </c>
      <c r="K155" s="31">
        <v>8.771929824561403E-2</v>
      </c>
      <c r="L155" s="31">
        <v>0.24573465749936338</v>
      </c>
      <c r="M155" s="31">
        <v>0.22383498854087089</v>
      </c>
      <c r="N155" s="31">
        <v>0.52227979274611402</v>
      </c>
      <c r="O155" s="31">
        <v>0.40955631399317405</v>
      </c>
      <c r="P155" s="31">
        <v>0.43701129452649867</v>
      </c>
    </row>
    <row r="156" spans="1:16" x14ac:dyDescent="0.4">
      <c r="A156" s="33">
        <v>153</v>
      </c>
      <c r="B156" s="30">
        <v>4.7961634663806763E-14</v>
      </c>
      <c r="C156" s="30">
        <v>1.0449157878825003E-16</v>
      </c>
      <c r="D156" s="35">
        <v>1.9978213507625273</v>
      </c>
      <c r="E156" s="31">
        <v>0.33551198257080611</v>
      </c>
      <c r="F156" s="31">
        <v>0.33333333333333331</v>
      </c>
      <c r="G156" s="31">
        <v>0.29305977710233028</v>
      </c>
      <c r="H156" s="31">
        <v>0.16362715298885511</v>
      </c>
      <c r="I156" s="32">
        <v>8153.1547104580814</v>
      </c>
      <c r="J156" s="32">
        <v>-7647.3684210526317</v>
      </c>
      <c r="K156" s="31">
        <v>8.9324618736383449E-2</v>
      </c>
      <c r="L156" s="31">
        <v>0.24544072948328269</v>
      </c>
      <c r="M156" s="31">
        <v>0.22315096251266464</v>
      </c>
      <c r="N156" s="31">
        <v>0.5242518059855521</v>
      </c>
      <c r="O156" s="31">
        <v>0.41089670828603858</v>
      </c>
      <c r="P156" s="31">
        <v>0.43560933448573896</v>
      </c>
    </row>
    <row r="157" spans="1:16" x14ac:dyDescent="0.4">
      <c r="A157" s="33">
        <v>154</v>
      </c>
      <c r="B157" s="30">
        <v>4.2632564145606011E-14</v>
      </c>
      <c r="C157" s="30">
        <v>9.2278277371441589E-17</v>
      </c>
      <c r="D157" s="35">
        <v>1.9978354978354977</v>
      </c>
      <c r="E157" s="31">
        <v>0.33549783549783552</v>
      </c>
      <c r="F157" s="31">
        <v>0.33333333333333331</v>
      </c>
      <c r="G157" s="31">
        <v>0.29305135951661632</v>
      </c>
      <c r="H157" s="31">
        <v>0.16364551863041288</v>
      </c>
      <c r="I157" s="32">
        <v>8155.7560137457049</v>
      </c>
      <c r="J157" s="32">
        <v>-7662</v>
      </c>
      <c r="K157" s="31">
        <v>8.8744588744588751E-2</v>
      </c>
      <c r="L157" s="31">
        <v>0.24546827794561935</v>
      </c>
      <c r="M157" s="31">
        <v>0.2230614300100705</v>
      </c>
      <c r="N157" s="31">
        <v>0.52512820512820513</v>
      </c>
      <c r="O157" s="31">
        <v>0.40970654627539504</v>
      </c>
      <c r="P157" s="31">
        <v>0.43556701030927836</v>
      </c>
    </row>
    <row r="158" spans="1:16" x14ac:dyDescent="0.4">
      <c r="A158" s="33">
        <v>155</v>
      </c>
      <c r="B158" s="30">
        <v>4.6185277824406512E-14</v>
      </c>
      <c r="C158" s="30">
        <v>9.9323178117003255E-17</v>
      </c>
      <c r="D158" s="35">
        <v>1.9978494623655914</v>
      </c>
      <c r="E158" s="31">
        <v>0.33548387096774196</v>
      </c>
      <c r="F158" s="31">
        <v>0.33333333333333331</v>
      </c>
      <c r="G158" s="31">
        <v>0.29335332333833081</v>
      </c>
      <c r="H158" s="31">
        <v>0.16291854072963519</v>
      </c>
      <c r="I158" s="32">
        <v>8161.3287904599656</v>
      </c>
      <c r="J158" s="32">
        <v>-7652.3006134969328</v>
      </c>
      <c r="K158" s="31">
        <v>8.8172043010752682E-2</v>
      </c>
      <c r="L158" s="31">
        <v>0.24587706146926536</v>
      </c>
      <c r="M158" s="31">
        <v>0.22288855572213892</v>
      </c>
      <c r="N158" s="31">
        <v>0.52540650406504064</v>
      </c>
      <c r="O158" s="31">
        <v>0.4103139013452915</v>
      </c>
      <c r="P158" s="31">
        <v>0.43867120954003408</v>
      </c>
    </row>
    <row r="159" spans="1:16" x14ac:dyDescent="0.4">
      <c r="A159" s="33">
        <v>156</v>
      </c>
      <c r="B159" s="30">
        <v>4.9737991503207013E-14</v>
      </c>
      <c r="C159" s="30">
        <v>1.0627775962223721E-16</v>
      </c>
      <c r="D159" s="35">
        <v>1.9978632478632479</v>
      </c>
      <c r="E159" s="31">
        <v>0.33547008547008544</v>
      </c>
      <c r="F159" s="31">
        <v>0.33333333333333331</v>
      </c>
      <c r="G159" s="31">
        <v>0.29362124596674111</v>
      </c>
      <c r="H159" s="31">
        <v>0.16306775874906926</v>
      </c>
      <c r="I159" s="32">
        <v>8170.3296703296701</v>
      </c>
      <c r="J159" s="32">
        <v>-7660.426179604262</v>
      </c>
      <c r="K159" s="31">
        <v>8.7606837606837601E-2</v>
      </c>
      <c r="L159" s="31">
        <v>0.24621494167287167</v>
      </c>
      <c r="M159" s="31">
        <v>0.22238768925291635</v>
      </c>
      <c r="N159" s="31">
        <v>0.52822580645161288</v>
      </c>
      <c r="O159" s="31">
        <v>0.4095982142857143</v>
      </c>
      <c r="P159" s="31">
        <v>0.43871513102282333</v>
      </c>
    </row>
    <row r="160" spans="1:16" x14ac:dyDescent="0.4">
      <c r="A160" s="33">
        <v>157</v>
      </c>
      <c r="B160" s="30">
        <v>4.7961634663806763E-14</v>
      </c>
      <c r="C160" s="30">
        <v>1.0182937295925003E-16</v>
      </c>
      <c r="D160" s="35">
        <v>1.9978768577494692</v>
      </c>
      <c r="E160" s="31">
        <v>0.3354564755838641</v>
      </c>
      <c r="F160" s="31">
        <v>0.33333333333333331</v>
      </c>
      <c r="G160" s="31">
        <v>0.29358024691358026</v>
      </c>
      <c r="H160" s="31">
        <v>0.16345679012345679</v>
      </c>
      <c r="I160" s="32">
        <v>8190.9167367535747</v>
      </c>
      <c r="J160" s="32">
        <v>-7713.5951661631416</v>
      </c>
      <c r="K160" s="31">
        <v>8.9171974522292988E-2</v>
      </c>
      <c r="L160" s="31">
        <v>0.24567901234567902</v>
      </c>
      <c r="M160" s="31">
        <v>0.22222222222222221</v>
      </c>
      <c r="N160" s="31">
        <v>0.52763819095477382</v>
      </c>
      <c r="O160" s="31">
        <v>0.41111111111111109</v>
      </c>
      <c r="P160" s="31">
        <v>0.43650126156433977</v>
      </c>
    </row>
    <row r="161" spans="1:16" x14ac:dyDescent="0.4">
      <c r="A161" s="33">
        <v>158</v>
      </c>
      <c r="B161" s="30">
        <v>4.9737991503207013E-14</v>
      </c>
      <c r="C161" s="30">
        <v>1.0493247152575319E-16</v>
      </c>
      <c r="D161" s="35">
        <v>1.9978902953586497</v>
      </c>
      <c r="E161" s="31">
        <v>0.33544303797468356</v>
      </c>
      <c r="F161" s="31">
        <v>0.33333333333333331</v>
      </c>
      <c r="G161" s="31">
        <v>0.29375614552605706</v>
      </c>
      <c r="H161" s="31">
        <v>0.16347099311701083</v>
      </c>
      <c r="I161" s="32">
        <v>8195.4811715481173</v>
      </c>
      <c r="J161" s="32">
        <v>-7716.8421052631575</v>
      </c>
      <c r="K161" s="31">
        <v>8.8607594936708861E-2</v>
      </c>
      <c r="L161" s="31">
        <v>0.2460668633235005</v>
      </c>
      <c r="M161" s="31">
        <v>0.22222222222222221</v>
      </c>
      <c r="N161" s="31">
        <v>0.52847152847152845</v>
      </c>
      <c r="O161" s="31">
        <v>0.40929203539823011</v>
      </c>
      <c r="P161" s="31">
        <v>0.43682008368200836</v>
      </c>
    </row>
    <row r="162" spans="1:16" x14ac:dyDescent="0.4">
      <c r="A162" s="33">
        <v>159</v>
      </c>
      <c r="B162" s="30">
        <v>5.1070259132757201E-14</v>
      </c>
      <c r="C162" s="30">
        <v>1.070655327730759E-16</v>
      </c>
      <c r="D162" s="35">
        <v>1.9979035639412999</v>
      </c>
      <c r="E162" s="31">
        <v>0.33542976939203356</v>
      </c>
      <c r="F162" s="31">
        <v>0.33333333333333331</v>
      </c>
      <c r="G162" s="31">
        <v>0.2932551319648094</v>
      </c>
      <c r="H162" s="31">
        <v>0.16373411534701857</v>
      </c>
      <c r="I162" s="32">
        <v>8177.333333333333</v>
      </c>
      <c r="J162" s="32">
        <v>-7687.9104477611936</v>
      </c>
      <c r="K162" s="31">
        <v>8.8050314465408799E-2</v>
      </c>
      <c r="L162" s="31">
        <v>0.24657869012707723</v>
      </c>
      <c r="M162" s="31">
        <v>0.22262952101661779</v>
      </c>
      <c r="N162" s="31">
        <v>0.52626362735381571</v>
      </c>
      <c r="O162" s="31">
        <v>0.40724478594950603</v>
      </c>
      <c r="P162" s="31">
        <v>0.435</v>
      </c>
    </row>
    <row r="163" spans="1:16" x14ac:dyDescent="0.4">
      <c r="A163" s="33">
        <v>160</v>
      </c>
      <c r="B163" s="30">
        <v>4.2632564145606011E-14</v>
      </c>
      <c r="C163" s="30">
        <v>8.8817841970012528E-17</v>
      </c>
      <c r="D163" s="35">
        <v>1.9979166666666666</v>
      </c>
      <c r="E163" s="31">
        <v>0.33541666666666664</v>
      </c>
      <c r="F163" s="31">
        <v>0.33333333333333331</v>
      </c>
      <c r="G163" s="31">
        <v>0.29327506676377763</v>
      </c>
      <c r="H163" s="31">
        <v>0.16411750424860402</v>
      </c>
      <c r="I163" s="32">
        <v>8186.5894039735103</v>
      </c>
      <c r="J163" s="32">
        <v>-7706.3609467455617</v>
      </c>
      <c r="K163" s="31">
        <v>8.7499999999999994E-2</v>
      </c>
      <c r="L163" s="31">
        <v>0.24641903374605487</v>
      </c>
      <c r="M163" s="31">
        <v>0.22165574168487498</v>
      </c>
      <c r="N163" s="31">
        <v>0.52610837438423641</v>
      </c>
      <c r="O163" s="31">
        <v>0.40635268346111719</v>
      </c>
      <c r="P163" s="31">
        <v>0.43377483443708609</v>
      </c>
    </row>
    <row r="164" spans="1:16" x14ac:dyDescent="0.4">
      <c r="A164" s="33">
        <v>161</v>
      </c>
      <c r="B164" s="30">
        <v>3.9968028886505635E-14</v>
      </c>
      <c r="C164" s="30">
        <v>8.2749542208086198E-17</v>
      </c>
      <c r="D164" s="35">
        <v>1.9979296066252588</v>
      </c>
      <c r="E164" s="31">
        <v>0.33540372670807456</v>
      </c>
      <c r="F164" s="31">
        <v>0.33333333333333331</v>
      </c>
      <c r="G164" s="31">
        <v>0.29329474191992283</v>
      </c>
      <c r="H164" s="31">
        <v>0.16353111432706222</v>
      </c>
      <c r="I164" s="32">
        <v>8195.9703947368416</v>
      </c>
      <c r="J164" s="32">
        <v>-7708.9970501474927</v>
      </c>
      <c r="K164" s="31">
        <v>8.6956521739130432E-2</v>
      </c>
      <c r="L164" s="31">
        <v>0.24626145682585623</v>
      </c>
      <c r="M164" s="31">
        <v>0.22141823444283648</v>
      </c>
      <c r="N164" s="31">
        <v>0.52693437806072474</v>
      </c>
      <c r="O164" s="31">
        <v>0.40631808278867104</v>
      </c>
      <c r="P164" s="31">
        <v>0.43585526315789475</v>
      </c>
    </row>
    <row r="165" spans="1:16" x14ac:dyDescent="0.4">
      <c r="A165" s="33">
        <v>162</v>
      </c>
      <c r="B165" s="30">
        <v>4.2632564145606011E-14</v>
      </c>
      <c r="C165" s="30">
        <v>8.77213254024815E-17</v>
      </c>
      <c r="D165" s="35">
        <v>1.9979423868312758</v>
      </c>
      <c r="E165" s="31">
        <v>0.33539094650205764</v>
      </c>
      <c r="F165" s="31">
        <v>0.33333333333333331</v>
      </c>
      <c r="G165" s="31">
        <v>0.29355379822669542</v>
      </c>
      <c r="H165" s="31">
        <v>0.16415049125329498</v>
      </c>
      <c r="I165" s="32">
        <v>8175.9183673469388</v>
      </c>
      <c r="J165" s="32">
        <v>-7684.5255474452551</v>
      </c>
      <c r="K165" s="31">
        <v>8.6419753086419748E-2</v>
      </c>
      <c r="L165" s="31">
        <v>0.24610591900311526</v>
      </c>
      <c r="M165" s="31">
        <v>0.22094416486939852</v>
      </c>
      <c r="N165" s="31">
        <v>0.52677702044790653</v>
      </c>
      <c r="O165" s="31">
        <v>0.40672451193058567</v>
      </c>
      <c r="P165" s="31">
        <v>0.43428571428571427</v>
      </c>
    </row>
    <row r="166" spans="1:16" x14ac:dyDescent="0.4">
      <c r="A166" s="33">
        <v>163</v>
      </c>
      <c r="B166" s="30">
        <v>4.2632564145606011E-14</v>
      </c>
      <c r="C166" s="30">
        <v>8.7183157761975485E-17</v>
      </c>
      <c r="D166" s="35">
        <v>1.9979550102249488</v>
      </c>
      <c r="E166" s="31">
        <v>0.33537832310838445</v>
      </c>
      <c r="F166" s="31">
        <v>0.33333333333333331</v>
      </c>
      <c r="G166" s="31">
        <v>0.29357142857142859</v>
      </c>
      <c r="H166" s="31">
        <v>0.16428571428571428</v>
      </c>
      <c r="I166" s="32">
        <v>8187.1046228710466</v>
      </c>
      <c r="J166" s="32">
        <v>-7686.231884057971</v>
      </c>
      <c r="K166" s="31">
        <v>8.5889570552147243E-2</v>
      </c>
      <c r="L166" s="31">
        <v>0.24547619047619049</v>
      </c>
      <c r="M166" s="31">
        <v>0.22095238095238096</v>
      </c>
      <c r="N166" s="31">
        <v>0.52667313288069839</v>
      </c>
      <c r="O166" s="31">
        <v>0.40732758620689657</v>
      </c>
      <c r="P166" s="31">
        <v>0.43390105433901055</v>
      </c>
    </row>
    <row r="167" spans="1:16" x14ac:dyDescent="0.4">
      <c r="A167" s="33">
        <v>164</v>
      </c>
      <c r="B167" s="30">
        <v>4.2632564145606011E-14</v>
      </c>
      <c r="C167" s="30">
        <v>8.6651553141475635E-17</v>
      </c>
      <c r="D167" s="35">
        <v>1.9979674796747968</v>
      </c>
      <c r="E167" s="31">
        <v>0.33536585365853661</v>
      </c>
      <c r="F167" s="31">
        <v>0.33333333333333331</v>
      </c>
      <c r="G167" s="31">
        <v>0.29314420803782504</v>
      </c>
      <c r="H167" s="31">
        <v>0.16406619385342788</v>
      </c>
      <c r="I167" s="32">
        <v>8190.7258064516127</v>
      </c>
      <c r="J167" s="32">
        <v>-7679.682997118156</v>
      </c>
      <c r="K167" s="31">
        <v>8.5365853658536592E-2</v>
      </c>
      <c r="L167" s="31">
        <v>0.24609929078014184</v>
      </c>
      <c r="M167" s="31">
        <v>0.22056737588652484</v>
      </c>
      <c r="N167" s="31">
        <v>0.52641690682036502</v>
      </c>
      <c r="O167" s="31">
        <v>0.4062165058949625</v>
      </c>
      <c r="P167" s="31">
        <v>0.43387096774193551</v>
      </c>
    </row>
    <row r="168" spans="1:16" x14ac:dyDescent="0.4">
      <c r="A168" s="33">
        <v>165</v>
      </c>
      <c r="B168" s="30">
        <v>4.2632564145606011E-14</v>
      </c>
      <c r="C168" s="30">
        <v>8.6126392213345477E-17</v>
      </c>
      <c r="D168" s="35">
        <v>1.997979797979798</v>
      </c>
      <c r="E168" s="31">
        <v>0.33535353535353535</v>
      </c>
      <c r="F168" s="31">
        <v>0.33333333333333331</v>
      </c>
      <c r="G168" s="31">
        <v>0.29334274288402729</v>
      </c>
      <c r="H168" s="31">
        <v>0.16419665960950364</v>
      </c>
      <c r="I168" s="32">
        <v>8191.9005613472336</v>
      </c>
      <c r="J168" s="32">
        <v>-7672.2063037249281</v>
      </c>
      <c r="K168" s="31">
        <v>8.4848484848484854E-2</v>
      </c>
      <c r="L168" s="31">
        <v>0.24629498941425548</v>
      </c>
      <c r="M168" s="31">
        <v>0.22041872500588097</v>
      </c>
      <c r="N168" s="31">
        <v>0.52722063037249278</v>
      </c>
      <c r="O168" s="31">
        <v>0.4055496264674493</v>
      </c>
      <c r="P168" s="31">
        <v>0.43384121892542099</v>
      </c>
    </row>
    <row r="169" spans="1:16" x14ac:dyDescent="0.4">
      <c r="A169" s="33">
        <v>166</v>
      </c>
      <c r="B169" s="30">
        <v>4.2632564145606011E-14</v>
      </c>
      <c r="C169" s="30">
        <v>8.560755852531328E-17</v>
      </c>
      <c r="D169" s="35">
        <v>1.9979919678714859</v>
      </c>
      <c r="E169" s="31">
        <v>0.3353413654618474</v>
      </c>
      <c r="F169" s="31">
        <v>0.33333333333333331</v>
      </c>
      <c r="G169" s="31">
        <v>0.29333333333333333</v>
      </c>
      <c r="H169" s="31">
        <v>0.1639766081871345</v>
      </c>
      <c r="I169" s="32">
        <v>8208.3732057416273</v>
      </c>
      <c r="J169" s="32">
        <v>-7677.0328102710409</v>
      </c>
      <c r="K169" s="31">
        <v>8.4337349397590355E-2</v>
      </c>
      <c r="L169" s="31">
        <v>0.24725146198830408</v>
      </c>
      <c r="M169" s="31">
        <v>0.21964912280701754</v>
      </c>
      <c r="N169" s="31">
        <v>0.5288552507095553</v>
      </c>
      <c r="O169" s="31">
        <v>0.40468583599574015</v>
      </c>
      <c r="P169" s="31">
        <v>0.43460925039872406</v>
      </c>
    </row>
    <row r="170" spans="1:16" x14ac:dyDescent="0.4">
      <c r="A170" s="33">
        <v>167</v>
      </c>
      <c r="B170" s="30">
        <v>4.2632564145606011E-14</v>
      </c>
      <c r="C170" s="30">
        <v>8.5094938414383261E-17</v>
      </c>
      <c r="D170" s="35">
        <v>1.998003992015968</v>
      </c>
      <c r="E170" s="31">
        <v>0.33532934131736525</v>
      </c>
      <c r="F170" s="31">
        <v>0.33333333333333331</v>
      </c>
      <c r="G170" s="31">
        <v>0.29309141660851362</v>
      </c>
      <c r="H170" s="31">
        <v>0.1635264014887183</v>
      </c>
      <c r="I170" s="32">
        <v>8213.4920634920636</v>
      </c>
      <c r="J170" s="32">
        <v>-7677.8093883357042</v>
      </c>
      <c r="K170" s="31">
        <v>8.3832335329341312E-2</v>
      </c>
      <c r="L170" s="31">
        <v>0.24680158176320074</v>
      </c>
      <c r="M170" s="31">
        <v>0.22028378692719236</v>
      </c>
      <c r="N170" s="31">
        <v>0.52874646559849203</v>
      </c>
      <c r="O170" s="31">
        <v>0.40443505807814151</v>
      </c>
      <c r="P170" s="31">
        <v>0.43571428571428572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2021-02-06T06:53:09Z</dcterms:modified>
</cp:coreProperties>
</file>