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0469604-BB26-4ACA-B25B-CE2FA58CDD48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14" r:id="rId6"/>
    <sheet name="だいち" sheetId="6916" r:id="rId7"/>
    <sheet name="れんたろう" sheetId="6918" r:id="rId8"/>
    <sheet name="たかの" sheetId="6920" r:id="rId9"/>
    <sheet name="まっつん" sheetId="6922" r:id="rId10"/>
    <sheet name="いちかわ" sheetId="6924" r:id="rId11"/>
    <sheet name="ただ" sheetId="6926" r:id="rId12"/>
    <sheet name="たか" sheetId="6928" r:id="rId13"/>
    <sheet name="のり" sheetId="6930" r:id="rId14"/>
    <sheet name="りくと" sheetId="6932" r:id="rId15"/>
    <sheet name="わさび" sheetId="6934" r:id="rId16"/>
    <sheet name="わさび2" sheetId="6935" state="hidden" r:id="rId17"/>
    <sheet name="りくと2" sheetId="6933" state="hidden" r:id="rId18"/>
    <sheet name="のり2" sheetId="6931" state="hidden" r:id="rId19"/>
    <sheet name="たか2" sheetId="6929" state="hidden" r:id="rId20"/>
    <sheet name="ただ2" sheetId="6927" state="hidden" r:id="rId21"/>
    <sheet name="いちかわ2" sheetId="6925" state="hidden" r:id="rId22"/>
    <sheet name="まっつん2" sheetId="6923" state="hidden" r:id="rId23"/>
    <sheet name="たかの2" sheetId="6921" state="hidden" r:id="rId24"/>
    <sheet name="れんたろう2" sheetId="6919" state="hidden" r:id="rId25"/>
    <sheet name="だいち2" sheetId="6917" state="hidden" r:id="rId26"/>
    <sheet name="全体2" sheetId="691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32" l="1"/>
  <c r="P19" i="6922"/>
  <c r="P16" i="6918" l="1"/>
  <c r="P18" i="6922"/>
  <c r="P15" i="6932" l="1"/>
  <c r="P21" i="6918"/>
  <c r="P16" i="6920" l="1"/>
  <c r="P20" i="6922"/>
  <c r="P21" i="6926"/>
  <c r="P16" i="6922"/>
  <c r="P19" i="6928" l="1"/>
  <c r="P15" i="6920"/>
  <c r="P19" i="6932" l="1"/>
  <c r="P21" i="6916"/>
  <c r="P19" i="6924" l="1"/>
  <c r="P18" i="6920"/>
  <c r="P15" i="6926" l="1"/>
  <c r="P18" i="6926"/>
  <c r="P20" i="6932"/>
  <c r="P17" i="6934"/>
  <c r="P17" i="6924"/>
  <c r="P22" i="6924"/>
  <c r="P15" i="6934"/>
  <c r="P16" i="6934"/>
  <c r="C35" i="6934"/>
  <c r="B30" i="6934"/>
  <c r="C21" i="6934"/>
  <c r="B20" i="6934"/>
  <c r="H50" i="6934" s="1"/>
  <c r="B19" i="6934"/>
  <c r="B29" i="6934" s="1"/>
  <c r="C18" i="6934"/>
  <c r="B18" i="6934"/>
  <c r="C17" i="6934"/>
  <c r="C16" i="6934"/>
  <c r="C15" i="6934"/>
  <c r="B13" i="6934"/>
  <c r="P12" i="6934"/>
  <c r="B12" i="6934"/>
  <c r="P11" i="6934"/>
  <c r="B11" i="6934"/>
  <c r="P10" i="6934"/>
  <c r="C10" i="6934"/>
  <c r="C9" i="6934"/>
  <c r="C8" i="6934"/>
  <c r="P7" i="6934"/>
  <c r="B7" i="6934"/>
  <c r="P6" i="6934"/>
  <c r="P5" i="6934"/>
  <c r="B5" i="6934"/>
  <c r="P4" i="6934"/>
  <c r="P3" i="6934"/>
  <c r="P2" i="6934"/>
  <c r="P19" i="6914"/>
  <c r="P17" i="6932"/>
  <c r="P18" i="6932"/>
  <c r="C35" i="6932"/>
  <c r="B30" i="6932"/>
  <c r="C21" i="6932"/>
  <c r="B20" i="6932"/>
  <c r="H51" i="6932" s="1"/>
  <c r="B19" i="6932"/>
  <c r="B29" i="6932" s="1"/>
  <c r="B18" i="6932"/>
  <c r="C18" i="6932" s="1"/>
  <c r="C17" i="6932"/>
  <c r="C16" i="6932"/>
  <c r="C15" i="6932"/>
  <c r="B13" i="6932"/>
  <c r="P12" i="6932"/>
  <c r="B12" i="6932"/>
  <c r="P11" i="6932"/>
  <c r="B11" i="6932"/>
  <c r="B14" i="6932" s="1"/>
  <c r="P10" i="6932"/>
  <c r="C10" i="6932"/>
  <c r="C9" i="6932"/>
  <c r="C8" i="6932"/>
  <c r="P7" i="6932"/>
  <c r="B7" i="6932"/>
  <c r="P6" i="6932"/>
  <c r="P5" i="6932"/>
  <c r="B5" i="6932"/>
  <c r="P4" i="6932"/>
  <c r="P3" i="6932"/>
  <c r="P2" i="6932"/>
  <c r="P17" i="6914"/>
  <c r="C19" i="6932" l="1"/>
  <c r="H15" i="6932"/>
  <c r="H17" i="6932"/>
  <c r="H31" i="6932"/>
  <c r="H9" i="6932"/>
  <c r="B14" i="6934"/>
  <c r="C19" i="6934"/>
  <c r="C20" i="6934"/>
  <c r="H3" i="6934"/>
  <c r="H25" i="6934"/>
  <c r="H33" i="6934"/>
  <c r="C42" i="6934"/>
  <c r="C46" i="6934"/>
  <c r="H2" i="6934"/>
  <c r="H11" i="6934"/>
  <c r="H16" i="6934"/>
  <c r="H19" i="6934"/>
  <c r="C24" i="6934"/>
  <c r="B28" i="6934"/>
  <c r="H34" i="6934"/>
  <c r="H39" i="6934"/>
  <c r="H43" i="6934"/>
  <c r="H47" i="6934"/>
  <c r="H9" i="6934"/>
  <c r="H22" i="6934"/>
  <c r="H26" i="6934"/>
  <c r="H29" i="6934"/>
  <c r="H35" i="6934"/>
  <c r="C39" i="6934"/>
  <c r="C43" i="6934"/>
  <c r="C47" i="6934"/>
  <c r="H52" i="6934"/>
  <c r="H14" i="6934"/>
  <c r="H17" i="6934"/>
  <c r="C25" i="6934"/>
  <c r="H40" i="6934"/>
  <c r="H44" i="6934"/>
  <c r="H48" i="6934"/>
  <c r="H8" i="6934"/>
  <c r="C38" i="6934"/>
  <c r="H51" i="6934"/>
  <c r="H6" i="6934"/>
  <c r="H12" i="6934"/>
  <c r="H20" i="6934"/>
  <c r="H23" i="6934"/>
  <c r="H27" i="6934"/>
  <c r="H30" i="6934"/>
  <c r="H36" i="6934"/>
  <c r="C40" i="6934"/>
  <c r="C44" i="6934"/>
  <c r="C48" i="6934"/>
  <c r="H5" i="6934"/>
  <c r="H18" i="6934"/>
  <c r="C22" i="6934"/>
  <c r="C26" i="6934"/>
  <c r="H37" i="6934"/>
  <c r="H41" i="6934"/>
  <c r="H45" i="6934"/>
  <c r="H49" i="6934"/>
  <c r="H4" i="6934"/>
  <c r="H13" i="6934"/>
  <c r="H15" i="6934"/>
  <c r="H24" i="6934"/>
  <c r="H28" i="6934"/>
  <c r="H31" i="6934"/>
  <c r="C37" i="6934"/>
  <c r="C41" i="6934"/>
  <c r="C45" i="6934"/>
  <c r="C49" i="6934"/>
  <c r="H10" i="6934"/>
  <c r="H7" i="6934"/>
  <c r="H21" i="6934"/>
  <c r="C23" i="6934"/>
  <c r="B27" i="6934"/>
  <c r="H32" i="6934"/>
  <c r="H38" i="6934"/>
  <c r="H42" i="6934"/>
  <c r="H46" i="6934"/>
  <c r="H34" i="6932"/>
  <c r="H16" i="6932"/>
  <c r="C45" i="6932"/>
  <c r="H18" i="6932"/>
  <c r="C20" i="6932"/>
  <c r="H10" i="6932"/>
  <c r="C39" i="6932"/>
  <c r="H7" i="6932"/>
  <c r="H24" i="6932"/>
  <c r="H40" i="6932"/>
  <c r="H14" i="6932"/>
  <c r="C24" i="6932"/>
  <c r="H5" i="6932"/>
  <c r="H4" i="6932"/>
  <c r="H26" i="6932"/>
  <c r="H47" i="6932"/>
  <c r="H41" i="6932"/>
  <c r="C47" i="6932"/>
  <c r="C25" i="6932"/>
  <c r="H35" i="6932"/>
  <c r="C41" i="6932"/>
  <c r="H48" i="6932"/>
  <c r="C26" i="6932"/>
  <c r="H43" i="6932"/>
  <c r="H49" i="6932"/>
  <c r="H22" i="6932"/>
  <c r="H37" i="6932"/>
  <c r="C43" i="6932"/>
  <c r="H20" i="6932"/>
  <c r="C37" i="6932"/>
  <c r="H3" i="6932"/>
  <c r="H28" i="6932"/>
  <c r="C49" i="6932"/>
  <c r="H6" i="6932"/>
  <c r="B28" i="6932"/>
  <c r="H44" i="6932"/>
  <c r="H2" i="6932"/>
  <c r="H8" i="6932"/>
  <c r="H11" i="6932"/>
  <c r="C22" i="6932"/>
  <c r="H29" i="6932"/>
  <c r="H39" i="6932"/>
  <c r="H45" i="6932"/>
  <c r="H52" i="6932"/>
  <c r="H21" i="6932"/>
  <c r="H23" i="6932"/>
  <c r="H27" i="6932"/>
  <c r="H30" i="6932"/>
  <c r="H36" i="6932"/>
  <c r="C40" i="6932"/>
  <c r="C44" i="6932"/>
  <c r="C48" i="6932"/>
  <c r="H19" i="6932"/>
  <c r="H12" i="6932"/>
  <c r="C23" i="6932"/>
  <c r="B27" i="6932"/>
  <c r="H32" i="6932"/>
  <c r="H38" i="6932"/>
  <c r="H42" i="6932"/>
  <c r="H46" i="6932"/>
  <c r="H50" i="6932"/>
  <c r="H25" i="6932"/>
  <c r="H13" i="6932"/>
  <c r="H33" i="6932"/>
  <c r="C38" i="6932"/>
  <c r="C42" i="6932"/>
  <c r="C46" i="6932"/>
  <c r="P20" i="6918" l="1"/>
  <c r="P19" i="6926"/>
  <c r="P15" i="6924"/>
  <c r="P16" i="6926"/>
  <c r="P22" i="6926"/>
  <c r="P18" i="6928"/>
  <c r="P18" i="6924"/>
  <c r="P20" i="6928"/>
  <c r="P17" i="6918"/>
  <c r="P15" i="6918"/>
  <c r="P17" i="6930" l="1"/>
  <c r="P16" i="6928"/>
  <c r="P15" i="6916"/>
  <c r="P16" i="6916"/>
  <c r="P16" i="6930"/>
  <c r="P15" i="6930"/>
  <c r="C35" i="6930"/>
  <c r="B30" i="6930"/>
  <c r="B29" i="6930"/>
  <c r="C21" i="6930"/>
  <c r="B20" i="6930"/>
  <c r="H5" i="6930" s="1"/>
  <c r="B19" i="6930"/>
  <c r="C19" i="6930" s="1"/>
  <c r="B18" i="6930"/>
  <c r="C18" i="6930" s="1"/>
  <c r="C17" i="6930"/>
  <c r="C16" i="6930"/>
  <c r="C15" i="6930"/>
  <c r="B14" i="6930"/>
  <c r="B13" i="6930"/>
  <c r="P12" i="6930"/>
  <c r="B12" i="6930"/>
  <c r="P11" i="6930"/>
  <c r="H15" i="6930"/>
  <c r="B11" i="6930"/>
  <c r="P10" i="6930"/>
  <c r="C10" i="6930"/>
  <c r="C9" i="6930"/>
  <c r="C8" i="6930"/>
  <c r="P7" i="6930"/>
  <c r="B7" i="6930"/>
  <c r="P6" i="6930"/>
  <c r="H7" i="6930"/>
  <c r="P5" i="6930"/>
  <c r="B5" i="6930"/>
  <c r="P4" i="6930"/>
  <c r="P3" i="6930"/>
  <c r="P2" i="6930"/>
  <c r="P17" i="6928"/>
  <c r="P15" i="6928"/>
  <c r="C35" i="6928"/>
  <c r="B30" i="6928"/>
  <c r="C21" i="6928"/>
  <c r="B20" i="6928"/>
  <c r="H51" i="6928" s="1"/>
  <c r="B19" i="6928"/>
  <c r="B29" i="6928" s="1"/>
  <c r="B18" i="6928"/>
  <c r="C18" i="6928" s="1"/>
  <c r="C17" i="6928"/>
  <c r="C16" i="6928"/>
  <c r="C15" i="6928"/>
  <c r="B13" i="6928"/>
  <c r="P12" i="6928"/>
  <c r="B12" i="6928"/>
  <c r="P11" i="6928"/>
  <c r="B11" i="6928"/>
  <c r="P10" i="6928"/>
  <c r="C10" i="6928"/>
  <c r="C9" i="6928"/>
  <c r="C8" i="6928"/>
  <c r="P7" i="6928"/>
  <c r="B7" i="6928"/>
  <c r="P6" i="6928"/>
  <c r="P5" i="6928"/>
  <c r="B5" i="6928"/>
  <c r="P4" i="6928"/>
  <c r="P3" i="6928"/>
  <c r="P2" i="6928"/>
  <c r="P21" i="6924"/>
  <c r="P16" i="6924"/>
  <c r="P15" i="6914"/>
  <c r="P16" i="6914"/>
  <c r="H29" i="6930" l="1"/>
  <c r="B14" i="6928"/>
  <c r="H11" i="6930"/>
  <c r="H14" i="6930"/>
  <c r="H44" i="6930"/>
  <c r="C47" i="6930"/>
  <c r="H2" i="6930"/>
  <c r="C25" i="6930"/>
  <c r="H8" i="6930"/>
  <c r="H18" i="6930"/>
  <c r="C20" i="6930"/>
  <c r="H23" i="6930"/>
  <c r="C39" i="6930"/>
  <c r="H40" i="6930"/>
  <c r="H13" i="6930"/>
  <c r="H26" i="6930"/>
  <c r="C43" i="6930"/>
  <c r="H48" i="6930"/>
  <c r="H35" i="6930"/>
  <c r="H52" i="6930"/>
  <c r="H22" i="6930"/>
  <c r="H10" i="6930"/>
  <c r="H27" i="6930"/>
  <c r="H30" i="6930"/>
  <c r="H36" i="6930"/>
  <c r="C40" i="6930"/>
  <c r="C44" i="6930"/>
  <c r="C48" i="6930"/>
  <c r="H6" i="6930"/>
  <c r="H19" i="6930"/>
  <c r="C22" i="6930"/>
  <c r="C26" i="6930"/>
  <c r="H37" i="6930"/>
  <c r="H41" i="6930"/>
  <c r="H45" i="6930"/>
  <c r="H49" i="6930"/>
  <c r="H16" i="6930"/>
  <c r="H24" i="6930"/>
  <c r="H28" i="6930"/>
  <c r="H31" i="6930"/>
  <c r="C37" i="6930"/>
  <c r="C41" i="6930"/>
  <c r="C45" i="6930"/>
  <c r="C49" i="6930"/>
  <c r="H20" i="6930"/>
  <c r="H9" i="6930"/>
  <c r="C23" i="6930"/>
  <c r="B27" i="6930"/>
  <c r="H32" i="6930"/>
  <c r="H38" i="6930"/>
  <c r="H42" i="6930"/>
  <c r="H46" i="6930"/>
  <c r="H50" i="6930"/>
  <c r="H25" i="6930"/>
  <c r="H4" i="6930"/>
  <c r="H33" i="6930"/>
  <c r="C38" i="6930"/>
  <c r="C42" i="6930"/>
  <c r="C46" i="6930"/>
  <c r="H51" i="6930"/>
  <c r="H3" i="6930"/>
  <c r="H12" i="6930"/>
  <c r="H17" i="6930"/>
  <c r="H21" i="6930"/>
  <c r="C24" i="6930"/>
  <c r="B28" i="6930"/>
  <c r="H34" i="6930"/>
  <c r="H39" i="6930"/>
  <c r="H43" i="6930"/>
  <c r="H47" i="6930"/>
  <c r="H15" i="6928"/>
  <c r="H13" i="6928"/>
  <c r="C19" i="6928"/>
  <c r="H6" i="6928"/>
  <c r="B28" i="6928"/>
  <c r="H36" i="6928"/>
  <c r="H21" i="6928"/>
  <c r="H41" i="6928"/>
  <c r="H8" i="6928"/>
  <c r="H26" i="6928"/>
  <c r="C41" i="6928"/>
  <c r="H18" i="6928"/>
  <c r="H47" i="6928"/>
  <c r="C23" i="6928"/>
  <c r="B27" i="6928"/>
  <c r="C47" i="6928"/>
  <c r="H29" i="6928"/>
  <c r="H12" i="6928"/>
  <c r="H11" i="6928"/>
  <c r="H30" i="6928"/>
  <c r="C37" i="6928"/>
  <c r="C43" i="6928"/>
  <c r="C48" i="6928"/>
  <c r="H3" i="6928"/>
  <c r="H43" i="6928"/>
  <c r="H22" i="6928"/>
  <c r="H24" i="6928"/>
  <c r="C25" i="6928"/>
  <c r="H39" i="6928"/>
  <c r="H44" i="6928"/>
  <c r="H49" i="6928"/>
  <c r="H48" i="6928"/>
  <c r="H17" i="6928"/>
  <c r="H27" i="6928"/>
  <c r="C44" i="6928"/>
  <c r="C49" i="6928"/>
  <c r="C24" i="6928"/>
  <c r="C20" i="6928"/>
  <c r="H20" i="6928"/>
  <c r="H31" i="6928"/>
  <c r="H10" i="6928"/>
  <c r="H23" i="6928"/>
  <c r="H25" i="6928"/>
  <c r="C26" i="6928"/>
  <c r="H45" i="6928"/>
  <c r="H5" i="6928"/>
  <c r="H37" i="6928"/>
  <c r="H2" i="6928"/>
  <c r="H19" i="6928"/>
  <c r="C39" i="6928"/>
  <c r="H9" i="6928"/>
  <c r="H34" i="6928"/>
  <c r="H40" i="6928"/>
  <c r="H4" i="6928"/>
  <c r="H14" i="6928"/>
  <c r="C22" i="6928"/>
  <c r="H28" i="6928"/>
  <c r="H35" i="6928"/>
  <c r="C40" i="6928"/>
  <c r="C45" i="6928"/>
  <c r="H52" i="6928"/>
  <c r="H32" i="6928"/>
  <c r="H38" i="6928"/>
  <c r="H42" i="6928"/>
  <c r="H46" i="6928"/>
  <c r="H50" i="6928"/>
  <c r="H16" i="6928"/>
  <c r="H7" i="6928"/>
  <c r="H33" i="6928"/>
  <c r="C38" i="6928"/>
  <c r="C42" i="6928"/>
  <c r="C46" i="6928"/>
  <c r="P20" i="6920" l="1"/>
  <c r="P20" i="6926"/>
  <c r="P17" i="6926"/>
  <c r="C35" i="6926"/>
  <c r="B30" i="6926"/>
  <c r="C21" i="6926"/>
  <c r="B20" i="6926"/>
  <c r="H51" i="6926" s="1"/>
  <c r="B19" i="6926"/>
  <c r="B29" i="6926" s="1"/>
  <c r="B18" i="6926"/>
  <c r="C18" i="6926" s="1"/>
  <c r="C17" i="6926"/>
  <c r="C16" i="6926"/>
  <c r="C15" i="6926"/>
  <c r="B13" i="6926"/>
  <c r="P12" i="6926"/>
  <c r="B12" i="6926"/>
  <c r="P11" i="6926"/>
  <c r="B11" i="6926"/>
  <c r="P10" i="6926"/>
  <c r="C10" i="6926"/>
  <c r="C9" i="6926"/>
  <c r="C8" i="6926"/>
  <c r="P7" i="6926"/>
  <c r="B7" i="6926"/>
  <c r="P6" i="6926"/>
  <c r="P5" i="6926"/>
  <c r="B5" i="6926"/>
  <c r="P4" i="6926"/>
  <c r="P3" i="6926"/>
  <c r="P2" i="6926"/>
  <c r="P22" i="6916"/>
  <c r="P24" i="6914"/>
  <c r="B14" i="6926" l="1"/>
  <c r="C19" i="6926"/>
  <c r="C20" i="6926"/>
  <c r="H3" i="6926"/>
  <c r="H9" i="6926"/>
  <c r="H35" i="6926"/>
  <c r="C42" i="6926"/>
  <c r="H22" i="6926"/>
  <c r="H2" i="6926"/>
  <c r="H11" i="6926"/>
  <c r="H24" i="6926"/>
  <c r="H15" i="6926"/>
  <c r="C24" i="6926"/>
  <c r="B28" i="6926"/>
  <c r="H36" i="6926"/>
  <c r="H41" i="6926"/>
  <c r="H44" i="6926"/>
  <c r="H48" i="6926"/>
  <c r="H4" i="6926"/>
  <c r="H28" i="6926"/>
  <c r="H14" i="6926"/>
  <c r="H32" i="6926"/>
  <c r="H37" i="6926"/>
  <c r="C39" i="6926"/>
  <c r="C43" i="6926"/>
  <c r="C47" i="6926"/>
  <c r="H52" i="6926"/>
  <c r="H18" i="6926"/>
  <c r="H25" i="6926"/>
  <c r="C25" i="6926"/>
  <c r="H42" i="6926"/>
  <c r="H45" i="6926"/>
  <c r="H49" i="6926"/>
  <c r="H30" i="6926"/>
  <c r="C38" i="6926"/>
  <c r="C46" i="6926"/>
  <c r="H8" i="6926"/>
  <c r="H7" i="6926"/>
  <c r="H27" i="6926"/>
  <c r="H17" i="6926"/>
  <c r="H31" i="6926"/>
  <c r="H33" i="6926"/>
  <c r="H38" i="6926"/>
  <c r="C40" i="6926"/>
  <c r="C44" i="6926"/>
  <c r="C48" i="6926"/>
  <c r="H5" i="6926"/>
  <c r="H26" i="6926"/>
  <c r="C22" i="6926"/>
  <c r="C26" i="6926"/>
  <c r="H39" i="6926"/>
  <c r="H21" i="6926"/>
  <c r="H46" i="6926"/>
  <c r="H50" i="6926"/>
  <c r="H6" i="6926"/>
  <c r="H10" i="6926"/>
  <c r="H23" i="6926"/>
  <c r="H29" i="6926"/>
  <c r="H19" i="6926"/>
  <c r="H20" i="6926"/>
  <c r="C37" i="6926"/>
  <c r="C41" i="6926"/>
  <c r="C45" i="6926"/>
  <c r="C49" i="6926"/>
  <c r="H12" i="6926"/>
  <c r="H13" i="6926"/>
  <c r="H16" i="6926"/>
  <c r="C23" i="6926"/>
  <c r="B27" i="6926"/>
  <c r="H34" i="6926"/>
  <c r="H40" i="6926"/>
  <c r="H43" i="6926"/>
  <c r="H47" i="6926"/>
  <c r="P18" i="6916" l="1"/>
  <c r="P19" i="6916"/>
  <c r="P23" i="6924"/>
  <c r="P20" i="6924"/>
  <c r="C35" i="6924"/>
  <c r="B30" i="6924"/>
  <c r="C21" i="6924"/>
  <c r="B20" i="6924"/>
  <c r="H50" i="6924" s="1"/>
  <c r="B19" i="6924"/>
  <c r="B29" i="6924" s="1"/>
  <c r="B18" i="6924"/>
  <c r="C18" i="6924" s="1"/>
  <c r="C17" i="6924"/>
  <c r="C16" i="6924"/>
  <c r="C15" i="6924"/>
  <c r="B13" i="6924"/>
  <c r="P12" i="6924"/>
  <c r="B12" i="6924"/>
  <c r="P11" i="6924"/>
  <c r="B11" i="6924"/>
  <c r="P10" i="6924"/>
  <c r="C10" i="6924"/>
  <c r="C9" i="6924"/>
  <c r="C8" i="6924"/>
  <c r="P7" i="6924"/>
  <c r="B7" i="6924"/>
  <c r="P6" i="6924"/>
  <c r="P5" i="6924"/>
  <c r="B5" i="6924"/>
  <c r="P4" i="6924"/>
  <c r="P3" i="6924"/>
  <c r="P2" i="6924"/>
  <c r="P21" i="6914"/>
  <c r="P17" i="6922"/>
  <c r="P15" i="6922"/>
  <c r="C35" i="6922"/>
  <c r="B30" i="6922"/>
  <c r="C21" i="6922"/>
  <c r="B20" i="6922"/>
  <c r="H50" i="6922" s="1"/>
  <c r="B19" i="6922"/>
  <c r="B29" i="6922" s="1"/>
  <c r="B18" i="6922"/>
  <c r="C18" i="6922" s="1"/>
  <c r="C17" i="6922"/>
  <c r="C16" i="6922"/>
  <c r="C15" i="6922"/>
  <c r="B13" i="6922"/>
  <c r="P12" i="6922"/>
  <c r="B12" i="6922"/>
  <c r="P11" i="6922"/>
  <c r="B11" i="6922"/>
  <c r="P10" i="6922"/>
  <c r="C10" i="6922"/>
  <c r="C9" i="6922"/>
  <c r="C8" i="6922"/>
  <c r="P7" i="6922"/>
  <c r="B7" i="6922"/>
  <c r="P6" i="6922"/>
  <c r="P5" i="6922"/>
  <c r="B5" i="6922"/>
  <c r="P4" i="6922"/>
  <c r="P3" i="6922"/>
  <c r="P2" i="6922"/>
  <c r="P22" i="6914"/>
  <c r="C19" i="6922" l="1"/>
  <c r="B14" i="6922"/>
  <c r="B14" i="6924"/>
  <c r="C19" i="6924"/>
  <c r="C20" i="6924"/>
  <c r="H3" i="6924"/>
  <c r="H27" i="6924"/>
  <c r="H33" i="6924"/>
  <c r="C42" i="6924"/>
  <c r="H51" i="6924"/>
  <c r="H19" i="6924"/>
  <c r="H23" i="6924"/>
  <c r="C24" i="6924"/>
  <c r="B28" i="6924"/>
  <c r="H34" i="6924"/>
  <c r="H39" i="6924"/>
  <c r="H43" i="6924"/>
  <c r="H47" i="6924"/>
  <c r="H5" i="6924"/>
  <c r="H25" i="6924"/>
  <c r="H11" i="6924"/>
  <c r="H30" i="6924"/>
  <c r="H35" i="6924"/>
  <c r="C39" i="6924"/>
  <c r="C43" i="6924"/>
  <c r="C47" i="6924"/>
  <c r="H52" i="6924"/>
  <c r="H18" i="6924"/>
  <c r="H21" i="6924"/>
  <c r="C25" i="6924"/>
  <c r="H40" i="6924"/>
  <c r="H44" i="6924"/>
  <c r="H48" i="6924"/>
  <c r="H8" i="6924"/>
  <c r="C38" i="6924"/>
  <c r="C46" i="6924"/>
  <c r="H2" i="6924"/>
  <c r="H9" i="6924"/>
  <c r="H6" i="6924"/>
  <c r="H15" i="6924"/>
  <c r="H24" i="6924"/>
  <c r="H12" i="6924"/>
  <c r="H28" i="6924"/>
  <c r="H14" i="6924"/>
  <c r="H36" i="6924"/>
  <c r="C40" i="6924"/>
  <c r="C44" i="6924"/>
  <c r="C48" i="6924"/>
  <c r="H4" i="6924"/>
  <c r="H22" i="6924"/>
  <c r="C22" i="6924"/>
  <c r="C26" i="6924"/>
  <c r="H37" i="6924"/>
  <c r="H41" i="6924"/>
  <c r="H45" i="6924"/>
  <c r="H49" i="6924"/>
  <c r="H7" i="6924"/>
  <c r="H10" i="6924"/>
  <c r="H20" i="6924"/>
  <c r="H26" i="6924"/>
  <c r="H29" i="6924"/>
  <c r="H31" i="6924"/>
  <c r="C37" i="6924"/>
  <c r="C41" i="6924"/>
  <c r="C45" i="6924"/>
  <c r="C49" i="6924"/>
  <c r="H13" i="6924"/>
  <c r="H17" i="6924"/>
  <c r="H16" i="6924"/>
  <c r="C23" i="6924"/>
  <c r="B27" i="6924"/>
  <c r="H32" i="6924"/>
  <c r="H38" i="6924"/>
  <c r="H42" i="6924"/>
  <c r="H46" i="6924"/>
  <c r="C20" i="6922"/>
  <c r="H3" i="6922"/>
  <c r="H9" i="6922"/>
  <c r="C38" i="6922"/>
  <c r="C46" i="6922"/>
  <c r="H2" i="6922"/>
  <c r="H13" i="6922"/>
  <c r="C24" i="6922"/>
  <c r="B28" i="6922"/>
  <c r="H34" i="6922"/>
  <c r="H39" i="6922"/>
  <c r="H43" i="6922"/>
  <c r="H47" i="6922"/>
  <c r="H5" i="6922"/>
  <c r="H24" i="6922"/>
  <c r="H12" i="6922"/>
  <c r="H29" i="6922"/>
  <c r="H35" i="6922"/>
  <c r="C39" i="6922"/>
  <c r="C43" i="6922"/>
  <c r="C47" i="6922"/>
  <c r="H52" i="6922"/>
  <c r="H17" i="6922"/>
  <c r="H20" i="6922"/>
  <c r="C25" i="6922"/>
  <c r="H40" i="6922"/>
  <c r="H44" i="6922"/>
  <c r="H48" i="6922"/>
  <c r="H26" i="6922"/>
  <c r="H33" i="6922"/>
  <c r="C42" i="6922"/>
  <c r="H51" i="6922"/>
  <c r="H10" i="6922"/>
  <c r="H19" i="6922"/>
  <c r="H6" i="6922"/>
  <c r="H11" i="6922"/>
  <c r="H23" i="6922"/>
  <c r="H16" i="6922"/>
  <c r="H27" i="6922"/>
  <c r="H30" i="6922"/>
  <c r="H36" i="6922"/>
  <c r="C40" i="6922"/>
  <c r="C44" i="6922"/>
  <c r="C48" i="6922"/>
  <c r="H4" i="6922"/>
  <c r="H21" i="6922"/>
  <c r="C22" i="6922"/>
  <c r="C26" i="6922"/>
  <c r="H37" i="6922"/>
  <c r="H41" i="6922"/>
  <c r="H45" i="6922"/>
  <c r="H49" i="6922"/>
  <c r="H8" i="6922"/>
  <c r="H15" i="6922"/>
  <c r="H18" i="6922"/>
  <c r="H25" i="6922"/>
  <c r="H28" i="6922"/>
  <c r="H31" i="6922"/>
  <c r="C37" i="6922"/>
  <c r="C41" i="6922"/>
  <c r="C45" i="6922"/>
  <c r="C49" i="6922"/>
  <c r="H7" i="6922"/>
  <c r="H22" i="6922"/>
  <c r="H14" i="6922"/>
  <c r="C23" i="6922"/>
  <c r="B27" i="6922"/>
  <c r="H32" i="6922"/>
  <c r="H38" i="6922"/>
  <c r="H42" i="6922"/>
  <c r="H46" i="6922"/>
  <c r="P17" i="6920" l="1"/>
  <c r="P19" i="6920"/>
  <c r="C35" i="6920"/>
  <c r="B30" i="6920"/>
  <c r="C21" i="6920"/>
  <c r="B20" i="6920"/>
  <c r="H5" i="6920" s="1"/>
  <c r="B19" i="6920"/>
  <c r="B29" i="6920" s="1"/>
  <c r="B18" i="6920"/>
  <c r="C18" i="6920" s="1"/>
  <c r="C17" i="6920"/>
  <c r="C16" i="6920"/>
  <c r="C15" i="6920"/>
  <c r="B13" i="6920"/>
  <c r="P12" i="6920"/>
  <c r="B12" i="6920"/>
  <c r="P11" i="6920"/>
  <c r="B11" i="6920"/>
  <c r="P10" i="6920"/>
  <c r="C10" i="6920"/>
  <c r="C9" i="6920"/>
  <c r="C8" i="6920"/>
  <c r="P7" i="6920"/>
  <c r="B7" i="6920"/>
  <c r="P6" i="6920"/>
  <c r="P5" i="6920"/>
  <c r="B5" i="6920"/>
  <c r="P4" i="6920"/>
  <c r="P3" i="6920"/>
  <c r="P2" i="6920"/>
  <c r="P18" i="6918"/>
  <c r="P19" i="6918"/>
  <c r="C35" i="6918"/>
  <c r="B30" i="6918"/>
  <c r="C21" i="6918"/>
  <c r="B20" i="6918"/>
  <c r="H52" i="6918" s="1"/>
  <c r="B19" i="6918"/>
  <c r="B29" i="6918" s="1"/>
  <c r="B18" i="6918"/>
  <c r="C18" i="6918" s="1"/>
  <c r="C17" i="6918"/>
  <c r="C16" i="6918"/>
  <c r="C15" i="6918"/>
  <c r="B13" i="6918"/>
  <c r="P12" i="6918"/>
  <c r="B12" i="6918"/>
  <c r="P11" i="6918"/>
  <c r="B11" i="6918"/>
  <c r="P10" i="6918"/>
  <c r="C10" i="6918"/>
  <c r="C9" i="6918"/>
  <c r="C8" i="6918"/>
  <c r="P7" i="6918"/>
  <c r="B7" i="6918"/>
  <c r="P6" i="6918"/>
  <c r="P5" i="6918"/>
  <c r="B5" i="6918"/>
  <c r="P4" i="6918"/>
  <c r="P3" i="6918"/>
  <c r="P2" i="6918"/>
  <c r="P23" i="6914"/>
  <c r="P20" i="6916"/>
  <c r="P17" i="6916"/>
  <c r="C35" i="6916"/>
  <c r="B30" i="6916"/>
  <c r="C21" i="6916"/>
  <c r="B20" i="6916"/>
  <c r="H51" i="6916" s="1"/>
  <c r="B19" i="6916"/>
  <c r="B29" i="6916" s="1"/>
  <c r="B18" i="6916"/>
  <c r="C18" i="6916" s="1"/>
  <c r="C17" i="6916"/>
  <c r="C16" i="6916"/>
  <c r="C15" i="6916"/>
  <c r="B13" i="6916"/>
  <c r="P12" i="6916"/>
  <c r="B12" i="6916"/>
  <c r="P11" i="6916"/>
  <c r="B11" i="6916"/>
  <c r="P10" i="6916"/>
  <c r="C10" i="6916"/>
  <c r="C9" i="6916"/>
  <c r="C8" i="6916"/>
  <c r="P7" i="6916"/>
  <c r="B7" i="6916"/>
  <c r="P6" i="6916"/>
  <c r="P5" i="6916"/>
  <c r="B5" i="6916"/>
  <c r="P4" i="6916"/>
  <c r="P3" i="6916"/>
  <c r="P2" i="6916"/>
  <c r="P20" i="6914"/>
  <c r="P18" i="6914"/>
  <c r="C35" i="6914"/>
  <c r="B30" i="6914"/>
  <c r="C21" i="6914"/>
  <c r="B20" i="6914"/>
  <c r="H17" i="6914" s="1"/>
  <c r="B19" i="6914"/>
  <c r="B29" i="6914" s="1"/>
  <c r="B18" i="6914"/>
  <c r="C18" i="6914" s="1"/>
  <c r="C17" i="6914"/>
  <c r="C16" i="6914"/>
  <c r="C15" i="6914"/>
  <c r="B13" i="6914"/>
  <c r="P12" i="6914"/>
  <c r="B12" i="6914"/>
  <c r="P11" i="6914"/>
  <c r="B11" i="6914"/>
  <c r="P10" i="6914"/>
  <c r="C10" i="6914"/>
  <c r="C9" i="6914"/>
  <c r="C8" i="6914"/>
  <c r="P7" i="6914"/>
  <c r="B7" i="6914"/>
  <c r="P6" i="6914"/>
  <c r="P5" i="6914"/>
  <c r="B5" i="6914"/>
  <c r="P4" i="6914"/>
  <c r="P3" i="6914"/>
  <c r="P2" i="6914"/>
  <c r="B14" i="6920" l="1"/>
  <c r="C19" i="6920"/>
  <c r="B14" i="6916"/>
  <c r="C19" i="6918"/>
  <c r="H14" i="6920"/>
  <c r="C19" i="6916"/>
  <c r="C26" i="6918"/>
  <c r="H27" i="6918"/>
  <c r="H25" i="6920"/>
  <c r="H21" i="6920"/>
  <c r="C25" i="6920"/>
  <c r="H4" i="6920"/>
  <c r="H38" i="6920"/>
  <c r="C39" i="6920"/>
  <c r="C26" i="6920"/>
  <c r="H15" i="6920"/>
  <c r="H27" i="6920"/>
  <c r="H31" i="6920"/>
  <c r="C43" i="6920"/>
  <c r="C20" i="6920"/>
  <c r="H46" i="6920"/>
  <c r="H10" i="6920"/>
  <c r="H2" i="6920"/>
  <c r="C22" i="6920"/>
  <c r="H20" i="6920"/>
  <c r="C47" i="6920"/>
  <c r="B27" i="6920"/>
  <c r="C23" i="6920"/>
  <c r="H35" i="6920"/>
  <c r="H50" i="6920"/>
  <c r="H42" i="6920"/>
  <c r="H24" i="6920"/>
  <c r="H17" i="6920"/>
  <c r="H52" i="6920"/>
  <c r="H40" i="6920"/>
  <c r="H44" i="6920"/>
  <c r="H48" i="6920"/>
  <c r="H7" i="6920"/>
  <c r="H9" i="6920"/>
  <c r="H26" i="6920"/>
  <c r="H12" i="6920"/>
  <c r="H30" i="6920"/>
  <c r="H18" i="6920"/>
  <c r="H36" i="6920"/>
  <c r="C40" i="6920"/>
  <c r="C44" i="6920"/>
  <c r="C48" i="6920"/>
  <c r="H37" i="6920"/>
  <c r="H41" i="6920"/>
  <c r="H45" i="6920"/>
  <c r="H49" i="6920"/>
  <c r="H6" i="6920"/>
  <c r="H13" i="6920"/>
  <c r="H22" i="6920"/>
  <c r="H28" i="6920"/>
  <c r="H19" i="6920"/>
  <c r="H32" i="6920"/>
  <c r="C37" i="6920"/>
  <c r="C41" i="6920"/>
  <c r="C45" i="6920"/>
  <c r="C49" i="6920"/>
  <c r="H29" i="6920"/>
  <c r="H8" i="6920"/>
  <c r="H33" i="6920"/>
  <c r="C38" i="6920"/>
  <c r="C42" i="6920"/>
  <c r="C46" i="6920"/>
  <c r="H51" i="6920"/>
  <c r="H3" i="6920"/>
  <c r="H11" i="6920"/>
  <c r="H23" i="6920"/>
  <c r="H16" i="6920"/>
  <c r="C24" i="6920"/>
  <c r="B28" i="6920"/>
  <c r="H34" i="6920"/>
  <c r="H39" i="6920"/>
  <c r="H43" i="6920"/>
  <c r="H47" i="6920"/>
  <c r="B14" i="6918"/>
  <c r="H25" i="6918"/>
  <c r="H38" i="6918"/>
  <c r="H41" i="6918"/>
  <c r="C25" i="6918"/>
  <c r="C40" i="6918"/>
  <c r="H7" i="6918"/>
  <c r="H3" i="6918"/>
  <c r="H4" i="6918"/>
  <c r="H30" i="6918"/>
  <c r="H42" i="6918"/>
  <c r="H18" i="6918"/>
  <c r="H45" i="6918"/>
  <c r="H10" i="6918"/>
  <c r="C20" i="6918"/>
  <c r="C44" i="6918"/>
  <c r="H11" i="6918"/>
  <c r="H15" i="6918"/>
  <c r="H49" i="6918"/>
  <c r="H26" i="6918"/>
  <c r="H22" i="6918"/>
  <c r="C22" i="6918"/>
  <c r="H37" i="6918"/>
  <c r="C48" i="6918"/>
  <c r="H46" i="6918"/>
  <c r="H50" i="6918"/>
  <c r="H6" i="6918"/>
  <c r="H12" i="6918"/>
  <c r="H23" i="6918"/>
  <c r="H29" i="6918"/>
  <c r="H21" i="6918"/>
  <c r="H32" i="6918"/>
  <c r="C37" i="6918"/>
  <c r="C41" i="6918"/>
  <c r="C45" i="6918"/>
  <c r="C49" i="6918"/>
  <c r="H16" i="6918"/>
  <c r="H14" i="6918"/>
  <c r="C23" i="6918"/>
  <c r="B27" i="6918"/>
  <c r="H33" i="6918"/>
  <c r="H39" i="6918"/>
  <c r="H43" i="6918"/>
  <c r="H47" i="6918"/>
  <c r="H51" i="6918"/>
  <c r="H8" i="6918"/>
  <c r="C38" i="6918"/>
  <c r="H17" i="6918"/>
  <c r="H2" i="6918"/>
  <c r="H9" i="6918"/>
  <c r="H24" i="6918"/>
  <c r="H19" i="6918"/>
  <c r="C24" i="6918"/>
  <c r="B28" i="6918"/>
  <c r="H35" i="6918"/>
  <c r="H40" i="6918"/>
  <c r="H44" i="6918"/>
  <c r="H48" i="6918"/>
  <c r="H5" i="6918"/>
  <c r="H20" i="6918"/>
  <c r="H34" i="6918"/>
  <c r="C42" i="6918"/>
  <c r="C46" i="6918"/>
  <c r="H28" i="6918"/>
  <c r="H13" i="6918"/>
  <c r="H31" i="6918"/>
  <c r="H36" i="6918"/>
  <c r="C39" i="6918"/>
  <c r="C43" i="6918"/>
  <c r="C47" i="6918"/>
  <c r="B14" i="6914"/>
  <c r="C19" i="6914"/>
  <c r="C20" i="6916"/>
  <c r="H3" i="6916"/>
  <c r="H23" i="6916"/>
  <c r="H34" i="6916"/>
  <c r="C42" i="6916"/>
  <c r="H15" i="6916"/>
  <c r="H2" i="6916"/>
  <c r="H8" i="6916"/>
  <c r="H20" i="6916"/>
  <c r="H21" i="6916"/>
  <c r="C24" i="6916"/>
  <c r="B28" i="6916"/>
  <c r="H35" i="6916"/>
  <c r="H40" i="6916"/>
  <c r="H44" i="6916"/>
  <c r="H48" i="6916"/>
  <c r="H5" i="6916"/>
  <c r="H29" i="6916"/>
  <c r="H12" i="6916"/>
  <c r="H24" i="6916"/>
  <c r="H36" i="6916"/>
  <c r="C39" i="6916"/>
  <c r="C43" i="6916"/>
  <c r="C47" i="6916"/>
  <c r="H52" i="6916"/>
  <c r="H19" i="6916"/>
  <c r="H27" i="6916"/>
  <c r="C25" i="6916"/>
  <c r="H41" i="6916"/>
  <c r="H45" i="6916"/>
  <c r="H49" i="6916"/>
  <c r="H10" i="6916"/>
  <c r="C38" i="6916"/>
  <c r="C46" i="6916"/>
  <c r="H7" i="6916"/>
  <c r="H9" i="6916"/>
  <c r="H22" i="6916"/>
  <c r="H14" i="6916"/>
  <c r="H31" i="6916"/>
  <c r="H16" i="6916"/>
  <c r="H37" i="6916"/>
  <c r="C40" i="6916"/>
  <c r="C44" i="6916"/>
  <c r="C48" i="6916"/>
  <c r="H4" i="6916"/>
  <c r="H28" i="6916"/>
  <c r="C22" i="6916"/>
  <c r="C26" i="6916"/>
  <c r="H38" i="6916"/>
  <c r="H42" i="6916"/>
  <c r="H46" i="6916"/>
  <c r="H50" i="6916"/>
  <c r="H6" i="6916"/>
  <c r="H13" i="6916"/>
  <c r="H26" i="6916"/>
  <c r="H30" i="6916"/>
  <c r="H32" i="6916"/>
  <c r="H25" i="6916"/>
  <c r="C37" i="6916"/>
  <c r="C41" i="6916"/>
  <c r="C45" i="6916"/>
  <c r="C49" i="6916"/>
  <c r="H11" i="6916"/>
  <c r="H18" i="6916"/>
  <c r="H17" i="6916"/>
  <c r="C23" i="6916"/>
  <c r="B27" i="6916"/>
  <c r="H33" i="6916"/>
  <c r="H39" i="6916"/>
  <c r="H43" i="6916"/>
  <c r="H47" i="6916"/>
  <c r="H36" i="6914"/>
  <c r="H7" i="6914"/>
  <c r="C39" i="6914"/>
  <c r="H4" i="6914"/>
  <c r="H33" i="6914"/>
  <c r="C45" i="6914"/>
  <c r="H20" i="6914"/>
  <c r="H42" i="6914"/>
  <c r="C24" i="6914"/>
  <c r="H13" i="6914"/>
  <c r="H48" i="6914"/>
  <c r="H31" i="6914"/>
  <c r="H29" i="6914"/>
  <c r="H10" i="6914"/>
  <c r="H25" i="6914"/>
  <c r="C47" i="6914"/>
  <c r="H24" i="6914"/>
  <c r="C25" i="6914"/>
  <c r="H37" i="6914"/>
  <c r="C41" i="6914"/>
  <c r="H49" i="6914"/>
  <c r="H50" i="6914"/>
  <c r="H6" i="6914"/>
  <c r="C20" i="6914"/>
  <c r="C26" i="6914"/>
  <c r="H11" i="6914"/>
  <c r="H32" i="6914"/>
  <c r="H23" i="6914"/>
  <c r="C43" i="6914"/>
  <c r="C49" i="6914"/>
  <c r="H30" i="6914"/>
  <c r="H39" i="6914"/>
  <c r="H3" i="6914"/>
  <c r="H19" i="6914"/>
  <c r="C37" i="6914"/>
  <c r="H45" i="6914"/>
  <c r="H5" i="6914"/>
  <c r="H12" i="6914"/>
  <c r="H44" i="6914"/>
  <c r="B28" i="6914"/>
  <c r="H2" i="6914"/>
  <c r="H9" i="6914"/>
  <c r="H21" i="6914"/>
  <c r="C22" i="6914"/>
  <c r="H27" i="6914"/>
  <c r="H41" i="6914"/>
  <c r="H46" i="6914"/>
  <c r="H52" i="6914"/>
  <c r="H26" i="6914"/>
  <c r="H14" i="6914"/>
  <c r="H34" i="6914"/>
  <c r="H18" i="6914"/>
  <c r="H38" i="6914"/>
  <c r="C40" i="6914"/>
  <c r="C44" i="6914"/>
  <c r="C48" i="6914"/>
  <c r="H16" i="6914"/>
  <c r="H15" i="6914"/>
  <c r="C23" i="6914"/>
  <c r="B27" i="6914"/>
  <c r="H28" i="6914"/>
  <c r="H40" i="6914"/>
  <c r="H43" i="6914"/>
  <c r="H47" i="6914"/>
  <c r="H51" i="6914"/>
  <c r="H22" i="6914"/>
  <c r="H8" i="6914"/>
  <c r="H35" i="6914"/>
  <c r="C38" i="6914"/>
  <c r="C42" i="6914"/>
  <c r="C46" i="691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<sst xmlns="http://schemas.openxmlformats.org/spreadsheetml/2006/main" count="2979" uniqueCount="251">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</sst>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全体!$L$2:$L$287</c:f>
              <c:numCache>
                <c:formatCode>\+0.0;\-0.0;\±0</c:formatCode>
                <c:ptCount val="28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30.500000000000021</c:v>
                </c:pt>
                <c:pt idx="278">
                  <c:v>-22.299999999999976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43.200000000000031</c:v>
                </c:pt>
                <c:pt idx="282">
                  <c:v>2.8421709430404007E-14</c:v>
                </c:pt>
                <c:pt idx="283">
                  <c:v>40.900000000000027</c:v>
                </c:pt>
                <c:pt idx="284">
                  <c:v>30.800000000000026</c:v>
                </c:pt>
                <c:pt idx="285">
                  <c:v>2.4868995751603507E-14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5-4CF3-A990-E0A189378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-38.596491228070178</c:v>
                </c:pt>
                <c:pt idx="1">
                  <c:v>36.231884057971016</c:v>
                </c:pt>
                <c:pt idx="2">
                  <c:v>-17.921146953405017</c:v>
                </c:pt>
                <c:pt idx="3">
                  <c:v>-7.4906367041198498</c:v>
                </c:pt>
                <c:pt idx="4">
                  <c:v>20.325203252032519</c:v>
                </c:pt>
                <c:pt idx="5">
                  <c:v>14.285714285714286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2-4B0A-9B49-74C6463DF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60</c:v>
                </c:pt>
                <c:pt idx="1">
                  <c:v>134</c:v>
                </c:pt>
                <c:pt idx="2">
                  <c:v>138</c:v>
                </c:pt>
                <c:pt idx="3">
                  <c:v>135</c:v>
                </c:pt>
                <c:pt idx="4">
                  <c:v>98</c:v>
                </c:pt>
                <c:pt idx="5">
                  <c:v>67</c:v>
                </c:pt>
                <c:pt idx="6">
                  <c:v>33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61-48DE-812B-006D4694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全体!$M$2:$M$287</c:f>
              <c:numCache>
                <c:formatCode>0</c:formatCode>
                <c:ptCount val="28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1609.8553860267994</c:v>
                </c:pt>
                <c:pt idx="278">
                  <c:v>1600.3222537106385</c:v>
                </c:pt>
                <c:pt idx="279">
                  <c:v>1604.3643201883747</c:v>
                </c:pt>
                <c:pt idx="280">
                  <c:v>1615.8701342672443</c:v>
                </c:pt>
                <c:pt idx="281">
                  <c:v>1612.4029134616408</c:v>
                </c:pt>
                <c:pt idx="282">
                  <c:v>1604.7444959808709</c:v>
                </c:pt>
                <c:pt idx="283">
                  <c:v>1611.7420290049856</c:v>
                </c:pt>
                <c:pt idx="284">
                  <c:v>1609.5175768309557</c:v>
                </c:pt>
                <c:pt idx="285">
                  <c:v>1603.5804713699699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41-4326-995E-82B6A29E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だいち!$L$2:$L$80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73.099999999999952</c:v>
                </c:pt>
                <c:pt idx="78">
                  <c:v>136.09999999999997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D-4227-B16D-46AF863B0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108.97435897435898</c:v>
                </c:pt>
                <c:pt idx="1">
                  <c:v>-1278.6666666666667</c:v>
                </c:pt>
                <c:pt idx="2">
                  <c:v>-560.52631578947364</c:v>
                </c:pt>
                <c:pt idx="3">
                  <c:v>974.32432432432438</c:v>
                </c:pt>
                <c:pt idx="4">
                  <c:v>500</c:v>
                </c:pt>
                <c:pt idx="5">
                  <c:v>53.448275862068968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8-4634-B96D-98842AB2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37</c:v>
                </c:pt>
                <c:pt idx="2">
                  <c:v>45</c:v>
                </c:pt>
                <c:pt idx="3">
                  <c:v>37</c:v>
                </c:pt>
                <c:pt idx="4">
                  <c:v>34</c:v>
                </c:pt>
                <c:pt idx="5">
                  <c:v>25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0-48CF-A004-0212103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だいち!$M$2:$M$80</c:f>
              <c:numCache>
                <c:formatCode>0</c:formatCode>
                <c:ptCount val="79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1767.7072500304328</c:v>
                </c:pt>
                <c:pt idx="78">
                  <c:v>1778.2330065302501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A-4EB6-A620-5690D596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73-49D5-BBA3-ED7435AED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1743.9024390243903</c:v>
                </c:pt>
                <c:pt idx="1">
                  <c:v>-169.23076923076923</c:v>
                </c:pt>
                <c:pt idx="2">
                  <c:v>-464.10256410256409</c:v>
                </c:pt>
                <c:pt idx="3">
                  <c:v>-286.84210526315792</c:v>
                </c:pt>
                <c:pt idx="4">
                  <c:v>-31.428571428571427</c:v>
                </c:pt>
                <c:pt idx="5">
                  <c:v>-913.79310344827582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D-4F5F-A153-50A263FB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18</c:v>
                </c:pt>
                <c:pt idx="3">
                  <c:v>20</c:v>
                </c:pt>
                <c:pt idx="4">
                  <c:v>17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D-4FEF-B9AB-BB17714D3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れんたろう!$M$2:$M$43</c:f>
              <c:numCache>
                <c:formatCode>0</c:formatCode>
                <c:ptCount val="42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3E-46B9-B3EE-63187A9EE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7-456E-A611-2097010D9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294.44444444444446</c:v>
                </c:pt>
                <c:pt idx="1">
                  <c:v>-1219.4444444444443</c:v>
                </c:pt>
                <c:pt idx="2">
                  <c:v>1311.1111111111111</c:v>
                </c:pt>
                <c:pt idx="3">
                  <c:v>-1202.7777777777778</c:v>
                </c:pt>
                <c:pt idx="4">
                  <c:v>-1408.3333333333333</c:v>
                </c:pt>
                <c:pt idx="5">
                  <c:v>737.93103448275861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5A-4F4B-AA20-1B716B524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22</c:v>
                </c:pt>
                <c:pt idx="2">
                  <c:v>16</c:v>
                </c:pt>
                <c:pt idx="3">
                  <c:v>19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8-41C6-89FF-054654BF9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たかの!$M$2:$M$38</c:f>
              <c:numCache>
                <c:formatCode>0</c:formatCode>
                <c:ptCount val="3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3E-445F-A26C-98E64D3DA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-29.40000000000002</c:v>
                </c:pt>
                <c:pt idx="21">
                  <c:v>11.499999999999979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9-4664-9B4D-FCD9F0D1C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-71.428571428571431</c:v>
                </c:pt>
                <c:pt idx="1">
                  <c:v>909.52380952380952</c:v>
                </c:pt>
                <c:pt idx="2">
                  <c:v>223.8095238095238</c:v>
                </c:pt>
                <c:pt idx="3">
                  <c:v>-1821.0526315789473</c:v>
                </c:pt>
                <c:pt idx="4">
                  <c:v>2516.6666666666665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9F-4EA6-898D-CA89BA929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10</c:v>
                </c:pt>
                <c:pt idx="3">
                  <c:v>15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E-4239-9FB4-50A5197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まっつん!$M$2:$M$23</c:f>
              <c:numCache>
                <c:formatCode>0</c:formatCode>
                <c:ptCount val="22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1529.0037920938225</c:v>
                </c:pt>
                <c:pt idx="21">
                  <c:v>1536.4557693412596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C2-4677-A94C-43971A0CC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いちかわ!$L$2:$L$37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55.499999999999979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9-484B-871A-3EB8647D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142.85714285714286</c:v>
                </c:pt>
                <c:pt idx="1">
                  <c:v>1231.4285714285713</c:v>
                </c:pt>
                <c:pt idx="2">
                  <c:v>1968.5714285714287</c:v>
                </c:pt>
                <c:pt idx="3">
                  <c:v>-590.625</c:v>
                </c:pt>
                <c:pt idx="4">
                  <c:v>-1417.8571428571429</c:v>
                </c:pt>
                <c:pt idx="5">
                  <c:v>-57.692307692307693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DF-4E6C-9D8A-F2654D1CE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16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02-4414-9820-DF9681DA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いちかわ!$M$2:$M$37</c:f>
              <c:numCache>
                <c:formatCode>0</c:formatCode>
                <c:ptCount val="36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1513.9606769868594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50-474C-8850-E5200984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ただ!$L$2:$L$43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360.49999999999994</c:v>
                </c:pt>
                <c:pt idx="40">
                  <c:v>317.29999999999995</c:v>
                </c:pt>
                <c:pt idx="41">
                  <c:v>286.49999999999994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E6-4AA2-A7AB-9BE371CF9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-2.4390243902439024</c:v>
                </c:pt>
                <c:pt idx="1">
                  <c:v>1786.8421052631579</c:v>
                </c:pt>
                <c:pt idx="2">
                  <c:v>17.948717948717949</c:v>
                </c:pt>
                <c:pt idx="3">
                  <c:v>2318.9189189189187</c:v>
                </c:pt>
                <c:pt idx="4">
                  <c:v>755.88235294117646</c:v>
                </c:pt>
                <c:pt idx="5">
                  <c:v>310.71428571428572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8-46C1-8777-D4EA8D2E5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  <c:pt idx="4">
                  <c:v>19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BB-4CDB-B244-8D1C6F09C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ただ!$M$2:$M$43</c:f>
              <c:numCache>
                <c:formatCode>0</c:formatCode>
                <c:ptCount val="42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1595.4933037349929</c:v>
                </c:pt>
                <c:pt idx="40">
                  <c:v>1587.936343912583</c:v>
                </c:pt>
                <c:pt idx="41">
                  <c:v>1582.1287258491075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9-4C40-B585-3575181EF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63-465E-AD10-430BED54B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E2-4C23-B023-D82F3A62C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D-4695-88F2-C9C16A54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4-42AA-A31E-3D9219B2A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2-461F-AA48-FDFE56CEE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6F-4DEA-9B2F-31D834781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C-4B2A-9D90-27BF5B58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4D-447E-A544-7E7976F7B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BA-46CA-B331-0292A3DC8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-5122.2222222222226</c:v>
                </c:pt>
                <c:pt idx="1">
                  <c:v>7637.5</c:v>
                </c:pt>
                <c:pt idx="2">
                  <c:v>-1566.6666666666667</c:v>
                </c:pt>
                <c:pt idx="3">
                  <c:v>-4922.2222222222226</c:v>
                </c:pt>
                <c:pt idx="4">
                  <c:v>775</c:v>
                </c:pt>
                <c:pt idx="5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BAC-9E23-6CCF93BB0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9C-43FB-A631-3D690F1BB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りくと!$M$2:$M$11</c:f>
              <c:numCache>
                <c:formatCode>0</c:formatCode>
                <c:ptCount val="10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2-49E6-9376-9496D55B2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9-4B55-A122-A4C1F50C5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E-47ED-8506-C28401B0E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72-4A2A-BEA1-E2216068C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5-4B69-A300-8B774298C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48689957516035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たか2!$C$3:$C$21</c:f>
              <c:numCache>
                <c:formatCode>\+0.0;\-0.0;\±0</c:formatCode>
                <c:ptCount val="19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  <c:pt idx="15">
                  <c:v>-9.6399999999999988</c:v>
                </c:pt>
                <c:pt idx="16">
                  <c:v>-9.2624999999999993</c:v>
                </c:pt>
                <c:pt idx="17">
                  <c:v>-8.8235294117647065</c:v>
                </c:pt>
                <c:pt idx="18">
                  <c:v>-10.016666666666667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725963421615265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たか2!$D$3:$D$21</c:f>
              <c:numCache>
                <c:formatCode>0.00\ "位"</c:formatCode>
                <c:ptCount val="19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2.1764705882352939</c:v>
                </c:pt>
                <c:pt idx="18">
                  <c:v>2.2222222222222223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491228070175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たか2!$E$3:$E$21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84210526315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たか2!$F$3:$F$21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たか2!$G$3:$G$21</c:f>
              <c:numCache>
                <c:formatCode>0.0%</c:formatCode>
                <c:ptCount val="19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0.22900763358778625</c:v>
                </c:pt>
                <c:pt idx="18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296296296296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たか2!$H$3:$H$21</c:f>
              <c:numCache>
                <c:formatCode>0.0%</c:formatCode>
                <c:ptCount val="19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  <c:pt idx="15">
                  <c:v>0.23478260869565218</c:v>
                </c:pt>
                <c:pt idx="16">
                  <c:v>0.21774193548387097</c:v>
                </c:pt>
                <c:pt idx="17">
                  <c:v>0.21374045801526717</c:v>
                </c:pt>
                <c:pt idx="18">
                  <c:v>0.20714285714285716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21015397419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たか2!$I$3:$I$21</c:f>
              <c:numCache>
                <c:formatCode>0</c:formatCode>
                <c:ptCount val="19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  <c:pt idx="15">
                  <c:v>7796</c:v>
                </c:pt>
                <c:pt idx="16">
                  <c:v>7367.8571428571431</c:v>
                </c:pt>
                <c:pt idx="17">
                  <c:v>7183.333333333333</c:v>
                </c:pt>
                <c:pt idx="18">
                  <c:v>7183.333333333333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73.45505617977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たか2!$J$3:$J$21</c:f>
              <c:numCache>
                <c:formatCode>0</c:formatCode>
                <c:ptCount val="19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  <c:pt idx="15">
                  <c:v>-7988.8888888888887</c:v>
                </c:pt>
                <c:pt idx="16">
                  <c:v>-7988.8888888888887</c:v>
                </c:pt>
                <c:pt idx="17">
                  <c:v>-8132.1428571428569</c:v>
                </c:pt>
                <c:pt idx="18">
                  <c:v>-7886.2068965517237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49.11838790931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017543859649122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たか2!$L$3:$L$21</c:f>
              <c:numCache>
                <c:formatCode>0.0%</c:formatCode>
                <c:ptCount val="19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  <c:pt idx="15">
                  <c:v>0.23478260869565218</c:v>
                </c:pt>
                <c:pt idx="16">
                  <c:v>0.23387096774193547</c:v>
                </c:pt>
                <c:pt idx="17">
                  <c:v>0.22900763358778625</c:v>
                </c:pt>
                <c:pt idx="18">
                  <c:v>0.22857142857142856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3712026633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たか2!$M$3:$M$21</c:f>
              <c:numCache>
                <c:formatCode>0.0%</c:formatCode>
                <c:ptCount val="19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  <c:pt idx="15">
                  <c:v>0.2</c:v>
                </c:pt>
                <c:pt idx="16">
                  <c:v>0.18548387096774194</c:v>
                </c:pt>
                <c:pt idx="17">
                  <c:v>0.17557251908396945</c:v>
                </c:pt>
                <c:pt idx="18">
                  <c:v>0.17142857142857143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042030794839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たか2!$N$3:$N$21</c:f>
              <c:numCache>
                <c:formatCode>0.0%</c:formatCode>
                <c:ptCount val="19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  <c:pt idx="15">
                  <c:v>0.44444444444444442</c:v>
                </c:pt>
                <c:pt idx="16">
                  <c:v>0.48275862068965519</c:v>
                </c:pt>
                <c:pt idx="17">
                  <c:v>0.46666666666666667</c:v>
                </c:pt>
                <c:pt idx="18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936619718309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たか2!$O$3:$O$21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  <c:pt idx="15">
                  <c:v>0.30434782608695654</c:v>
                </c:pt>
                <c:pt idx="16">
                  <c:v>0.30434782608695654</c:v>
                </c:pt>
                <c:pt idx="17">
                  <c:v>0.30434782608695654</c:v>
                </c:pt>
                <c:pt idx="18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857142857142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たか2!$P$3:$P$21</c:f>
              <c:numCache>
                <c:formatCode>0.0%</c:formatCode>
                <c:ptCount val="19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</c:v>
                </c:pt>
                <c:pt idx="16">
                  <c:v>0.42857142857142855</c:v>
                </c:pt>
                <c:pt idx="17">
                  <c:v>0.43333333333333335</c:v>
                </c:pt>
                <c:pt idx="18">
                  <c:v>0.43333333333333335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3932584269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5CEC98-9221-4DBF-9268-1A44358F4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602317-AB31-4F87-AF25-B8C3AAF61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FE3D472-5EF7-4E0F-8145-23E08523F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328392F-7F76-4CF7-AE78-D81121652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CE6862-28B3-453D-B4A9-B0CCD170B6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6CACA2-A684-45E6-96B3-BC7733CE0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5A4ADFA-3A5D-43AB-8445-47AE8E5D2C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148D417-6F9C-4CCD-BCC4-9A463FE97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52AE9D-70BF-4FE5-8032-BD40D2D6A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73714E-1B2C-4D79-BD50-F87295A4A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39A026-77E5-441B-9896-A67D907A4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C45063B-2F67-4FFC-9C00-F53A4A7939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56023C-605D-406C-A1E5-DF70ABE9B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468DC4-D772-4F8B-9D10-B5C2C9F5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BB73B1-BC5E-4F9E-AE31-4ED2CB849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85F30BF-AAE1-4871-B6E1-704640AE4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B325F2-F529-4086-B98A-E4C223ACA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9CC4BC-91E1-4D4A-B4DD-8F0DA63DB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158BA9-B696-4F83-9FA4-E772911C2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F66B4E5-0A87-4DE6-B232-AEB11237D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817A7E-210E-4F9E-AC40-B293D4D3A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08BFBE-FE14-4AA6-82F7-96AD1EEE4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ABCA84-685E-4FD2-89CF-10823D95A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E8ECFA6-0C5A-400C-B531-B2B5B3CF1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F0DE38-A77D-4D9E-94FB-45814C0B24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ED3A6C-AD87-4D01-88F1-10FB70B39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7DBEF6-135E-41F2-A4F6-79CB7CCEF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F4EA52F-DD30-44E1-83B7-A82042147E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CEE920-B0C6-4BE4-83D3-175861785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16EE44-E854-4BF2-B69F-6B996DF8A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8A863B-5508-48CF-B1E5-7FEDE6D72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9B916B3-BA5A-4D29-BC55-0B8730275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5243A2-FB26-4C6E-B190-A4974A1891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304DE7-9AE1-446D-B282-E773ABFA3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3AACEB-25E3-409E-A7A4-71FD2CE9EF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24FFC9C-DAB6-4F47-830A-BFB692F59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3AD356-BE34-4567-8549-88B5BC211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D241C9-B37E-4398-9117-25C3FBDDB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6FFD0EC-DC9A-4F4A-92C8-7E0C03105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1FAC8D7-EA95-4FC7-8C66-0F818EA47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D0B980-76A0-4C01-B233-9101D4183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54C3B2-E687-45E5-9E64-0F3B8F3D1D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EF8C44-49FB-4C07-A366-4E7BB3EF5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12EC769-D8E6-45FD-8922-64791F9ED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4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5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5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5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5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5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5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5">
      <c r="A34" s="2" t="s">
        <v>250</v>
      </c>
      <c r="B34" s="3">
        <v>44154.777199074073</v>
      </c>
      <c r="C34" s="2" t="s">
        <v>127</v>
      </c>
      <c r="D34" s="2" t="s">
        <v>188</v>
      </c>
      <c r="E34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78</v>
      </c>
      <c r="C2" s="120">
        <v>1842.3339395535957</v>
      </c>
    </row>
    <row r="3" spans="1:3" x14ac:dyDescent="0.45">
      <c r="A3" t="s">
        <v>163</v>
      </c>
      <c r="B3" s="120">
        <v>41</v>
      </c>
      <c r="C3" s="120">
        <v>1653.1699313523677</v>
      </c>
    </row>
    <row r="4" spans="1:3" x14ac:dyDescent="0.45">
      <c r="A4" t="s">
        <v>139</v>
      </c>
      <c r="B4" s="120">
        <v>285</v>
      </c>
      <c r="C4" s="120">
        <v>1594.5463045050694</v>
      </c>
    </row>
    <row r="5" spans="1:3" x14ac:dyDescent="0.45">
      <c r="A5" t="s">
        <v>190</v>
      </c>
      <c r="B5" s="120">
        <v>21</v>
      </c>
      <c r="C5" s="120">
        <v>1524.3778689305989</v>
      </c>
    </row>
    <row r="6" spans="1:3" x14ac:dyDescent="0.45">
      <c r="A6" t="s">
        <v>192</v>
      </c>
      <c r="B6" s="120">
        <v>41</v>
      </c>
      <c r="C6" s="120">
        <v>1517.1288342047803</v>
      </c>
    </row>
    <row r="7" spans="1:3" x14ac:dyDescent="0.45">
      <c r="A7" t="s">
        <v>211</v>
      </c>
      <c r="B7" s="120">
        <v>35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36</v>
      </c>
      <c r="C10" s="120">
        <v>1433.30445236539</v>
      </c>
    </row>
    <row r="11" spans="1:3" x14ac:dyDescent="0.45">
      <c r="A11" t="s">
        <v>195</v>
      </c>
      <c r="B11" s="120">
        <v>9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0.8745023578597555</v>
      </c>
      <c r="C2" s="142"/>
      <c r="D2" s="141">
        <v>0.42388321739739809</v>
      </c>
      <c r="E2" s="142"/>
      <c r="F2" s="141">
        <v>0.37277046334693847</v>
      </c>
      <c r="G2" s="142"/>
      <c r="H2" s="147"/>
      <c r="I2" s="148"/>
      <c r="J2" s="141">
        <v>0.16894721477087574</v>
      </c>
      <c r="K2" s="142"/>
      <c r="L2" s="141">
        <v>0.13673422648227995</v>
      </c>
      <c r="M2" s="142"/>
      <c r="N2" s="141">
        <v>0.15414933815596191</v>
      </c>
      <c r="O2" s="142"/>
      <c r="P2" s="141">
        <v>0.49294389772842706</v>
      </c>
      <c r="Q2" s="142"/>
      <c r="R2" s="141">
        <v>-9.3700383207277874E-2</v>
      </c>
      <c r="S2" s="142"/>
      <c r="T2" s="141">
        <v>0.61159294142905241</v>
      </c>
      <c r="U2" s="142"/>
      <c r="V2" s="141">
        <v>0.12613334393925382</v>
      </c>
      <c r="W2" s="142"/>
      <c r="X2" s="141">
        <v>-0.16407998212826516</v>
      </c>
      <c r="Y2" s="142"/>
      <c r="Z2" s="141">
        <v>6.9875276042662263E-2</v>
      </c>
      <c r="AA2" s="142"/>
      <c r="AB2" s="141">
        <v>-0.18031081596260587</v>
      </c>
      <c r="AC2" s="142"/>
      <c r="AD2" s="141">
        <v>0.46610849529852955</v>
      </c>
      <c r="AE2" s="142"/>
      <c r="AF2" s="141">
        <v>0.36888268192276463</v>
      </c>
      <c r="AG2" s="142"/>
      <c r="AH2" s="141">
        <v>0.15081572902865381</v>
      </c>
      <c r="AI2" s="142"/>
      <c r="AJ2" s="141">
        <v>0.64462022158013044</v>
      </c>
      <c r="AK2" s="142"/>
    </row>
    <row r="3" spans="1:37" x14ac:dyDescent="0.45">
      <c r="A3" s="38">
        <v>1</v>
      </c>
      <c r="B3" s="41" t="s">
        <v>139</v>
      </c>
      <c r="C3" s="113">
        <v>95</v>
      </c>
      <c r="D3" s="39" t="s">
        <v>192</v>
      </c>
      <c r="E3" s="40">
        <v>286.49999999999994</v>
      </c>
      <c r="F3" s="41" t="s">
        <v>192</v>
      </c>
      <c r="G3" s="60">
        <v>6.9878048780487791</v>
      </c>
      <c r="H3" s="41" t="s">
        <v>126</v>
      </c>
      <c r="I3" s="45">
        <v>1778.2330065302501</v>
      </c>
      <c r="J3" s="41" t="s">
        <v>192</v>
      </c>
      <c r="K3" s="42">
        <v>1.7560975609756098</v>
      </c>
      <c r="L3" s="41" t="s">
        <v>195</v>
      </c>
      <c r="M3" s="43">
        <v>0.55555555555555558</v>
      </c>
      <c r="N3" s="41" t="s">
        <v>192</v>
      </c>
      <c r="O3" s="43">
        <v>0.1951219512195122</v>
      </c>
      <c r="P3" s="41" t="s">
        <v>192</v>
      </c>
      <c r="Q3" s="44">
        <v>0.3342696629213483</v>
      </c>
      <c r="R3" s="41" t="s">
        <v>190</v>
      </c>
      <c r="S3" s="44">
        <v>0.10227272727272728</v>
      </c>
      <c r="T3" s="41" t="s">
        <v>221</v>
      </c>
      <c r="U3" s="45">
        <v>10925</v>
      </c>
      <c r="V3" s="41" t="s">
        <v>190</v>
      </c>
      <c r="W3" s="45">
        <v>-5350</v>
      </c>
      <c r="X3" s="41" t="s">
        <v>193</v>
      </c>
      <c r="Y3" s="43">
        <v>0</v>
      </c>
      <c r="Z3" s="41" t="s">
        <v>189</v>
      </c>
      <c r="AA3" s="44">
        <v>0.26984126984126983</v>
      </c>
      <c r="AB3" s="41" t="s">
        <v>189</v>
      </c>
      <c r="AC3" s="44">
        <v>0.29841269841269841</v>
      </c>
      <c r="AD3" s="41" t="s">
        <v>195</v>
      </c>
      <c r="AE3" s="44">
        <v>0.6875</v>
      </c>
      <c r="AF3" s="41" t="s">
        <v>211</v>
      </c>
      <c r="AG3" s="44">
        <v>0.48484848484848486</v>
      </c>
      <c r="AH3" s="41" t="s">
        <v>221</v>
      </c>
      <c r="AI3" s="44">
        <v>1</v>
      </c>
      <c r="AJ3" s="41" t="s">
        <v>126</v>
      </c>
      <c r="AK3" s="55">
        <v>186600</v>
      </c>
    </row>
    <row r="4" spans="1:37" x14ac:dyDescent="0.45">
      <c r="A4" s="46">
        <v>2</v>
      </c>
      <c r="B4" s="49" t="s">
        <v>126</v>
      </c>
      <c r="C4" s="114">
        <v>78</v>
      </c>
      <c r="D4" s="47" t="s">
        <v>126</v>
      </c>
      <c r="E4" s="48">
        <v>136.09999999999997</v>
      </c>
      <c r="F4" s="49" t="s">
        <v>126</v>
      </c>
      <c r="G4" s="61">
        <v>1.7448717948717944</v>
      </c>
      <c r="H4" s="49" t="s">
        <v>163</v>
      </c>
      <c r="I4" s="53">
        <v>1623.0600080708391</v>
      </c>
      <c r="J4" s="49" t="s">
        <v>195</v>
      </c>
      <c r="K4" s="50">
        <v>1.8888888888888888</v>
      </c>
      <c r="L4" s="49" t="s">
        <v>192</v>
      </c>
      <c r="M4" s="51">
        <v>0.43902439024390244</v>
      </c>
      <c r="N4" s="49" t="s">
        <v>190</v>
      </c>
      <c r="O4" s="51">
        <v>0.23809523809523808</v>
      </c>
      <c r="P4" s="49" t="s">
        <v>126</v>
      </c>
      <c r="Q4" s="52">
        <v>0.32258064516129031</v>
      </c>
      <c r="R4" s="49" t="s">
        <v>192</v>
      </c>
      <c r="S4" s="52">
        <v>0.12359550561797752</v>
      </c>
      <c r="T4" s="49" t="s">
        <v>195</v>
      </c>
      <c r="U4" s="53">
        <v>8727.2727272727279</v>
      </c>
      <c r="V4" s="49" t="s">
        <v>211</v>
      </c>
      <c r="W4" s="53">
        <v>-6751.2820512820517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0.56874999999999998</v>
      </c>
      <c r="AF4" s="49" t="s">
        <v>126</v>
      </c>
      <c r="AG4" s="52">
        <v>0.46715328467153283</v>
      </c>
      <c r="AH4" s="49" t="s">
        <v>195</v>
      </c>
      <c r="AI4" s="52">
        <v>0.54545454545454541</v>
      </c>
      <c r="AJ4" s="49" t="s">
        <v>139</v>
      </c>
      <c r="AK4" s="56">
        <v>186600</v>
      </c>
    </row>
    <row r="5" spans="1:37" x14ac:dyDescent="0.45">
      <c r="A5" s="46">
        <v>3</v>
      </c>
      <c r="B5" s="49" t="s">
        <v>163</v>
      </c>
      <c r="C5" s="114">
        <v>41</v>
      </c>
      <c r="D5" s="47" t="s">
        <v>211</v>
      </c>
      <c r="E5" s="48">
        <v>55.499999999999979</v>
      </c>
      <c r="F5" s="49" t="s">
        <v>211</v>
      </c>
      <c r="G5" s="61">
        <v>1.5857142857142852</v>
      </c>
      <c r="H5" s="49" t="s">
        <v>139</v>
      </c>
      <c r="I5" s="53">
        <v>1603.5804713699699</v>
      </c>
      <c r="J5" s="49" t="s">
        <v>211</v>
      </c>
      <c r="K5" s="50">
        <v>1.9428571428571428</v>
      </c>
      <c r="L5" s="49" t="s">
        <v>211</v>
      </c>
      <c r="M5" s="51">
        <v>0.4</v>
      </c>
      <c r="N5" s="49" t="s">
        <v>139</v>
      </c>
      <c r="O5" s="51">
        <v>0.33333333333333331</v>
      </c>
      <c r="P5" s="49" t="s">
        <v>211</v>
      </c>
      <c r="Q5" s="52">
        <v>0.30555555555555558</v>
      </c>
      <c r="R5" s="49" t="s">
        <v>211</v>
      </c>
      <c r="S5" s="52">
        <v>0.13541666666666666</v>
      </c>
      <c r="T5" s="49" t="s">
        <v>163</v>
      </c>
      <c r="U5" s="53">
        <v>8634.0425531914898</v>
      </c>
      <c r="V5" s="49" t="s">
        <v>126</v>
      </c>
      <c r="W5" s="53">
        <v>-6801.6528925619832</v>
      </c>
      <c r="X5" s="49" t="s">
        <v>189</v>
      </c>
      <c r="Y5" s="51">
        <v>2.7777777777777776E-2</v>
      </c>
      <c r="Z5" s="49" t="s">
        <v>163</v>
      </c>
      <c r="AA5" s="52">
        <v>0.25428571428571428</v>
      </c>
      <c r="AB5" s="49" t="s">
        <v>221</v>
      </c>
      <c r="AC5" s="52">
        <v>0.27777777777777779</v>
      </c>
      <c r="AD5" s="49" t="s">
        <v>190</v>
      </c>
      <c r="AE5" s="52">
        <v>0.56097560975609762</v>
      </c>
      <c r="AF5" s="49" t="s">
        <v>195</v>
      </c>
      <c r="AG5" s="52">
        <v>0.44444444444444442</v>
      </c>
      <c r="AH5" s="49" t="s">
        <v>189</v>
      </c>
      <c r="AI5" s="52">
        <v>0.48351648351648352</v>
      </c>
      <c r="AJ5" s="49" t="s">
        <v>211</v>
      </c>
      <c r="AK5" s="56">
        <v>176500</v>
      </c>
    </row>
    <row r="6" spans="1:37" x14ac:dyDescent="0.45">
      <c r="A6" s="46">
        <v>4</v>
      </c>
      <c r="B6" s="49" t="s">
        <v>192</v>
      </c>
      <c r="C6" s="114">
        <v>41</v>
      </c>
      <c r="D6" s="47" t="s">
        <v>190</v>
      </c>
      <c r="E6" s="48">
        <v>11.499999999999979</v>
      </c>
      <c r="F6" s="49" t="s">
        <v>190</v>
      </c>
      <c r="G6" s="61">
        <v>0.54761904761904656</v>
      </c>
      <c r="H6" s="49" t="s">
        <v>192</v>
      </c>
      <c r="I6" s="53">
        <v>1582.1287258491075</v>
      </c>
      <c r="J6" s="49" t="s">
        <v>139</v>
      </c>
      <c r="K6" s="50">
        <v>1.9964912280701754</v>
      </c>
      <c r="L6" s="49" t="s">
        <v>139</v>
      </c>
      <c r="M6" s="51">
        <v>0.33684210526315789</v>
      </c>
      <c r="N6" s="49" t="s">
        <v>211</v>
      </c>
      <c r="O6" s="51">
        <v>0.34285714285714286</v>
      </c>
      <c r="P6" s="49" t="s">
        <v>195</v>
      </c>
      <c r="Q6" s="52">
        <v>0.29729729729729731</v>
      </c>
      <c r="R6" s="49" t="s">
        <v>195</v>
      </c>
      <c r="S6" s="52">
        <v>0.14864864864864866</v>
      </c>
      <c r="T6" s="49" t="s">
        <v>193</v>
      </c>
      <c r="U6" s="53">
        <v>8212.5</v>
      </c>
      <c r="V6" s="49" t="s">
        <v>195</v>
      </c>
      <c r="W6" s="53">
        <v>-7154.545454545455</v>
      </c>
      <c r="X6" s="49" t="s">
        <v>190</v>
      </c>
      <c r="Y6" s="51">
        <v>4.7619047619047616E-2</v>
      </c>
      <c r="Z6" s="49" t="s">
        <v>126</v>
      </c>
      <c r="AA6" s="52">
        <v>0.24577572964669739</v>
      </c>
      <c r="AB6" s="49" t="s">
        <v>192</v>
      </c>
      <c r="AC6" s="52">
        <v>0.2640449438202247</v>
      </c>
      <c r="AD6" s="49" t="s">
        <v>211</v>
      </c>
      <c r="AE6" s="52">
        <v>0.55932203389830504</v>
      </c>
      <c r="AF6" s="49" t="s">
        <v>192</v>
      </c>
      <c r="AG6" s="52">
        <v>0.43617021276595747</v>
      </c>
      <c r="AH6" s="49" t="s">
        <v>126</v>
      </c>
      <c r="AI6" s="52">
        <v>0.46190476190476193</v>
      </c>
      <c r="AJ6" s="49" t="s">
        <v>192</v>
      </c>
      <c r="AK6" s="56">
        <v>125000</v>
      </c>
    </row>
    <row r="7" spans="1:37" x14ac:dyDescent="0.45">
      <c r="A7" s="46">
        <v>5</v>
      </c>
      <c r="B7" s="49" t="s">
        <v>189</v>
      </c>
      <c r="C7" s="114">
        <v>36</v>
      </c>
      <c r="D7" s="47" t="s">
        <v>139</v>
      </c>
      <c r="E7" s="48">
        <v>2.4868995751603507E-14</v>
      </c>
      <c r="F7" s="49" t="s">
        <v>139</v>
      </c>
      <c r="G7" s="61">
        <v>8.7259634216152654E-17</v>
      </c>
      <c r="H7" s="49" t="s">
        <v>190</v>
      </c>
      <c r="I7" s="53">
        <v>1536.4557693412596</v>
      </c>
      <c r="J7" s="49" t="s">
        <v>190</v>
      </c>
      <c r="K7" s="50">
        <v>2</v>
      </c>
      <c r="L7" s="49" t="s">
        <v>126</v>
      </c>
      <c r="M7" s="51">
        <v>0.33333333333333331</v>
      </c>
      <c r="N7" s="49" t="s">
        <v>126</v>
      </c>
      <c r="O7" s="51">
        <v>0.34615384615384615</v>
      </c>
      <c r="P7" s="49" t="s">
        <v>139</v>
      </c>
      <c r="Q7" s="52">
        <v>0.29629629629629628</v>
      </c>
      <c r="R7" s="49" t="s">
        <v>139</v>
      </c>
      <c r="S7" s="52">
        <v>0.16521015397419891</v>
      </c>
      <c r="T7" s="49" t="s">
        <v>190</v>
      </c>
      <c r="U7" s="53">
        <v>8193.4782608695659</v>
      </c>
      <c r="V7" s="49" t="s">
        <v>139</v>
      </c>
      <c r="W7" s="53">
        <v>-7349.1183879093196</v>
      </c>
      <c r="X7" s="49" t="s">
        <v>192</v>
      </c>
      <c r="Y7" s="51">
        <v>4.878048780487805E-2</v>
      </c>
      <c r="Z7" s="49" t="s">
        <v>139</v>
      </c>
      <c r="AA7" s="52">
        <v>0.2363712026633375</v>
      </c>
      <c r="AB7" s="49" t="s">
        <v>163</v>
      </c>
      <c r="AC7" s="52">
        <v>0.24</v>
      </c>
      <c r="AD7" s="49" t="s">
        <v>192</v>
      </c>
      <c r="AE7" s="52">
        <v>0.53424657534246578</v>
      </c>
      <c r="AF7" s="49" t="s">
        <v>190</v>
      </c>
      <c r="AG7" s="52">
        <v>0.43243243243243246</v>
      </c>
      <c r="AH7" s="49" t="s">
        <v>163</v>
      </c>
      <c r="AI7" s="52">
        <v>0.45744680851063829</v>
      </c>
      <c r="AJ7" s="49" t="s">
        <v>163</v>
      </c>
      <c r="AK7" s="56">
        <v>94700</v>
      </c>
    </row>
    <row r="8" spans="1:37" x14ac:dyDescent="0.45">
      <c r="A8" s="46">
        <v>6</v>
      </c>
      <c r="B8" s="49" t="s">
        <v>211</v>
      </c>
      <c r="C8" s="114">
        <v>35</v>
      </c>
      <c r="D8" s="47" t="s">
        <v>221</v>
      </c>
      <c r="E8" s="48">
        <v>-13.5</v>
      </c>
      <c r="F8" s="49" t="s">
        <v>189</v>
      </c>
      <c r="G8" s="61">
        <v>-2.0194444444444444</v>
      </c>
      <c r="H8" s="49" t="s">
        <v>211</v>
      </c>
      <c r="I8" s="53">
        <v>1513.9606769868594</v>
      </c>
      <c r="J8" s="49" t="s">
        <v>126</v>
      </c>
      <c r="K8" s="50">
        <v>2.0128205128205128</v>
      </c>
      <c r="L8" s="49" t="s">
        <v>189</v>
      </c>
      <c r="M8" s="51">
        <v>0.33333333333333331</v>
      </c>
      <c r="N8" s="49" t="s">
        <v>189</v>
      </c>
      <c r="O8" s="51">
        <v>0.3611111111111111</v>
      </c>
      <c r="P8" s="49" t="s">
        <v>189</v>
      </c>
      <c r="Q8" s="52">
        <v>0.28888888888888886</v>
      </c>
      <c r="R8" s="49" t="s">
        <v>221</v>
      </c>
      <c r="S8" s="52">
        <v>0.16666666666666666</v>
      </c>
      <c r="T8" s="49" t="s">
        <v>126</v>
      </c>
      <c r="U8" s="53">
        <v>8089.0476190476193</v>
      </c>
      <c r="V8" s="49" t="s">
        <v>192</v>
      </c>
      <c r="W8" s="53">
        <v>-7654.545454545455</v>
      </c>
      <c r="X8" s="49" t="s">
        <v>211</v>
      </c>
      <c r="Y8" s="51">
        <v>5.7142857142857141E-2</v>
      </c>
      <c r="Z8" s="49" t="s">
        <v>190</v>
      </c>
      <c r="AA8" s="52">
        <v>0.23295454545454544</v>
      </c>
      <c r="AB8" s="49" t="s">
        <v>139</v>
      </c>
      <c r="AC8" s="52">
        <v>0.23304203079483979</v>
      </c>
      <c r="AD8" s="49" t="s">
        <v>139</v>
      </c>
      <c r="AE8" s="52">
        <v>0.51936619718309862</v>
      </c>
      <c r="AF8" s="49" t="s">
        <v>139</v>
      </c>
      <c r="AG8" s="52">
        <v>0.41785714285714287</v>
      </c>
      <c r="AH8" s="49" t="s">
        <v>139</v>
      </c>
      <c r="AI8" s="52">
        <v>0.4353932584269663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190</v>
      </c>
      <c r="C9" s="114">
        <v>21</v>
      </c>
      <c r="D9" s="47" t="s">
        <v>195</v>
      </c>
      <c r="E9" s="48">
        <v>-21.200000000000003</v>
      </c>
      <c r="F9" s="49" t="s">
        <v>195</v>
      </c>
      <c r="G9" s="61">
        <v>-2.3555555555555561</v>
      </c>
      <c r="H9" s="49" t="s">
        <v>221</v>
      </c>
      <c r="I9" s="53">
        <v>1497.379788</v>
      </c>
      <c r="J9" s="49" t="s">
        <v>189</v>
      </c>
      <c r="K9" s="50">
        <v>2.0277777777777777</v>
      </c>
      <c r="L9" s="49" t="s">
        <v>163</v>
      </c>
      <c r="M9" s="51">
        <v>0.26829268292682928</v>
      </c>
      <c r="N9" s="49" t="s">
        <v>163</v>
      </c>
      <c r="O9" s="51">
        <v>0.36585365853658536</v>
      </c>
      <c r="P9" s="49" t="s">
        <v>163</v>
      </c>
      <c r="Q9" s="52">
        <v>0.26857142857142857</v>
      </c>
      <c r="R9" s="49" t="s">
        <v>189</v>
      </c>
      <c r="S9" s="52">
        <v>0.18412698412698414</v>
      </c>
      <c r="T9" s="49" t="s">
        <v>139</v>
      </c>
      <c r="U9" s="53">
        <v>7973.4550561797751</v>
      </c>
      <c r="V9" s="49" t="s">
        <v>189</v>
      </c>
      <c r="W9" s="53">
        <v>-7800</v>
      </c>
      <c r="X9" s="49" t="s">
        <v>126</v>
      </c>
      <c r="Y9" s="51">
        <v>6.4102564102564097E-2</v>
      </c>
      <c r="Z9" s="49" t="s">
        <v>216</v>
      </c>
      <c r="AA9" s="52">
        <v>0.22857142857142856</v>
      </c>
      <c r="AB9" s="49" t="s">
        <v>211</v>
      </c>
      <c r="AC9" s="52">
        <v>0.22916666666666666</v>
      </c>
      <c r="AD9" s="49" t="s">
        <v>189</v>
      </c>
      <c r="AE9" s="52">
        <v>0.47058823529411764</v>
      </c>
      <c r="AF9" s="49" t="s">
        <v>193</v>
      </c>
      <c r="AG9" s="52">
        <v>0.4</v>
      </c>
      <c r="AH9" s="49" t="s">
        <v>216</v>
      </c>
      <c r="AI9" s="52">
        <v>0.43333333333333335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216</v>
      </c>
      <c r="C10" s="114">
        <v>18</v>
      </c>
      <c r="D10" s="47" t="s">
        <v>193</v>
      </c>
      <c r="E10" s="48">
        <v>-51.699999999999996</v>
      </c>
      <c r="F10" s="49" t="s">
        <v>163</v>
      </c>
      <c r="G10" s="61">
        <v>-3.6634146341463421</v>
      </c>
      <c r="H10" s="49" t="s">
        <v>216</v>
      </c>
      <c r="I10" s="53">
        <v>1475.2783888604056</v>
      </c>
      <c r="J10" s="49" t="s">
        <v>163</v>
      </c>
      <c r="K10" s="50">
        <v>2.0975609756097562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190</v>
      </c>
      <c r="Q10" s="52">
        <v>0.26136363636363635</v>
      </c>
      <c r="R10" s="49" t="s">
        <v>126</v>
      </c>
      <c r="S10" s="52">
        <v>0.18586789554531491</v>
      </c>
      <c r="T10" s="49" t="s">
        <v>211</v>
      </c>
      <c r="U10" s="53">
        <v>7815.909090909091</v>
      </c>
      <c r="V10" s="49" t="s">
        <v>216</v>
      </c>
      <c r="W10" s="53">
        <v>-7886.2068965517237</v>
      </c>
      <c r="X10" s="49" t="s">
        <v>139</v>
      </c>
      <c r="Y10" s="51">
        <v>7.0175438596491224E-2</v>
      </c>
      <c r="Z10" s="49" t="s">
        <v>221</v>
      </c>
      <c r="AA10" s="52">
        <v>0.22222222222222221</v>
      </c>
      <c r="AB10" s="49" t="s">
        <v>126</v>
      </c>
      <c r="AC10" s="52">
        <v>0.21044546850998463</v>
      </c>
      <c r="AD10" s="49" t="s">
        <v>163</v>
      </c>
      <c r="AE10" s="52">
        <v>0.4606741573033708</v>
      </c>
      <c r="AF10" s="49" t="s">
        <v>221</v>
      </c>
      <c r="AG10" s="52">
        <v>0.4</v>
      </c>
      <c r="AH10" s="49" t="s">
        <v>211</v>
      </c>
      <c r="AI10" s="52">
        <v>0.40909090909090912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9</v>
      </c>
      <c r="D11" s="47" t="s">
        <v>189</v>
      </c>
      <c r="E11" s="48">
        <v>-72.7</v>
      </c>
      <c r="F11" s="49" t="s">
        <v>221</v>
      </c>
      <c r="G11" s="61">
        <v>-6.75</v>
      </c>
      <c r="H11" s="49" t="s">
        <v>189</v>
      </c>
      <c r="I11" s="53">
        <v>1451.5589813530601</v>
      </c>
      <c r="J11" s="49" t="s">
        <v>216</v>
      </c>
      <c r="K11" s="50">
        <v>2.2222222222222223</v>
      </c>
      <c r="L11" s="49" t="s">
        <v>190</v>
      </c>
      <c r="M11" s="51">
        <v>0.23809523809523808</v>
      </c>
      <c r="N11" s="49" t="s">
        <v>195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0.18857142857142858</v>
      </c>
      <c r="T11" s="49" t="s">
        <v>192</v>
      </c>
      <c r="U11" s="53">
        <v>7712.6050420168067</v>
      </c>
      <c r="V11" s="49" t="s">
        <v>163</v>
      </c>
      <c r="W11" s="53">
        <v>-8066.666666666667</v>
      </c>
      <c r="X11" s="49" t="s">
        <v>216</v>
      </c>
      <c r="Y11" s="51">
        <v>0.1111111111111111</v>
      </c>
      <c r="Z11" s="49" t="s">
        <v>195</v>
      </c>
      <c r="AA11" s="52">
        <v>0.21621621621621623</v>
      </c>
      <c r="AB11" s="49" t="s">
        <v>190</v>
      </c>
      <c r="AC11" s="52">
        <v>0.21022727272727273</v>
      </c>
      <c r="AD11" s="49" t="s">
        <v>216</v>
      </c>
      <c r="AE11" s="52">
        <v>0.4375</v>
      </c>
      <c r="AF11" s="49" t="s">
        <v>189</v>
      </c>
      <c r="AG11" s="52">
        <v>0.38297872340425532</v>
      </c>
      <c r="AH11" s="49" t="s">
        <v>192</v>
      </c>
      <c r="AI11" s="52">
        <v>0.40336134453781514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-150.20000000000002</v>
      </c>
      <c r="F12" s="49" t="s">
        <v>216</v>
      </c>
      <c r="G12" s="61">
        <v>-10.016666666666667</v>
      </c>
      <c r="H12" s="49" t="s">
        <v>195</v>
      </c>
      <c r="I12" s="53">
        <v>1397.8590871718811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7334.065934065934</v>
      </c>
      <c r="V12" s="49" t="s">
        <v>193</v>
      </c>
      <c r="W12" s="53">
        <v>-9387.5</v>
      </c>
      <c r="X12" s="49" t="s">
        <v>163</v>
      </c>
      <c r="Y12" s="51">
        <v>0.12195121951219512</v>
      </c>
      <c r="Z12" s="49" t="s">
        <v>192</v>
      </c>
      <c r="AA12" s="52">
        <v>0.2050561797752809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0.33333333333333331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0.22222222222222221</v>
      </c>
      <c r="Z13" s="49" t="s">
        <v>211</v>
      </c>
      <c r="AA13" s="52">
        <v>0.2048611111111111</v>
      </c>
      <c r="AB13" s="49" t="s">
        <v>195</v>
      </c>
      <c r="AC13" s="52">
        <v>0.12162162162162163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0.2391304347826087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9407C-97E7-4D51-8653-EAE6998D1CB7}">
  <sheetPr codeName="Sheet4"/>
  <dimension ref="A1:R28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285</v>
      </c>
      <c r="C2" s="134"/>
      <c r="E2" s="26" t="s">
        <v>66</v>
      </c>
      <c r="F2" s="23" t="s">
        <v>22</v>
      </c>
      <c r="G2" s="11">
        <v>553</v>
      </c>
      <c r="H2" s="87">
        <f>IF(B$20=0,0,G2/B$20)</f>
        <v>0.776685393258427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-38.596491228070178</v>
      </c>
      <c r="Q2" s="76">
        <v>285</v>
      </c>
      <c r="R2" s="63">
        <v>-11000</v>
      </c>
    </row>
    <row r="3" spans="1:18" x14ac:dyDescent="0.45">
      <c r="A3" s="19" t="s">
        <v>8</v>
      </c>
      <c r="B3" s="135">
        <v>2403</v>
      </c>
      <c r="C3" s="136"/>
      <c r="E3" s="27" t="s">
        <v>72</v>
      </c>
      <c r="F3" s="24" t="s">
        <v>27</v>
      </c>
      <c r="G3" s="12">
        <v>417</v>
      </c>
      <c r="H3" s="88">
        <f>IF(B$20=0,0,G3/B$20)</f>
        <v>0.5856741573033708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36.231884057971016</v>
      </c>
      <c r="Q3" s="77">
        <v>276</v>
      </c>
      <c r="R3" s="64">
        <v>10000</v>
      </c>
    </row>
    <row r="4" spans="1:18" x14ac:dyDescent="0.45">
      <c r="A4" s="19" t="s">
        <v>6</v>
      </c>
      <c r="B4" s="137">
        <v>2.4868995751603507E-14</v>
      </c>
      <c r="C4" s="138"/>
      <c r="E4" s="27" t="s">
        <v>64</v>
      </c>
      <c r="F4" s="24" t="s">
        <v>20</v>
      </c>
      <c r="G4" s="12">
        <v>287</v>
      </c>
      <c r="H4" s="88">
        <f>IF(B$20=0,0,G4/B$20)</f>
        <v>0.40308988764044945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-17.921146953405017</v>
      </c>
      <c r="Q4" s="77">
        <v>279</v>
      </c>
      <c r="R4" s="64">
        <v>-5000</v>
      </c>
    </row>
    <row r="5" spans="1:18" x14ac:dyDescent="0.45">
      <c r="A5" s="19" t="s">
        <v>7</v>
      </c>
      <c r="B5" s="125">
        <f>IF(B$2=0,0,B$4/B$2)</f>
        <v>8.7259634216152654E-17</v>
      </c>
      <c r="C5" s="126"/>
      <c r="E5" s="27" t="s">
        <v>159</v>
      </c>
      <c r="F5" s="24" t="s">
        <v>160</v>
      </c>
      <c r="G5" s="12">
        <v>281</v>
      </c>
      <c r="H5" s="88">
        <f>IF(B$20=0,0,G5/B$20)</f>
        <v>0.3946629213483146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-7.4906367041198498</v>
      </c>
      <c r="Q5" s="77">
        <v>267</v>
      </c>
      <c r="R5" s="64">
        <v>-2000</v>
      </c>
    </row>
    <row r="6" spans="1:18" x14ac:dyDescent="0.45">
      <c r="A6" s="19" t="s">
        <v>196</v>
      </c>
      <c r="B6" s="129">
        <v>1603.5804713699699</v>
      </c>
      <c r="C6" s="130"/>
      <c r="E6" s="27" t="s">
        <v>68</v>
      </c>
      <c r="F6" s="24" t="s">
        <v>12</v>
      </c>
      <c r="G6" s="12">
        <v>208</v>
      </c>
      <c r="H6" s="88">
        <f>IF(B$20=0,0,G6/B$20)</f>
        <v>0.29213483146067415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20.325203252032519</v>
      </c>
      <c r="Q6" s="77">
        <v>246</v>
      </c>
      <c r="R6" s="64">
        <v>5000</v>
      </c>
    </row>
    <row r="7" spans="1:18" x14ac:dyDescent="0.45">
      <c r="A7" s="19" t="s">
        <v>1</v>
      </c>
      <c r="B7" s="139">
        <f>IF(B$2=0,0,(B$8*1+B$9*2+B$10*3)/B$2)</f>
        <v>1.9964912280701754</v>
      </c>
      <c r="C7" s="140"/>
      <c r="E7" s="27" t="s">
        <v>67</v>
      </c>
      <c r="F7" s="24" t="s">
        <v>23</v>
      </c>
      <c r="G7" s="12">
        <v>154</v>
      </c>
      <c r="H7" s="88">
        <f>IF(B$20=0,0,G7/B$20)</f>
        <v>0.21629213483146068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14.285714285714286</v>
      </c>
      <c r="Q7" s="78">
        <v>210</v>
      </c>
      <c r="R7" s="65">
        <v>3000</v>
      </c>
    </row>
    <row r="8" spans="1:18" x14ac:dyDescent="0.45">
      <c r="A8" s="19" t="s">
        <v>2</v>
      </c>
      <c r="B8" s="12">
        <v>96</v>
      </c>
      <c r="C8" s="6">
        <f t="shared" ref="C8:C15" si="1">IF(B$2=0,0,B8/B$2)</f>
        <v>0.33684210526315789</v>
      </c>
      <c r="E8" s="27" t="s">
        <v>89</v>
      </c>
      <c r="F8" s="24" t="s">
        <v>44</v>
      </c>
      <c r="G8" s="12">
        <v>104</v>
      </c>
      <c r="H8" s="88">
        <f>IF(B$20=0,0,G8/B$20)</f>
        <v>0.14606741573033707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94</v>
      </c>
      <c r="C9" s="6">
        <f t="shared" si="1"/>
        <v>0.3298245614035088</v>
      </c>
      <c r="E9" s="27" t="s">
        <v>69</v>
      </c>
      <c r="F9" s="24" t="s">
        <v>24</v>
      </c>
      <c r="G9" s="12">
        <v>92</v>
      </c>
      <c r="H9" s="88">
        <f>IF(B$20=0,0,G9/B$20)</f>
        <v>0.12921348314606743</v>
      </c>
      <c r="I9" s="58">
        <v>3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95</v>
      </c>
      <c r="C10" s="7">
        <f t="shared" si="1"/>
        <v>0.33333333333333331</v>
      </c>
      <c r="E10" s="27" t="s">
        <v>70</v>
      </c>
      <c r="F10" s="24" t="s">
        <v>25</v>
      </c>
      <c r="G10" s="12">
        <v>78</v>
      </c>
      <c r="H10" s="88">
        <f>IF(B$20=0,0,G10/B$20)</f>
        <v>0.10955056179775281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3.2105263157894739</v>
      </c>
      <c r="Q10" s="76">
        <v>95</v>
      </c>
      <c r="R10" s="67">
        <v>305</v>
      </c>
    </row>
    <row r="11" spans="1:18" x14ac:dyDescent="0.45">
      <c r="A11" s="20" t="s">
        <v>184</v>
      </c>
      <c r="B11" s="109">
        <f>IF(B8=0,0,C11/B8)</f>
        <v>33.155208333333327</v>
      </c>
      <c r="C11" s="110">
        <v>3182.8999999999996</v>
      </c>
      <c r="E11" s="27" t="s">
        <v>65</v>
      </c>
      <c r="F11" s="24" t="s">
        <v>21</v>
      </c>
      <c r="G11" s="12">
        <v>61</v>
      </c>
      <c r="H11" s="88">
        <f>IF(B$20=0,0,G11/B$20)</f>
        <v>8.5674157303370788E-2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-4.3715789473684215</v>
      </c>
      <c r="Q11" s="77">
        <v>95</v>
      </c>
      <c r="R11" s="68">
        <v>-415.3</v>
      </c>
    </row>
    <row r="12" spans="1:18" x14ac:dyDescent="0.45">
      <c r="A12" s="20" t="s">
        <v>185</v>
      </c>
      <c r="B12" s="109">
        <f>IF(B9=0,0,C12/B9)</f>
        <v>-0.33936170212765943</v>
      </c>
      <c r="C12" s="110">
        <v>-31.899999999999984</v>
      </c>
      <c r="E12" s="27" t="s">
        <v>71</v>
      </c>
      <c r="F12" s="24" t="s">
        <v>26</v>
      </c>
      <c r="G12" s="12">
        <v>44</v>
      </c>
      <c r="H12" s="88">
        <f>IF(B$20=0,0,G12/B$20)</f>
        <v>6.1797752808988762E-2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1.1610526315789471</v>
      </c>
      <c r="Q12" s="78">
        <v>95</v>
      </c>
      <c r="R12" s="69">
        <v>110.29999999999997</v>
      </c>
    </row>
    <row r="13" spans="1:18" x14ac:dyDescent="0.45">
      <c r="A13" s="20" t="s">
        <v>186</v>
      </c>
      <c r="B13" s="109">
        <f>IF(B10=0,0,C13/B10)</f>
        <v>-33.168421052631587</v>
      </c>
      <c r="C13" s="110">
        <v>-3151.0000000000009</v>
      </c>
      <c r="E13" s="27" t="s">
        <v>86</v>
      </c>
      <c r="F13" s="24" t="s">
        <v>41</v>
      </c>
      <c r="G13" s="12">
        <v>39</v>
      </c>
      <c r="H13" s="88">
        <f>IF(B$20=0,0,G13/B$20)</f>
        <v>5.4775280898876406E-2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-0.11752480714197351</v>
      </c>
      <c r="C14" s="126"/>
      <c r="E14" s="27" t="s">
        <v>83</v>
      </c>
      <c r="F14" s="24" t="s">
        <v>38</v>
      </c>
      <c r="G14" s="12">
        <v>29</v>
      </c>
      <c r="H14" s="88">
        <f>IF(B$20=0,0,G14/B$20)</f>
        <v>4.0730337078651688E-2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20</v>
      </c>
      <c r="C15" s="9">
        <f t="shared" si="1"/>
        <v>7.0175438596491224E-2</v>
      </c>
      <c r="E15" s="27" t="s">
        <v>81</v>
      </c>
      <c r="F15" s="24" t="s">
        <v>36</v>
      </c>
      <c r="G15" s="12">
        <v>25</v>
      </c>
      <c r="H15" s="88">
        <f>IF(B$20=0,0,G15/B$20)</f>
        <v>3.51123595505618E-2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568</v>
      </c>
      <c r="C16" s="10">
        <f>IF(B$3=0,0,B16/B$3)</f>
        <v>0.2363712026633375</v>
      </c>
      <c r="E16" s="27" t="s">
        <v>78</v>
      </c>
      <c r="F16" s="24" t="s">
        <v>33</v>
      </c>
      <c r="G16" s="12">
        <v>17</v>
      </c>
      <c r="H16" s="88">
        <f>IF(B$20=0,0,G16/B$20)</f>
        <v>2.3876404494382022E-2</v>
      </c>
      <c r="I16" s="58">
        <v>6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560</v>
      </c>
      <c r="C17" s="6">
        <f>IF(B$3=0,0,B17/B$3)</f>
        <v>0.23304203079483979</v>
      </c>
      <c r="E17" s="27" t="s">
        <v>155</v>
      </c>
      <c r="F17" s="24" t="s">
        <v>156</v>
      </c>
      <c r="G17" s="12">
        <v>14</v>
      </c>
      <c r="H17" s="88">
        <f>IF(B$20=0,0,G17/B$20)</f>
        <v>1.9662921348314606E-2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5">
      <c r="A18" s="18" t="s">
        <v>123</v>
      </c>
      <c r="B18" s="11">
        <f>B24</f>
        <v>295</v>
      </c>
      <c r="C18" s="5">
        <f>IF(B$16=0,0,B18/B$16)</f>
        <v>0.51936619718309862</v>
      </c>
      <c r="E18" s="27" t="s">
        <v>91</v>
      </c>
      <c r="F18" s="24" t="s">
        <v>46</v>
      </c>
      <c r="G18" s="12">
        <v>13</v>
      </c>
      <c r="H18" s="88">
        <f>IF(B$20=0,0,G18/B$20)</f>
        <v>1.8258426966292134E-2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5.495121951219514</v>
      </c>
      <c r="Q18" s="77">
        <v>82</v>
      </c>
      <c r="R18" s="68">
        <v>450.60000000000014</v>
      </c>
    </row>
    <row r="19" spans="1:18" x14ac:dyDescent="0.45">
      <c r="A19" s="18" t="s">
        <v>124</v>
      </c>
      <c r="B19" s="11">
        <f>B25</f>
        <v>234</v>
      </c>
      <c r="C19" s="5">
        <f>IF(B$17=0,0,B19/B$17)</f>
        <v>0.41785714285714287</v>
      </c>
      <c r="E19" s="27" t="s">
        <v>79</v>
      </c>
      <c r="F19" s="24" t="s">
        <v>34</v>
      </c>
      <c r="G19" s="12">
        <v>10</v>
      </c>
      <c r="H19" s="88">
        <f>IF(B$20=0,0,G19/B$20)</f>
        <v>1.4044943820224719E-2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3.5333333333333377</v>
      </c>
      <c r="Q19" s="77">
        <v>18</v>
      </c>
      <c r="R19" s="68">
        <v>63.60000000000008</v>
      </c>
    </row>
    <row r="20" spans="1:18" x14ac:dyDescent="0.45">
      <c r="A20" s="18" t="s">
        <v>10</v>
      </c>
      <c r="B20" s="11">
        <f>B23+B22</f>
        <v>712</v>
      </c>
      <c r="C20" s="5">
        <f>IF(B$3=0,0,B20/B$3)</f>
        <v>0.29629629629629628</v>
      </c>
      <c r="E20" s="27" t="s">
        <v>73</v>
      </c>
      <c r="F20" s="24" t="s">
        <v>28</v>
      </c>
      <c r="G20" s="12">
        <v>6</v>
      </c>
      <c r="H20" s="88">
        <f>IF(B$20=0,0,G20/B$20)</f>
        <v>8.4269662921348312E-3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189</v>
      </c>
      <c r="P20" s="83">
        <f>IF(Q20=0,0,R20/Q20)</f>
        <v>3.0291666666666677</v>
      </c>
      <c r="Q20" s="77">
        <v>72</v>
      </c>
      <c r="R20" s="68">
        <v>218.10000000000008</v>
      </c>
    </row>
    <row r="21" spans="1:18" x14ac:dyDescent="0.45">
      <c r="A21" s="19" t="s">
        <v>13</v>
      </c>
      <c r="B21" s="12">
        <v>397</v>
      </c>
      <c r="C21" s="6">
        <f>IF(B$3=0,0,B21/B$3)</f>
        <v>0.16521015397419891</v>
      </c>
      <c r="E21" s="27" t="s">
        <v>75</v>
      </c>
      <c r="F21" s="24" t="s">
        <v>30</v>
      </c>
      <c r="G21" s="12">
        <v>3</v>
      </c>
      <c r="H21" s="88">
        <f>IF(B$20=0,0,G21/B$20)</f>
        <v>4.2134831460674156E-3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190</v>
      </c>
      <c r="P21" s="83">
        <f>IF(Q21=0,0,R21/Q21)</f>
        <v>-0.82142857142857206</v>
      </c>
      <c r="Q21" s="77">
        <v>42</v>
      </c>
      <c r="R21" s="68">
        <v>-34.500000000000028</v>
      </c>
    </row>
    <row r="22" spans="1:18" x14ac:dyDescent="0.45">
      <c r="A22" s="19" t="s">
        <v>12</v>
      </c>
      <c r="B22" s="12">
        <v>310</v>
      </c>
      <c r="C22" s="6">
        <f>IF(B$20=0,0,B22/B$20)</f>
        <v>0.4353932584269663</v>
      </c>
      <c r="E22" s="27" t="s">
        <v>85</v>
      </c>
      <c r="F22" s="24" t="s">
        <v>40</v>
      </c>
      <c r="G22" s="12">
        <v>3</v>
      </c>
      <c r="H22" s="88">
        <f>IF(B$20=0,0,G22/B$20)</f>
        <v>4.2134831460674156E-3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211</v>
      </c>
      <c r="P22" s="83">
        <f>IF(Q22=0,0,R22/Q22)</f>
        <v>-2.3785714285714299</v>
      </c>
      <c r="Q22" s="77">
        <v>70</v>
      </c>
      <c r="R22" s="68">
        <v>-166.50000000000009</v>
      </c>
    </row>
    <row r="23" spans="1:18" x14ac:dyDescent="0.45">
      <c r="A23" s="19" t="s">
        <v>11</v>
      </c>
      <c r="B23" s="12">
        <v>402</v>
      </c>
      <c r="C23" s="6">
        <f>IF(B$20=0,0,B23/B$20)</f>
        <v>0.5646067415730337</v>
      </c>
      <c r="E23" s="27" t="s">
        <v>88</v>
      </c>
      <c r="F23" s="24" t="s">
        <v>43</v>
      </c>
      <c r="G23" s="12">
        <v>3</v>
      </c>
      <c r="H23" s="88">
        <f>IF(B$20=0,0,G23/B$20)</f>
        <v>4.2134831460674156E-3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-2.6173076923076897</v>
      </c>
      <c r="Q23" s="77">
        <v>156</v>
      </c>
      <c r="R23" s="68">
        <v>-408.29999999999961</v>
      </c>
    </row>
    <row r="24" spans="1:18" x14ac:dyDescent="0.45">
      <c r="A24" s="19" t="s">
        <v>183</v>
      </c>
      <c r="B24" s="12">
        <v>295</v>
      </c>
      <c r="C24" s="6">
        <f>IF(B$20=0,0,B24/B$20)</f>
        <v>0.4143258426966292</v>
      </c>
      <c r="E24" s="27" t="s">
        <v>77</v>
      </c>
      <c r="F24" s="24" t="s">
        <v>32</v>
      </c>
      <c r="G24" s="12">
        <v>2</v>
      </c>
      <c r="H24" s="88">
        <f>IF(B$20=0,0,G24/B$20)</f>
        <v>2.8089887640449437E-3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-10.481707317073177</v>
      </c>
      <c r="Q24" s="77">
        <v>82</v>
      </c>
      <c r="R24" s="68">
        <v>-859.50000000000045</v>
      </c>
    </row>
    <row r="25" spans="1:18" x14ac:dyDescent="0.45">
      <c r="A25" s="19" t="s">
        <v>181</v>
      </c>
      <c r="B25" s="12">
        <v>234</v>
      </c>
      <c r="C25" s="6">
        <f>IF(B$20=0,0,B25/B$20)</f>
        <v>0.32865168539325845</v>
      </c>
      <c r="E25" s="27" t="s">
        <v>92</v>
      </c>
      <c r="F25" s="24" t="s">
        <v>47</v>
      </c>
      <c r="G25" s="12">
        <v>2</v>
      </c>
      <c r="H25" s="88">
        <f>IF(B$20=0,0,G25/B$20)</f>
        <v>2.8089887640449437E-3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183</v>
      </c>
      <c r="C26" s="6">
        <f>IF(B$20=0,0,B26/B$20)</f>
        <v>0.25702247191011235</v>
      </c>
      <c r="E26" s="27" t="s">
        <v>80</v>
      </c>
      <c r="F26" s="24" t="s">
        <v>35</v>
      </c>
      <c r="G26" s="12">
        <v>1</v>
      </c>
      <c r="H26" s="88">
        <f>IF(B$20=0,0,G26/B$20)</f>
        <v>1.4044943820224719E-3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7973.4550561797751</v>
      </c>
      <c r="C27" s="8">
        <v>5677100</v>
      </c>
      <c r="E27" s="27" t="s">
        <v>90</v>
      </c>
      <c r="F27" s="24" t="s">
        <v>45</v>
      </c>
      <c r="G27" s="12">
        <v>1</v>
      </c>
      <c r="H27" s="88">
        <f>IF(B$20=0,0,G27/B$20)</f>
        <v>1.4044943820224719E-3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8557.3221757322171</v>
      </c>
      <c r="C28" s="96">
        <v>4090400</v>
      </c>
      <c r="E28" s="27" t="s">
        <v>93</v>
      </c>
      <c r="F28" s="24" t="s">
        <v>48</v>
      </c>
      <c r="G28" s="12">
        <v>1</v>
      </c>
      <c r="H28" s="88">
        <f>IF(B$20=0,0,G28/B$20)</f>
        <v>1.4044943820224719E-3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6780.7692307692305</v>
      </c>
      <c r="C29" s="96">
        <v>1586700</v>
      </c>
      <c r="E29" s="27" t="s">
        <v>102</v>
      </c>
      <c r="F29" s="24" t="s">
        <v>57</v>
      </c>
      <c r="G29" s="12">
        <v>1</v>
      </c>
      <c r="H29" s="88">
        <f>IF(B$20=0,0,G29/B$20)</f>
        <v>1.4044943820224719E-3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-7349.1183879093196</v>
      </c>
      <c r="C30" s="96">
        <v>-2917600</v>
      </c>
      <c r="E30" s="27" t="s">
        <v>74</v>
      </c>
      <c r="F30" s="24" t="s">
        <v>29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48</v>
      </c>
      <c r="C32" s="90">
        <v>2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186600</v>
      </c>
      <c r="C34" s="130"/>
      <c r="E34" s="27" t="s">
        <v>87</v>
      </c>
      <c r="F34" s="24" t="s">
        <v>42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7</v>
      </c>
      <c r="C35" s="9">
        <f>IF(B$3=0,0,B35/B$3)</f>
        <v>2.9130253849354972E-3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60</v>
      </c>
      <c r="C37" s="98">
        <f t="shared" ref="C37:C49" si="2">IF(B$20=0,0,B37/B$20)</f>
        <v>8.4269662921348312E-2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134</v>
      </c>
      <c r="C38" s="6">
        <f t="shared" si="2"/>
        <v>0.18820224719101122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138</v>
      </c>
      <c r="C39" s="6">
        <f t="shared" si="2"/>
        <v>0.19382022471910113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135</v>
      </c>
      <c r="C40" s="6">
        <f t="shared" si="2"/>
        <v>0.1896067415730337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98</v>
      </c>
      <c r="C41" s="6">
        <f t="shared" si="2"/>
        <v>0.13764044943820225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67</v>
      </c>
      <c r="C42" s="6">
        <f t="shared" si="2"/>
        <v>9.4101123595505612E-2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33</v>
      </c>
      <c r="C43" s="6">
        <f t="shared" si="2"/>
        <v>4.6348314606741575E-2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20</v>
      </c>
      <c r="C44" s="6">
        <f t="shared" si="2"/>
        <v>2.8089887640449437E-2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13</v>
      </c>
      <c r="C45" s="6">
        <f t="shared" si="2"/>
        <v>1.8258426966292134E-2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8</v>
      </c>
      <c r="C46" s="6">
        <f t="shared" si="2"/>
        <v>1.1235955056179775E-2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2.8089887640449437E-3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5.6179775280898875E-3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  <row r="225" spans="11:13" x14ac:dyDescent="0.45">
      <c r="K225" s="74">
        <v>223</v>
      </c>
      <c r="L225" s="119">
        <v>-24.499999999999964</v>
      </c>
      <c r="M225" s="117">
        <v>1595.0341734718663</v>
      </c>
    </row>
    <row r="226" spans="11:13" x14ac:dyDescent="0.45">
      <c r="K226" s="74">
        <v>224</v>
      </c>
      <c r="L226" s="119">
        <v>-0.59999999999996589</v>
      </c>
      <c r="M226" s="117">
        <v>1599.4019684310351</v>
      </c>
    </row>
    <row r="227" spans="11:13" x14ac:dyDescent="0.45">
      <c r="K227" s="74">
        <v>225</v>
      </c>
      <c r="L227" s="119">
        <v>3.4083846855992306E-14</v>
      </c>
      <c r="M227" s="117">
        <v>1599.5495566204488</v>
      </c>
    </row>
    <row r="228" spans="11:13" x14ac:dyDescent="0.45">
      <c r="K228" s="74">
        <v>226</v>
      </c>
      <c r="L228" s="119">
        <v>35.500000000000036</v>
      </c>
      <c r="M228" s="117">
        <v>1605.9782592807262</v>
      </c>
    </row>
    <row r="229" spans="11:13" x14ac:dyDescent="0.45">
      <c r="K229" s="74">
        <v>227</v>
      </c>
      <c r="L229" s="119">
        <v>10.000000000000036</v>
      </c>
      <c r="M229" s="117">
        <v>1601.3883897250419</v>
      </c>
    </row>
    <row r="230" spans="11:13" x14ac:dyDescent="0.45">
      <c r="K230" s="74">
        <v>228</v>
      </c>
      <c r="L230" s="119">
        <v>3.5527136788005009E-14</v>
      </c>
      <c r="M230" s="117">
        <v>1599.6160593866916</v>
      </c>
    </row>
    <row r="231" spans="11:13" x14ac:dyDescent="0.45">
      <c r="K231" s="74">
        <v>229</v>
      </c>
      <c r="L231" s="119">
        <v>14.300000000000036</v>
      </c>
      <c r="M231" s="117">
        <v>1602.4323630303716</v>
      </c>
    </row>
    <row r="232" spans="11:13" x14ac:dyDescent="0.45">
      <c r="K232" s="74">
        <v>230</v>
      </c>
      <c r="L232" s="119">
        <v>-3.3999999999999631</v>
      </c>
      <c r="M232" s="117">
        <v>1599.4717688521894</v>
      </c>
    </row>
    <row r="233" spans="11:13" x14ac:dyDescent="0.45">
      <c r="K233" s="74">
        <v>231</v>
      </c>
      <c r="L233" s="119">
        <v>3.6859404417555197E-14</v>
      </c>
      <c r="M233" s="117">
        <v>1600.3269382390763</v>
      </c>
    </row>
    <row r="234" spans="11:13" x14ac:dyDescent="0.45">
      <c r="K234" s="74">
        <v>232</v>
      </c>
      <c r="L234" s="119">
        <v>-22.699999999999964</v>
      </c>
      <c r="M234" s="117">
        <v>1596.4789766096419</v>
      </c>
    </row>
    <row r="235" spans="11:13" x14ac:dyDescent="0.45">
      <c r="K235" s="74">
        <v>233</v>
      </c>
      <c r="L235" s="119">
        <v>12.300000000000036</v>
      </c>
      <c r="M235" s="117">
        <v>1603.040102749984</v>
      </c>
    </row>
    <row r="236" spans="11:13" x14ac:dyDescent="0.45">
      <c r="K236" s="74">
        <v>234</v>
      </c>
      <c r="L236" s="119">
        <v>3.5527136788005009E-14</v>
      </c>
      <c r="M236" s="117">
        <v>1601.0478621334842</v>
      </c>
    </row>
    <row r="237" spans="11:13" x14ac:dyDescent="0.45">
      <c r="K237" s="74">
        <v>235</v>
      </c>
      <c r="L237" s="119">
        <v>-5.5999999999999641</v>
      </c>
      <c r="M237" s="117">
        <v>1600.2675749606833</v>
      </c>
    </row>
    <row r="238" spans="11:13" x14ac:dyDescent="0.45">
      <c r="K238" s="74">
        <v>236</v>
      </c>
      <c r="L238" s="119">
        <v>-22.199999999999967</v>
      </c>
      <c r="M238" s="117">
        <v>1597.5119695109192</v>
      </c>
    </row>
    <row r="239" spans="11:13" x14ac:dyDescent="0.45">
      <c r="K239" s="74">
        <v>237</v>
      </c>
      <c r="L239" s="119">
        <v>3.1974423109204508E-14</v>
      </c>
      <c r="M239" s="117">
        <v>1601.7568976938537</v>
      </c>
    </row>
    <row r="240" spans="11:13" x14ac:dyDescent="0.45">
      <c r="K240" s="74">
        <v>238</v>
      </c>
      <c r="L240" s="119">
        <v>50.900000000000034</v>
      </c>
      <c r="M240" s="117">
        <v>1611.1483563076906</v>
      </c>
    </row>
    <row r="241" spans="11:13" x14ac:dyDescent="0.45">
      <c r="K241" s="74">
        <v>239</v>
      </c>
      <c r="L241" s="119">
        <v>-1.9999999999999645</v>
      </c>
      <c r="M241" s="117">
        <v>1601.7994661698444</v>
      </c>
    </row>
    <row r="242" spans="11:13" x14ac:dyDescent="0.45">
      <c r="K242" s="74">
        <v>240</v>
      </c>
      <c r="L242" s="119">
        <v>3.5527136788005009E-14</v>
      </c>
      <c r="M242" s="117">
        <v>1602.3886693728255</v>
      </c>
    </row>
    <row r="243" spans="11:13" x14ac:dyDescent="0.45">
      <c r="K243" s="74">
        <v>241</v>
      </c>
      <c r="L243" s="119">
        <v>-25.999999999999964</v>
      </c>
      <c r="M243" s="117">
        <v>1597.9223373565885</v>
      </c>
    </row>
    <row r="244" spans="11:13" x14ac:dyDescent="0.45">
      <c r="K244" s="74">
        <v>242</v>
      </c>
      <c r="L244" s="119">
        <v>-4.4999999999999645</v>
      </c>
      <c r="M244" s="117">
        <v>1602.032803332449</v>
      </c>
    </row>
    <row r="245" spans="11:13" x14ac:dyDescent="0.45">
      <c r="K245" s="74">
        <v>243</v>
      </c>
      <c r="L245" s="119">
        <v>3.5527136788005009E-14</v>
      </c>
      <c r="M245" s="117">
        <v>1603.0586065124544</v>
      </c>
    </row>
    <row r="246" spans="11:13" x14ac:dyDescent="0.45">
      <c r="K246" s="74">
        <v>244</v>
      </c>
      <c r="L246" s="119">
        <v>-40.699999999999967</v>
      </c>
      <c r="M246" s="117">
        <v>1595.9422548733796</v>
      </c>
    </row>
    <row r="247" spans="11:13" x14ac:dyDescent="0.45">
      <c r="K247" s="74">
        <v>245</v>
      </c>
      <c r="L247" s="119">
        <v>-4.1999999999999673</v>
      </c>
      <c r="M247" s="117">
        <v>1602.7646013441392</v>
      </c>
    </row>
    <row r="248" spans="11:13" x14ac:dyDescent="0.45">
      <c r="K248" s="74">
        <v>246</v>
      </c>
      <c r="L248" s="119">
        <v>3.2862601528904634E-14</v>
      </c>
      <c r="M248" s="117">
        <v>1603.7320137360744</v>
      </c>
    </row>
    <row r="249" spans="11:13" x14ac:dyDescent="0.45">
      <c r="K249" s="74">
        <v>247</v>
      </c>
      <c r="L249" s="119">
        <v>4.700000000000033</v>
      </c>
      <c r="M249" s="117">
        <v>1604.783621653658</v>
      </c>
    </row>
    <row r="250" spans="11:13" x14ac:dyDescent="0.45">
      <c r="K250" s="74">
        <v>248</v>
      </c>
      <c r="L250" s="119">
        <v>44.60000000000003</v>
      </c>
      <c r="M250" s="117">
        <v>1612.1649199237361</v>
      </c>
    </row>
    <row r="251" spans="11:13" x14ac:dyDescent="0.45">
      <c r="K251" s="74">
        <v>249</v>
      </c>
      <c r="L251" s="119">
        <v>2.8421709430404007E-14</v>
      </c>
      <c r="M251" s="117">
        <v>1604.2919304041936</v>
      </c>
    </row>
    <row r="252" spans="11:13" x14ac:dyDescent="0.45">
      <c r="K252" s="74">
        <v>250</v>
      </c>
      <c r="L252" s="119">
        <v>15.400000000000029</v>
      </c>
      <c r="M252" s="117">
        <v>1607.1401788217686</v>
      </c>
    </row>
    <row r="253" spans="11:13" x14ac:dyDescent="0.45">
      <c r="K253" s="74">
        <v>251</v>
      </c>
      <c r="L253" s="119">
        <v>17.800000000000029</v>
      </c>
      <c r="M253" s="117">
        <v>1607.631337748838</v>
      </c>
    </row>
    <row r="254" spans="11:13" x14ac:dyDescent="0.45">
      <c r="K254" s="74">
        <v>252</v>
      </c>
      <c r="L254" s="119">
        <v>2.8421709430404007E-14</v>
      </c>
      <c r="M254" s="117">
        <v>1604.4835497223448</v>
      </c>
    </row>
    <row r="255" spans="11:13" x14ac:dyDescent="0.45">
      <c r="K255" s="74">
        <v>253</v>
      </c>
      <c r="L255" s="119">
        <v>5.1000000000000281</v>
      </c>
      <c r="M255" s="117">
        <v>1605.4766484240108</v>
      </c>
    </row>
    <row r="256" spans="11:13" x14ac:dyDescent="0.45">
      <c r="K256" s="74">
        <v>254</v>
      </c>
      <c r="L256" s="119">
        <v>22.900000000000027</v>
      </c>
      <c r="M256" s="117">
        <v>1608.7497885334667</v>
      </c>
    </row>
    <row r="257" spans="11:13" x14ac:dyDescent="0.45">
      <c r="K257" s="74">
        <v>255</v>
      </c>
      <c r="L257" s="119">
        <v>2.8421709430404007E-14</v>
      </c>
      <c r="M257" s="117">
        <v>1604.6772898022659</v>
      </c>
    </row>
    <row r="258" spans="11:13" x14ac:dyDescent="0.45">
      <c r="K258" s="74">
        <v>256</v>
      </c>
      <c r="L258" s="119">
        <v>-11.499999999999972</v>
      </c>
      <c r="M258" s="117">
        <v>1602.9392260634522</v>
      </c>
    </row>
    <row r="259" spans="11:13" x14ac:dyDescent="0.45">
      <c r="K259" s="74">
        <v>257</v>
      </c>
      <c r="L259" s="119">
        <v>-0.49999999999997158</v>
      </c>
      <c r="M259" s="117">
        <v>1605.2615907070715</v>
      </c>
    </row>
    <row r="260" spans="11:13" x14ac:dyDescent="0.45">
      <c r="K260" s="74">
        <v>258</v>
      </c>
      <c r="L260" s="119">
        <v>2.8421709430404007E-14</v>
      </c>
      <c r="M260" s="117">
        <v>1605.680021162829</v>
      </c>
    </row>
    <row r="261" spans="11:13" x14ac:dyDescent="0.45">
      <c r="K261" s="74">
        <v>259</v>
      </c>
      <c r="L261" s="119">
        <v>-5.0999999999999712</v>
      </c>
      <c r="M261" s="117">
        <v>1605.0879410358521</v>
      </c>
    </row>
    <row r="262" spans="11:13" x14ac:dyDescent="0.45">
      <c r="K262" s="74">
        <v>260</v>
      </c>
      <c r="L262" s="119">
        <v>45.300000000000026</v>
      </c>
      <c r="M262" s="117">
        <v>1614.4894133896369</v>
      </c>
    </row>
    <row r="263" spans="11:13" x14ac:dyDescent="0.45">
      <c r="K263" s="74">
        <v>261</v>
      </c>
      <c r="L263" s="119">
        <v>2.8421709430404007E-14</v>
      </c>
      <c r="M263" s="117">
        <v>1606.608476909299</v>
      </c>
    </row>
    <row r="264" spans="11:13" x14ac:dyDescent="0.45">
      <c r="K264" s="74">
        <v>262</v>
      </c>
      <c r="L264" s="119">
        <v>-6.8999999999999719</v>
      </c>
      <c r="M264" s="117">
        <v>1605.3508260478432</v>
      </c>
    </row>
    <row r="265" spans="11:13" x14ac:dyDescent="0.45">
      <c r="K265" s="74">
        <v>263</v>
      </c>
      <c r="L265" s="119">
        <v>18.800000000000026</v>
      </c>
      <c r="M265" s="117">
        <v>1609.9687210915561</v>
      </c>
    </row>
    <row r="266" spans="11:13" x14ac:dyDescent="0.45">
      <c r="K266" s="74">
        <v>264</v>
      </c>
      <c r="L266" s="119">
        <v>2.4868995751603507E-14</v>
      </c>
      <c r="M266" s="117">
        <v>1606.5489087650067</v>
      </c>
    </row>
    <row r="267" spans="11:13" x14ac:dyDescent="0.45">
      <c r="K267" s="74">
        <v>265</v>
      </c>
      <c r="L267" s="119">
        <v>-19.299999999999976</v>
      </c>
      <c r="M267" s="117">
        <v>1602.9216153124166</v>
      </c>
    </row>
    <row r="268" spans="11:13" x14ac:dyDescent="0.45">
      <c r="K268" s="74">
        <v>266</v>
      </c>
      <c r="L268" s="119">
        <v>-17.699999999999974</v>
      </c>
      <c r="M268" s="117">
        <v>1603.0780856205422</v>
      </c>
    </row>
    <row r="269" spans="11:13" x14ac:dyDescent="0.45">
      <c r="K269" s="74">
        <v>267</v>
      </c>
      <c r="L269" s="119">
        <v>2.4868995751603507E-14</v>
      </c>
      <c r="M269" s="117">
        <v>1606.131617106819</v>
      </c>
    </row>
    <row r="270" spans="11:13" x14ac:dyDescent="0.45">
      <c r="K270" s="74">
        <v>268</v>
      </c>
      <c r="L270" s="119">
        <v>0.70000000000002482</v>
      </c>
      <c r="M270" s="117">
        <v>1606.3168274041782</v>
      </c>
    </row>
    <row r="271" spans="11:13" x14ac:dyDescent="0.45">
      <c r="K271" s="74">
        <v>269</v>
      </c>
      <c r="L271" s="119">
        <v>-36.299999999999976</v>
      </c>
      <c r="M271" s="117">
        <v>1599.7149264397531</v>
      </c>
    </row>
    <row r="272" spans="11:13" x14ac:dyDescent="0.45">
      <c r="K272" s="74">
        <v>270</v>
      </c>
      <c r="L272" s="119">
        <v>2.1316282072803006E-14</v>
      </c>
      <c r="M272" s="117">
        <v>1606.3466368811146</v>
      </c>
    </row>
    <row r="273" spans="11:13" x14ac:dyDescent="0.45">
      <c r="K273" s="74">
        <v>271</v>
      </c>
      <c r="L273" s="119">
        <v>12.500000000000021</v>
      </c>
      <c r="M273" s="117">
        <v>1607.8505570598279</v>
      </c>
    </row>
    <row r="274" spans="11:13" x14ac:dyDescent="0.45">
      <c r="K274" s="74">
        <v>272</v>
      </c>
      <c r="L274" s="119">
        <v>-24.499999999999979</v>
      </c>
      <c r="M274" s="117">
        <v>1600.435453717469</v>
      </c>
    </row>
    <row r="275" spans="11:13" x14ac:dyDescent="0.45">
      <c r="K275" s="74">
        <v>273</v>
      </c>
      <c r="L275" s="119">
        <v>2.1316282072803006E-14</v>
      </c>
      <c r="M275" s="117">
        <v>1604.1348409951643</v>
      </c>
    </row>
    <row r="276" spans="11:13" x14ac:dyDescent="0.45">
      <c r="K276" s="74">
        <v>274</v>
      </c>
      <c r="L276" s="119">
        <v>8.7000000000000206</v>
      </c>
      <c r="M276" s="117">
        <v>1605.7720319491932</v>
      </c>
    </row>
    <row r="277" spans="11:13" x14ac:dyDescent="0.45">
      <c r="K277" s="74">
        <v>275</v>
      </c>
      <c r="L277" s="119">
        <v>-21.999999999999979</v>
      </c>
      <c r="M277" s="117">
        <v>1600.3073997574979</v>
      </c>
    </row>
    <row r="278" spans="11:13" x14ac:dyDescent="0.45">
      <c r="K278" s="74">
        <v>276</v>
      </c>
      <c r="L278" s="119">
        <v>2.1316282072803006E-14</v>
      </c>
      <c r="M278" s="117">
        <v>1604.361555358953</v>
      </c>
    </row>
    <row r="279" spans="11:13" x14ac:dyDescent="0.45">
      <c r="K279" s="74">
        <v>277</v>
      </c>
      <c r="L279" s="119">
        <v>30.500000000000021</v>
      </c>
      <c r="M279" s="117">
        <v>1609.8553860267994</v>
      </c>
    </row>
    <row r="280" spans="11:13" x14ac:dyDescent="0.45">
      <c r="K280" s="74">
        <v>278</v>
      </c>
      <c r="L280" s="119">
        <v>-22.299999999999976</v>
      </c>
      <c r="M280" s="117">
        <v>1600.3222537106385</v>
      </c>
    </row>
    <row r="281" spans="11:13" x14ac:dyDescent="0.45">
      <c r="K281" s="74">
        <v>279</v>
      </c>
      <c r="L281" s="119">
        <v>2.4868995751603507E-14</v>
      </c>
      <c r="M281" s="117">
        <v>1604.3643201883747</v>
      </c>
    </row>
    <row r="282" spans="11:13" x14ac:dyDescent="0.45">
      <c r="K282" s="74">
        <v>280</v>
      </c>
      <c r="L282" s="119">
        <v>63.000000000000028</v>
      </c>
      <c r="M282" s="117">
        <v>1615.8701342672443</v>
      </c>
    </row>
    <row r="283" spans="11:13" x14ac:dyDescent="0.45">
      <c r="K283" s="74">
        <v>281</v>
      </c>
      <c r="L283" s="119">
        <v>43.200000000000031</v>
      </c>
      <c r="M283" s="117">
        <v>1612.4029134616408</v>
      </c>
    </row>
    <row r="284" spans="11:13" x14ac:dyDescent="0.45">
      <c r="K284" s="74">
        <v>282</v>
      </c>
      <c r="L284" s="119">
        <v>2.8421709430404007E-14</v>
      </c>
      <c r="M284" s="117">
        <v>1604.7444959808709</v>
      </c>
    </row>
    <row r="285" spans="11:13" x14ac:dyDescent="0.45">
      <c r="K285" s="74">
        <v>283</v>
      </c>
      <c r="L285" s="119">
        <v>40.900000000000027</v>
      </c>
      <c r="M285" s="117">
        <v>1611.7420290049856</v>
      </c>
    </row>
    <row r="286" spans="11:13" x14ac:dyDescent="0.45">
      <c r="K286" s="74">
        <v>284</v>
      </c>
      <c r="L286" s="119">
        <v>30.800000000000026</v>
      </c>
      <c r="M286" s="117">
        <v>1609.5175768309557</v>
      </c>
    </row>
    <row r="287" spans="11:13" x14ac:dyDescent="0.45">
      <c r="K287" s="74">
        <v>285</v>
      </c>
      <c r="L287" s="119">
        <v>2.4868995751603507E-14</v>
      </c>
      <c r="M287" s="117">
        <v>1603.5804713699699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E0504-78A4-4A12-AA58-344CA04704E1}">
  <sheetPr codeName="Sheet7"/>
  <dimension ref="A1:R80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78</v>
      </c>
      <c r="C2" s="134"/>
      <c r="E2" s="26" t="s">
        <v>66</v>
      </c>
      <c r="F2" s="23" t="s">
        <v>22</v>
      </c>
      <c r="G2" s="11">
        <v>160</v>
      </c>
      <c r="H2" s="87">
        <f>IF(B$20=0,0,G2/B$20)</f>
        <v>0.76190476190476186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108.97435897435898</v>
      </c>
      <c r="Q2" s="76">
        <v>78</v>
      </c>
      <c r="R2" s="63">
        <v>8500</v>
      </c>
    </row>
    <row r="3" spans="1:18" x14ac:dyDescent="0.45">
      <c r="A3" s="19" t="s">
        <v>8</v>
      </c>
      <c r="B3" s="135">
        <v>651</v>
      </c>
      <c r="C3" s="136"/>
      <c r="E3" s="27" t="s">
        <v>72</v>
      </c>
      <c r="F3" s="24" t="s">
        <v>27</v>
      </c>
      <c r="G3" s="12">
        <v>114</v>
      </c>
      <c r="H3" s="88">
        <f>IF(B$20=0,0,G3/B$20)</f>
        <v>0.54285714285714282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-1278.6666666666667</v>
      </c>
      <c r="Q3" s="77">
        <v>75</v>
      </c>
      <c r="R3" s="64">
        <v>-95900</v>
      </c>
    </row>
    <row r="4" spans="1:18" x14ac:dyDescent="0.45">
      <c r="A4" s="19" t="s">
        <v>6</v>
      </c>
      <c r="B4" s="137">
        <v>136.09999999999997</v>
      </c>
      <c r="C4" s="138"/>
      <c r="E4" s="27" t="s">
        <v>64</v>
      </c>
      <c r="F4" s="24" t="s">
        <v>20</v>
      </c>
      <c r="G4" s="12">
        <v>83</v>
      </c>
      <c r="H4" s="88">
        <f>IF(B$20=0,0,G4/B$20)</f>
        <v>0.39523809523809522</v>
      </c>
      <c r="I4" s="58">
        <v>8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-560.52631578947364</v>
      </c>
      <c r="Q4" s="77">
        <v>76</v>
      </c>
      <c r="R4" s="64">
        <v>-42600</v>
      </c>
    </row>
    <row r="5" spans="1:18" x14ac:dyDescent="0.45">
      <c r="A5" s="19" t="s">
        <v>7</v>
      </c>
      <c r="B5" s="125">
        <f>IF(B$2=0,0,B$4/B$2)</f>
        <v>1.7448717948717944</v>
      </c>
      <c r="C5" s="126"/>
      <c r="E5" s="27" t="s">
        <v>159</v>
      </c>
      <c r="F5" s="24" t="s">
        <v>160</v>
      </c>
      <c r="G5" s="12">
        <v>77</v>
      </c>
      <c r="H5" s="88">
        <f>IF(B$20=0,0,G5/B$20)</f>
        <v>0.36666666666666664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974.32432432432438</v>
      </c>
      <c r="Q5" s="77">
        <v>74</v>
      </c>
      <c r="R5" s="64">
        <v>72100</v>
      </c>
    </row>
    <row r="6" spans="1:18" x14ac:dyDescent="0.45">
      <c r="A6" s="19" t="s">
        <v>196</v>
      </c>
      <c r="B6" s="129">
        <v>1778.2330065302501</v>
      </c>
      <c r="C6" s="130"/>
      <c r="E6" s="27" t="s">
        <v>68</v>
      </c>
      <c r="F6" s="24" t="s">
        <v>12</v>
      </c>
      <c r="G6" s="12">
        <v>63</v>
      </c>
      <c r="H6" s="88">
        <f>IF(B$20=0,0,G6/B$20)</f>
        <v>0.3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500</v>
      </c>
      <c r="Q6" s="77">
        <v>68</v>
      </c>
      <c r="R6" s="64">
        <v>34000</v>
      </c>
    </row>
    <row r="7" spans="1:18" x14ac:dyDescent="0.45">
      <c r="A7" s="19" t="s">
        <v>1</v>
      </c>
      <c r="B7" s="139">
        <f>IF(B$2=0,0,(B$8*1+B$9*2+B$10*3)/B$2)</f>
        <v>2.0128205128205128</v>
      </c>
      <c r="C7" s="140"/>
      <c r="E7" s="27" t="s">
        <v>67</v>
      </c>
      <c r="F7" s="24" t="s">
        <v>23</v>
      </c>
      <c r="G7" s="12">
        <v>45</v>
      </c>
      <c r="H7" s="88">
        <f>IF(B$20=0,0,G7/B$20)</f>
        <v>0.21428571428571427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53.448275862068968</v>
      </c>
      <c r="Q7" s="78">
        <v>58</v>
      </c>
      <c r="R7" s="65">
        <v>3100</v>
      </c>
    </row>
    <row r="8" spans="1:18" x14ac:dyDescent="0.45">
      <c r="A8" s="19" t="s">
        <v>2</v>
      </c>
      <c r="B8" s="12">
        <v>26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38</v>
      </c>
      <c r="H8" s="88">
        <f>IF(B$20=0,0,G8/B$20)</f>
        <v>0.18095238095238095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25</v>
      </c>
      <c r="C9" s="6">
        <f t="shared" si="1"/>
        <v>0.32051282051282054</v>
      </c>
      <c r="E9" s="27" t="s">
        <v>70</v>
      </c>
      <c r="F9" s="24" t="s">
        <v>25</v>
      </c>
      <c r="G9" s="12">
        <v>31</v>
      </c>
      <c r="H9" s="88">
        <f>IF(B$20=0,0,G9/B$20)</f>
        <v>0.14761904761904762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27</v>
      </c>
      <c r="C10" s="7">
        <f t="shared" si="1"/>
        <v>0.34615384615384615</v>
      </c>
      <c r="E10" s="27" t="s">
        <v>89</v>
      </c>
      <c r="F10" s="24" t="s">
        <v>44</v>
      </c>
      <c r="G10" s="12">
        <v>29</v>
      </c>
      <c r="H10" s="88">
        <f>IF(B$20=0,0,G10/B$20)</f>
        <v>0.1380952380952381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6.4178571428571427</v>
      </c>
      <c r="Q10" s="76">
        <v>28</v>
      </c>
      <c r="R10" s="67">
        <v>179.7</v>
      </c>
    </row>
    <row r="11" spans="1:18" x14ac:dyDescent="0.45">
      <c r="A11" s="20" t="s">
        <v>184</v>
      </c>
      <c r="B11" s="109">
        <f>IF(B8=0,0,C11/B8)</f>
        <v>36.965384615384615</v>
      </c>
      <c r="C11" s="110">
        <v>961.09999999999991</v>
      </c>
      <c r="E11" s="27" t="s">
        <v>65</v>
      </c>
      <c r="F11" s="24" t="s">
        <v>21</v>
      </c>
      <c r="G11" s="12">
        <v>16</v>
      </c>
      <c r="H11" s="88">
        <f>IF(B$20=0,0,G11/B$20)</f>
        <v>7.6190476190476197E-2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-7.1535714285714276</v>
      </c>
      <c r="Q11" s="77">
        <v>28</v>
      </c>
      <c r="R11" s="68">
        <v>-200.29999999999998</v>
      </c>
    </row>
    <row r="12" spans="1:18" x14ac:dyDescent="0.45">
      <c r="A12" s="20" t="s">
        <v>185</v>
      </c>
      <c r="B12" s="109">
        <f>IF(B9=0,0,C12/B9)</f>
        <v>-2.2919999999999998</v>
      </c>
      <c r="C12" s="110">
        <v>-57.29999999999999</v>
      </c>
      <c r="E12" s="27" t="s">
        <v>86</v>
      </c>
      <c r="F12" s="24" t="s">
        <v>41</v>
      </c>
      <c r="G12" s="12">
        <v>14</v>
      </c>
      <c r="H12" s="88">
        <f>IF(B$20=0,0,G12/B$20)</f>
        <v>6.6666666666666666E-2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7.1227272727272739</v>
      </c>
      <c r="Q12" s="78">
        <v>22</v>
      </c>
      <c r="R12" s="69">
        <v>156.70000000000002</v>
      </c>
    </row>
    <row r="13" spans="1:18" x14ac:dyDescent="0.45">
      <c r="A13" s="20" t="s">
        <v>186</v>
      </c>
      <c r="B13" s="109">
        <f>IF(B10=0,0,C13/B10)</f>
        <v>-28.433333333333334</v>
      </c>
      <c r="C13" s="110">
        <v>-767.7</v>
      </c>
      <c r="E13" s="27" t="s">
        <v>71</v>
      </c>
      <c r="F13" s="24" t="s">
        <v>26</v>
      </c>
      <c r="G13" s="12">
        <v>11</v>
      </c>
      <c r="H13" s="88">
        <f>IF(B$20=0,0,G13/B$20)</f>
        <v>5.2380952380952382E-2</v>
      </c>
      <c r="I13" s="58">
        <v>6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2.080017094017093</v>
      </c>
      <c r="C14" s="126"/>
      <c r="E14" s="27" t="s">
        <v>83</v>
      </c>
      <c r="F14" s="24" t="s">
        <v>38</v>
      </c>
      <c r="G14" s="12">
        <v>10</v>
      </c>
      <c r="H14" s="88">
        <f>IF(B$20=0,0,G14/B$20)</f>
        <v>4.7619047619047616E-2</v>
      </c>
      <c r="I14" s="58">
        <v>4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6.4102564102564097E-2</v>
      </c>
      <c r="E15" s="27" t="s">
        <v>155</v>
      </c>
      <c r="F15" s="24" t="s">
        <v>156</v>
      </c>
      <c r="G15" s="12">
        <v>10</v>
      </c>
      <c r="H15" s="88">
        <f>IF(B$20=0,0,G15/B$20)</f>
        <v>4.7619047619047616E-2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160</v>
      </c>
      <c r="C16" s="10">
        <f>IF(B$3=0,0,B16/B$3)</f>
        <v>0.24577572964669739</v>
      </c>
      <c r="E16" s="27" t="s">
        <v>91</v>
      </c>
      <c r="F16" s="24" t="s">
        <v>46</v>
      </c>
      <c r="G16" s="12">
        <v>5</v>
      </c>
      <c r="H16" s="88">
        <f>IF(B$20=0,0,G16/B$20)</f>
        <v>2.3809523809523808E-2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5">
      <c r="A17" s="19" t="s">
        <v>118</v>
      </c>
      <c r="B17" s="12">
        <v>137</v>
      </c>
      <c r="C17" s="6">
        <f>IF(B$3=0,0,B17/B$3)</f>
        <v>0.21044546850998463</v>
      </c>
      <c r="E17" s="27" t="s">
        <v>81</v>
      </c>
      <c r="F17" s="24" t="s">
        <v>36</v>
      </c>
      <c r="G17" s="12">
        <v>4</v>
      </c>
      <c r="H17" s="88">
        <f>IF(B$20=0,0,G17/B$20)</f>
        <v>1.9047619047619049E-2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10.658823529411768</v>
      </c>
      <c r="Q17" s="77">
        <v>34</v>
      </c>
      <c r="R17" s="68">
        <v>362.40000000000009</v>
      </c>
    </row>
    <row r="18" spans="1:18" x14ac:dyDescent="0.45">
      <c r="A18" s="18" t="s">
        <v>123</v>
      </c>
      <c r="B18" s="11">
        <f>B24</f>
        <v>91</v>
      </c>
      <c r="C18" s="5">
        <f>IF(B$16=0,0,B18/B$16)</f>
        <v>0.56874999999999998</v>
      </c>
      <c r="E18" s="27" t="s">
        <v>78</v>
      </c>
      <c r="F18" s="24" t="s">
        <v>33</v>
      </c>
      <c r="G18" s="12">
        <v>3</v>
      </c>
      <c r="H18" s="88">
        <f>IF(B$20=0,0,G18/B$20)</f>
        <v>1.4285714285714285E-2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211</v>
      </c>
      <c r="P18" s="83">
        <f>IF(Q18=0,0,R18/Q18)</f>
        <v>4.1523809523809527</v>
      </c>
      <c r="Q18" s="77">
        <v>21</v>
      </c>
      <c r="R18" s="68">
        <v>87.2</v>
      </c>
    </row>
    <row r="19" spans="1:18" x14ac:dyDescent="0.45">
      <c r="A19" s="18" t="s">
        <v>124</v>
      </c>
      <c r="B19" s="11">
        <f>B25</f>
        <v>64</v>
      </c>
      <c r="C19" s="5">
        <f>IF(B$17=0,0,B19/B$17)</f>
        <v>0.46715328467153283</v>
      </c>
      <c r="E19" s="27" t="s">
        <v>73</v>
      </c>
      <c r="F19" s="24" t="s">
        <v>28</v>
      </c>
      <c r="G19" s="12">
        <v>2</v>
      </c>
      <c r="H19" s="88">
        <f>IF(B$20=0,0,G19/B$20)</f>
        <v>9.5238095238095247E-3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>IF(Q19=0,0,R19/Q19)</f>
        <v>3.3187499999999996</v>
      </c>
      <c r="Q19" s="77">
        <v>16</v>
      </c>
      <c r="R19" s="68">
        <v>53.099999999999994</v>
      </c>
    </row>
    <row r="20" spans="1:18" x14ac:dyDescent="0.45">
      <c r="A20" s="18" t="s">
        <v>10</v>
      </c>
      <c r="B20" s="11">
        <f>B23+B22</f>
        <v>210</v>
      </c>
      <c r="C20" s="5">
        <f>IF(B$3=0,0,B20/B$3)</f>
        <v>0.32258064516129031</v>
      </c>
      <c r="E20" s="27" t="s">
        <v>75</v>
      </c>
      <c r="F20" s="24" t="s">
        <v>30</v>
      </c>
      <c r="G20" s="12">
        <v>1</v>
      </c>
      <c r="H20" s="88">
        <f>IF(B$20=0,0,G20/B$20)</f>
        <v>4.7619047619047623E-3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0.51515151515151514</v>
      </c>
      <c r="Q20" s="77">
        <v>33</v>
      </c>
      <c r="R20" s="68">
        <v>17</v>
      </c>
    </row>
    <row r="21" spans="1:18" x14ac:dyDescent="0.45">
      <c r="A21" s="19" t="s">
        <v>13</v>
      </c>
      <c r="B21" s="12">
        <v>121</v>
      </c>
      <c r="C21" s="6">
        <f>IF(B$3=0,0,B21/B$3)</f>
        <v>0.18586789554531491</v>
      </c>
      <c r="E21" s="27" t="s">
        <v>79</v>
      </c>
      <c r="F21" s="24" t="s">
        <v>34</v>
      </c>
      <c r="G21" s="12">
        <v>1</v>
      </c>
      <c r="H21" s="88">
        <f>IF(B$20=0,0,G21/B$20)</f>
        <v>4.7619047619047623E-3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195</v>
      </c>
      <c r="P21" s="83">
        <f>IF(Q21=0,0,R21/Q21)</f>
        <v>-0.44999999999999812</v>
      </c>
      <c r="Q21" s="77">
        <v>6</v>
      </c>
      <c r="R21" s="68">
        <v>-2.6999999999999886</v>
      </c>
    </row>
    <row r="22" spans="1:18" x14ac:dyDescent="0.45">
      <c r="A22" s="19" t="s">
        <v>12</v>
      </c>
      <c r="B22" s="12">
        <v>97</v>
      </c>
      <c r="C22" s="6">
        <f>IF(B$20=0,0,B22/B$20)</f>
        <v>0.46190476190476193</v>
      </c>
      <c r="E22" s="27" t="s">
        <v>80</v>
      </c>
      <c r="F22" s="24" t="s">
        <v>35</v>
      </c>
      <c r="G22" s="12">
        <v>1</v>
      </c>
      <c r="H22" s="88">
        <f>IF(B$20=0,0,G22/B$20)</f>
        <v>4.7619047619047623E-3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-8.3911764705882348</v>
      </c>
      <c r="Q22" s="77">
        <v>34</v>
      </c>
      <c r="R22" s="68">
        <v>-285.3</v>
      </c>
    </row>
    <row r="23" spans="1:18" x14ac:dyDescent="0.45">
      <c r="A23" s="19" t="s">
        <v>11</v>
      </c>
      <c r="B23" s="12">
        <v>113</v>
      </c>
      <c r="C23" s="6">
        <f>IF(B$20=0,0,B23/B$20)</f>
        <v>0.53809523809523807</v>
      </c>
      <c r="E23" s="27" t="s">
        <v>85</v>
      </c>
      <c r="F23" s="24" t="s">
        <v>40</v>
      </c>
      <c r="G23" s="12">
        <v>1</v>
      </c>
      <c r="H23" s="88">
        <f>IF(B$20=0,0,G23/B$20)</f>
        <v>4.7619047619047623E-3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91</v>
      </c>
      <c r="C24" s="6">
        <f>IF(B$20=0,0,B24/B$20)</f>
        <v>0.43333333333333335</v>
      </c>
      <c r="E24" s="27" t="s">
        <v>90</v>
      </c>
      <c r="F24" s="24" t="s">
        <v>45</v>
      </c>
      <c r="G24" s="12">
        <v>1</v>
      </c>
      <c r="H24" s="88">
        <f>IF(B$20=0,0,G24/B$20)</f>
        <v>4.7619047619047623E-3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64</v>
      </c>
      <c r="C25" s="6">
        <f>IF(B$20=0,0,B25/B$20)</f>
        <v>0.30476190476190479</v>
      </c>
      <c r="E25" s="27" t="s">
        <v>92</v>
      </c>
      <c r="F25" s="24" t="s">
        <v>47</v>
      </c>
      <c r="G25" s="12">
        <v>1</v>
      </c>
      <c r="H25" s="88">
        <f>IF(B$20=0,0,G25/B$20)</f>
        <v>4.7619047619047623E-3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55</v>
      </c>
      <c r="C26" s="6">
        <f>IF(B$20=0,0,B26/B$20)</f>
        <v>0.26190476190476192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8089.0476190476193</v>
      </c>
      <c r="C27" s="8">
        <v>1698700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8489.0410958904104</v>
      </c>
      <c r="C28" s="96">
        <v>1239400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7176.5625</v>
      </c>
      <c r="C29" s="96">
        <v>459300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-6801.6528925619832</v>
      </c>
      <c r="C30" s="96">
        <v>-823000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10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186600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1.5360983102918587E-3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14</v>
      </c>
      <c r="C37" s="98">
        <f t="shared" ref="C37:C49" si="2">IF(B$20=0,0,B37/B$20)</f>
        <v>6.6666666666666666E-2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37</v>
      </c>
      <c r="C38" s="6">
        <f t="shared" si="2"/>
        <v>0.1761904761904762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45</v>
      </c>
      <c r="C39" s="6">
        <f t="shared" si="2"/>
        <v>0.21428571428571427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37</v>
      </c>
      <c r="C40" s="6">
        <f t="shared" si="2"/>
        <v>0.1761904761904762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34</v>
      </c>
      <c r="C41" s="6">
        <f t="shared" si="2"/>
        <v>0.16190476190476191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25</v>
      </c>
      <c r="C42" s="6">
        <f t="shared" si="2"/>
        <v>0.11904761904761904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3.8095238095238099E-2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9.5238095238095247E-3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1.9047619047619049E-2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2</v>
      </c>
      <c r="C46" s="6">
        <f t="shared" si="2"/>
        <v>9.5238095238095247E-3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4.7619047619047623E-3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4.7619047619047623E-3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  <row r="62" spans="1:13" x14ac:dyDescent="0.45">
      <c r="K62" s="74">
        <v>60</v>
      </c>
      <c r="L62" s="119">
        <v>-35.900000000000041</v>
      </c>
      <c r="M62" s="117">
        <v>1761.414842466686</v>
      </c>
    </row>
    <row r="63" spans="1:13" x14ac:dyDescent="0.45">
      <c r="K63" s="74">
        <v>61</v>
      </c>
      <c r="L63" s="119">
        <v>-0.40000000000004121</v>
      </c>
      <c r="M63" s="117">
        <v>1766.8723534118858</v>
      </c>
    </row>
    <row r="64" spans="1:13" x14ac:dyDescent="0.45">
      <c r="K64" s="74">
        <v>62</v>
      </c>
      <c r="L64" s="119">
        <v>-18.100000000000041</v>
      </c>
      <c r="M64" s="117">
        <v>1762.9251192914144</v>
      </c>
    </row>
    <row r="65" spans="11:13" x14ac:dyDescent="0.45">
      <c r="K65" s="74">
        <v>63</v>
      </c>
      <c r="L65" s="119">
        <v>-40.80000000000004</v>
      </c>
      <c r="M65" s="117">
        <v>1758.1015685756659</v>
      </c>
    </row>
    <row r="66" spans="11:13" x14ac:dyDescent="0.45">
      <c r="K66" s="74">
        <v>64</v>
      </c>
      <c r="L66" s="119">
        <v>-18.600000000000041</v>
      </c>
      <c r="M66" s="117">
        <v>1761.3829591642118</v>
      </c>
    </row>
    <row r="67" spans="11:13" x14ac:dyDescent="0.45">
      <c r="K67" s="74">
        <v>65</v>
      </c>
      <c r="L67" s="119">
        <v>-71.500000000000043</v>
      </c>
      <c r="M67" s="117">
        <v>1751.1326614092266</v>
      </c>
    </row>
    <row r="68" spans="11:13" x14ac:dyDescent="0.45">
      <c r="K68" s="74">
        <v>66</v>
      </c>
      <c r="L68" s="119">
        <v>-97.500000000000043</v>
      </c>
      <c r="M68" s="117">
        <v>1745.7738654407713</v>
      </c>
    </row>
    <row r="69" spans="11:13" x14ac:dyDescent="0.45">
      <c r="K69" s="74">
        <v>67</v>
      </c>
      <c r="L69" s="119">
        <v>-93.30000000000004</v>
      </c>
      <c r="M69" s="117">
        <v>1745.8832222481267</v>
      </c>
    </row>
    <row r="70" spans="11:13" x14ac:dyDescent="0.45">
      <c r="K70" s="74">
        <v>68</v>
      </c>
      <c r="L70" s="119">
        <v>-53.400000000000041</v>
      </c>
      <c r="M70" s="117">
        <v>1752.417922914638</v>
      </c>
    </row>
    <row r="71" spans="11:13" x14ac:dyDescent="0.45">
      <c r="K71" s="74">
        <v>69</v>
      </c>
      <c r="L71" s="119">
        <v>-38.000000000000043</v>
      </c>
      <c r="M71" s="117">
        <v>1754.3774153771501</v>
      </c>
    </row>
    <row r="72" spans="11:13" x14ac:dyDescent="0.45">
      <c r="K72" s="74">
        <v>70</v>
      </c>
      <c r="L72" s="119">
        <v>-20.200000000000042</v>
      </c>
      <c r="M72" s="117">
        <v>1756.7571508848871</v>
      </c>
    </row>
    <row r="73" spans="11:13" x14ac:dyDescent="0.45">
      <c r="K73" s="74">
        <v>71</v>
      </c>
      <c r="L73" s="119">
        <v>-31.700000000000042</v>
      </c>
      <c r="M73" s="117">
        <v>1754.1066079795778</v>
      </c>
    </row>
    <row r="74" spans="11:13" x14ac:dyDescent="0.45">
      <c r="K74" s="74">
        <v>72</v>
      </c>
      <c r="L74" s="119">
        <v>18.699999999999957</v>
      </c>
      <c r="M74" s="117">
        <v>1762.6139683317003</v>
      </c>
    </row>
    <row r="75" spans="11:13" x14ac:dyDescent="0.45">
      <c r="K75" s="74">
        <v>73</v>
      </c>
      <c r="L75" s="119">
        <v>11.799999999999956</v>
      </c>
      <c r="M75" s="117">
        <v>1760.4202845217101</v>
      </c>
    </row>
    <row r="76" spans="11:13" x14ac:dyDescent="0.45">
      <c r="K76" s="74">
        <v>74</v>
      </c>
      <c r="L76" s="119">
        <v>-7.5000000000000444</v>
      </c>
      <c r="M76" s="117">
        <v>1755.8697628145799</v>
      </c>
    </row>
    <row r="77" spans="11:13" x14ac:dyDescent="0.45">
      <c r="K77" s="74">
        <v>75</v>
      </c>
      <c r="L77" s="119">
        <v>28.799999999999955</v>
      </c>
      <c r="M77" s="117">
        <v>1761.5645442376924</v>
      </c>
    </row>
    <row r="78" spans="11:13" x14ac:dyDescent="0.45">
      <c r="K78" s="74">
        <v>76</v>
      </c>
      <c r="L78" s="119">
        <v>50.799999999999955</v>
      </c>
      <c r="M78" s="117">
        <v>1764.6511569722663</v>
      </c>
    </row>
    <row r="79" spans="11:13" x14ac:dyDescent="0.45">
      <c r="K79" s="74">
        <v>77</v>
      </c>
      <c r="L79" s="119">
        <v>73.099999999999952</v>
      </c>
      <c r="M79" s="117">
        <v>1767.7072500304328</v>
      </c>
    </row>
    <row r="80" spans="11:13" x14ac:dyDescent="0.45">
      <c r="K80" s="74">
        <v>78</v>
      </c>
      <c r="L80" s="119">
        <v>136.09999999999997</v>
      </c>
      <c r="M80" s="117">
        <v>1778.2330065302501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F0BB9-DBDA-4922-A439-65E0448321A6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89</v>
      </c>
      <c r="H2" s="87">
        <f>IF(B$20=0,0,G2/B$20)</f>
        <v>0.94680851063829785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1743.9024390243903</v>
      </c>
      <c r="Q2" s="76">
        <v>41</v>
      </c>
      <c r="R2" s="63">
        <v>71500</v>
      </c>
    </row>
    <row r="3" spans="1:18" x14ac:dyDescent="0.45">
      <c r="A3" s="19" t="s">
        <v>8</v>
      </c>
      <c r="B3" s="135">
        <v>350</v>
      </c>
      <c r="C3" s="136"/>
      <c r="E3" s="27" t="s">
        <v>72</v>
      </c>
      <c r="F3" s="24" t="s">
        <v>27</v>
      </c>
      <c r="G3" s="12">
        <v>52</v>
      </c>
      <c r="H3" s="88">
        <f>IF(B$20=0,0,G3/B$20)</f>
        <v>0.55319148936170215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-169.23076923076923</v>
      </c>
      <c r="Q3" s="77">
        <v>39</v>
      </c>
      <c r="R3" s="64">
        <v>-6600</v>
      </c>
    </row>
    <row r="4" spans="1:18" x14ac:dyDescent="0.45">
      <c r="A4" s="19" t="s">
        <v>6</v>
      </c>
      <c r="B4" s="137">
        <v>-150.20000000000002</v>
      </c>
      <c r="C4" s="138"/>
      <c r="E4" s="27" t="s">
        <v>64</v>
      </c>
      <c r="F4" s="24" t="s">
        <v>20</v>
      </c>
      <c r="G4" s="12">
        <v>40</v>
      </c>
      <c r="H4" s="88">
        <f>IF(B$20=0,0,G4/B$20)</f>
        <v>0.42553191489361702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-464.10256410256409</v>
      </c>
      <c r="Q4" s="77">
        <v>39</v>
      </c>
      <c r="R4" s="64">
        <v>-18100</v>
      </c>
    </row>
    <row r="5" spans="1:18" x14ac:dyDescent="0.45">
      <c r="A5" s="19" t="s">
        <v>7</v>
      </c>
      <c r="B5" s="125">
        <f>IF(B$2=0,0,B$4/B$2)</f>
        <v>-3.6634146341463421</v>
      </c>
      <c r="C5" s="126"/>
      <c r="E5" s="27" t="s">
        <v>159</v>
      </c>
      <c r="F5" s="24" t="s">
        <v>160</v>
      </c>
      <c r="G5" s="12">
        <v>39</v>
      </c>
      <c r="H5" s="88">
        <f>IF(B$20=0,0,G5/B$20)</f>
        <v>0.41489361702127658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-286.84210526315792</v>
      </c>
      <c r="Q5" s="77">
        <v>38</v>
      </c>
      <c r="R5" s="64">
        <v>-10900</v>
      </c>
    </row>
    <row r="6" spans="1:18" x14ac:dyDescent="0.45">
      <c r="A6" s="19" t="s">
        <v>196</v>
      </c>
      <c r="B6" s="129">
        <v>1623.0600080708391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0.34042553191489361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-31.428571428571427</v>
      </c>
      <c r="Q6" s="77">
        <v>35</v>
      </c>
      <c r="R6" s="64">
        <v>-1100</v>
      </c>
    </row>
    <row r="7" spans="1:18" x14ac:dyDescent="0.45">
      <c r="A7" s="19" t="s">
        <v>1</v>
      </c>
      <c r="B7" s="139">
        <f>IF(B$2=0,0,(B$8*1+B$9*2+B$10*3)/B$2)</f>
        <v>2.0975609756097562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0.21276595744680851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-913.79310344827582</v>
      </c>
      <c r="Q7" s="78">
        <v>29</v>
      </c>
      <c r="R7" s="65">
        <v>-26500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0.26829268292682928</v>
      </c>
      <c r="E8" s="27" t="s">
        <v>89</v>
      </c>
      <c r="F8" s="24" t="s">
        <v>44</v>
      </c>
      <c r="G8" s="12">
        <v>16</v>
      </c>
      <c r="H8" s="88">
        <f>IF(B$20=0,0,G8/B$20)</f>
        <v>0.1702127659574468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15</v>
      </c>
      <c r="C9" s="6">
        <f t="shared" si="1"/>
        <v>0.36585365853658536</v>
      </c>
      <c r="E9" s="27" t="s">
        <v>69</v>
      </c>
      <c r="F9" s="24" t="s">
        <v>24</v>
      </c>
      <c r="G9" s="12">
        <v>11</v>
      </c>
      <c r="H9" s="88">
        <f>IF(B$20=0,0,G9/B$20)</f>
        <v>0.11702127659574468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15</v>
      </c>
      <c r="C10" s="7">
        <f t="shared" si="1"/>
        <v>0.36585365853658536</v>
      </c>
      <c r="E10" s="27" t="s">
        <v>65</v>
      </c>
      <c r="F10" s="24" t="s">
        <v>21</v>
      </c>
      <c r="G10" s="12">
        <v>8</v>
      </c>
      <c r="H10" s="88">
        <f>IF(B$20=0,0,G10/B$20)</f>
        <v>8.5106382978723402E-2</v>
      </c>
      <c r="I10" s="58">
        <v>7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-2.6058823529411761</v>
      </c>
      <c r="Q10" s="76">
        <v>17</v>
      </c>
      <c r="R10" s="67">
        <v>-44.3</v>
      </c>
    </row>
    <row r="11" spans="1:18" x14ac:dyDescent="0.45">
      <c r="A11" s="20" t="s">
        <v>184</v>
      </c>
      <c r="B11" s="109">
        <f>IF(B8=0,0,C11/B8)</f>
        <v>36.518181818181809</v>
      </c>
      <c r="C11" s="110">
        <v>401.69999999999993</v>
      </c>
      <c r="E11" s="27" t="s">
        <v>70</v>
      </c>
      <c r="F11" s="24" t="s">
        <v>25</v>
      </c>
      <c r="G11" s="12">
        <v>8</v>
      </c>
      <c r="H11" s="88">
        <f>IF(B$20=0,0,G11/B$20)</f>
        <v>8.5106382978723402E-2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-2.200000000000002</v>
      </c>
      <c r="Q11" s="77">
        <v>11</v>
      </c>
      <c r="R11" s="68">
        <v>-24.200000000000021</v>
      </c>
    </row>
    <row r="12" spans="1:18" x14ac:dyDescent="0.45">
      <c r="A12" s="20" t="s">
        <v>185</v>
      </c>
      <c r="B12" s="109">
        <f>IF(B9=0,0,C12/B9)</f>
        <v>1.4266666666666663</v>
      </c>
      <c r="C12" s="110">
        <v>21.399999999999995</v>
      </c>
      <c r="E12" s="27" t="s">
        <v>71</v>
      </c>
      <c r="F12" s="24" t="s">
        <v>26</v>
      </c>
      <c r="G12" s="12">
        <v>7</v>
      </c>
      <c r="H12" s="88">
        <f>IF(B$20=0,0,G12/B$20)</f>
        <v>7.4468085106382975E-2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-6.2846153846153845</v>
      </c>
      <c r="Q12" s="78">
        <v>13</v>
      </c>
      <c r="R12" s="69">
        <v>-81.7</v>
      </c>
    </row>
    <row r="13" spans="1:18" x14ac:dyDescent="0.45">
      <c r="A13" s="20" t="s">
        <v>186</v>
      </c>
      <c r="B13" s="109">
        <f>IF(B10=0,0,C13/B10)</f>
        <v>-38.220000000000006</v>
      </c>
      <c r="C13" s="110">
        <v>-573.30000000000007</v>
      </c>
      <c r="E13" s="27" t="s">
        <v>86</v>
      </c>
      <c r="F13" s="24" t="s">
        <v>41</v>
      </c>
      <c r="G13" s="12">
        <v>6</v>
      </c>
      <c r="H13" s="88">
        <f>IF(B$20=0,0,G13/B$20)</f>
        <v>6.3829787234042548E-2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-9.171717171717593E-2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5.3191489361702128E-2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0.12195121951219512</v>
      </c>
      <c r="E15" s="27" t="s">
        <v>83</v>
      </c>
      <c r="F15" s="24" t="s">
        <v>38</v>
      </c>
      <c r="G15" s="12">
        <v>4</v>
      </c>
      <c r="H15" s="88">
        <f>IF(B$20=0,0,G15/B$20)</f>
        <v>4.2553191489361701E-2</v>
      </c>
      <c r="I15" s="58">
        <v>5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89</v>
      </c>
      <c r="C16" s="10">
        <f>IF(B$3=0,0,B16/B$3)</f>
        <v>0.25428571428571428</v>
      </c>
      <c r="E16" s="27" t="s">
        <v>78</v>
      </c>
      <c r="F16" s="24" t="s">
        <v>33</v>
      </c>
      <c r="G16" s="12">
        <v>3</v>
      </c>
      <c r="H16" s="88">
        <f>IF(B$20=0,0,G16/B$20)</f>
        <v>3.1914893617021274E-2</v>
      </c>
      <c r="I16" s="58">
        <v>5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8.7333333333333361</v>
      </c>
      <c r="Q16" s="77">
        <v>6</v>
      </c>
      <c r="R16" s="68">
        <v>52.400000000000013</v>
      </c>
    </row>
    <row r="17" spans="1:18" x14ac:dyDescent="0.45">
      <c r="A17" s="19" t="s">
        <v>118</v>
      </c>
      <c r="B17" s="12">
        <v>84</v>
      </c>
      <c r="C17" s="6">
        <f>IF(B$3=0,0,B17/B$3)</f>
        <v>0.24</v>
      </c>
      <c r="E17" s="27" t="s">
        <v>155</v>
      </c>
      <c r="F17" s="24" t="s">
        <v>156</v>
      </c>
      <c r="G17" s="12">
        <v>3</v>
      </c>
      <c r="H17" s="88">
        <f>IF(B$20=0,0,G17/B$20)</f>
        <v>3.1914893617021274E-2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-3.9166666666666674</v>
      </c>
      <c r="Q17" s="77">
        <v>12</v>
      </c>
      <c r="R17" s="68">
        <v>-47.000000000000007</v>
      </c>
    </row>
    <row r="18" spans="1:18" x14ac:dyDescent="0.45">
      <c r="A18" s="18" t="s">
        <v>123</v>
      </c>
      <c r="B18" s="11">
        <f>B24</f>
        <v>41</v>
      </c>
      <c r="C18" s="5">
        <f>IF(B$16=0,0,B18/B$16)</f>
        <v>0.4606741573033708</v>
      </c>
      <c r="E18" s="27" t="s">
        <v>73</v>
      </c>
      <c r="F18" s="24" t="s">
        <v>28</v>
      </c>
      <c r="G18" s="12">
        <v>1</v>
      </c>
      <c r="H18" s="88">
        <f>IF(B$20=0,0,G18/B$20)</f>
        <v>1.0638297872340425E-2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-10.658823529411768</v>
      </c>
      <c r="Q18" s="77">
        <v>34</v>
      </c>
      <c r="R18" s="68">
        <v>-362.40000000000009</v>
      </c>
    </row>
    <row r="19" spans="1:18" x14ac:dyDescent="0.45">
      <c r="A19" s="18" t="s">
        <v>124</v>
      </c>
      <c r="B19" s="11">
        <f>B25</f>
        <v>28</v>
      </c>
      <c r="C19" s="5">
        <f>IF(B$17=0,0,B19/B$17)</f>
        <v>0.33333333333333331</v>
      </c>
      <c r="E19" s="27" t="s">
        <v>79</v>
      </c>
      <c r="F19" s="24" t="s">
        <v>34</v>
      </c>
      <c r="G19" s="12">
        <v>1</v>
      </c>
      <c r="H19" s="88">
        <f>IF(B$20=0,0,G19/B$20)</f>
        <v>1.0638297872340425E-2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-10.833333333333334</v>
      </c>
      <c r="Q19" s="77">
        <v>12</v>
      </c>
      <c r="R19" s="68">
        <v>-130</v>
      </c>
    </row>
    <row r="20" spans="1:18" x14ac:dyDescent="0.45">
      <c r="A20" s="18" t="s">
        <v>10</v>
      </c>
      <c r="B20" s="11">
        <f>B23+B22</f>
        <v>94</v>
      </c>
      <c r="C20" s="5">
        <f>IF(B$3=0,0,B20/B$3)</f>
        <v>0.26857142857142857</v>
      </c>
      <c r="E20" s="27" t="s">
        <v>85</v>
      </c>
      <c r="F20" s="24" t="s">
        <v>40</v>
      </c>
      <c r="G20" s="12">
        <v>1</v>
      </c>
      <c r="H20" s="88">
        <f>IF(B$20=0,0,G20/B$20)</f>
        <v>1.0638297872340425E-2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>IF(Q20=0,0,R20/Q20)</f>
        <v>-14.800000000000002</v>
      </c>
      <c r="Q20" s="77">
        <v>9</v>
      </c>
      <c r="R20" s="68">
        <v>-133.20000000000002</v>
      </c>
    </row>
    <row r="21" spans="1:18" x14ac:dyDescent="0.45">
      <c r="A21" s="19" t="s">
        <v>13</v>
      </c>
      <c r="B21" s="12">
        <v>66</v>
      </c>
      <c r="C21" s="6">
        <f>IF(B$3=0,0,B21/B$3)</f>
        <v>0.18857142857142858</v>
      </c>
      <c r="E21" s="27" t="s">
        <v>88</v>
      </c>
      <c r="F21" s="24" t="s">
        <v>43</v>
      </c>
      <c r="G21" s="12">
        <v>1</v>
      </c>
      <c r="H21" s="88">
        <f>IF(B$20=0,0,G21/B$20)</f>
        <v>1.0638297872340425E-2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43</v>
      </c>
      <c r="C22" s="6">
        <f>IF(B$20=0,0,B22/B$20)</f>
        <v>0.45744680851063829</v>
      </c>
      <c r="E22" s="27" t="s">
        <v>91</v>
      </c>
      <c r="F22" s="24" t="s">
        <v>46</v>
      </c>
      <c r="G22" s="12">
        <v>1</v>
      </c>
      <c r="H22" s="88">
        <f>IF(B$20=0,0,G22/B$20)</f>
        <v>1.0638297872340425E-2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51</v>
      </c>
      <c r="C23" s="6">
        <f>IF(B$20=0,0,B23/B$20)</f>
        <v>0.54255319148936165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41</v>
      </c>
      <c r="C24" s="6">
        <f>IF(B$20=0,0,B24/B$20)</f>
        <v>0.43617021276595747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28</v>
      </c>
      <c r="C25" s="6">
        <f>IF(B$20=0,0,B25/B$20)</f>
        <v>0.2978723404255319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25</v>
      </c>
      <c r="C26" s="6">
        <f>IF(B$20=0,0,B26/B$20)</f>
        <v>0.26595744680851063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8634.0425531914898</v>
      </c>
      <c r="C27" s="8">
        <v>811600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9045.454545454546</v>
      </c>
      <c r="C28" s="96">
        <v>597000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-8066.666666666667</v>
      </c>
      <c r="C30" s="96">
        <v>-532400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5">
      <c r="A32" s="19" t="s">
        <v>158</v>
      </c>
      <c r="B32" s="12">
        <v>19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5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5">
      <c r="A37" s="54" t="s">
        <v>171</v>
      </c>
      <c r="B37" s="123">
        <v>8</v>
      </c>
      <c r="C37" s="98">
        <f t="shared" ref="C37:C49" si="2">IF(B$20=0,0,B37/B$20)</f>
        <v>8.5106382978723402E-2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5">
      <c r="A38" s="19" t="s">
        <v>167</v>
      </c>
      <c r="B38" s="12">
        <v>9</v>
      </c>
      <c r="C38" s="6">
        <f t="shared" si="2"/>
        <v>9.5744680851063829E-2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5">
      <c r="A39" s="19" t="s">
        <v>168</v>
      </c>
      <c r="B39" s="124">
        <v>18</v>
      </c>
      <c r="C39" s="6">
        <f t="shared" si="2"/>
        <v>0.19148936170212766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5">
      <c r="A40" s="19" t="s">
        <v>169</v>
      </c>
      <c r="B40" s="124">
        <v>20</v>
      </c>
      <c r="C40" s="6">
        <f t="shared" si="2"/>
        <v>0.21276595744680851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5">
      <c r="A41" s="19" t="s">
        <v>170</v>
      </c>
      <c r="B41" s="124">
        <v>17</v>
      </c>
      <c r="C41" s="6">
        <f t="shared" si="2"/>
        <v>0.18085106382978725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5">
      <c r="A42" s="19" t="s">
        <v>172</v>
      </c>
      <c r="B42" s="124">
        <v>10</v>
      </c>
      <c r="C42" s="6">
        <f t="shared" si="2"/>
        <v>0.10638297872340426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5">
      <c r="A43" s="19" t="s">
        <v>173</v>
      </c>
      <c r="B43" s="124">
        <v>6</v>
      </c>
      <c r="C43" s="6">
        <f t="shared" si="2"/>
        <v>6.3829787234042548E-2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5">
      <c r="A44" s="19" t="s">
        <v>174</v>
      </c>
      <c r="B44" s="124">
        <v>3</v>
      </c>
      <c r="C44" s="6">
        <f t="shared" si="2"/>
        <v>3.1914893617021274E-2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2.1276595744680851E-2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1.0638297872340425E-2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2F741-D840-4141-8381-FE2C3DE8560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36</v>
      </c>
      <c r="C2" s="134"/>
      <c r="E2" s="26" t="s">
        <v>72</v>
      </c>
      <c r="F2" s="23" t="s">
        <v>27</v>
      </c>
      <c r="G2" s="11">
        <v>59</v>
      </c>
      <c r="H2" s="87">
        <f>IF(B$20=0,0,G2/B$20)</f>
        <v>0.64835164835164838</v>
      </c>
      <c r="I2" s="57">
        <v>4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294.44444444444446</v>
      </c>
      <c r="Q2" s="76">
        <v>36</v>
      </c>
      <c r="R2" s="63">
        <v>10600</v>
      </c>
    </row>
    <row r="3" spans="1:18" x14ac:dyDescent="0.45">
      <c r="A3" s="19" t="s">
        <v>8</v>
      </c>
      <c r="B3" s="135">
        <v>315</v>
      </c>
      <c r="C3" s="136"/>
      <c r="E3" s="27" t="s">
        <v>66</v>
      </c>
      <c r="F3" s="24" t="s">
        <v>22</v>
      </c>
      <c r="G3" s="12">
        <v>58</v>
      </c>
      <c r="H3" s="88">
        <f>IF(B$20=0,0,G3/B$20)</f>
        <v>0.63736263736263732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-1219.4444444444443</v>
      </c>
      <c r="Q3" s="77">
        <v>36</v>
      </c>
      <c r="R3" s="64">
        <v>-43900</v>
      </c>
    </row>
    <row r="4" spans="1:18" x14ac:dyDescent="0.45">
      <c r="A4" s="19" t="s">
        <v>6</v>
      </c>
      <c r="B4" s="137">
        <v>-72.7</v>
      </c>
      <c r="C4" s="138"/>
      <c r="E4" s="27" t="s">
        <v>64</v>
      </c>
      <c r="F4" s="24" t="s">
        <v>20</v>
      </c>
      <c r="G4" s="12">
        <v>39</v>
      </c>
      <c r="H4" s="88">
        <f>IF(B$20=0,0,G4/B$20)</f>
        <v>0.42857142857142855</v>
      </c>
      <c r="I4" s="58">
        <v>4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1311.1111111111111</v>
      </c>
      <c r="Q4" s="77">
        <v>36</v>
      </c>
      <c r="R4" s="64">
        <v>47200</v>
      </c>
    </row>
    <row r="5" spans="1:18" x14ac:dyDescent="0.45">
      <c r="A5" s="19" t="s">
        <v>7</v>
      </c>
      <c r="B5" s="125">
        <f>IF(B$2=0,0,B$4/B$2)</f>
        <v>-2.0194444444444444</v>
      </c>
      <c r="C5" s="126"/>
      <c r="E5" s="27" t="s">
        <v>159</v>
      </c>
      <c r="F5" s="24" t="s">
        <v>160</v>
      </c>
      <c r="G5" s="12">
        <v>29</v>
      </c>
      <c r="H5" s="88">
        <f>IF(B$20=0,0,G5/B$20)</f>
        <v>0.31868131868131866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-1202.7777777777778</v>
      </c>
      <c r="Q5" s="77">
        <v>36</v>
      </c>
      <c r="R5" s="64">
        <v>-43300</v>
      </c>
    </row>
    <row r="6" spans="1:18" x14ac:dyDescent="0.45">
      <c r="A6" s="19" t="s">
        <v>196</v>
      </c>
      <c r="B6" s="129">
        <v>1451.5589813530601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0.30769230769230771</v>
      </c>
      <c r="I6" s="58">
        <v>4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-1408.3333333333333</v>
      </c>
      <c r="Q6" s="77">
        <v>36</v>
      </c>
      <c r="R6" s="64">
        <v>-50700</v>
      </c>
    </row>
    <row r="7" spans="1:18" x14ac:dyDescent="0.45">
      <c r="A7" s="19" t="s">
        <v>1</v>
      </c>
      <c r="B7" s="139">
        <f>IF(B$2=0,0,(B$8*1+B$9*2+B$10*3)/B$2)</f>
        <v>2.0277777777777777</v>
      </c>
      <c r="C7" s="140"/>
      <c r="E7" s="27" t="s">
        <v>67</v>
      </c>
      <c r="F7" s="24" t="s">
        <v>23</v>
      </c>
      <c r="G7" s="12">
        <v>25</v>
      </c>
      <c r="H7" s="88">
        <f>IF(B$20=0,0,G7/B$20)</f>
        <v>0.27472527472527475</v>
      </c>
      <c r="I7" s="58">
        <v>3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737.93103448275861</v>
      </c>
      <c r="Q7" s="78">
        <v>29</v>
      </c>
      <c r="R7" s="65">
        <v>21400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11</v>
      </c>
      <c r="H8" s="88">
        <f>IF(B$20=0,0,G8/B$20)</f>
        <v>0.12087912087912088</v>
      </c>
      <c r="I8" s="58">
        <v>9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0.30555555555555558</v>
      </c>
      <c r="E9" s="27" t="s">
        <v>70</v>
      </c>
      <c r="F9" s="24" t="s">
        <v>25</v>
      </c>
      <c r="G9" s="12">
        <v>9</v>
      </c>
      <c r="H9" s="88">
        <f>IF(B$20=0,0,G9/B$20)</f>
        <v>9.8901098901098897E-2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13</v>
      </c>
      <c r="C10" s="7">
        <f t="shared" si="1"/>
        <v>0.3611111111111111</v>
      </c>
      <c r="E10" s="27" t="s">
        <v>65</v>
      </c>
      <c r="F10" s="24" t="s">
        <v>21</v>
      </c>
      <c r="G10" s="12">
        <v>8</v>
      </c>
      <c r="H10" s="88">
        <f>IF(B$20=0,0,G10/B$20)</f>
        <v>8.7912087912087919E-2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8.64</v>
      </c>
      <c r="Q10" s="76">
        <v>10</v>
      </c>
      <c r="R10" s="67">
        <v>86.4</v>
      </c>
    </row>
    <row r="11" spans="1:18" x14ac:dyDescent="0.45">
      <c r="A11" s="20" t="s">
        <v>184</v>
      </c>
      <c r="B11" s="109">
        <f>IF(B8=0,0,C11/B8)</f>
        <v>25.724999999999998</v>
      </c>
      <c r="C11" s="110">
        <v>308.7</v>
      </c>
      <c r="E11" s="27" t="s">
        <v>69</v>
      </c>
      <c r="F11" s="24" t="s">
        <v>24</v>
      </c>
      <c r="G11" s="12">
        <v>8</v>
      </c>
      <c r="H11" s="88">
        <f>IF(B$20=0,0,G11/B$20)</f>
        <v>8.7912087912087919E-2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-9.625</v>
      </c>
      <c r="Q11" s="77">
        <v>12</v>
      </c>
      <c r="R11" s="68">
        <v>-115.5</v>
      </c>
    </row>
    <row r="12" spans="1:18" x14ac:dyDescent="0.45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5</v>
      </c>
      <c r="H12" s="88">
        <f>IF(B$20=0,0,G12/B$20)</f>
        <v>5.4945054945054944E-2</v>
      </c>
      <c r="I12" s="58">
        <v>3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-3.1142857142857161</v>
      </c>
      <c r="Q12" s="78">
        <v>14</v>
      </c>
      <c r="R12" s="69">
        <v>-43.600000000000023</v>
      </c>
    </row>
    <row r="13" spans="1:18" x14ac:dyDescent="0.45">
      <c r="A13" s="20" t="s">
        <v>186</v>
      </c>
      <c r="B13" s="109">
        <f>IF(B10=0,0,C13/B10)</f>
        <v>-33.5</v>
      </c>
      <c r="C13" s="110">
        <v>-435.5</v>
      </c>
      <c r="E13" s="27" t="s">
        <v>71</v>
      </c>
      <c r="F13" s="24" t="s">
        <v>26</v>
      </c>
      <c r="G13" s="12">
        <v>4</v>
      </c>
      <c r="H13" s="88">
        <f>IF(B$20=0,0,G13/B$20)</f>
        <v>4.3956043956043959E-2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-0.95227272727272805</v>
      </c>
      <c r="C14" s="126"/>
      <c r="E14" s="27" t="s">
        <v>81</v>
      </c>
      <c r="F14" s="24" t="s">
        <v>36</v>
      </c>
      <c r="G14" s="12">
        <v>4</v>
      </c>
      <c r="H14" s="88">
        <f>IF(B$20=0,0,G14/B$20)</f>
        <v>4.3956043956043959E-2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2.7777777777777776E-2</v>
      </c>
      <c r="E15" s="27" t="s">
        <v>78</v>
      </c>
      <c r="F15" s="24" t="s">
        <v>33</v>
      </c>
      <c r="G15" s="12">
        <v>3</v>
      </c>
      <c r="H15" s="88">
        <f>IF(B$20=0,0,G15/B$20)</f>
        <v>3.2967032967032968E-2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85</v>
      </c>
      <c r="C16" s="10">
        <f>IF(B$3=0,0,B16/B$3)</f>
        <v>0.26984126984126983</v>
      </c>
      <c r="E16" s="27" t="s">
        <v>79</v>
      </c>
      <c r="F16" s="24" t="s">
        <v>34</v>
      </c>
      <c r="G16" s="12">
        <v>3</v>
      </c>
      <c r="H16" s="88">
        <f>IF(B$20=0,0,G16/B$20)</f>
        <v>3.2967032967032968E-2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>IF(Q16=0,0,R16/Q16)</f>
        <v>13.200000000000003</v>
      </c>
      <c r="Q16" s="77">
        <v>2</v>
      </c>
      <c r="R16" s="68">
        <v>26.400000000000006</v>
      </c>
    </row>
    <row r="17" spans="1:18" x14ac:dyDescent="0.45">
      <c r="A17" s="19" t="s">
        <v>118</v>
      </c>
      <c r="B17" s="12">
        <v>94</v>
      </c>
      <c r="C17" s="6">
        <f>IF(B$3=0,0,B17/B$3)</f>
        <v>0.29841269841269841</v>
      </c>
      <c r="E17" s="27" t="s">
        <v>86</v>
      </c>
      <c r="F17" s="24" t="s">
        <v>41</v>
      </c>
      <c r="G17" s="12">
        <v>2</v>
      </c>
      <c r="H17" s="88">
        <f>IF(B$20=0,0,G17/B$20)</f>
        <v>2.197802197802198E-2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163</v>
      </c>
      <c r="P17" s="83">
        <f>IF(Q17=0,0,R17/Q17)</f>
        <v>10.833333333333336</v>
      </c>
      <c r="Q17" s="77">
        <v>12</v>
      </c>
      <c r="R17" s="68">
        <v>130.00000000000003</v>
      </c>
    </row>
    <row r="18" spans="1:18" x14ac:dyDescent="0.45">
      <c r="A18" s="18" t="s">
        <v>123</v>
      </c>
      <c r="B18" s="11">
        <f>B24</f>
        <v>40</v>
      </c>
      <c r="C18" s="5">
        <f>IF(B$16=0,0,B18/B$16)</f>
        <v>0.47058823529411764</v>
      </c>
      <c r="E18" s="27" t="s">
        <v>91</v>
      </c>
      <c r="F18" s="24" t="s">
        <v>46</v>
      </c>
      <c r="G18" s="12">
        <v>2</v>
      </c>
      <c r="H18" s="88">
        <f>IF(B$20=0,0,G18/B$20)</f>
        <v>2.197802197802198E-2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3.8333333333333344</v>
      </c>
      <c r="Q18" s="77">
        <v>6</v>
      </c>
      <c r="R18" s="68">
        <v>23.000000000000007</v>
      </c>
    </row>
    <row r="19" spans="1:18" x14ac:dyDescent="0.45">
      <c r="A19" s="18" t="s">
        <v>124</v>
      </c>
      <c r="B19" s="11">
        <f>B25</f>
        <v>36</v>
      </c>
      <c r="C19" s="5">
        <f>IF(B$17=0,0,B19/B$17)</f>
        <v>0.38297872340425532</v>
      </c>
      <c r="E19" s="27" t="s">
        <v>88</v>
      </c>
      <c r="F19" s="24" t="s">
        <v>43</v>
      </c>
      <c r="G19" s="12">
        <v>1</v>
      </c>
      <c r="H19" s="88">
        <f>IF(B$20=0,0,G19/B$20)</f>
        <v>1.098901098901099E-2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-0.51515151515151614</v>
      </c>
      <c r="Q19" s="77">
        <v>33</v>
      </c>
      <c r="R19" s="68">
        <v>-17.000000000000032</v>
      </c>
    </row>
    <row r="20" spans="1:18" x14ac:dyDescent="0.45">
      <c r="A20" s="18" t="s">
        <v>10</v>
      </c>
      <c r="B20" s="11">
        <f>B23+B22</f>
        <v>91</v>
      </c>
      <c r="C20" s="5">
        <f>IF(B$3=0,0,B20/B$3)</f>
        <v>0.28888888888888886</v>
      </c>
      <c r="E20" s="27" t="s">
        <v>93</v>
      </c>
      <c r="F20" s="24" t="s">
        <v>48</v>
      </c>
      <c r="G20" s="12">
        <v>1</v>
      </c>
      <c r="H20" s="88">
        <f>IF(B$20=0,0,G20/B$20)</f>
        <v>1.098901098901099E-2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-23.111111111111114</v>
      </c>
      <c r="Q20" s="77">
        <v>18</v>
      </c>
      <c r="R20" s="68">
        <v>-416.00000000000006</v>
      </c>
    </row>
    <row r="21" spans="1:18" x14ac:dyDescent="0.45">
      <c r="A21" s="19" t="s">
        <v>13</v>
      </c>
      <c r="B21" s="12">
        <v>58</v>
      </c>
      <c r="C21" s="6">
        <f>IF(B$3=0,0,B21/B$3)</f>
        <v>0.18412698412698414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44</v>
      </c>
      <c r="C22" s="6">
        <f>IF(B$20=0,0,B22/B$20)</f>
        <v>0.48351648351648352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47</v>
      </c>
      <c r="C23" s="6">
        <f>IF(B$20=0,0,B23/B$20)</f>
        <v>0.51648351648351654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40</v>
      </c>
      <c r="C24" s="6">
        <f>IF(B$20=0,0,B24/B$20)</f>
        <v>0.43956043956043955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36</v>
      </c>
      <c r="C25" s="6">
        <f>IF(B$20=0,0,B25/B$20)</f>
        <v>0.39560439560439559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15</v>
      </c>
      <c r="C26" s="6">
        <f>IF(B$20=0,0,B26/B$20)</f>
        <v>0.16483516483516483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7334.065934065934</v>
      </c>
      <c r="C27" s="8">
        <v>667400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8638.181818181818</v>
      </c>
      <c r="C28" s="96">
        <v>475100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5341.666666666667</v>
      </c>
      <c r="C29" s="96">
        <v>192300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-7800</v>
      </c>
      <c r="C30" s="96">
        <v>-452400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36.699999999999989</v>
      </c>
      <c r="M31" s="117">
        <v>1465.0825465535379</v>
      </c>
    </row>
    <row r="32" spans="1:18" x14ac:dyDescent="0.45">
      <c r="A32" s="19" t="s">
        <v>158</v>
      </c>
      <c r="B32" s="12">
        <v>21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13.599999999999989</v>
      </c>
      <c r="M33" s="117">
        <v>1462.7040229665713</v>
      </c>
    </row>
    <row r="34" spans="1:13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5">
      <c r="A35" s="21" t="s">
        <v>137</v>
      </c>
      <c r="B35" s="29">
        <v>1</v>
      </c>
      <c r="C35" s="9">
        <f>IF(B$3=0,0,B35/B$3)</f>
        <v>3.1746031746031746E-3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5">
      <c r="A37" s="54" t="s">
        <v>171</v>
      </c>
      <c r="B37" s="123">
        <v>11</v>
      </c>
      <c r="C37" s="98">
        <f t="shared" ref="C37:C49" si="2">IF(B$20=0,0,B37/B$20)</f>
        <v>0.12087912087912088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5">
      <c r="A38" s="19" t="s">
        <v>167</v>
      </c>
      <c r="B38" s="12">
        <v>22</v>
      </c>
      <c r="C38" s="6">
        <f t="shared" si="2"/>
        <v>0.24175824175824176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5">
      <c r="A39" s="19" t="s">
        <v>168</v>
      </c>
      <c r="B39" s="124">
        <v>16</v>
      </c>
      <c r="C39" s="6">
        <f t="shared" si="2"/>
        <v>0.17582417582417584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19</v>
      </c>
      <c r="C40" s="6">
        <f t="shared" si="2"/>
        <v>0.2087912087912088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5</v>
      </c>
      <c r="C41" s="6">
        <f t="shared" si="2"/>
        <v>5.4945054945054944E-2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4</v>
      </c>
      <c r="C42" s="6">
        <f t="shared" si="2"/>
        <v>4.3956043956043959E-2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4</v>
      </c>
      <c r="C43" s="6">
        <f t="shared" si="2"/>
        <v>4.3956043956043959E-2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2.197802197802198E-2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4</v>
      </c>
      <c r="C45" s="6">
        <f t="shared" si="2"/>
        <v>4.3956043956043959E-2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3</v>
      </c>
      <c r="C46" s="6">
        <f t="shared" si="2"/>
        <v>3.2967032967032968E-2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1.098901098901099E-2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78751-169E-4636-BF24-9CA5A870FC92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21</v>
      </c>
      <c r="C2" s="134"/>
      <c r="E2" s="26" t="s">
        <v>66</v>
      </c>
      <c r="F2" s="23" t="s">
        <v>22</v>
      </c>
      <c r="G2" s="11">
        <v>43</v>
      </c>
      <c r="H2" s="87">
        <f>IF(B$20=0,0,G2/B$20)</f>
        <v>0.93478260869565222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-71.428571428571431</v>
      </c>
      <c r="Q2" s="76">
        <v>21</v>
      </c>
      <c r="R2" s="63">
        <v>-1500</v>
      </c>
    </row>
    <row r="3" spans="1:18" x14ac:dyDescent="0.45">
      <c r="A3" s="19" t="s">
        <v>8</v>
      </c>
      <c r="B3" s="135">
        <v>176</v>
      </c>
      <c r="C3" s="136"/>
      <c r="E3" s="27" t="s">
        <v>72</v>
      </c>
      <c r="F3" s="24" t="s">
        <v>27</v>
      </c>
      <c r="G3" s="12">
        <v>30</v>
      </c>
      <c r="H3" s="88">
        <f>IF(B$20=0,0,G3/B$20)</f>
        <v>0.65217391304347827</v>
      </c>
      <c r="I3" s="58">
        <v>3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909.52380952380952</v>
      </c>
      <c r="Q3" s="77">
        <v>21</v>
      </c>
      <c r="R3" s="64">
        <v>19100</v>
      </c>
    </row>
    <row r="4" spans="1:18" x14ac:dyDescent="0.45">
      <c r="A4" s="19" t="s">
        <v>6</v>
      </c>
      <c r="B4" s="137">
        <v>11.499999999999979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0.5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223.8095238095238</v>
      </c>
      <c r="Q4" s="77">
        <v>21</v>
      </c>
      <c r="R4" s="64">
        <v>4700</v>
      </c>
    </row>
    <row r="5" spans="1:18" x14ac:dyDescent="0.45">
      <c r="A5" s="19" t="s">
        <v>7</v>
      </c>
      <c r="B5" s="125">
        <f>IF(B$2=0,0,B$4/B$2)</f>
        <v>0.54761904761904656</v>
      </c>
      <c r="C5" s="126"/>
      <c r="E5" s="27" t="s">
        <v>159</v>
      </c>
      <c r="F5" s="24" t="s">
        <v>160</v>
      </c>
      <c r="G5" s="12">
        <v>20</v>
      </c>
      <c r="H5" s="88">
        <f>IF(B$20=0,0,G5/B$20)</f>
        <v>0.43478260869565216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-1821.0526315789473</v>
      </c>
      <c r="Q5" s="77">
        <v>19</v>
      </c>
      <c r="R5" s="64">
        <v>-34600</v>
      </c>
    </row>
    <row r="6" spans="1:18" x14ac:dyDescent="0.45">
      <c r="A6" s="19" t="s">
        <v>196</v>
      </c>
      <c r="B6" s="129">
        <v>1536.4557693412596</v>
      </c>
      <c r="C6" s="130"/>
      <c r="E6" s="27" t="s">
        <v>67</v>
      </c>
      <c r="F6" s="24" t="s">
        <v>23</v>
      </c>
      <c r="G6" s="12">
        <v>13</v>
      </c>
      <c r="H6" s="88">
        <f>IF(B$20=0,0,G6/B$20)</f>
        <v>0.28260869565217389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2516.6666666666665</v>
      </c>
      <c r="Q6" s="77">
        <v>18</v>
      </c>
      <c r="R6" s="64">
        <v>45300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65</v>
      </c>
      <c r="F7" s="24" t="s">
        <v>21</v>
      </c>
      <c r="G7" s="12">
        <v>10</v>
      </c>
      <c r="H7" s="88">
        <f>IF(B$20=0,0,G7/B$20)</f>
        <v>0.21739130434782608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-633.33333333333337</v>
      </c>
      <c r="Q7" s="78">
        <v>15</v>
      </c>
      <c r="R7" s="65">
        <v>-9500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0.23809523809523808</v>
      </c>
      <c r="E8" s="27" t="s">
        <v>68</v>
      </c>
      <c r="F8" s="24" t="s">
        <v>12</v>
      </c>
      <c r="G8" s="12">
        <v>8</v>
      </c>
      <c r="H8" s="88">
        <f>IF(B$20=0,0,G8/B$20)</f>
        <v>0.17391304347826086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0.52380952380952384</v>
      </c>
      <c r="E9" s="27" t="s">
        <v>89</v>
      </c>
      <c r="F9" s="24" t="s">
        <v>44</v>
      </c>
      <c r="G9" s="12">
        <v>6</v>
      </c>
      <c r="H9" s="88">
        <f>IF(B$20=0,0,G9/B$20)</f>
        <v>0.13043478260869565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0.23809523809523808</v>
      </c>
      <c r="E10" s="27" t="s">
        <v>69</v>
      </c>
      <c r="F10" s="24" t="s">
        <v>24</v>
      </c>
      <c r="G10" s="12">
        <v>5</v>
      </c>
      <c r="H10" s="88">
        <f>IF(B$20=0,0,G10/B$20)</f>
        <v>0.10869565217391304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-5.8999999999999995</v>
      </c>
      <c r="Q10" s="76">
        <v>8</v>
      </c>
      <c r="R10" s="67">
        <v>-47.199999999999996</v>
      </c>
    </row>
    <row r="11" spans="1:18" x14ac:dyDescent="0.45">
      <c r="A11" s="20" t="s">
        <v>184</v>
      </c>
      <c r="B11" s="109">
        <f>IF(B8=0,0,C11/B8)</f>
        <v>29.359999999999996</v>
      </c>
      <c r="C11" s="110">
        <v>146.79999999999998</v>
      </c>
      <c r="E11" s="27" t="s">
        <v>70</v>
      </c>
      <c r="F11" s="24" t="s">
        <v>25</v>
      </c>
      <c r="G11" s="12">
        <v>4</v>
      </c>
      <c r="H11" s="88">
        <f>IF(B$20=0,0,G11/B$20)</f>
        <v>8.6956521739130432E-2</v>
      </c>
      <c r="I11" s="58">
        <v>6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-0.14999999999999977</v>
      </c>
      <c r="Q11" s="77">
        <v>6</v>
      </c>
      <c r="R11" s="68">
        <v>-0.89999999999999858</v>
      </c>
    </row>
    <row r="12" spans="1:18" x14ac:dyDescent="0.45">
      <c r="A12" s="20" t="s">
        <v>185</v>
      </c>
      <c r="B12" s="109">
        <f>IF(B9=0,0,C12/B9)</f>
        <v>3.1363636363636362</v>
      </c>
      <c r="C12" s="110">
        <v>34.5</v>
      </c>
      <c r="E12" s="27" t="s">
        <v>86</v>
      </c>
      <c r="F12" s="24" t="s">
        <v>41</v>
      </c>
      <c r="G12" s="12">
        <v>3</v>
      </c>
      <c r="H12" s="88">
        <f>IF(B$20=0,0,G12/B$20)</f>
        <v>6.5217391304347824E-2</v>
      </c>
      <c r="I12" s="58">
        <v>4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5">
      <c r="A13" s="20" t="s">
        <v>186</v>
      </c>
      <c r="B13" s="109">
        <f>IF(B10=0,0,C13/B10)</f>
        <v>-33.96</v>
      </c>
      <c r="C13" s="110">
        <v>-169.8</v>
      </c>
      <c r="E13" s="27" t="s">
        <v>79</v>
      </c>
      <c r="F13" s="24" t="s">
        <v>34</v>
      </c>
      <c r="G13" s="12">
        <v>2</v>
      </c>
      <c r="H13" s="88">
        <f>IF(B$20=0,0,G13/B$20)</f>
        <v>4.3478260869565216E-2</v>
      </c>
      <c r="I13" s="58">
        <v>1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-0.48787878787878941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4.3478260869565216E-2</v>
      </c>
      <c r="I14" s="58">
        <v>6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4.7619047619047616E-2</v>
      </c>
      <c r="E15" s="27" t="s">
        <v>71</v>
      </c>
      <c r="F15" s="24" t="s">
        <v>26</v>
      </c>
      <c r="G15" s="12">
        <v>1</v>
      </c>
      <c r="H15" s="88">
        <f>IF(B$20=0,0,G15/B$20)</f>
        <v>2.1739130434782608E-2</v>
      </c>
      <c r="I15" s="58">
        <v>8</v>
      </c>
      <c r="K15" s="74">
        <v>13</v>
      </c>
      <c r="L15" s="119">
        <v>-93.500000000000014</v>
      </c>
      <c r="M15" s="117">
        <v>1513.7987256195274</v>
      </c>
      <c r="O15" s="73" t="s">
        <v>211</v>
      </c>
      <c r="P15" s="82">
        <f>IF(Q15=0,0,R15/Q15)</f>
        <v>13.100000000000001</v>
      </c>
      <c r="Q15" s="76">
        <v>8</v>
      </c>
      <c r="R15" s="67">
        <v>104.80000000000001</v>
      </c>
    </row>
    <row r="16" spans="1:18" x14ac:dyDescent="0.45">
      <c r="A16" s="22" t="s">
        <v>121</v>
      </c>
      <c r="B16" s="15">
        <v>41</v>
      </c>
      <c r="C16" s="10">
        <f>IF(B$3=0,0,B16/B$3)</f>
        <v>0.23295454545454544</v>
      </c>
      <c r="E16" s="27" t="s">
        <v>83</v>
      </c>
      <c r="F16" s="24" t="s">
        <v>38</v>
      </c>
      <c r="G16" s="12">
        <v>1</v>
      </c>
      <c r="H16" s="88">
        <f>IF(B$20=0,0,G16/B$20)</f>
        <v>2.1739130434782608E-2</v>
      </c>
      <c r="I16" s="58">
        <v>7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>IF(Q16=0,0,R16/Q16)</f>
        <v>8.1777777777777789</v>
      </c>
      <c r="Q16" s="77">
        <v>9</v>
      </c>
      <c r="R16" s="68">
        <v>73.600000000000009</v>
      </c>
    </row>
    <row r="17" spans="1:18" x14ac:dyDescent="0.45">
      <c r="A17" s="19" t="s">
        <v>118</v>
      </c>
      <c r="B17" s="12">
        <v>37</v>
      </c>
      <c r="C17" s="6">
        <f>IF(B$3=0,0,B17/B$3)</f>
        <v>0.21022727272727273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126</v>
      </c>
      <c r="P17" s="83">
        <f>IF(Q17=0,0,R17/Q17)</f>
        <v>-3.3187500000000005</v>
      </c>
      <c r="Q17" s="77">
        <v>16</v>
      </c>
      <c r="R17" s="68">
        <v>-53.100000000000009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0.56097560975609762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5">
      <c r="A19" s="18" t="s">
        <v>124</v>
      </c>
      <c r="B19" s="11">
        <f>B25</f>
        <v>16</v>
      </c>
      <c r="C19" s="5">
        <f>IF(B$17=0,0,B19/B$17)</f>
        <v>0.43243243243243246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>IF(Q19=0,0,R19/Q19)</f>
        <v>-12</v>
      </c>
      <c r="Q19" s="77">
        <v>1</v>
      </c>
      <c r="R19" s="68">
        <v>-12</v>
      </c>
    </row>
    <row r="20" spans="1:18" x14ac:dyDescent="0.45">
      <c r="A20" s="18" t="s">
        <v>10</v>
      </c>
      <c r="B20" s="11">
        <f>B23+B22</f>
        <v>46</v>
      </c>
      <c r="C20" s="5">
        <f>IF(B$3=0,0,B20/B$3)</f>
        <v>0.26136363636363635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-13.200000000000003</v>
      </c>
      <c r="Q20" s="77">
        <v>2</v>
      </c>
      <c r="R20" s="68">
        <v>-26.400000000000006</v>
      </c>
    </row>
    <row r="21" spans="1:18" x14ac:dyDescent="0.45">
      <c r="A21" s="19" t="s">
        <v>13</v>
      </c>
      <c r="B21" s="12">
        <v>18</v>
      </c>
      <c r="C21" s="6">
        <f>IF(B$3=0,0,B21/B$3)</f>
        <v>0.10227272727272728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-9.6000000000000192</v>
      </c>
      <c r="M21" s="117">
        <v>1531.9675976799019</v>
      </c>
    </row>
    <row r="22" spans="1:18" x14ac:dyDescent="0.45">
      <c r="A22" s="19" t="s">
        <v>12</v>
      </c>
      <c r="B22" s="12">
        <v>11</v>
      </c>
      <c r="C22" s="6">
        <f>IF(B$20=0,0,B22/B$20)</f>
        <v>0.2391304347826087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  <c r="K22" s="74">
        <v>20</v>
      </c>
      <c r="L22" s="119">
        <v>-29.40000000000002</v>
      </c>
      <c r="M22" s="117">
        <v>1529.0037920938225</v>
      </c>
    </row>
    <row r="23" spans="1:18" x14ac:dyDescent="0.45">
      <c r="A23" s="19" t="s">
        <v>11</v>
      </c>
      <c r="B23" s="12">
        <v>35</v>
      </c>
      <c r="C23" s="6">
        <f>IF(B$20=0,0,B23/B$20)</f>
        <v>0.76086956521739135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11.499999999999979</v>
      </c>
      <c r="M23" s="117">
        <v>1536.4557693412596</v>
      </c>
    </row>
    <row r="24" spans="1:18" x14ac:dyDescent="0.45">
      <c r="A24" s="19" t="s">
        <v>183</v>
      </c>
      <c r="B24" s="12">
        <v>23</v>
      </c>
      <c r="C24" s="6">
        <f>IF(B$20=0,0,B24/B$20)</f>
        <v>0.5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16</v>
      </c>
      <c r="C25" s="6">
        <f>IF(B$20=0,0,B25/B$20)</f>
        <v>0.34782608695652173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7</v>
      </c>
      <c r="C26" s="6">
        <f>IF(B$20=0,0,B26/B$20)</f>
        <v>0.15217391304347827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8193.4782608695659</v>
      </c>
      <c r="C27" s="8">
        <v>376900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8140</v>
      </c>
      <c r="C28" s="96">
        <v>244200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8293.75</v>
      </c>
      <c r="C29" s="96">
        <v>132700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-5350</v>
      </c>
      <c r="C30" s="96">
        <v>-96300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2.1739130434782608E-2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8</v>
      </c>
      <c r="C38" s="6">
        <f t="shared" si="2"/>
        <v>0.17391304347826086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2"/>
        <v>0.21739130434782608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15</v>
      </c>
      <c r="C40" s="6">
        <f t="shared" si="2"/>
        <v>0.32608695652173914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2"/>
        <v>8.6956521739130432E-2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4</v>
      </c>
      <c r="C42" s="6">
        <f t="shared" si="2"/>
        <v>8.6956521739130432E-2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6.5217391304347824E-2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2.1739130434782608E-2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6D4C-70B3-4389-A573-3A5794E76F66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35</v>
      </c>
      <c r="C2" s="134"/>
      <c r="E2" s="26" t="s">
        <v>66</v>
      </c>
      <c r="F2" s="23" t="s">
        <v>22</v>
      </c>
      <c r="G2" s="11">
        <v>65</v>
      </c>
      <c r="H2" s="87">
        <f>IF(B$20=0,0,G2/B$20)</f>
        <v>0.73863636363636365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142.85714285714286</v>
      </c>
      <c r="Q2" s="76">
        <v>35</v>
      </c>
      <c r="R2" s="63">
        <v>5000</v>
      </c>
    </row>
    <row r="3" spans="1:18" x14ac:dyDescent="0.45">
      <c r="A3" s="19" t="s">
        <v>8</v>
      </c>
      <c r="B3" s="135">
        <v>288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0.56818181818181823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1231.4285714285713</v>
      </c>
      <c r="Q3" s="77">
        <v>35</v>
      </c>
      <c r="R3" s="64">
        <v>43100</v>
      </c>
    </row>
    <row r="4" spans="1:18" x14ac:dyDescent="0.45">
      <c r="A4" s="19" t="s">
        <v>6</v>
      </c>
      <c r="B4" s="137">
        <v>55.499999999999979</v>
      </c>
      <c r="C4" s="138"/>
      <c r="E4" s="27" t="s">
        <v>64</v>
      </c>
      <c r="F4" s="24" t="s">
        <v>20</v>
      </c>
      <c r="G4" s="12">
        <v>35</v>
      </c>
      <c r="H4" s="88">
        <f>IF(B$20=0,0,G4/B$20)</f>
        <v>0.39772727272727271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1968.5714285714287</v>
      </c>
      <c r="Q4" s="77">
        <v>35</v>
      </c>
      <c r="R4" s="64">
        <v>68900</v>
      </c>
    </row>
    <row r="5" spans="1:18" x14ac:dyDescent="0.45">
      <c r="A5" s="19" t="s">
        <v>7</v>
      </c>
      <c r="B5" s="125">
        <f>IF(B$2=0,0,B$4/B$2)</f>
        <v>1.5857142857142852</v>
      </c>
      <c r="C5" s="126"/>
      <c r="E5" s="27" t="s">
        <v>159</v>
      </c>
      <c r="F5" s="24" t="s">
        <v>160</v>
      </c>
      <c r="G5" s="12">
        <v>24</v>
      </c>
      <c r="H5" s="88">
        <f>IF(B$20=0,0,G5/B$20)</f>
        <v>0.27272727272727271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-590.625</v>
      </c>
      <c r="Q5" s="77">
        <v>32</v>
      </c>
      <c r="R5" s="64">
        <v>-18900</v>
      </c>
    </row>
    <row r="6" spans="1:18" x14ac:dyDescent="0.45">
      <c r="A6" s="19" t="s">
        <v>196</v>
      </c>
      <c r="B6" s="129">
        <v>1513.9606769868594</v>
      </c>
      <c r="C6" s="130"/>
      <c r="E6" s="27" t="s">
        <v>67</v>
      </c>
      <c r="F6" s="24" t="s">
        <v>23</v>
      </c>
      <c r="G6" s="12">
        <v>22</v>
      </c>
      <c r="H6" s="88">
        <f>IF(B$20=0,0,G6/B$20)</f>
        <v>0.25</v>
      </c>
      <c r="I6" s="58">
        <v>4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-1417.8571428571429</v>
      </c>
      <c r="Q6" s="77">
        <v>28</v>
      </c>
      <c r="R6" s="64">
        <v>-39700</v>
      </c>
    </row>
    <row r="7" spans="1:18" x14ac:dyDescent="0.45">
      <c r="A7" s="19" t="s">
        <v>1</v>
      </c>
      <c r="B7" s="139">
        <f>IF(B$2=0,0,(B$8*1+B$9*2+B$10*3)/B$2)</f>
        <v>1.9428571428571428</v>
      </c>
      <c r="C7" s="140"/>
      <c r="E7" s="27" t="s">
        <v>68</v>
      </c>
      <c r="F7" s="24" t="s">
        <v>12</v>
      </c>
      <c r="G7" s="12">
        <v>22</v>
      </c>
      <c r="H7" s="88">
        <f>IF(B$20=0,0,G7/B$20)</f>
        <v>0.25</v>
      </c>
      <c r="I7" s="58">
        <v>9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-57.692307692307693</v>
      </c>
      <c r="Q7" s="78">
        <v>26</v>
      </c>
      <c r="R7" s="65">
        <v>-1500</v>
      </c>
    </row>
    <row r="8" spans="1:18" x14ac:dyDescent="0.45">
      <c r="A8" s="19" t="s">
        <v>2</v>
      </c>
      <c r="B8" s="12">
        <v>14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17</v>
      </c>
      <c r="H8" s="88">
        <f>IF(B$20=0,0,G8/B$20)</f>
        <v>0.19318181818181818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0.25714285714285712</v>
      </c>
      <c r="E9" s="27" t="s">
        <v>69</v>
      </c>
      <c r="F9" s="24" t="s">
        <v>24</v>
      </c>
      <c r="G9" s="12">
        <v>11</v>
      </c>
      <c r="H9" s="88">
        <f>IF(B$20=0,0,G9/B$20)</f>
        <v>0.125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12</v>
      </c>
      <c r="C10" s="7">
        <f t="shared" si="1"/>
        <v>0.34285714285714286</v>
      </c>
      <c r="E10" s="27" t="s">
        <v>71</v>
      </c>
      <c r="F10" s="24" t="s">
        <v>26</v>
      </c>
      <c r="G10" s="12">
        <v>7</v>
      </c>
      <c r="H10" s="88">
        <f>IF(B$20=0,0,G10/B$20)</f>
        <v>7.9545454545454544E-2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28.935714285714283</v>
      </c>
      <c r="C11" s="110">
        <v>405.09999999999997</v>
      </c>
      <c r="E11" s="27" t="s">
        <v>86</v>
      </c>
      <c r="F11" s="24" t="s">
        <v>41</v>
      </c>
      <c r="G11" s="12">
        <v>7</v>
      </c>
      <c r="H11" s="88">
        <f>IF(B$20=0,0,G11/B$20)</f>
        <v>7.9545454545454544E-2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1.5538461538461545</v>
      </c>
      <c r="Q11" s="77">
        <v>13</v>
      </c>
      <c r="R11" s="68">
        <v>20.20000000000001</v>
      </c>
    </row>
    <row r="12" spans="1:18" x14ac:dyDescent="0.45">
      <c r="A12" s="20" t="s">
        <v>185</v>
      </c>
      <c r="B12" s="109">
        <f>IF(B9=0,0,C12/B9)</f>
        <v>0.86666666666666636</v>
      </c>
      <c r="C12" s="110">
        <v>7.7999999999999972</v>
      </c>
      <c r="E12" s="27" t="s">
        <v>83</v>
      </c>
      <c r="F12" s="24" t="s">
        <v>38</v>
      </c>
      <c r="G12" s="12">
        <v>6</v>
      </c>
      <c r="H12" s="88">
        <f>IF(B$20=0,0,G12/B$20)</f>
        <v>6.8181818181818177E-2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5.4133333333333331</v>
      </c>
      <c r="Q12" s="78">
        <v>15</v>
      </c>
      <c r="R12" s="69">
        <v>81.2</v>
      </c>
    </row>
    <row r="13" spans="1:18" x14ac:dyDescent="0.45">
      <c r="A13" s="20" t="s">
        <v>186</v>
      </c>
      <c r="B13" s="109">
        <f>IF(B10=0,0,C13/B10)</f>
        <v>-29.783333333333335</v>
      </c>
      <c r="C13" s="110">
        <v>-357.40000000000003</v>
      </c>
      <c r="E13" s="27" t="s">
        <v>65</v>
      </c>
      <c r="F13" s="24" t="s">
        <v>21</v>
      </c>
      <c r="G13" s="12">
        <v>5</v>
      </c>
      <c r="H13" s="88">
        <f>IF(B$20=0,0,G13/B$20)</f>
        <v>5.6818181818181816E-2</v>
      </c>
      <c r="I13" s="58">
        <v>9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6.3492063492051427E-3</v>
      </c>
      <c r="C14" s="126"/>
      <c r="E14" s="27" t="s">
        <v>91</v>
      </c>
      <c r="F14" s="24" t="s">
        <v>46</v>
      </c>
      <c r="G14" s="12">
        <v>5</v>
      </c>
      <c r="H14" s="88">
        <f>IF(B$20=0,0,G14/B$20)</f>
        <v>5.6818181818181816E-2</v>
      </c>
      <c r="I14" s="58">
        <v>1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5.7142857142857141E-2</v>
      </c>
      <c r="E15" s="27" t="s">
        <v>70</v>
      </c>
      <c r="F15" s="24" t="s">
        <v>25</v>
      </c>
      <c r="G15" s="12">
        <v>4</v>
      </c>
      <c r="H15" s="88">
        <f>IF(B$20=0,0,G15/B$20)</f>
        <v>4.5454545454545456E-2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27.180000000000007</v>
      </c>
      <c r="Q15" s="76">
        <v>5</v>
      </c>
      <c r="R15" s="67">
        <v>135.90000000000003</v>
      </c>
    </row>
    <row r="16" spans="1:18" x14ac:dyDescent="0.45">
      <c r="A16" s="22" t="s">
        <v>121</v>
      </c>
      <c r="B16" s="15">
        <v>59</v>
      </c>
      <c r="C16" s="10">
        <f>IF(B$3=0,0,B16/B$3)</f>
        <v>0.2048611111111111</v>
      </c>
      <c r="E16" s="27" t="s">
        <v>81</v>
      </c>
      <c r="F16" s="24" t="s">
        <v>36</v>
      </c>
      <c r="G16" s="12">
        <v>4</v>
      </c>
      <c r="H16" s="88">
        <f>IF(B$20=0,0,G16/B$20)</f>
        <v>4.5454545454545456E-2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>IF(Q16=0,0,R16/Q16)</f>
        <v>16.453846153846158</v>
      </c>
      <c r="Q16" s="77">
        <v>13</v>
      </c>
      <c r="R16" s="68">
        <v>213.90000000000003</v>
      </c>
    </row>
    <row r="17" spans="1:18" x14ac:dyDescent="0.45">
      <c r="A17" s="19" t="s">
        <v>118</v>
      </c>
      <c r="B17" s="12">
        <v>66</v>
      </c>
      <c r="C17" s="6">
        <f>IF(B$3=0,0,B17/B$3)</f>
        <v>0.22916666666666666</v>
      </c>
      <c r="E17" s="27" t="s">
        <v>78</v>
      </c>
      <c r="F17" s="24" t="s">
        <v>33</v>
      </c>
      <c r="G17" s="12">
        <v>3</v>
      </c>
      <c r="H17" s="88">
        <f>IF(B$20=0,0,G17/B$20)</f>
        <v>3.4090909090909088E-2</v>
      </c>
      <c r="I17" s="58">
        <v>2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0.55932203389830504</v>
      </c>
      <c r="E18" s="27" t="s">
        <v>73</v>
      </c>
      <c r="F18" s="24" t="s">
        <v>28</v>
      </c>
      <c r="G18" s="12">
        <v>2</v>
      </c>
      <c r="H18" s="88">
        <f>IF(B$20=0,0,G18/B$20)</f>
        <v>2.2727272727272728E-2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>IF(Q18=0,0,R18/Q18)</f>
        <v>3.9166666666666674</v>
      </c>
      <c r="Q18" s="77">
        <v>12</v>
      </c>
      <c r="R18" s="68">
        <v>47.000000000000007</v>
      </c>
    </row>
    <row r="19" spans="1:18" x14ac:dyDescent="0.45">
      <c r="A19" s="18" t="s">
        <v>124</v>
      </c>
      <c r="B19" s="11">
        <f>B25</f>
        <v>32</v>
      </c>
      <c r="C19" s="5">
        <f>IF(B$17=0,0,B19/B$17)</f>
        <v>0.48484848484848486</v>
      </c>
      <c r="E19" s="27" t="s">
        <v>75</v>
      </c>
      <c r="F19" s="24" t="s">
        <v>30</v>
      </c>
      <c r="G19" s="12">
        <v>1</v>
      </c>
      <c r="H19" s="88">
        <f>IF(B$20=0,0,G19/B$20)</f>
        <v>1.1363636363636364E-2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189</v>
      </c>
      <c r="P19" s="83">
        <f>IF(Q19=0,0,R19/Q19)</f>
        <v>-3.8333333333333344</v>
      </c>
      <c r="Q19" s="77">
        <v>6</v>
      </c>
      <c r="R19" s="68">
        <v>-23.000000000000007</v>
      </c>
    </row>
    <row r="20" spans="1:18" x14ac:dyDescent="0.45">
      <c r="A20" s="18" t="s">
        <v>10</v>
      </c>
      <c r="B20" s="11">
        <f>B23+B22</f>
        <v>88</v>
      </c>
      <c r="C20" s="5">
        <f>IF(B$3=0,0,B20/B$3)</f>
        <v>0.30555555555555558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-4.1523809523809518</v>
      </c>
      <c r="Q20" s="77">
        <v>21</v>
      </c>
      <c r="R20" s="68">
        <v>-87.199999999999989</v>
      </c>
    </row>
    <row r="21" spans="1:18" x14ac:dyDescent="0.45">
      <c r="A21" s="19" t="s">
        <v>13</v>
      </c>
      <c r="B21" s="12">
        <v>39</v>
      </c>
      <c r="C21" s="6">
        <f>IF(B$3=0,0,B21/B$3)</f>
        <v>0.13541666666666666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193</v>
      </c>
      <c r="P21" s="83">
        <f>IF(Q21=0,0,R21/Q21)</f>
        <v>-7.1999999999999993</v>
      </c>
      <c r="Q21" s="77">
        <v>2</v>
      </c>
      <c r="R21" s="68">
        <v>-14.399999999999999</v>
      </c>
    </row>
    <row r="22" spans="1:18" x14ac:dyDescent="0.45">
      <c r="A22" s="19" t="s">
        <v>12</v>
      </c>
      <c r="B22" s="12">
        <v>36</v>
      </c>
      <c r="C22" s="6">
        <f>IF(B$20=0,0,B22/B$20)</f>
        <v>0.40909090909090912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195</v>
      </c>
      <c r="P22" s="83">
        <f>IF(Q22=0,0,R22/Q22)</f>
        <v>-8.5500000000000007</v>
      </c>
      <c r="Q22" s="77">
        <v>2</v>
      </c>
      <c r="R22" s="68">
        <v>-17.100000000000001</v>
      </c>
    </row>
    <row r="23" spans="1:18" x14ac:dyDescent="0.45">
      <c r="A23" s="19" t="s">
        <v>11</v>
      </c>
      <c r="B23" s="12">
        <v>52</v>
      </c>
      <c r="C23" s="6">
        <f>IF(B$20=0,0,B23/B$20)</f>
        <v>0.59090909090909094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190</v>
      </c>
      <c r="P23" s="83">
        <f>IF(Q23=0,0,R23/Q23)</f>
        <v>-13.100000000000001</v>
      </c>
      <c r="Q23" s="77">
        <v>8</v>
      </c>
      <c r="R23" s="68">
        <v>-104.80000000000001</v>
      </c>
    </row>
    <row r="24" spans="1:18" x14ac:dyDescent="0.45">
      <c r="A24" s="19" t="s">
        <v>183</v>
      </c>
      <c r="B24" s="12">
        <v>33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32</v>
      </c>
      <c r="C25" s="6">
        <f>IF(B$20=0,0,B25/B$20)</f>
        <v>0.36363636363636365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23</v>
      </c>
      <c r="C26" s="6">
        <f>IF(B$20=0,0,B26/B$20)</f>
        <v>0.26136363636363635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7815.909090909091</v>
      </c>
      <c r="C27" s="8">
        <v>687800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8087.5</v>
      </c>
      <c r="C28" s="96">
        <v>452900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7340.625</v>
      </c>
      <c r="C29" s="96">
        <v>234900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-6751.2820512820517</v>
      </c>
      <c r="C30" s="96">
        <v>-263300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5">
      <c r="A32" s="19" t="s">
        <v>158</v>
      </c>
      <c r="B32" s="12">
        <v>30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5">
      <c r="A34" s="22" t="s">
        <v>180</v>
      </c>
      <c r="B34" s="129">
        <v>176500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5">
      <c r="A35" s="21" t="s">
        <v>137</v>
      </c>
      <c r="B35" s="29">
        <v>3</v>
      </c>
      <c r="C35" s="9">
        <f>IF(B$3=0,0,B35/B$3)</f>
        <v>1.0416666666666666E-2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5">
      <c r="A37" s="54" t="s">
        <v>171</v>
      </c>
      <c r="B37" s="123">
        <v>8</v>
      </c>
      <c r="C37" s="98">
        <f t="shared" ref="C37:C49" si="2">IF(B$20=0,0,B37/B$20)</f>
        <v>9.0909090909090912E-2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55.499999999999979</v>
      </c>
      <c r="M37" s="117">
        <v>1513.9606769868594</v>
      </c>
    </row>
    <row r="38" spans="1:13" x14ac:dyDescent="0.45">
      <c r="A38" s="19" t="s">
        <v>167</v>
      </c>
      <c r="B38" s="12">
        <v>19</v>
      </c>
      <c r="C38" s="6">
        <f t="shared" si="2"/>
        <v>0.21590909090909091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16</v>
      </c>
      <c r="C39" s="6">
        <f t="shared" si="2"/>
        <v>0.18181818181818182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12</v>
      </c>
      <c r="C40" s="6">
        <f t="shared" si="2"/>
        <v>0.13636363636363635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11</v>
      </c>
      <c r="C41" s="6">
        <f t="shared" si="2"/>
        <v>0.125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10</v>
      </c>
      <c r="C42" s="6">
        <f t="shared" si="2"/>
        <v>0.11363636363636363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5</v>
      </c>
      <c r="C43" s="6">
        <f t="shared" si="2"/>
        <v>5.6818181818181816E-2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4</v>
      </c>
      <c r="C44" s="6">
        <f t="shared" si="2"/>
        <v>4.5454545454545456E-2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1.1363636363636364E-2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1.1363636363636364E-2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1.1363636363636364E-2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E72AC-3DD2-4495-AC78-9EC6D1FE1CB7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91</v>
      </c>
      <c r="H2" s="87">
        <f>IF(B$20=0,0,G2/B$20)</f>
        <v>0.76470588235294112</v>
      </c>
      <c r="I2" s="57">
        <v>6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-2.4390243902439024</v>
      </c>
      <c r="Q2" s="76">
        <v>41</v>
      </c>
      <c r="R2" s="63">
        <v>-100</v>
      </c>
    </row>
    <row r="3" spans="1:18" x14ac:dyDescent="0.45">
      <c r="A3" s="19" t="s">
        <v>8</v>
      </c>
      <c r="B3" s="135">
        <v>356</v>
      </c>
      <c r="C3" s="136"/>
      <c r="E3" s="27" t="s">
        <v>72</v>
      </c>
      <c r="F3" s="24" t="s">
        <v>27</v>
      </c>
      <c r="G3" s="12">
        <v>75</v>
      </c>
      <c r="H3" s="88">
        <f>IF(B$20=0,0,G3/B$20)</f>
        <v>0.63025210084033612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1786.8421052631579</v>
      </c>
      <c r="Q3" s="77">
        <v>38</v>
      </c>
      <c r="R3" s="64">
        <v>67900</v>
      </c>
    </row>
    <row r="4" spans="1:18" x14ac:dyDescent="0.45">
      <c r="A4" s="19" t="s">
        <v>6</v>
      </c>
      <c r="B4" s="137">
        <v>286.49999999999994</v>
      </c>
      <c r="C4" s="138"/>
      <c r="E4" s="27" t="s">
        <v>159</v>
      </c>
      <c r="F4" s="24" t="s">
        <v>160</v>
      </c>
      <c r="G4" s="12">
        <v>60</v>
      </c>
      <c r="H4" s="88">
        <f>IF(B$20=0,0,G4/B$20)</f>
        <v>0.50420168067226889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17.948717948717949</v>
      </c>
      <c r="Q4" s="77">
        <v>39</v>
      </c>
      <c r="R4" s="64">
        <v>700</v>
      </c>
    </row>
    <row r="5" spans="1:18" x14ac:dyDescent="0.45">
      <c r="A5" s="19" t="s">
        <v>7</v>
      </c>
      <c r="B5" s="125">
        <f>IF(B$2=0,0,B$4/B$2)</f>
        <v>6.9878048780487791</v>
      </c>
      <c r="C5" s="126"/>
      <c r="E5" s="27" t="s">
        <v>64</v>
      </c>
      <c r="F5" s="24" t="s">
        <v>20</v>
      </c>
      <c r="G5" s="12">
        <v>40</v>
      </c>
      <c r="H5" s="88">
        <f>IF(B$20=0,0,G5/B$20)</f>
        <v>0.33613445378151263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2318.9189189189187</v>
      </c>
      <c r="Q5" s="77">
        <v>37</v>
      </c>
      <c r="R5" s="64">
        <v>85800</v>
      </c>
    </row>
    <row r="6" spans="1:18" x14ac:dyDescent="0.45">
      <c r="A6" s="19" t="s">
        <v>196</v>
      </c>
      <c r="B6" s="129">
        <v>1582.1287258491075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0.25210084033613445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755.88235294117646</v>
      </c>
      <c r="Q6" s="77">
        <v>34</v>
      </c>
      <c r="R6" s="64">
        <v>25700</v>
      </c>
    </row>
    <row r="7" spans="1:18" x14ac:dyDescent="0.45">
      <c r="A7" s="19" t="s">
        <v>1</v>
      </c>
      <c r="B7" s="139">
        <f>IF(B$2=0,0,(B$8*1+B$9*2+B$10*3)/B$2)</f>
        <v>1.7560975609756098</v>
      </c>
      <c r="C7" s="140"/>
      <c r="E7" s="27" t="s">
        <v>70</v>
      </c>
      <c r="F7" s="24" t="s">
        <v>25</v>
      </c>
      <c r="G7" s="12">
        <v>17</v>
      </c>
      <c r="H7" s="88">
        <f>IF(B$20=0,0,G7/B$20)</f>
        <v>0.14285714285714285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310.71428571428572</v>
      </c>
      <c r="Q7" s="78">
        <v>28</v>
      </c>
      <c r="R7" s="65">
        <v>8700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0.43902439024390244</v>
      </c>
      <c r="E8" s="27" t="s">
        <v>67</v>
      </c>
      <c r="F8" s="24" t="s">
        <v>23</v>
      </c>
      <c r="G8" s="12">
        <v>16</v>
      </c>
      <c r="H8" s="88">
        <f>IF(B$20=0,0,G8/B$20)</f>
        <v>0.13445378151260504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15</v>
      </c>
      <c r="C9" s="6">
        <f t="shared" si="1"/>
        <v>0.36585365853658536</v>
      </c>
      <c r="E9" s="27" t="s">
        <v>89</v>
      </c>
      <c r="F9" s="24" t="s">
        <v>44</v>
      </c>
      <c r="G9" s="12">
        <v>14</v>
      </c>
      <c r="H9" s="88">
        <f>IF(B$20=0,0,G9/B$20)</f>
        <v>0.11764705882352941</v>
      </c>
      <c r="I9" s="58">
        <v>10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0.1951219512195122</v>
      </c>
      <c r="E10" s="27" t="s">
        <v>71</v>
      </c>
      <c r="F10" s="24" t="s">
        <v>26</v>
      </c>
      <c r="G10" s="12">
        <v>12</v>
      </c>
      <c r="H10" s="88">
        <f>IF(B$20=0,0,G10/B$20)</f>
        <v>0.10084033613445378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17.641176470588235</v>
      </c>
      <c r="Q10" s="76">
        <v>17</v>
      </c>
      <c r="R10" s="67">
        <v>299.89999999999998</v>
      </c>
    </row>
    <row r="11" spans="1:18" x14ac:dyDescent="0.45">
      <c r="A11" s="20" t="s">
        <v>184</v>
      </c>
      <c r="B11" s="109">
        <f>IF(B8=0,0,C11/B8)</f>
        <v>35.81111111111111</v>
      </c>
      <c r="C11" s="110">
        <v>644.6</v>
      </c>
      <c r="E11" s="27" t="s">
        <v>69</v>
      </c>
      <c r="F11" s="24" t="s">
        <v>24</v>
      </c>
      <c r="G11" s="12">
        <v>11</v>
      </c>
      <c r="H11" s="88">
        <f>IF(B$20=0,0,G11/B$20)</f>
        <v>9.2436974789915971E-2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5">
      <c r="A12" s="20" t="s">
        <v>185</v>
      </c>
      <c r="B12" s="109">
        <f>IF(B9=0,0,C12/B9)</f>
        <v>-5.293333333333333</v>
      </c>
      <c r="C12" s="110">
        <v>-79.399999999999991</v>
      </c>
      <c r="E12" s="27" t="s">
        <v>65</v>
      </c>
      <c r="F12" s="24" t="s">
        <v>21</v>
      </c>
      <c r="G12" s="12">
        <v>5</v>
      </c>
      <c r="H12" s="88">
        <f>IF(B$20=0,0,G12/B$20)</f>
        <v>4.2016806722689079E-2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-2.0700000000000007</v>
      </c>
      <c r="Q12" s="78">
        <v>10</v>
      </c>
      <c r="R12" s="69">
        <v>-20.700000000000006</v>
      </c>
    </row>
    <row r="13" spans="1:18" x14ac:dyDescent="0.45">
      <c r="A13" s="20" t="s">
        <v>186</v>
      </c>
      <c r="B13" s="109">
        <f>IF(B10=0,0,C13/B10)</f>
        <v>-34.837499999999999</v>
      </c>
      <c r="C13" s="110">
        <v>-278.7</v>
      </c>
      <c r="E13" s="27" t="s">
        <v>78</v>
      </c>
      <c r="F13" s="24" t="s">
        <v>33</v>
      </c>
      <c r="G13" s="12">
        <v>4</v>
      </c>
      <c r="H13" s="88">
        <f>IF(B$20=0,0,G13/B$20)</f>
        <v>3.3613445378151259E-2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-1.4399074074074072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3.3613445378151259E-2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4.878048780487805E-2</v>
      </c>
      <c r="E15" s="27" t="s">
        <v>79</v>
      </c>
      <c r="F15" s="24" t="s">
        <v>34</v>
      </c>
      <c r="G15" s="12">
        <v>3</v>
      </c>
      <c r="H15" s="88">
        <f>IF(B$20=0,0,G15/B$20)</f>
        <v>2.5210084033613446E-2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73</v>
      </c>
      <c r="C16" s="10">
        <f>IF(B$3=0,0,B16/B$3)</f>
        <v>0.2050561797752809</v>
      </c>
      <c r="E16" s="27" t="s">
        <v>81</v>
      </c>
      <c r="F16" s="24" t="s">
        <v>36</v>
      </c>
      <c r="G16" s="12">
        <v>3</v>
      </c>
      <c r="H16" s="88">
        <f>IF(B$20=0,0,G16/B$20)</f>
        <v>2.5210084033613446E-2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94</v>
      </c>
      <c r="C17" s="6">
        <f>IF(B$3=0,0,B17/B$3)</f>
        <v>0.2640449438202247</v>
      </c>
      <c r="E17" s="27" t="s">
        <v>83</v>
      </c>
      <c r="F17" s="24" t="s">
        <v>38</v>
      </c>
      <c r="G17" s="12">
        <v>2</v>
      </c>
      <c r="H17" s="88">
        <f>IF(B$20=0,0,G17/B$20)</f>
        <v>1.680672268907563E-2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23.111111111111111</v>
      </c>
      <c r="Q17" s="77">
        <v>18</v>
      </c>
      <c r="R17" s="68">
        <v>416</v>
      </c>
    </row>
    <row r="18" spans="1:18" x14ac:dyDescent="0.45">
      <c r="A18" s="18" t="s">
        <v>123</v>
      </c>
      <c r="B18" s="11">
        <f>B24</f>
        <v>39</v>
      </c>
      <c r="C18" s="5">
        <f>IF(B$16=0,0,B18/B$16)</f>
        <v>0.53424657534246578</v>
      </c>
      <c r="E18" s="27" t="s">
        <v>73</v>
      </c>
      <c r="F18" s="24" t="s">
        <v>28</v>
      </c>
      <c r="G18" s="12">
        <v>1</v>
      </c>
      <c r="H18" s="88">
        <f>IF(B$20=0,0,G18/B$20)</f>
        <v>8.4033613445378148E-3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41</v>
      </c>
      <c r="C19" s="5">
        <f>IF(B$17=0,0,B19/B$17)</f>
        <v>0.43617021276595747</v>
      </c>
      <c r="E19" s="27" t="s">
        <v>88</v>
      </c>
      <c r="F19" s="24" t="s">
        <v>43</v>
      </c>
      <c r="G19" s="12">
        <v>1</v>
      </c>
      <c r="H19" s="88">
        <f>IF(B$20=0,0,G19/B$20)</f>
        <v>8.4033613445378148E-3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14.799999999999999</v>
      </c>
      <c r="Q19" s="77">
        <v>9</v>
      </c>
      <c r="R19" s="68">
        <v>133.19999999999999</v>
      </c>
    </row>
    <row r="20" spans="1:18" x14ac:dyDescent="0.45">
      <c r="A20" s="18" t="s">
        <v>10</v>
      </c>
      <c r="B20" s="11">
        <f>B23+B22</f>
        <v>119</v>
      </c>
      <c r="C20" s="5">
        <f>IF(B$3=0,0,B20/B$3)</f>
        <v>0.3342696629213483</v>
      </c>
      <c r="E20" s="27" t="s">
        <v>92</v>
      </c>
      <c r="F20" s="24" t="s">
        <v>47</v>
      </c>
      <c r="G20" s="12">
        <v>1</v>
      </c>
      <c r="H20" s="88">
        <f>IF(B$20=0,0,G20/B$20)</f>
        <v>8.4033613445378148E-3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8.391176470588233</v>
      </c>
      <c r="Q20" s="77">
        <v>34</v>
      </c>
      <c r="R20" s="68">
        <v>285.2999999999999</v>
      </c>
    </row>
    <row r="21" spans="1:18" x14ac:dyDescent="0.45">
      <c r="A21" s="19" t="s">
        <v>13</v>
      </c>
      <c r="B21" s="12">
        <v>44</v>
      </c>
      <c r="C21" s="6">
        <f>IF(B$3=0,0,B21/B$3)</f>
        <v>0.12359550561797752</v>
      </c>
      <c r="E21" s="27" t="s">
        <v>102</v>
      </c>
      <c r="F21" s="24" t="s">
        <v>57</v>
      </c>
      <c r="G21" s="12">
        <v>1</v>
      </c>
      <c r="H21" s="88">
        <f>IF(B$20=0,0,G21/B$20)</f>
        <v>8.4033613445378148E-3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-8.1777777777777771</v>
      </c>
      <c r="Q21" s="77">
        <v>9</v>
      </c>
      <c r="R21" s="68">
        <v>-73.599999999999994</v>
      </c>
    </row>
    <row r="22" spans="1:18" x14ac:dyDescent="0.45">
      <c r="A22" s="19" t="s">
        <v>12</v>
      </c>
      <c r="B22" s="12">
        <v>48</v>
      </c>
      <c r="C22" s="6">
        <f>IF(B$20=0,0,B22/B$20)</f>
        <v>0.40336134453781514</v>
      </c>
      <c r="E22" s="27" t="s">
        <v>155</v>
      </c>
      <c r="F22" s="24" t="s">
        <v>156</v>
      </c>
      <c r="G22" s="12">
        <v>1</v>
      </c>
      <c r="H22" s="88">
        <f>IF(B$20=0,0,G22/B$20)</f>
        <v>8.4033613445378148E-3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-27.18</v>
      </c>
      <c r="Q22" s="77">
        <v>5</v>
      </c>
      <c r="R22" s="68">
        <v>-135.9</v>
      </c>
    </row>
    <row r="23" spans="1:18" x14ac:dyDescent="0.45">
      <c r="A23" s="19" t="s">
        <v>11</v>
      </c>
      <c r="B23" s="12">
        <v>71</v>
      </c>
      <c r="C23" s="6">
        <f>IF(B$20=0,0,B23/B$20)</f>
        <v>0.59663865546218486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39</v>
      </c>
      <c r="C24" s="6">
        <f>IF(B$20=0,0,B24/B$20)</f>
        <v>0.32773109243697479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41</v>
      </c>
      <c r="C25" s="6">
        <f>IF(B$20=0,0,B25/B$20)</f>
        <v>0.34453781512605042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39</v>
      </c>
      <c r="C26" s="6">
        <f>IF(B$20=0,0,B26/B$20)</f>
        <v>0.32773109243697479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7712.6050420168067</v>
      </c>
      <c r="C27" s="8">
        <v>917800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8835.8974358974356</v>
      </c>
      <c r="C28" s="96">
        <v>689200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5575.6097560975613</v>
      </c>
      <c r="C29" s="96">
        <v>228600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-7654.545454545455</v>
      </c>
      <c r="C30" s="96">
        <v>-336800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65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125000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11</v>
      </c>
      <c r="C37" s="98">
        <f t="shared" ref="C37:C49" si="2">IF(B$20=0,0,B37/B$20)</f>
        <v>9.2436974789915971E-2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5">
      <c r="A38" s="19" t="s">
        <v>167</v>
      </c>
      <c r="B38" s="12">
        <v>27</v>
      </c>
      <c r="C38" s="6">
        <f t="shared" si="2"/>
        <v>0.22689075630252101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5">
      <c r="A39" s="19" t="s">
        <v>168</v>
      </c>
      <c r="B39" s="124">
        <v>26</v>
      </c>
      <c r="C39" s="6">
        <f t="shared" si="2"/>
        <v>0.21848739495798319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5">
      <c r="A40" s="19" t="s">
        <v>169</v>
      </c>
      <c r="B40" s="124">
        <v>18</v>
      </c>
      <c r="C40" s="6">
        <f t="shared" si="2"/>
        <v>0.15126050420168066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5">
      <c r="A41" s="19" t="s">
        <v>170</v>
      </c>
      <c r="B41" s="124">
        <v>19</v>
      </c>
      <c r="C41" s="6">
        <f t="shared" si="2"/>
        <v>0.15966386554621848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360.49999999999994</v>
      </c>
      <c r="M41" s="117">
        <v>1595.4933037349929</v>
      </c>
    </row>
    <row r="42" spans="1:13" x14ac:dyDescent="0.45">
      <c r="A42" s="19" t="s">
        <v>172</v>
      </c>
      <c r="B42" s="124">
        <v>4</v>
      </c>
      <c r="C42" s="6">
        <f t="shared" si="2"/>
        <v>3.3613445378151259E-2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1587.936343912583</v>
      </c>
    </row>
    <row r="43" spans="1:13" x14ac:dyDescent="0.45">
      <c r="A43" s="19" t="s">
        <v>173</v>
      </c>
      <c r="B43" s="124">
        <v>8</v>
      </c>
      <c r="C43" s="6">
        <f t="shared" si="2"/>
        <v>6.7226890756302518E-2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1582.1287258491075</v>
      </c>
    </row>
    <row r="44" spans="1:13" x14ac:dyDescent="0.45">
      <c r="A44" s="19" t="s">
        <v>174</v>
      </c>
      <c r="B44" s="124">
        <v>2</v>
      </c>
      <c r="C44" s="6">
        <f t="shared" si="2"/>
        <v>1.680672268907563E-2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8.4033613445378148E-3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8.4033613445378148E-3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2"/>
        <v>1.680672268907563E-2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E4861-450B-43E1-8543-2BFBDF16D61B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>IF(Q17=0,0,R17/Q17)</f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>IF(Q20=0,0,R20/Q20)</f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9D58B-FB22-4F51-8EEC-4BF97B8EA81C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619F-DD8C-40A7-967F-73555F0DC98F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19</v>
      </c>
      <c r="H2" s="87">
        <f>IF(B$20=0,0,G2/B$20)</f>
        <v>0.86363636363636365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-5122.2222222222226</v>
      </c>
      <c r="Q2" s="76">
        <v>9</v>
      </c>
      <c r="R2" s="63">
        <v>-46100</v>
      </c>
    </row>
    <row r="3" spans="1:18" x14ac:dyDescent="0.45">
      <c r="A3" s="19" t="s">
        <v>8</v>
      </c>
      <c r="B3" s="135">
        <v>74</v>
      </c>
      <c r="C3" s="136"/>
      <c r="E3" s="27" t="s">
        <v>159</v>
      </c>
      <c r="F3" s="24" t="s">
        <v>160</v>
      </c>
      <c r="G3" s="12">
        <v>16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7637.5</v>
      </c>
      <c r="Q3" s="77">
        <v>8</v>
      </c>
      <c r="R3" s="64">
        <v>61100</v>
      </c>
    </row>
    <row r="4" spans="1:18" x14ac:dyDescent="0.45">
      <c r="A4" s="19" t="s">
        <v>6</v>
      </c>
      <c r="B4" s="137">
        <v>-21.200000000000003</v>
      </c>
      <c r="C4" s="138"/>
      <c r="E4" s="27" t="s">
        <v>68</v>
      </c>
      <c r="F4" s="24" t="s">
        <v>12</v>
      </c>
      <c r="G4" s="12">
        <v>12</v>
      </c>
      <c r="H4" s="88">
        <f>IF(B$20=0,0,G4/B$20)</f>
        <v>0.54545454545454541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-1566.6666666666667</v>
      </c>
      <c r="Q4" s="77">
        <v>9</v>
      </c>
      <c r="R4" s="64">
        <v>-14100</v>
      </c>
    </row>
    <row r="5" spans="1:18" x14ac:dyDescent="0.45">
      <c r="A5" s="19" t="s">
        <v>7</v>
      </c>
      <c r="B5" s="125">
        <f>IF(B$2=0,0,B$4/B$2)</f>
        <v>-2.3555555555555561</v>
      </c>
      <c r="C5" s="126"/>
      <c r="E5" s="27" t="s">
        <v>64</v>
      </c>
      <c r="F5" s="24" t="s">
        <v>20</v>
      </c>
      <c r="G5" s="12">
        <v>11</v>
      </c>
      <c r="H5" s="88">
        <f>IF(B$20=0,0,G5/B$20)</f>
        <v>0.5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-4922.2222222222226</v>
      </c>
      <c r="Q5" s="77">
        <v>9</v>
      </c>
      <c r="R5" s="64">
        <v>-44300</v>
      </c>
    </row>
    <row r="6" spans="1:18" x14ac:dyDescent="0.45">
      <c r="A6" s="19" t="s">
        <v>196</v>
      </c>
      <c r="B6" s="129">
        <v>1397.8590871718811</v>
      </c>
      <c r="C6" s="130"/>
      <c r="E6" s="27" t="s">
        <v>72</v>
      </c>
      <c r="F6" s="24" t="s">
        <v>27</v>
      </c>
      <c r="G6" s="12">
        <v>11</v>
      </c>
      <c r="H6" s="88">
        <f>IF(B$20=0,0,G6/B$20)</f>
        <v>0.5</v>
      </c>
      <c r="I6" s="58">
        <v>10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775</v>
      </c>
      <c r="Q6" s="77">
        <v>8</v>
      </c>
      <c r="R6" s="64">
        <v>6200</v>
      </c>
    </row>
    <row r="7" spans="1:18" x14ac:dyDescent="0.45">
      <c r="A7" s="19" t="s">
        <v>1</v>
      </c>
      <c r="B7" s="139">
        <f>IF(B$2=0,0,(B$8*1+B$9*2+B$10*3)/B$2)</f>
        <v>1.8888888888888888</v>
      </c>
      <c r="C7" s="140"/>
      <c r="E7" s="27" t="s">
        <v>67</v>
      </c>
      <c r="F7" s="24" t="s">
        <v>23</v>
      </c>
      <c r="G7" s="12">
        <v>8</v>
      </c>
      <c r="H7" s="88">
        <f>IF(B$20=0,0,G7/B$20)</f>
        <v>0.36363636363636365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750</v>
      </c>
      <c r="Q7" s="78">
        <v>8</v>
      </c>
      <c r="R7" s="65">
        <v>6000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0.55555555555555558</v>
      </c>
      <c r="E8" s="27" t="s">
        <v>69</v>
      </c>
      <c r="F8" s="24" t="s">
        <v>24</v>
      </c>
      <c r="G8" s="12">
        <v>6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0.13636363636363635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0.44444444444444442</v>
      </c>
      <c r="E10" s="27" t="s">
        <v>70</v>
      </c>
      <c r="F10" s="24" t="s">
        <v>25</v>
      </c>
      <c r="G10" s="12">
        <v>1</v>
      </c>
      <c r="H10" s="88">
        <f>IF(B$20=0,0,G10/B$20)</f>
        <v>4.5454545454545456E-2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27.879999999999995</v>
      </c>
      <c r="C11" s="110">
        <v>139.39999999999998</v>
      </c>
      <c r="E11" s="27" t="s">
        <v>75</v>
      </c>
      <c r="F11" s="24" t="s">
        <v>30</v>
      </c>
      <c r="G11" s="12">
        <v>1</v>
      </c>
      <c r="H11" s="88">
        <f>IF(B$20=0,0,G11/B$20)</f>
        <v>4.5454545454545456E-2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>IF(B$20=0,0,G12/B$20)</f>
        <v>4.5454545454545456E-2</v>
      </c>
      <c r="I12" s="58">
        <v>3</v>
      </c>
      <c r="O12" s="75" t="s">
        <v>153</v>
      </c>
      <c r="P12" s="84">
        <f>IF(Q12=0,0,R12/Q12)</f>
        <v>-0.72000000000000031</v>
      </c>
      <c r="Q12" s="78">
        <v>5</v>
      </c>
      <c r="R12" s="69">
        <v>-3.6000000000000014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89</v>
      </c>
      <c r="F13" s="24" t="s">
        <v>44</v>
      </c>
      <c r="G13" s="12">
        <v>1</v>
      </c>
      <c r="H13" s="88">
        <f>IF(B$20=0,0,G13/B$20)</f>
        <v>4.5454545454545456E-2</v>
      </c>
      <c r="I13" s="58">
        <v>11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-4.0900000000000007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0.22222222222222221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16</v>
      </c>
      <c r="C16" s="10">
        <f>IF(B$3=0,0,B16/B$3)</f>
        <v>0.21621621621621623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190</v>
      </c>
      <c r="P16" s="83">
        <f>IF(Q16=0,0,R16/Q16)</f>
        <v>12</v>
      </c>
      <c r="Q16" s="77">
        <v>1</v>
      </c>
      <c r="R16" s="68">
        <v>12</v>
      </c>
    </row>
    <row r="17" spans="1:18" x14ac:dyDescent="0.45">
      <c r="A17" s="19" t="s">
        <v>118</v>
      </c>
      <c r="B17" s="12">
        <v>9</v>
      </c>
      <c r="C17" s="6">
        <f>IF(B$3=0,0,B17/B$3)</f>
        <v>0.12162162162162163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211</v>
      </c>
      <c r="P17" s="83">
        <f>IF(Q17=0,0,R17/Q17)</f>
        <v>8.5500000000000007</v>
      </c>
      <c r="Q17" s="77">
        <v>2</v>
      </c>
      <c r="R17" s="68">
        <v>17.100000000000001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0.6875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221</v>
      </c>
      <c r="P18" s="83">
        <f>IF(Q18=0,0,R18/Q18)</f>
        <v>3.6500000000000004</v>
      </c>
      <c r="Q18" s="77">
        <v>2</v>
      </c>
      <c r="R18" s="68">
        <v>7.3000000000000007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126</v>
      </c>
      <c r="P19" s="83">
        <f>IF(Q19=0,0,R19/Q19)</f>
        <v>0.45000000000000046</v>
      </c>
      <c r="Q19" s="77">
        <v>6</v>
      </c>
      <c r="R19" s="68">
        <v>2.7000000000000028</v>
      </c>
    </row>
    <row r="20" spans="1:18" x14ac:dyDescent="0.45">
      <c r="A20" s="18" t="s">
        <v>10</v>
      </c>
      <c r="B20" s="11">
        <f>B23+B22</f>
        <v>22</v>
      </c>
      <c r="C20" s="5">
        <f>IF(B$3=0,0,B20/B$3)</f>
        <v>0.29729729729729731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>IF(Q20=0,0,R20/Q20)</f>
        <v>-36.479999999999997</v>
      </c>
      <c r="Q20" s="77">
        <v>5</v>
      </c>
      <c r="R20" s="68">
        <v>-182.39999999999998</v>
      </c>
    </row>
    <row r="21" spans="1:18" x14ac:dyDescent="0.45">
      <c r="A21" s="19" t="s">
        <v>13</v>
      </c>
      <c r="B21" s="12">
        <v>11</v>
      </c>
      <c r="C21" s="6">
        <f>IF(B$3=0,0,B21/B$3)</f>
        <v>0.14864864864864866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12</v>
      </c>
      <c r="C22" s="6">
        <f>IF(B$20=0,0,B22/B$20)</f>
        <v>0.54545454545454541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0.45454545454545453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11</v>
      </c>
      <c r="C24" s="6">
        <f>IF(B$20=0,0,B24/B$20)</f>
        <v>0.5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0.18181818181818182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7</v>
      </c>
      <c r="C26" s="6">
        <f>IF(B$20=0,0,B26/B$20)</f>
        <v>0.31818181818181818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8727.2727272727279</v>
      </c>
      <c r="C27" s="8">
        <v>192000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8933.3333333333339</v>
      </c>
      <c r="C28" s="96">
        <v>160800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16</v>
      </c>
      <c r="C32" s="90">
        <v>16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1.3513513513513514E-2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0.22727272727272727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0.22727272727272727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0.13636363636363635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0.13636363636363635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0A1D-D928-4186-9AC6-DEB2DB167232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DD15C-8B0B-48DF-84F3-5E67FE9B15DE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5AB73-6E7C-4AC1-9B30-247DFFCF6247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5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17DAC-4E99-499C-9BAD-7E73E42DFB55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B5E33-87CC-4BE3-A792-3CA9A6E298AE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FF37-CFA5-4289-A363-44651CF9B6E6}">
  <sheetPr codeName="Sheet18"/>
  <dimension ref="A1:Q4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5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5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5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5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5">
      <c r="A42" s="33">
        <v>39</v>
      </c>
      <c r="B42" s="30">
        <v>360.49999999999994</v>
      </c>
      <c r="C42" s="30">
        <v>9.2435897435897427</v>
      </c>
      <c r="D42" s="35">
        <v>1.7179487179487178</v>
      </c>
      <c r="E42" s="31">
        <v>0.46153846153846156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5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0.45</v>
      </c>
      <c r="F43" s="31">
        <v>0.17499999999999999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0.05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5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0.43902439024390244</v>
      </c>
      <c r="F44" s="31">
        <v>0.1951219512195122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4.878048780487805E-2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B8B3-14F8-4417-9799-615E1B53CBF7}">
  <sheetPr codeName="Sheet16"/>
  <dimension ref="A1:Q3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5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5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5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5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5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5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5">
      <c r="A38" s="33">
        <v>35</v>
      </c>
      <c r="B38" s="30">
        <v>55.499999999999979</v>
      </c>
      <c r="C38" s="30">
        <v>1.5857142857142852</v>
      </c>
      <c r="D38" s="35">
        <v>1.9428571428571428</v>
      </c>
      <c r="E38" s="31">
        <v>0.4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29A4-649A-4C52-A99F-9008D969F8BA}">
  <sheetPr codeName="Sheet14"/>
  <dimension ref="A1:Q2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5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5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5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5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5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5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5">
      <c r="A23" s="33">
        <v>20</v>
      </c>
      <c r="B23" s="30">
        <v>-29.40000000000002</v>
      </c>
      <c r="C23" s="30">
        <v>-1.4700000000000011</v>
      </c>
      <c r="D23" s="35">
        <v>2</v>
      </c>
      <c r="E23" s="31">
        <v>0.25</v>
      </c>
      <c r="F23" s="31">
        <v>0.25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5">
      <c r="A24" s="33">
        <v>21</v>
      </c>
      <c r="B24" s="30">
        <v>11.499999999999979</v>
      </c>
      <c r="C24" s="30">
        <v>0.54761904761904656</v>
      </c>
      <c r="D24" s="35">
        <v>2</v>
      </c>
      <c r="E24" s="31">
        <v>0.23809523809523808</v>
      </c>
      <c r="F24" s="31">
        <v>0.23809523809523808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1FB5D-B5BD-4A34-9667-BF98E33CDB46}">
  <sheetPr codeName="Sheet12"/>
  <dimension ref="A1:Q3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5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5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5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5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5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5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5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5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2.7777777777777776E-2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EB43-FD5A-4444-8F9B-E069463E2261}">
  <sheetPr codeName="Sheet10"/>
  <dimension ref="A1:Q4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5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5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5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5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5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5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5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5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5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5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5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5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5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2F415-82F4-4A48-BD31-BACEA47743A7}">
  <sheetPr codeName="Sheet8"/>
  <dimension ref="A1:Q8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5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5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5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5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5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5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5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5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5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5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5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5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5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5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5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5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5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5">
      <c r="A80" s="33">
        <v>77</v>
      </c>
      <c r="B80" s="30">
        <v>73.099999999999952</v>
      </c>
      <c r="C80" s="30">
        <v>0.94935064935064872</v>
      </c>
      <c r="D80" s="35">
        <v>2.0259740259740258</v>
      </c>
      <c r="E80" s="31">
        <v>0.32467532467532467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5">
      <c r="A81" s="33">
        <v>78</v>
      </c>
      <c r="B81" s="30">
        <v>136.09999999999997</v>
      </c>
      <c r="C81" s="30">
        <v>1.7448717948717944</v>
      </c>
      <c r="D81" s="35">
        <v>2.0128205128205128</v>
      </c>
      <c r="E81" s="31">
        <v>0.33333333333333331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AA0E4-A46A-4DD8-B33E-82FCAA89BF16}">
  <sheetPr codeName="Sheet6"/>
  <dimension ref="A1:Q9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5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5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5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5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5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5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5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5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5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5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5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5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5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5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5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5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5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5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5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7.1684587813620068E-2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5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7.0921985815602842E-2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5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7.0175438596491224E-2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2020-11-19T09:41:39Z</dcterms:modified>
</cp:coreProperties>
</file>