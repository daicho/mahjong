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1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1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1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4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5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6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7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8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9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0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45C5DDEA-BDDE-4FB4-9C37-4AA2953E1AA5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やなぎ" sheetId="7002" r:id="rId17"/>
    <sheet name="いっしー" sheetId="7004" r:id="rId18"/>
    <sheet name="いっしー2" sheetId="7005" state="hidden" r:id="rId19"/>
    <sheet name="やなぎ2" sheetId="7003" state="hidden" r:id="rId20"/>
    <sheet name="わさび2" sheetId="7001" state="hidden" r:id="rId21"/>
    <sheet name="りくと2" sheetId="6999" state="hidden" r:id="rId22"/>
    <sheet name="のり2" sheetId="6997" state="hidden" r:id="rId23"/>
    <sheet name="たか2" sheetId="6995" state="hidden" r:id="rId24"/>
    <sheet name="ただ2" sheetId="6993" state="hidden" r:id="rId25"/>
    <sheet name="いちかわ2" sheetId="6991" state="hidden" r:id="rId26"/>
    <sheet name="まっつん2" sheetId="6989" state="hidden" r:id="rId27"/>
    <sheet name="たかの2" sheetId="6987" state="hidden" r:id="rId28"/>
    <sheet name="れんたろう2" sheetId="6985" state="hidden" r:id="rId29"/>
    <sheet name="だいち2" sheetId="6983" state="hidden" r:id="rId30"/>
    <sheet name="全体2" sheetId="6981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リーチ率" sheetId="3524" state="hidden" r:id="rId42"/>
    <sheet name="副露率" sheetId="3525" state="hidden" r:id="rId43"/>
    <sheet name="リーチ成功率" sheetId="4841" state="hidden" r:id="rId44"/>
    <sheet name="副露成功率" sheetId="3527" state="hidden" r:id="rId45"/>
    <sheet name="ツモ率" sheetId="3528" state="hidden" r:id="rId46"/>
  </sheets>
  <definedNames>
    <definedName name="アガリ数" localSheetId="3">Template1!$B$20</definedName>
    <definedName name="アガリ数" localSheetId="10">いちかわ!$B$20</definedName>
    <definedName name="アガリ数" localSheetId="17">いっしー!$B$20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6">やなぎ!$B$20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17">いっしー!$C$20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6">やなぎ!$C$20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17">いっしー!$B$26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6">やなぎ!$B$26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17">いっしー!$C$26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6">やなぎ!$C$26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17">いっしー!$B$35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6">やなぎ!$B$35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17">いっしー!$C$35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6">やなぎ!$C$35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17">いっしー!$B$22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6">やなぎ!$B$22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17">いっしー!$C$22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6">やなぎ!$C$22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17">いっしー!$B$8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6">やなぎ!$B$8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17">いっしー!$C$8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6">やなぎ!$C$8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17">いっしー!$B$14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6">やなぎ!$B$14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17">いっしー!$B$15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6">やなぎ!$B$15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17">いっしー!$C$15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6">やなぎ!$C$15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17">いっしー!$B$10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6">やなぎ!$B$10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17">いっしー!$C$10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6">やなぎ!$C$10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17">いっしー!$B$24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6">やなぎ!$B$24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17">いっしー!$C$24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6">やなぎ!$C$24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17">いっしー!$B$16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6">やなぎ!$B$16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17">いっしー!$B$18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6">やなぎ!$B$18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17">いっしー!$C$18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6">やなぎ!$C$18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17">いっしー!$C$16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6">やなぎ!$C$16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17">いっしー!$B$6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6">やなぎ!$B$6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17">いっしー!$B$23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6">やなぎ!$B$23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17">いっしー!$C$23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6">やなぎ!$C$23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17">いっしー!$B$11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6">やなぎ!$B$11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17">いっしー!$C$11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6">やなぎ!$C$11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17">いっしー!$B$37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6">やなぎ!$B$37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17">いっしー!$C$37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6">やなぎ!$C$37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17">いっしー!$C$31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6">やなぎ!$C$31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17">いっしー!$C$32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6">やなぎ!$C$32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17">いっしー!$B$34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6">やなぎ!$B$34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17">いっしー!$B$33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6">やなぎ!$B$33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17">いっしー!$B$34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6">やなぎ!$B$34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17">いっしー!$B$13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6">やなぎ!$B$13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17">いっしー!$C$13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6">やなぎ!$C$13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17">いっしー!$B$3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6">やなぎ!$B$3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17">いっしー!$B$2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6">やなぎ!$B$2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17">いっしー!$C$27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6">やなぎ!$C$27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17">いっしー!$B$4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6">やなぎ!$B$4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17">いっしー!$C$29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6">やなぎ!$C$29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17">いっしー!$C$30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6">やなぎ!$C$30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17">いっしー!$C$28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6">やなぎ!$C$28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17">いっしー!$B$12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6">やなぎ!$B$12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17">いっしー!$B$9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6">やなぎ!$B$9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17">いっしー!$C$12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6">やなぎ!$C$12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17">いっしー!$C$9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6">やなぎ!$C$9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17">いっしー!$B$25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6">やなぎ!$B$25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17">いっしー!$B$29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6">やなぎ!$B$29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17">いっしー!$C$25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6">やなぎ!$C$25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17">いっしー!$B$17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6">やなぎ!$B$17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17">いっしー!$B$19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6">やなぎ!$B$19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17">いっしー!$C$19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6">やなぎ!$C$19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17">いっしー!$C$17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6">やなぎ!$C$17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17">いっしー!$B$27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6">やなぎ!$B$27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17">いっしー!$B$5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6">やなぎ!$B$5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17">いっしー!$B$7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6">やなぎ!$B$7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17">いっしー!$B$30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6">やなぎ!$B$30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17">いっしー!$B$21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6">やなぎ!$B$21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17">いっしー!$C$21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6">やなぎ!$C$21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17">いっしー!$B$1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6">やなぎ!$B$1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17">いっしー!$B$28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6">やなぎ!$B$28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17">いっしー!$B$31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6">やなぎ!$B$31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17">いっしー!$B$32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6">やなぎ!$B$32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6998" l="1"/>
  <c r="P17" i="7004"/>
  <c r="P16" i="6982" l="1"/>
  <c r="P16" i="6984"/>
  <c r="P15" i="6980"/>
  <c r="P16" i="7004"/>
  <c r="P15" i="7004"/>
  <c r="C35" i="7004"/>
  <c r="B30" i="7004"/>
  <c r="C21" i="7004"/>
  <c r="B20" i="7004"/>
  <c r="H51" i="7004" s="1"/>
  <c r="B19" i="7004"/>
  <c r="B29" i="7004" s="1"/>
  <c r="B18" i="7004"/>
  <c r="C18" i="7004" s="1"/>
  <c r="C17" i="7004"/>
  <c r="C16" i="7004"/>
  <c r="C15" i="7004"/>
  <c r="B13" i="7004"/>
  <c r="B14" i="7004" s="1"/>
  <c r="P12" i="7004"/>
  <c r="B12" i="7004"/>
  <c r="P11" i="7004"/>
  <c r="B11" i="7004"/>
  <c r="P10" i="7004"/>
  <c r="C10" i="7004"/>
  <c r="C9" i="7004"/>
  <c r="C8" i="7004"/>
  <c r="P7" i="7004"/>
  <c r="B7" i="7004"/>
  <c r="P6" i="7004"/>
  <c r="P5" i="7004"/>
  <c r="B5" i="7004"/>
  <c r="P4" i="7004"/>
  <c r="P3" i="7004"/>
  <c r="P2" i="7004"/>
  <c r="C19" i="7004" l="1"/>
  <c r="H4" i="7004"/>
  <c r="H3" i="7004"/>
  <c r="H10" i="7004"/>
  <c r="H19" i="7004"/>
  <c r="C39" i="7004"/>
  <c r="H46" i="7004"/>
  <c r="H40" i="7004"/>
  <c r="H13" i="7004"/>
  <c r="H47" i="7004"/>
  <c r="H14" i="7004"/>
  <c r="H32" i="7004"/>
  <c r="C23" i="7004"/>
  <c r="H16" i="7004"/>
  <c r="C24" i="7004"/>
  <c r="H6" i="7004"/>
  <c r="H25" i="7004"/>
  <c r="C47" i="7004"/>
  <c r="H42" i="7004"/>
  <c r="H48" i="7004"/>
  <c r="H49" i="7004"/>
  <c r="H41" i="7004"/>
  <c r="H35" i="7004"/>
  <c r="H5" i="7004"/>
  <c r="C26" i="7004"/>
  <c r="H43" i="7004"/>
  <c r="H2" i="7004"/>
  <c r="H17" i="7004"/>
  <c r="H22" i="7004"/>
  <c r="C43" i="7004"/>
  <c r="H50" i="7004"/>
  <c r="H34" i="7004"/>
  <c r="H9" i="7004"/>
  <c r="H8" i="7004"/>
  <c r="H20" i="7004"/>
  <c r="B27" i="7004"/>
  <c r="H37" i="7004"/>
  <c r="H38" i="7004"/>
  <c r="H44" i="7004"/>
  <c r="H7" i="7004"/>
  <c r="H12" i="7004"/>
  <c r="C25" i="7004"/>
  <c r="C20" i="7004"/>
  <c r="B28" i="7004"/>
  <c r="H15" i="7004"/>
  <c r="H18" i="7004"/>
  <c r="C22" i="7004"/>
  <c r="H29" i="7004"/>
  <c r="H39" i="7004"/>
  <c r="H45" i="7004"/>
  <c r="H52" i="7004"/>
  <c r="H21" i="7004"/>
  <c r="H11" i="7004"/>
  <c r="H26" i="7004"/>
  <c r="H30" i="7004"/>
  <c r="H36" i="7004"/>
  <c r="C40" i="7004"/>
  <c r="C44" i="7004"/>
  <c r="C48" i="7004"/>
  <c r="H23" i="7004"/>
  <c r="H27" i="7004"/>
  <c r="H31" i="7004"/>
  <c r="C37" i="7004"/>
  <c r="C41" i="7004"/>
  <c r="C45" i="7004"/>
  <c r="C49" i="7004"/>
  <c r="H24" i="7004"/>
  <c r="H28" i="7004"/>
  <c r="H33" i="7004"/>
  <c r="C38" i="7004"/>
  <c r="C42" i="7004"/>
  <c r="C46" i="7004"/>
  <c r="P17" i="6992" l="1"/>
  <c r="P16" i="7002"/>
  <c r="P15" i="6982" l="1"/>
  <c r="P19" i="6984"/>
  <c r="P16" i="6980"/>
  <c r="P17" i="7002"/>
  <c r="P15" i="7002"/>
  <c r="C35" i="7002"/>
  <c r="B30" i="7002"/>
  <c r="C21" i="7002"/>
  <c r="B20" i="7002"/>
  <c r="H50" i="7002" s="1"/>
  <c r="B19" i="7002"/>
  <c r="B29" i="7002" s="1"/>
  <c r="B18" i="7002"/>
  <c r="C18" i="7002" s="1"/>
  <c r="C17" i="7002"/>
  <c r="C16" i="7002"/>
  <c r="C15" i="7002"/>
  <c r="B13" i="7002"/>
  <c r="P12" i="7002"/>
  <c r="B12" i="7002"/>
  <c r="P11" i="7002"/>
  <c r="B11" i="7002"/>
  <c r="P10" i="7002"/>
  <c r="C10" i="7002"/>
  <c r="C9" i="7002"/>
  <c r="C8" i="7002"/>
  <c r="P7" i="7002"/>
  <c r="B7" i="7002"/>
  <c r="P6" i="7002"/>
  <c r="P5" i="7002"/>
  <c r="B5" i="7002"/>
  <c r="P4" i="7002"/>
  <c r="P3" i="7002"/>
  <c r="P2" i="7002"/>
  <c r="B14" i="7002" l="1"/>
  <c r="C19" i="7002"/>
  <c r="C20" i="7002"/>
  <c r="H9" i="7002"/>
  <c r="H24" i="7002"/>
  <c r="H33" i="7002"/>
  <c r="C42" i="7002"/>
  <c r="H51" i="7002"/>
  <c r="H20" i="7002"/>
  <c r="C24" i="7002"/>
  <c r="B28" i="7002"/>
  <c r="H34" i="7002"/>
  <c r="H39" i="7002"/>
  <c r="H43" i="7002"/>
  <c r="H47" i="7002"/>
  <c r="H11" i="7002"/>
  <c r="H22" i="7002"/>
  <c r="H25" i="7002"/>
  <c r="H29" i="7002"/>
  <c r="H35" i="7002"/>
  <c r="C39" i="7002"/>
  <c r="C43" i="7002"/>
  <c r="C47" i="7002"/>
  <c r="H52" i="7002"/>
  <c r="H14" i="7002"/>
  <c r="H17" i="7002"/>
  <c r="C25" i="7002"/>
  <c r="H40" i="7002"/>
  <c r="H44" i="7002"/>
  <c r="H48" i="7002"/>
  <c r="H28" i="7002"/>
  <c r="C38" i="7002"/>
  <c r="C46" i="7002"/>
  <c r="H2" i="7002"/>
  <c r="H12" i="7002"/>
  <c r="H16" i="7002"/>
  <c r="H5" i="7002"/>
  <c r="H13" i="7002"/>
  <c r="H21" i="7002"/>
  <c r="H10" i="7002"/>
  <c r="H26" i="7002"/>
  <c r="H30" i="7002"/>
  <c r="H36" i="7002"/>
  <c r="C40" i="7002"/>
  <c r="C44" i="7002"/>
  <c r="C48" i="7002"/>
  <c r="H3" i="7002"/>
  <c r="H18" i="7002"/>
  <c r="C22" i="7002"/>
  <c r="C26" i="7002"/>
  <c r="H37" i="7002"/>
  <c r="H41" i="7002"/>
  <c r="H45" i="7002"/>
  <c r="H49" i="7002"/>
  <c r="H4" i="7002"/>
  <c r="H8" i="7002"/>
  <c r="H15" i="7002"/>
  <c r="H23" i="7002"/>
  <c r="H27" i="7002"/>
  <c r="H31" i="7002"/>
  <c r="C37" i="7002"/>
  <c r="C41" i="7002"/>
  <c r="C45" i="7002"/>
  <c r="C49" i="7002"/>
  <c r="H7" i="7002"/>
  <c r="H19" i="7002"/>
  <c r="H6" i="7002"/>
  <c r="C23" i="7002"/>
  <c r="B27" i="7002"/>
  <c r="H32" i="7002"/>
  <c r="H38" i="7002"/>
  <c r="H42" i="7002"/>
  <c r="H46" i="7002"/>
  <c r="P16" i="6996"/>
  <c r="P17" i="6984"/>
  <c r="P21" i="6998" l="1"/>
  <c r="P17" i="6986"/>
  <c r="P19" i="6998" l="1"/>
  <c r="P18" i="6988"/>
  <c r="P22" i="6984" l="1"/>
  <c r="P16" i="6988"/>
  <c r="P18" i="6998" l="1"/>
  <c r="P20" i="6984"/>
  <c r="P15" i="6986" l="1"/>
  <c r="P20" i="6988"/>
  <c r="P22" i="6992"/>
  <c r="P15" i="6988"/>
  <c r="P19" i="6994" l="1"/>
  <c r="P16" i="6986"/>
  <c r="P20" i="6998" l="1"/>
  <c r="P18" i="6982"/>
  <c r="P23" i="6990" l="1"/>
  <c r="P18" i="6986"/>
  <c r="P16" i="6992" l="1"/>
  <c r="P19" i="6992"/>
  <c r="P22" i="6998"/>
  <c r="P17" i="7000"/>
  <c r="P16" i="6990"/>
  <c r="P21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18" i="6980"/>
  <c r="P17" i="6998"/>
  <c r="P16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9" i="6980"/>
  <c r="C41" i="6998" l="1"/>
  <c r="C23" i="6998"/>
  <c r="H9" i="6998"/>
  <c r="H42" i="6998"/>
  <c r="H10" i="6998"/>
  <c r="B27" i="6998"/>
  <c r="H28" i="6998"/>
  <c r="B28" i="6998"/>
  <c r="C19" i="6998"/>
  <c r="H19" i="6998"/>
  <c r="H7" i="6998"/>
  <c r="H37" i="6998"/>
  <c r="C22" i="6998"/>
  <c r="H25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3" i="6998"/>
  <c r="H15" i="6998"/>
  <c r="H20" i="6998"/>
  <c r="H35" i="6998"/>
  <c r="C47" i="6998"/>
  <c r="H29" i="6998"/>
  <c r="H43" i="6998"/>
  <c r="H48" i="6998"/>
  <c r="C37" i="6998"/>
  <c r="H4" i="6998"/>
  <c r="H14" i="6998"/>
  <c r="H18" i="6998"/>
  <c r="H17" i="6998"/>
  <c r="C24" i="6998"/>
  <c r="H38" i="6998"/>
  <c r="C43" i="6998"/>
  <c r="C49" i="6998"/>
  <c r="H13" i="6998"/>
  <c r="H39" i="6998"/>
  <c r="H44" i="6998"/>
  <c r="H50" i="6998"/>
  <c r="H12" i="6998"/>
  <c r="C20" i="6998"/>
  <c r="C25" i="6998"/>
  <c r="H32" i="6998"/>
  <c r="C39" i="6998"/>
  <c r="H45" i="6998"/>
  <c r="H5" i="6998"/>
  <c r="H31" i="6998"/>
  <c r="H6" i="6998"/>
  <c r="H2" i="6998"/>
  <c r="H8" i="6998"/>
  <c r="H16" i="6998"/>
  <c r="H21" i="6998"/>
  <c r="H23" i="6998"/>
  <c r="C26" i="6998"/>
  <c r="H34" i="6998"/>
  <c r="H40" i="6998"/>
  <c r="C45" i="6998"/>
  <c r="H52" i="6998"/>
  <c r="H22" i="6998"/>
  <c r="H24" i="6998"/>
  <c r="H27" i="6998"/>
  <c r="H30" i="6998"/>
  <c r="H36" i="6998"/>
  <c r="C40" i="6998"/>
  <c r="C44" i="6998"/>
  <c r="C48" i="6998"/>
  <c r="H49" i="6998"/>
  <c r="H26" i="6998"/>
  <c r="H11" i="6998"/>
  <c r="H33" i="6998"/>
  <c r="C38" i="6998"/>
  <c r="C42" i="6998"/>
  <c r="C46" i="6998"/>
  <c r="P24" i="6984" l="1"/>
  <c r="P20" i="6992"/>
  <c r="P15" i="6990"/>
  <c r="P15" i="6992"/>
  <c r="P23" i="6992"/>
  <c r="P18" i="6994"/>
  <c r="P17" i="6990"/>
  <c r="P20" i="6994"/>
  <c r="P23" i="6984"/>
  <c r="P15" i="6984"/>
  <c r="P18" i="6996" l="1"/>
  <c r="P16" i="6994"/>
  <c r="P17" i="6982"/>
  <c r="P21" i="6982"/>
  <c r="P17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19" i="6990"/>
  <c r="P18" i="6990"/>
  <c r="P17" i="6980"/>
  <c r="P20" i="6980"/>
  <c r="B14" i="6994" l="1"/>
  <c r="B14" i="6996"/>
  <c r="C19" i="6996"/>
  <c r="C20" i="6996"/>
  <c r="H2" i="6996"/>
  <c r="H5" i="6996"/>
  <c r="C38" i="6996"/>
  <c r="H51" i="6996"/>
  <c r="H3" i="6996"/>
  <c r="H13" i="6996"/>
  <c r="H17" i="6996"/>
  <c r="H21" i="6996"/>
  <c r="C24" i="6996"/>
  <c r="B28" i="6996"/>
  <c r="H34" i="6996"/>
  <c r="H39" i="6996"/>
  <c r="H43" i="6996"/>
  <c r="H47" i="6996"/>
  <c r="H4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2" i="6996"/>
  <c r="H14" i="6996"/>
  <c r="H22" i="6996"/>
  <c r="H11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8" i="6996"/>
  <c r="H16" i="6996"/>
  <c r="H24" i="6996"/>
  <c r="H28" i="6996"/>
  <c r="H31" i="6996"/>
  <c r="C37" i="6996"/>
  <c r="C41" i="6996"/>
  <c r="C45" i="6996"/>
  <c r="C49" i="6996"/>
  <c r="H9" i="6996"/>
  <c r="H20" i="6996"/>
  <c r="H10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3" i="6994"/>
  <c r="H19" i="6994"/>
  <c r="H22" i="6994"/>
  <c r="C24" i="6994"/>
  <c r="B28" i="6994"/>
  <c r="H34" i="6994"/>
  <c r="H39" i="6994"/>
  <c r="H43" i="6994"/>
  <c r="H47" i="6994"/>
  <c r="H5" i="6994"/>
  <c r="H24" i="6994"/>
  <c r="H12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1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1" i="6992"/>
  <c r="P18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4" i="6982"/>
  <c r="P26" i="6980"/>
  <c r="C19" i="6992" l="1"/>
  <c r="B14" i="6992"/>
  <c r="C20" i="6992"/>
  <c r="H3" i="6992"/>
  <c r="H31" i="6992"/>
  <c r="H35" i="6992"/>
  <c r="C38" i="6992"/>
  <c r="C46" i="6992"/>
  <c r="H2" i="6992"/>
  <c r="H10" i="6992"/>
  <c r="H25" i="6992"/>
  <c r="H17" i="6992"/>
  <c r="C24" i="6992"/>
  <c r="B28" i="6992"/>
  <c r="H36" i="6992"/>
  <c r="H41" i="6992"/>
  <c r="H44" i="6992"/>
  <c r="H48" i="6992"/>
  <c r="H4" i="6992"/>
  <c r="H29" i="6992"/>
  <c r="H14" i="6992"/>
  <c r="H21" i="6992"/>
  <c r="H37" i="6992"/>
  <c r="C39" i="6992"/>
  <c r="C43" i="6992"/>
  <c r="C47" i="6992"/>
  <c r="H52" i="6992"/>
  <c r="H19" i="6992"/>
  <c r="H26" i="6992"/>
  <c r="C25" i="6992"/>
  <c r="H42" i="6992"/>
  <c r="H45" i="6992"/>
  <c r="H49" i="6992"/>
  <c r="H9" i="6992"/>
  <c r="C42" i="6992"/>
  <c r="H18" i="6992"/>
  <c r="H7" i="6992"/>
  <c r="H8" i="6992"/>
  <c r="H28" i="6992"/>
  <c r="H13" i="6992"/>
  <c r="H32" i="6992"/>
  <c r="H33" i="6992"/>
  <c r="H38" i="6992"/>
  <c r="C40" i="6992"/>
  <c r="C44" i="6992"/>
  <c r="C48" i="6992"/>
  <c r="H5" i="6992"/>
  <c r="H27" i="6992"/>
  <c r="C22" i="6992"/>
  <c r="C26" i="6992"/>
  <c r="H39" i="6992"/>
  <c r="H23" i="6992"/>
  <c r="H46" i="6992"/>
  <c r="H50" i="6992"/>
  <c r="H6" i="6992"/>
  <c r="H11" i="6992"/>
  <c r="H24" i="6992"/>
  <c r="H30" i="6992"/>
  <c r="H20" i="6992"/>
  <c r="H22" i="6992"/>
  <c r="C37" i="6992"/>
  <c r="C41" i="6992"/>
  <c r="C45" i="6992"/>
  <c r="C49" i="6992"/>
  <c r="H12" i="6992"/>
  <c r="H15" i="6992"/>
  <c r="H16" i="6992"/>
  <c r="C23" i="6992"/>
  <c r="B27" i="6992"/>
  <c r="H34" i="6992"/>
  <c r="H40" i="6992"/>
  <c r="H43" i="6992"/>
  <c r="H47" i="6992"/>
  <c r="P23" i="6982" l="1"/>
  <c r="P20" i="6982"/>
  <c r="P22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3" i="6980"/>
  <c r="P19" i="6988"/>
  <c r="P17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5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0" i="6990"/>
  <c r="C24" i="6990"/>
  <c r="B28" i="6990"/>
  <c r="H34" i="6990"/>
  <c r="H39" i="6990"/>
  <c r="H43" i="6990"/>
  <c r="H47" i="6990"/>
  <c r="H5" i="6990"/>
  <c r="H26" i="6990"/>
  <c r="H12" i="6990"/>
  <c r="H31" i="6990"/>
  <c r="H35" i="6990"/>
  <c r="C39" i="6990"/>
  <c r="C43" i="6990"/>
  <c r="C47" i="6990"/>
  <c r="H52" i="6990"/>
  <c r="H18" i="6990"/>
  <c r="H23" i="6990"/>
  <c r="C25" i="6990"/>
  <c r="H40" i="6990"/>
  <c r="H44" i="6990"/>
  <c r="H48" i="6990"/>
  <c r="H33" i="6990"/>
  <c r="C42" i="6990"/>
  <c r="H51" i="6990"/>
  <c r="H2" i="6990"/>
  <c r="H6" i="6990"/>
  <c r="H14" i="6990"/>
  <c r="H25" i="6990"/>
  <c r="H13" i="6990"/>
  <c r="H29" i="6990"/>
  <c r="H17" i="6990"/>
  <c r="H36" i="6990"/>
  <c r="C40" i="6990"/>
  <c r="C44" i="6990"/>
  <c r="C48" i="6990"/>
  <c r="H4" i="6990"/>
  <c r="H24" i="6990"/>
  <c r="C22" i="6990"/>
  <c r="C26" i="6990"/>
  <c r="H37" i="6990"/>
  <c r="H41" i="6990"/>
  <c r="H45" i="6990"/>
  <c r="H49" i="6990"/>
  <c r="H7" i="6990"/>
  <c r="H11" i="6990"/>
  <c r="H22" i="6990"/>
  <c r="H27" i="6990"/>
  <c r="H30" i="6990"/>
  <c r="H32" i="6990"/>
  <c r="C37" i="6990"/>
  <c r="C41" i="6990"/>
  <c r="C45" i="6990"/>
  <c r="C49" i="6990"/>
  <c r="H10" i="6990"/>
  <c r="H15" i="6990"/>
  <c r="H16" i="6990"/>
  <c r="C23" i="6990"/>
  <c r="B27" i="6990"/>
  <c r="H21" i="6990"/>
  <c r="H38" i="6990"/>
  <c r="H42" i="6990"/>
  <c r="H46" i="6990"/>
  <c r="C20" i="6988"/>
  <c r="H3" i="6988"/>
  <c r="H28" i="6988"/>
  <c r="H33" i="6988"/>
  <c r="C42" i="6988"/>
  <c r="H51" i="6988"/>
  <c r="H2" i="6988"/>
  <c r="H8" i="6988"/>
  <c r="H23" i="6988"/>
  <c r="H17" i="6988"/>
  <c r="C24" i="6988"/>
  <c r="B28" i="6988"/>
  <c r="H34" i="6988"/>
  <c r="H39" i="6988"/>
  <c r="H43" i="6988"/>
  <c r="H47" i="6988"/>
  <c r="H5" i="6988"/>
  <c r="H26" i="6988"/>
  <c r="H11" i="6988"/>
  <c r="H19" i="6988"/>
  <c r="H35" i="6988"/>
  <c r="C39" i="6988"/>
  <c r="C43" i="6988"/>
  <c r="C47" i="6988"/>
  <c r="H52" i="6988"/>
  <c r="H21" i="6988"/>
  <c r="H24" i="6988"/>
  <c r="C25" i="6988"/>
  <c r="H40" i="6988"/>
  <c r="H44" i="6988"/>
  <c r="H48" i="6988"/>
  <c r="H10" i="6988"/>
  <c r="C38" i="6988"/>
  <c r="C46" i="6988"/>
  <c r="H7" i="6988"/>
  <c r="H12" i="6988"/>
  <c r="H25" i="6988"/>
  <c r="H13" i="6988"/>
  <c r="H29" i="6988"/>
  <c r="H20" i="6988"/>
  <c r="H36" i="6988"/>
  <c r="C40" i="6988"/>
  <c r="C44" i="6988"/>
  <c r="C48" i="6988"/>
  <c r="H4" i="6988"/>
  <c r="H18" i="6988"/>
  <c r="C22" i="6988"/>
  <c r="C26" i="6988"/>
  <c r="H37" i="6988"/>
  <c r="H41" i="6988"/>
  <c r="H45" i="6988"/>
  <c r="H49" i="6988"/>
  <c r="H6" i="6988"/>
  <c r="H16" i="6988"/>
  <c r="H22" i="6988"/>
  <c r="H27" i="6988"/>
  <c r="H30" i="6988"/>
  <c r="H31" i="6988"/>
  <c r="C37" i="6988"/>
  <c r="C41" i="6988"/>
  <c r="C45" i="6988"/>
  <c r="C49" i="6988"/>
  <c r="H9" i="6988"/>
  <c r="H14" i="6988"/>
  <c r="H15" i="6988"/>
  <c r="C23" i="6988"/>
  <c r="B27" i="6988"/>
  <c r="H32" i="6988"/>
  <c r="H38" i="6988"/>
  <c r="H42" i="6988"/>
  <c r="H46" i="6988"/>
  <c r="P20" i="6986" l="1"/>
  <c r="P19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21" i="6984"/>
  <c r="P18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4" i="6980"/>
  <c r="P22" i="6982"/>
  <c r="P19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2" i="6980"/>
  <c r="P21" i="6980"/>
  <c r="C35" i="6980"/>
  <c r="B30" i="6980"/>
  <c r="C21" i="6980"/>
  <c r="B20" i="6980"/>
  <c r="H18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C43" i="6984" l="1"/>
  <c r="B14" i="6984"/>
  <c r="H9" i="6984"/>
  <c r="C19" i="6984"/>
  <c r="H10" i="6984"/>
  <c r="H26" i="6984"/>
  <c r="H27" i="6984"/>
  <c r="H3" i="6984"/>
  <c r="H13" i="6984"/>
  <c r="B14" i="6980"/>
  <c r="B14" i="6982"/>
  <c r="C19" i="6982"/>
  <c r="C25" i="6984"/>
  <c r="H45" i="6984"/>
  <c r="H32" i="6984"/>
  <c r="C45" i="6984"/>
  <c r="H29" i="6984"/>
  <c r="H24" i="6984"/>
  <c r="H11" i="6984"/>
  <c r="H36" i="6984"/>
  <c r="H19" i="6984"/>
  <c r="H7" i="6984"/>
  <c r="H23" i="6984"/>
  <c r="C22" i="6984"/>
  <c r="H2" i="6984"/>
  <c r="H20" i="6984"/>
  <c r="H4" i="6984"/>
  <c r="H30" i="6984"/>
  <c r="C41" i="6984"/>
  <c r="C19" i="6986"/>
  <c r="C20" i="6986"/>
  <c r="H2" i="6986"/>
  <c r="H30" i="6986"/>
  <c r="H8" i="6986"/>
  <c r="H34" i="6986"/>
  <c r="C38" i="6986"/>
  <c r="C42" i="6986"/>
  <c r="C46" i="6986"/>
  <c r="H51" i="6986"/>
  <c r="H3" i="6986"/>
  <c r="H10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9" i="6986"/>
  <c r="H27" i="6986"/>
  <c r="H12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3" i="6986"/>
  <c r="H23" i="6986"/>
  <c r="H29" i="6986"/>
  <c r="H19" i="6986"/>
  <c r="H33" i="6986"/>
  <c r="C37" i="6986"/>
  <c r="C41" i="6986"/>
  <c r="C45" i="6986"/>
  <c r="C49" i="6986"/>
  <c r="H11" i="6986"/>
  <c r="H14" i="6986"/>
  <c r="H15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5" i="6984"/>
  <c r="C20" i="6984"/>
  <c r="H22" i="6984"/>
  <c r="C39" i="6984"/>
  <c r="C49" i="6984"/>
  <c r="H41" i="6984"/>
  <c r="H52" i="6984"/>
  <c r="H28" i="6984"/>
  <c r="H14" i="6984"/>
  <c r="H31" i="6984"/>
  <c r="H15" i="6984"/>
  <c r="H37" i="6984"/>
  <c r="C40" i="6984"/>
  <c r="C44" i="6984"/>
  <c r="C48" i="6984"/>
  <c r="H38" i="6984"/>
  <c r="H42" i="6984"/>
  <c r="H46" i="6984"/>
  <c r="H50" i="6984"/>
  <c r="H18" i="6984"/>
  <c r="H17" i="6984"/>
  <c r="C23" i="6984"/>
  <c r="B27" i="6984"/>
  <c r="H33" i="6984"/>
  <c r="H39" i="6984"/>
  <c r="H43" i="6984"/>
  <c r="H47" i="6984"/>
  <c r="H51" i="6984"/>
  <c r="H21" i="6984"/>
  <c r="H8" i="6984"/>
  <c r="H34" i="6984"/>
  <c r="C38" i="6984"/>
  <c r="C42" i="6984"/>
  <c r="C46" i="6984"/>
  <c r="H16" i="6984"/>
  <c r="C24" i="6984"/>
  <c r="B28" i="6984"/>
  <c r="H35" i="6984"/>
  <c r="H40" i="6984"/>
  <c r="H44" i="6984"/>
  <c r="H48" i="6984"/>
  <c r="C19" i="6980"/>
  <c r="C20" i="6982"/>
  <c r="H3" i="6982"/>
  <c r="H22" i="6982"/>
  <c r="H34" i="6982"/>
  <c r="C42" i="6982"/>
  <c r="H16" i="6982"/>
  <c r="H2" i="6982"/>
  <c r="H8" i="6982"/>
  <c r="H21" i="6982"/>
  <c r="H19" i="6982"/>
  <c r="C24" i="6982"/>
  <c r="B28" i="6982"/>
  <c r="H35" i="6982"/>
  <c r="H40" i="6982"/>
  <c r="H44" i="6982"/>
  <c r="H48" i="6982"/>
  <c r="H5" i="6982"/>
  <c r="H32" i="6982"/>
  <c r="H12" i="6982"/>
  <c r="H28" i="6982"/>
  <c r="H36" i="6982"/>
  <c r="C39" i="6982"/>
  <c r="C43" i="6982"/>
  <c r="C47" i="6982"/>
  <c r="H52" i="6982"/>
  <c r="H20" i="6982"/>
  <c r="H30" i="6982"/>
  <c r="C25" i="6982"/>
  <c r="H41" i="6982"/>
  <c r="H45" i="6982"/>
  <c r="H49" i="6982"/>
  <c r="H10" i="6982"/>
  <c r="C38" i="6982"/>
  <c r="C46" i="6982"/>
  <c r="H7" i="6982"/>
  <c r="H9" i="6982"/>
  <c r="H24" i="6982"/>
  <c r="H13" i="6982"/>
  <c r="H26" i="6982"/>
  <c r="H18" i="6982"/>
  <c r="H37" i="6982"/>
  <c r="C40" i="6982"/>
  <c r="C44" i="6982"/>
  <c r="C48" i="6982"/>
  <c r="H4" i="6982"/>
  <c r="H31" i="6982"/>
  <c r="C22" i="6982"/>
  <c r="C26" i="6982"/>
  <c r="H38" i="6982"/>
  <c r="H42" i="6982"/>
  <c r="H46" i="6982"/>
  <c r="H50" i="6982"/>
  <c r="H6" i="6982"/>
  <c r="H14" i="6982"/>
  <c r="H29" i="6982"/>
  <c r="H25" i="6982"/>
  <c r="H27" i="6982"/>
  <c r="H23" i="6982"/>
  <c r="C37" i="6982"/>
  <c r="C41" i="6982"/>
  <c r="C45" i="6982"/>
  <c r="C49" i="6982"/>
  <c r="H11" i="6982"/>
  <c r="H15" i="6982"/>
  <c r="H17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29" i="6980"/>
  <c r="C39" i="6980"/>
  <c r="C45" i="6980"/>
  <c r="H34" i="6980"/>
  <c r="H8" i="6980"/>
  <c r="H2" i="6980"/>
  <c r="H11" i="6980"/>
  <c r="H46" i="6980"/>
  <c r="H7" i="6980"/>
  <c r="H13" i="6980"/>
  <c r="H22" i="6980"/>
  <c r="H26" i="6980"/>
  <c r="H48" i="6980"/>
  <c r="H25" i="6980"/>
  <c r="H43" i="6980"/>
  <c r="C47" i="6980"/>
  <c r="H49" i="6980"/>
  <c r="H23" i="6980"/>
  <c r="C25" i="6980"/>
  <c r="H31" i="6980"/>
  <c r="H6" i="6980"/>
  <c r="H12" i="6980"/>
  <c r="H33" i="6980"/>
  <c r="C26" i="6980"/>
  <c r="C41" i="6980"/>
  <c r="C49" i="6980"/>
  <c r="C20" i="6980"/>
  <c r="H38" i="6980"/>
  <c r="H10" i="6980"/>
  <c r="H35" i="6980"/>
  <c r="H45" i="6980"/>
  <c r="H5" i="6980"/>
  <c r="H37" i="6980"/>
  <c r="H24" i="6980"/>
  <c r="H3" i="6980"/>
  <c r="H19" i="6980"/>
  <c r="B28" i="6980"/>
  <c r="H40" i="6980"/>
  <c r="C43" i="6980"/>
  <c r="H52" i="6980"/>
  <c r="H28" i="6980"/>
  <c r="H14" i="6980"/>
  <c r="H30" i="6980"/>
  <c r="H17" i="6980"/>
  <c r="H39" i="6980"/>
  <c r="C40" i="6980"/>
  <c r="C44" i="6980"/>
  <c r="C48" i="6980"/>
  <c r="H32" i="6980"/>
  <c r="H50" i="6980"/>
  <c r="H15" i="6980"/>
  <c r="H16" i="6980"/>
  <c r="C23" i="6980"/>
  <c r="B27" i="6980"/>
  <c r="H27" i="6980"/>
  <c r="H41" i="6980"/>
  <c r="H44" i="6980"/>
  <c r="H47" i="6980"/>
  <c r="H51" i="6980"/>
  <c r="H21" i="6980"/>
  <c r="H9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<sst xmlns="http://schemas.openxmlformats.org/spreadsheetml/2006/main" count="3562" uniqueCount="280">
  <si>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</si>
  <si>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</si>
  <si>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</si>
  <si>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</si>
  <si>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</si>
  <si>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</si>
  <si>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</si>
  <si>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</si>
  <si>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</si>
  <si>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</si>
  <si>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</si>
  <si>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</si>
  <si>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</si>
  <si>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</si>
  <si>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</si>
  <si>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</si>
  <si>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</si>
  <si>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</si>
  <si>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</si>
  <si>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</si>
  <si>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</si>
  <si>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</si>
  <si>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</si>
  <si>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</si>
  <si>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</si>
  <si>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</si>
  <si>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</si>
  <si>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</si>
  <si>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</si>
  <si>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</si>
  <si>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</si>
  <si>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</si>
  <si>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</si>
  <si>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</si>
  <si>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</si>
  <si>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</si>
  <si>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</si>
  <si>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</si>
  <si>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</si>
  <si>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</si>
  <si>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</si>
  <si>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</si>
  <si>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</si>
  <si>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</si>
  <si>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</si>
  <si>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</si>
  <si>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</si>
  <si>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</si>
  <si>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</si>
  <si>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</si>
  <si>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</si>
  <si>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</si>
  <si>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</si>
  <si>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</si>
  <si>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</si>
  <si>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</si>
  <si>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</si>
  <si>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</si>
  <si>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</si>
  <si>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</si>
  <si>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</si>
  <si>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</si>
  <si>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</si>
  <si>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</si>
  <si>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</si>
  <si>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</si>
  <si>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</si>
  <si>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</si>
  <si>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</si>
  <si>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</si>
  <si>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</si>
  <si>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</si>
  <si>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</si>
  <si>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</si>
  <si>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</si>
  <si>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</si>
  <si>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</si>
  <si>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</si>
  <si>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</si>
  <si>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</si>
  <si>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</si>
  <si>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</si>
  <si>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</si>
  <si>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</si>
  <si>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</si>
  <si>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</si>
  <si>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</si>
  <si>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</si>
  <si>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</si>
  <si>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</si>
  <si>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</si>
  <si>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</si>
  <si>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</si>
  <si>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</si>
  <si>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</si>
  <si>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</si>
  <si>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</si>
  <si>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</si>
  <si>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</si>
  <si>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</si>
  <si>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</si>
  <si>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</si>
  <si>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</si>
  <si>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</si>
  <si>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</si>
  <si>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</si>
  <si>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</si>
  <si>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</si>
  <si>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</si>
  <si>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</si>
  <si>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</si>
  <si>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</si>
  <si>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</si>
  <si>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</si>
  <si>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</si>
  <si>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</si>
  <si>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</si>
  <si>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</si>
  <si>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</si>
  <si>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</si>
  <si>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</si>
  <si>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</si>
  <si>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</si>
  <si>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</si>
  <si>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</si>
  <si>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</si>
  <si>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</si>
  <si>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</si>
  <si>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</si>
  <si>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</si>
  <si>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</si>
  <si>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</si>
  <si>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</si>
  <si>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</si>
  <si>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</si>
  <si>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</si>
  <si>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</si>
  <si>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</si>
  <si>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</si>
  <si>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</si>
  <si>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</si>
  <si>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</si>
  <si>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</si>
  <si>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</si>
  <si>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</si>
  <si>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</si>
  <si>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</si>
  <si>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</si>
  <si>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</si>
  <si>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</si>
  <si>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</si>
  <si>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</si>
  <si>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</si>
  <si>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</si>
  <si>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</si>
  <si>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</si>
  <si>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</si>
  <si>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</si>
  <si>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</si>
  <si>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</si>
  <si>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</si>
  <si>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</si>
  <si>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</si>
  <si>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</si>
  <si>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</si>
  <si>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</si>
  <si>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</si>
  <si>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</si>
  <si>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</si>
  <si>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</si>
  <si>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</si>
  <si>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</si>
  <si>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</si>
  <si>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</si>
  <si>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</si>
  <si>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</si>
  <si>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</si>
  <si>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</si>
  <si>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</si>
  <si>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</si>
  <si>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</si>
  <si>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</si>
  <si>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</si>
  <si>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</si>
  <si>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</si>
  <si>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</si>
  <si>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</si>
  <si>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</si>
  <si>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</si>
  <si>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</si>
  <si>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</si>
  <si>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</si>
  <si>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</si>
  <si>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</si>
  <si>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</si>
  <si>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</si>
  <si>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</si>
  <si>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</si>
  <si>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</si>
  <si>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</si>
  <si>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</si>
  <si>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</si>
  <si>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</si>
  <si>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</si>
  <si>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</si>
  <si>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</si>
  <si>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</si>
  <si>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</si>
  <si>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</si>
  <si>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</si>
  <si>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</si>
  <si>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</si>
  <si>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</si>
  <si>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</si>
  <si>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</si>
  <si>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</si>
  <si>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</si>
  <si>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</si>
  <si>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</si>
  <si>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</si>
  <si>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</si>
  <si>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</si>
  <si>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</si>
  <si>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</si>
  <si>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</si>
  <si>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</si>
  <si>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</si>
  <si>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</si>
  <si>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</si>
  <si>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</si>
  <si>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</si>
  <si>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</si>
  <si>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</si>
  <si>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</si>
  <si>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</si>
  <si>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</si>
  <si>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</si>
  <si>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</si>
  <si>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</si>
  <si>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</si>
  <si>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</si>
  <si>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</si>
  <si>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</si>
  <si>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</si>
  <si>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</si>
  <si>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</si>
  <si>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</si>
  <si>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</si>
  <si>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</si>
  <si>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</si>
  <si>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</si>
  <si>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</si>
  <si>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</si>
  <si>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</si>
  <si>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</si>
  <si>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</si>
  <si>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</si>
  <si>
    <t>2020-11-29@0.xlsm</t>
  </si>
  <si>
    <t>2020-11-30@0.xlsm</t>
  </si>
  <si>
    <t>やなぎ</t>
  </si>
  <si>
    <t>2020-12-01@0.xlsm</t>
  </si>
  <si>
    <t>2020-12-03@0.xlsm</t>
  </si>
  <si>
    <t>2020-12-08@0.xlsm</t>
  </si>
  <si>
    <t>いっしー</t>
    <phoneticPr fontId="1"/>
  </si>
  <si>
    <t>2020-12-09@0.xlsm</t>
  </si>
  <si>
    <t>2020-12-10@0.xlsm</t>
  </si>
  <si>
    <t>2020-12-11@0.xlsm</t>
  </si>
  <si>
    <t>2020-12-12@0.xlsm</t>
  </si>
  <si>
    <t>2020-12-14@0.xlsm</t>
  </si>
  <si>
    <t>2020-12-23@0.xlsm</t>
  </si>
  <si>
    <t>2021-01-06@0.xlsm</t>
  </si>
  <si>
    <t>2021-01-07@0.xlsm</t>
  </si>
  <si>
    <t>2021-01-15@0.xlsm</t>
  </si>
  <si>
    <t>2021-01-16@0.xlsm</t>
  </si>
  <si>
    <t>2021-01-25@0.xlsm</t>
  </si>
  <si>
    <t>2021-01-29@0.xlsm</t>
  </si>
  <si>
    <t>2021-01-30@AllStar.xlsm</t>
  </si>
  <si>
    <t>Sheet8</t>
  </si>
  <si>
    <t>2021-02-02@0.xlsm</t>
  </si>
  <si>
    <t>2021-02-06@2.xlsm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</si>
</sst>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全体!$K$2:$K$512</c:f>
              <c:numCache>
                <c:formatCode>General</c:formatCode>
                <c:ptCount val="5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</c:numCache>
            </c:numRef>
          </c:xVal>
          <c:yVal>
            <c:numRef>
              <c:f>全体!$L$2:$L$512</c:f>
              <c:numCache>
                <c:formatCode>\+0.0;\-0.0;\±0</c:formatCode>
                <c:ptCount val="511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  <c:pt idx="331">
                  <c:v>-6.1999999999999611</c:v>
                </c:pt>
                <c:pt idx="332">
                  <c:v>-46.19999999999996</c:v>
                </c:pt>
                <c:pt idx="333">
                  <c:v>4.2632564145606011E-14</c:v>
                </c:pt>
                <c:pt idx="334">
                  <c:v>46.600000000000044</c:v>
                </c:pt>
                <c:pt idx="335">
                  <c:v>50.300000000000047</c:v>
                </c:pt>
                <c:pt idx="336">
                  <c:v>4.9737991503207013E-14</c:v>
                </c:pt>
                <c:pt idx="337">
                  <c:v>-22.099999999999952</c:v>
                </c:pt>
                <c:pt idx="338">
                  <c:v>-21.49999999999995</c:v>
                </c:pt>
                <c:pt idx="339">
                  <c:v>4.9737991503207013E-14</c:v>
                </c:pt>
                <c:pt idx="340">
                  <c:v>32.200000000000053</c:v>
                </c:pt>
                <c:pt idx="341">
                  <c:v>27.100000000000051</c:v>
                </c:pt>
                <c:pt idx="342">
                  <c:v>4.9737991503207013E-14</c:v>
                </c:pt>
                <c:pt idx="343">
                  <c:v>-24.49999999999995</c:v>
                </c:pt>
                <c:pt idx="344">
                  <c:v>-27.49999999999995</c:v>
                </c:pt>
                <c:pt idx="345">
                  <c:v>4.9737991503207013E-14</c:v>
                </c:pt>
                <c:pt idx="346">
                  <c:v>27.900000000000048</c:v>
                </c:pt>
                <c:pt idx="347">
                  <c:v>32.300000000000047</c:v>
                </c:pt>
                <c:pt idx="348">
                  <c:v>4.9737991503207013E-14</c:v>
                </c:pt>
                <c:pt idx="349">
                  <c:v>37.300000000000047</c:v>
                </c:pt>
                <c:pt idx="350">
                  <c:v>45.500000000000043</c:v>
                </c:pt>
                <c:pt idx="351">
                  <c:v>4.2632564145606011E-14</c:v>
                </c:pt>
                <c:pt idx="352">
                  <c:v>2.0000000000000426</c:v>
                </c:pt>
                <c:pt idx="353">
                  <c:v>-19.499999999999957</c:v>
                </c:pt>
                <c:pt idx="354">
                  <c:v>4.2632564145606011E-14</c:v>
                </c:pt>
                <c:pt idx="355">
                  <c:v>-26.399999999999956</c:v>
                </c:pt>
                <c:pt idx="356">
                  <c:v>-34.299999999999955</c:v>
                </c:pt>
                <c:pt idx="357">
                  <c:v>4.2632564145606011E-14</c:v>
                </c:pt>
                <c:pt idx="358">
                  <c:v>6.8000000000000425</c:v>
                </c:pt>
                <c:pt idx="359">
                  <c:v>-38.899999999999963</c:v>
                </c:pt>
                <c:pt idx="360">
                  <c:v>3.5527136788005009E-14</c:v>
                </c:pt>
                <c:pt idx="361">
                  <c:v>16.000000000000036</c:v>
                </c:pt>
                <c:pt idx="362">
                  <c:v>48.000000000000036</c:v>
                </c:pt>
                <c:pt idx="363">
                  <c:v>3.5527136788005009E-14</c:v>
                </c:pt>
                <c:pt idx="364">
                  <c:v>-34.899999999999963</c:v>
                </c:pt>
                <c:pt idx="365">
                  <c:v>-8.8999999999999631</c:v>
                </c:pt>
                <c:pt idx="366">
                  <c:v>3.730349362740526E-14</c:v>
                </c:pt>
                <c:pt idx="367">
                  <c:v>-33.899999999999963</c:v>
                </c:pt>
                <c:pt idx="368">
                  <c:v>-32.299999999999962</c:v>
                </c:pt>
                <c:pt idx="369">
                  <c:v>3.5527136788005009E-14</c:v>
                </c:pt>
                <c:pt idx="370">
                  <c:v>-0.49999999999996447</c:v>
                </c:pt>
                <c:pt idx="371">
                  <c:v>-23.899999999999963</c:v>
                </c:pt>
                <c:pt idx="372">
                  <c:v>3.5527136788005009E-14</c:v>
                </c:pt>
                <c:pt idx="373">
                  <c:v>0.30000000000003552</c:v>
                </c:pt>
                <c:pt idx="374">
                  <c:v>37.400000000000034</c:v>
                </c:pt>
                <c:pt idx="375">
                  <c:v>3.5527136788005009E-14</c:v>
                </c:pt>
                <c:pt idx="376">
                  <c:v>-48.999999999999964</c:v>
                </c:pt>
                <c:pt idx="377">
                  <c:v>-59.999999999999964</c:v>
                </c:pt>
                <c:pt idx="378">
                  <c:v>3.5527136788005009E-14</c:v>
                </c:pt>
                <c:pt idx="379">
                  <c:v>-4.4999999999999645</c:v>
                </c:pt>
                <c:pt idx="380">
                  <c:v>24.200000000000035</c:v>
                </c:pt>
                <c:pt idx="381">
                  <c:v>3.5527136788005009E-14</c:v>
                </c:pt>
                <c:pt idx="382">
                  <c:v>49.400000000000034</c:v>
                </c:pt>
                <c:pt idx="383">
                  <c:v>50.500000000000036</c:v>
                </c:pt>
                <c:pt idx="384">
                  <c:v>3.5527136788005009E-14</c:v>
                </c:pt>
                <c:pt idx="385">
                  <c:v>40.600000000000037</c:v>
                </c:pt>
                <c:pt idx="386">
                  <c:v>51.80000000000004</c:v>
                </c:pt>
                <c:pt idx="387">
                  <c:v>4.2632564145606011E-14</c:v>
                </c:pt>
                <c:pt idx="388">
                  <c:v>-12.199999999999957</c:v>
                </c:pt>
                <c:pt idx="389">
                  <c:v>22.500000000000046</c:v>
                </c:pt>
                <c:pt idx="390">
                  <c:v>4.6185277824406512E-14</c:v>
                </c:pt>
                <c:pt idx="391">
                  <c:v>14.500000000000046</c:v>
                </c:pt>
                <c:pt idx="392">
                  <c:v>13.700000000000045</c:v>
                </c:pt>
                <c:pt idx="393">
                  <c:v>4.6185277824406512E-14</c:v>
                </c:pt>
                <c:pt idx="394">
                  <c:v>-8.6999999999999531</c:v>
                </c:pt>
                <c:pt idx="395">
                  <c:v>-32.599999999999952</c:v>
                </c:pt>
                <c:pt idx="396">
                  <c:v>4.9737991503207013E-14</c:v>
                </c:pt>
                <c:pt idx="397">
                  <c:v>14.50000000000005</c:v>
                </c:pt>
                <c:pt idx="398">
                  <c:v>1.8000000000000504</c:v>
                </c:pt>
                <c:pt idx="399">
                  <c:v>5.0404125317982107E-14</c:v>
                </c:pt>
                <c:pt idx="400">
                  <c:v>49.900000000000048</c:v>
                </c:pt>
                <c:pt idx="401">
                  <c:v>13.800000000000047</c:v>
                </c:pt>
                <c:pt idx="402">
                  <c:v>4.6185277824406512E-14</c:v>
                </c:pt>
                <c:pt idx="403">
                  <c:v>-24.599999999999955</c:v>
                </c:pt>
                <c:pt idx="404">
                  <c:v>-21.599999999999955</c:v>
                </c:pt>
                <c:pt idx="405">
                  <c:v>4.6185277824406512E-14</c:v>
                </c:pt>
                <c:pt idx="406">
                  <c:v>9.9000000000000465</c:v>
                </c:pt>
                <c:pt idx="407">
                  <c:v>-23.599999999999952</c:v>
                </c:pt>
                <c:pt idx="408">
                  <c:v>4.9737991503207013E-14</c:v>
                </c:pt>
                <c:pt idx="409">
                  <c:v>-2.8999999999999502</c:v>
                </c:pt>
                <c:pt idx="410">
                  <c:v>-24.899999999999949</c:v>
                </c:pt>
                <c:pt idx="411">
                  <c:v>4.9737991503207013E-14</c:v>
                </c:pt>
                <c:pt idx="412">
                  <c:v>72.000000000000057</c:v>
                </c:pt>
                <c:pt idx="413">
                  <c:v>48.000000000000057</c:v>
                </c:pt>
                <c:pt idx="414">
                  <c:v>5.6843418860808015E-14</c:v>
                </c:pt>
                <c:pt idx="415">
                  <c:v>-42.899999999999942</c:v>
                </c:pt>
                <c:pt idx="416">
                  <c:v>-52.099999999999937</c:v>
                </c:pt>
                <c:pt idx="417">
                  <c:v>6.3948846218409017E-14</c:v>
                </c:pt>
                <c:pt idx="418">
                  <c:v>-50.599999999999937</c:v>
                </c:pt>
                <c:pt idx="419">
                  <c:v>-55.999999999999936</c:v>
                </c:pt>
                <c:pt idx="420">
                  <c:v>6.3948846218409017E-14</c:v>
                </c:pt>
                <c:pt idx="421">
                  <c:v>2.100000000000064</c:v>
                </c:pt>
                <c:pt idx="422">
                  <c:v>17.500000000000064</c:v>
                </c:pt>
                <c:pt idx="423">
                  <c:v>6.3948846218409017E-14</c:v>
                </c:pt>
                <c:pt idx="424">
                  <c:v>68.600000000000051</c:v>
                </c:pt>
                <c:pt idx="425">
                  <c:v>16.900000000000048</c:v>
                </c:pt>
                <c:pt idx="426">
                  <c:v>4.9737991503207013E-14</c:v>
                </c:pt>
                <c:pt idx="427">
                  <c:v>2.3000000000000496</c:v>
                </c:pt>
                <c:pt idx="428">
                  <c:v>-30.19999999999995</c:v>
                </c:pt>
                <c:pt idx="429">
                  <c:v>4.9737991503207013E-14</c:v>
                </c:pt>
                <c:pt idx="430">
                  <c:v>24.50000000000005</c:v>
                </c:pt>
                <c:pt idx="431">
                  <c:v>-5.5999999999999517</c:v>
                </c:pt>
                <c:pt idx="432">
                  <c:v>4.7961634663806763E-14</c:v>
                </c:pt>
                <c:pt idx="433">
                  <c:v>-48.299999999999947</c:v>
                </c:pt>
                <c:pt idx="434">
                  <c:v>-9.699999999999946</c:v>
                </c:pt>
                <c:pt idx="435">
                  <c:v>5.3290705182007514E-14</c:v>
                </c:pt>
                <c:pt idx="436">
                  <c:v>36.500000000000057</c:v>
                </c:pt>
                <c:pt idx="437">
                  <c:v>7.4000000000000554</c:v>
                </c:pt>
                <c:pt idx="438">
                  <c:v>5.5067062021407764E-14</c:v>
                </c:pt>
                <c:pt idx="439">
                  <c:v>-26.799999999999947</c:v>
                </c:pt>
                <c:pt idx="440">
                  <c:v>-24.399999999999949</c:v>
                </c:pt>
                <c:pt idx="441">
                  <c:v>4.9737991503207013E-14</c:v>
                </c:pt>
                <c:pt idx="442">
                  <c:v>40.300000000000047</c:v>
                </c:pt>
                <c:pt idx="443">
                  <c:v>46.00000000000005</c:v>
                </c:pt>
                <c:pt idx="444">
                  <c:v>4.9737991503207013E-14</c:v>
                </c:pt>
                <c:pt idx="445">
                  <c:v>-31.099999999999952</c:v>
                </c:pt>
                <c:pt idx="446">
                  <c:v>-30.099999999999952</c:v>
                </c:pt>
                <c:pt idx="447">
                  <c:v>4.9737991503207013E-14</c:v>
                </c:pt>
                <c:pt idx="448">
                  <c:v>50.400000000000048</c:v>
                </c:pt>
                <c:pt idx="449">
                  <c:v>31.800000000000047</c:v>
                </c:pt>
                <c:pt idx="450">
                  <c:v>4.6185277824406512E-14</c:v>
                </c:pt>
                <c:pt idx="451">
                  <c:v>30.800000000000047</c:v>
                </c:pt>
                <c:pt idx="452">
                  <c:v>33.400000000000048</c:v>
                </c:pt>
                <c:pt idx="453">
                  <c:v>4.9737991503207013E-14</c:v>
                </c:pt>
                <c:pt idx="454">
                  <c:v>26.900000000000048</c:v>
                </c:pt>
                <c:pt idx="455">
                  <c:v>21.900000000000048</c:v>
                </c:pt>
                <c:pt idx="456">
                  <c:v>4.9737991503207013E-14</c:v>
                </c:pt>
                <c:pt idx="457">
                  <c:v>57.00000000000005</c:v>
                </c:pt>
                <c:pt idx="458">
                  <c:v>11.400000000000048</c:v>
                </c:pt>
                <c:pt idx="459">
                  <c:v>4.7961634663806763E-14</c:v>
                </c:pt>
                <c:pt idx="460">
                  <c:v>8.3000000000000487</c:v>
                </c:pt>
                <c:pt idx="461">
                  <c:v>-27.899999999999956</c:v>
                </c:pt>
                <c:pt idx="462">
                  <c:v>4.2632564145606011E-14</c:v>
                </c:pt>
                <c:pt idx="463">
                  <c:v>2.6000000000000427</c:v>
                </c:pt>
                <c:pt idx="464">
                  <c:v>23.200000000000045</c:v>
                </c:pt>
                <c:pt idx="465">
                  <c:v>4.6185277824406512E-14</c:v>
                </c:pt>
                <c:pt idx="466">
                  <c:v>-43.899999999999949</c:v>
                </c:pt>
                <c:pt idx="467">
                  <c:v>-35.399999999999949</c:v>
                </c:pt>
                <c:pt idx="468">
                  <c:v>4.9737991503207013E-14</c:v>
                </c:pt>
                <c:pt idx="469">
                  <c:v>75.700000000000045</c:v>
                </c:pt>
                <c:pt idx="470">
                  <c:v>8.9000000000000483</c:v>
                </c:pt>
                <c:pt idx="471">
                  <c:v>4.7961634663806763E-14</c:v>
                </c:pt>
                <c:pt idx="472">
                  <c:v>29.50000000000005</c:v>
                </c:pt>
                <c:pt idx="473">
                  <c:v>39.00000000000005</c:v>
                </c:pt>
                <c:pt idx="474">
                  <c:v>4.9737991503207013E-14</c:v>
                </c:pt>
                <c:pt idx="475">
                  <c:v>-16.399999999999949</c:v>
                </c:pt>
                <c:pt idx="476">
                  <c:v>3.1000000000000512</c:v>
                </c:pt>
                <c:pt idx="477">
                  <c:v>5.1070259132757201E-14</c:v>
                </c:pt>
                <c:pt idx="478">
                  <c:v>-38.49999999999995</c:v>
                </c:pt>
                <c:pt idx="479">
                  <c:v>-64.599999999999952</c:v>
                </c:pt>
                <c:pt idx="480">
                  <c:v>4.2632564145606011E-14</c:v>
                </c:pt>
                <c:pt idx="481">
                  <c:v>-24.599999999999959</c:v>
                </c:pt>
                <c:pt idx="482">
                  <c:v>3.8000000000000398</c:v>
                </c:pt>
                <c:pt idx="483">
                  <c:v>3.9968028886505635E-14</c:v>
                </c:pt>
                <c:pt idx="484">
                  <c:v>11.700000000000038</c:v>
                </c:pt>
                <c:pt idx="485">
                  <c:v>43.000000000000043</c:v>
                </c:pt>
                <c:pt idx="486">
                  <c:v>4.2632564145606011E-14</c:v>
                </c:pt>
                <c:pt idx="487">
                  <c:v>-42.799999999999955</c:v>
                </c:pt>
                <c:pt idx="488">
                  <c:v>-2.4999999999999574</c:v>
                </c:pt>
                <c:pt idx="489">
                  <c:v>4.2632564145606011E-14</c:v>
                </c:pt>
                <c:pt idx="490">
                  <c:v>-30.299999999999958</c:v>
                </c:pt>
                <c:pt idx="491">
                  <c:v>-22.899999999999956</c:v>
                </c:pt>
                <c:pt idx="492">
                  <c:v>4.2632564145606011E-14</c:v>
                </c:pt>
                <c:pt idx="493">
                  <c:v>-20.899999999999956</c:v>
                </c:pt>
                <c:pt idx="494">
                  <c:v>-24.399999999999956</c:v>
                </c:pt>
                <c:pt idx="495">
                  <c:v>4.2632564145606011E-14</c:v>
                </c:pt>
                <c:pt idx="496">
                  <c:v>1.5000000000000426</c:v>
                </c:pt>
                <c:pt idx="497">
                  <c:v>-33.099999999999959</c:v>
                </c:pt>
                <c:pt idx="498">
                  <c:v>4.2632564145606011E-14</c:v>
                </c:pt>
                <c:pt idx="499">
                  <c:v>-39.499999999999957</c:v>
                </c:pt>
                <c:pt idx="500">
                  <c:v>-46.69999999999996</c:v>
                </c:pt>
                <c:pt idx="501">
                  <c:v>4.2632564145606011E-14</c:v>
                </c:pt>
                <c:pt idx="502">
                  <c:v>37.200000000000045</c:v>
                </c:pt>
                <c:pt idx="503">
                  <c:v>10.500000000000046</c:v>
                </c:pt>
                <c:pt idx="504">
                  <c:v>4.6185277824406512E-14</c:v>
                </c:pt>
                <c:pt idx="505">
                  <c:v>56.30000000000004</c:v>
                </c:pt>
                <c:pt idx="506">
                  <c:v>50.000000000000043</c:v>
                </c:pt>
                <c:pt idx="507">
                  <c:v>4.2632564145606011E-14</c:v>
                </c:pt>
                <c:pt idx="508">
                  <c:v>0.10000000000004264</c:v>
                </c:pt>
                <c:pt idx="509">
                  <c:v>-11.399999999999958</c:v>
                </c:pt>
                <c:pt idx="510">
                  <c:v>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-31.558185404339252</c:v>
                </c:pt>
                <c:pt idx="1">
                  <c:v>8.0808080808080813</c:v>
                </c:pt>
                <c:pt idx="2">
                  <c:v>8.1300813008130088</c:v>
                </c:pt>
                <c:pt idx="3">
                  <c:v>-4.2735042735042734</c:v>
                </c:pt>
                <c:pt idx="4">
                  <c:v>9.2592592592592595</c:v>
                </c:pt>
                <c:pt idx="5">
                  <c:v>13.550135501355014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90</c:v>
                </c:pt>
                <c:pt idx="1">
                  <c:v>228</c:v>
                </c:pt>
                <c:pt idx="2">
                  <c:v>249</c:v>
                </c:pt>
                <c:pt idx="3">
                  <c:v>250</c:v>
                </c:pt>
                <c:pt idx="4">
                  <c:v>187</c:v>
                </c:pt>
                <c:pt idx="5">
                  <c:v>125</c:v>
                </c:pt>
                <c:pt idx="6">
                  <c:v>59</c:v>
                </c:pt>
                <c:pt idx="7">
                  <c:v>41</c:v>
                </c:pt>
                <c:pt idx="8">
                  <c:v>22</c:v>
                </c:pt>
                <c:pt idx="9">
                  <c:v>13</c:v>
                </c:pt>
                <c:pt idx="10">
                  <c:v>7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全体!$K$2:$K$512</c:f>
              <c:numCache>
                <c:formatCode>General</c:formatCode>
                <c:ptCount val="5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</c:numCache>
            </c:numRef>
          </c:xVal>
          <c:yVal>
            <c:numRef>
              <c:f>全体!$M$2:$M$512</c:f>
              <c:numCache>
                <c:formatCode>0</c:formatCode>
                <c:ptCount val="511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  <c:pt idx="331">
                  <c:v>1601.2487596364456</c:v>
                </c:pt>
                <c:pt idx="332">
                  <c:v>1594.1612670786269</c:v>
                </c:pt>
                <c:pt idx="333">
                  <c:v>1602.6322994761551</c:v>
                </c:pt>
                <c:pt idx="334">
                  <c:v>1611.1245056792982</c:v>
                </c:pt>
                <c:pt idx="335">
                  <c:v>1611.8437586452224</c:v>
                </c:pt>
                <c:pt idx="336">
                  <c:v>1602.838696093351</c:v>
                </c:pt>
                <c:pt idx="337">
                  <c:v>1598.249663916791</c:v>
                </c:pt>
                <c:pt idx="338">
                  <c:v>1597.7741659332903</c:v>
                </c:pt>
                <c:pt idx="339">
                  <c:v>1601.0635209376906</c:v>
                </c:pt>
                <c:pt idx="340">
                  <c:v>1606.2591398120644</c:v>
                </c:pt>
                <c:pt idx="341">
                  <c:v>1604.709584973192</c:v>
                </c:pt>
                <c:pt idx="342">
                  <c:v>1599.2093274633528</c:v>
                </c:pt>
                <c:pt idx="343">
                  <c:v>1595.0140714985728</c:v>
                </c:pt>
                <c:pt idx="344">
                  <c:v>1594.7139870695814</c:v>
                </c:pt>
                <c:pt idx="345">
                  <c:v>1599.9057031471639</c:v>
                </c:pt>
                <c:pt idx="346">
                  <c:v>1605.1322689282808</c:v>
                </c:pt>
                <c:pt idx="347">
                  <c:v>1606.0974753147111</c:v>
                </c:pt>
                <c:pt idx="348">
                  <c:v>1600.4508904628228</c:v>
                </c:pt>
                <c:pt idx="349">
                  <c:v>1607.3001851200459</c:v>
                </c:pt>
                <c:pt idx="350">
                  <c:v>1608.8703840093256</c:v>
                </c:pt>
                <c:pt idx="351">
                  <c:v>1600.7651617052695</c:v>
                </c:pt>
                <c:pt idx="352">
                  <c:v>1601.504570735038</c:v>
                </c:pt>
                <c:pt idx="353">
                  <c:v>1598.0095433106278</c:v>
                </c:pt>
                <c:pt idx="354">
                  <c:v>1601.915486050764</c:v>
                </c:pt>
                <c:pt idx="355">
                  <c:v>1597.5359931344594</c:v>
                </c:pt>
                <c:pt idx="356">
                  <c:v>1596.5127771756527</c:v>
                </c:pt>
                <c:pt idx="357">
                  <c:v>1603.0917005125987</c:v>
                </c:pt>
                <c:pt idx="358">
                  <c:v>1604.0991503095231</c:v>
                </c:pt>
                <c:pt idx="359">
                  <c:v>1595.6505554076659</c:v>
                </c:pt>
                <c:pt idx="360">
                  <c:v>1602.48065207522</c:v>
                </c:pt>
                <c:pt idx="361">
                  <c:v>1605.6157681627685</c:v>
                </c:pt>
                <c:pt idx="362">
                  <c:v>1611.612073553792</c:v>
                </c:pt>
                <c:pt idx="363">
                  <c:v>1603.1724011124693</c:v>
                </c:pt>
                <c:pt idx="364">
                  <c:v>1597.1413667057946</c:v>
                </c:pt>
                <c:pt idx="365">
                  <c:v>1602.1085185055597</c:v>
                </c:pt>
                <c:pt idx="366">
                  <c:v>1603.9678673945264</c:v>
                </c:pt>
                <c:pt idx="367">
                  <c:v>1598.1120601901591</c:v>
                </c:pt>
                <c:pt idx="368">
                  <c:v>1598.6813878290181</c:v>
                </c:pt>
                <c:pt idx="369">
                  <c:v>1604.773299502044</c:v>
                </c:pt>
                <c:pt idx="370">
                  <c:v>1604.9306597050318</c:v>
                </c:pt>
                <c:pt idx="371">
                  <c:v>1600.9650757468016</c:v>
                </c:pt>
                <c:pt idx="372">
                  <c:v>1605.5372852923208</c:v>
                </c:pt>
                <c:pt idx="373">
                  <c:v>1605.8340615805669</c:v>
                </c:pt>
                <c:pt idx="374">
                  <c:v>1612.7530572110834</c:v>
                </c:pt>
                <c:pt idx="375">
                  <c:v>1606.2205388678169</c:v>
                </c:pt>
                <c:pt idx="376">
                  <c:v>1597.63321563461</c:v>
                </c:pt>
                <c:pt idx="377">
                  <c:v>1595.9374163408024</c:v>
                </c:pt>
                <c:pt idx="378">
                  <c:v>1607.0317918427577</c:v>
                </c:pt>
                <c:pt idx="379">
                  <c:v>1606.3476010917011</c:v>
                </c:pt>
                <c:pt idx="380">
                  <c:v>1611.6435154851508</c:v>
                </c:pt>
                <c:pt idx="381">
                  <c:v>1607.38565439224</c:v>
                </c:pt>
                <c:pt idx="382">
                  <c:v>1616.4013404658865</c:v>
                </c:pt>
                <c:pt idx="383">
                  <c:v>1616.6689324230913</c:v>
                </c:pt>
                <c:pt idx="384">
                  <c:v>1607.6469188285528</c:v>
                </c:pt>
                <c:pt idx="385">
                  <c:v>1615.0770373155815</c:v>
                </c:pt>
                <c:pt idx="386">
                  <c:v>1617.1705750916881</c:v>
                </c:pt>
                <c:pt idx="387">
                  <c:v>1607.911551641138</c:v>
                </c:pt>
                <c:pt idx="388">
                  <c:v>1605.8360823312912</c:v>
                </c:pt>
                <c:pt idx="389">
                  <c:v>1612.2150658373034</c:v>
                </c:pt>
                <c:pt idx="390">
                  <c:v>1608.2597754422795</c:v>
                </c:pt>
                <c:pt idx="391">
                  <c:v>1610.9822167896259</c:v>
                </c:pt>
                <c:pt idx="392">
                  <c:v>1610.9343234888881</c:v>
                </c:pt>
                <c:pt idx="393">
                  <c:v>1608.5647175479548</c:v>
                </c:pt>
                <c:pt idx="394">
                  <c:v>1607.0313292426672</c:v>
                </c:pt>
                <c:pt idx="395">
                  <c:v>1602.7711412672113</c:v>
                </c:pt>
                <c:pt idx="396">
                  <c:v>1608.7065144196081</c:v>
                </c:pt>
                <c:pt idx="397">
                  <c:v>1611.3482753330904</c:v>
                </c:pt>
                <c:pt idx="398">
                  <c:v>1609.078185681092</c:v>
                </c:pt>
                <c:pt idx="399">
                  <c:v>1608.7837165670055</c:v>
                </c:pt>
                <c:pt idx="400">
                  <c:v>1617.5390142676035</c:v>
                </c:pt>
                <c:pt idx="401">
                  <c:v>1610.7617801819979</c:v>
                </c:pt>
                <c:pt idx="402">
                  <c:v>1608.0392095009058</c:v>
                </c:pt>
                <c:pt idx="403">
                  <c:v>1603.3889742439003</c:v>
                </c:pt>
                <c:pt idx="404">
                  <c:v>1603.7346403984368</c:v>
                </c:pt>
                <c:pt idx="405">
                  <c:v>1607.4262325560462</c:v>
                </c:pt>
                <c:pt idx="406">
                  <c:v>1609.43367516071</c:v>
                </c:pt>
                <c:pt idx="407">
                  <c:v>1603.6170731097457</c:v>
                </c:pt>
                <c:pt idx="408">
                  <c:v>1608.1133706710873</c:v>
                </c:pt>
                <c:pt idx="409">
                  <c:v>1607.8126904470607</c:v>
                </c:pt>
                <c:pt idx="410">
                  <c:v>1604.0758143043784</c:v>
                </c:pt>
                <c:pt idx="411">
                  <c:v>1608.8033594185522</c:v>
                </c:pt>
                <c:pt idx="412">
                  <c:v>1621.6685392620409</c:v>
                </c:pt>
                <c:pt idx="413">
                  <c:v>1617.1765280264688</c:v>
                </c:pt>
                <c:pt idx="414">
                  <c:v>1608.39146885831</c:v>
                </c:pt>
                <c:pt idx="415">
                  <c:v>1600.5291200451602</c:v>
                </c:pt>
                <c:pt idx="416">
                  <c:v>1598.7799453248892</c:v>
                </c:pt>
                <c:pt idx="417">
                  <c:v>1608.0752656529398</c:v>
                </c:pt>
                <c:pt idx="418">
                  <c:v>1598.8648140590221</c:v>
                </c:pt>
                <c:pt idx="419">
                  <c:v>1597.8456251746679</c:v>
                </c:pt>
                <c:pt idx="420">
                  <c:v>1607.88455142362</c:v>
                </c:pt>
                <c:pt idx="421">
                  <c:v>1608.1612441150783</c:v>
                </c:pt>
                <c:pt idx="422">
                  <c:v>1610.8302766503878</c:v>
                </c:pt>
                <c:pt idx="423">
                  <c:v>1607.5612949904855</c:v>
                </c:pt>
                <c:pt idx="424">
                  <c:v>1620.0019272205427</c:v>
                </c:pt>
                <c:pt idx="425">
                  <c:v>1610.7139156572196</c:v>
                </c:pt>
                <c:pt idx="426">
                  <c:v>1607.7456321632762</c:v>
                </c:pt>
                <c:pt idx="427">
                  <c:v>1608.2511583702965</c:v>
                </c:pt>
                <c:pt idx="428">
                  <c:v>1602.4896514200748</c:v>
                </c:pt>
                <c:pt idx="429">
                  <c:v>1608.0487135115543</c:v>
                </c:pt>
                <c:pt idx="430">
                  <c:v>1612.4584212304849</c:v>
                </c:pt>
                <c:pt idx="431">
                  <c:v>1607.013670703102</c:v>
                </c:pt>
                <c:pt idx="432">
                  <c:v>1608.0275886788834</c:v>
                </c:pt>
                <c:pt idx="433">
                  <c:v>1599.33342314681</c:v>
                </c:pt>
                <c:pt idx="434">
                  <c:v>1606.3334226079292</c:v>
                </c:pt>
                <c:pt idx="435">
                  <c:v>1608.0894220722816</c:v>
                </c:pt>
                <c:pt idx="436">
                  <c:v>1614.886885539848</c:v>
                </c:pt>
                <c:pt idx="437">
                  <c:v>1609.835564226609</c:v>
                </c:pt>
                <c:pt idx="438">
                  <c:v>1608.7205508412494</c:v>
                </c:pt>
                <c:pt idx="439">
                  <c:v>1604.1202275362018</c:v>
                </c:pt>
                <c:pt idx="440">
                  <c:v>1604.8035061709845</c:v>
                </c:pt>
                <c:pt idx="441">
                  <c:v>1609.4426851339585</c:v>
                </c:pt>
                <c:pt idx="442">
                  <c:v>1616.9160290231548</c:v>
                </c:pt>
                <c:pt idx="443">
                  <c:v>1618.1165328490158</c:v>
                </c:pt>
                <c:pt idx="444">
                  <c:v>1610.0038336519217</c:v>
                </c:pt>
                <c:pt idx="445">
                  <c:v>1604.6218106500103</c:v>
                </c:pt>
                <c:pt idx="446">
                  <c:v>1605.0500797861102</c:v>
                </c:pt>
                <c:pt idx="447">
                  <c:v>1610.7137793073937</c:v>
                </c:pt>
                <c:pt idx="448">
                  <c:v>1619.9974966315492</c:v>
                </c:pt>
                <c:pt idx="449">
                  <c:v>1616.8055116517598</c:v>
                </c:pt>
                <c:pt idx="450">
                  <c:v>1611.2566785818492</c:v>
                </c:pt>
                <c:pt idx="451">
                  <c:v>1616.9311385103581</c:v>
                </c:pt>
                <c:pt idx="452">
                  <c:v>1617.4955516792959</c:v>
                </c:pt>
                <c:pt idx="453">
                  <c:v>1611.5765783692202</c:v>
                </c:pt>
                <c:pt idx="454">
                  <c:v>1616.1751188990049</c:v>
                </c:pt>
                <c:pt idx="455">
                  <c:v>1615.004068185611</c:v>
                </c:pt>
                <c:pt idx="456">
                  <c:v>1610.7980437764973</c:v>
                </c:pt>
                <c:pt idx="457">
                  <c:v>1620.8192555138382</c:v>
                </c:pt>
                <c:pt idx="458">
                  <c:v>1612.3123399807553</c:v>
                </c:pt>
                <c:pt idx="459">
                  <c:v>1610.0124659408707</c:v>
                </c:pt>
                <c:pt idx="460">
                  <c:v>1611.2723911452256</c:v>
                </c:pt>
                <c:pt idx="461">
                  <c:v>1604.5147567983543</c:v>
                </c:pt>
                <c:pt idx="462">
                  <c:v>1609.3356682575641</c:v>
                </c:pt>
                <c:pt idx="463">
                  <c:v>1609.5736542480188</c:v>
                </c:pt>
                <c:pt idx="464">
                  <c:v>1613.0502123225306</c:v>
                </c:pt>
                <c:pt idx="465">
                  <c:v>1608.6219110485954</c:v>
                </c:pt>
                <c:pt idx="466">
                  <c:v>1600.4941795823038</c:v>
                </c:pt>
                <c:pt idx="467">
                  <c:v>1601.8472145048099</c:v>
                </c:pt>
                <c:pt idx="468">
                  <c:v>1608.0341312177811</c:v>
                </c:pt>
                <c:pt idx="469">
                  <c:v>1621.4379264304744</c:v>
                </c:pt>
                <c:pt idx="470">
                  <c:v>1609.1112988718914</c:v>
                </c:pt>
                <c:pt idx="471">
                  <c:v>1607.28063107866</c:v>
                </c:pt>
                <c:pt idx="472">
                  <c:v>1612.372947292188</c:v>
                </c:pt>
                <c:pt idx="473">
                  <c:v>1613.8347096084349</c:v>
                </c:pt>
                <c:pt idx="474">
                  <c:v>1606.5577013507843</c:v>
                </c:pt>
                <c:pt idx="475">
                  <c:v>1603.3923551426797</c:v>
                </c:pt>
                <c:pt idx="476">
                  <c:v>1606.7080010118236</c:v>
                </c:pt>
                <c:pt idx="477">
                  <c:v>1605.9357530057528</c:v>
                </c:pt>
                <c:pt idx="478">
                  <c:v>1598.5141384877184</c:v>
                </c:pt>
                <c:pt idx="479">
                  <c:v>1593.3690536567919</c:v>
                </c:pt>
                <c:pt idx="480">
                  <c:v>1604.5808393348511</c:v>
                </c:pt>
                <c:pt idx="481">
                  <c:v>1599.4293542988421</c:v>
                </c:pt>
                <c:pt idx="482">
                  <c:v>1603.8487781730491</c:v>
                </c:pt>
                <c:pt idx="483">
                  <c:v>1602.445685504011</c:v>
                </c:pt>
                <c:pt idx="484">
                  <c:v>1604.5730113909869</c:v>
                </c:pt>
                <c:pt idx="485">
                  <c:v>1610.2155733226409</c:v>
                </c:pt>
                <c:pt idx="486">
                  <c:v>1602.450279882705</c:v>
                </c:pt>
                <c:pt idx="487">
                  <c:v>1594.3355782034087</c:v>
                </c:pt>
                <c:pt idx="488">
                  <c:v>1601.2275647341883</c:v>
                </c:pt>
                <c:pt idx="489">
                  <c:v>1601.2741993457832</c:v>
                </c:pt>
                <c:pt idx="490">
                  <c:v>1595.4105541497086</c:v>
                </c:pt>
                <c:pt idx="491">
                  <c:v>1596.3680908248102</c:v>
                </c:pt>
                <c:pt idx="492">
                  <c:v>1600.1098822798613</c:v>
                </c:pt>
                <c:pt idx="493">
                  <c:v>1596.683222986182</c:v>
                </c:pt>
                <c:pt idx="494">
                  <c:v>1596.409123648265</c:v>
                </c:pt>
                <c:pt idx="495">
                  <c:v>1601.1586689063754</c:v>
                </c:pt>
                <c:pt idx="496">
                  <c:v>1601.7577168929372</c:v>
                </c:pt>
                <c:pt idx="497">
                  <c:v>1595.8551705915795</c:v>
                </c:pt>
                <c:pt idx="498">
                  <c:v>1602.1740395680301</c:v>
                </c:pt>
                <c:pt idx="499">
                  <c:v>1595.3869953306219</c:v>
                </c:pt>
                <c:pt idx="500">
                  <c:v>1594.454673358638</c:v>
                </c:pt>
                <c:pt idx="501">
                  <c:v>1603.2299453184862</c:v>
                </c:pt>
                <c:pt idx="502">
                  <c:v>1610.1405656465754</c:v>
                </c:pt>
                <c:pt idx="503">
                  <c:v>1605.5077222526959</c:v>
                </c:pt>
                <c:pt idx="504">
                  <c:v>1603.8186759191797</c:v>
                </c:pt>
                <c:pt idx="505">
                  <c:v>1614.1577638636645</c:v>
                </c:pt>
                <c:pt idx="506">
                  <c:v>1613.1668172804825</c:v>
                </c:pt>
                <c:pt idx="507">
                  <c:v>1604.3158163767996</c:v>
                </c:pt>
                <c:pt idx="508">
                  <c:v>1604.5419214785388</c:v>
                </c:pt>
                <c:pt idx="509">
                  <c:v>1602.6786699496677</c:v>
                </c:pt>
                <c:pt idx="510">
                  <c:v>1604.9485979299698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だいち!$K$2:$K$147</c:f>
              <c:numCache>
                <c:formatCode>General</c:formatCode>
                <c:ptCount val="1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</c:numCache>
            </c:numRef>
          </c:xVal>
          <c:yVal>
            <c:numRef>
              <c:f>だいち!$L$2:$L$147</c:f>
              <c:numCache>
                <c:formatCode>\+0.0;\-0.0;\±0</c:formatCode>
                <c:ptCount val="146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  <c:pt idx="90">
                  <c:v>122.49999999999993</c:v>
                </c:pt>
                <c:pt idx="91">
                  <c:v>169.09999999999994</c:v>
                </c:pt>
                <c:pt idx="92">
                  <c:v>196.59999999999994</c:v>
                </c:pt>
                <c:pt idx="93">
                  <c:v>224.49999999999994</c:v>
                </c:pt>
                <c:pt idx="94">
                  <c:v>232.69999999999993</c:v>
                </c:pt>
                <c:pt idx="95">
                  <c:v>211.19999999999993</c:v>
                </c:pt>
                <c:pt idx="96">
                  <c:v>245.49999999999994</c:v>
                </c:pt>
                <c:pt idx="97">
                  <c:v>197.49999999999994</c:v>
                </c:pt>
                <c:pt idx="98">
                  <c:v>206.39999999999995</c:v>
                </c:pt>
                <c:pt idx="99">
                  <c:v>172.49999999999994</c:v>
                </c:pt>
                <c:pt idx="100">
                  <c:v>196.39999999999995</c:v>
                </c:pt>
                <c:pt idx="101">
                  <c:v>158.99999999999994</c:v>
                </c:pt>
                <c:pt idx="102">
                  <c:v>147.99999999999994</c:v>
                </c:pt>
                <c:pt idx="103">
                  <c:v>123.79999999999994</c:v>
                </c:pt>
                <c:pt idx="104">
                  <c:v>173.19999999999993</c:v>
                </c:pt>
                <c:pt idx="105">
                  <c:v>184.39999999999992</c:v>
                </c:pt>
                <c:pt idx="106">
                  <c:v>219.09999999999991</c:v>
                </c:pt>
                <c:pt idx="107">
                  <c:v>218.2999999999999</c:v>
                </c:pt>
                <c:pt idx="108">
                  <c:v>209.59999999999991</c:v>
                </c:pt>
                <c:pt idx="109">
                  <c:v>207.7999999999999</c:v>
                </c:pt>
                <c:pt idx="110">
                  <c:v>257.69999999999987</c:v>
                </c:pt>
                <c:pt idx="111">
                  <c:v>233.09999999999988</c:v>
                </c:pt>
                <c:pt idx="112">
                  <c:v>256.69999999999987</c:v>
                </c:pt>
                <c:pt idx="113">
                  <c:v>234.69999999999987</c:v>
                </c:pt>
                <c:pt idx="114">
                  <c:v>186.69999999999987</c:v>
                </c:pt>
                <c:pt idx="115">
                  <c:v>143.79999999999987</c:v>
                </c:pt>
                <c:pt idx="116">
                  <c:v>199.79999999999987</c:v>
                </c:pt>
                <c:pt idx="117">
                  <c:v>215.19999999999987</c:v>
                </c:pt>
                <c:pt idx="118">
                  <c:v>163.49999999999989</c:v>
                </c:pt>
                <c:pt idx="119">
                  <c:v>130.99999999999989</c:v>
                </c:pt>
                <c:pt idx="120">
                  <c:v>100.89999999999989</c:v>
                </c:pt>
                <c:pt idx="121">
                  <c:v>52.599999999999895</c:v>
                </c:pt>
                <c:pt idx="122">
                  <c:v>23.499999999999893</c:v>
                </c:pt>
                <c:pt idx="123">
                  <c:v>-3.3000000000001073</c:v>
                </c:pt>
                <c:pt idx="124">
                  <c:v>36.999999999999886</c:v>
                </c:pt>
                <c:pt idx="125">
                  <c:v>67.099999999999881</c:v>
                </c:pt>
                <c:pt idx="126">
                  <c:v>117.49999999999989</c:v>
                </c:pt>
                <c:pt idx="127">
                  <c:v>148.2999999999999</c:v>
                </c:pt>
                <c:pt idx="128">
                  <c:v>126.39999999999989</c:v>
                </c:pt>
                <c:pt idx="129">
                  <c:v>114.99999999999989</c:v>
                </c:pt>
                <c:pt idx="130">
                  <c:v>142.89999999999989</c:v>
                </c:pt>
                <c:pt idx="131">
                  <c:v>119.69999999999989</c:v>
                </c:pt>
                <c:pt idx="132">
                  <c:v>155.09999999999988</c:v>
                </c:pt>
                <c:pt idx="133">
                  <c:v>146.19999999999987</c:v>
                </c:pt>
                <c:pt idx="134">
                  <c:v>107.19999999999987</c:v>
                </c:pt>
                <c:pt idx="135">
                  <c:v>104.09999999999988</c:v>
                </c:pt>
                <c:pt idx="136">
                  <c:v>168.69999999999987</c:v>
                </c:pt>
                <c:pt idx="137">
                  <c:v>199.99999999999989</c:v>
                </c:pt>
                <c:pt idx="138">
                  <c:v>240.2999999999999</c:v>
                </c:pt>
                <c:pt idx="139">
                  <c:v>247.6999999999999</c:v>
                </c:pt>
                <c:pt idx="140">
                  <c:v>226.7999999999999</c:v>
                </c:pt>
                <c:pt idx="141">
                  <c:v>228.2999999999999</c:v>
                </c:pt>
                <c:pt idx="142">
                  <c:v>274.99999999999989</c:v>
                </c:pt>
                <c:pt idx="143">
                  <c:v>264.49999999999989</c:v>
                </c:pt>
                <c:pt idx="144">
                  <c:v>320.7999999999999</c:v>
                </c:pt>
                <c:pt idx="145">
                  <c:v>332.19999999999987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338.19444444444446</c:v>
                </c:pt>
                <c:pt idx="1">
                  <c:v>-163.57142857142858</c:v>
                </c:pt>
                <c:pt idx="2">
                  <c:v>-1128.7769784172663</c:v>
                </c:pt>
                <c:pt idx="3">
                  <c:v>1226.3157894736842</c:v>
                </c:pt>
                <c:pt idx="4">
                  <c:v>457.37704918032784</c:v>
                </c:pt>
                <c:pt idx="5">
                  <c:v>719.23076923076928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25</c:v>
                </c:pt>
                <c:pt idx="1">
                  <c:v>74</c:v>
                </c:pt>
                <c:pt idx="2">
                  <c:v>74</c:v>
                </c:pt>
                <c:pt idx="3">
                  <c:v>74</c:v>
                </c:pt>
                <c:pt idx="4">
                  <c:v>60</c:v>
                </c:pt>
                <c:pt idx="5">
                  <c:v>45</c:v>
                </c:pt>
                <c:pt idx="6">
                  <c:v>14</c:v>
                </c:pt>
                <c:pt idx="7">
                  <c:v>8</c:v>
                </c:pt>
                <c:pt idx="8">
                  <c:v>6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だいち!$K$2:$K$147</c:f>
              <c:numCache>
                <c:formatCode>General</c:formatCode>
                <c:ptCount val="1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</c:numCache>
            </c:numRef>
          </c:xVal>
          <c:yVal>
            <c:numRef>
              <c:f>だいち!$M$2:$M$147</c:f>
              <c:numCache>
                <c:formatCode>0</c:formatCode>
                <c:ptCount val="146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  <c:pt idx="90">
                  <c:v>1765.5948793491179</c:v>
                </c:pt>
                <c:pt idx="91">
                  <c:v>1773.1093100730232</c:v>
                </c:pt>
                <c:pt idx="92">
                  <c:v>1777.230654212585</c:v>
                </c:pt>
                <c:pt idx="93">
                  <c:v>1781.3932702873094</c:v>
                </c:pt>
                <c:pt idx="94">
                  <c:v>1781.9189106655856</c:v>
                </c:pt>
                <c:pt idx="95">
                  <c:v>1777.3413972015921</c:v>
                </c:pt>
                <c:pt idx="96">
                  <c:v>1782.8353488183825</c:v>
                </c:pt>
                <c:pt idx="97">
                  <c:v>1773.3683367254721</c:v>
                </c:pt>
                <c:pt idx="98">
                  <c:v>1774.2001267051191</c:v>
                </c:pt>
                <c:pt idx="99">
                  <c:v>1767.3229259448885</c:v>
                </c:pt>
                <c:pt idx="100">
                  <c:v>1770.8969883892191</c:v>
                </c:pt>
                <c:pt idx="101">
                  <c:v>1763.4156064588838</c:v>
                </c:pt>
                <c:pt idx="102">
                  <c:v>1760.7251128201306</c:v>
                </c:pt>
                <c:pt idx="103">
                  <c:v>1755.5727621432097</c:v>
                </c:pt>
                <c:pt idx="104">
                  <c:v>1763.6993255703505</c:v>
                </c:pt>
                <c:pt idx="105">
                  <c:v>1764.9011296169285</c:v>
                </c:pt>
                <c:pt idx="106">
                  <c:v>1770.325722839227</c:v>
                </c:pt>
                <c:pt idx="107">
                  <c:v>1769.3217685021916</c:v>
                </c:pt>
                <c:pt idx="108">
                  <c:v>1766.8238378911785</c:v>
                </c:pt>
                <c:pt idx="109">
                  <c:v>1765.5828948638314</c:v>
                </c:pt>
                <c:pt idx="110">
                  <c:v>1773.3973974946484</c:v>
                </c:pt>
                <c:pt idx="111">
                  <c:v>1767.7550131096805</c:v>
                </c:pt>
                <c:pt idx="112">
                  <c:v>1771.2664830310223</c:v>
                </c:pt>
                <c:pt idx="113">
                  <c:v>1766.5488841328361</c:v>
                </c:pt>
                <c:pt idx="114">
                  <c:v>1756.8675908280391</c:v>
                </c:pt>
                <c:pt idx="115">
                  <c:v>1748.1143852830708</c:v>
                </c:pt>
                <c:pt idx="116">
                  <c:v>1757.2516989713724</c:v>
                </c:pt>
                <c:pt idx="117">
                  <c:v>1759.0261887775441</c:v>
                </c:pt>
                <c:pt idx="118">
                  <c:v>1748.9040316448788</c:v>
                </c:pt>
                <c:pt idx="119">
                  <c:v>1742.2986074550095</c:v>
                </c:pt>
                <c:pt idx="120">
                  <c:v>1736.0748158102795</c:v>
                </c:pt>
                <c:pt idx="121">
                  <c:v>1726.6123669154179</c:v>
                </c:pt>
                <c:pt idx="122">
                  <c:v>1720.8906927139253</c:v>
                </c:pt>
                <c:pt idx="123">
                  <c:v>1715.6173485576417</c:v>
                </c:pt>
                <c:pt idx="124">
                  <c:v>1722.4536444662958</c:v>
                </c:pt>
                <c:pt idx="125">
                  <c:v>1727.412922599498</c:v>
                </c:pt>
                <c:pt idx="126">
                  <c:v>1735.9964450639009</c:v>
                </c:pt>
                <c:pt idx="127">
                  <c:v>1740.9224663935174</c:v>
                </c:pt>
                <c:pt idx="128">
                  <c:v>1735.9609315951564</c:v>
                </c:pt>
                <c:pt idx="129">
                  <c:v>1732.9191660055853</c:v>
                </c:pt>
                <c:pt idx="130">
                  <c:v>1736.9696510095519</c:v>
                </c:pt>
                <c:pt idx="131">
                  <c:v>1731.7978331034944</c:v>
                </c:pt>
                <c:pt idx="132">
                  <c:v>1737.2050461048734</c:v>
                </c:pt>
                <c:pt idx="133">
                  <c:v>1734.6058158282442</c:v>
                </c:pt>
                <c:pt idx="134">
                  <c:v>1726.6041809332748</c:v>
                </c:pt>
                <c:pt idx="135">
                  <c:v>1725.1125558476751</c:v>
                </c:pt>
                <c:pt idx="136">
                  <c:v>1735.5338805125891</c:v>
                </c:pt>
                <c:pt idx="137">
                  <c:v>1740.3906772295136</c:v>
                </c:pt>
                <c:pt idx="138">
                  <c:v>1746.4063331661364</c:v>
                </c:pt>
                <c:pt idx="139">
                  <c:v>1746.4578951671397</c:v>
                </c:pt>
                <c:pt idx="140">
                  <c:v>1742.1531477961369</c:v>
                </c:pt>
                <c:pt idx="141">
                  <c:v>1741.9062289093602</c:v>
                </c:pt>
                <c:pt idx="142">
                  <c:v>1749.796791535904</c:v>
                </c:pt>
                <c:pt idx="143">
                  <c:v>1747.2420107866885</c:v>
                </c:pt>
                <c:pt idx="144">
                  <c:v>1756.7205587219685</c:v>
                </c:pt>
                <c:pt idx="145">
                  <c:v>1758.0662353696366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  <c:pt idx="51">
                  <c:v>-111.60000000000001</c:v>
                </c:pt>
                <c:pt idx="52">
                  <c:v>-107.9</c:v>
                </c:pt>
                <c:pt idx="53">
                  <c:v>-130</c:v>
                </c:pt>
                <c:pt idx="54">
                  <c:v>-97.8</c:v>
                </c:pt>
                <c:pt idx="55">
                  <c:v>-100.8</c:v>
                </c:pt>
                <c:pt idx="56">
                  <c:v>-96.399999999999991</c:v>
                </c:pt>
                <c:pt idx="57">
                  <c:v>-59.099999999999994</c:v>
                </c:pt>
                <c:pt idx="58">
                  <c:v>-39.599999999999994</c:v>
                </c:pt>
                <c:pt idx="59">
                  <c:v>-66</c:v>
                </c:pt>
                <c:pt idx="60">
                  <c:v>-111.7</c:v>
                </c:pt>
                <c:pt idx="61">
                  <c:v>-95.7</c:v>
                </c:pt>
                <c:pt idx="62">
                  <c:v>-130.6</c:v>
                </c:pt>
                <c:pt idx="63">
                  <c:v>-129</c:v>
                </c:pt>
                <c:pt idx="64">
                  <c:v>-129.5</c:v>
                </c:pt>
                <c:pt idx="65">
                  <c:v>-92.4</c:v>
                </c:pt>
                <c:pt idx="66">
                  <c:v>-141.4</c:v>
                </c:pt>
                <c:pt idx="67">
                  <c:v>-112.7</c:v>
                </c:pt>
                <c:pt idx="68">
                  <c:v>-163.19999999999999</c:v>
                </c:pt>
                <c:pt idx="69">
                  <c:v>-122.6</c:v>
                </c:pt>
                <c:pt idx="70">
                  <c:v>-134.79999999999998</c:v>
                </c:pt>
                <c:pt idx="71">
                  <c:v>-102.19999999999999</c:v>
                </c:pt>
                <c:pt idx="72">
                  <c:v>-87.699999999999989</c:v>
                </c:pt>
                <c:pt idx="73">
                  <c:v>-121.19999999999999</c:v>
                </c:pt>
                <c:pt idx="74">
                  <c:v>-96.299999999999983</c:v>
                </c:pt>
                <c:pt idx="75">
                  <c:v>-101.69999999999999</c:v>
                </c:pt>
                <c:pt idx="76">
                  <c:v>-119.19999999999999</c:v>
                </c:pt>
                <c:pt idx="77">
                  <c:v>-113.6</c:v>
                </c:pt>
                <c:pt idx="78">
                  <c:v>-103.89999999999999</c:v>
                </c:pt>
                <c:pt idx="79">
                  <c:v>-111.3</c:v>
                </c:pt>
                <c:pt idx="80">
                  <c:v>-86.9</c:v>
                </c:pt>
                <c:pt idx="81">
                  <c:v>-132.9</c:v>
                </c:pt>
                <c:pt idx="82">
                  <c:v>-164</c:v>
                </c:pt>
                <c:pt idx="83">
                  <c:v>-182.6</c:v>
                </c:pt>
                <c:pt idx="84">
                  <c:v>-180</c:v>
                </c:pt>
                <c:pt idx="85">
                  <c:v>-151.6</c:v>
                </c:pt>
                <c:pt idx="86">
                  <c:v>-194.6</c:v>
                </c:pt>
                <c:pt idx="87">
                  <c:v>-170.2</c:v>
                </c:pt>
                <c:pt idx="88">
                  <c:v>-204.79999999999998</c:v>
                </c:pt>
                <c:pt idx="89">
                  <c:v>-244.29999999999998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1247.1910112359551</c:v>
                </c:pt>
                <c:pt idx="1">
                  <c:v>-385.05747126436779</c:v>
                </c:pt>
                <c:pt idx="2">
                  <c:v>-972.09302325581393</c:v>
                </c:pt>
                <c:pt idx="3">
                  <c:v>-234.52380952380952</c:v>
                </c:pt>
                <c:pt idx="4">
                  <c:v>-183.11688311688312</c:v>
                </c:pt>
                <c:pt idx="5">
                  <c:v>-416.41791044776119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21</c:v>
                </c:pt>
                <c:pt idx="2">
                  <c:v>37</c:v>
                </c:pt>
                <c:pt idx="3">
                  <c:v>41</c:v>
                </c:pt>
                <c:pt idx="4">
                  <c:v>40</c:v>
                </c:pt>
                <c:pt idx="5">
                  <c:v>24</c:v>
                </c:pt>
                <c:pt idx="6">
                  <c:v>12</c:v>
                </c:pt>
                <c:pt idx="7">
                  <c:v>9</c:v>
                </c:pt>
                <c:pt idx="8">
                  <c:v>7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れんたろう!$M$2:$M$91</c:f>
              <c:numCache>
                <c:formatCode>0</c:formatCode>
                <c:ptCount val="90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  <c:pt idx="51">
                  <c:v>1630.1033478965769</c:v>
                </c:pt>
                <c:pt idx="52">
                  <c:v>1630.7087278091974</c:v>
                </c:pt>
                <c:pt idx="53">
                  <c:v>1625.9524754423421</c:v>
                </c:pt>
                <c:pt idx="54">
                  <c:v>1630.9987605896881</c:v>
                </c:pt>
                <c:pt idx="55">
                  <c:v>1630.4827680261501</c:v>
                </c:pt>
                <c:pt idx="56">
                  <c:v>1631.2958714179931</c:v>
                </c:pt>
                <c:pt idx="57">
                  <c:v>1637.9600961894851</c:v>
                </c:pt>
                <c:pt idx="58">
                  <c:v>1641.6263356123482</c:v>
                </c:pt>
                <c:pt idx="59">
                  <c:v>1637.008577598674</c:v>
                </c:pt>
                <c:pt idx="60">
                  <c:v>1628.3625261330819</c:v>
                </c:pt>
                <c:pt idx="61">
                  <c:v>1631.3423509762833</c:v>
                </c:pt>
                <c:pt idx="62">
                  <c:v>1625.1422968704258</c:v>
                </c:pt>
                <c:pt idx="63">
                  <c:v>1625.5494430892031</c:v>
                </c:pt>
                <c:pt idx="64">
                  <c:v>1625.582146430668</c:v>
                </c:pt>
                <c:pt idx="65">
                  <c:v>1632.3826535520841</c:v>
                </c:pt>
                <c:pt idx="66">
                  <c:v>1623.6383576307717</c:v>
                </c:pt>
                <c:pt idx="67">
                  <c:v>1628.830527484987</c:v>
                </c:pt>
                <c:pt idx="68">
                  <c:v>1619.735544320077</c:v>
                </c:pt>
                <c:pt idx="69">
                  <c:v>1627.0931310541566</c:v>
                </c:pt>
                <c:pt idx="70">
                  <c:v>1624.9025722678316</c:v>
                </c:pt>
                <c:pt idx="71">
                  <c:v>1630.7051568342247</c:v>
                </c:pt>
                <c:pt idx="72">
                  <c:v>1633.2149258932193</c:v>
                </c:pt>
                <c:pt idx="73">
                  <c:v>1627.2556363378599</c:v>
                </c:pt>
                <c:pt idx="74">
                  <c:v>1631.8441025198326</c:v>
                </c:pt>
                <c:pt idx="75">
                  <c:v>1630.6270379047137</c:v>
                </c:pt>
                <c:pt idx="76">
                  <c:v>1627.2392756772854</c:v>
                </c:pt>
                <c:pt idx="77">
                  <c:v>1628.1318400232217</c:v>
                </c:pt>
                <c:pt idx="78">
                  <c:v>1629.7570489830823</c:v>
                </c:pt>
                <c:pt idx="79">
                  <c:v>1628.5225066891837</c:v>
                </c:pt>
                <c:pt idx="80">
                  <c:v>1633.0193716490487</c:v>
                </c:pt>
                <c:pt idx="81">
                  <c:v>1624.8172554191544</c:v>
                </c:pt>
                <c:pt idx="82">
                  <c:v>1619.3463518866395</c:v>
                </c:pt>
                <c:pt idx="83">
                  <c:v>1616.1582737753197</c:v>
                </c:pt>
                <c:pt idx="84">
                  <c:v>1616.7273241326677</c:v>
                </c:pt>
                <c:pt idx="85">
                  <c:v>1621.0429601878718</c:v>
                </c:pt>
                <c:pt idx="86">
                  <c:v>1613.2127024267445</c:v>
                </c:pt>
                <c:pt idx="87">
                  <c:v>1617.8614262121841</c:v>
                </c:pt>
                <c:pt idx="88">
                  <c:v>1611.862257654911</c:v>
                </c:pt>
                <c:pt idx="89">
                  <c:v>1605.0170841089816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たかの!$L$2:$L$53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  <c:pt idx="44">
                  <c:v>-134</c:v>
                </c:pt>
                <c:pt idx="45">
                  <c:v>-146.69999999999999</c:v>
                </c:pt>
                <c:pt idx="46">
                  <c:v>-94.6</c:v>
                </c:pt>
                <c:pt idx="47">
                  <c:v>-70.099999999999994</c:v>
                </c:pt>
                <c:pt idx="48">
                  <c:v>-31.499999999999993</c:v>
                </c:pt>
                <c:pt idx="49">
                  <c:v>-70</c:v>
                </c:pt>
                <c:pt idx="50">
                  <c:v>-73.8</c:v>
                </c:pt>
                <c:pt idx="51">
                  <c:v>-62.099999999999994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-372.54901960784315</c:v>
                </c:pt>
                <c:pt idx="1">
                  <c:v>-370.58823529411762</c:v>
                </c:pt>
                <c:pt idx="2">
                  <c:v>1226</c:v>
                </c:pt>
                <c:pt idx="3">
                  <c:v>-1410</c:v>
                </c:pt>
                <c:pt idx="4">
                  <c:v>-841.66666666666663</c:v>
                </c:pt>
                <c:pt idx="5">
                  <c:v>-1140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17</c:v>
                </c:pt>
                <c:pt idx="1">
                  <c:v>27</c:v>
                </c:pt>
                <c:pt idx="2">
                  <c:v>30</c:v>
                </c:pt>
                <c:pt idx="3">
                  <c:v>28</c:v>
                </c:pt>
                <c:pt idx="4">
                  <c:v>8</c:v>
                </c:pt>
                <c:pt idx="5">
                  <c:v>6</c:v>
                </c:pt>
                <c:pt idx="6">
                  <c:v>7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たかの!$M$2:$M$53</c:f>
              <c:numCache>
                <c:formatCode>0</c:formatCode>
                <c:ptCount val="52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  <c:pt idx="41">
                  <c:v>1464.0552948008349</c:v>
                </c:pt>
                <c:pt idx="42">
                  <c:v>1455.9369630320298</c:v>
                </c:pt>
                <c:pt idx="43">
                  <c:v>1448.7493412538377</c:v>
                </c:pt>
                <c:pt idx="44">
                  <c:v>1445.4388452063147</c:v>
                </c:pt>
                <c:pt idx="45">
                  <c:v>1444.1642121350767</c:v>
                </c:pt>
                <c:pt idx="46">
                  <c:v>1454.3872268622663</c:v>
                </c:pt>
                <c:pt idx="47">
                  <c:v>1459.7189035010927</c:v>
                </c:pt>
                <c:pt idx="48">
                  <c:v>1467.5565900800862</c:v>
                </c:pt>
                <c:pt idx="49">
                  <c:v>1460.9652505396057</c:v>
                </c:pt>
                <c:pt idx="50">
                  <c:v>1460.4194590363682</c:v>
                </c:pt>
                <c:pt idx="51">
                  <c:v>1463.3989422821498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  <c:pt idx="29">
                  <c:v>-35.300000000000026</c:v>
                </c:pt>
                <c:pt idx="30">
                  <c:v>-9.3000000000000256</c:v>
                </c:pt>
                <c:pt idx="31">
                  <c:v>22.999999999999972</c:v>
                </c:pt>
                <c:pt idx="32">
                  <c:v>-0.400000000000027</c:v>
                </c:pt>
                <c:pt idx="33">
                  <c:v>-0.10000000000002701</c:v>
                </c:pt>
                <c:pt idx="34">
                  <c:v>59.89999999999997</c:v>
                </c:pt>
                <c:pt idx="35">
                  <c:v>46.099999999999966</c:v>
                </c:pt>
                <c:pt idx="36">
                  <c:v>67.69999999999996</c:v>
                </c:pt>
                <c:pt idx="37">
                  <c:v>58.499999999999957</c:v>
                </c:pt>
                <c:pt idx="38">
                  <c:v>95.69999999999996</c:v>
                </c:pt>
                <c:pt idx="39">
                  <c:v>45.69999999999996</c:v>
                </c:pt>
                <c:pt idx="40">
                  <c:v>45.799999999999962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730</c:v>
                </c:pt>
                <c:pt idx="1">
                  <c:v>230</c:v>
                </c:pt>
                <c:pt idx="2">
                  <c:v>1794.8717948717949</c:v>
                </c:pt>
                <c:pt idx="3">
                  <c:v>-2279.4117647058824</c:v>
                </c:pt>
                <c:pt idx="4">
                  <c:v>1832.258064516129</c:v>
                </c:pt>
                <c:pt idx="5">
                  <c:v>-312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3</c:v>
                </c:pt>
                <c:pt idx="1">
                  <c:v>13</c:v>
                </c:pt>
                <c:pt idx="2">
                  <c:v>21</c:v>
                </c:pt>
                <c:pt idx="3">
                  <c:v>25</c:v>
                </c:pt>
                <c:pt idx="4">
                  <c:v>13</c:v>
                </c:pt>
                <c:pt idx="5">
                  <c:v>9</c:v>
                </c:pt>
                <c:pt idx="6">
                  <c:v>4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まっつん!$M$2:$M$42</c:f>
              <c:numCache>
                <c:formatCode>0</c:formatCode>
                <c:ptCount val="41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  <c:pt idx="29">
                  <c:v>1531.7177178969628</c:v>
                </c:pt>
                <c:pt idx="30">
                  <c:v>1537.0774115895811</c:v>
                </c:pt>
                <c:pt idx="31">
                  <c:v>1543.5389471200435</c:v>
                </c:pt>
                <c:pt idx="32">
                  <c:v>1539.9417134373232</c:v>
                </c:pt>
                <c:pt idx="33">
                  <c:v>1540.6320631566994</c:v>
                </c:pt>
                <c:pt idx="34">
                  <c:v>1552.0582707777592</c:v>
                </c:pt>
                <c:pt idx="35">
                  <c:v>1549.6879211530927</c:v>
                </c:pt>
                <c:pt idx="36">
                  <c:v>1553.703793626174</c:v>
                </c:pt>
                <c:pt idx="37">
                  <c:v>1552.235570864417</c:v>
                </c:pt>
                <c:pt idx="38">
                  <c:v>1559.4521574392304</c:v>
                </c:pt>
                <c:pt idx="39">
                  <c:v>1550.9234444945951</c:v>
                </c:pt>
                <c:pt idx="40">
                  <c:v>1551.4699038276274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  <c:pt idx="45">
                  <c:v>157.69999999999999</c:v>
                </c:pt>
                <c:pt idx="46">
                  <c:v>167.6</c:v>
                </c:pt>
                <c:pt idx="47">
                  <c:v>164.7</c:v>
                </c:pt>
                <c:pt idx="48">
                  <c:v>140.69999999999999</c:v>
                </c:pt>
                <c:pt idx="49">
                  <c:v>209.29999999999998</c:v>
                </c:pt>
                <c:pt idx="50">
                  <c:v>211.6</c:v>
                </c:pt>
                <c:pt idx="51">
                  <c:v>178.2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-912</c:v>
                </c:pt>
                <c:pt idx="1">
                  <c:v>1166</c:v>
                </c:pt>
                <c:pt idx="2">
                  <c:v>2228</c:v>
                </c:pt>
                <c:pt idx="3">
                  <c:v>-382.97872340425533</c:v>
                </c:pt>
                <c:pt idx="4">
                  <c:v>257.14285714285717</c:v>
                </c:pt>
                <c:pt idx="5">
                  <c:v>1710.2564102564102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27</c:v>
                </c:pt>
                <c:pt idx="2">
                  <c:v>28</c:v>
                </c:pt>
                <c:pt idx="3">
                  <c:v>19</c:v>
                </c:pt>
                <c:pt idx="4">
                  <c:v>20</c:v>
                </c:pt>
                <c:pt idx="5">
                  <c:v>15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いちかわ!$M$2:$M$53</c:f>
              <c:numCache>
                <c:formatCode>0</c:formatCode>
                <c:ptCount val="52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  <c:pt idx="43">
                  <c:v>1532.2841533047581</c:v>
                </c:pt>
                <c:pt idx="44">
                  <c:v>1531.1784483849297</c:v>
                </c:pt>
                <c:pt idx="45">
                  <c:v>1534.3633776946201</c:v>
                </c:pt>
                <c:pt idx="46">
                  <c:v>1536.8091974284523</c:v>
                </c:pt>
                <c:pt idx="47">
                  <c:v>1536.9363422438817</c:v>
                </c:pt>
                <c:pt idx="48">
                  <c:v>1532.9527241904184</c:v>
                </c:pt>
                <c:pt idx="49">
                  <c:v>1545.841007845276</c:v>
                </c:pt>
                <c:pt idx="50">
                  <c:v>1546.7179617982042</c:v>
                </c:pt>
                <c:pt idx="51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ただ!$K$2:$K$72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ただ!$L$2:$L$72</c:f>
              <c:numCache>
                <c:formatCode>\+0.0;\-0.0;\±0</c:formatCode>
                <c:ptCount val="71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  <c:pt idx="49">
                  <c:v>248.19999999999993</c:v>
                </c:pt>
                <c:pt idx="50">
                  <c:v>231.29999999999993</c:v>
                </c:pt>
                <c:pt idx="51">
                  <c:v>261.49999999999994</c:v>
                </c:pt>
                <c:pt idx="52">
                  <c:v>297.99999999999994</c:v>
                </c:pt>
                <c:pt idx="53">
                  <c:v>300.39999999999992</c:v>
                </c:pt>
                <c:pt idx="54">
                  <c:v>306.09999999999991</c:v>
                </c:pt>
                <c:pt idx="55">
                  <c:v>307.09999999999991</c:v>
                </c:pt>
                <c:pt idx="56">
                  <c:v>275.2999999999999</c:v>
                </c:pt>
                <c:pt idx="57">
                  <c:v>302.19999999999987</c:v>
                </c:pt>
                <c:pt idx="58">
                  <c:v>359.19999999999987</c:v>
                </c:pt>
                <c:pt idx="59">
                  <c:v>367.49999999999989</c:v>
                </c:pt>
                <c:pt idx="60">
                  <c:v>370.09999999999991</c:v>
                </c:pt>
                <c:pt idx="61">
                  <c:v>326.19999999999993</c:v>
                </c:pt>
                <c:pt idx="62">
                  <c:v>401.89999999999992</c:v>
                </c:pt>
                <c:pt idx="63">
                  <c:v>431.39999999999992</c:v>
                </c:pt>
                <c:pt idx="64">
                  <c:v>414.99999999999994</c:v>
                </c:pt>
                <c:pt idx="65">
                  <c:v>411.49999999999994</c:v>
                </c:pt>
                <c:pt idx="66">
                  <c:v>444.59999999999997</c:v>
                </c:pt>
                <c:pt idx="67">
                  <c:v>437.4</c:v>
                </c:pt>
                <c:pt idx="68">
                  <c:v>410.7</c:v>
                </c:pt>
                <c:pt idx="69">
                  <c:v>404.4</c:v>
                </c:pt>
                <c:pt idx="70">
                  <c:v>392.9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-10</c:v>
                </c:pt>
                <c:pt idx="1">
                  <c:v>546.969696969697</c:v>
                </c:pt>
                <c:pt idx="2">
                  <c:v>1410.6060606060605</c:v>
                </c:pt>
                <c:pt idx="3">
                  <c:v>1804.8387096774193</c:v>
                </c:pt>
                <c:pt idx="4">
                  <c:v>400</c:v>
                </c:pt>
                <c:pt idx="5">
                  <c:v>-197.87234042553192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15</c:v>
                </c:pt>
                <c:pt idx="1">
                  <c:v>50</c:v>
                </c:pt>
                <c:pt idx="2">
                  <c:v>43</c:v>
                </c:pt>
                <c:pt idx="3">
                  <c:v>34</c:v>
                </c:pt>
                <c:pt idx="4">
                  <c:v>28</c:v>
                </c:pt>
                <c:pt idx="5">
                  <c:v>10</c:v>
                </c:pt>
                <c:pt idx="6">
                  <c:v>11</c:v>
                </c:pt>
                <c:pt idx="7">
                  <c:v>5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ただ!$K$2:$K$72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ただ!$M$2:$M$72</c:f>
              <c:numCache>
                <c:formatCode>0</c:formatCode>
                <c:ptCount val="71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  <c:pt idx="46">
                  <c:v>1574.2297353699321</c:v>
                </c:pt>
                <c:pt idx="47">
                  <c:v>1573.3463569577125</c:v>
                </c:pt>
                <c:pt idx="48">
                  <c:v>1580.3102788159663</c:v>
                </c:pt>
                <c:pt idx="49">
                  <c:v>1578.1244171430706</c:v>
                </c:pt>
                <c:pt idx="50">
                  <c:v>1575.3516706402122</c:v>
                </c:pt>
                <c:pt idx="51">
                  <c:v>1581.073560616371</c:v>
                </c:pt>
                <c:pt idx="52">
                  <c:v>1588.0331192526728</c:v>
                </c:pt>
                <c:pt idx="53">
                  <c:v>1588.8129205371567</c:v>
                </c:pt>
                <c:pt idx="54">
                  <c:v>1590.1820430139337</c:v>
                </c:pt>
                <c:pt idx="55">
                  <c:v>1590.6969507558501</c:v>
                </c:pt>
                <c:pt idx="56">
                  <c:v>1585.3047690513151</c:v>
                </c:pt>
                <c:pt idx="57">
                  <c:v>1590.0609404370073</c:v>
                </c:pt>
                <c:pt idx="58">
                  <c:v>1600.2065747943852</c:v>
                </c:pt>
                <c:pt idx="59">
                  <c:v>1601.5253353456189</c:v>
                </c:pt>
                <c:pt idx="60">
                  <c:v>1601.8101833335452</c:v>
                </c:pt>
                <c:pt idx="61">
                  <c:v>1593.723322233544</c:v>
                </c:pt>
                <c:pt idx="62">
                  <c:v>1607.2129823001428</c:v>
                </c:pt>
                <c:pt idx="63">
                  <c:v>1612.3057044063419</c:v>
                </c:pt>
                <c:pt idx="64">
                  <c:v>1609.1058701799038</c:v>
                </c:pt>
                <c:pt idx="65">
                  <c:v>1608.7572349588245</c:v>
                </c:pt>
                <c:pt idx="66">
                  <c:v>1614.9986915490715</c:v>
                </c:pt>
                <c:pt idx="67">
                  <c:v>1613.9486993997771</c:v>
                </c:pt>
                <c:pt idx="68">
                  <c:v>1609.2930072033785</c:v>
                </c:pt>
                <c:pt idx="69">
                  <c:v>1608.3312491601582</c:v>
                </c:pt>
                <c:pt idx="70">
                  <c:v>1606.4452616651972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  <c:pt idx="19">
                  <c:v>-108.30000000000001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2</c:v>
                </c:pt>
                <c:pt idx="3">
                  <c:v>7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たか!$M$2:$M$21</c:f>
              <c:numCache>
                <c:formatCode>0</c:formatCode>
                <c:ptCount val="20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  <c:pt idx="1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  <c:pt idx="5">
                  <c:v>-51.099999999999994</c:v>
                </c:pt>
                <c:pt idx="6">
                  <c:v>-78.199999999999989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-7866.666666666667</c:v>
                </c:pt>
                <c:pt idx="1">
                  <c:v>-500</c:v>
                </c:pt>
                <c:pt idx="2">
                  <c:v>7083.333333333333</c:v>
                </c:pt>
                <c:pt idx="3">
                  <c:v>-1360</c:v>
                </c:pt>
                <c:pt idx="4">
                  <c:v>-4000</c:v>
                </c:pt>
                <c:pt idx="5">
                  <c:v>-4740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のり!$M$2:$M$8</c:f>
              <c:numCache>
                <c:formatCode>0</c:formatCode>
                <c:ptCount val="7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  <c:pt idx="5">
                  <c:v>1344.1652511095363</c:v>
                </c:pt>
                <c:pt idx="6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りくと!$L$2:$L$30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  <c:pt idx="13">
                  <c:v>-75.599999999999994</c:v>
                </c:pt>
                <c:pt idx="14">
                  <c:v>-72.599999999999994</c:v>
                </c:pt>
                <c:pt idx="15">
                  <c:v>-123.19999999999999</c:v>
                </c:pt>
                <c:pt idx="16">
                  <c:v>-121.1</c:v>
                </c:pt>
                <c:pt idx="17">
                  <c:v>-126.1</c:v>
                </c:pt>
                <c:pt idx="18">
                  <c:v>-171.7</c:v>
                </c:pt>
                <c:pt idx="19">
                  <c:v>-207.89999999999998</c:v>
                </c:pt>
                <c:pt idx="20">
                  <c:v>-187.29999999999998</c:v>
                </c:pt>
                <c:pt idx="21">
                  <c:v>-178.79999999999998</c:v>
                </c:pt>
                <c:pt idx="22">
                  <c:v>-245.59999999999997</c:v>
                </c:pt>
                <c:pt idx="23">
                  <c:v>-236.09999999999997</c:v>
                </c:pt>
                <c:pt idx="24">
                  <c:v>-216.59999999999997</c:v>
                </c:pt>
                <c:pt idx="25">
                  <c:v>-242.69999999999996</c:v>
                </c:pt>
                <c:pt idx="26">
                  <c:v>-267.29999999999995</c:v>
                </c:pt>
                <c:pt idx="27">
                  <c:v>-264.79999999999995</c:v>
                </c:pt>
                <c:pt idx="28">
                  <c:v>-241.89999999999995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-925</c:v>
                </c:pt>
                <c:pt idx="1">
                  <c:v>1073.0769230769231</c:v>
                </c:pt>
                <c:pt idx="2">
                  <c:v>-1900</c:v>
                </c:pt>
                <c:pt idx="3">
                  <c:v>-1257.6923076923076</c:v>
                </c:pt>
                <c:pt idx="4">
                  <c:v>-2520</c:v>
                </c:pt>
                <c:pt idx="5">
                  <c:v>-1127.2727272727273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8</c:v>
                </c:pt>
                <c:pt idx="3">
                  <c:v>13</c:v>
                </c:pt>
                <c:pt idx="4">
                  <c:v>11</c:v>
                </c:pt>
                <c:pt idx="5">
                  <c:v>8</c:v>
                </c:pt>
                <c:pt idx="6">
                  <c:v>3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りくと!$M$2:$M$30</c:f>
              <c:numCache>
                <c:formatCode>0</c:formatCode>
                <c:ptCount val="29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  <c:pt idx="13">
                  <c:v>1390.8671400806311</c:v>
                </c:pt>
                <c:pt idx="14">
                  <c:v>1392.4879372401474</c:v>
                </c:pt>
                <c:pt idx="15">
                  <c:v>1384.5710096167065</c:v>
                </c:pt>
                <c:pt idx="16">
                  <c:v>1386.1875835590063</c:v>
                </c:pt>
                <c:pt idx="17">
                  <c:v>1386.3964580576521</c:v>
                </c:pt>
                <c:pt idx="18">
                  <c:v>1379.2960793093062</c:v>
                </c:pt>
                <c:pt idx="19">
                  <c:v>1373.9303028334502</c:v>
                </c:pt>
                <c:pt idx="20">
                  <c:v>1378.8207210164496</c:v>
                </c:pt>
                <c:pt idx="21">
                  <c:v>1381.503796690351</c:v>
                </c:pt>
                <c:pt idx="22">
                  <c:v>1370.6167739102088</c:v>
                </c:pt>
                <c:pt idx="23">
                  <c:v>1373.5290732667477</c:v>
                </c:pt>
                <c:pt idx="24">
                  <c:v>1378.2238988271472</c:v>
                </c:pt>
                <c:pt idx="25">
                  <c:v>1374.4005554341843</c:v>
                </c:pt>
                <c:pt idx="26">
                  <c:v>1370.6301521015791</c:v>
                </c:pt>
                <c:pt idx="27">
                  <c:v>1372.0603711889696</c:v>
                </c:pt>
                <c:pt idx="28">
                  <c:v>1377.1480089618358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D-4B1D-96B5-0E899F90D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1-44AA-90BF-942B7EA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C-44B3-B52F-77E096CA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9-449A-B66E-0D506F74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B3-47CE-A9C4-F06FBEC5B17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-4.5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B3-47CE-A9C4-F06FBEC5B17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いっしー!$K$4:$L$4</c:f>
              <c:numCache>
                <c:formatCode>\+0.0;\-0.0;\±0</c:formatCode>
                <c:ptCount val="2"/>
                <c:pt idx="0" formatCode="General">
                  <c:v>2</c:v>
                </c:pt>
                <c:pt idx="1">
                  <c:v>-3.4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2A-4D29-A808-9B6CE3D2E75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いっしー!$K$5:$L$5</c:f>
              <c:numCache>
                <c:formatCode>\+0.0;\-0.0;\±0</c:formatCode>
                <c:ptCount val="2"/>
                <c:pt idx="0" formatCode="General">
                  <c:v>3</c:v>
                </c:pt>
                <c:pt idx="1">
                  <c:v>-55.199999999999996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2A-4D29-A808-9B6CE3D2E75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いっしー!$K$6:$L$6</c:f>
              <c:numCache>
                <c:formatCode>\+0.0;\-0.0;\±0</c:formatCode>
                <c:ptCount val="2"/>
                <c:pt idx="0" formatCode="General">
                  <c:v>4</c:v>
                </c:pt>
                <c:pt idx="1">
                  <c:v>-77.699999999999989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14-4890-917F-A78A44C1ADFB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いっしー!$K$7:$L$7</c:f>
              <c:numCache>
                <c:formatCode>\+0.0;\-0.0;\±0</c:formatCode>
                <c:ptCount val="2"/>
                <c:pt idx="0" formatCode="General">
                  <c:v>5</c:v>
                </c:pt>
                <c:pt idx="1">
                  <c:v>-120.49999999999999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6E-4F26-A631-5210B6DB0D1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いっしー!$K$8:$L$8</c:f>
              <c:numCache>
                <c:formatCode>\+0.0;\-0.0;\±0</c:formatCode>
                <c:ptCount val="2"/>
                <c:pt idx="0" formatCode="General">
                  <c:v>6</c:v>
                </c:pt>
                <c:pt idx="1">
                  <c:v>-150.79999999999998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6E-4F26-A631-5210B6DB0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-2716.6666666666665</c:v>
                </c:pt>
                <c:pt idx="1">
                  <c:v>-5900</c:v>
                </c:pt>
                <c:pt idx="2">
                  <c:v>83.333333333333329</c:v>
                </c:pt>
                <c:pt idx="3">
                  <c:v>-5580</c:v>
                </c:pt>
                <c:pt idx="4">
                  <c:v>-3240</c:v>
                </c:pt>
                <c:pt idx="5">
                  <c:v>-1775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0D-4529-A134-432FE3794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5-48B7-9615-6C7DF2FB9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いっしー!$M$2:$M$8</c:f>
              <c:numCache>
                <c:formatCode>0</c:formatCode>
                <c:ptCount val="7"/>
                <c:pt idx="0">
                  <c:v>1500.437982464869</c:v>
                </c:pt>
                <c:pt idx="1">
                  <c:v>1500.3933545700797</c:v>
                </c:pt>
                <c:pt idx="2">
                  <c:v>1501.3569944426592</c:v>
                </c:pt>
                <c:pt idx="3">
                  <c:v>1492.7928524760032</c:v>
                </c:pt>
                <c:pt idx="4">
                  <c:v>1489.5540953611471</c:v>
                </c:pt>
                <c:pt idx="5">
                  <c:v>1482.1167707889801</c:v>
                </c:pt>
                <c:pt idx="6">
                  <c:v>1476.9680701642462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1-44C2-8B3D-8695D2C92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ただ2!$B$3:$B$73</c:f>
              <c:numCache>
                <c:formatCode>\+0.0;\-0.0;\±0</c:formatCode>
                <c:ptCount val="71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  <c:pt idx="49">
                  <c:v>248.19999999999993</c:v>
                </c:pt>
                <c:pt idx="50">
                  <c:v>231.29999999999993</c:v>
                </c:pt>
                <c:pt idx="51">
                  <c:v>261.49999999999994</c:v>
                </c:pt>
                <c:pt idx="52">
                  <c:v>297.99999999999994</c:v>
                </c:pt>
                <c:pt idx="53">
                  <c:v>300.39999999999992</c:v>
                </c:pt>
                <c:pt idx="54">
                  <c:v>306.09999999999991</c:v>
                </c:pt>
                <c:pt idx="55">
                  <c:v>307.09999999999991</c:v>
                </c:pt>
                <c:pt idx="56">
                  <c:v>275.2999999999999</c:v>
                </c:pt>
                <c:pt idx="57">
                  <c:v>302.19999999999987</c:v>
                </c:pt>
                <c:pt idx="58">
                  <c:v>359.19999999999987</c:v>
                </c:pt>
                <c:pt idx="59">
                  <c:v>367.49999999999989</c:v>
                </c:pt>
                <c:pt idx="60">
                  <c:v>370.09999999999991</c:v>
                </c:pt>
                <c:pt idx="61">
                  <c:v>326.19999999999993</c:v>
                </c:pt>
                <c:pt idx="62">
                  <c:v>401.89999999999992</c:v>
                </c:pt>
                <c:pt idx="63">
                  <c:v>431.39999999999992</c:v>
                </c:pt>
                <c:pt idx="64">
                  <c:v>414.99999999999994</c:v>
                </c:pt>
                <c:pt idx="65">
                  <c:v>411.49999999999994</c:v>
                </c:pt>
                <c:pt idx="66">
                  <c:v>444.59999999999997</c:v>
                </c:pt>
                <c:pt idx="67">
                  <c:v>437.4</c:v>
                </c:pt>
                <c:pt idx="68">
                  <c:v>410.7</c:v>
                </c:pt>
                <c:pt idx="69">
                  <c:v>404.4</c:v>
                </c:pt>
                <c:pt idx="70">
                  <c:v>392.9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ただ2!$C$3:$C$73</c:f>
              <c:numCache>
                <c:formatCode>\+0.0;\-0.0;\±0</c:formatCode>
                <c:ptCount val="71"/>
                <c:pt idx="1">
                  <c:v>11.6</c:v>
                </c:pt>
                <c:pt idx="2">
                  <c:v>21.45</c:v>
                </c:pt>
                <c:pt idx="3">
                  <c:v>16.399999999999999</c:v>
                </c:pt>
                <c:pt idx="4">
                  <c:v>18.95</c:v>
                </c:pt>
                <c:pt idx="5">
                  <c:v>9.5599999999999987</c:v>
                </c:pt>
                <c:pt idx="6">
                  <c:v>4.3999999999999995</c:v>
                </c:pt>
                <c:pt idx="7">
                  <c:v>3.6999999999999997</c:v>
                </c:pt>
                <c:pt idx="8">
                  <c:v>0.1875</c:v>
                </c:pt>
                <c:pt idx="9">
                  <c:v>1.0777777777777777</c:v>
                </c:pt>
                <c:pt idx="10">
                  <c:v>0.91999999999999993</c:v>
                </c:pt>
                <c:pt idx="11">
                  <c:v>0.20909090909090899</c:v>
                </c:pt>
                <c:pt idx="12">
                  <c:v>0.13333333333333325</c:v>
                </c:pt>
                <c:pt idx="13">
                  <c:v>-3.7307692307692308</c:v>
                </c:pt>
                <c:pt idx="14">
                  <c:v>-1.4428571428571428</c:v>
                </c:pt>
                <c:pt idx="15">
                  <c:v>1.5000000000000002</c:v>
                </c:pt>
                <c:pt idx="16">
                  <c:v>4.03125</c:v>
                </c:pt>
                <c:pt idx="17">
                  <c:v>0.61764705882352944</c:v>
                </c:pt>
                <c:pt idx="18">
                  <c:v>-1.2388888888888887</c:v>
                </c:pt>
                <c:pt idx="19">
                  <c:v>0.44736842105263175</c:v>
                </c:pt>
                <c:pt idx="20">
                  <c:v>1.8400000000000003</c:v>
                </c:pt>
                <c:pt idx="21">
                  <c:v>3.1523809523809527</c:v>
                </c:pt>
                <c:pt idx="22">
                  <c:v>4.6818181818181817</c:v>
                </c:pt>
                <c:pt idx="23">
                  <c:v>5.4391304347826086</c:v>
                </c:pt>
                <c:pt idx="24">
                  <c:v>8.2874999999999996</c:v>
                </c:pt>
                <c:pt idx="25">
                  <c:v>9.2039999999999988</c:v>
                </c:pt>
                <c:pt idx="26">
                  <c:v>11.169230769230769</c:v>
                </c:pt>
                <c:pt idx="27">
                  <c:v>9.2629629629629608</c:v>
                </c:pt>
                <c:pt idx="28">
                  <c:v>8.0964285714285698</c:v>
                </c:pt>
                <c:pt idx="29">
                  <c:v>6.958620689655171</c:v>
                </c:pt>
                <c:pt idx="30">
                  <c:v>8.4199999999999982</c:v>
                </c:pt>
                <c:pt idx="31">
                  <c:v>9.5870967741935473</c:v>
                </c:pt>
                <c:pt idx="32">
                  <c:v>9.1843749999999993</c:v>
                </c:pt>
                <c:pt idx="33">
                  <c:v>9.8181818181818183</c:v>
                </c:pt>
                <c:pt idx="34">
                  <c:v>9.4323529411764699</c:v>
                </c:pt>
                <c:pt idx="35">
                  <c:v>9.8457142857142852</c:v>
                </c:pt>
                <c:pt idx="36">
                  <c:v>9.2944444444444443</c:v>
                </c:pt>
                <c:pt idx="37">
                  <c:v>9.0567567567567551</c:v>
                </c:pt>
                <c:pt idx="38">
                  <c:v>8.6842105263157876</c:v>
                </c:pt>
                <c:pt idx="39">
                  <c:v>9.4999999999999982</c:v>
                </c:pt>
                <c:pt idx="40">
                  <c:v>7.9324999999999992</c:v>
                </c:pt>
                <c:pt idx="41">
                  <c:v>6.9878048780487791</c:v>
                </c:pt>
                <c:pt idx="42">
                  <c:v>5.5619047619047608</c:v>
                </c:pt>
                <c:pt idx="43">
                  <c:v>5.4441860465116267</c:v>
                </c:pt>
                <c:pt idx="44">
                  <c:v>5.4863636363636354</c:v>
                </c:pt>
                <c:pt idx="45">
                  <c:v>5.0866666666666651</c:v>
                </c:pt>
                <c:pt idx="46">
                  <c:v>5.0195652173913032</c:v>
                </c:pt>
                <c:pt idx="47">
                  <c:v>4.744680851063829</c:v>
                </c:pt>
                <c:pt idx="48">
                  <c:v>5.456249999999998</c:v>
                </c:pt>
                <c:pt idx="49">
                  <c:v>5.0653061224489786</c:v>
                </c:pt>
                <c:pt idx="50">
                  <c:v>4.6259999999999986</c:v>
                </c:pt>
                <c:pt idx="51">
                  <c:v>5.1274509803921555</c:v>
                </c:pt>
                <c:pt idx="52">
                  <c:v>5.7307692307692299</c:v>
                </c:pt>
                <c:pt idx="53">
                  <c:v>5.6679245283018851</c:v>
                </c:pt>
                <c:pt idx="54">
                  <c:v>5.6685185185185167</c:v>
                </c:pt>
                <c:pt idx="55">
                  <c:v>5.5836363636363622</c:v>
                </c:pt>
                <c:pt idx="56">
                  <c:v>4.9160714285714269</c:v>
                </c:pt>
                <c:pt idx="57">
                  <c:v>5.3017543859649097</c:v>
                </c:pt>
                <c:pt idx="58">
                  <c:v>6.1931034482758598</c:v>
                </c:pt>
                <c:pt idx="59">
                  <c:v>6.228813559322032</c:v>
                </c:pt>
                <c:pt idx="60">
                  <c:v>6.1683333333333321</c:v>
                </c:pt>
                <c:pt idx="61">
                  <c:v>5.3475409836065566</c:v>
                </c:pt>
                <c:pt idx="62">
                  <c:v>6.4822580645161274</c:v>
                </c:pt>
                <c:pt idx="63">
                  <c:v>6.8476190476190464</c:v>
                </c:pt>
                <c:pt idx="64">
                  <c:v>6.4843749999999991</c:v>
                </c:pt>
                <c:pt idx="65">
                  <c:v>6.3307692307692296</c:v>
                </c:pt>
                <c:pt idx="66">
                  <c:v>6.7363636363636354</c:v>
                </c:pt>
                <c:pt idx="67">
                  <c:v>6.5283582089552237</c:v>
                </c:pt>
                <c:pt idx="68">
                  <c:v>6.0397058823529406</c:v>
                </c:pt>
                <c:pt idx="69">
                  <c:v>5.8608695652173912</c:v>
                </c:pt>
                <c:pt idx="70">
                  <c:v>5.6128571428571421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359326303060002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ただ2!$D$3:$D$73</c:f>
              <c:numCache>
                <c:formatCode>0.00\ "位"</c:formatCode>
                <c:ptCount val="71"/>
                <c:pt idx="1">
                  <c:v>1</c:v>
                </c:pt>
                <c:pt idx="2">
                  <c:v>1</c:v>
                </c:pt>
                <c:pt idx="3">
                  <c:v>1.3333333333333333</c:v>
                </c:pt>
                <c:pt idx="4">
                  <c:v>1.25</c:v>
                </c:pt>
                <c:pt idx="5">
                  <c:v>1.4</c:v>
                </c:pt>
                <c:pt idx="6">
                  <c:v>1.6666666666666667</c:v>
                </c:pt>
                <c:pt idx="7">
                  <c:v>1.7142857142857142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2</c:v>
                </c:pt>
                <c:pt idx="14">
                  <c:v>1.9285714285714286</c:v>
                </c:pt>
                <c:pt idx="15">
                  <c:v>1.8666666666666667</c:v>
                </c:pt>
                <c:pt idx="16">
                  <c:v>1.8125</c:v>
                </c:pt>
                <c:pt idx="17">
                  <c:v>1.8823529411764706</c:v>
                </c:pt>
                <c:pt idx="18">
                  <c:v>1.9444444444444444</c:v>
                </c:pt>
                <c:pt idx="19">
                  <c:v>1.8947368421052631</c:v>
                </c:pt>
                <c:pt idx="20">
                  <c:v>1.85</c:v>
                </c:pt>
                <c:pt idx="21">
                  <c:v>1.8095238095238095</c:v>
                </c:pt>
                <c:pt idx="22">
                  <c:v>1.7727272727272727</c:v>
                </c:pt>
                <c:pt idx="23">
                  <c:v>1.7391304347826086</c:v>
                </c:pt>
                <c:pt idx="24">
                  <c:v>1.7083333333333333</c:v>
                </c:pt>
                <c:pt idx="25">
                  <c:v>1.68</c:v>
                </c:pt>
                <c:pt idx="26">
                  <c:v>1.6538461538461537</c:v>
                </c:pt>
                <c:pt idx="27">
                  <c:v>1.7037037037037037</c:v>
                </c:pt>
                <c:pt idx="28">
                  <c:v>1.7142857142857142</c:v>
                </c:pt>
                <c:pt idx="29">
                  <c:v>1.7586206896551724</c:v>
                </c:pt>
                <c:pt idx="30">
                  <c:v>1.7333333333333334</c:v>
                </c:pt>
                <c:pt idx="31">
                  <c:v>1.7096774193548387</c:v>
                </c:pt>
                <c:pt idx="32">
                  <c:v>1.71875</c:v>
                </c:pt>
                <c:pt idx="33">
                  <c:v>1.696969696969697</c:v>
                </c:pt>
                <c:pt idx="34">
                  <c:v>1.7058823529411764</c:v>
                </c:pt>
                <c:pt idx="35">
                  <c:v>1.6857142857142857</c:v>
                </c:pt>
                <c:pt idx="36">
                  <c:v>1.6944444444444444</c:v>
                </c:pt>
                <c:pt idx="37">
                  <c:v>1.7027027027027026</c:v>
                </c:pt>
                <c:pt idx="38">
                  <c:v>1.7105263157894737</c:v>
                </c:pt>
                <c:pt idx="39">
                  <c:v>1.6923076923076923</c:v>
                </c:pt>
                <c:pt idx="40">
                  <c:v>1.7250000000000001</c:v>
                </c:pt>
                <c:pt idx="41">
                  <c:v>1.7560975609756098</c:v>
                </c:pt>
                <c:pt idx="42">
                  <c:v>1.7857142857142858</c:v>
                </c:pt>
                <c:pt idx="43">
                  <c:v>1.7906976744186047</c:v>
                </c:pt>
                <c:pt idx="44">
                  <c:v>1.7954545454545454</c:v>
                </c:pt>
                <c:pt idx="45">
                  <c:v>1.8222222222222222</c:v>
                </c:pt>
                <c:pt idx="46">
                  <c:v>1.826086956521739</c:v>
                </c:pt>
                <c:pt idx="47">
                  <c:v>1.8297872340425532</c:v>
                </c:pt>
                <c:pt idx="48">
                  <c:v>1.8125</c:v>
                </c:pt>
                <c:pt idx="49">
                  <c:v>1.8367346938775511</c:v>
                </c:pt>
                <c:pt idx="50">
                  <c:v>1.84</c:v>
                </c:pt>
                <c:pt idx="51">
                  <c:v>1.8235294117647058</c:v>
                </c:pt>
                <c:pt idx="52">
                  <c:v>1.8076923076923077</c:v>
                </c:pt>
                <c:pt idx="53">
                  <c:v>1.8113207547169812</c:v>
                </c:pt>
                <c:pt idx="54">
                  <c:v>1.8148148148148149</c:v>
                </c:pt>
                <c:pt idx="55">
                  <c:v>1.8181818181818181</c:v>
                </c:pt>
                <c:pt idx="56">
                  <c:v>1.8392857142857142</c:v>
                </c:pt>
                <c:pt idx="57">
                  <c:v>1.8245614035087718</c:v>
                </c:pt>
                <c:pt idx="58">
                  <c:v>1.8103448275862069</c:v>
                </c:pt>
                <c:pt idx="59">
                  <c:v>1.8135593220338984</c:v>
                </c:pt>
                <c:pt idx="60">
                  <c:v>1.8166666666666667</c:v>
                </c:pt>
                <c:pt idx="61">
                  <c:v>1.8360655737704918</c:v>
                </c:pt>
                <c:pt idx="62">
                  <c:v>1.8225806451612903</c:v>
                </c:pt>
                <c:pt idx="63">
                  <c:v>1.8095238095238095</c:v>
                </c:pt>
                <c:pt idx="64">
                  <c:v>1.828125</c:v>
                </c:pt>
                <c:pt idx="65">
                  <c:v>1.8307692307692307</c:v>
                </c:pt>
                <c:pt idx="66">
                  <c:v>1.8181818181818181</c:v>
                </c:pt>
                <c:pt idx="67">
                  <c:v>1.8208955223880596</c:v>
                </c:pt>
                <c:pt idx="68">
                  <c:v>1.838235294117647</c:v>
                </c:pt>
                <c:pt idx="69">
                  <c:v>1.8405797101449275</c:v>
                </c:pt>
                <c:pt idx="70">
                  <c:v>1.8571428571428572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80392156862745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ただ2!$E$3:$E$73</c:f>
              <c:numCache>
                <c:formatCode>0.0%</c:formatCode>
                <c:ptCount val="71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0.47826086956521741</c:v>
                </c:pt>
                <c:pt idx="24">
                  <c:v>0.5</c:v>
                </c:pt>
                <c:pt idx="25">
                  <c:v>0.52</c:v>
                </c:pt>
                <c:pt idx="26">
                  <c:v>0.53846153846153844</c:v>
                </c:pt>
                <c:pt idx="27">
                  <c:v>0.51851851851851849</c:v>
                </c:pt>
                <c:pt idx="28">
                  <c:v>0.5</c:v>
                </c:pt>
                <c:pt idx="29">
                  <c:v>0.48275862068965519</c:v>
                </c:pt>
                <c:pt idx="30">
                  <c:v>0.5</c:v>
                </c:pt>
                <c:pt idx="31">
                  <c:v>0.5161290322580645</c:v>
                </c:pt>
                <c:pt idx="32">
                  <c:v>0.5</c:v>
                </c:pt>
                <c:pt idx="33">
                  <c:v>0.51515151515151514</c:v>
                </c:pt>
                <c:pt idx="34">
                  <c:v>0.5</c:v>
                </c:pt>
                <c:pt idx="35">
                  <c:v>0.51428571428571423</c:v>
                </c:pt>
                <c:pt idx="36">
                  <c:v>0.5</c:v>
                </c:pt>
                <c:pt idx="37">
                  <c:v>0.48648648648648651</c:v>
                </c:pt>
                <c:pt idx="38">
                  <c:v>0.47368421052631576</c:v>
                </c:pt>
                <c:pt idx="39">
                  <c:v>0.48717948717948717</c:v>
                </c:pt>
                <c:pt idx="40">
                  <c:v>0.47499999999999998</c:v>
                </c:pt>
                <c:pt idx="41">
                  <c:v>0.46341463414634149</c:v>
                </c:pt>
                <c:pt idx="42">
                  <c:v>0.45238095238095238</c:v>
                </c:pt>
                <c:pt idx="43">
                  <c:v>0.44186046511627908</c:v>
                </c:pt>
                <c:pt idx="44">
                  <c:v>0.43181818181818182</c:v>
                </c:pt>
                <c:pt idx="45">
                  <c:v>0.42222222222222222</c:v>
                </c:pt>
                <c:pt idx="46">
                  <c:v>0.41304347826086957</c:v>
                </c:pt>
                <c:pt idx="47">
                  <c:v>0.40425531914893614</c:v>
                </c:pt>
                <c:pt idx="48">
                  <c:v>0.41666666666666669</c:v>
                </c:pt>
                <c:pt idx="49">
                  <c:v>0.40816326530612246</c:v>
                </c:pt>
                <c:pt idx="50">
                  <c:v>0.4</c:v>
                </c:pt>
                <c:pt idx="51">
                  <c:v>0.41176470588235292</c:v>
                </c:pt>
                <c:pt idx="52">
                  <c:v>0.42307692307692307</c:v>
                </c:pt>
                <c:pt idx="53">
                  <c:v>0.41509433962264153</c:v>
                </c:pt>
                <c:pt idx="54">
                  <c:v>0.40740740740740738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0.40350877192982454</c:v>
                </c:pt>
                <c:pt idx="58">
                  <c:v>0.41379310344827586</c:v>
                </c:pt>
                <c:pt idx="59">
                  <c:v>0.40677966101694918</c:v>
                </c:pt>
                <c:pt idx="60">
                  <c:v>0.4</c:v>
                </c:pt>
                <c:pt idx="61">
                  <c:v>0.39344262295081966</c:v>
                </c:pt>
                <c:pt idx="62">
                  <c:v>0.40322580645161288</c:v>
                </c:pt>
                <c:pt idx="63">
                  <c:v>0.41269841269841268</c:v>
                </c:pt>
                <c:pt idx="64">
                  <c:v>0.40625</c:v>
                </c:pt>
                <c:pt idx="65">
                  <c:v>0.4</c:v>
                </c:pt>
                <c:pt idx="66">
                  <c:v>0.40909090909090912</c:v>
                </c:pt>
                <c:pt idx="67">
                  <c:v>0.40298507462686567</c:v>
                </c:pt>
                <c:pt idx="68">
                  <c:v>0.39705882352941174</c:v>
                </c:pt>
                <c:pt idx="69">
                  <c:v>0.39130434782608697</c:v>
                </c:pt>
                <c:pt idx="70">
                  <c:v>0.38571428571428573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529411764705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ただ2!$F$3:$F$73</c:f>
              <c:numCache>
                <c:formatCode>0.0%</c:formatCode>
                <c:ptCount val="7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0.22222222222222221</c:v>
                </c:pt>
                <c:pt idx="28">
                  <c:v>0.21428571428571427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0.21875</c:v>
                </c:pt>
                <c:pt idx="33">
                  <c:v>0.21212121212121213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0.2</c:v>
                </c:pt>
                <c:pt idx="41">
                  <c:v>0.21951219512195122</c:v>
                </c:pt>
                <c:pt idx="42">
                  <c:v>0.23809523809523808</c:v>
                </c:pt>
                <c:pt idx="43">
                  <c:v>0.23255813953488372</c:v>
                </c:pt>
                <c:pt idx="44">
                  <c:v>0.22727272727272727</c:v>
                </c:pt>
                <c:pt idx="45">
                  <c:v>0.24444444444444444</c:v>
                </c:pt>
                <c:pt idx="46">
                  <c:v>0.2391304347826087</c:v>
                </c:pt>
                <c:pt idx="47">
                  <c:v>0.23404255319148937</c:v>
                </c:pt>
                <c:pt idx="48">
                  <c:v>0.22916666666666666</c:v>
                </c:pt>
                <c:pt idx="49">
                  <c:v>0.24489795918367346</c:v>
                </c:pt>
                <c:pt idx="50">
                  <c:v>0.24</c:v>
                </c:pt>
                <c:pt idx="51">
                  <c:v>0.23529411764705882</c:v>
                </c:pt>
                <c:pt idx="52">
                  <c:v>0.23076923076923078</c:v>
                </c:pt>
                <c:pt idx="53">
                  <c:v>0.22641509433962265</c:v>
                </c:pt>
                <c:pt idx="54">
                  <c:v>0.22222222222222221</c:v>
                </c:pt>
                <c:pt idx="55">
                  <c:v>0.21818181818181817</c:v>
                </c:pt>
                <c:pt idx="56">
                  <c:v>0.23214285714285715</c:v>
                </c:pt>
                <c:pt idx="57">
                  <c:v>0.22807017543859648</c:v>
                </c:pt>
                <c:pt idx="58">
                  <c:v>0.22413793103448276</c:v>
                </c:pt>
                <c:pt idx="59">
                  <c:v>0.22033898305084745</c:v>
                </c:pt>
                <c:pt idx="60">
                  <c:v>0.21666666666666667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0.22222222222222221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0.23529411764705882</c:v>
                </c:pt>
                <c:pt idx="69">
                  <c:v>0.2318840579710145</c:v>
                </c:pt>
                <c:pt idx="70">
                  <c:v>0.24285714285714285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ただ2!$G$3:$G$73</c:f>
              <c:numCache>
                <c:formatCode>0.0%</c:formatCode>
                <c:ptCount val="71"/>
                <c:pt idx="1">
                  <c:v>0.25</c:v>
                </c:pt>
                <c:pt idx="2">
                  <c:v>0.36842105263157893</c:v>
                </c:pt>
                <c:pt idx="3">
                  <c:v>0.37037037037037035</c:v>
                </c:pt>
                <c:pt idx="4">
                  <c:v>0.375</c:v>
                </c:pt>
                <c:pt idx="5">
                  <c:v>0.32608695652173914</c:v>
                </c:pt>
                <c:pt idx="6">
                  <c:v>0.30357142857142855</c:v>
                </c:pt>
                <c:pt idx="7">
                  <c:v>0.3125</c:v>
                </c:pt>
                <c:pt idx="8">
                  <c:v>0.31428571428571428</c:v>
                </c:pt>
                <c:pt idx="9">
                  <c:v>0.32926829268292684</c:v>
                </c:pt>
                <c:pt idx="10">
                  <c:v>0.32258064516129031</c:v>
                </c:pt>
                <c:pt idx="11">
                  <c:v>0.32323232323232326</c:v>
                </c:pt>
                <c:pt idx="12">
                  <c:v>0.31775700934579437</c:v>
                </c:pt>
                <c:pt idx="13">
                  <c:v>0.30973451327433627</c:v>
                </c:pt>
                <c:pt idx="14">
                  <c:v>0.30952380952380953</c:v>
                </c:pt>
                <c:pt idx="15">
                  <c:v>0.31617647058823528</c:v>
                </c:pt>
                <c:pt idx="16">
                  <c:v>0.32167832167832167</c:v>
                </c:pt>
                <c:pt idx="17">
                  <c:v>0.31292517006802723</c:v>
                </c:pt>
                <c:pt idx="18">
                  <c:v>0.30573248407643311</c:v>
                </c:pt>
                <c:pt idx="19">
                  <c:v>0.31288343558282211</c:v>
                </c:pt>
                <c:pt idx="20">
                  <c:v>0.31764705882352939</c:v>
                </c:pt>
                <c:pt idx="21">
                  <c:v>0.32960893854748602</c:v>
                </c:pt>
                <c:pt idx="22">
                  <c:v>0.33689839572192515</c:v>
                </c:pt>
                <c:pt idx="23">
                  <c:v>0.34183673469387754</c:v>
                </c:pt>
                <c:pt idx="24">
                  <c:v>0.34499999999999997</c:v>
                </c:pt>
                <c:pt idx="25">
                  <c:v>0.34449760765550241</c:v>
                </c:pt>
                <c:pt idx="26">
                  <c:v>0.36486486486486486</c:v>
                </c:pt>
                <c:pt idx="27">
                  <c:v>0.35807860262008734</c:v>
                </c:pt>
                <c:pt idx="28">
                  <c:v>0.35169491525423729</c:v>
                </c:pt>
                <c:pt idx="29">
                  <c:v>0.34552845528455284</c:v>
                </c:pt>
                <c:pt idx="30">
                  <c:v>0.35</c:v>
                </c:pt>
                <c:pt idx="31">
                  <c:v>0.34572490706319703</c:v>
                </c:pt>
                <c:pt idx="32">
                  <c:v>0.34275618374558303</c:v>
                </c:pt>
                <c:pt idx="33">
                  <c:v>0.34246575342465752</c:v>
                </c:pt>
                <c:pt idx="34">
                  <c:v>0.34448160535117056</c:v>
                </c:pt>
                <c:pt idx="35">
                  <c:v>0.35294117647058826</c:v>
                </c:pt>
                <c:pt idx="36">
                  <c:v>0.34615384615384615</c:v>
                </c:pt>
                <c:pt idx="37">
                  <c:v>0.34579439252336447</c:v>
                </c:pt>
                <c:pt idx="38">
                  <c:v>0.34662576687116564</c:v>
                </c:pt>
                <c:pt idx="39">
                  <c:v>0.34925373134328358</c:v>
                </c:pt>
                <c:pt idx="40">
                  <c:v>0.33913043478260868</c:v>
                </c:pt>
                <c:pt idx="41">
                  <c:v>0.3342696629213483</c:v>
                </c:pt>
                <c:pt idx="42">
                  <c:v>0.32970027247956402</c:v>
                </c:pt>
                <c:pt idx="43">
                  <c:v>0.32887700534759357</c:v>
                </c:pt>
                <c:pt idx="44">
                  <c:v>0.32808398950131235</c:v>
                </c:pt>
                <c:pt idx="45">
                  <c:v>0.32736572890025578</c:v>
                </c:pt>
                <c:pt idx="46">
                  <c:v>0.32663316582914576</c:v>
                </c:pt>
                <c:pt idx="47">
                  <c:v>0.32839506172839505</c:v>
                </c:pt>
                <c:pt idx="48">
                  <c:v>0.33574879227053139</c:v>
                </c:pt>
                <c:pt idx="49">
                  <c:v>0.33412322274881517</c:v>
                </c:pt>
                <c:pt idx="50">
                  <c:v>0.32943925233644861</c:v>
                </c:pt>
                <c:pt idx="51">
                  <c:v>0.33179723502304148</c:v>
                </c:pt>
                <c:pt idx="52">
                  <c:v>0.3355855855855856</c:v>
                </c:pt>
                <c:pt idx="53">
                  <c:v>0.33555555555555555</c:v>
                </c:pt>
                <c:pt idx="54">
                  <c:v>0.33839479392624727</c:v>
                </c:pt>
                <c:pt idx="55">
                  <c:v>0.33832976445396146</c:v>
                </c:pt>
                <c:pt idx="56">
                  <c:v>0.33540372670807456</c:v>
                </c:pt>
                <c:pt idx="57">
                  <c:v>0.33604887983706722</c:v>
                </c:pt>
                <c:pt idx="58">
                  <c:v>0.34337349397590361</c:v>
                </c:pt>
                <c:pt idx="59">
                  <c:v>0.34387351778656128</c:v>
                </c:pt>
                <c:pt idx="60">
                  <c:v>0.34689922480620156</c:v>
                </c:pt>
                <c:pt idx="61">
                  <c:v>0.34476190476190477</c:v>
                </c:pt>
                <c:pt idx="62">
                  <c:v>0.34774436090225563</c:v>
                </c:pt>
                <c:pt idx="63">
                  <c:v>0.34944237918215615</c:v>
                </c:pt>
                <c:pt idx="64">
                  <c:v>0.34615384615384615</c:v>
                </c:pt>
                <c:pt idx="65">
                  <c:v>0.34719710669077758</c:v>
                </c:pt>
                <c:pt idx="66">
                  <c:v>0.34759358288770054</c:v>
                </c:pt>
                <c:pt idx="67">
                  <c:v>0.34622144112478032</c:v>
                </c:pt>
                <c:pt idx="68">
                  <c:v>0.34488734835355284</c:v>
                </c:pt>
                <c:pt idx="69">
                  <c:v>0.34305317324185247</c:v>
                </c:pt>
                <c:pt idx="70">
                  <c:v>0.34517766497461927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699885452462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ただ2!$H$3:$H$73</c:f>
              <c:numCache>
                <c:formatCode>0.0%</c:formatCode>
                <c:ptCount val="71"/>
                <c:pt idx="1">
                  <c:v>0</c:v>
                </c:pt>
                <c:pt idx="2">
                  <c:v>5.2631578947368418E-2</c:v>
                </c:pt>
                <c:pt idx="3">
                  <c:v>0.1111111111111111</c:v>
                </c:pt>
                <c:pt idx="4">
                  <c:v>0.1</c:v>
                </c:pt>
                <c:pt idx="5">
                  <c:v>0.10869565217391304</c:v>
                </c:pt>
                <c:pt idx="6">
                  <c:v>0.10714285714285714</c:v>
                </c:pt>
                <c:pt idx="7">
                  <c:v>0.109375</c:v>
                </c:pt>
                <c:pt idx="8">
                  <c:v>0.11428571428571428</c:v>
                </c:pt>
                <c:pt idx="9">
                  <c:v>0.10975609756097561</c:v>
                </c:pt>
                <c:pt idx="10">
                  <c:v>0.11827956989247312</c:v>
                </c:pt>
                <c:pt idx="11">
                  <c:v>0.12121212121212122</c:v>
                </c:pt>
                <c:pt idx="12">
                  <c:v>0.12149532710280374</c:v>
                </c:pt>
                <c:pt idx="13">
                  <c:v>0.15044247787610621</c:v>
                </c:pt>
                <c:pt idx="14">
                  <c:v>0.15873015873015872</c:v>
                </c:pt>
                <c:pt idx="15">
                  <c:v>0.15441176470588236</c:v>
                </c:pt>
                <c:pt idx="16">
                  <c:v>0.14685314685314685</c:v>
                </c:pt>
                <c:pt idx="17">
                  <c:v>0.15646258503401361</c:v>
                </c:pt>
                <c:pt idx="18">
                  <c:v>0.15923566878980891</c:v>
                </c:pt>
                <c:pt idx="19">
                  <c:v>0.15950920245398773</c:v>
                </c:pt>
                <c:pt idx="20">
                  <c:v>0.1588235294117647</c:v>
                </c:pt>
                <c:pt idx="21">
                  <c:v>0.16201117318435754</c:v>
                </c:pt>
                <c:pt idx="22">
                  <c:v>0.15508021390374332</c:v>
                </c:pt>
                <c:pt idx="23">
                  <c:v>0.15816326530612246</c:v>
                </c:pt>
                <c:pt idx="24">
                  <c:v>0.155</c:v>
                </c:pt>
                <c:pt idx="25">
                  <c:v>0.14832535885167464</c:v>
                </c:pt>
                <c:pt idx="26">
                  <c:v>0.13963963963963963</c:v>
                </c:pt>
                <c:pt idx="27">
                  <c:v>0.14410480349344978</c:v>
                </c:pt>
                <c:pt idx="28">
                  <c:v>0.13983050847457626</c:v>
                </c:pt>
                <c:pt idx="29">
                  <c:v>0.14227642276422764</c:v>
                </c:pt>
                <c:pt idx="30">
                  <c:v>0.14615384615384616</c:v>
                </c:pt>
                <c:pt idx="31">
                  <c:v>0.1449814126394052</c:v>
                </c:pt>
                <c:pt idx="32">
                  <c:v>0.13780918727915195</c:v>
                </c:pt>
                <c:pt idx="33">
                  <c:v>0.13356164383561644</c:v>
                </c:pt>
                <c:pt idx="34">
                  <c:v>0.13043478260869565</c:v>
                </c:pt>
                <c:pt idx="35">
                  <c:v>0.12745098039215685</c:v>
                </c:pt>
                <c:pt idx="36">
                  <c:v>0.125</c:v>
                </c:pt>
                <c:pt idx="37">
                  <c:v>0.12149532710280374</c:v>
                </c:pt>
                <c:pt idx="38">
                  <c:v>0.1196319018404908</c:v>
                </c:pt>
                <c:pt idx="39">
                  <c:v>0.11940298507462686</c:v>
                </c:pt>
                <c:pt idx="40">
                  <c:v>0.12173913043478261</c:v>
                </c:pt>
                <c:pt idx="41">
                  <c:v>0.12359550561797752</c:v>
                </c:pt>
                <c:pt idx="42">
                  <c:v>0.1226158038147139</c:v>
                </c:pt>
                <c:pt idx="43">
                  <c:v>0.12032085561497326</c:v>
                </c:pt>
                <c:pt idx="44">
                  <c:v>0.11811023622047244</c:v>
                </c:pt>
                <c:pt idx="45">
                  <c:v>0.11508951406649616</c:v>
                </c:pt>
                <c:pt idx="46">
                  <c:v>0.11306532663316583</c:v>
                </c:pt>
                <c:pt idx="47">
                  <c:v>0.11604938271604938</c:v>
                </c:pt>
                <c:pt idx="48">
                  <c:v>0.11352657004830918</c:v>
                </c:pt>
                <c:pt idx="49">
                  <c:v>0.11611374407582939</c:v>
                </c:pt>
                <c:pt idx="50">
                  <c:v>0.1191588785046729</c:v>
                </c:pt>
                <c:pt idx="51">
                  <c:v>0.11751152073732719</c:v>
                </c:pt>
                <c:pt idx="52">
                  <c:v>0.11711711711711711</c:v>
                </c:pt>
                <c:pt idx="53">
                  <c:v>0.12</c:v>
                </c:pt>
                <c:pt idx="54">
                  <c:v>0.11713665943600868</c:v>
                </c:pt>
                <c:pt idx="55">
                  <c:v>0.11563169164882227</c:v>
                </c:pt>
                <c:pt idx="56">
                  <c:v>0.12215320910973085</c:v>
                </c:pt>
                <c:pt idx="57">
                  <c:v>0.12016293279022404</c:v>
                </c:pt>
                <c:pt idx="58">
                  <c:v>0.11847389558232932</c:v>
                </c:pt>
                <c:pt idx="59">
                  <c:v>0.11857707509881422</c:v>
                </c:pt>
                <c:pt idx="60">
                  <c:v>0.11627906976744186</c:v>
                </c:pt>
                <c:pt idx="61">
                  <c:v>0.1180952380952381</c:v>
                </c:pt>
                <c:pt idx="62">
                  <c:v>0.11654135338345864</c:v>
                </c:pt>
                <c:pt idx="63">
                  <c:v>0.11895910780669144</c:v>
                </c:pt>
                <c:pt idx="64">
                  <c:v>0.12087912087912088</c:v>
                </c:pt>
                <c:pt idx="65">
                  <c:v>0.12115732368896925</c:v>
                </c:pt>
                <c:pt idx="66">
                  <c:v>0.12121212121212122</c:v>
                </c:pt>
                <c:pt idx="67">
                  <c:v>0.1195079086115993</c:v>
                </c:pt>
                <c:pt idx="68">
                  <c:v>0.12131715771230503</c:v>
                </c:pt>
                <c:pt idx="69">
                  <c:v>0.1234991423670669</c:v>
                </c:pt>
                <c:pt idx="70">
                  <c:v>0.12351945854483926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802978235967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ただ2!$I$3:$I$73</c:f>
              <c:numCache>
                <c:formatCode>0</c:formatCode>
                <c:ptCount val="71"/>
                <c:pt idx="1">
                  <c:v>1800</c:v>
                </c:pt>
                <c:pt idx="2">
                  <c:v>6028.5714285714284</c:v>
                </c:pt>
                <c:pt idx="3">
                  <c:v>6210</c:v>
                </c:pt>
                <c:pt idx="4">
                  <c:v>6126.666666666667</c:v>
                </c:pt>
                <c:pt idx="5">
                  <c:v>6126.666666666667</c:v>
                </c:pt>
                <c:pt idx="6">
                  <c:v>6288.2352941176468</c:v>
                </c:pt>
                <c:pt idx="7">
                  <c:v>6405</c:v>
                </c:pt>
                <c:pt idx="8">
                  <c:v>6031.818181818182</c:v>
                </c:pt>
                <c:pt idx="9">
                  <c:v>6414.8148148148148</c:v>
                </c:pt>
                <c:pt idx="10">
                  <c:v>6493.333333333333</c:v>
                </c:pt>
                <c:pt idx="11">
                  <c:v>6315.625</c:v>
                </c:pt>
                <c:pt idx="12">
                  <c:v>6532.3529411764703</c:v>
                </c:pt>
                <c:pt idx="13">
                  <c:v>6460</c:v>
                </c:pt>
                <c:pt idx="14">
                  <c:v>6669.2307692307695</c:v>
                </c:pt>
                <c:pt idx="15">
                  <c:v>6951.1627906976746</c:v>
                </c:pt>
                <c:pt idx="16">
                  <c:v>7095.652173913043</c:v>
                </c:pt>
                <c:pt idx="17">
                  <c:v>7095.652173913043</c:v>
                </c:pt>
                <c:pt idx="18">
                  <c:v>7087.5</c:v>
                </c:pt>
                <c:pt idx="19">
                  <c:v>7294.1176470588234</c:v>
                </c:pt>
                <c:pt idx="20">
                  <c:v>7277.7777777777774</c:v>
                </c:pt>
                <c:pt idx="21">
                  <c:v>7345.7627118644068</c:v>
                </c:pt>
                <c:pt idx="22">
                  <c:v>7447.6190476190477</c:v>
                </c:pt>
                <c:pt idx="23">
                  <c:v>7525.373134328358</c:v>
                </c:pt>
                <c:pt idx="24">
                  <c:v>8171.014492753623</c:v>
                </c:pt>
                <c:pt idx="25">
                  <c:v>8055.5555555555557</c:v>
                </c:pt>
                <c:pt idx="26">
                  <c:v>7793.8271604938273</c:v>
                </c:pt>
                <c:pt idx="27">
                  <c:v>7730.4878048780483</c:v>
                </c:pt>
                <c:pt idx="28">
                  <c:v>7675.9036144578313</c:v>
                </c:pt>
                <c:pt idx="29">
                  <c:v>7843.5294117647063</c:v>
                </c:pt>
                <c:pt idx="30">
                  <c:v>7987.9120879120883</c:v>
                </c:pt>
                <c:pt idx="31">
                  <c:v>8138.7096774193551</c:v>
                </c:pt>
                <c:pt idx="32">
                  <c:v>7967.0103092783502</c:v>
                </c:pt>
                <c:pt idx="33">
                  <c:v>7924</c:v>
                </c:pt>
                <c:pt idx="34">
                  <c:v>7923.3009708737864</c:v>
                </c:pt>
                <c:pt idx="35">
                  <c:v>7805.5555555555557</c:v>
                </c:pt>
                <c:pt idx="36">
                  <c:v>7805.5555555555557</c:v>
                </c:pt>
                <c:pt idx="37">
                  <c:v>7767.5675675675675</c:v>
                </c:pt>
                <c:pt idx="38">
                  <c:v>7695.575221238938</c:v>
                </c:pt>
                <c:pt idx="39">
                  <c:v>7710.2564102564102</c:v>
                </c:pt>
                <c:pt idx="40">
                  <c:v>7710.2564102564102</c:v>
                </c:pt>
                <c:pt idx="41">
                  <c:v>7712.6050420168067</c:v>
                </c:pt>
                <c:pt idx="42">
                  <c:v>7631.4049586776855</c:v>
                </c:pt>
                <c:pt idx="43">
                  <c:v>7573.1707317073169</c:v>
                </c:pt>
                <c:pt idx="44">
                  <c:v>7534.4</c:v>
                </c:pt>
                <c:pt idx="45">
                  <c:v>7482.8125</c:v>
                </c:pt>
                <c:pt idx="46">
                  <c:v>7520.7692307692305</c:v>
                </c:pt>
                <c:pt idx="47">
                  <c:v>7401.5037593984962</c:v>
                </c:pt>
                <c:pt idx="48">
                  <c:v>7306.4748201438852</c:v>
                </c:pt>
                <c:pt idx="49">
                  <c:v>7300</c:v>
                </c:pt>
                <c:pt idx="50">
                  <c:v>7300</c:v>
                </c:pt>
                <c:pt idx="51">
                  <c:v>7267.3611111111113</c:v>
                </c:pt>
                <c:pt idx="52">
                  <c:v>7322.1476510067114</c:v>
                </c:pt>
                <c:pt idx="53">
                  <c:v>7384.1059602649011</c:v>
                </c:pt>
                <c:pt idx="54">
                  <c:v>7321.7948717948721</c:v>
                </c:pt>
                <c:pt idx="55">
                  <c:v>7292.4050632911394</c:v>
                </c:pt>
                <c:pt idx="56">
                  <c:v>7298.7654320987658</c:v>
                </c:pt>
                <c:pt idx="57">
                  <c:v>7335.151515151515</c:v>
                </c:pt>
                <c:pt idx="58">
                  <c:v>7326.3157894736842</c:v>
                </c:pt>
                <c:pt idx="59">
                  <c:v>7296.5517241379312</c:v>
                </c:pt>
                <c:pt idx="60">
                  <c:v>7253.0726256983244</c:v>
                </c:pt>
                <c:pt idx="61">
                  <c:v>7228.1767955801106</c:v>
                </c:pt>
                <c:pt idx="62">
                  <c:v>7372.9729729729734</c:v>
                </c:pt>
                <c:pt idx="63">
                  <c:v>7432.4468085106382</c:v>
                </c:pt>
                <c:pt idx="64">
                  <c:v>7403.7037037037035</c:v>
                </c:pt>
                <c:pt idx="65">
                  <c:v>7370.833333333333</c:v>
                </c:pt>
                <c:pt idx="66">
                  <c:v>7493.333333333333</c:v>
                </c:pt>
                <c:pt idx="67">
                  <c:v>7488.8324873096444</c:v>
                </c:pt>
                <c:pt idx="68">
                  <c:v>7572.86432160804</c:v>
                </c:pt>
                <c:pt idx="69">
                  <c:v>7655</c:v>
                </c:pt>
                <c:pt idx="70">
                  <c:v>7693.1372549019607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03.432137285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ただ2!$J$3:$J$73</c:f>
              <c:numCache>
                <c:formatCode>0</c:formatCode>
                <c:ptCount val="71"/>
                <c:pt idx="1">
                  <c:v>0</c:v>
                </c:pt>
                <c:pt idx="2">
                  <c:v>-12000</c:v>
                </c:pt>
                <c:pt idx="3">
                  <c:v>-8866.6666666666661</c:v>
                </c:pt>
                <c:pt idx="4">
                  <c:v>-7625</c:v>
                </c:pt>
                <c:pt idx="5">
                  <c:v>-8500</c:v>
                </c:pt>
                <c:pt idx="6">
                  <c:v>-7733.333333333333</c:v>
                </c:pt>
                <c:pt idx="7">
                  <c:v>-7371.4285714285716</c:v>
                </c:pt>
                <c:pt idx="8">
                  <c:v>-7450</c:v>
                </c:pt>
                <c:pt idx="9">
                  <c:v>-7955.5555555555557</c:v>
                </c:pt>
                <c:pt idx="10">
                  <c:v>-7327.272727272727</c:v>
                </c:pt>
                <c:pt idx="11">
                  <c:v>-7150</c:v>
                </c:pt>
                <c:pt idx="12">
                  <c:v>-7830.7692307692305</c:v>
                </c:pt>
                <c:pt idx="13">
                  <c:v>-7641.1764705882351</c:v>
                </c:pt>
                <c:pt idx="14">
                  <c:v>-6980</c:v>
                </c:pt>
                <c:pt idx="15">
                  <c:v>-6771.4285714285716</c:v>
                </c:pt>
                <c:pt idx="16">
                  <c:v>-6771.4285714285716</c:v>
                </c:pt>
                <c:pt idx="17">
                  <c:v>-7226.086956521739</c:v>
                </c:pt>
                <c:pt idx="18">
                  <c:v>-7180</c:v>
                </c:pt>
                <c:pt idx="19">
                  <c:v>-7211.5384615384619</c:v>
                </c:pt>
                <c:pt idx="20">
                  <c:v>-7051.8518518518522</c:v>
                </c:pt>
                <c:pt idx="21">
                  <c:v>-7089.6551724137935</c:v>
                </c:pt>
                <c:pt idx="22">
                  <c:v>-7089.6551724137935</c:v>
                </c:pt>
                <c:pt idx="23">
                  <c:v>-7277.4193548387093</c:v>
                </c:pt>
                <c:pt idx="24">
                  <c:v>-7277.4193548387093</c:v>
                </c:pt>
                <c:pt idx="25">
                  <c:v>-7277.4193548387093</c:v>
                </c:pt>
                <c:pt idx="26">
                  <c:v>-7277.4193548387093</c:v>
                </c:pt>
                <c:pt idx="27">
                  <c:v>-7393.939393939394</c:v>
                </c:pt>
                <c:pt idx="28">
                  <c:v>-7393.939393939394</c:v>
                </c:pt>
                <c:pt idx="29">
                  <c:v>-7828.5714285714284</c:v>
                </c:pt>
                <c:pt idx="30">
                  <c:v>-7542.105263157895</c:v>
                </c:pt>
                <c:pt idx="31">
                  <c:v>-7448.7179487179483</c:v>
                </c:pt>
                <c:pt idx="32">
                  <c:v>-7448.7179487179483</c:v>
                </c:pt>
                <c:pt idx="33">
                  <c:v>-7448.7179487179483</c:v>
                </c:pt>
                <c:pt idx="34">
                  <c:v>-7448.7179487179483</c:v>
                </c:pt>
                <c:pt idx="35">
                  <c:v>-7448.7179487179483</c:v>
                </c:pt>
                <c:pt idx="36">
                  <c:v>-7448.7179487179483</c:v>
                </c:pt>
                <c:pt idx="37">
                  <c:v>-7448.7179487179483</c:v>
                </c:pt>
                <c:pt idx="38">
                  <c:v>-7448.7179487179483</c:v>
                </c:pt>
                <c:pt idx="39">
                  <c:v>-7302.5</c:v>
                </c:pt>
                <c:pt idx="40">
                  <c:v>-7366.666666666667</c:v>
                </c:pt>
                <c:pt idx="41">
                  <c:v>-7654.545454545455</c:v>
                </c:pt>
                <c:pt idx="42">
                  <c:v>-8017.7777777777774</c:v>
                </c:pt>
                <c:pt idx="43">
                  <c:v>-8017.7777777777774</c:v>
                </c:pt>
                <c:pt idx="44">
                  <c:v>-8017.7777777777774</c:v>
                </c:pt>
                <c:pt idx="45">
                  <c:v>-8017.7777777777774</c:v>
                </c:pt>
                <c:pt idx="46">
                  <c:v>-8017.7777777777774</c:v>
                </c:pt>
                <c:pt idx="47">
                  <c:v>-7774.4680851063831</c:v>
                </c:pt>
                <c:pt idx="48">
                  <c:v>-7774.4680851063831</c:v>
                </c:pt>
                <c:pt idx="49">
                  <c:v>-7693.8775510204077</c:v>
                </c:pt>
                <c:pt idx="50">
                  <c:v>-7507.8431372549021</c:v>
                </c:pt>
                <c:pt idx="51">
                  <c:v>-7507.8431372549021</c:v>
                </c:pt>
                <c:pt idx="52">
                  <c:v>-7671.1538461538457</c:v>
                </c:pt>
                <c:pt idx="53">
                  <c:v>-7731.4814814814818</c:v>
                </c:pt>
                <c:pt idx="54">
                  <c:v>-7731.4814814814818</c:v>
                </c:pt>
                <c:pt idx="55">
                  <c:v>-7731.4814814814818</c:v>
                </c:pt>
                <c:pt idx="56">
                  <c:v>-7877.9661016949149</c:v>
                </c:pt>
                <c:pt idx="57">
                  <c:v>-7877.9661016949149</c:v>
                </c:pt>
                <c:pt idx="58">
                  <c:v>-7877.9661016949149</c:v>
                </c:pt>
                <c:pt idx="59">
                  <c:v>-7780</c:v>
                </c:pt>
                <c:pt idx="60">
                  <c:v>-7780</c:v>
                </c:pt>
                <c:pt idx="61">
                  <c:v>-7916.1290322580644</c:v>
                </c:pt>
                <c:pt idx="62">
                  <c:v>-7916.1290322580644</c:v>
                </c:pt>
                <c:pt idx="63">
                  <c:v>-7814.0625</c:v>
                </c:pt>
                <c:pt idx="64">
                  <c:v>-7636.363636363636</c:v>
                </c:pt>
                <c:pt idx="65">
                  <c:v>-7565.6716417910447</c:v>
                </c:pt>
                <c:pt idx="66">
                  <c:v>-7492.6470588235297</c:v>
                </c:pt>
                <c:pt idx="67">
                  <c:v>-7492.6470588235297</c:v>
                </c:pt>
                <c:pt idx="68">
                  <c:v>-7678.5714285714284</c:v>
                </c:pt>
                <c:pt idx="69">
                  <c:v>-7743.0555555555557</c:v>
                </c:pt>
                <c:pt idx="70">
                  <c:v>-8130.1369863013697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29.6503496503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ただ2!$K$3:$K$73</c:f>
              <c:numCache>
                <c:formatCode>0.0%</c:formatCode>
                <c:ptCount val="7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7.4999999999999997E-2</c:v>
                </c:pt>
                <c:pt idx="41">
                  <c:v>7.3170731707317069E-2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6.6666666666666666E-2</c:v>
                </c:pt>
                <c:pt idx="61">
                  <c:v>6.5573770491803282E-2</c:v>
                </c:pt>
                <c:pt idx="62">
                  <c:v>6.4516129032258063E-2</c:v>
                </c:pt>
                <c:pt idx="63">
                  <c:v>6.3492063492063489E-2</c:v>
                </c:pt>
                <c:pt idx="64">
                  <c:v>6.25E-2</c:v>
                </c:pt>
                <c:pt idx="65">
                  <c:v>6.1538461538461542E-2</c:v>
                </c:pt>
                <c:pt idx="66">
                  <c:v>6.0606060606060608E-2</c:v>
                </c:pt>
                <c:pt idx="67">
                  <c:v>5.9701492537313432E-2</c:v>
                </c:pt>
                <c:pt idx="68">
                  <c:v>5.8823529411764705E-2</c:v>
                </c:pt>
                <c:pt idx="69">
                  <c:v>5.7971014492753624E-2</c:v>
                </c:pt>
                <c:pt idx="70">
                  <c:v>5.7142857142857141E-2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431372549019608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ただ2!$L$3:$L$73</c:f>
              <c:numCache>
                <c:formatCode>0.0%</c:formatCode>
                <c:ptCount val="71"/>
                <c:pt idx="1">
                  <c:v>0</c:v>
                </c:pt>
                <c:pt idx="2">
                  <c:v>0.26315789473684209</c:v>
                </c:pt>
                <c:pt idx="3">
                  <c:v>0.25925925925925924</c:v>
                </c:pt>
                <c:pt idx="4">
                  <c:v>0.25</c:v>
                </c:pt>
                <c:pt idx="5">
                  <c:v>0.21739130434782608</c:v>
                </c:pt>
                <c:pt idx="6">
                  <c:v>0.25</c:v>
                </c:pt>
                <c:pt idx="7">
                  <c:v>0.25</c:v>
                </c:pt>
                <c:pt idx="8">
                  <c:v>0.25714285714285712</c:v>
                </c:pt>
                <c:pt idx="9">
                  <c:v>0.24390243902439024</c:v>
                </c:pt>
                <c:pt idx="10">
                  <c:v>0.22580645161290322</c:v>
                </c:pt>
                <c:pt idx="11">
                  <c:v>0.23232323232323232</c:v>
                </c:pt>
                <c:pt idx="12">
                  <c:v>0.23364485981308411</c:v>
                </c:pt>
                <c:pt idx="13">
                  <c:v>0.23008849557522124</c:v>
                </c:pt>
                <c:pt idx="14">
                  <c:v>0.23015873015873015</c:v>
                </c:pt>
                <c:pt idx="15">
                  <c:v>0.22058823529411764</c:v>
                </c:pt>
                <c:pt idx="16">
                  <c:v>0.21678321678321677</c:v>
                </c:pt>
                <c:pt idx="17">
                  <c:v>0.21768707482993196</c:v>
                </c:pt>
                <c:pt idx="18">
                  <c:v>0.22292993630573249</c:v>
                </c:pt>
                <c:pt idx="19">
                  <c:v>0.23312883435582821</c:v>
                </c:pt>
                <c:pt idx="20">
                  <c:v>0.23529411764705882</c:v>
                </c:pt>
                <c:pt idx="21">
                  <c:v>0.22905027932960895</c:v>
                </c:pt>
                <c:pt idx="22">
                  <c:v>0.22459893048128343</c:v>
                </c:pt>
                <c:pt idx="23">
                  <c:v>0.22448979591836735</c:v>
                </c:pt>
                <c:pt idx="24">
                  <c:v>0.23</c:v>
                </c:pt>
                <c:pt idx="25">
                  <c:v>0.22488038277511962</c:v>
                </c:pt>
                <c:pt idx="26">
                  <c:v>0.22072072072072071</c:v>
                </c:pt>
                <c:pt idx="27">
                  <c:v>0.22270742358078602</c:v>
                </c:pt>
                <c:pt idx="28">
                  <c:v>0.22033898305084745</c:v>
                </c:pt>
                <c:pt idx="29">
                  <c:v>0.22357723577235772</c:v>
                </c:pt>
                <c:pt idx="30">
                  <c:v>0.23076923076923078</c:v>
                </c:pt>
                <c:pt idx="31">
                  <c:v>0.23048327137546468</c:v>
                </c:pt>
                <c:pt idx="32">
                  <c:v>0.22261484098939929</c:v>
                </c:pt>
                <c:pt idx="33">
                  <c:v>0.22602739726027396</c:v>
                </c:pt>
                <c:pt idx="34">
                  <c:v>0.22408026755852842</c:v>
                </c:pt>
                <c:pt idx="35">
                  <c:v>0.21895424836601307</c:v>
                </c:pt>
                <c:pt idx="36">
                  <c:v>0.21474358974358973</c:v>
                </c:pt>
                <c:pt idx="37">
                  <c:v>0.2087227414330218</c:v>
                </c:pt>
                <c:pt idx="38">
                  <c:v>0.20858895705521471</c:v>
                </c:pt>
                <c:pt idx="39">
                  <c:v>0.20895522388059701</c:v>
                </c:pt>
                <c:pt idx="40">
                  <c:v>0.20869565217391303</c:v>
                </c:pt>
                <c:pt idx="41">
                  <c:v>0.2050561797752809</c:v>
                </c:pt>
                <c:pt idx="42">
                  <c:v>0.20708446866485014</c:v>
                </c:pt>
                <c:pt idx="43">
                  <c:v>0.20320855614973263</c:v>
                </c:pt>
                <c:pt idx="44">
                  <c:v>0.20209973753280841</c:v>
                </c:pt>
                <c:pt idx="45">
                  <c:v>0.20204603580562661</c:v>
                </c:pt>
                <c:pt idx="46">
                  <c:v>0.20351758793969849</c:v>
                </c:pt>
                <c:pt idx="47">
                  <c:v>0.20246913580246914</c:v>
                </c:pt>
                <c:pt idx="48">
                  <c:v>0.20289855072463769</c:v>
                </c:pt>
                <c:pt idx="49">
                  <c:v>0.2014218009478673</c:v>
                </c:pt>
                <c:pt idx="50">
                  <c:v>0.19859813084112149</c:v>
                </c:pt>
                <c:pt idx="51">
                  <c:v>0.20046082949308755</c:v>
                </c:pt>
                <c:pt idx="52">
                  <c:v>0.20045045045045046</c:v>
                </c:pt>
                <c:pt idx="53">
                  <c:v>0.19777777777777777</c:v>
                </c:pt>
                <c:pt idx="54">
                  <c:v>0.19956616052060738</c:v>
                </c:pt>
                <c:pt idx="55">
                  <c:v>0.19914346895074947</c:v>
                </c:pt>
                <c:pt idx="56">
                  <c:v>0.20082815734989648</c:v>
                </c:pt>
                <c:pt idx="57">
                  <c:v>0.19755600814663951</c:v>
                </c:pt>
                <c:pt idx="58">
                  <c:v>0.20281124497991967</c:v>
                </c:pt>
                <c:pt idx="59">
                  <c:v>0.2075098814229249</c:v>
                </c:pt>
                <c:pt idx="60">
                  <c:v>0.21124031007751937</c:v>
                </c:pt>
                <c:pt idx="61">
                  <c:v>0.20952380952380953</c:v>
                </c:pt>
                <c:pt idx="62">
                  <c:v>0.21052631578947367</c:v>
                </c:pt>
                <c:pt idx="63">
                  <c:v>0.21189591078066913</c:v>
                </c:pt>
                <c:pt idx="64">
                  <c:v>0.21428571428571427</c:v>
                </c:pt>
                <c:pt idx="65">
                  <c:v>0.21518987341772153</c:v>
                </c:pt>
                <c:pt idx="66">
                  <c:v>0.21925133689839571</c:v>
                </c:pt>
                <c:pt idx="67">
                  <c:v>0.21616871704745166</c:v>
                </c:pt>
                <c:pt idx="68">
                  <c:v>0.21317157712305027</c:v>
                </c:pt>
                <c:pt idx="69">
                  <c:v>0.21269296740994853</c:v>
                </c:pt>
                <c:pt idx="70">
                  <c:v>0.21319796954314721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422680412371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ただ2!$M$3:$M$73</c:f>
              <c:numCache>
                <c:formatCode>0.0%</c:formatCode>
                <c:ptCount val="71"/>
                <c:pt idx="1">
                  <c:v>0.25</c:v>
                </c:pt>
                <c:pt idx="2">
                  <c:v>0.15789473684210525</c:v>
                </c:pt>
                <c:pt idx="3">
                  <c:v>0.14814814814814814</c:v>
                </c:pt>
                <c:pt idx="4">
                  <c:v>0.17499999999999999</c:v>
                </c:pt>
                <c:pt idx="5">
                  <c:v>0.17391304347826086</c:v>
                </c:pt>
                <c:pt idx="6">
                  <c:v>0.21428571428571427</c:v>
                </c:pt>
                <c:pt idx="7">
                  <c:v>0.203125</c:v>
                </c:pt>
                <c:pt idx="8">
                  <c:v>0.2</c:v>
                </c:pt>
                <c:pt idx="9">
                  <c:v>0.1951219512195122</c:v>
                </c:pt>
                <c:pt idx="10">
                  <c:v>0.21505376344086022</c:v>
                </c:pt>
                <c:pt idx="11">
                  <c:v>0.21212121212121213</c:v>
                </c:pt>
                <c:pt idx="12">
                  <c:v>0.21495327102803738</c:v>
                </c:pt>
                <c:pt idx="13">
                  <c:v>0.24778761061946902</c:v>
                </c:pt>
                <c:pt idx="14">
                  <c:v>0.24603174603174602</c:v>
                </c:pt>
                <c:pt idx="15">
                  <c:v>0.26470588235294118</c:v>
                </c:pt>
                <c:pt idx="16">
                  <c:v>0.28671328671328672</c:v>
                </c:pt>
                <c:pt idx="17">
                  <c:v>0.2857142857142857</c:v>
                </c:pt>
                <c:pt idx="18">
                  <c:v>0.27388535031847133</c:v>
                </c:pt>
                <c:pt idx="19">
                  <c:v>0.26993865030674846</c:v>
                </c:pt>
                <c:pt idx="20">
                  <c:v>0.26470588235294118</c:v>
                </c:pt>
                <c:pt idx="21">
                  <c:v>0.26256983240223464</c:v>
                </c:pt>
                <c:pt idx="22">
                  <c:v>0.26203208556149732</c:v>
                </c:pt>
                <c:pt idx="23">
                  <c:v>0.25510204081632654</c:v>
                </c:pt>
                <c:pt idx="24">
                  <c:v>0.25</c:v>
                </c:pt>
                <c:pt idx="25">
                  <c:v>0.25358851674641147</c:v>
                </c:pt>
                <c:pt idx="26">
                  <c:v>0.26126126126126126</c:v>
                </c:pt>
                <c:pt idx="27">
                  <c:v>0.25327510917030566</c:v>
                </c:pt>
                <c:pt idx="28">
                  <c:v>0.24576271186440679</c:v>
                </c:pt>
                <c:pt idx="29">
                  <c:v>0.24390243902439024</c:v>
                </c:pt>
                <c:pt idx="30">
                  <c:v>0.24230769230769231</c:v>
                </c:pt>
                <c:pt idx="31">
                  <c:v>0.24163568773234201</c:v>
                </c:pt>
                <c:pt idx="32">
                  <c:v>0.25088339222614842</c:v>
                </c:pt>
                <c:pt idx="33">
                  <c:v>0.26027397260273971</c:v>
                </c:pt>
                <c:pt idx="34">
                  <c:v>0.2608695652173913</c:v>
                </c:pt>
                <c:pt idx="35">
                  <c:v>0.2581699346405229</c:v>
                </c:pt>
                <c:pt idx="36">
                  <c:v>0.25641025641025639</c:v>
                </c:pt>
                <c:pt idx="37">
                  <c:v>0.2554517133956386</c:v>
                </c:pt>
                <c:pt idx="38">
                  <c:v>0.25153374233128833</c:v>
                </c:pt>
                <c:pt idx="39">
                  <c:v>0.24776119402985075</c:v>
                </c:pt>
                <c:pt idx="40">
                  <c:v>0.25507246376811593</c:v>
                </c:pt>
                <c:pt idx="41">
                  <c:v>0.2640449438202247</c:v>
                </c:pt>
                <c:pt idx="42">
                  <c:v>0.25885558583106266</c:v>
                </c:pt>
                <c:pt idx="43">
                  <c:v>0.26737967914438504</c:v>
                </c:pt>
                <c:pt idx="44">
                  <c:v>0.27296587926509186</c:v>
                </c:pt>
                <c:pt idx="45">
                  <c:v>0.26854219948849106</c:v>
                </c:pt>
                <c:pt idx="46">
                  <c:v>0.26884422110552764</c:v>
                </c:pt>
                <c:pt idx="47">
                  <c:v>0.26913580246913582</c:v>
                </c:pt>
                <c:pt idx="48">
                  <c:v>0.27294685990338163</c:v>
                </c:pt>
                <c:pt idx="49">
                  <c:v>0.27488151658767773</c:v>
                </c:pt>
                <c:pt idx="50">
                  <c:v>0.2780373831775701</c:v>
                </c:pt>
                <c:pt idx="51">
                  <c:v>0.27419354838709675</c:v>
                </c:pt>
                <c:pt idx="52">
                  <c:v>0.2747747747747748</c:v>
                </c:pt>
                <c:pt idx="53">
                  <c:v>0.27555555555555555</c:v>
                </c:pt>
                <c:pt idx="54">
                  <c:v>0.27765726681127983</c:v>
                </c:pt>
                <c:pt idx="55">
                  <c:v>0.27837259100642398</c:v>
                </c:pt>
                <c:pt idx="56">
                  <c:v>0.2691511387163561</c:v>
                </c:pt>
                <c:pt idx="57">
                  <c:v>0.2708757637474542</c:v>
                </c:pt>
                <c:pt idx="58">
                  <c:v>0.27108433734939757</c:v>
                </c:pt>
                <c:pt idx="59">
                  <c:v>0.27075098814229248</c:v>
                </c:pt>
                <c:pt idx="60">
                  <c:v>0.27131782945736432</c:v>
                </c:pt>
                <c:pt idx="61">
                  <c:v>0.27238095238095239</c:v>
                </c:pt>
                <c:pt idx="62">
                  <c:v>0.27255639097744361</c:v>
                </c:pt>
                <c:pt idx="63">
                  <c:v>0.27137546468401486</c:v>
                </c:pt>
                <c:pt idx="64">
                  <c:v>0.27472527472527475</c:v>
                </c:pt>
                <c:pt idx="65">
                  <c:v>0.27305605786618448</c:v>
                </c:pt>
                <c:pt idx="66">
                  <c:v>0.27094474153297682</c:v>
                </c:pt>
                <c:pt idx="67">
                  <c:v>0.27592267135325133</c:v>
                </c:pt>
                <c:pt idx="68">
                  <c:v>0.27902946273830154</c:v>
                </c:pt>
                <c:pt idx="69">
                  <c:v>0.27787307032590053</c:v>
                </c:pt>
                <c:pt idx="70">
                  <c:v>0.27749576988155666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0618556701030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ただ2!$N$3:$N$73</c:f>
              <c:numCache>
                <c:formatCode>0.0%</c:formatCode>
                <c:ptCount val="71"/>
                <c:pt idx="1">
                  <c:v>0</c:v>
                </c:pt>
                <c:pt idx="2">
                  <c:v>0.6</c:v>
                </c:pt>
                <c:pt idx="3">
                  <c:v>0.7142857142857143</c:v>
                </c:pt>
                <c:pt idx="4">
                  <c:v>0.8</c:v>
                </c:pt>
                <c:pt idx="5">
                  <c:v>0.8</c:v>
                </c:pt>
                <c:pt idx="6">
                  <c:v>0.6428571428571429</c:v>
                </c:pt>
                <c:pt idx="7">
                  <c:v>0.625</c:v>
                </c:pt>
                <c:pt idx="8">
                  <c:v>0.61111111111111116</c:v>
                </c:pt>
                <c:pt idx="9">
                  <c:v>0.6</c:v>
                </c:pt>
                <c:pt idx="10">
                  <c:v>0.5714285714285714</c:v>
                </c:pt>
                <c:pt idx="11">
                  <c:v>0.56521739130434778</c:v>
                </c:pt>
                <c:pt idx="12">
                  <c:v>0.52</c:v>
                </c:pt>
                <c:pt idx="13">
                  <c:v>0.5</c:v>
                </c:pt>
                <c:pt idx="14">
                  <c:v>0.48275862068965519</c:v>
                </c:pt>
                <c:pt idx="15">
                  <c:v>0.5</c:v>
                </c:pt>
                <c:pt idx="16">
                  <c:v>0.4838709677419355</c:v>
                </c:pt>
                <c:pt idx="17">
                  <c:v>0.46875</c:v>
                </c:pt>
                <c:pt idx="18">
                  <c:v>0.42857142857142855</c:v>
                </c:pt>
                <c:pt idx="19">
                  <c:v>0.47368421052631576</c:v>
                </c:pt>
                <c:pt idx="20">
                  <c:v>0.47499999999999998</c:v>
                </c:pt>
                <c:pt idx="21">
                  <c:v>0.48780487804878048</c:v>
                </c:pt>
                <c:pt idx="22">
                  <c:v>0.5</c:v>
                </c:pt>
                <c:pt idx="23">
                  <c:v>0.52272727272727271</c:v>
                </c:pt>
                <c:pt idx="24">
                  <c:v>0.52173913043478259</c:v>
                </c:pt>
                <c:pt idx="25">
                  <c:v>0.53191489361702127</c:v>
                </c:pt>
                <c:pt idx="26">
                  <c:v>0.53061224489795922</c:v>
                </c:pt>
                <c:pt idx="27">
                  <c:v>0.50980392156862742</c:v>
                </c:pt>
                <c:pt idx="28">
                  <c:v>0.5</c:v>
                </c:pt>
                <c:pt idx="29">
                  <c:v>0.50909090909090904</c:v>
                </c:pt>
                <c:pt idx="30">
                  <c:v>0.51666666666666672</c:v>
                </c:pt>
                <c:pt idx="31">
                  <c:v>0.5161290322580645</c:v>
                </c:pt>
                <c:pt idx="32">
                  <c:v>0.52380952380952384</c:v>
                </c:pt>
                <c:pt idx="33">
                  <c:v>0.51515151515151514</c:v>
                </c:pt>
                <c:pt idx="34">
                  <c:v>0.52238805970149249</c:v>
                </c:pt>
                <c:pt idx="35">
                  <c:v>0.52238805970149249</c:v>
                </c:pt>
                <c:pt idx="36">
                  <c:v>0.52238805970149249</c:v>
                </c:pt>
                <c:pt idx="37">
                  <c:v>0.52238805970149249</c:v>
                </c:pt>
                <c:pt idx="38">
                  <c:v>0.52941176470588236</c:v>
                </c:pt>
                <c:pt idx="39">
                  <c:v>0.54285714285714282</c:v>
                </c:pt>
                <c:pt idx="40">
                  <c:v>0.52777777777777779</c:v>
                </c:pt>
                <c:pt idx="41">
                  <c:v>0.53424657534246578</c:v>
                </c:pt>
                <c:pt idx="42">
                  <c:v>0.52631578947368418</c:v>
                </c:pt>
                <c:pt idx="43">
                  <c:v>0.52631578947368418</c:v>
                </c:pt>
                <c:pt idx="44">
                  <c:v>0.53246753246753242</c:v>
                </c:pt>
                <c:pt idx="45">
                  <c:v>0.54430379746835444</c:v>
                </c:pt>
                <c:pt idx="46">
                  <c:v>0.53086419753086422</c:v>
                </c:pt>
                <c:pt idx="47">
                  <c:v>0.52439024390243905</c:v>
                </c:pt>
                <c:pt idx="48">
                  <c:v>0.52380952380952384</c:v>
                </c:pt>
                <c:pt idx="49">
                  <c:v>0.52941176470588236</c:v>
                </c:pt>
                <c:pt idx="50">
                  <c:v>0.52941176470588236</c:v>
                </c:pt>
                <c:pt idx="51">
                  <c:v>0.54022988505747127</c:v>
                </c:pt>
                <c:pt idx="52">
                  <c:v>0.550561797752809</c:v>
                </c:pt>
                <c:pt idx="53">
                  <c:v>0.550561797752809</c:v>
                </c:pt>
                <c:pt idx="54">
                  <c:v>0.54347826086956519</c:v>
                </c:pt>
                <c:pt idx="55">
                  <c:v>0.5376344086021505</c:v>
                </c:pt>
                <c:pt idx="56">
                  <c:v>0.53608247422680411</c:v>
                </c:pt>
                <c:pt idx="57">
                  <c:v>0.53608247422680411</c:v>
                </c:pt>
                <c:pt idx="58">
                  <c:v>0.5544554455445545</c:v>
                </c:pt>
                <c:pt idx="59">
                  <c:v>0.55238095238095242</c:v>
                </c:pt>
                <c:pt idx="60">
                  <c:v>0.55963302752293576</c:v>
                </c:pt>
                <c:pt idx="61">
                  <c:v>0.5636363636363636</c:v>
                </c:pt>
                <c:pt idx="62">
                  <c:v>0.5625</c:v>
                </c:pt>
                <c:pt idx="63">
                  <c:v>0.56140350877192979</c:v>
                </c:pt>
                <c:pt idx="64">
                  <c:v>0.54700854700854706</c:v>
                </c:pt>
                <c:pt idx="65">
                  <c:v>0.54621848739495793</c:v>
                </c:pt>
                <c:pt idx="66">
                  <c:v>0.55284552845528456</c:v>
                </c:pt>
                <c:pt idx="67">
                  <c:v>0.55284552845528456</c:v>
                </c:pt>
                <c:pt idx="68">
                  <c:v>0.55284552845528456</c:v>
                </c:pt>
                <c:pt idx="69">
                  <c:v>0.55645161290322576</c:v>
                </c:pt>
                <c:pt idx="70">
                  <c:v>0.56349206349206349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32407407407407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ただ2!$O$3:$O$73</c:f>
              <c:numCache>
                <c:formatCode>0.0%</c:formatCode>
                <c:ptCount val="71"/>
                <c:pt idx="1">
                  <c:v>0.5</c:v>
                </c:pt>
                <c:pt idx="2">
                  <c:v>0.66666666666666663</c:v>
                </c:pt>
                <c:pt idx="3">
                  <c:v>0.75</c:v>
                </c:pt>
                <c:pt idx="4">
                  <c:v>0.5714285714285714</c:v>
                </c:pt>
                <c:pt idx="5">
                  <c:v>0.5</c:v>
                </c:pt>
                <c:pt idx="6">
                  <c:v>0.41666666666666669</c:v>
                </c:pt>
                <c:pt idx="7">
                  <c:v>0.46153846153846156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0.47619047619047616</c:v>
                </c:pt>
                <c:pt idx="12">
                  <c:v>0.43478260869565216</c:v>
                </c:pt>
                <c:pt idx="13">
                  <c:v>0.39285714285714285</c:v>
                </c:pt>
                <c:pt idx="14">
                  <c:v>0.41935483870967744</c:v>
                </c:pt>
                <c:pt idx="15">
                  <c:v>0.41666666666666669</c:v>
                </c:pt>
                <c:pt idx="16">
                  <c:v>0.43902439024390244</c:v>
                </c:pt>
                <c:pt idx="17">
                  <c:v>0.42857142857142855</c:v>
                </c:pt>
                <c:pt idx="18">
                  <c:v>0.44186046511627908</c:v>
                </c:pt>
                <c:pt idx="19">
                  <c:v>0.43181818181818182</c:v>
                </c:pt>
                <c:pt idx="20">
                  <c:v>0.44444444444444442</c:v>
                </c:pt>
                <c:pt idx="21">
                  <c:v>0.44680851063829785</c:v>
                </c:pt>
                <c:pt idx="22">
                  <c:v>0.46938775510204084</c:v>
                </c:pt>
                <c:pt idx="23">
                  <c:v>0.48</c:v>
                </c:pt>
                <c:pt idx="24">
                  <c:v>0.48</c:v>
                </c:pt>
                <c:pt idx="25">
                  <c:v>0.49056603773584906</c:v>
                </c:pt>
                <c:pt idx="26">
                  <c:v>0.51724137931034486</c:v>
                </c:pt>
                <c:pt idx="27">
                  <c:v>0.51724137931034486</c:v>
                </c:pt>
                <c:pt idx="28">
                  <c:v>0.51724137931034486</c:v>
                </c:pt>
                <c:pt idx="29">
                  <c:v>0.5</c:v>
                </c:pt>
                <c:pt idx="30">
                  <c:v>0.49206349206349204</c:v>
                </c:pt>
                <c:pt idx="31">
                  <c:v>0.49230769230769234</c:v>
                </c:pt>
                <c:pt idx="32">
                  <c:v>0.49295774647887325</c:v>
                </c:pt>
                <c:pt idx="33">
                  <c:v>0.47368421052631576</c:v>
                </c:pt>
                <c:pt idx="34">
                  <c:v>0.47435897435897434</c:v>
                </c:pt>
                <c:pt idx="35">
                  <c:v>0.48101265822784811</c:v>
                </c:pt>
                <c:pt idx="36">
                  <c:v>0.47499999999999998</c:v>
                </c:pt>
                <c:pt idx="37">
                  <c:v>0.47560975609756095</c:v>
                </c:pt>
                <c:pt idx="38">
                  <c:v>0.47560975609756095</c:v>
                </c:pt>
                <c:pt idx="39">
                  <c:v>0.48192771084337349</c:v>
                </c:pt>
                <c:pt idx="40">
                  <c:v>0.45454545454545453</c:v>
                </c:pt>
                <c:pt idx="41">
                  <c:v>0.43617021276595747</c:v>
                </c:pt>
                <c:pt idx="42">
                  <c:v>0.43157894736842106</c:v>
                </c:pt>
                <c:pt idx="43">
                  <c:v>0.42</c:v>
                </c:pt>
                <c:pt idx="44">
                  <c:v>0.41346153846153844</c:v>
                </c:pt>
                <c:pt idx="45">
                  <c:v>0.40952380952380951</c:v>
                </c:pt>
                <c:pt idx="46">
                  <c:v>0.41121495327102803</c:v>
                </c:pt>
                <c:pt idx="47">
                  <c:v>0.40366972477064222</c:v>
                </c:pt>
                <c:pt idx="48">
                  <c:v>0.41592920353982299</c:v>
                </c:pt>
                <c:pt idx="49">
                  <c:v>0.41379310344827586</c:v>
                </c:pt>
                <c:pt idx="50">
                  <c:v>0.40336134453781514</c:v>
                </c:pt>
                <c:pt idx="51">
                  <c:v>0.40336134453781514</c:v>
                </c:pt>
                <c:pt idx="52">
                  <c:v>0.40163934426229508</c:v>
                </c:pt>
                <c:pt idx="53">
                  <c:v>0.40322580645161288</c:v>
                </c:pt>
                <c:pt idx="54">
                  <c:v>0.421875</c:v>
                </c:pt>
                <c:pt idx="55">
                  <c:v>0.43076923076923079</c:v>
                </c:pt>
                <c:pt idx="56">
                  <c:v>0.43076923076923079</c:v>
                </c:pt>
                <c:pt idx="57">
                  <c:v>0.43609022556390975</c:v>
                </c:pt>
                <c:pt idx="58">
                  <c:v>0.44444444444444442</c:v>
                </c:pt>
                <c:pt idx="59">
                  <c:v>0.44525547445255476</c:v>
                </c:pt>
                <c:pt idx="60">
                  <c:v>0.45</c:v>
                </c:pt>
                <c:pt idx="61">
                  <c:v>0.44755244755244755</c:v>
                </c:pt>
                <c:pt idx="62">
                  <c:v>0.44827586206896552</c:v>
                </c:pt>
                <c:pt idx="63">
                  <c:v>0.4452054794520548</c:v>
                </c:pt>
                <c:pt idx="64">
                  <c:v>0.44</c:v>
                </c:pt>
                <c:pt idx="65">
                  <c:v>0.4370860927152318</c:v>
                </c:pt>
                <c:pt idx="66">
                  <c:v>0.43421052631578949</c:v>
                </c:pt>
                <c:pt idx="67">
                  <c:v>0.43312101910828027</c:v>
                </c:pt>
                <c:pt idx="68">
                  <c:v>0.42857142857142855</c:v>
                </c:pt>
                <c:pt idx="69">
                  <c:v>0.42592592592592593</c:v>
                </c:pt>
                <c:pt idx="70">
                  <c:v>0.42682926829268292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830737279335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ただ2!$A$3:$A$73</c:f>
              <c:numCache>
                <c:formatCode>0\ "回"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ただ2!$P$3:$P$73</c:f>
              <c:numCache>
                <c:formatCode>0.0%</c:formatCode>
                <c:ptCount val="71"/>
                <c:pt idx="1">
                  <c:v>0</c:v>
                </c:pt>
                <c:pt idx="2">
                  <c:v>0.42857142857142855</c:v>
                </c:pt>
                <c:pt idx="3">
                  <c:v>0.5</c:v>
                </c:pt>
                <c:pt idx="4">
                  <c:v>0.4</c:v>
                </c:pt>
                <c:pt idx="5">
                  <c:v>0.4</c:v>
                </c:pt>
                <c:pt idx="6">
                  <c:v>0.41176470588235292</c:v>
                </c:pt>
                <c:pt idx="7">
                  <c:v>0.35</c:v>
                </c:pt>
                <c:pt idx="8">
                  <c:v>0.31818181818181818</c:v>
                </c:pt>
                <c:pt idx="9">
                  <c:v>0.40740740740740738</c:v>
                </c:pt>
                <c:pt idx="10">
                  <c:v>0.4</c:v>
                </c:pt>
                <c:pt idx="11">
                  <c:v>0.40625</c:v>
                </c:pt>
                <c:pt idx="12">
                  <c:v>0.41176470588235292</c:v>
                </c:pt>
                <c:pt idx="13">
                  <c:v>0.42857142857142855</c:v>
                </c:pt>
                <c:pt idx="14">
                  <c:v>0.41025641025641024</c:v>
                </c:pt>
                <c:pt idx="15">
                  <c:v>0.39534883720930231</c:v>
                </c:pt>
                <c:pt idx="16">
                  <c:v>0.39130434782608697</c:v>
                </c:pt>
                <c:pt idx="17">
                  <c:v>0.39130434782608697</c:v>
                </c:pt>
                <c:pt idx="18">
                  <c:v>0.39583333333333331</c:v>
                </c:pt>
                <c:pt idx="19">
                  <c:v>0.39215686274509803</c:v>
                </c:pt>
                <c:pt idx="20">
                  <c:v>0.37037037037037035</c:v>
                </c:pt>
                <c:pt idx="21">
                  <c:v>0.3559322033898305</c:v>
                </c:pt>
                <c:pt idx="22">
                  <c:v>0.36507936507936506</c:v>
                </c:pt>
                <c:pt idx="23">
                  <c:v>0.37313432835820898</c:v>
                </c:pt>
                <c:pt idx="24">
                  <c:v>0.39130434782608697</c:v>
                </c:pt>
                <c:pt idx="25">
                  <c:v>0.41666666666666669</c:v>
                </c:pt>
                <c:pt idx="26">
                  <c:v>0.44444444444444442</c:v>
                </c:pt>
                <c:pt idx="27">
                  <c:v>0.43902439024390244</c:v>
                </c:pt>
                <c:pt idx="28">
                  <c:v>0.43373493975903615</c:v>
                </c:pt>
                <c:pt idx="29">
                  <c:v>0.44705882352941179</c:v>
                </c:pt>
                <c:pt idx="30">
                  <c:v>0.4175824175824176</c:v>
                </c:pt>
                <c:pt idx="31">
                  <c:v>0.41935483870967744</c:v>
                </c:pt>
                <c:pt idx="32">
                  <c:v>0.41237113402061853</c:v>
                </c:pt>
                <c:pt idx="33">
                  <c:v>0.4</c:v>
                </c:pt>
                <c:pt idx="34">
                  <c:v>0.40776699029126212</c:v>
                </c:pt>
                <c:pt idx="35">
                  <c:v>0.41666666666666669</c:v>
                </c:pt>
                <c:pt idx="36">
                  <c:v>0.41666666666666669</c:v>
                </c:pt>
                <c:pt idx="37">
                  <c:v>0.4144144144144144</c:v>
                </c:pt>
                <c:pt idx="38">
                  <c:v>0.41592920353982299</c:v>
                </c:pt>
                <c:pt idx="39">
                  <c:v>0.40170940170940173</c:v>
                </c:pt>
                <c:pt idx="40">
                  <c:v>0.40170940170940173</c:v>
                </c:pt>
                <c:pt idx="41">
                  <c:v>0.40336134453781514</c:v>
                </c:pt>
                <c:pt idx="42">
                  <c:v>0.4049586776859504</c:v>
                </c:pt>
                <c:pt idx="43">
                  <c:v>0.41463414634146339</c:v>
                </c:pt>
                <c:pt idx="44">
                  <c:v>0.41599999999999998</c:v>
                </c:pt>
                <c:pt idx="45">
                  <c:v>0.40625</c:v>
                </c:pt>
                <c:pt idx="46">
                  <c:v>0.40769230769230769</c:v>
                </c:pt>
                <c:pt idx="47">
                  <c:v>0.40601503759398494</c:v>
                </c:pt>
                <c:pt idx="48">
                  <c:v>0.39568345323741005</c:v>
                </c:pt>
                <c:pt idx="49">
                  <c:v>0.3971631205673759</c:v>
                </c:pt>
                <c:pt idx="50">
                  <c:v>0.3971631205673759</c:v>
                </c:pt>
                <c:pt idx="51">
                  <c:v>0.40277777777777779</c:v>
                </c:pt>
                <c:pt idx="52">
                  <c:v>0.40939597315436244</c:v>
                </c:pt>
                <c:pt idx="53">
                  <c:v>0.40397350993377484</c:v>
                </c:pt>
                <c:pt idx="54">
                  <c:v>0.40384615384615385</c:v>
                </c:pt>
                <c:pt idx="55">
                  <c:v>0.39873417721518989</c:v>
                </c:pt>
                <c:pt idx="56">
                  <c:v>0.39506172839506171</c:v>
                </c:pt>
                <c:pt idx="57">
                  <c:v>0.4</c:v>
                </c:pt>
                <c:pt idx="58">
                  <c:v>0.391812865497076</c:v>
                </c:pt>
                <c:pt idx="59">
                  <c:v>0.39655172413793105</c:v>
                </c:pt>
                <c:pt idx="60">
                  <c:v>0.4022346368715084</c:v>
                </c:pt>
                <c:pt idx="61">
                  <c:v>0.39779005524861877</c:v>
                </c:pt>
                <c:pt idx="62">
                  <c:v>0.38918918918918921</c:v>
                </c:pt>
                <c:pt idx="63">
                  <c:v>0.39361702127659576</c:v>
                </c:pt>
                <c:pt idx="64">
                  <c:v>0.39153439153439151</c:v>
                </c:pt>
                <c:pt idx="65">
                  <c:v>0.390625</c:v>
                </c:pt>
                <c:pt idx="66">
                  <c:v>0.39487179487179486</c:v>
                </c:pt>
                <c:pt idx="67">
                  <c:v>0.39593908629441626</c:v>
                </c:pt>
                <c:pt idx="68">
                  <c:v>0.39195979899497485</c:v>
                </c:pt>
                <c:pt idx="69">
                  <c:v>0.39</c:v>
                </c:pt>
                <c:pt idx="70">
                  <c:v>0.39215686274509803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6037441497659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61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225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226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227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228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229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230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231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232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233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234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235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236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237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238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239</v>
      </c>
    </row>
    <row r="27" spans="1:9" x14ac:dyDescent="0.4">
      <c r="A27" s="2" t="s">
        <v>240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241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242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243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239</v>
      </c>
      <c r="H30" s="2" t="s">
        <v>245</v>
      </c>
      <c r="I30" s="2" t="s">
        <v>244</v>
      </c>
    </row>
    <row r="31" spans="1:9" x14ac:dyDescent="0.4">
      <c r="A31" s="2" t="s">
        <v>246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247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248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239</v>
      </c>
    </row>
    <row r="34" spans="1:7" x14ac:dyDescent="0.4">
      <c r="A34" s="2" t="s">
        <v>249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250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251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252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253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254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255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256</v>
      </c>
      <c r="B41" s="3">
        <v>44162.759282407409</v>
      </c>
      <c r="C41" s="2" t="s">
        <v>127</v>
      </c>
      <c r="D41" s="2" t="s">
        <v>188</v>
      </c>
      <c r="E41" s="2" t="s">
        <v>191</v>
      </c>
    </row>
    <row r="42" spans="1:7" x14ac:dyDescent="0.4">
      <c r="A42" s="2" t="s">
        <v>257</v>
      </c>
      <c r="B42" s="3">
        <v>44165.013425925928</v>
      </c>
      <c r="C42" s="2" t="s">
        <v>127</v>
      </c>
      <c r="D42" s="2" t="s">
        <v>188</v>
      </c>
    </row>
    <row r="43" spans="1:7" x14ac:dyDescent="0.4">
      <c r="A43" s="2" t="s">
        <v>258</v>
      </c>
      <c r="B43" s="3">
        <v>44165.980567129627</v>
      </c>
      <c r="C43" s="2" t="s">
        <v>127</v>
      </c>
      <c r="D43" s="2" t="s">
        <v>188</v>
      </c>
      <c r="E43" s="2" t="s">
        <v>191</v>
      </c>
      <c r="F43" s="2" t="s">
        <v>194</v>
      </c>
    </row>
    <row r="44" spans="1:7" x14ac:dyDescent="0.4">
      <c r="A44" s="2" t="s">
        <v>260</v>
      </c>
      <c r="B44" s="3">
        <v>44166.763032407405</v>
      </c>
      <c r="C44" s="2" t="s">
        <v>127</v>
      </c>
      <c r="D44" s="2" t="s">
        <v>188</v>
      </c>
      <c r="E44" s="2" t="s">
        <v>191</v>
      </c>
      <c r="F44" s="2" t="s">
        <v>194</v>
      </c>
    </row>
    <row r="45" spans="1:7" x14ac:dyDescent="0.4">
      <c r="A45" s="2" t="s">
        <v>261</v>
      </c>
      <c r="B45" s="3">
        <v>44168.706261574072</v>
      </c>
      <c r="C45" s="2" t="s">
        <v>127</v>
      </c>
      <c r="D45" s="2" t="s">
        <v>188</v>
      </c>
      <c r="E45" s="2" t="s">
        <v>191</v>
      </c>
    </row>
    <row r="46" spans="1:7" x14ac:dyDescent="0.4">
      <c r="A46" s="2" t="s">
        <v>262</v>
      </c>
      <c r="B46" s="3">
        <v>44173.827592592592</v>
      </c>
      <c r="C46" s="2" t="s">
        <v>127</v>
      </c>
      <c r="D46" s="2" t="s">
        <v>188</v>
      </c>
      <c r="E46" s="2" t="s">
        <v>191</v>
      </c>
      <c r="F46" s="2" t="s">
        <v>194</v>
      </c>
    </row>
    <row r="47" spans="1:7" x14ac:dyDescent="0.4">
      <c r="A47" s="2" t="s">
        <v>264</v>
      </c>
      <c r="B47" s="3">
        <v>44174.98369212963</v>
      </c>
      <c r="C47" s="2" t="s">
        <v>127</v>
      </c>
      <c r="D47" s="2" t="s">
        <v>188</v>
      </c>
      <c r="E47" s="2" t="s">
        <v>191</v>
      </c>
    </row>
    <row r="48" spans="1:7" x14ac:dyDescent="0.4">
      <c r="A48" s="2" t="s">
        <v>265</v>
      </c>
      <c r="B48" s="3">
        <v>44175.828553240739</v>
      </c>
      <c r="C48" s="2" t="s">
        <v>127</v>
      </c>
    </row>
    <row r="49" spans="1:10" x14ac:dyDescent="0.4">
      <c r="A49" s="2" t="s">
        <v>266</v>
      </c>
      <c r="B49" s="3">
        <v>44176.732916666668</v>
      </c>
      <c r="C49" s="2" t="s">
        <v>127</v>
      </c>
      <c r="D49" s="2" t="s">
        <v>188</v>
      </c>
    </row>
    <row r="50" spans="1:10" x14ac:dyDescent="0.4">
      <c r="A50" s="2" t="s">
        <v>267</v>
      </c>
      <c r="B50" s="3">
        <v>44177.783159722225</v>
      </c>
      <c r="C50" s="2" t="s">
        <v>127</v>
      </c>
      <c r="D50" s="2" t="s">
        <v>188</v>
      </c>
    </row>
    <row r="51" spans="1:10" x14ac:dyDescent="0.4">
      <c r="A51" s="2" t="s">
        <v>268</v>
      </c>
      <c r="B51" s="3">
        <v>44179.770092592589</v>
      </c>
      <c r="C51" s="2" t="s">
        <v>127</v>
      </c>
      <c r="D51" s="2" t="s">
        <v>188</v>
      </c>
    </row>
    <row r="52" spans="1:10" x14ac:dyDescent="0.4">
      <c r="A52" s="2" t="s">
        <v>269</v>
      </c>
      <c r="B52" s="3">
        <v>44188.877129629633</v>
      </c>
      <c r="C52" s="2" t="s">
        <v>127</v>
      </c>
    </row>
    <row r="53" spans="1:10" x14ac:dyDescent="0.4">
      <c r="A53" s="2" t="s">
        <v>270</v>
      </c>
      <c r="B53" s="3">
        <v>44202.692986111113</v>
      </c>
      <c r="C53" s="2" t="s">
        <v>127</v>
      </c>
    </row>
    <row r="54" spans="1:10" x14ac:dyDescent="0.4">
      <c r="A54" s="2" t="s">
        <v>271</v>
      </c>
      <c r="B54" s="3">
        <v>44203.727847222224</v>
      </c>
      <c r="C54" s="2" t="s">
        <v>127</v>
      </c>
      <c r="D54" s="2" t="s">
        <v>188</v>
      </c>
      <c r="E54" s="2" t="s">
        <v>191</v>
      </c>
      <c r="F54" s="2" t="s">
        <v>194</v>
      </c>
    </row>
    <row r="55" spans="1:10" x14ac:dyDescent="0.4">
      <c r="A55" s="2" t="s">
        <v>272</v>
      </c>
      <c r="B55" s="3">
        <v>44211.712731481479</v>
      </c>
      <c r="C55" s="2" t="s">
        <v>127</v>
      </c>
      <c r="D55" s="2" t="s">
        <v>188</v>
      </c>
    </row>
    <row r="56" spans="1:10" x14ac:dyDescent="0.4">
      <c r="A56" s="2" t="s">
        <v>273</v>
      </c>
      <c r="B56" s="3">
        <v>44212.86445601852</v>
      </c>
      <c r="C56" s="2" t="s">
        <v>127</v>
      </c>
      <c r="D56" s="2" t="s">
        <v>188</v>
      </c>
      <c r="E56" s="2" t="s">
        <v>191</v>
      </c>
    </row>
    <row r="57" spans="1:10" x14ac:dyDescent="0.4">
      <c r="A57" s="2" t="s">
        <v>274</v>
      </c>
      <c r="B57" s="3">
        <v>44221.737361111111</v>
      </c>
      <c r="C57" s="2" t="s">
        <v>127</v>
      </c>
      <c r="D57" s="2" t="s">
        <v>188</v>
      </c>
    </row>
    <row r="58" spans="1:10" x14ac:dyDescent="0.4">
      <c r="A58" s="2" t="s">
        <v>275</v>
      </c>
      <c r="B58" s="3">
        <v>44225.852303240739</v>
      </c>
      <c r="C58" s="2" t="s">
        <v>127</v>
      </c>
    </row>
    <row r="59" spans="1:10" x14ac:dyDescent="0.4">
      <c r="A59" s="2" t="s">
        <v>276</v>
      </c>
      <c r="B59" s="3">
        <v>44226.852013888885</v>
      </c>
      <c r="C59" s="2" t="s">
        <v>127</v>
      </c>
      <c r="D59" s="2" t="s">
        <v>188</v>
      </c>
      <c r="E59" s="2" t="s">
        <v>191</v>
      </c>
      <c r="F59" s="2" t="s">
        <v>194</v>
      </c>
      <c r="G59" s="2" t="s">
        <v>239</v>
      </c>
      <c r="H59" s="2" t="s">
        <v>245</v>
      </c>
      <c r="I59" s="2" t="s">
        <v>244</v>
      </c>
      <c r="J59" s="2" t="s">
        <v>277</v>
      </c>
    </row>
    <row r="60" spans="1:10" x14ac:dyDescent="0.4">
      <c r="A60" s="2" t="s">
        <v>278</v>
      </c>
      <c r="B60" s="3">
        <v>44229.712210648147</v>
      </c>
      <c r="C60" s="2" t="s">
        <v>127</v>
      </c>
      <c r="D60" s="2" t="s">
        <v>188</v>
      </c>
      <c r="E60" s="2" t="s">
        <v>191</v>
      </c>
    </row>
    <row r="61" spans="1:10" x14ac:dyDescent="0.4">
      <c r="A61" s="2" t="s">
        <v>279</v>
      </c>
      <c r="B61" s="3">
        <v>44233.77375</v>
      </c>
      <c r="C61" s="2" t="s">
        <v>127</v>
      </c>
      <c r="D61" s="2" t="s">
        <v>188</v>
      </c>
      <c r="E61" s="2" t="s">
        <v>191</v>
      </c>
      <c r="F61" s="2" t="s">
        <v>194</v>
      </c>
      <c r="G61" s="2" t="s">
        <v>239</v>
      </c>
      <c r="H61" s="2" t="s">
        <v>245</v>
      </c>
      <c r="I61" s="2" t="s">
        <v>244</v>
      </c>
      <c r="J61" s="2" t="s">
        <v>277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263</v>
      </c>
    </row>
    <row r="2" spans="1:3" x14ac:dyDescent="0.4">
      <c r="A2" t="s">
        <v>126</v>
      </c>
      <c r="B2" s="120">
        <v>145</v>
      </c>
      <c r="C2" s="120">
        <v>1842.3339395535957</v>
      </c>
    </row>
    <row r="3" spans="1:3" x14ac:dyDescent="0.4">
      <c r="A3" t="s">
        <v>163</v>
      </c>
      <c r="B3" s="120">
        <v>89</v>
      </c>
      <c r="C3" s="120">
        <v>1653.1699313523677</v>
      </c>
    </row>
    <row r="4" spans="1:3" x14ac:dyDescent="0.4">
      <c r="A4" t="s">
        <v>139</v>
      </c>
      <c r="B4" s="120">
        <v>510</v>
      </c>
      <c r="C4" s="120">
        <v>1594.5463045050694</v>
      </c>
    </row>
    <row r="5" spans="1:3" x14ac:dyDescent="0.4">
      <c r="A5" t="s">
        <v>190</v>
      </c>
      <c r="B5" s="120">
        <v>40</v>
      </c>
      <c r="C5" s="120">
        <v>1524.3778689305989</v>
      </c>
    </row>
    <row r="6" spans="1:3" x14ac:dyDescent="0.4">
      <c r="A6" t="s">
        <v>192</v>
      </c>
      <c r="B6" s="120">
        <v>70</v>
      </c>
      <c r="C6" s="120">
        <v>1517.1288342047803</v>
      </c>
    </row>
    <row r="7" spans="1:3" x14ac:dyDescent="0.4">
      <c r="A7" t="s">
        <v>211</v>
      </c>
      <c r="B7" s="120">
        <v>51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51</v>
      </c>
      <c r="C10" s="120">
        <v>1433.30445236539</v>
      </c>
    </row>
    <row r="11" spans="1:3" x14ac:dyDescent="0.4">
      <c r="A11" t="s">
        <v>195</v>
      </c>
      <c r="B11" s="120">
        <v>28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6</v>
      </c>
      <c r="C13" s="120">
        <v>1348.2487416206377</v>
      </c>
    </row>
    <row r="14" spans="1:3" x14ac:dyDescent="0.4">
      <c r="A14" t="s">
        <v>201</v>
      </c>
      <c r="B14" s="120">
        <v>6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19</v>
      </c>
      <c r="C24" s="120">
        <v>1500</v>
      </c>
    </row>
    <row r="25" spans="1:8" x14ac:dyDescent="0.4">
      <c r="A25" t="s">
        <v>259</v>
      </c>
      <c r="B25" s="120">
        <v>3</v>
      </c>
      <c r="C25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/>
      <c r="C1" s="140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0</v>
      </c>
      <c r="C2" s="142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43">
        <v>0</v>
      </c>
      <c r="C3" s="144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45">
        <v>0</v>
      </c>
      <c r="C4" s="146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33">
        <f>IF(B$2=0,0,B$4/B$2)</f>
        <v>0</v>
      </c>
      <c r="C5" s="134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37">
        <v>1500</v>
      </c>
      <c r="C6" s="138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47">
        <f>IF(B$2=0,0,(B$8*1+B$9*2+B$10*3)/B$2)</f>
        <v>0</v>
      </c>
      <c r="C7" s="148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</v>
      </c>
      <c r="C14" s="134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35">
        <v>0</v>
      </c>
      <c r="C33" s="136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37">
        <v>-1000000</v>
      </c>
      <c r="C34" s="138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5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55" t="s">
        <v>9</v>
      </c>
      <c r="C1" s="156"/>
      <c r="D1" s="149" t="s">
        <v>6</v>
      </c>
      <c r="E1" s="150"/>
      <c r="F1" s="149" t="s">
        <v>7</v>
      </c>
      <c r="G1" s="150"/>
      <c r="H1" s="155" t="s">
        <v>196</v>
      </c>
      <c r="I1" s="156"/>
      <c r="J1" s="149" t="s">
        <v>15</v>
      </c>
      <c r="K1" s="150"/>
      <c r="L1" s="149" t="s">
        <v>14</v>
      </c>
      <c r="M1" s="150"/>
      <c r="N1" s="149" t="s">
        <v>149</v>
      </c>
      <c r="O1" s="150"/>
      <c r="P1" s="149" t="s">
        <v>143</v>
      </c>
      <c r="Q1" s="150"/>
      <c r="R1" s="149" t="s">
        <v>144</v>
      </c>
      <c r="S1" s="150"/>
      <c r="T1" s="149" t="s">
        <v>5</v>
      </c>
      <c r="U1" s="150"/>
      <c r="V1" s="149" t="s">
        <v>16</v>
      </c>
      <c r="W1" s="150"/>
      <c r="X1" s="149" t="s">
        <v>17</v>
      </c>
      <c r="Y1" s="150"/>
      <c r="Z1" s="149" t="s">
        <v>122</v>
      </c>
      <c r="AA1" s="150"/>
      <c r="AB1" s="149" t="s">
        <v>119</v>
      </c>
      <c r="AC1" s="150"/>
      <c r="AD1" s="149" t="s">
        <v>125</v>
      </c>
      <c r="AE1" s="150"/>
      <c r="AF1" s="149" t="s">
        <v>145</v>
      </c>
      <c r="AG1" s="150"/>
      <c r="AH1" s="149" t="s">
        <v>138</v>
      </c>
      <c r="AI1" s="150"/>
      <c r="AJ1" s="149" t="s">
        <v>180</v>
      </c>
      <c r="AK1" s="150"/>
    </row>
    <row r="2" spans="1:37" x14ac:dyDescent="0.4">
      <c r="A2" s="36" t="s">
        <v>208</v>
      </c>
      <c r="B2" s="151">
        <v>0.89286970475047422</v>
      </c>
      <c r="C2" s="152"/>
      <c r="D2" s="151">
        <v>0.66719664468547168</v>
      </c>
      <c r="E2" s="152"/>
      <c r="F2" s="151">
        <v>0.66588190385809798</v>
      </c>
      <c r="G2" s="152"/>
      <c r="H2" s="153"/>
      <c r="I2" s="154"/>
      <c r="J2" s="151">
        <v>0.42825928607006486</v>
      </c>
      <c r="K2" s="152"/>
      <c r="L2" s="151">
        <v>0.34928054175883144</v>
      </c>
      <c r="M2" s="152"/>
      <c r="N2" s="151">
        <v>0.36290611230014458</v>
      </c>
      <c r="O2" s="152"/>
      <c r="P2" s="151">
        <v>0.62655713131849244</v>
      </c>
      <c r="Q2" s="152"/>
      <c r="R2" s="151">
        <v>0.14700298240473483</v>
      </c>
      <c r="S2" s="152"/>
      <c r="T2" s="151">
        <v>-5.6534819971524389E-2</v>
      </c>
      <c r="U2" s="152"/>
      <c r="V2" s="151">
        <v>0.41869642850965028</v>
      </c>
      <c r="W2" s="152"/>
      <c r="X2" s="151">
        <v>0.50916865772028064</v>
      </c>
      <c r="Y2" s="152"/>
      <c r="Z2" s="151">
        <v>0.16316652943709459</v>
      </c>
      <c r="AA2" s="152"/>
      <c r="AB2" s="151">
        <v>0.29441323937681191</v>
      </c>
      <c r="AC2" s="152"/>
      <c r="AD2" s="151">
        <v>0.10388965214483176</v>
      </c>
      <c r="AE2" s="152"/>
      <c r="AF2" s="151">
        <v>0.67101321923780721</v>
      </c>
      <c r="AG2" s="152"/>
      <c r="AH2" s="151">
        <v>-0.51024535432686713</v>
      </c>
      <c r="AI2" s="152"/>
      <c r="AJ2" s="151">
        <v>0.77987924008704546</v>
      </c>
      <c r="AK2" s="152"/>
    </row>
    <row r="3" spans="1:37" x14ac:dyDescent="0.4">
      <c r="A3" s="38">
        <v>1</v>
      </c>
      <c r="B3" s="41" t="s">
        <v>139</v>
      </c>
      <c r="C3" s="113">
        <v>170</v>
      </c>
      <c r="D3" s="39" t="s">
        <v>192</v>
      </c>
      <c r="E3" s="40">
        <v>392.9</v>
      </c>
      <c r="F3" s="41" t="s">
        <v>192</v>
      </c>
      <c r="G3" s="60">
        <v>5.6128571428571421</v>
      </c>
      <c r="H3" s="41" t="s">
        <v>126</v>
      </c>
      <c r="I3" s="45">
        <v>1758.0662353696366</v>
      </c>
      <c r="J3" s="41" t="s">
        <v>192</v>
      </c>
      <c r="K3" s="42">
        <v>1.8571428571428572</v>
      </c>
      <c r="L3" s="41" t="s">
        <v>192</v>
      </c>
      <c r="M3" s="43">
        <v>0.38571428571428573</v>
      </c>
      <c r="N3" s="41" t="s">
        <v>190</v>
      </c>
      <c r="O3" s="43">
        <v>0.2</v>
      </c>
      <c r="P3" s="41" t="s">
        <v>192</v>
      </c>
      <c r="Q3" s="44">
        <v>0.34517766497461927</v>
      </c>
      <c r="R3" s="41" t="s">
        <v>190</v>
      </c>
      <c r="S3" s="44">
        <v>0.10495626822157435</v>
      </c>
      <c r="T3" s="41" t="s">
        <v>221</v>
      </c>
      <c r="U3" s="45">
        <v>10925</v>
      </c>
      <c r="V3" s="41" t="s">
        <v>211</v>
      </c>
      <c r="W3" s="45">
        <v>-6961.0169491525421</v>
      </c>
      <c r="X3" s="41" t="s">
        <v>193</v>
      </c>
      <c r="Y3" s="43">
        <v>0</v>
      </c>
      <c r="Z3" s="41" t="s">
        <v>163</v>
      </c>
      <c r="AA3" s="44">
        <v>0.28445006321112515</v>
      </c>
      <c r="AB3" s="41" t="s">
        <v>189</v>
      </c>
      <c r="AC3" s="44">
        <v>0.29268292682926828</v>
      </c>
      <c r="AD3" s="41" t="s">
        <v>259</v>
      </c>
      <c r="AE3" s="44">
        <v>0.66666666666666663</v>
      </c>
      <c r="AF3" s="41" t="s">
        <v>126</v>
      </c>
      <c r="AG3" s="44">
        <v>0.45833333333333331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145</v>
      </c>
      <c r="D4" s="47" t="s">
        <v>126</v>
      </c>
      <c r="E4" s="48">
        <v>332.19999999999987</v>
      </c>
      <c r="F4" s="49" t="s">
        <v>211</v>
      </c>
      <c r="G4" s="61">
        <v>3.4941176470588231</v>
      </c>
      <c r="H4" s="49" t="s">
        <v>192</v>
      </c>
      <c r="I4" s="53">
        <v>1606.4452616651972</v>
      </c>
      <c r="J4" s="49" t="s">
        <v>190</v>
      </c>
      <c r="K4" s="50">
        <v>1.9</v>
      </c>
      <c r="L4" s="49" t="s">
        <v>211</v>
      </c>
      <c r="M4" s="51">
        <v>0.37254901960784315</v>
      </c>
      <c r="N4" s="49" t="s">
        <v>192</v>
      </c>
      <c r="O4" s="51">
        <v>0.24285714285714285</v>
      </c>
      <c r="P4" s="49" t="s">
        <v>126</v>
      </c>
      <c r="Q4" s="52">
        <v>0.319376026272578</v>
      </c>
      <c r="R4" s="49" t="s">
        <v>192</v>
      </c>
      <c r="S4" s="52">
        <v>0.12351945854483926</v>
      </c>
      <c r="T4" s="49" t="s">
        <v>163</v>
      </c>
      <c r="U4" s="53">
        <v>9417.961165048544</v>
      </c>
      <c r="V4" s="49" t="s">
        <v>201</v>
      </c>
      <c r="W4" s="53">
        <v>-7157.1428571428569</v>
      </c>
      <c r="X4" s="49" t="s">
        <v>221</v>
      </c>
      <c r="Y4" s="51">
        <v>0</v>
      </c>
      <c r="Z4" s="49" t="s">
        <v>190</v>
      </c>
      <c r="AA4" s="52">
        <v>0.27696793002915454</v>
      </c>
      <c r="AB4" s="49" t="s">
        <v>221</v>
      </c>
      <c r="AC4" s="52">
        <v>0.27777777777777779</v>
      </c>
      <c r="AD4" s="49" t="s">
        <v>201</v>
      </c>
      <c r="AE4" s="52">
        <v>0.625</v>
      </c>
      <c r="AF4" s="49" t="s">
        <v>211</v>
      </c>
      <c r="AG4" s="52">
        <v>0.45360824742268041</v>
      </c>
      <c r="AH4" s="49" t="s">
        <v>201</v>
      </c>
      <c r="AI4" s="52">
        <v>0.6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89</v>
      </c>
      <c r="D5" s="47" t="s">
        <v>211</v>
      </c>
      <c r="E5" s="48">
        <v>178.2</v>
      </c>
      <c r="F5" s="49" t="s">
        <v>126</v>
      </c>
      <c r="G5" s="61">
        <v>2.29103448275862</v>
      </c>
      <c r="H5" s="49" t="s">
        <v>163</v>
      </c>
      <c r="I5" s="53">
        <v>1605.0170841089816</v>
      </c>
      <c r="J5" s="49" t="s">
        <v>211</v>
      </c>
      <c r="K5" s="50">
        <v>1.9215686274509804</v>
      </c>
      <c r="L5" s="49" t="s">
        <v>126</v>
      </c>
      <c r="M5" s="51">
        <v>0.35862068965517241</v>
      </c>
      <c r="N5" s="49" t="s">
        <v>211</v>
      </c>
      <c r="O5" s="51">
        <v>0.29411764705882354</v>
      </c>
      <c r="P5" s="49" t="s">
        <v>211</v>
      </c>
      <c r="Q5" s="52">
        <v>0.30697674418604654</v>
      </c>
      <c r="R5" s="49" t="s">
        <v>211</v>
      </c>
      <c r="S5" s="52">
        <v>0.1372093023255814</v>
      </c>
      <c r="T5" s="49" t="s">
        <v>195</v>
      </c>
      <c r="U5" s="53">
        <v>9282.1428571428569</v>
      </c>
      <c r="V5" s="49" t="s">
        <v>126</v>
      </c>
      <c r="W5" s="53">
        <v>-7588.8349514563106</v>
      </c>
      <c r="X5" s="49" t="s">
        <v>259</v>
      </c>
      <c r="Y5" s="51">
        <v>0</v>
      </c>
      <c r="Z5" s="49" t="s">
        <v>189</v>
      </c>
      <c r="AA5" s="52">
        <v>0.25498891352549891</v>
      </c>
      <c r="AB5" s="49" t="s">
        <v>192</v>
      </c>
      <c r="AC5" s="52">
        <v>0.27749576988155666</v>
      </c>
      <c r="AD5" s="49" t="s">
        <v>195</v>
      </c>
      <c r="AE5" s="52">
        <v>0.59649122807017541</v>
      </c>
      <c r="AF5" s="49" t="s">
        <v>192</v>
      </c>
      <c r="AG5" s="52">
        <v>0.42682926829268292</v>
      </c>
      <c r="AH5" s="49" t="s">
        <v>195</v>
      </c>
      <c r="AI5" s="52">
        <v>0.5357142857142857</v>
      </c>
      <c r="AJ5" s="49" t="s">
        <v>192</v>
      </c>
      <c r="AK5" s="56">
        <v>100700</v>
      </c>
    </row>
    <row r="6" spans="1:37" x14ac:dyDescent="0.4">
      <c r="A6" s="46">
        <v>4</v>
      </c>
      <c r="B6" s="49" t="s">
        <v>192</v>
      </c>
      <c r="C6" s="114">
        <v>70</v>
      </c>
      <c r="D6" s="47" t="s">
        <v>190</v>
      </c>
      <c r="E6" s="48">
        <v>45.799999999999962</v>
      </c>
      <c r="F6" s="49" t="s">
        <v>190</v>
      </c>
      <c r="G6" s="61">
        <v>1.1449999999999991</v>
      </c>
      <c r="H6" s="49" t="s">
        <v>139</v>
      </c>
      <c r="I6" s="53">
        <v>1604.9485979299698</v>
      </c>
      <c r="J6" s="49" t="s">
        <v>126</v>
      </c>
      <c r="K6" s="50">
        <v>1.9862068965517241</v>
      </c>
      <c r="L6" s="49" t="s">
        <v>189</v>
      </c>
      <c r="M6" s="51">
        <v>0.35294117647058826</v>
      </c>
      <c r="N6" s="49" t="s">
        <v>139</v>
      </c>
      <c r="O6" s="51">
        <v>0.33333333333333331</v>
      </c>
      <c r="P6" s="49" t="s">
        <v>189</v>
      </c>
      <c r="Q6" s="52">
        <v>0.29933481152993346</v>
      </c>
      <c r="R6" s="49" t="s">
        <v>189</v>
      </c>
      <c r="S6" s="52">
        <v>0.15964523281596452</v>
      </c>
      <c r="T6" s="49" t="s">
        <v>126</v>
      </c>
      <c r="U6" s="53">
        <v>8390.2313624678663</v>
      </c>
      <c r="V6" s="49" t="s">
        <v>163</v>
      </c>
      <c r="W6" s="53">
        <v>-7673.913043478261</v>
      </c>
      <c r="X6" s="49" t="s">
        <v>211</v>
      </c>
      <c r="Y6" s="51">
        <v>3.9215686274509803E-2</v>
      </c>
      <c r="Z6" s="49" t="s">
        <v>126</v>
      </c>
      <c r="AA6" s="52">
        <v>0.24876847290640394</v>
      </c>
      <c r="AB6" s="49" t="s">
        <v>211</v>
      </c>
      <c r="AC6" s="52">
        <v>0.2255813953488372</v>
      </c>
      <c r="AD6" s="49" t="s">
        <v>211</v>
      </c>
      <c r="AE6" s="52">
        <v>0.59183673469387754</v>
      </c>
      <c r="AF6" s="49" t="s">
        <v>193</v>
      </c>
      <c r="AG6" s="52">
        <v>0.41666666666666669</v>
      </c>
      <c r="AH6" s="49" t="s">
        <v>259</v>
      </c>
      <c r="AI6" s="52">
        <v>0.5</v>
      </c>
      <c r="AJ6" s="49" t="s">
        <v>216</v>
      </c>
      <c r="AK6" s="56">
        <v>97000</v>
      </c>
    </row>
    <row r="7" spans="1:37" x14ac:dyDescent="0.4">
      <c r="A7" s="46">
        <v>5</v>
      </c>
      <c r="B7" s="49" t="s">
        <v>211</v>
      </c>
      <c r="C7" s="114">
        <v>51</v>
      </c>
      <c r="D7" s="47" t="s">
        <v>139</v>
      </c>
      <c r="E7" s="48">
        <v>4.2632564145606011E-14</v>
      </c>
      <c r="F7" s="49" t="s">
        <v>139</v>
      </c>
      <c r="G7" s="61">
        <v>8.3593263030600021E-17</v>
      </c>
      <c r="H7" s="49" t="s">
        <v>190</v>
      </c>
      <c r="I7" s="53">
        <v>1551.4699038276274</v>
      </c>
      <c r="J7" s="49" t="s">
        <v>139</v>
      </c>
      <c r="K7" s="50">
        <v>1.9980392156862745</v>
      </c>
      <c r="L7" s="49" t="s">
        <v>139</v>
      </c>
      <c r="M7" s="51">
        <v>0.3352941176470588</v>
      </c>
      <c r="N7" s="49" t="s">
        <v>126</v>
      </c>
      <c r="O7" s="51">
        <v>0.34482758620689657</v>
      </c>
      <c r="P7" s="49" t="s">
        <v>139</v>
      </c>
      <c r="Q7" s="52">
        <v>0.29369988545246278</v>
      </c>
      <c r="R7" s="49" t="s">
        <v>139</v>
      </c>
      <c r="S7" s="52">
        <v>0.16380297823596793</v>
      </c>
      <c r="T7" s="49" t="s">
        <v>139</v>
      </c>
      <c r="U7" s="53">
        <v>8303.432137285492</v>
      </c>
      <c r="V7" s="49" t="s">
        <v>139</v>
      </c>
      <c r="W7" s="53">
        <v>-7829.6503496503492</v>
      </c>
      <c r="X7" s="49" t="s">
        <v>192</v>
      </c>
      <c r="Y7" s="51">
        <v>5.7142857142857141E-2</v>
      </c>
      <c r="Z7" s="49" t="s">
        <v>139</v>
      </c>
      <c r="AA7" s="52">
        <v>0.24742268041237114</v>
      </c>
      <c r="AB7" s="49" t="s">
        <v>163</v>
      </c>
      <c r="AC7" s="52">
        <v>0.22250316055625791</v>
      </c>
      <c r="AD7" s="49" t="s">
        <v>126</v>
      </c>
      <c r="AE7" s="52">
        <v>0.56765676567656764</v>
      </c>
      <c r="AF7" s="49" t="s">
        <v>189</v>
      </c>
      <c r="AG7" s="52">
        <v>0.40909090909090912</v>
      </c>
      <c r="AH7" s="49" t="s">
        <v>189</v>
      </c>
      <c r="AI7" s="52">
        <v>0.47407407407407409</v>
      </c>
      <c r="AJ7" s="49" t="s">
        <v>163</v>
      </c>
      <c r="AK7" s="56">
        <v>94700</v>
      </c>
    </row>
    <row r="8" spans="1:37" x14ac:dyDescent="0.4">
      <c r="A8" s="46">
        <v>6</v>
      </c>
      <c r="B8" s="49" t="s">
        <v>189</v>
      </c>
      <c r="C8" s="114">
        <v>51</v>
      </c>
      <c r="D8" s="47" t="s">
        <v>221</v>
      </c>
      <c r="E8" s="48">
        <v>-13.5</v>
      </c>
      <c r="F8" s="49" t="s">
        <v>189</v>
      </c>
      <c r="G8" s="61">
        <v>-1.2176470588235293</v>
      </c>
      <c r="H8" s="49" t="s">
        <v>211</v>
      </c>
      <c r="I8" s="53">
        <v>1541.223654027415</v>
      </c>
      <c r="J8" s="49" t="s">
        <v>163</v>
      </c>
      <c r="K8" s="50">
        <v>2.0337078651685392</v>
      </c>
      <c r="L8" s="49" t="s">
        <v>195</v>
      </c>
      <c r="M8" s="51">
        <v>0.32142857142857145</v>
      </c>
      <c r="N8" s="49" t="s">
        <v>163</v>
      </c>
      <c r="O8" s="51">
        <v>0.34831460674157305</v>
      </c>
      <c r="P8" s="49" t="s">
        <v>190</v>
      </c>
      <c r="Q8" s="52">
        <v>0.27405247813411077</v>
      </c>
      <c r="R8" s="49" t="s">
        <v>221</v>
      </c>
      <c r="S8" s="52">
        <v>0.16666666666666666</v>
      </c>
      <c r="T8" s="49" t="s">
        <v>190</v>
      </c>
      <c r="U8" s="53">
        <v>8131.9148936170213</v>
      </c>
      <c r="V8" s="49" t="s">
        <v>216</v>
      </c>
      <c r="W8" s="53">
        <v>-7886.2068965517237</v>
      </c>
      <c r="X8" s="49" t="s">
        <v>190</v>
      </c>
      <c r="Y8" s="51">
        <v>7.4999999999999997E-2</v>
      </c>
      <c r="Z8" s="49" t="s">
        <v>259</v>
      </c>
      <c r="AA8" s="52">
        <v>0.24</v>
      </c>
      <c r="AB8" s="49" t="s">
        <v>193</v>
      </c>
      <c r="AC8" s="52">
        <v>0.22222222222222221</v>
      </c>
      <c r="AD8" s="49" t="s">
        <v>192</v>
      </c>
      <c r="AE8" s="52">
        <v>0.56349206349206349</v>
      </c>
      <c r="AF8" s="49" t="s">
        <v>139</v>
      </c>
      <c r="AG8" s="52">
        <v>0.40083073727933544</v>
      </c>
      <c r="AH8" s="49" t="s">
        <v>216</v>
      </c>
      <c r="AI8" s="52">
        <v>0.47058823529411764</v>
      </c>
      <c r="AJ8" s="49" t="s">
        <v>211</v>
      </c>
      <c r="AK8" s="56">
        <v>93600</v>
      </c>
    </row>
    <row r="9" spans="1:37" x14ac:dyDescent="0.4">
      <c r="A9" s="46">
        <v>7</v>
      </c>
      <c r="B9" s="49" t="s">
        <v>190</v>
      </c>
      <c r="C9" s="114">
        <v>40</v>
      </c>
      <c r="D9" s="47" t="s">
        <v>259</v>
      </c>
      <c r="E9" s="48">
        <v>-50</v>
      </c>
      <c r="F9" s="49" t="s">
        <v>163</v>
      </c>
      <c r="G9" s="61">
        <v>-2.7449438202247189</v>
      </c>
      <c r="H9" s="49" t="s">
        <v>221</v>
      </c>
      <c r="I9" s="53">
        <v>1497.379788</v>
      </c>
      <c r="J9" s="49" t="s">
        <v>189</v>
      </c>
      <c r="K9" s="50">
        <v>2.0392156862745097</v>
      </c>
      <c r="L9" s="49" t="s">
        <v>163</v>
      </c>
      <c r="M9" s="51">
        <v>0.3146067415730337</v>
      </c>
      <c r="N9" s="49" t="s">
        <v>189</v>
      </c>
      <c r="O9" s="51">
        <v>0.39215686274509803</v>
      </c>
      <c r="P9" s="49" t="s">
        <v>163</v>
      </c>
      <c r="Q9" s="52">
        <v>0.26042983565107458</v>
      </c>
      <c r="R9" s="49" t="s">
        <v>126</v>
      </c>
      <c r="S9" s="52">
        <v>0.16912972085385877</v>
      </c>
      <c r="T9" s="49" t="s">
        <v>211</v>
      </c>
      <c r="U9" s="53">
        <v>7929.545454545455</v>
      </c>
      <c r="V9" s="49" t="s">
        <v>192</v>
      </c>
      <c r="W9" s="53">
        <v>-8130.1369863013697</v>
      </c>
      <c r="X9" s="49" t="s">
        <v>126</v>
      </c>
      <c r="Y9" s="51">
        <v>7.586206896551724E-2</v>
      </c>
      <c r="Z9" s="49" t="s">
        <v>216</v>
      </c>
      <c r="AA9" s="52">
        <v>0.2361111111111111</v>
      </c>
      <c r="AB9" s="49" t="s">
        <v>139</v>
      </c>
      <c r="AC9" s="52">
        <v>0.22061855670103092</v>
      </c>
      <c r="AD9" s="49" t="s">
        <v>190</v>
      </c>
      <c r="AE9" s="52">
        <v>0.5368421052631579</v>
      </c>
      <c r="AF9" s="49" t="s">
        <v>221</v>
      </c>
      <c r="AG9" s="52">
        <v>0.4</v>
      </c>
      <c r="AH9" s="49" t="s">
        <v>163</v>
      </c>
      <c r="AI9" s="52">
        <v>0.4563106796116505</v>
      </c>
      <c r="AJ9" s="49" t="s">
        <v>189</v>
      </c>
      <c r="AK9" s="56">
        <v>89900</v>
      </c>
    </row>
    <row r="10" spans="1:37" x14ac:dyDescent="0.4">
      <c r="A10" s="46">
        <v>8</v>
      </c>
      <c r="B10" s="49" t="s">
        <v>195</v>
      </c>
      <c r="C10" s="114">
        <v>28</v>
      </c>
      <c r="D10" s="47" t="s">
        <v>189</v>
      </c>
      <c r="E10" s="48">
        <v>-62.099999999999994</v>
      </c>
      <c r="F10" s="49" t="s">
        <v>216</v>
      </c>
      <c r="G10" s="61">
        <v>-5.7</v>
      </c>
      <c r="H10" s="49" t="s">
        <v>259</v>
      </c>
      <c r="I10" s="53">
        <v>1493.0891304000002</v>
      </c>
      <c r="J10" s="49" t="s">
        <v>195</v>
      </c>
      <c r="K10" s="50">
        <v>2.0714285714285716</v>
      </c>
      <c r="L10" s="49" t="s">
        <v>190</v>
      </c>
      <c r="M10" s="51">
        <v>0.3</v>
      </c>
      <c r="N10" s="49" t="s">
        <v>195</v>
      </c>
      <c r="O10" s="51">
        <v>0.39285714285714285</v>
      </c>
      <c r="P10" s="49" t="s">
        <v>259</v>
      </c>
      <c r="Q10" s="52">
        <v>0.24</v>
      </c>
      <c r="R10" s="49" t="s">
        <v>195</v>
      </c>
      <c r="S10" s="52">
        <v>0.18367346938775511</v>
      </c>
      <c r="T10" s="49" t="s">
        <v>216</v>
      </c>
      <c r="U10" s="53">
        <v>7926.4705882352937</v>
      </c>
      <c r="V10" s="49" t="s">
        <v>190</v>
      </c>
      <c r="W10" s="53">
        <v>-8155.5555555555557</v>
      </c>
      <c r="X10" s="49" t="s">
        <v>189</v>
      </c>
      <c r="Y10" s="51">
        <v>7.8431372549019607E-2</v>
      </c>
      <c r="Z10" s="49" t="s">
        <v>195</v>
      </c>
      <c r="AA10" s="52">
        <v>0.23265306122448978</v>
      </c>
      <c r="AB10" s="49" t="s">
        <v>190</v>
      </c>
      <c r="AC10" s="52">
        <v>0.20116618075801748</v>
      </c>
      <c r="AD10" s="49" t="s">
        <v>139</v>
      </c>
      <c r="AE10" s="52">
        <v>0.53240740740740744</v>
      </c>
      <c r="AF10" s="49" t="s">
        <v>190</v>
      </c>
      <c r="AG10" s="52">
        <v>0.34782608695652173</v>
      </c>
      <c r="AH10" s="49" t="s">
        <v>126</v>
      </c>
      <c r="AI10" s="52">
        <v>0.44215938303341901</v>
      </c>
      <c r="AJ10" s="49" t="s">
        <v>190</v>
      </c>
      <c r="AK10" s="56">
        <v>85000</v>
      </c>
    </row>
    <row r="11" spans="1:37" x14ac:dyDescent="0.4">
      <c r="A11" s="46">
        <v>9</v>
      </c>
      <c r="B11" s="49" t="s">
        <v>216</v>
      </c>
      <c r="C11" s="114">
        <v>19</v>
      </c>
      <c r="D11" s="47" t="s">
        <v>193</v>
      </c>
      <c r="E11" s="48">
        <v>-78.199999999999989</v>
      </c>
      <c r="F11" s="49" t="s">
        <v>221</v>
      </c>
      <c r="G11" s="61">
        <v>-6.75</v>
      </c>
      <c r="H11" s="49" t="s">
        <v>216</v>
      </c>
      <c r="I11" s="53">
        <v>1488.9447185272431</v>
      </c>
      <c r="J11" s="49" t="s">
        <v>216</v>
      </c>
      <c r="K11" s="50">
        <v>2.1578947368421053</v>
      </c>
      <c r="L11" s="49" t="s">
        <v>216</v>
      </c>
      <c r="M11" s="51">
        <v>0.26315789473684209</v>
      </c>
      <c r="N11" s="49" t="s">
        <v>216</v>
      </c>
      <c r="O11" s="51">
        <v>0.42105263157894735</v>
      </c>
      <c r="P11" s="49" t="s">
        <v>216</v>
      </c>
      <c r="Q11" s="52">
        <v>0.2361111111111111</v>
      </c>
      <c r="R11" s="49" t="s">
        <v>259</v>
      </c>
      <c r="S11" s="52">
        <v>0.2</v>
      </c>
      <c r="T11" s="49" t="s">
        <v>193</v>
      </c>
      <c r="U11" s="53">
        <v>7866.666666666667</v>
      </c>
      <c r="V11" s="49" t="s">
        <v>195</v>
      </c>
      <c r="W11" s="53">
        <v>-8188.8888888888887</v>
      </c>
      <c r="X11" s="49" t="s">
        <v>139</v>
      </c>
      <c r="Y11" s="51">
        <v>8.4313725490196084E-2</v>
      </c>
      <c r="Z11" s="49" t="s">
        <v>211</v>
      </c>
      <c r="AA11" s="52">
        <v>0.22790697674418606</v>
      </c>
      <c r="AB11" s="49" t="s">
        <v>201</v>
      </c>
      <c r="AC11" s="52">
        <v>0.2</v>
      </c>
      <c r="AD11" s="49" t="s">
        <v>163</v>
      </c>
      <c r="AE11" s="52">
        <v>0.48</v>
      </c>
      <c r="AF11" s="49" t="s">
        <v>163</v>
      </c>
      <c r="AG11" s="52">
        <v>0.33522727272727271</v>
      </c>
      <c r="AH11" s="49" t="s">
        <v>139</v>
      </c>
      <c r="AI11" s="52">
        <v>0.43603744149765988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6</v>
      </c>
      <c r="D12" s="47" t="s">
        <v>216</v>
      </c>
      <c r="E12" s="48">
        <v>-108.30000000000001</v>
      </c>
      <c r="F12" s="49" t="s">
        <v>195</v>
      </c>
      <c r="G12" s="61">
        <v>-8.6392857142857125</v>
      </c>
      <c r="H12" s="49" t="s">
        <v>201</v>
      </c>
      <c r="I12" s="53">
        <v>1476.9680701642462</v>
      </c>
      <c r="J12" s="49" t="s">
        <v>193</v>
      </c>
      <c r="K12" s="50">
        <v>2.3333333333333335</v>
      </c>
      <c r="L12" s="49" t="s">
        <v>193</v>
      </c>
      <c r="M12" s="51">
        <v>0.16666666666666666</v>
      </c>
      <c r="N12" s="49" t="s">
        <v>193</v>
      </c>
      <c r="O12" s="51">
        <v>0.5</v>
      </c>
      <c r="P12" s="49" t="s">
        <v>195</v>
      </c>
      <c r="Q12" s="52">
        <v>0.22857142857142856</v>
      </c>
      <c r="R12" s="49" t="s">
        <v>216</v>
      </c>
      <c r="S12" s="52">
        <v>0.2013888888888889</v>
      </c>
      <c r="T12" s="49" t="s">
        <v>192</v>
      </c>
      <c r="U12" s="53">
        <v>7693.1372549019607</v>
      </c>
      <c r="V12" s="49" t="s">
        <v>189</v>
      </c>
      <c r="W12" s="53">
        <v>-8606.9444444444453</v>
      </c>
      <c r="X12" s="49" t="s">
        <v>216</v>
      </c>
      <c r="Y12" s="51">
        <v>0.10526315789473684</v>
      </c>
      <c r="Z12" s="49" t="s">
        <v>221</v>
      </c>
      <c r="AA12" s="52">
        <v>0.22222222222222221</v>
      </c>
      <c r="AB12" s="49" t="s">
        <v>126</v>
      </c>
      <c r="AC12" s="52">
        <v>0.19704433497536947</v>
      </c>
      <c r="AD12" s="49" t="s">
        <v>216</v>
      </c>
      <c r="AE12" s="52">
        <v>0.47058823529411764</v>
      </c>
      <c r="AF12" s="49" t="s">
        <v>216</v>
      </c>
      <c r="AG12" s="52">
        <v>0.32</v>
      </c>
      <c r="AH12" s="49" t="s">
        <v>211</v>
      </c>
      <c r="AI12" s="52">
        <v>0.40151515151515149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201</v>
      </c>
      <c r="C13" s="114">
        <v>6</v>
      </c>
      <c r="D13" s="47" t="s">
        <v>201</v>
      </c>
      <c r="E13" s="48">
        <v>-150.79999999999998</v>
      </c>
      <c r="F13" s="49" t="s">
        <v>193</v>
      </c>
      <c r="G13" s="61">
        <v>-13.033333333333331</v>
      </c>
      <c r="H13" s="49" t="s">
        <v>189</v>
      </c>
      <c r="I13" s="53">
        <v>1463.3989422821498</v>
      </c>
      <c r="J13" s="49" t="s">
        <v>221</v>
      </c>
      <c r="K13" s="50">
        <v>2.5</v>
      </c>
      <c r="L13" s="49" t="s">
        <v>201</v>
      </c>
      <c r="M13" s="51">
        <v>0</v>
      </c>
      <c r="N13" s="49" t="s">
        <v>221</v>
      </c>
      <c r="O13" s="51">
        <v>0.5</v>
      </c>
      <c r="P13" s="49" t="s">
        <v>193</v>
      </c>
      <c r="Q13" s="52">
        <v>0.22222222222222221</v>
      </c>
      <c r="R13" s="49" t="s">
        <v>163</v>
      </c>
      <c r="S13" s="52">
        <v>0.20353982300884957</v>
      </c>
      <c r="T13" s="49" t="s">
        <v>189</v>
      </c>
      <c r="U13" s="53">
        <v>7534.8148148148148</v>
      </c>
      <c r="V13" s="49" t="s">
        <v>193</v>
      </c>
      <c r="W13" s="53">
        <v>-8875</v>
      </c>
      <c r="X13" s="49" t="s">
        <v>163</v>
      </c>
      <c r="Y13" s="51">
        <v>0.12359550561797752</v>
      </c>
      <c r="Z13" s="49" t="s">
        <v>192</v>
      </c>
      <c r="AA13" s="52">
        <v>0.21319796954314721</v>
      </c>
      <c r="AB13" s="49" t="s">
        <v>216</v>
      </c>
      <c r="AC13" s="52">
        <v>0.1736111111111111</v>
      </c>
      <c r="AD13" s="49" t="s">
        <v>189</v>
      </c>
      <c r="AE13" s="52">
        <v>0.46086956521739131</v>
      </c>
      <c r="AF13" s="49" t="s">
        <v>195</v>
      </c>
      <c r="AG13" s="52">
        <v>0.25</v>
      </c>
      <c r="AH13" s="49" t="s">
        <v>192</v>
      </c>
      <c r="AI13" s="52">
        <v>0.39215686274509803</v>
      </c>
      <c r="AJ13" s="49" t="s">
        <v>259</v>
      </c>
      <c r="AK13" s="56">
        <v>41800</v>
      </c>
    </row>
    <row r="14" spans="1:37" x14ac:dyDescent="0.4">
      <c r="A14" s="46">
        <v>12</v>
      </c>
      <c r="B14" s="49" t="s">
        <v>259</v>
      </c>
      <c r="C14" s="114">
        <v>3</v>
      </c>
      <c r="D14" s="47" t="s">
        <v>195</v>
      </c>
      <c r="E14" s="48">
        <v>-241.89999999999995</v>
      </c>
      <c r="F14" s="49" t="s">
        <v>259</v>
      </c>
      <c r="G14" s="61">
        <v>-16.666666666666668</v>
      </c>
      <c r="H14" s="49" t="s">
        <v>195</v>
      </c>
      <c r="I14" s="53">
        <v>1377.1480089618358</v>
      </c>
      <c r="J14" s="49" t="s">
        <v>201</v>
      </c>
      <c r="K14" s="50">
        <v>2.6666666666666665</v>
      </c>
      <c r="L14" s="49" t="s">
        <v>221</v>
      </c>
      <c r="M14" s="51">
        <v>0</v>
      </c>
      <c r="N14" s="49" t="s">
        <v>201</v>
      </c>
      <c r="O14" s="51">
        <v>0.66666666666666663</v>
      </c>
      <c r="P14" s="49" t="s">
        <v>221</v>
      </c>
      <c r="Q14" s="52">
        <v>0.22222222222222221</v>
      </c>
      <c r="R14" s="49" t="s">
        <v>193</v>
      </c>
      <c r="S14" s="52">
        <v>0.22222222222222221</v>
      </c>
      <c r="T14" s="49" t="s">
        <v>201</v>
      </c>
      <c r="U14" s="53">
        <v>7270</v>
      </c>
      <c r="V14" s="49" t="s">
        <v>259</v>
      </c>
      <c r="W14" s="53">
        <v>-9420</v>
      </c>
      <c r="X14" s="49" t="s">
        <v>201</v>
      </c>
      <c r="Y14" s="51">
        <v>0.16666666666666666</v>
      </c>
      <c r="Z14" s="49" t="s">
        <v>193</v>
      </c>
      <c r="AA14" s="52">
        <v>0.16666666666666666</v>
      </c>
      <c r="AB14" s="49" t="s">
        <v>259</v>
      </c>
      <c r="AC14" s="52">
        <v>0.16</v>
      </c>
      <c r="AD14" s="49" t="s">
        <v>221</v>
      </c>
      <c r="AE14" s="52">
        <v>0.25</v>
      </c>
      <c r="AF14" s="49" t="s">
        <v>259</v>
      </c>
      <c r="AG14" s="52">
        <v>0.25</v>
      </c>
      <c r="AH14" s="49" t="s">
        <v>190</v>
      </c>
      <c r="AI14" s="52">
        <v>0.36170212765957449</v>
      </c>
      <c r="AJ14" s="49" t="s">
        <v>221</v>
      </c>
      <c r="AK14" s="56">
        <v>39000</v>
      </c>
    </row>
    <row r="15" spans="1:37" x14ac:dyDescent="0.4">
      <c r="A15" s="46">
        <v>13</v>
      </c>
      <c r="B15" s="49" t="s">
        <v>221</v>
      </c>
      <c r="C15" s="114">
        <v>2</v>
      </c>
      <c r="D15" s="47" t="s">
        <v>163</v>
      </c>
      <c r="E15" s="48">
        <v>-244.29999999999998</v>
      </c>
      <c r="F15" s="49" t="s">
        <v>201</v>
      </c>
      <c r="G15" s="61">
        <v>-25.133333333333329</v>
      </c>
      <c r="H15" s="49" t="s">
        <v>193</v>
      </c>
      <c r="I15" s="53">
        <v>1340.228259602879</v>
      </c>
      <c r="J15" s="49" t="s">
        <v>259</v>
      </c>
      <c r="K15" s="50">
        <v>2.6666666666666665</v>
      </c>
      <c r="L15" s="49" t="s">
        <v>259</v>
      </c>
      <c r="M15" s="51">
        <v>0</v>
      </c>
      <c r="N15" s="49" t="s">
        <v>259</v>
      </c>
      <c r="O15" s="51">
        <v>0.66666666666666663</v>
      </c>
      <c r="P15" s="49" t="s">
        <v>201</v>
      </c>
      <c r="Q15" s="52">
        <v>0.18181818181818182</v>
      </c>
      <c r="R15" s="49" t="s">
        <v>201</v>
      </c>
      <c r="S15" s="52">
        <v>0.25454545454545452</v>
      </c>
      <c r="T15" s="49" t="s">
        <v>259</v>
      </c>
      <c r="U15" s="53">
        <v>7216.666666666667</v>
      </c>
      <c r="V15" s="49" t="s">
        <v>221</v>
      </c>
      <c r="W15" s="53">
        <v>-10300</v>
      </c>
      <c r="X15" s="49" t="s">
        <v>195</v>
      </c>
      <c r="Y15" s="51">
        <v>0.17857142857142858</v>
      </c>
      <c r="Z15" s="49" t="s">
        <v>201</v>
      </c>
      <c r="AA15" s="52">
        <v>0.14545454545454545</v>
      </c>
      <c r="AB15" s="49" t="s">
        <v>195</v>
      </c>
      <c r="AC15" s="52">
        <v>0.11428571428571428</v>
      </c>
      <c r="AD15" s="49" t="s">
        <v>193</v>
      </c>
      <c r="AE15" s="52">
        <v>0.22222222222222221</v>
      </c>
      <c r="AF15" s="49" t="s">
        <v>201</v>
      </c>
      <c r="AG15" s="52">
        <v>0.18181818181818182</v>
      </c>
      <c r="AH15" s="49" t="s">
        <v>193</v>
      </c>
      <c r="AI15" s="52">
        <v>0.25</v>
      </c>
      <c r="AJ15" s="49" t="s">
        <v>201</v>
      </c>
      <c r="AK15" s="56">
        <v>36100</v>
      </c>
    </row>
  </sheetData>
  <sortState xmlns:xlrd2="http://schemas.microsoft.com/office/spreadsheetml/2017/richdata2" ref="AJ3:AK69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51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139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510</v>
      </c>
      <c r="C2" s="142"/>
      <c r="E2" s="26" t="s">
        <v>66</v>
      </c>
      <c r="F2" s="23" t="s">
        <v>22</v>
      </c>
      <c r="G2" s="11">
        <v>988</v>
      </c>
      <c r="H2" s="87">
        <f>IF(B$20=0,0,G2/B$20)</f>
        <v>0.77067082683307331</v>
      </c>
      <c r="I2" s="57">
        <v>7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-31.558185404339252</v>
      </c>
      <c r="Q2" s="76">
        <v>507</v>
      </c>
      <c r="R2" s="63">
        <v>-16000</v>
      </c>
    </row>
    <row r="3" spans="1:18" x14ac:dyDescent="0.4">
      <c r="A3" s="19" t="s">
        <v>8</v>
      </c>
      <c r="B3" s="143">
        <v>4365</v>
      </c>
      <c r="C3" s="144"/>
      <c r="E3" s="27" t="s">
        <v>72</v>
      </c>
      <c r="F3" s="24" t="s">
        <v>27</v>
      </c>
      <c r="G3" s="12">
        <v>743</v>
      </c>
      <c r="H3" s="88">
        <f>IF(B$20=0,0,G3/B$20)</f>
        <v>0.5795631825273011</v>
      </c>
      <c r="I3" s="58">
        <v>7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8.0808080808080813</v>
      </c>
      <c r="Q3" s="77">
        <v>495</v>
      </c>
      <c r="R3" s="64">
        <v>4000</v>
      </c>
    </row>
    <row r="4" spans="1:18" x14ac:dyDescent="0.4">
      <c r="A4" s="19" t="s">
        <v>6</v>
      </c>
      <c r="B4" s="145">
        <v>4.2632564145606011E-14</v>
      </c>
      <c r="C4" s="146"/>
      <c r="E4" s="27" t="s">
        <v>64</v>
      </c>
      <c r="F4" s="24" t="s">
        <v>20</v>
      </c>
      <c r="G4" s="12">
        <v>559</v>
      </c>
      <c r="H4" s="88">
        <f>IF(B$20=0,0,G4/B$20)</f>
        <v>0.43603744149765988</v>
      </c>
      <c r="I4" s="58">
        <v>8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8.1300813008130088</v>
      </c>
      <c r="Q4" s="77">
        <v>492</v>
      </c>
      <c r="R4" s="64">
        <v>4000</v>
      </c>
    </row>
    <row r="5" spans="1:18" x14ac:dyDescent="0.4">
      <c r="A5" s="19" t="s">
        <v>7</v>
      </c>
      <c r="B5" s="133">
        <f>IF(B$2=0,0,B$4/B$2)</f>
        <v>8.3593263030600021E-17</v>
      </c>
      <c r="C5" s="134"/>
      <c r="E5" s="27" t="s">
        <v>159</v>
      </c>
      <c r="F5" s="24" t="s">
        <v>160</v>
      </c>
      <c r="G5" s="12">
        <v>502</v>
      </c>
      <c r="H5" s="88">
        <f>IF(B$20=0,0,G5/B$20)</f>
        <v>0.39157566302652108</v>
      </c>
      <c r="I5" s="58">
        <v>7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-4.2735042735042734</v>
      </c>
      <c r="Q5" s="77">
        <v>468</v>
      </c>
      <c r="R5" s="64">
        <v>-2000</v>
      </c>
    </row>
    <row r="6" spans="1:18" x14ac:dyDescent="0.4">
      <c r="A6" s="19" t="s">
        <v>196</v>
      </c>
      <c r="B6" s="137">
        <v>1604.9485979299698</v>
      </c>
      <c r="C6" s="138"/>
      <c r="E6" s="27" t="s">
        <v>68</v>
      </c>
      <c r="F6" s="24" t="s">
        <v>12</v>
      </c>
      <c r="G6" s="12">
        <v>388</v>
      </c>
      <c r="H6" s="88">
        <f>IF(B$20=0,0,G6/B$20)</f>
        <v>0.30265210608424337</v>
      </c>
      <c r="I6" s="58">
        <v>8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9.2592592592592595</v>
      </c>
      <c r="Q6" s="77">
        <v>432</v>
      </c>
      <c r="R6" s="64">
        <v>4000</v>
      </c>
    </row>
    <row r="7" spans="1:18" x14ac:dyDescent="0.4">
      <c r="A7" s="19" t="s">
        <v>1</v>
      </c>
      <c r="B7" s="147">
        <f>IF(B$2=0,0,(B$8*1+B$9*2+B$10*3)/B$2)</f>
        <v>1.9980392156862745</v>
      </c>
      <c r="C7" s="148"/>
      <c r="E7" s="27" t="s">
        <v>67</v>
      </c>
      <c r="F7" s="24" t="s">
        <v>23</v>
      </c>
      <c r="G7" s="12">
        <v>303</v>
      </c>
      <c r="H7" s="88">
        <f>IF(B$20=0,0,G7/B$20)</f>
        <v>0.23634945397815912</v>
      </c>
      <c r="I7" s="58">
        <v>7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13.550135501355014</v>
      </c>
      <c r="Q7" s="78">
        <v>369</v>
      </c>
      <c r="R7" s="65">
        <v>5000</v>
      </c>
    </row>
    <row r="8" spans="1:18" x14ac:dyDescent="0.4">
      <c r="A8" s="19" t="s">
        <v>2</v>
      </c>
      <c r="B8" s="12">
        <v>171</v>
      </c>
      <c r="C8" s="6">
        <f t="shared" ref="C8:C15" si="1">IF(B$2=0,0,B8/B$2)</f>
        <v>0.3352941176470588</v>
      </c>
      <c r="E8" s="27" t="s">
        <v>69</v>
      </c>
      <c r="F8" s="24" t="s">
        <v>24</v>
      </c>
      <c r="G8" s="12">
        <v>175</v>
      </c>
      <c r="H8" s="88">
        <f>IF(B$20=0,0,G8/B$20)</f>
        <v>0.13650546021840873</v>
      </c>
      <c r="I8" s="58">
        <v>5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169</v>
      </c>
      <c r="C9" s="6">
        <f t="shared" si="1"/>
        <v>0.33137254901960783</v>
      </c>
      <c r="E9" s="27" t="s">
        <v>89</v>
      </c>
      <c r="F9" s="24" t="s">
        <v>44</v>
      </c>
      <c r="G9" s="12">
        <v>173</v>
      </c>
      <c r="H9" s="88">
        <f>IF(B$20=0,0,G9/B$20)</f>
        <v>0.13494539781591264</v>
      </c>
      <c r="I9" s="58">
        <v>6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170</v>
      </c>
      <c r="C10" s="7">
        <f t="shared" si="1"/>
        <v>0.33333333333333331</v>
      </c>
      <c r="E10" s="27" t="s">
        <v>65</v>
      </c>
      <c r="F10" s="24" t="s">
        <v>21</v>
      </c>
      <c r="G10" s="12">
        <v>129</v>
      </c>
      <c r="H10" s="88">
        <f>IF(B$20=0,0,G10/B$20)</f>
        <v>0.10062402496099844</v>
      </c>
      <c r="I10" s="58">
        <v>6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2.6088235294117639</v>
      </c>
      <c r="Q10" s="76">
        <v>170</v>
      </c>
      <c r="R10" s="67">
        <v>443.49999999999983</v>
      </c>
    </row>
    <row r="11" spans="1:18" x14ac:dyDescent="0.4">
      <c r="A11" s="20" t="s">
        <v>184</v>
      </c>
      <c r="B11" s="109">
        <f>IF(B8=0,0,C11/B8)</f>
        <v>34.873099415204663</v>
      </c>
      <c r="C11" s="110">
        <v>5963.2999999999975</v>
      </c>
      <c r="E11" s="27" t="s">
        <v>70</v>
      </c>
      <c r="F11" s="24" t="s">
        <v>25</v>
      </c>
      <c r="G11" s="12">
        <v>129</v>
      </c>
      <c r="H11" s="88">
        <f>IF(B$20=0,0,G11/B$20)</f>
        <v>0.10062402496099844</v>
      </c>
      <c r="I11" s="58">
        <v>5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-3.7294117647058838</v>
      </c>
      <c r="Q11" s="77">
        <v>170</v>
      </c>
      <c r="R11" s="68">
        <v>-634.00000000000023</v>
      </c>
    </row>
    <row r="12" spans="1:18" x14ac:dyDescent="0.4">
      <c r="A12" s="20" t="s">
        <v>185</v>
      </c>
      <c r="B12" s="109">
        <f>IF(B9=0,0,C12/B9)</f>
        <v>-1.1615384615384619</v>
      </c>
      <c r="C12" s="110">
        <v>-196.30000000000004</v>
      </c>
      <c r="E12" s="27" t="s">
        <v>71</v>
      </c>
      <c r="F12" s="24" t="s">
        <v>26</v>
      </c>
      <c r="G12" s="12">
        <v>81</v>
      </c>
      <c r="H12" s="88">
        <f>IF(B$20=0,0,G12/B$20)</f>
        <v>6.3182527301092042E-2</v>
      </c>
      <c r="I12" s="58">
        <v>7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1.1205882352941179</v>
      </c>
      <c r="Q12" s="78">
        <v>170</v>
      </c>
      <c r="R12" s="69">
        <v>190.50000000000003</v>
      </c>
    </row>
    <row r="13" spans="1:18" x14ac:dyDescent="0.4">
      <c r="A13" s="20" t="s">
        <v>186</v>
      </c>
      <c r="B13" s="109">
        <f>IF(B10=0,0,C13/B10)</f>
        <v>-33.923529411764704</v>
      </c>
      <c r="C13" s="110">
        <v>-5767</v>
      </c>
      <c r="E13" s="27" t="s">
        <v>86</v>
      </c>
      <c r="F13" s="24" t="s">
        <v>41</v>
      </c>
      <c r="G13" s="12">
        <v>74</v>
      </c>
      <c r="H13" s="88">
        <f>IF(B$20=0,0,G13/B$20)</f>
        <v>5.7722308892355696E-2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-7.0656152699501248E-2</v>
      </c>
      <c r="C14" s="134"/>
      <c r="E14" s="27" t="s">
        <v>83</v>
      </c>
      <c r="F14" s="24" t="s">
        <v>38</v>
      </c>
      <c r="G14" s="12">
        <v>58</v>
      </c>
      <c r="H14" s="88">
        <f>IF(B$20=0,0,G14/B$20)</f>
        <v>4.5241809672386897E-2</v>
      </c>
      <c r="I14" s="58">
        <v>9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43</v>
      </c>
      <c r="C15" s="9">
        <f t="shared" si="1"/>
        <v>8.4313725490196084E-2</v>
      </c>
      <c r="E15" s="27" t="s">
        <v>78</v>
      </c>
      <c r="F15" s="24" t="s">
        <v>33</v>
      </c>
      <c r="G15" s="12">
        <v>41</v>
      </c>
      <c r="H15" s="88">
        <f>IF(B$20=0,0,G15/B$20)</f>
        <v>3.1981279251170044E-2</v>
      </c>
      <c r="I15" s="58">
        <v>8</v>
      </c>
      <c r="K15" s="74">
        <v>13</v>
      </c>
      <c r="L15" s="119">
        <v>48.999999999999993</v>
      </c>
      <c r="M15" s="117">
        <v>1603.6953056015411</v>
      </c>
      <c r="O15" s="73" t="s">
        <v>201</v>
      </c>
      <c r="P15" s="82">
        <f>IF(Q15=0,0,R15/Q15)</f>
        <v>37.700000000000003</v>
      </c>
      <c r="Q15" s="76">
        <v>12</v>
      </c>
      <c r="R15" s="67">
        <v>452.40000000000003</v>
      </c>
    </row>
    <row r="16" spans="1:18" x14ac:dyDescent="0.4">
      <c r="A16" s="22" t="s">
        <v>121</v>
      </c>
      <c r="B16" s="15">
        <v>1080</v>
      </c>
      <c r="C16" s="10">
        <f>IF(B$3=0,0,B16/B$3)</f>
        <v>0.24742268041237114</v>
      </c>
      <c r="E16" s="27" t="s">
        <v>81</v>
      </c>
      <c r="F16" s="24" t="s">
        <v>36</v>
      </c>
      <c r="G16" s="12">
        <v>38</v>
      </c>
      <c r="H16" s="88">
        <f>IF(B$20=0,0,G16/B$20)</f>
        <v>2.9641185647425898E-2</v>
      </c>
      <c r="I16" s="58">
        <v>8</v>
      </c>
      <c r="K16" s="74">
        <v>14</v>
      </c>
      <c r="L16" s="119">
        <v>3.4999999999999929</v>
      </c>
      <c r="M16" s="117">
        <v>1595.6091337679318</v>
      </c>
      <c r="O16" s="74" t="s">
        <v>259</v>
      </c>
      <c r="P16" s="83">
        <f>IF(Q16=0,0,R16/Q16)</f>
        <v>24.999999999999996</v>
      </c>
      <c r="Q16" s="77">
        <v>6</v>
      </c>
      <c r="R16" s="68">
        <v>149.99999999999997</v>
      </c>
    </row>
    <row r="17" spans="1:18" x14ac:dyDescent="0.4">
      <c r="A17" s="19" t="s">
        <v>118</v>
      </c>
      <c r="B17" s="12">
        <v>963</v>
      </c>
      <c r="C17" s="6">
        <f>IF(B$3=0,0,B17/B$3)</f>
        <v>0.22061855670103092</v>
      </c>
      <c r="E17" s="27" t="s">
        <v>91</v>
      </c>
      <c r="F17" s="24" t="s">
        <v>46</v>
      </c>
      <c r="G17" s="12">
        <v>23</v>
      </c>
      <c r="H17" s="88">
        <f>IF(B$20=0,0,G17/B$20)</f>
        <v>1.7940717628705149E-2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193</v>
      </c>
      <c r="P17" s="83">
        <f>IF(Q17=0,0,R17/Q17)</f>
        <v>19.550000000000004</v>
      </c>
      <c r="Q17" s="77">
        <v>12</v>
      </c>
      <c r="R17" s="68">
        <v>234.60000000000005</v>
      </c>
    </row>
    <row r="18" spans="1:18" x14ac:dyDescent="0.4">
      <c r="A18" s="18" t="s">
        <v>123</v>
      </c>
      <c r="B18" s="11">
        <f>B24</f>
        <v>575</v>
      </c>
      <c r="C18" s="5">
        <f>IF(B$16=0,0,B18/B$16)</f>
        <v>0.53240740740740744</v>
      </c>
      <c r="E18" s="27" t="s">
        <v>155</v>
      </c>
      <c r="F18" s="24" t="s">
        <v>156</v>
      </c>
      <c r="G18" s="12">
        <v>20</v>
      </c>
      <c r="H18" s="88">
        <f>IF(B$20=0,0,G18/B$20)</f>
        <v>1.5600624024960999E-2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195</v>
      </c>
      <c r="P18" s="83">
        <f>IF(Q18=0,0,R18/Q18)</f>
        <v>12.958928571428574</v>
      </c>
      <c r="Q18" s="77">
        <v>56</v>
      </c>
      <c r="R18" s="68">
        <v>725.70000000000016</v>
      </c>
    </row>
    <row r="19" spans="1:18" x14ac:dyDescent="0.4">
      <c r="A19" s="18" t="s">
        <v>124</v>
      </c>
      <c r="B19" s="11">
        <f>B25</f>
        <v>386</v>
      </c>
      <c r="C19" s="5">
        <f>IF(B$17=0,0,B19/B$17)</f>
        <v>0.40083073727933544</v>
      </c>
      <c r="E19" s="27" t="s">
        <v>79</v>
      </c>
      <c r="F19" s="24" t="s">
        <v>34</v>
      </c>
      <c r="G19" s="12">
        <v>15</v>
      </c>
      <c r="H19" s="88">
        <f>IF(B$20=0,0,G19/B$20)</f>
        <v>1.1700468018720749E-2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">
      <c r="A20" s="18" t="s">
        <v>10</v>
      </c>
      <c r="B20" s="11">
        <f>B23+B22</f>
        <v>1282</v>
      </c>
      <c r="C20" s="5">
        <f>IF(B$3=0,0,B20/B$3)</f>
        <v>0.29369988545246278</v>
      </c>
      <c r="E20" s="27" t="s">
        <v>73</v>
      </c>
      <c r="F20" s="24" t="s">
        <v>28</v>
      </c>
      <c r="G20" s="12">
        <v>10</v>
      </c>
      <c r="H20" s="88">
        <f>IF(B$20=0,0,G20/B$20)</f>
        <v>7.8003120124804995E-3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216</v>
      </c>
      <c r="P20" s="83">
        <f>IF(Q20=0,0,R20/Q20)</f>
        <v>8.5500000000000025</v>
      </c>
      <c r="Q20" s="77">
        <v>38</v>
      </c>
      <c r="R20" s="68">
        <v>324.90000000000009</v>
      </c>
    </row>
    <row r="21" spans="1:18" x14ac:dyDescent="0.4">
      <c r="A21" s="19" t="s">
        <v>13</v>
      </c>
      <c r="B21" s="12">
        <v>715</v>
      </c>
      <c r="C21" s="6">
        <f>IF(B$3=0,0,B21/B$3)</f>
        <v>0.16380297823596793</v>
      </c>
      <c r="E21" s="27" t="s">
        <v>85</v>
      </c>
      <c r="F21" s="24" t="s">
        <v>40</v>
      </c>
      <c r="G21" s="12">
        <v>6</v>
      </c>
      <c r="H21" s="88">
        <f>IF(B$20=0,0,G21/B$20)</f>
        <v>4.6801872074882997E-3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163</v>
      </c>
      <c r="P21" s="83">
        <f>IF(Q21=0,0,R21/Q21)</f>
        <v>4.11741573033708</v>
      </c>
      <c r="Q21" s="77">
        <v>178</v>
      </c>
      <c r="R21" s="68">
        <v>732.9000000000002</v>
      </c>
    </row>
    <row r="22" spans="1:18" x14ac:dyDescent="0.4">
      <c r="A22" s="19" t="s">
        <v>12</v>
      </c>
      <c r="B22" s="12">
        <v>559</v>
      </c>
      <c r="C22" s="6">
        <f>IF(B$20=0,0,B22/B$20)</f>
        <v>0.43603744149765988</v>
      </c>
      <c r="E22" s="27" t="s">
        <v>75</v>
      </c>
      <c r="F22" s="24" t="s">
        <v>30</v>
      </c>
      <c r="G22" s="12">
        <v>5</v>
      </c>
      <c r="H22" s="88">
        <f>IF(B$20=0,0,G22/B$20)</f>
        <v>3.9001560062402497E-3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1.8264705882352947</v>
      </c>
      <c r="Q22" s="77">
        <v>102</v>
      </c>
      <c r="R22" s="68">
        <v>186.30000000000007</v>
      </c>
    </row>
    <row r="23" spans="1:18" x14ac:dyDescent="0.4">
      <c r="A23" s="19" t="s">
        <v>11</v>
      </c>
      <c r="B23" s="12">
        <v>723</v>
      </c>
      <c r="C23" s="6">
        <f>IF(B$20=0,0,B23/B$20)</f>
        <v>0.56396255850234012</v>
      </c>
      <c r="E23" s="27" t="s">
        <v>77</v>
      </c>
      <c r="F23" s="24" t="s">
        <v>32</v>
      </c>
      <c r="G23" s="12">
        <v>5</v>
      </c>
      <c r="H23" s="88">
        <f>IF(B$20=0,0,G23/B$20)</f>
        <v>3.9001560062402497E-3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190</v>
      </c>
      <c r="P23" s="83">
        <f>IF(Q23=0,0,R23/Q23)</f>
        <v>-1.7174999999999994</v>
      </c>
      <c r="Q23" s="77">
        <v>80</v>
      </c>
      <c r="R23" s="68">
        <v>-137.39999999999995</v>
      </c>
    </row>
    <row r="24" spans="1:18" x14ac:dyDescent="0.4">
      <c r="A24" s="19" t="s">
        <v>183</v>
      </c>
      <c r="B24" s="12">
        <v>575</v>
      </c>
      <c r="C24" s="6">
        <f>IF(B$20=0,0,B24/B$20)</f>
        <v>0.44851794071762868</v>
      </c>
      <c r="E24" s="27" t="s">
        <v>88</v>
      </c>
      <c r="F24" s="24" t="s">
        <v>43</v>
      </c>
      <c r="G24" s="12">
        <v>5</v>
      </c>
      <c r="H24" s="88">
        <f>IF(B$20=0,0,G24/B$20)</f>
        <v>3.9001560062402497E-3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126</v>
      </c>
      <c r="P24" s="83">
        <f>IF(Q24=0,0,R24/Q24)</f>
        <v>-3.4365517241379293</v>
      </c>
      <c r="Q24" s="77">
        <v>290</v>
      </c>
      <c r="R24" s="68">
        <v>-996.59999999999945</v>
      </c>
    </row>
    <row r="25" spans="1:18" x14ac:dyDescent="0.4">
      <c r="A25" s="19" t="s">
        <v>181</v>
      </c>
      <c r="B25" s="12">
        <v>386</v>
      </c>
      <c r="C25" s="6">
        <f>IF(B$20=0,0,B25/B$20)</f>
        <v>0.30109204368174725</v>
      </c>
      <c r="E25" s="27" t="s">
        <v>92</v>
      </c>
      <c r="F25" s="24" t="s">
        <v>47</v>
      </c>
      <c r="G25" s="12">
        <v>5</v>
      </c>
      <c r="H25" s="88">
        <f>IF(B$20=0,0,G25/B$20)</f>
        <v>3.9001560062402497E-3</v>
      </c>
      <c r="I25" s="58">
        <v>4</v>
      </c>
      <c r="K25" s="74">
        <v>23</v>
      </c>
      <c r="L25" s="119">
        <v>37.999999999999993</v>
      </c>
      <c r="M25" s="117">
        <v>1601.1018287684915</v>
      </c>
      <c r="O25" s="74" t="s">
        <v>211</v>
      </c>
      <c r="P25" s="83">
        <f>IF(Q25=0,0,R25/Q25)</f>
        <v>-5.2411764705882344</v>
      </c>
      <c r="Q25" s="77">
        <v>102</v>
      </c>
      <c r="R25" s="68">
        <v>-534.59999999999991</v>
      </c>
    </row>
    <row r="26" spans="1:18" x14ac:dyDescent="0.4">
      <c r="A26" s="19" t="s">
        <v>182</v>
      </c>
      <c r="B26" s="12">
        <v>321</v>
      </c>
      <c r="C26" s="6">
        <f>IF(B$20=0,0,B26/B$20)</f>
        <v>0.25039001560062402</v>
      </c>
      <c r="E26" s="27" t="s">
        <v>90</v>
      </c>
      <c r="F26" s="24" t="s">
        <v>45</v>
      </c>
      <c r="G26" s="12">
        <v>3</v>
      </c>
      <c r="H26" s="88">
        <f>IF(B$20=0,0,G26/B$20)</f>
        <v>2.3400936037441498E-3</v>
      </c>
      <c r="I26" s="58">
        <v>4</v>
      </c>
      <c r="K26" s="74">
        <v>24</v>
      </c>
      <c r="L26" s="119">
        <v>-7.1054273576010019E-15</v>
      </c>
      <c r="M26" s="117">
        <v>1593.6312177958805</v>
      </c>
      <c r="O26" s="74" t="s">
        <v>192</v>
      </c>
      <c r="P26" s="83">
        <f>IF(Q26=0,0,R26/Q26)</f>
        <v>-8.4192857142857154</v>
      </c>
      <c r="Q26" s="77">
        <v>140</v>
      </c>
      <c r="R26" s="68">
        <v>-1178.7</v>
      </c>
    </row>
    <row r="27" spans="1:18" x14ac:dyDescent="0.4">
      <c r="A27" s="19" t="s">
        <v>5</v>
      </c>
      <c r="B27" s="16">
        <f>IF(B$20=0,0,C27/B$20)</f>
        <v>8303.432137285492</v>
      </c>
      <c r="C27" s="8">
        <v>10645000</v>
      </c>
      <c r="E27" s="27" t="s">
        <v>93</v>
      </c>
      <c r="F27" s="24" t="s">
        <v>48</v>
      </c>
      <c r="G27" s="12">
        <v>2</v>
      </c>
      <c r="H27" s="88">
        <f>IF(B$20=0,0,G27/B$20)</f>
        <v>1.5600624024960999E-3</v>
      </c>
      <c r="I27" s="58">
        <v>3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8893.75</v>
      </c>
      <c r="C28" s="96">
        <v>7968800</v>
      </c>
      <c r="E28" s="27" t="s">
        <v>80</v>
      </c>
      <c r="F28" s="24" t="s">
        <v>35</v>
      </c>
      <c r="G28" s="12">
        <v>1</v>
      </c>
      <c r="H28" s="88">
        <f>IF(B$20=0,0,G28/B$20)</f>
        <v>7.8003120124804995E-4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6933.1606217616581</v>
      </c>
      <c r="C29" s="96">
        <v>2676200</v>
      </c>
      <c r="E29" s="27" t="s">
        <v>84</v>
      </c>
      <c r="F29" s="24" t="s">
        <v>39</v>
      </c>
      <c r="G29" s="12">
        <v>1</v>
      </c>
      <c r="H29" s="88">
        <f>IF(B$20=0,0,G29/B$20)</f>
        <v>7.8003120124804995E-4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-7829.6503496503492</v>
      </c>
      <c r="C30" s="96">
        <v>-5598200</v>
      </c>
      <c r="E30" s="27" t="s">
        <v>87</v>
      </c>
      <c r="F30" s="24" t="s">
        <v>42</v>
      </c>
      <c r="G30" s="12">
        <v>1</v>
      </c>
      <c r="H30" s="88">
        <f>IF(B$20=0,0,G30/B$20)</f>
        <v>7.8003120124804995E-4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102</v>
      </c>
      <c r="F31" s="24" t="s">
        <v>57</v>
      </c>
      <c r="G31" s="12">
        <v>1</v>
      </c>
      <c r="H31" s="88">
        <f>IF(B$20=0,0,G31/B$20)</f>
        <v>7.8003120124804995E-4</v>
      </c>
      <c r="I31" s="58">
        <v>2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1</v>
      </c>
      <c r="E32" s="27" t="s">
        <v>106</v>
      </c>
      <c r="F32" s="24" t="s">
        <v>113</v>
      </c>
      <c r="G32" s="12">
        <v>1</v>
      </c>
      <c r="H32" s="88">
        <f>IF(B$20=0,0,G32/B$20)</f>
        <v>7.8003120124804995E-4</v>
      </c>
      <c r="I32" s="58">
        <v>2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35">
        <v>7</v>
      </c>
      <c r="C33" s="136"/>
      <c r="E33" s="27" t="s">
        <v>74</v>
      </c>
      <c r="F33" s="24" t="s">
        <v>29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37">
        <v>103000</v>
      </c>
      <c r="C34" s="138"/>
      <c r="E34" s="27" t="s">
        <v>76</v>
      </c>
      <c r="F34" s="24" t="s">
        <v>31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8</v>
      </c>
      <c r="C35" s="9">
        <f>IF(B$3=0,0,B35/B$3)</f>
        <v>1.8327605956471936E-3</v>
      </c>
      <c r="E35" s="27" t="s">
        <v>82</v>
      </c>
      <c r="F35" s="24" t="s">
        <v>37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90</v>
      </c>
      <c r="C37" s="98">
        <f t="shared" ref="C37:C49" si="2">IF(B$20=0,0,B37/B$20)</f>
        <v>7.0202808112324488E-2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228</v>
      </c>
      <c r="C38" s="6">
        <f t="shared" si="2"/>
        <v>0.17784711388455537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249</v>
      </c>
      <c r="C39" s="6">
        <f t="shared" si="2"/>
        <v>0.19422776911076442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250</v>
      </c>
      <c r="C40" s="6">
        <f t="shared" si="2"/>
        <v>0.19500780031201248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187</v>
      </c>
      <c r="C41" s="6">
        <f t="shared" si="2"/>
        <v>0.14586583463338534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125</v>
      </c>
      <c r="C42" s="6">
        <f t="shared" si="2"/>
        <v>9.750390015600624E-2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59</v>
      </c>
      <c r="C43" s="6">
        <f t="shared" si="2"/>
        <v>4.6021840873634944E-2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41</v>
      </c>
      <c r="C44" s="6">
        <f t="shared" si="2"/>
        <v>3.1981279251170044E-2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22</v>
      </c>
      <c r="C45" s="6">
        <f t="shared" si="2"/>
        <v>1.7160686427457099E-2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13</v>
      </c>
      <c r="C46" s="6">
        <f t="shared" si="2"/>
        <v>1.0140405616224649E-2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7</v>
      </c>
      <c r="C47" s="6">
        <f t="shared" si="2"/>
        <v>5.4602184087363496E-3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7.8003120124804995E-4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10</v>
      </c>
      <c r="C49" s="9">
        <f t="shared" si="2"/>
        <v>7.8003120124804995E-3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  <row r="333" spans="11:13" x14ac:dyDescent="0.4">
      <c r="K333" s="74">
        <v>331</v>
      </c>
      <c r="L333" s="119">
        <v>-6.1999999999999611</v>
      </c>
      <c r="M333" s="117">
        <v>1601.2487596364456</v>
      </c>
    </row>
    <row r="334" spans="11:13" x14ac:dyDescent="0.4">
      <c r="K334" s="74">
        <v>332</v>
      </c>
      <c r="L334" s="119">
        <v>-46.19999999999996</v>
      </c>
      <c r="M334" s="117">
        <v>1594.1612670786269</v>
      </c>
    </row>
    <row r="335" spans="11:13" x14ac:dyDescent="0.4">
      <c r="K335" s="74">
        <v>333</v>
      </c>
      <c r="L335" s="119">
        <v>4.2632564145606011E-14</v>
      </c>
      <c r="M335" s="117">
        <v>1602.6322994761551</v>
      </c>
    </row>
    <row r="336" spans="11:13" x14ac:dyDescent="0.4">
      <c r="K336" s="74">
        <v>334</v>
      </c>
      <c r="L336" s="119">
        <v>46.600000000000044</v>
      </c>
      <c r="M336" s="117">
        <v>1611.1245056792982</v>
      </c>
    </row>
    <row r="337" spans="11:13" x14ac:dyDescent="0.4">
      <c r="K337" s="74">
        <v>335</v>
      </c>
      <c r="L337" s="119">
        <v>50.300000000000047</v>
      </c>
      <c r="M337" s="117">
        <v>1611.8437586452224</v>
      </c>
    </row>
    <row r="338" spans="11:13" x14ac:dyDescent="0.4">
      <c r="K338" s="74">
        <v>336</v>
      </c>
      <c r="L338" s="119">
        <v>4.9737991503207013E-14</v>
      </c>
      <c r="M338" s="117">
        <v>1602.838696093351</v>
      </c>
    </row>
    <row r="339" spans="11:13" x14ac:dyDescent="0.4">
      <c r="K339" s="74">
        <v>337</v>
      </c>
      <c r="L339" s="119">
        <v>-22.099999999999952</v>
      </c>
      <c r="M339" s="117">
        <v>1598.249663916791</v>
      </c>
    </row>
    <row r="340" spans="11:13" x14ac:dyDescent="0.4">
      <c r="K340" s="74">
        <v>338</v>
      </c>
      <c r="L340" s="119">
        <v>-21.49999999999995</v>
      </c>
      <c r="M340" s="117">
        <v>1597.7741659332903</v>
      </c>
    </row>
    <row r="341" spans="11:13" x14ac:dyDescent="0.4">
      <c r="K341" s="74">
        <v>339</v>
      </c>
      <c r="L341" s="119">
        <v>4.9737991503207013E-14</v>
      </c>
      <c r="M341" s="117">
        <v>1601.0635209376906</v>
      </c>
    </row>
    <row r="342" spans="11:13" x14ac:dyDescent="0.4">
      <c r="K342" s="74">
        <v>340</v>
      </c>
      <c r="L342" s="119">
        <v>32.200000000000053</v>
      </c>
      <c r="M342" s="117">
        <v>1606.2591398120644</v>
      </c>
    </row>
    <row r="343" spans="11:13" x14ac:dyDescent="0.4">
      <c r="K343" s="74">
        <v>341</v>
      </c>
      <c r="L343" s="119">
        <v>27.100000000000051</v>
      </c>
      <c r="M343" s="117">
        <v>1604.709584973192</v>
      </c>
    </row>
    <row r="344" spans="11:13" x14ac:dyDescent="0.4">
      <c r="K344" s="74">
        <v>342</v>
      </c>
      <c r="L344" s="119">
        <v>4.9737991503207013E-14</v>
      </c>
      <c r="M344" s="117">
        <v>1599.2093274633528</v>
      </c>
    </row>
    <row r="345" spans="11:13" x14ac:dyDescent="0.4">
      <c r="K345" s="74">
        <v>343</v>
      </c>
      <c r="L345" s="119">
        <v>-24.49999999999995</v>
      </c>
      <c r="M345" s="117">
        <v>1595.0140714985728</v>
      </c>
    </row>
    <row r="346" spans="11:13" x14ac:dyDescent="0.4">
      <c r="K346" s="74">
        <v>344</v>
      </c>
      <c r="L346" s="119">
        <v>-27.49999999999995</v>
      </c>
      <c r="M346" s="117">
        <v>1594.7139870695814</v>
      </c>
    </row>
    <row r="347" spans="11:13" x14ac:dyDescent="0.4">
      <c r="K347" s="74">
        <v>345</v>
      </c>
      <c r="L347" s="119">
        <v>4.9737991503207013E-14</v>
      </c>
      <c r="M347" s="117">
        <v>1599.9057031471639</v>
      </c>
    </row>
    <row r="348" spans="11:13" x14ac:dyDescent="0.4">
      <c r="K348" s="74">
        <v>346</v>
      </c>
      <c r="L348" s="119">
        <v>27.900000000000048</v>
      </c>
      <c r="M348" s="117">
        <v>1605.1322689282808</v>
      </c>
    </row>
    <row r="349" spans="11:13" x14ac:dyDescent="0.4">
      <c r="K349" s="74">
        <v>347</v>
      </c>
      <c r="L349" s="119">
        <v>32.300000000000047</v>
      </c>
      <c r="M349" s="117">
        <v>1606.0974753147111</v>
      </c>
    </row>
    <row r="350" spans="11:13" x14ac:dyDescent="0.4">
      <c r="K350" s="74">
        <v>348</v>
      </c>
      <c r="L350" s="119">
        <v>4.9737991503207013E-14</v>
      </c>
      <c r="M350" s="117">
        <v>1600.4508904628228</v>
      </c>
    </row>
    <row r="351" spans="11:13" x14ac:dyDescent="0.4">
      <c r="K351" s="74">
        <v>349</v>
      </c>
      <c r="L351" s="119">
        <v>37.300000000000047</v>
      </c>
      <c r="M351" s="117">
        <v>1607.3001851200459</v>
      </c>
    </row>
    <row r="352" spans="11:13" x14ac:dyDescent="0.4">
      <c r="K352" s="74">
        <v>350</v>
      </c>
      <c r="L352" s="119">
        <v>45.500000000000043</v>
      </c>
      <c r="M352" s="117">
        <v>1608.8703840093256</v>
      </c>
    </row>
    <row r="353" spans="11:13" x14ac:dyDescent="0.4">
      <c r="K353" s="74">
        <v>351</v>
      </c>
      <c r="L353" s="119">
        <v>4.2632564145606011E-14</v>
      </c>
      <c r="M353" s="117">
        <v>1600.7651617052695</v>
      </c>
    </row>
    <row r="354" spans="11:13" x14ac:dyDescent="0.4">
      <c r="K354" s="74">
        <v>352</v>
      </c>
      <c r="L354" s="119">
        <v>2.0000000000000426</v>
      </c>
      <c r="M354" s="117">
        <v>1601.504570735038</v>
      </c>
    </row>
    <row r="355" spans="11:13" x14ac:dyDescent="0.4">
      <c r="K355" s="74">
        <v>353</v>
      </c>
      <c r="L355" s="119">
        <v>-19.499999999999957</v>
      </c>
      <c r="M355" s="117">
        <v>1598.0095433106278</v>
      </c>
    </row>
    <row r="356" spans="11:13" x14ac:dyDescent="0.4">
      <c r="K356" s="74">
        <v>354</v>
      </c>
      <c r="L356" s="119">
        <v>4.2632564145606011E-14</v>
      </c>
      <c r="M356" s="117">
        <v>1601.915486050764</v>
      </c>
    </row>
    <row r="357" spans="11:13" x14ac:dyDescent="0.4">
      <c r="K357" s="74">
        <v>355</v>
      </c>
      <c r="L357" s="119">
        <v>-26.399999999999956</v>
      </c>
      <c r="M357" s="117">
        <v>1597.5359931344594</v>
      </c>
    </row>
    <row r="358" spans="11:13" x14ac:dyDescent="0.4">
      <c r="K358" s="74">
        <v>356</v>
      </c>
      <c r="L358" s="119">
        <v>-34.299999999999955</v>
      </c>
      <c r="M358" s="117">
        <v>1596.5127771756527</v>
      </c>
    </row>
    <row r="359" spans="11:13" x14ac:dyDescent="0.4">
      <c r="K359" s="74">
        <v>357</v>
      </c>
      <c r="L359" s="119">
        <v>4.2632564145606011E-14</v>
      </c>
      <c r="M359" s="117">
        <v>1603.0917005125987</v>
      </c>
    </row>
    <row r="360" spans="11:13" x14ac:dyDescent="0.4">
      <c r="K360" s="74">
        <v>358</v>
      </c>
      <c r="L360" s="119">
        <v>6.8000000000000425</v>
      </c>
      <c r="M360" s="117">
        <v>1604.0991503095231</v>
      </c>
    </row>
    <row r="361" spans="11:13" x14ac:dyDescent="0.4">
      <c r="K361" s="74">
        <v>359</v>
      </c>
      <c r="L361" s="119">
        <v>-38.899999999999963</v>
      </c>
      <c r="M361" s="117">
        <v>1595.6505554076659</v>
      </c>
    </row>
    <row r="362" spans="11:13" x14ac:dyDescent="0.4">
      <c r="K362" s="74">
        <v>360</v>
      </c>
      <c r="L362" s="119">
        <v>3.5527136788005009E-14</v>
      </c>
      <c r="M362" s="117">
        <v>1602.48065207522</v>
      </c>
    </row>
    <row r="363" spans="11:13" x14ac:dyDescent="0.4">
      <c r="K363" s="74">
        <v>361</v>
      </c>
      <c r="L363" s="119">
        <v>16.000000000000036</v>
      </c>
      <c r="M363" s="117">
        <v>1605.6157681627685</v>
      </c>
    </row>
    <row r="364" spans="11:13" x14ac:dyDescent="0.4">
      <c r="K364" s="74">
        <v>362</v>
      </c>
      <c r="L364" s="119">
        <v>48.000000000000036</v>
      </c>
      <c r="M364" s="117">
        <v>1611.612073553792</v>
      </c>
    </row>
    <row r="365" spans="11:13" x14ac:dyDescent="0.4">
      <c r="K365" s="74">
        <v>363</v>
      </c>
      <c r="L365" s="119">
        <v>3.5527136788005009E-14</v>
      </c>
      <c r="M365" s="117">
        <v>1603.1724011124693</v>
      </c>
    </row>
    <row r="366" spans="11:13" x14ac:dyDescent="0.4">
      <c r="K366" s="74">
        <v>364</v>
      </c>
      <c r="L366" s="119">
        <v>-34.899999999999963</v>
      </c>
      <c r="M366" s="117">
        <v>1597.1413667057946</v>
      </c>
    </row>
    <row r="367" spans="11:13" x14ac:dyDescent="0.4">
      <c r="K367" s="74">
        <v>365</v>
      </c>
      <c r="L367" s="119">
        <v>-8.8999999999999631</v>
      </c>
      <c r="M367" s="117">
        <v>1602.1085185055597</v>
      </c>
    </row>
    <row r="368" spans="11:13" x14ac:dyDescent="0.4">
      <c r="K368" s="74">
        <v>366</v>
      </c>
      <c r="L368" s="119">
        <v>3.730349362740526E-14</v>
      </c>
      <c r="M368" s="117">
        <v>1603.9678673945264</v>
      </c>
    </row>
    <row r="369" spans="11:13" x14ac:dyDescent="0.4">
      <c r="K369" s="74">
        <v>367</v>
      </c>
      <c r="L369" s="119">
        <v>-33.899999999999963</v>
      </c>
      <c r="M369" s="117">
        <v>1598.1120601901591</v>
      </c>
    </row>
    <row r="370" spans="11:13" x14ac:dyDescent="0.4">
      <c r="K370" s="74">
        <v>368</v>
      </c>
      <c r="L370" s="119">
        <v>-32.299999999999962</v>
      </c>
      <c r="M370" s="117">
        <v>1598.6813878290181</v>
      </c>
    </row>
    <row r="371" spans="11:13" x14ac:dyDescent="0.4">
      <c r="K371" s="74">
        <v>369</v>
      </c>
      <c r="L371" s="119">
        <v>3.5527136788005009E-14</v>
      </c>
      <c r="M371" s="117">
        <v>1604.773299502044</v>
      </c>
    </row>
    <row r="372" spans="11:13" x14ac:dyDescent="0.4">
      <c r="K372" s="74">
        <v>370</v>
      </c>
      <c r="L372" s="119">
        <v>-0.49999999999996447</v>
      </c>
      <c r="M372" s="117">
        <v>1604.9306597050318</v>
      </c>
    </row>
    <row r="373" spans="11:13" x14ac:dyDescent="0.4">
      <c r="K373" s="74">
        <v>371</v>
      </c>
      <c r="L373" s="119">
        <v>-23.899999999999963</v>
      </c>
      <c r="M373" s="117">
        <v>1600.9650757468016</v>
      </c>
    </row>
    <row r="374" spans="11:13" x14ac:dyDescent="0.4">
      <c r="K374" s="74">
        <v>372</v>
      </c>
      <c r="L374" s="119">
        <v>3.5527136788005009E-14</v>
      </c>
      <c r="M374" s="117">
        <v>1605.5372852923208</v>
      </c>
    </row>
    <row r="375" spans="11:13" x14ac:dyDescent="0.4">
      <c r="K375" s="74">
        <v>373</v>
      </c>
      <c r="L375" s="119">
        <v>0.30000000000003552</v>
      </c>
      <c r="M375" s="117">
        <v>1605.8340615805669</v>
      </c>
    </row>
    <row r="376" spans="11:13" x14ac:dyDescent="0.4">
      <c r="K376" s="74">
        <v>374</v>
      </c>
      <c r="L376" s="119">
        <v>37.400000000000034</v>
      </c>
      <c r="M376" s="117">
        <v>1612.7530572110834</v>
      </c>
    </row>
    <row r="377" spans="11:13" x14ac:dyDescent="0.4">
      <c r="K377" s="74">
        <v>375</v>
      </c>
      <c r="L377" s="119">
        <v>3.5527136788005009E-14</v>
      </c>
      <c r="M377" s="117">
        <v>1606.2205388678169</v>
      </c>
    </row>
    <row r="378" spans="11:13" x14ac:dyDescent="0.4">
      <c r="K378" s="74">
        <v>376</v>
      </c>
      <c r="L378" s="119">
        <v>-48.999999999999964</v>
      </c>
      <c r="M378" s="117">
        <v>1597.63321563461</v>
      </c>
    </row>
    <row r="379" spans="11:13" x14ac:dyDescent="0.4">
      <c r="K379" s="74">
        <v>377</v>
      </c>
      <c r="L379" s="119">
        <v>-59.999999999999964</v>
      </c>
      <c r="M379" s="117">
        <v>1595.9374163408024</v>
      </c>
    </row>
    <row r="380" spans="11:13" x14ac:dyDescent="0.4">
      <c r="K380" s="74">
        <v>378</v>
      </c>
      <c r="L380" s="119">
        <v>3.5527136788005009E-14</v>
      </c>
      <c r="M380" s="117">
        <v>1607.0317918427577</v>
      </c>
    </row>
    <row r="381" spans="11:13" x14ac:dyDescent="0.4">
      <c r="K381" s="74">
        <v>379</v>
      </c>
      <c r="L381" s="119">
        <v>-4.4999999999999645</v>
      </c>
      <c r="M381" s="117">
        <v>1606.3476010917011</v>
      </c>
    </row>
    <row r="382" spans="11:13" x14ac:dyDescent="0.4">
      <c r="K382" s="74">
        <v>380</v>
      </c>
      <c r="L382" s="119">
        <v>24.200000000000035</v>
      </c>
      <c r="M382" s="117">
        <v>1611.6435154851508</v>
      </c>
    </row>
    <row r="383" spans="11:13" x14ac:dyDescent="0.4">
      <c r="K383" s="74">
        <v>381</v>
      </c>
      <c r="L383" s="119">
        <v>3.5527136788005009E-14</v>
      </c>
      <c r="M383" s="117">
        <v>1607.38565439224</v>
      </c>
    </row>
    <row r="384" spans="11:13" x14ac:dyDescent="0.4">
      <c r="K384" s="74">
        <v>382</v>
      </c>
      <c r="L384" s="119">
        <v>49.400000000000034</v>
      </c>
      <c r="M384" s="117">
        <v>1616.4013404658865</v>
      </c>
    </row>
    <row r="385" spans="11:13" x14ac:dyDescent="0.4">
      <c r="K385" s="74">
        <v>383</v>
      </c>
      <c r="L385" s="119">
        <v>50.500000000000036</v>
      </c>
      <c r="M385" s="117">
        <v>1616.6689324230913</v>
      </c>
    </row>
    <row r="386" spans="11:13" x14ac:dyDescent="0.4">
      <c r="K386" s="74">
        <v>384</v>
      </c>
      <c r="L386" s="119">
        <v>3.5527136788005009E-14</v>
      </c>
      <c r="M386" s="117">
        <v>1607.6469188285528</v>
      </c>
    </row>
    <row r="387" spans="11:13" x14ac:dyDescent="0.4">
      <c r="K387" s="74">
        <v>385</v>
      </c>
      <c r="L387" s="119">
        <v>40.600000000000037</v>
      </c>
      <c r="M387" s="117">
        <v>1615.0770373155815</v>
      </c>
    </row>
    <row r="388" spans="11:13" x14ac:dyDescent="0.4">
      <c r="K388" s="74">
        <v>386</v>
      </c>
      <c r="L388" s="119">
        <v>51.80000000000004</v>
      </c>
      <c r="M388" s="117">
        <v>1617.1705750916881</v>
      </c>
    </row>
    <row r="389" spans="11:13" x14ac:dyDescent="0.4">
      <c r="K389" s="74">
        <v>387</v>
      </c>
      <c r="L389" s="119">
        <v>4.2632564145606011E-14</v>
      </c>
      <c r="M389" s="117">
        <v>1607.911551641138</v>
      </c>
    </row>
    <row r="390" spans="11:13" x14ac:dyDescent="0.4">
      <c r="K390" s="74">
        <v>388</v>
      </c>
      <c r="L390" s="119">
        <v>-12.199999999999957</v>
      </c>
      <c r="M390" s="117">
        <v>1605.8360823312912</v>
      </c>
    </row>
    <row r="391" spans="11:13" x14ac:dyDescent="0.4">
      <c r="K391" s="74">
        <v>389</v>
      </c>
      <c r="L391" s="119">
        <v>22.500000000000046</v>
      </c>
      <c r="M391" s="117">
        <v>1612.2150658373034</v>
      </c>
    </row>
    <row r="392" spans="11:13" x14ac:dyDescent="0.4">
      <c r="K392" s="74">
        <v>390</v>
      </c>
      <c r="L392" s="119">
        <v>4.6185277824406512E-14</v>
      </c>
      <c r="M392" s="117">
        <v>1608.2597754422795</v>
      </c>
    </row>
    <row r="393" spans="11:13" x14ac:dyDescent="0.4">
      <c r="K393" s="74">
        <v>391</v>
      </c>
      <c r="L393" s="119">
        <v>14.500000000000046</v>
      </c>
      <c r="M393" s="117">
        <v>1610.9822167896259</v>
      </c>
    </row>
    <row r="394" spans="11:13" x14ac:dyDescent="0.4">
      <c r="K394" s="74">
        <v>392</v>
      </c>
      <c r="L394" s="119">
        <v>13.700000000000045</v>
      </c>
      <c r="M394" s="117">
        <v>1610.9343234888881</v>
      </c>
    </row>
    <row r="395" spans="11:13" x14ac:dyDescent="0.4">
      <c r="K395" s="74">
        <v>393</v>
      </c>
      <c r="L395" s="119">
        <v>4.6185277824406512E-14</v>
      </c>
      <c r="M395" s="117">
        <v>1608.5647175479548</v>
      </c>
    </row>
    <row r="396" spans="11:13" x14ac:dyDescent="0.4">
      <c r="K396" s="74">
        <v>394</v>
      </c>
      <c r="L396" s="119">
        <v>-8.6999999999999531</v>
      </c>
      <c r="M396" s="117">
        <v>1607.0313292426672</v>
      </c>
    </row>
    <row r="397" spans="11:13" x14ac:dyDescent="0.4">
      <c r="K397" s="74">
        <v>395</v>
      </c>
      <c r="L397" s="119">
        <v>-32.599999999999952</v>
      </c>
      <c r="M397" s="117">
        <v>1602.7711412672113</v>
      </c>
    </row>
    <row r="398" spans="11:13" x14ac:dyDescent="0.4">
      <c r="K398" s="74">
        <v>396</v>
      </c>
      <c r="L398" s="119">
        <v>4.9737991503207013E-14</v>
      </c>
      <c r="M398" s="117">
        <v>1608.7065144196081</v>
      </c>
    </row>
    <row r="399" spans="11:13" x14ac:dyDescent="0.4">
      <c r="K399" s="74">
        <v>397</v>
      </c>
      <c r="L399" s="119">
        <v>14.50000000000005</v>
      </c>
      <c r="M399" s="117">
        <v>1611.3482753330904</v>
      </c>
    </row>
    <row r="400" spans="11:13" x14ac:dyDescent="0.4">
      <c r="K400" s="74">
        <v>398</v>
      </c>
      <c r="L400" s="119">
        <v>1.8000000000000504</v>
      </c>
      <c r="M400" s="117">
        <v>1609.078185681092</v>
      </c>
    </row>
    <row r="401" spans="11:13" x14ac:dyDescent="0.4">
      <c r="K401" s="74">
        <v>399</v>
      </c>
      <c r="L401" s="119">
        <v>5.0404125317982107E-14</v>
      </c>
      <c r="M401" s="117">
        <v>1608.7837165670055</v>
      </c>
    </row>
    <row r="402" spans="11:13" x14ac:dyDescent="0.4">
      <c r="K402" s="74">
        <v>400</v>
      </c>
      <c r="L402" s="119">
        <v>49.900000000000048</v>
      </c>
      <c r="M402" s="117">
        <v>1617.5390142676035</v>
      </c>
    </row>
    <row r="403" spans="11:13" x14ac:dyDescent="0.4">
      <c r="K403" s="74">
        <v>401</v>
      </c>
      <c r="L403" s="119">
        <v>13.800000000000047</v>
      </c>
      <c r="M403" s="117">
        <v>1610.7617801819979</v>
      </c>
    </row>
    <row r="404" spans="11:13" x14ac:dyDescent="0.4">
      <c r="K404" s="74">
        <v>402</v>
      </c>
      <c r="L404" s="119">
        <v>4.6185277824406512E-14</v>
      </c>
      <c r="M404" s="117">
        <v>1608.0392095009058</v>
      </c>
    </row>
    <row r="405" spans="11:13" x14ac:dyDescent="0.4">
      <c r="K405" s="74">
        <v>403</v>
      </c>
      <c r="L405" s="119">
        <v>-24.599999999999955</v>
      </c>
      <c r="M405" s="117">
        <v>1603.3889742439003</v>
      </c>
    </row>
    <row r="406" spans="11:13" x14ac:dyDescent="0.4">
      <c r="K406" s="74">
        <v>404</v>
      </c>
      <c r="L406" s="119">
        <v>-21.599999999999955</v>
      </c>
      <c r="M406" s="117">
        <v>1603.7346403984368</v>
      </c>
    </row>
    <row r="407" spans="11:13" x14ac:dyDescent="0.4">
      <c r="K407" s="74">
        <v>405</v>
      </c>
      <c r="L407" s="119">
        <v>4.6185277824406512E-14</v>
      </c>
      <c r="M407" s="117">
        <v>1607.4262325560462</v>
      </c>
    </row>
    <row r="408" spans="11:13" x14ac:dyDescent="0.4">
      <c r="K408" s="74">
        <v>406</v>
      </c>
      <c r="L408" s="119">
        <v>9.9000000000000465</v>
      </c>
      <c r="M408" s="117">
        <v>1609.43367516071</v>
      </c>
    </row>
    <row r="409" spans="11:13" x14ac:dyDescent="0.4">
      <c r="K409" s="74">
        <v>407</v>
      </c>
      <c r="L409" s="119">
        <v>-23.599999999999952</v>
      </c>
      <c r="M409" s="117">
        <v>1603.6170731097457</v>
      </c>
    </row>
    <row r="410" spans="11:13" x14ac:dyDescent="0.4">
      <c r="K410" s="74">
        <v>408</v>
      </c>
      <c r="L410" s="119">
        <v>4.9737991503207013E-14</v>
      </c>
      <c r="M410" s="117">
        <v>1608.1133706710873</v>
      </c>
    </row>
    <row r="411" spans="11:13" x14ac:dyDescent="0.4">
      <c r="K411" s="74">
        <v>409</v>
      </c>
      <c r="L411" s="119">
        <v>-2.8999999999999502</v>
      </c>
      <c r="M411" s="117">
        <v>1607.8126904470607</v>
      </c>
    </row>
    <row r="412" spans="11:13" x14ac:dyDescent="0.4">
      <c r="K412" s="74">
        <v>410</v>
      </c>
      <c r="L412" s="119">
        <v>-24.899999999999949</v>
      </c>
      <c r="M412" s="117">
        <v>1604.0758143043784</v>
      </c>
    </row>
    <row r="413" spans="11:13" x14ac:dyDescent="0.4">
      <c r="K413" s="74">
        <v>411</v>
      </c>
      <c r="L413" s="119">
        <v>4.9737991503207013E-14</v>
      </c>
      <c r="M413" s="117">
        <v>1608.8033594185522</v>
      </c>
    </row>
    <row r="414" spans="11:13" x14ac:dyDescent="0.4">
      <c r="K414" s="74">
        <v>412</v>
      </c>
      <c r="L414" s="119">
        <v>72.000000000000057</v>
      </c>
      <c r="M414" s="117">
        <v>1621.6685392620409</v>
      </c>
    </row>
    <row r="415" spans="11:13" x14ac:dyDescent="0.4">
      <c r="K415" s="74">
        <v>413</v>
      </c>
      <c r="L415" s="119">
        <v>48.000000000000057</v>
      </c>
      <c r="M415" s="117">
        <v>1617.1765280264688</v>
      </c>
    </row>
    <row r="416" spans="11:13" x14ac:dyDescent="0.4">
      <c r="K416" s="74">
        <v>414</v>
      </c>
      <c r="L416" s="119">
        <v>5.6843418860808015E-14</v>
      </c>
      <c r="M416" s="117">
        <v>1608.39146885831</v>
      </c>
    </row>
    <row r="417" spans="11:13" x14ac:dyDescent="0.4">
      <c r="K417" s="74">
        <v>415</v>
      </c>
      <c r="L417" s="119">
        <v>-42.899999999999942</v>
      </c>
      <c r="M417" s="117">
        <v>1600.5291200451602</v>
      </c>
    </row>
    <row r="418" spans="11:13" x14ac:dyDescent="0.4">
      <c r="K418" s="74">
        <v>416</v>
      </c>
      <c r="L418" s="119">
        <v>-52.099999999999937</v>
      </c>
      <c r="M418" s="117">
        <v>1598.7799453248892</v>
      </c>
    </row>
    <row r="419" spans="11:13" x14ac:dyDescent="0.4">
      <c r="K419" s="74">
        <v>417</v>
      </c>
      <c r="L419" s="119">
        <v>6.3948846218409017E-14</v>
      </c>
      <c r="M419" s="117">
        <v>1608.0752656529398</v>
      </c>
    </row>
    <row r="420" spans="11:13" x14ac:dyDescent="0.4">
      <c r="K420" s="74">
        <v>418</v>
      </c>
      <c r="L420" s="119">
        <v>-50.599999999999937</v>
      </c>
      <c r="M420" s="117">
        <v>1598.8648140590221</v>
      </c>
    </row>
    <row r="421" spans="11:13" x14ac:dyDescent="0.4">
      <c r="K421" s="74">
        <v>419</v>
      </c>
      <c r="L421" s="119">
        <v>-55.999999999999936</v>
      </c>
      <c r="M421" s="117">
        <v>1597.8456251746679</v>
      </c>
    </row>
    <row r="422" spans="11:13" x14ac:dyDescent="0.4">
      <c r="K422" s="74">
        <v>420</v>
      </c>
      <c r="L422" s="119">
        <v>6.3948846218409017E-14</v>
      </c>
      <c r="M422" s="117">
        <v>1607.88455142362</v>
      </c>
    </row>
    <row r="423" spans="11:13" x14ac:dyDescent="0.4">
      <c r="K423" s="74">
        <v>421</v>
      </c>
      <c r="L423" s="119">
        <v>2.100000000000064</v>
      </c>
      <c r="M423" s="117">
        <v>1608.1612441150783</v>
      </c>
    </row>
    <row r="424" spans="11:13" x14ac:dyDescent="0.4">
      <c r="K424" s="74">
        <v>422</v>
      </c>
      <c r="L424" s="119">
        <v>17.500000000000064</v>
      </c>
      <c r="M424" s="117">
        <v>1610.8302766503878</v>
      </c>
    </row>
    <row r="425" spans="11:13" x14ac:dyDescent="0.4">
      <c r="K425" s="74">
        <v>423</v>
      </c>
      <c r="L425" s="119">
        <v>6.3948846218409017E-14</v>
      </c>
      <c r="M425" s="117">
        <v>1607.5612949904855</v>
      </c>
    </row>
    <row r="426" spans="11:13" x14ac:dyDescent="0.4">
      <c r="K426" s="74">
        <v>424</v>
      </c>
      <c r="L426" s="119">
        <v>68.600000000000051</v>
      </c>
      <c r="M426" s="117">
        <v>1620.0019272205427</v>
      </c>
    </row>
    <row r="427" spans="11:13" x14ac:dyDescent="0.4">
      <c r="K427" s="74">
        <v>425</v>
      </c>
      <c r="L427" s="119">
        <v>16.900000000000048</v>
      </c>
      <c r="M427" s="117">
        <v>1610.7139156572196</v>
      </c>
    </row>
    <row r="428" spans="11:13" x14ac:dyDescent="0.4">
      <c r="K428" s="74">
        <v>426</v>
      </c>
      <c r="L428" s="119">
        <v>4.9737991503207013E-14</v>
      </c>
      <c r="M428" s="117">
        <v>1607.7456321632762</v>
      </c>
    </row>
    <row r="429" spans="11:13" x14ac:dyDescent="0.4">
      <c r="K429" s="74">
        <v>427</v>
      </c>
      <c r="L429" s="119">
        <v>2.3000000000000496</v>
      </c>
      <c r="M429" s="117">
        <v>1608.2511583702965</v>
      </c>
    </row>
    <row r="430" spans="11:13" x14ac:dyDescent="0.4">
      <c r="K430" s="74">
        <v>428</v>
      </c>
      <c r="L430" s="119">
        <v>-30.19999999999995</v>
      </c>
      <c r="M430" s="117">
        <v>1602.4896514200748</v>
      </c>
    </row>
    <row r="431" spans="11:13" x14ac:dyDescent="0.4">
      <c r="K431" s="74">
        <v>429</v>
      </c>
      <c r="L431" s="119">
        <v>4.9737991503207013E-14</v>
      </c>
      <c r="M431" s="117">
        <v>1608.0487135115543</v>
      </c>
    </row>
    <row r="432" spans="11:13" x14ac:dyDescent="0.4">
      <c r="K432" s="74">
        <v>430</v>
      </c>
      <c r="L432" s="119">
        <v>24.50000000000005</v>
      </c>
      <c r="M432" s="117">
        <v>1612.4584212304849</v>
      </c>
    </row>
    <row r="433" spans="11:13" x14ac:dyDescent="0.4">
      <c r="K433" s="74">
        <v>431</v>
      </c>
      <c r="L433" s="119">
        <v>-5.5999999999999517</v>
      </c>
      <c r="M433" s="117">
        <v>1607.013670703102</v>
      </c>
    </row>
    <row r="434" spans="11:13" x14ac:dyDescent="0.4">
      <c r="K434" s="74">
        <v>432</v>
      </c>
      <c r="L434" s="119">
        <v>4.7961634663806763E-14</v>
      </c>
      <c r="M434" s="117">
        <v>1608.0275886788834</v>
      </c>
    </row>
    <row r="435" spans="11:13" x14ac:dyDescent="0.4">
      <c r="K435" s="74">
        <v>433</v>
      </c>
      <c r="L435" s="119">
        <v>-48.299999999999947</v>
      </c>
      <c r="M435" s="117">
        <v>1599.33342314681</v>
      </c>
    </row>
    <row r="436" spans="11:13" x14ac:dyDescent="0.4">
      <c r="K436" s="74">
        <v>434</v>
      </c>
      <c r="L436" s="119">
        <v>-9.699999999999946</v>
      </c>
      <c r="M436" s="117">
        <v>1606.3334226079292</v>
      </c>
    </row>
    <row r="437" spans="11:13" x14ac:dyDescent="0.4">
      <c r="K437" s="74">
        <v>435</v>
      </c>
      <c r="L437" s="119">
        <v>5.3290705182007514E-14</v>
      </c>
      <c r="M437" s="117">
        <v>1608.0894220722816</v>
      </c>
    </row>
    <row r="438" spans="11:13" x14ac:dyDescent="0.4">
      <c r="K438" s="74">
        <v>436</v>
      </c>
      <c r="L438" s="119">
        <v>36.500000000000057</v>
      </c>
      <c r="M438" s="117">
        <v>1614.886885539848</v>
      </c>
    </row>
    <row r="439" spans="11:13" x14ac:dyDescent="0.4">
      <c r="K439" s="74">
        <v>437</v>
      </c>
      <c r="L439" s="119">
        <v>7.4000000000000554</v>
      </c>
      <c r="M439" s="117">
        <v>1609.835564226609</v>
      </c>
    </row>
    <row r="440" spans="11:13" x14ac:dyDescent="0.4">
      <c r="K440" s="74">
        <v>438</v>
      </c>
      <c r="L440" s="119">
        <v>5.5067062021407764E-14</v>
      </c>
      <c r="M440" s="117">
        <v>1608.7205508412494</v>
      </c>
    </row>
    <row r="441" spans="11:13" x14ac:dyDescent="0.4">
      <c r="K441" s="74">
        <v>439</v>
      </c>
      <c r="L441" s="119">
        <v>-26.799999999999947</v>
      </c>
      <c r="M441" s="117">
        <v>1604.1202275362018</v>
      </c>
    </row>
    <row r="442" spans="11:13" x14ac:dyDescent="0.4">
      <c r="K442" s="74">
        <v>440</v>
      </c>
      <c r="L442" s="119">
        <v>-24.399999999999949</v>
      </c>
      <c r="M442" s="117">
        <v>1604.8035061709845</v>
      </c>
    </row>
    <row r="443" spans="11:13" x14ac:dyDescent="0.4">
      <c r="K443" s="74">
        <v>441</v>
      </c>
      <c r="L443" s="119">
        <v>4.9737991503207013E-14</v>
      </c>
      <c r="M443" s="117">
        <v>1609.4426851339585</v>
      </c>
    </row>
    <row r="444" spans="11:13" x14ac:dyDescent="0.4">
      <c r="K444" s="74">
        <v>442</v>
      </c>
      <c r="L444" s="119">
        <v>40.300000000000047</v>
      </c>
      <c r="M444" s="117">
        <v>1616.9160290231548</v>
      </c>
    </row>
    <row r="445" spans="11:13" x14ac:dyDescent="0.4">
      <c r="K445" s="74">
        <v>443</v>
      </c>
      <c r="L445" s="119">
        <v>46.00000000000005</v>
      </c>
      <c r="M445" s="117">
        <v>1618.1165328490158</v>
      </c>
    </row>
    <row r="446" spans="11:13" x14ac:dyDescent="0.4">
      <c r="K446" s="74">
        <v>444</v>
      </c>
      <c r="L446" s="119">
        <v>4.9737991503207013E-14</v>
      </c>
      <c r="M446" s="117">
        <v>1610.0038336519217</v>
      </c>
    </row>
    <row r="447" spans="11:13" x14ac:dyDescent="0.4">
      <c r="K447" s="74">
        <v>445</v>
      </c>
      <c r="L447" s="119">
        <v>-31.099999999999952</v>
      </c>
      <c r="M447" s="117">
        <v>1604.6218106500103</v>
      </c>
    </row>
    <row r="448" spans="11:13" x14ac:dyDescent="0.4">
      <c r="K448" s="74">
        <v>446</v>
      </c>
      <c r="L448" s="119">
        <v>-30.099999999999952</v>
      </c>
      <c r="M448" s="117">
        <v>1605.0500797861102</v>
      </c>
    </row>
    <row r="449" spans="11:13" x14ac:dyDescent="0.4">
      <c r="K449" s="74">
        <v>447</v>
      </c>
      <c r="L449" s="119">
        <v>4.9737991503207013E-14</v>
      </c>
      <c r="M449" s="117">
        <v>1610.7137793073937</v>
      </c>
    </row>
    <row r="450" spans="11:13" x14ac:dyDescent="0.4">
      <c r="K450" s="74">
        <v>448</v>
      </c>
      <c r="L450" s="119">
        <v>50.400000000000048</v>
      </c>
      <c r="M450" s="117">
        <v>1619.9974966315492</v>
      </c>
    </row>
    <row r="451" spans="11:13" x14ac:dyDescent="0.4">
      <c r="K451" s="74">
        <v>449</v>
      </c>
      <c r="L451" s="119">
        <v>31.800000000000047</v>
      </c>
      <c r="M451" s="117">
        <v>1616.8055116517598</v>
      </c>
    </row>
    <row r="452" spans="11:13" x14ac:dyDescent="0.4">
      <c r="K452" s="74">
        <v>450</v>
      </c>
      <c r="L452" s="119">
        <v>4.6185277824406512E-14</v>
      </c>
      <c r="M452" s="117">
        <v>1611.2566785818492</v>
      </c>
    </row>
    <row r="453" spans="11:13" x14ac:dyDescent="0.4">
      <c r="K453" s="74">
        <v>451</v>
      </c>
      <c r="L453" s="119">
        <v>30.800000000000047</v>
      </c>
      <c r="M453" s="117">
        <v>1616.9311385103581</v>
      </c>
    </row>
    <row r="454" spans="11:13" x14ac:dyDescent="0.4">
      <c r="K454" s="74">
        <v>452</v>
      </c>
      <c r="L454" s="119">
        <v>33.400000000000048</v>
      </c>
      <c r="M454" s="117">
        <v>1617.4955516792959</v>
      </c>
    </row>
    <row r="455" spans="11:13" x14ac:dyDescent="0.4">
      <c r="K455" s="74">
        <v>453</v>
      </c>
      <c r="L455" s="119">
        <v>4.9737991503207013E-14</v>
      </c>
      <c r="M455" s="117">
        <v>1611.5765783692202</v>
      </c>
    </row>
    <row r="456" spans="11:13" x14ac:dyDescent="0.4">
      <c r="K456" s="74">
        <v>454</v>
      </c>
      <c r="L456" s="119">
        <v>26.900000000000048</v>
      </c>
      <c r="M456" s="117">
        <v>1616.1751188990049</v>
      </c>
    </row>
    <row r="457" spans="11:13" x14ac:dyDescent="0.4">
      <c r="K457" s="74">
        <v>455</v>
      </c>
      <c r="L457" s="119">
        <v>21.900000000000048</v>
      </c>
      <c r="M457" s="117">
        <v>1615.004068185611</v>
      </c>
    </row>
    <row r="458" spans="11:13" x14ac:dyDescent="0.4">
      <c r="K458" s="74">
        <v>456</v>
      </c>
      <c r="L458" s="119">
        <v>4.9737991503207013E-14</v>
      </c>
      <c r="M458" s="117">
        <v>1610.7980437764973</v>
      </c>
    </row>
    <row r="459" spans="11:13" x14ac:dyDescent="0.4">
      <c r="K459" s="74">
        <v>457</v>
      </c>
      <c r="L459" s="119">
        <v>57.00000000000005</v>
      </c>
      <c r="M459" s="117">
        <v>1620.8192555138382</v>
      </c>
    </row>
    <row r="460" spans="11:13" x14ac:dyDescent="0.4">
      <c r="K460" s="74">
        <v>458</v>
      </c>
      <c r="L460" s="119">
        <v>11.400000000000048</v>
      </c>
      <c r="M460" s="117">
        <v>1612.3123399807553</v>
      </c>
    </row>
    <row r="461" spans="11:13" x14ac:dyDescent="0.4">
      <c r="K461" s="74">
        <v>459</v>
      </c>
      <c r="L461" s="119">
        <v>4.7961634663806763E-14</v>
      </c>
      <c r="M461" s="117">
        <v>1610.0124659408707</v>
      </c>
    </row>
    <row r="462" spans="11:13" x14ac:dyDescent="0.4">
      <c r="K462" s="74">
        <v>460</v>
      </c>
      <c r="L462" s="119">
        <v>8.3000000000000487</v>
      </c>
      <c r="M462" s="117">
        <v>1611.2723911452256</v>
      </c>
    </row>
    <row r="463" spans="11:13" x14ac:dyDescent="0.4">
      <c r="K463" s="74">
        <v>461</v>
      </c>
      <c r="L463" s="119">
        <v>-27.899999999999956</v>
      </c>
      <c r="M463" s="117">
        <v>1604.5147567983543</v>
      </c>
    </row>
    <row r="464" spans="11:13" x14ac:dyDescent="0.4">
      <c r="K464" s="74">
        <v>462</v>
      </c>
      <c r="L464" s="119">
        <v>4.2632564145606011E-14</v>
      </c>
      <c r="M464" s="117">
        <v>1609.3356682575641</v>
      </c>
    </row>
    <row r="465" spans="11:13" x14ac:dyDescent="0.4">
      <c r="K465" s="74">
        <v>463</v>
      </c>
      <c r="L465" s="119">
        <v>2.6000000000000427</v>
      </c>
      <c r="M465" s="117">
        <v>1609.5736542480188</v>
      </c>
    </row>
    <row r="466" spans="11:13" x14ac:dyDescent="0.4">
      <c r="K466" s="74">
        <v>464</v>
      </c>
      <c r="L466" s="119">
        <v>23.200000000000045</v>
      </c>
      <c r="M466" s="117">
        <v>1613.0502123225306</v>
      </c>
    </row>
    <row r="467" spans="11:13" x14ac:dyDescent="0.4">
      <c r="K467" s="74">
        <v>465</v>
      </c>
      <c r="L467" s="119">
        <v>4.6185277824406512E-14</v>
      </c>
      <c r="M467" s="117">
        <v>1608.6219110485954</v>
      </c>
    </row>
    <row r="468" spans="11:13" x14ac:dyDescent="0.4">
      <c r="K468" s="74">
        <v>466</v>
      </c>
      <c r="L468" s="119">
        <v>-43.899999999999949</v>
      </c>
      <c r="M468" s="117">
        <v>1600.4941795823038</v>
      </c>
    </row>
    <row r="469" spans="11:13" x14ac:dyDescent="0.4">
      <c r="K469" s="74">
        <v>467</v>
      </c>
      <c r="L469" s="119">
        <v>-35.399999999999949</v>
      </c>
      <c r="M469" s="117">
        <v>1601.8472145048099</v>
      </c>
    </row>
    <row r="470" spans="11:13" x14ac:dyDescent="0.4">
      <c r="K470" s="74">
        <v>468</v>
      </c>
      <c r="L470" s="119">
        <v>4.9737991503207013E-14</v>
      </c>
      <c r="M470" s="117">
        <v>1608.0341312177811</v>
      </c>
    </row>
    <row r="471" spans="11:13" x14ac:dyDescent="0.4">
      <c r="K471" s="74">
        <v>469</v>
      </c>
      <c r="L471" s="119">
        <v>75.700000000000045</v>
      </c>
      <c r="M471" s="117">
        <v>1621.4379264304744</v>
      </c>
    </row>
    <row r="472" spans="11:13" x14ac:dyDescent="0.4">
      <c r="K472" s="74">
        <v>470</v>
      </c>
      <c r="L472" s="119">
        <v>8.9000000000000483</v>
      </c>
      <c r="M472" s="117">
        <v>1609.1112988718914</v>
      </c>
    </row>
    <row r="473" spans="11:13" x14ac:dyDescent="0.4">
      <c r="K473" s="74">
        <v>471</v>
      </c>
      <c r="L473" s="119">
        <v>4.7961634663806763E-14</v>
      </c>
      <c r="M473" s="117">
        <v>1607.28063107866</v>
      </c>
    </row>
    <row r="474" spans="11:13" x14ac:dyDescent="0.4">
      <c r="K474" s="74">
        <v>472</v>
      </c>
      <c r="L474" s="119">
        <v>29.50000000000005</v>
      </c>
      <c r="M474" s="117">
        <v>1612.372947292188</v>
      </c>
    </row>
    <row r="475" spans="11:13" x14ac:dyDescent="0.4">
      <c r="K475" s="74">
        <v>473</v>
      </c>
      <c r="L475" s="119">
        <v>39.00000000000005</v>
      </c>
      <c r="M475" s="117">
        <v>1613.8347096084349</v>
      </c>
    </row>
    <row r="476" spans="11:13" x14ac:dyDescent="0.4">
      <c r="K476" s="74">
        <v>474</v>
      </c>
      <c r="L476" s="119">
        <v>4.9737991503207013E-14</v>
      </c>
      <c r="M476" s="117">
        <v>1606.5577013507843</v>
      </c>
    </row>
    <row r="477" spans="11:13" x14ac:dyDescent="0.4">
      <c r="K477" s="74">
        <v>475</v>
      </c>
      <c r="L477" s="119">
        <v>-16.399999999999949</v>
      </c>
      <c r="M477" s="117">
        <v>1603.3923551426797</v>
      </c>
    </row>
    <row r="478" spans="11:13" x14ac:dyDescent="0.4">
      <c r="K478" s="74">
        <v>476</v>
      </c>
      <c r="L478" s="119">
        <v>3.1000000000000512</v>
      </c>
      <c r="M478" s="117">
        <v>1606.7080010118236</v>
      </c>
    </row>
    <row r="479" spans="11:13" x14ac:dyDescent="0.4">
      <c r="K479" s="74">
        <v>477</v>
      </c>
      <c r="L479" s="119">
        <v>5.1070259132757201E-14</v>
      </c>
      <c r="M479" s="117">
        <v>1605.9357530057528</v>
      </c>
    </row>
    <row r="480" spans="11:13" x14ac:dyDescent="0.4">
      <c r="K480" s="74">
        <v>478</v>
      </c>
      <c r="L480" s="119">
        <v>-38.49999999999995</v>
      </c>
      <c r="M480" s="117">
        <v>1598.5141384877184</v>
      </c>
    </row>
    <row r="481" spans="11:13" x14ac:dyDescent="0.4">
      <c r="K481" s="74">
        <v>479</v>
      </c>
      <c r="L481" s="119">
        <v>-64.599999999999952</v>
      </c>
      <c r="M481" s="117">
        <v>1593.3690536567919</v>
      </c>
    </row>
    <row r="482" spans="11:13" x14ac:dyDescent="0.4">
      <c r="K482" s="74">
        <v>480</v>
      </c>
      <c r="L482" s="119">
        <v>4.2632564145606011E-14</v>
      </c>
      <c r="M482" s="117">
        <v>1604.5808393348511</v>
      </c>
    </row>
    <row r="483" spans="11:13" x14ac:dyDescent="0.4">
      <c r="K483" s="74">
        <v>481</v>
      </c>
      <c r="L483" s="119">
        <v>-24.599999999999959</v>
      </c>
      <c r="M483" s="117">
        <v>1599.4293542988421</v>
      </c>
    </row>
    <row r="484" spans="11:13" x14ac:dyDescent="0.4">
      <c r="K484" s="74">
        <v>482</v>
      </c>
      <c r="L484" s="119">
        <v>3.8000000000000398</v>
      </c>
      <c r="M484" s="117">
        <v>1603.8487781730491</v>
      </c>
    </row>
    <row r="485" spans="11:13" x14ac:dyDescent="0.4">
      <c r="K485" s="74">
        <v>483</v>
      </c>
      <c r="L485" s="119">
        <v>3.9968028886505635E-14</v>
      </c>
      <c r="M485" s="117">
        <v>1602.445685504011</v>
      </c>
    </row>
    <row r="486" spans="11:13" x14ac:dyDescent="0.4">
      <c r="K486" s="74">
        <v>484</v>
      </c>
      <c r="L486" s="119">
        <v>11.700000000000038</v>
      </c>
      <c r="M486" s="117">
        <v>1604.5730113909869</v>
      </c>
    </row>
    <row r="487" spans="11:13" x14ac:dyDescent="0.4">
      <c r="K487" s="74">
        <v>485</v>
      </c>
      <c r="L487" s="119">
        <v>43.000000000000043</v>
      </c>
      <c r="M487" s="117">
        <v>1610.2155733226409</v>
      </c>
    </row>
    <row r="488" spans="11:13" x14ac:dyDescent="0.4">
      <c r="K488" s="74">
        <v>486</v>
      </c>
      <c r="L488" s="119">
        <v>4.2632564145606011E-14</v>
      </c>
      <c r="M488" s="117">
        <v>1602.450279882705</v>
      </c>
    </row>
    <row r="489" spans="11:13" x14ac:dyDescent="0.4">
      <c r="K489" s="74">
        <v>487</v>
      </c>
      <c r="L489" s="119">
        <v>-42.799999999999955</v>
      </c>
      <c r="M489" s="117">
        <v>1594.3355782034087</v>
      </c>
    </row>
    <row r="490" spans="11:13" x14ac:dyDescent="0.4">
      <c r="K490" s="74">
        <v>488</v>
      </c>
      <c r="L490" s="119">
        <v>-2.4999999999999574</v>
      </c>
      <c r="M490" s="117">
        <v>1601.2275647341883</v>
      </c>
    </row>
    <row r="491" spans="11:13" x14ac:dyDescent="0.4">
      <c r="K491" s="74">
        <v>489</v>
      </c>
      <c r="L491" s="119">
        <v>4.2632564145606011E-14</v>
      </c>
      <c r="M491" s="117">
        <v>1601.2741993457832</v>
      </c>
    </row>
    <row r="492" spans="11:13" x14ac:dyDescent="0.4">
      <c r="K492" s="74">
        <v>490</v>
      </c>
      <c r="L492" s="119">
        <v>-30.299999999999958</v>
      </c>
      <c r="M492" s="117">
        <v>1595.4105541497086</v>
      </c>
    </row>
    <row r="493" spans="11:13" x14ac:dyDescent="0.4">
      <c r="K493" s="74">
        <v>491</v>
      </c>
      <c r="L493" s="119">
        <v>-22.899999999999956</v>
      </c>
      <c r="M493" s="117">
        <v>1596.3680908248102</v>
      </c>
    </row>
    <row r="494" spans="11:13" x14ac:dyDescent="0.4">
      <c r="K494" s="74">
        <v>492</v>
      </c>
      <c r="L494" s="119">
        <v>4.2632564145606011E-14</v>
      </c>
      <c r="M494" s="117">
        <v>1600.1098822798613</v>
      </c>
    </row>
    <row r="495" spans="11:13" x14ac:dyDescent="0.4">
      <c r="K495" s="74">
        <v>493</v>
      </c>
      <c r="L495" s="119">
        <v>-20.899999999999956</v>
      </c>
      <c r="M495" s="117">
        <v>1596.683222986182</v>
      </c>
    </row>
    <row r="496" spans="11:13" x14ac:dyDescent="0.4">
      <c r="K496" s="74">
        <v>494</v>
      </c>
      <c r="L496" s="119">
        <v>-24.399999999999956</v>
      </c>
      <c r="M496" s="117">
        <v>1596.409123648265</v>
      </c>
    </row>
    <row r="497" spans="11:13" x14ac:dyDescent="0.4">
      <c r="K497" s="74">
        <v>495</v>
      </c>
      <c r="L497" s="119">
        <v>4.2632564145606011E-14</v>
      </c>
      <c r="M497" s="117">
        <v>1601.1586689063754</v>
      </c>
    </row>
    <row r="498" spans="11:13" x14ac:dyDescent="0.4">
      <c r="K498" s="74">
        <v>496</v>
      </c>
      <c r="L498" s="119">
        <v>1.5000000000000426</v>
      </c>
      <c r="M498" s="117">
        <v>1601.7577168929372</v>
      </c>
    </row>
    <row r="499" spans="11:13" x14ac:dyDescent="0.4">
      <c r="K499" s="74">
        <v>497</v>
      </c>
      <c r="L499" s="119">
        <v>-33.099999999999959</v>
      </c>
      <c r="M499" s="117">
        <v>1595.8551705915795</v>
      </c>
    </row>
    <row r="500" spans="11:13" x14ac:dyDescent="0.4">
      <c r="K500" s="74">
        <v>498</v>
      </c>
      <c r="L500" s="119">
        <v>4.2632564145606011E-14</v>
      </c>
      <c r="M500" s="117">
        <v>1602.1740395680301</v>
      </c>
    </row>
    <row r="501" spans="11:13" x14ac:dyDescent="0.4">
      <c r="K501" s="74">
        <v>499</v>
      </c>
      <c r="L501" s="119">
        <v>-39.499999999999957</v>
      </c>
      <c r="M501" s="117">
        <v>1595.3869953306219</v>
      </c>
    </row>
    <row r="502" spans="11:13" x14ac:dyDescent="0.4">
      <c r="K502" s="74">
        <v>500</v>
      </c>
      <c r="L502" s="119">
        <v>-46.69999999999996</v>
      </c>
      <c r="M502" s="117">
        <v>1594.454673358638</v>
      </c>
    </row>
    <row r="503" spans="11:13" x14ac:dyDescent="0.4">
      <c r="K503" s="74">
        <v>501</v>
      </c>
      <c r="L503" s="119">
        <v>4.2632564145606011E-14</v>
      </c>
      <c r="M503" s="117">
        <v>1603.2299453184862</v>
      </c>
    </row>
    <row r="504" spans="11:13" x14ac:dyDescent="0.4">
      <c r="K504" s="74">
        <v>502</v>
      </c>
      <c r="L504" s="119">
        <v>37.200000000000045</v>
      </c>
      <c r="M504" s="117">
        <v>1610.1405656465754</v>
      </c>
    </row>
    <row r="505" spans="11:13" x14ac:dyDescent="0.4">
      <c r="K505" s="74">
        <v>503</v>
      </c>
      <c r="L505" s="119">
        <v>10.500000000000046</v>
      </c>
      <c r="M505" s="117">
        <v>1605.5077222526959</v>
      </c>
    </row>
    <row r="506" spans="11:13" x14ac:dyDescent="0.4">
      <c r="K506" s="74">
        <v>504</v>
      </c>
      <c r="L506" s="119">
        <v>4.6185277824406512E-14</v>
      </c>
      <c r="M506" s="117">
        <v>1603.8186759191797</v>
      </c>
    </row>
    <row r="507" spans="11:13" x14ac:dyDescent="0.4">
      <c r="K507" s="74">
        <v>505</v>
      </c>
      <c r="L507" s="119">
        <v>56.30000000000004</v>
      </c>
      <c r="M507" s="117">
        <v>1614.1577638636645</v>
      </c>
    </row>
    <row r="508" spans="11:13" x14ac:dyDescent="0.4">
      <c r="K508" s="74">
        <v>506</v>
      </c>
      <c r="L508" s="119">
        <v>50.000000000000043</v>
      </c>
      <c r="M508" s="117">
        <v>1613.1668172804825</v>
      </c>
    </row>
    <row r="509" spans="11:13" x14ac:dyDescent="0.4">
      <c r="K509" s="74">
        <v>507</v>
      </c>
      <c r="L509" s="119">
        <v>4.2632564145606011E-14</v>
      </c>
      <c r="M509" s="117">
        <v>1604.3158163767996</v>
      </c>
    </row>
    <row r="510" spans="11:13" x14ac:dyDescent="0.4">
      <c r="K510" s="74">
        <v>508</v>
      </c>
      <c r="L510" s="119">
        <v>0.10000000000004264</v>
      </c>
      <c r="M510" s="117">
        <v>1604.5419214785388</v>
      </c>
    </row>
    <row r="511" spans="11:13" x14ac:dyDescent="0.4">
      <c r="K511" s="74">
        <v>509</v>
      </c>
      <c r="L511" s="119">
        <v>-11.399999999999958</v>
      </c>
      <c r="M511" s="117">
        <v>1602.6786699496677</v>
      </c>
    </row>
    <row r="512" spans="11:13" x14ac:dyDescent="0.4">
      <c r="K512" s="74">
        <v>510</v>
      </c>
      <c r="L512" s="119">
        <v>4.2632564145606011E-14</v>
      </c>
      <c r="M512" s="117">
        <v>1604.9485979299698</v>
      </c>
    </row>
  </sheetData>
  <sortState xmlns:xlrd2="http://schemas.microsoft.com/office/spreadsheetml/2017/richdata2" ref="O15:R2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14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126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145</v>
      </c>
      <c r="C2" s="142"/>
      <c r="E2" s="26" t="s">
        <v>66</v>
      </c>
      <c r="F2" s="23" t="s">
        <v>22</v>
      </c>
      <c r="G2" s="11">
        <v>291</v>
      </c>
      <c r="H2" s="87">
        <f>IF(B$20=0,0,G2/B$20)</f>
        <v>0.74807197943444725</v>
      </c>
      <c r="I2" s="57">
        <v>9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338.19444444444446</v>
      </c>
      <c r="Q2" s="76">
        <v>144</v>
      </c>
      <c r="R2" s="63">
        <v>48700</v>
      </c>
    </row>
    <row r="3" spans="1:18" x14ac:dyDescent="0.4">
      <c r="A3" s="19" t="s">
        <v>8</v>
      </c>
      <c r="B3" s="143">
        <v>1218</v>
      </c>
      <c r="C3" s="144"/>
      <c r="E3" s="27" t="s">
        <v>72</v>
      </c>
      <c r="F3" s="24" t="s">
        <v>27</v>
      </c>
      <c r="G3" s="12">
        <v>205</v>
      </c>
      <c r="H3" s="88">
        <f>IF(B$20=0,0,G3/B$20)</f>
        <v>0.52699228791773778</v>
      </c>
      <c r="I3" s="58">
        <v>9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-163.57142857142858</v>
      </c>
      <c r="Q3" s="77">
        <v>140</v>
      </c>
      <c r="R3" s="64">
        <v>-22900</v>
      </c>
    </row>
    <row r="4" spans="1:18" x14ac:dyDescent="0.4">
      <c r="A4" s="19" t="s">
        <v>6</v>
      </c>
      <c r="B4" s="145">
        <v>332.19999999999987</v>
      </c>
      <c r="C4" s="146"/>
      <c r="E4" s="27" t="s">
        <v>64</v>
      </c>
      <c r="F4" s="24" t="s">
        <v>20</v>
      </c>
      <c r="G4" s="12">
        <v>164</v>
      </c>
      <c r="H4" s="88">
        <f>IF(B$20=0,0,G4/B$20)</f>
        <v>0.42159383033419023</v>
      </c>
      <c r="I4" s="58">
        <v>9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-1128.7769784172663</v>
      </c>
      <c r="Q4" s="77">
        <v>139</v>
      </c>
      <c r="R4" s="64">
        <v>-156900</v>
      </c>
    </row>
    <row r="5" spans="1:18" x14ac:dyDescent="0.4">
      <c r="A5" s="19" t="s">
        <v>7</v>
      </c>
      <c r="B5" s="133">
        <f>IF(B$2=0,0,B$4/B$2)</f>
        <v>2.29103448275862</v>
      </c>
      <c r="C5" s="134"/>
      <c r="E5" s="27" t="s">
        <v>159</v>
      </c>
      <c r="F5" s="24" t="s">
        <v>160</v>
      </c>
      <c r="G5" s="12">
        <v>148</v>
      </c>
      <c r="H5" s="88">
        <f>IF(B$20=0,0,G5/B$20)</f>
        <v>0.38046272493573263</v>
      </c>
      <c r="I5" s="58">
        <v>10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1226.3157894736842</v>
      </c>
      <c r="Q5" s="77">
        <v>133</v>
      </c>
      <c r="R5" s="64">
        <v>163100</v>
      </c>
    </row>
    <row r="6" spans="1:18" x14ac:dyDescent="0.4">
      <c r="A6" s="19" t="s">
        <v>196</v>
      </c>
      <c r="B6" s="137">
        <v>1758.0662353696366</v>
      </c>
      <c r="C6" s="138"/>
      <c r="E6" s="27" t="s">
        <v>68</v>
      </c>
      <c r="F6" s="24" t="s">
        <v>12</v>
      </c>
      <c r="G6" s="12">
        <v>118</v>
      </c>
      <c r="H6" s="88">
        <f>IF(B$20=0,0,G6/B$20)</f>
        <v>0.30334190231362468</v>
      </c>
      <c r="I6" s="58">
        <v>7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457.37704918032784</v>
      </c>
      <c r="Q6" s="77">
        <v>122</v>
      </c>
      <c r="R6" s="64">
        <v>55800</v>
      </c>
    </row>
    <row r="7" spans="1:18" x14ac:dyDescent="0.4">
      <c r="A7" s="19" t="s">
        <v>1</v>
      </c>
      <c r="B7" s="147">
        <f>IF(B$2=0,0,(B$8*1+B$9*2+B$10*3)/B$2)</f>
        <v>1.9862068965517241</v>
      </c>
      <c r="C7" s="148"/>
      <c r="E7" s="27" t="s">
        <v>67</v>
      </c>
      <c r="F7" s="24" t="s">
        <v>23</v>
      </c>
      <c r="G7" s="12">
        <v>85</v>
      </c>
      <c r="H7" s="88">
        <f>IF(B$20=0,0,G7/B$20)</f>
        <v>0.21850899742930591</v>
      </c>
      <c r="I7" s="58">
        <v>10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719.23076923076928</v>
      </c>
      <c r="Q7" s="78">
        <v>104</v>
      </c>
      <c r="R7" s="65">
        <v>74800</v>
      </c>
    </row>
    <row r="8" spans="1:18" x14ac:dyDescent="0.4">
      <c r="A8" s="19" t="s">
        <v>2</v>
      </c>
      <c r="B8" s="12">
        <v>52</v>
      </c>
      <c r="C8" s="6">
        <f t="shared" ref="C8:C15" si="1">IF(B$2=0,0,B8/B$2)</f>
        <v>0.35862068965517241</v>
      </c>
      <c r="E8" s="27" t="s">
        <v>69</v>
      </c>
      <c r="F8" s="24" t="s">
        <v>24</v>
      </c>
      <c r="G8" s="12">
        <v>61</v>
      </c>
      <c r="H8" s="88">
        <f>IF(B$20=0,0,G8/B$20)</f>
        <v>0.15681233933161953</v>
      </c>
      <c r="I8" s="58">
        <v>3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43</v>
      </c>
      <c r="C9" s="6">
        <f t="shared" si="1"/>
        <v>0.29655172413793102</v>
      </c>
      <c r="E9" s="27" t="s">
        <v>70</v>
      </c>
      <c r="F9" s="24" t="s">
        <v>25</v>
      </c>
      <c r="G9" s="12">
        <v>48</v>
      </c>
      <c r="H9" s="88">
        <f>IF(B$20=0,0,G9/B$20)</f>
        <v>0.12339331619537275</v>
      </c>
      <c r="I9" s="58">
        <v>3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50</v>
      </c>
      <c r="C10" s="7">
        <f t="shared" si="1"/>
        <v>0.34482758620689657</v>
      </c>
      <c r="E10" s="27" t="s">
        <v>89</v>
      </c>
      <c r="F10" s="24" t="s">
        <v>44</v>
      </c>
      <c r="G10" s="12">
        <v>47</v>
      </c>
      <c r="H10" s="88">
        <f>IF(B$20=0,0,G10/B$20)</f>
        <v>0.12082262210796915</v>
      </c>
      <c r="I10" s="58">
        <v>8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7.1254901960784309</v>
      </c>
      <c r="Q10" s="76">
        <v>51</v>
      </c>
      <c r="R10" s="67">
        <v>363.4</v>
      </c>
    </row>
    <row r="11" spans="1:18" x14ac:dyDescent="0.4">
      <c r="A11" s="20" t="s">
        <v>184</v>
      </c>
      <c r="B11" s="109">
        <f>IF(B8=0,0,C11/B8)</f>
        <v>37.953846153846158</v>
      </c>
      <c r="C11" s="110">
        <v>1973.6000000000004</v>
      </c>
      <c r="E11" s="27" t="s">
        <v>65</v>
      </c>
      <c r="F11" s="24" t="s">
        <v>21</v>
      </c>
      <c r="G11" s="12">
        <v>35</v>
      </c>
      <c r="H11" s="88">
        <f>IF(B$20=0,0,G11/B$20)</f>
        <v>8.9974293059125965E-2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-5.6958333333333337</v>
      </c>
      <c r="Q11" s="77">
        <v>48</v>
      </c>
      <c r="R11" s="68">
        <v>-273.40000000000003</v>
      </c>
    </row>
    <row r="12" spans="1:18" x14ac:dyDescent="0.4">
      <c r="A12" s="20" t="s">
        <v>185</v>
      </c>
      <c r="B12" s="109">
        <f>IF(B9=0,0,C12/B9)</f>
        <v>-1.9395348837209301</v>
      </c>
      <c r="C12" s="110">
        <v>-83.399999999999991</v>
      </c>
      <c r="E12" s="27" t="s">
        <v>86</v>
      </c>
      <c r="F12" s="24" t="s">
        <v>41</v>
      </c>
      <c r="G12" s="12">
        <v>27</v>
      </c>
      <c r="H12" s="88">
        <f>IF(B$20=0,0,G12/B$20)</f>
        <v>6.9408740359897178E-2</v>
      </c>
      <c r="I12" s="58">
        <v>4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5.2652173913043478</v>
      </c>
      <c r="Q12" s="78">
        <v>46</v>
      </c>
      <c r="R12" s="69">
        <v>242.20000000000002</v>
      </c>
    </row>
    <row r="13" spans="1:18" x14ac:dyDescent="0.4">
      <c r="A13" s="20" t="s">
        <v>186</v>
      </c>
      <c r="B13" s="109">
        <f>IF(B10=0,0,C13/B10)</f>
        <v>-31.160000000000004</v>
      </c>
      <c r="C13" s="110">
        <v>-1558.0000000000002</v>
      </c>
      <c r="E13" s="27" t="s">
        <v>83</v>
      </c>
      <c r="F13" s="24" t="s">
        <v>38</v>
      </c>
      <c r="G13" s="12">
        <v>18</v>
      </c>
      <c r="H13" s="88">
        <f>IF(B$20=0,0,G13/B$20)</f>
        <v>4.6272493573264781E-2</v>
      </c>
      <c r="I13" s="58">
        <v>8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1.6181037567084076</v>
      </c>
      <c r="C14" s="134"/>
      <c r="E14" s="27" t="s">
        <v>71</v>
      </c>
      <c r="F14" s="24" t="s">
        <v>26</v>
      </c>
      <c r="G14" s="12">
        <v>17</v>
      </c>
      <c r="H14" s="88">
        <f>IF(B$20=0,0,G14/B$20)</f>
        <v>4.3701799485861184E-2</v>
      </c>
      <c r="I14" s="58">
        <v>9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11</v>
      </c>
      <c r="C15" s="9">
        <f t="shared" si="1"/>
        <v>7.586206896551724E-2</v>
      </c>
      <c r="E15" s="27" t="s">
        <v>78</v>
      </c>
      <c r="F15" s="24" t="s">
        <v>33</v>
      </c>
      <c r="G15" s="12">
        <v>14</v>
      </c>
      <c r="H15" s="88">
        <f>IF(B$20=0,0,G15/B$20)</f>
        <v>3.5989717223650387E-2</v>
      </c>
      <c r="I15" s="58">
        <v>7</v>
      </c>
      <c r="K15" s="74">
        <v>13</v>
      </c>
      <c r="L15" s="119">
        <v>236</v>
      </c>
      <c r="M15" s="117">
        <v>1865.6935040107483</v>
      </c>
      <c r="O15" s="73" t="s">
        <v>259</v>
      </c>
      <c r="P15" s="82">
        <f>IF(Q15=0,0,R15/Q15)</f>
        <v>56.1</v>
      </c>
      <c r="Q15" s="76">
        <v>2</v>
      </c>
      <c r="R15" s="67">
        <v>112.2</v>
      </c>
    </row>
    <row r="16" spans="1:18" x14ac:dyDescent="0.4">
      <c r="A16" s="22" t="s">
        <v>121</v>
      </c>
      <c r="B16" s="15">
        <v>303</v>
      </c>
      <c r="C16" s="10">
        <f>IF(B$3=0,0,B16/B$3)</f>
        <v>0.24876847290640394</v>
      </c>
      <c r="E16" s="27" t="s">
        <v>155</v>
      </c>
      <c r="F16" s="24" t="s">
        <v>156</v>
      </c>
      <c r="G16" s="12">
        <v>12</v>
      </c>
      <c r="H16" s="88">
        <f>IF(B$20=0,0,G16/B$20)</f>
        <v>3.0848329048843187E-2</v>
      </c>
      <c r="I16" s="58">
        <v>1</v>
      </c>
      <c r="K16" s="74">
        <v>14</v>
      </c>
      <c r="L16" s="119">
        <v>222</v>
      </c>
      <c r="M16" s="117">
        <v>1861.6993429866839</v>
      </c>
      <c r="O16" s="74" t="s">
        <v>201</v>
      </c>
      <c r="P16" s="83">
        <f>IF(Q16=0,0,R16/Q16)</f>
        <v>44.933333333333337</v>
      </c>
      <c r="Q16" s="77">
        <v>6</v>
      </c>
      <c r="R16" s="68">
        <v>269.60000000000002</v>
      </c>
    </row>
    <row r="17" spans="1:18" x14ac:dyDescent="0.4">
      <c r="A17" s="19" t="s">
        <v>118</v>
      </c>
      <c r="B17" s="12">
        <v>240</v>
      </c>
      <c r="C17" s="6">
        <f>IF(B$3=0,0,B17/B$3)</f>
        <v>0.19704433497536947</v>
      </c>
      <c r="E17" s="27" t="s">
        <v>81</v>
      </c>
      <c r="F17" s="24" t="s">
        <v>36</v>
      </c>
      <c r="G17" s="12">
        <v>9</v>
      </c>
      <c r="H17" s="88">
        <f>IF(B$20=0,0,G17/B$20)</f>
        <v>2.313624678663239E-2</v>
      </c>
      <c r="I17" s="58">
        <v>10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">
      <c r="A18" s="18" t="s">
        <v>123</v>
      </c>
      <c r="B18" s="11">
        <f>B24</f>
        <v>172</v>
      </c>
      <c r="C18" s="5">
        <f>IF(B$16=0,0,B18/B$16)</f>
        <v>0.56765676567656764</v>
      </c>
      <c r="E18" s="27" t="s">
        <v>91</v>
      </c>
      <c r="F18" s="24" t="s">
        <v>46</v>
      </c>
      <c r="G18" s="12">
        <v>9</v>
      </c>
      <c r="H18" s="88">
        <f>IF(B$20=0,0,G18/B$20)</f>
        <v>2.313624678663239E-2</v>
      </c>
      <c r="I18" s="58">
        <v>3</v>
      </c>
      <c r="K18" s="74">
        <v>16</v>
      </c>
      <c r="L18" s="119">
        <v>164.20000000000002</v>
      </c>
      <c r="M18" s="117">
        <v>1848.4372400471914</v>
      </c>
      <c r="O18" s="74" t="s">
        <v>195</v>
      </c>
      <c r="P18" s="83">
        <f>IF(Q18=0,0,R18/Q18)</f>
        <v>14.013636363636367</v>
      </c>
      <c r="Q18" s="77">
        <v>22</v>
      </c>
      <c r="R18" s="68">
        <v>308.30000000000007</v>
      </c>
    </row>
    <row r="19" spans="1:18" x14ac:dyDescent="0.4">
      <c r="A19" s="18" t="s">
        <v>124</v>
      </c>
      <c r="B19" s="11">
        <f>B25</f>
        <v>110</v>
      </c>
      <c r="C19" s="5">
        <f>IF(B$17=0,0,B19/B$17)</f>
        <v>0.45833333333333331</v>
      </c>
      <c r="E19" s="27" t="s">
        <v>79</v>
      </c>
      <c r="F19" s="24" t="s">
        <v>34</v>
      </c>
      <c r="G19" s="12">
        <v>5</v>
      </c>
      <c r="H19" s="88">
        <f>IF(B$20=0,0,G19/B$20)</f>
        <v>1.2853470437017995E-2</v>
      </c>
      <c r="I19" s="58">
        <v>4</v>
      </c>
      <c r="K19" s="74">
        <v>17</v>
      </c>
      <c r="L19" s="119">
        <v>164.3</v>
      </c>
      <c r="M19" s="117">
        <v>1846.8986166069083</v>
      </c>
      <c r="O19" s="74" t="s">
        <v>163</v>
      </c>
      <c r="P19" s="83">
        <f>IF(Q19=0,0,R19/Q19)</f>
        <v>7.8605263157894765</v>
      </c>
      <c r="Q19" s="77">
        <v>76</v>
      </c>
      <c r="R19" s="68">
        <v>597.4000000000002</v>
      </c>
    </row>
    <row r="20" spans="1:18" x14ac:dyDescent="0.4">
      <c r="A20" s="18" t="s">
        <v>10</v>
      </c>
      <c r="B20" s="11">
        <f>B23+B22</f>
        <v>389</v>
      </c>
      <c r="C20" s="5">
        <f>IF(B$3=0,0,B20/B$3)</f>
        <v>0.319376026272578</v>
      </c>
      <c r="E20" s="27" t="s">
        <v>73</v>
      </c>
      <c r="F20" s="24" t="s">
        <v>28</v>
      </c>
      <c r="G20" s="12">
        <v>3</v>
      </c>
      <c r="H20" s="88">
        <f>IF(B$20=0,0,G20/B$20)</f>
        <v>7.7120822622107968E-3</v>
      </c>
      <c r="I20" s="58">
        <v>5</v>
      </c>
      <c r="K20" s="74">
        <v>18</v>
      </c>
      <c r="L20" s="119">
        <v>188.9</v>
      </c>
      <c r="M20" s="117">
        <v>1849.7792249072668</v>
      </c>
      <c r="O20" s="74" t="s">
        <v>190</v>
      </c>
      <c r="P20" s="83">
        <f>IF(Q20=0,0,R20/Q20)</f>
        <v>1.3</v>
      </c>
      <c r="Q20" s="77">
        <v>34</v>
      </c>
      <c r="R20" s="68">
        <v>44.2</v>
      </c>
    </row>
    <row r="21" spans="1:18" x14ac:dyDescent="0.4">
      <c r="A21" s="19" t="s">
        <v>13</v>
      </c>
      <c r="B21" s="12">
        <v>206</v>
      </c>
      <c r="C21" s="6">
        <f>IF(B$3=0,0,B21/B$3)</f>
        <v>0.16912972085385877</v>
      </c>
      <c r="E21" s="27" t="s">
        <v>75</v>
      </c>
      <c r="F21" s="24" t="s">
        <v>30</v>
      </c>
      <c r="G21" s="12">
        <v>3</v>
      </c>
      <c r="H21" s="88">
        <f>IF(B$20=0,0,G21/B$20)</f>
        <v>7.7120822622107968E-3</v>
      </c>
      <c r="I21" s="58">
        <v>2</v>
      </c>
      <c r="K21" s="74">
        <v>19</v>
      </c>
      <c r="L21" s="119">
        <v>174.6</v>
      </c>
      <c r="M21" s="117">
        <v>1845.7365495578231</v>
      </c>
      <c r="O21" s="74" t="s">
        <v>216</v>
      </c>
      <c r="P21" s="83">
        <f>IF(Q21=0,0,R21/Q21)</f>
        <v>-0.10909090909091064</v>
      </c>
      <c r="Q21" s="77">
        <v>11</v>
      </c>
      <c r="R21" s="68">
        <v>-1.2000000000000171</v>
      </c>
    </row>
    <row r="22" spans="1:18" x14ac:dyDescent="0.4">
      <c r="A22" s="19" t="s">
        <v>12</v>
      </c>
      <c r="B22" s="12">
        <v>172</v>
      </c>
      <c r="C22" s="6">
        <f>IF(B$20=0,0,B22/B$20)</f>
        <v>0.44215938303341901</v>
      </c>
      <c r="E22" s="27" t="s">
        <v>85</v>
      </c>
      <c r="F22" s="24" t="s">
        <v>40</v>
      </c>
      <c r="G22" s="12">
        <v>3</v>
      </c>
      <c r="H22" s="88">
        <f>IF(B$20=0,0,G22/B$20)</f>
        <v>7.7120822622107968E-3</v>
      </c>
      <c r="I22" s="58">
        <v>3</v>
      </c>
      <c r="K22" s="74">
        <v>20</v>
      </c>
      <c r="L22" s="119">
        <v>154.5</v>
      </c>
      <c r="M22" s="117">
        <v>1840.6741302604762</v>
      </c>
      <c r="O22" s="74" t="s">
        <v>189</v>
      </c>
      <c r="P22" s="83">
        <f>IF(Q22=0,0,R22/Q22)</f>
        <v>-0.46818181818181853</v>
      </c>
      <c r="Q22" s="77">
        <v>44</v>
      </c>
      <c r="R22" s="68">
        <v>-20.600000000000016</v>
      </c>
    </row>
    <row r="23" spans="1:18" x14ac:dyDescent="0.4">
      <c r="A23" s="19" t="s">
        <v>11</v>
      </c>
      <c r="B23" s="12">
        <v>217</v>
      </c>
      <c r="C23" s="6">
        <f>IF(B$20=0,0,B23/B$20)</f>
        <v>0.55784061696658094</v>
      </c>
      <c r="E23" s="27" t="s">
        <v>92</v>
      </c>
      <c r="F23" s="24" t="s">
        <v>47</v>
      </c>
      <c r="G23" s="12">
        <v>3</v>
      </c>
      <c r="H23" s="88">
        <f>IF(B$20=0,0,G23/B$20)</f>
        <v>7.7120822622107968E-3</v>
      </c>
      <c r="I23" s="58">
        <v>1</v>
      </c>
      <c r="K23" s="74">
        <v>21</v>
      </c>
      <c r="L23" s="119">
        <v>131</v>
      </c>
      <c r="M23" s="117">
        <v>1835.0300854789134</v>
      </c>
      <c r="O23" s="74" t="s">
        <v>211</v>
      </c>
      <c r="P23" s="83">
        <f>IF(Q23=0,0,R23/Q23)</f>
        <v>-3.0419354838709682</v>
      </c>
      <c r="Q23" s="77">
        <v>31</v>
      </c>
      <c r="R23" s="68">
        <v>-94.300000000000011</v>
      </c>
    </row>
    <row r="24" spans="1:18" x14ac:dyDescent="0.4">
      <c r="A24" s="19" t="s">
        <v>183</v>
      </c>
      <c r="B24" s="12">
        <v>172</v>
      </c>
      <c r="C24" s="6">
        <f>IF(B$20=0,0,B24/B$20)</f>
        <v>0.44215938303341901</v>
      </c>
      <c r="E24" s="27" t="s">
        <v>80</v>
      </c>
      <c r="F24" s="24" t="s">
        <v>35</v>
      </c>
      <c r="G24" s="12">
        <v>1</v>
      </c>
      <c r="H24" s="88">
        <f>IF(B$20=0,0,G24/B$20)</f>
        <v>2.5706940874035988E-3</v>
      </c>
      <c r="I24" s="58">
        <v>1</v>
      </c>
      <c r="K24" s="74">
        <v>22</v>
      </c>
      <c r="L24" s="119">
        <v>106.3</v>
      </c>
      <c r="M24" s="117">
        <v>1829.4799049660398</v>
      </c>
      <c r="O24" s="74" t="s">
        <v>192</v>
      </c>
      <c r="P24" s="83">
        <f>IF(Q24=0,0,R24/Q24)</f>
        <v>-4.4645161290322601</v>
      </c>
      <c r="Q24" s="77">
        <v>62</v>
      </c>
      <c r="R24" s="68">
        <v>-276.80000000000013</v>
      </c>
    </row>
    <row r="25" spans="1:18" x14ac:dyDescent="0.4">
      <c r="A25" s="19" t="s">
        <v>181</v>
      </c>
      <c r="B25" s="12">
        <v>110</v>
      </c>
      <c r="C25" s="6">
        <f>IF(B$20=0,0,B25/B$20)</f>
        <v>0.28277634961439591</v>
      </c>
      <c r="E25" s="27" t="s">
        <v>84</v>
      </c>
      <c r="F25" s="24" t="s">
        <v>39</v>
      </c>
      <c r="G25" s="12">
        <v>1</v>
      </c>
      <c r="H25" s="88">
        <f>IF(B$20=0,0,G25/B$20)</f>
        <v>2.5706940874035988E-3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107</v>
      </c>
      <c r="C26" s="6">
        <f>IF(B$20=0,0,B26/B$20)</f>
        <v>0.27506426735218509</v>
      </c>
      <c r="E26" s="27" t="s">
        <v>87</v>
      </c>
      <c r="F26" s="24" t="s">
        <v>42</v>
      </c>
      <c r="G26" s="12">
        <v>1</v>
      </c>
      <c r="H26" s="88">
        <f>IF(B$20=0,0,G26/B$20)</f>
        <v>2.5706940874035988E-3</v>
      </c>
      <c r="I26" s="58">
        <v>1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8390.2313624678663</v>
      </c>
      <c r="C27" s="8">
        <v>3263800</v>
      </c>
      <c r="E27" s="27" t="s">
        <v>88</v>
      </c>
      <c r="F27" s="24" t="s">
        <v>43</v>
      </c>
      <c r="G27" s="12">
        <v>1</v>
      </c>
      <c r="H27" s="88">
        <f>IF(B$20=0,0,G27/B$20)</f>
        <v>2.5706940874035988E-3</v>
      </c>
      <c r="I27" s="58">
        <v>5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8684.5878136200718</v>
      </c>
      <c r="C28" s="96">
        <v>2423000</v>
      </c>
      <c r="E28" s="27" t="s">
        <v>90</v>
      </c>
      <c r="F28" s="24" t="s">
        <v>45</v>
      </c>
      <c r="G28" s="12">
        <v>1</v>
      </c>
      <c r="H28" s="88">
        <f>IF(B$20=0,0,G28/B$20)</f>
        <v>2.5706940874035988E-3</v>
      </c>
      <c r="I28" s="58">
        <v>3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7643.636363636364</v>
      </c>
      <c r="C29" s="96">
        <v>840800</v>
      </c>
      <c r="E29" s="27" t="s">
        <v>74</v>
      </c>
      <c r="F29" s="24" t="s">
        <v>29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-7588.8349514563106</v>
      </c>
      <c r="C30" s="96">
        <v>-1563300</v>
      </c>
      <c r="E30" s="27" t="s">
        <v>76</v>
      </c>
      <c r="F30" s="24" t="s">
        <v>31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77</v>
      </c>
      <c r="F31" s="24" t="s">
        <v>32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31</v>
      </c>
      <c r="C32" s="90">
        <v>1</v>
      </c>
      <c r="E32" s="27" t="s">
        <v>82</v>
      </c>
      <c r="F32" s="24" t="s">
        <v>37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35">
        <v>7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37">
        <v>103000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8.2101806239737272E-4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25</v>
      </c>
      <c r="C37" s="98">
        <f t="shared" ref="C37:C49" si="2">IF(B$20=0,0,B37/B$20)</f>
        <v>6.4267352185089971E-2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74</v>
      </c>
      <c r="C38" s="6">
        <f t="shared" si="2"/>
        <v>0.19023136246786632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74</v>
      </c>
      <c r="C39" s="6">
        <f t="shared" si="2"/>
        <v>0.19023136246786632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74</v>
      </c>
      <c r="C40" s="6">
        <f t="shared" si="2"/>
        <v>0.19023136246786632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60</v>
      </c>
      <c r="C41" s="6">
        <f t="shared" si="2"/>
        <v>0.15424164524421594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45</v>
      </c>
      <c r="C42" s="6">
        <f t="shared" si="2"/>
        <v>0.11568123393316196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14</v>
      </c>
      <c r="C43" s="6">
        <f t="shared" si="2"/>
        <v>3.5989717223650387E-2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8</v>
      </c>
      <c r="C44" s="6">
        <f t="shared" si="2"/>
        <v>2.056555269922879E-2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6</v>
      </c>
      <c r="C45" s="6">
        <f t="shared" si="2"/>
        <v>1.5424164524421594E-2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3</v>
      </c>
      <c r="C46" s="6">
        <f t="shared" si="2"/>
        <v>7.7120822622107968E-3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2</v>
      </c>
      <c r="C47" s="6">
        <f t="shared" si="2"/>
        <v>5.1413881748071976E-3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2.5706940874035988E-3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3</v>
      </c>
      <c r="C49" s="9">
        <f t="shared" si="2"/>
        <v>7.7120822622107968E-3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  <row r="92" spans="11:13" x14ac:dyDescent="0.4">
      <c r="K92" s="74">
        <v>90</v>
      </c>
      <c r="L92" s="119">
        <v>122.49999999999993</v>
      </c>
      <c r="M92" s="117">
        <v>1765.5948793491179</v>
      </c>
    </row>
    <row r="93" spans="11:13" x14ac:dyDescent="0.4">
      <c r="K93" s="74">
        <v>91</v>
      </c>
      <c r="L93" s="119">
        <v>169.09999999999994</v>
      </c>
      <c r="M93" s="117">
        <v>1773.1093100730232</v>
      </c>
    </row>
    <row r="94" spans="11:13" x14ac:dyDescent="0.4">
      <c r="K94" s="74">
        <v>92</v>
      </c>
      <c r="L94" s="119">
        <v>196.59999999999994</v>
      </c>
      <c r="M94" s="117">
        <v>1777.230654212585</v>
      </c>
    </row>
    <row r="95" spans="11:13" x14ac:dyDescent="0.4">
      <c r="K95" s="74">
        <v>93</v>
      </c>
      <c r="L95" s="119">
        <v>224.49999999999994</v>
      </c>
      <c r="M95" s="117">
        <v>1781.3932702873094</v>
      </c>
    </row>
    <row r="96" spans="11:13" x14ac:dyDescent="0.4">
      <c r="K96" s="74">
        <v>94</v>
      </c>
      <c r="L96" s="119">
        <v>232.69999999999993</v>
      </c>
      <c r="M96" s="117">
        <v>1781.9189106655856</v>
      </c>
    </row>
    <row r="97" spans="11:13" x14ac:dyDescent="0.4">
      <c r="K97" s="74">
        <v>95</v>
      </c>
      <c r="L97" s="119">
        <v>211.19999999999993</v>
      </c>
      <c r="M97" s="117">
        <v>1777.3413972015921</v>
      </c>
    </row>
    <row r="98" spans="11:13" x14ac:dyDescent="0.4">
      <c r="K98" s="74">
        <v>96</v>
      </c>
      <c r="L98" s="119">
        <v>245.49999999999994</v>
      </c>
      <c r="M98" s="117">
        <v>1782.8353488183825</v>
      </c>
    </row>
    <row r="99" spans="11:13" x14ac:dyDescent="0.4">
      <c r="K99" s="74">
        <v>97</v>
      </c>
      <c r="L99" s="119">
        <v>197.49999999999994</v>
      </c>
      <c r="M99" s="117">
        <v>1773.3683367254721</v>
      </c>
    </row>
    <row r="100" spans="11:13" x14ac:dyDescent="0.4">
      <c r="K100" s="74">
        <v>98</v>
      </c>
      <c r="L100" s="119">
        <v>206.39999999999995</v>
      </c>
      <c r="M100" s="117">
        <v>1774.2001267051191</v>
      </c>
    </row>
    <row r="101" spans="11:13" x14ac:dyDescent="0.4">
      <c r="K101" s="74">
        <v>99</v>
      </c>
      <c r="L101" s="119">
        <v>172.49999999999994</v>
      </c>
      <c r="M101" s="117">
        <v>1767.3229259448885</v>
      </c>
    </row>
    <row r="102" spans="11:13" x14ac:dyDescent="0.4">
      <c r="K102" s="74">
        <v>100</v>
      </c>
      <c r="L102" s="119">
        <v>196.39999999999995</v>
      </c>
      <c r="M102" s="117">
        <v>1770.8969883892191</v>
      </c>
    </row>
    <row r="103" spans="11:13" x14ac:dyDescent="0.4">
      <c r="K103" s="74">
        <v>101</v>
      </c>
      <c r="L103" s="119">
        <v>158.99999999999994</v>
      </c>
      <c r="M103" s="117">
        <v>1763.4156064588838</v>
      </c>
    </row>
    <row r="104" spans="11:13" x14ac:dyDescent="0.4">
      <c r="K104" s="74">
        <v>102</v>
      </c>
      <c r="L104" s="119">
        <v>147.99999999999994</v>
      </c>
      <c r="M104" s="117">
        <v>1760.7251128201306</v>
      </c>
    </row>
    <row r="105" spans="11:13" x14ac:dyDescent="0.4">
      <c r="K105" s="74">
        <v>103</v>
      </c>
      <c r="L105" s="119">
        <v>123.79999999999994</v>
      </c>
      <c r="M105" s="117">
        <v>1755.5727621432097</v>
      </c>
    </row>
    <row r="106" spans="11:13" x14ac:dyDescent="0.4">
      <c r="K106" s="74">
        <v>104</v>
      </c>
      <c r="L106" s="119">
        <v>173.19999999999993</v>
      </c>
      <c r="M106" s="117">
        <v>1763.6993255703505</v>
      </c>
    </row>
    <row r="107" spans="11:13" x14ac:dyDescent="0.4">
      <c r="K107" s="74">
        <v>105</v>
      </c>
      <c r="L107" s="119">
        <v>184.39999999999992</v>
      </c>
      <c r="M107" s="117">
        <v>1764.9011296169285</v>
      </c>
    </row>
    <row r="108" spans="11:13" x14ac:dyDescent="0.4">
      <c r="K108" s="74">
        <v>106</v>
      </c>
      <c r="L108" s="119">
        <v>219.09999999999991</v>
      </c>
      <c r="M108" s="117">
        <v>1770.325722839227</v>
      </c>
    </row>
    <row r="109" spans="11:13" x14ac:dyDescent="0.4">
      <c r="K109" s="74">
        <v>107</v>
      </c>
      <c r="L109" s="119">
        <v>218.2999999999999</v>
      </c>
      <c r="M109" s="117">
        <v>1769.3217685021916</v>
      </c>
    </row>
    <row r="110" spans="11:13" x14ac:dyDescent="0.4">
      <c r="K110" s="74">
        <v>108</v>
      </c>
      <c r="L110" s="119">
        <v>209.59999999999991</v>
      </c>
      <c r="M110" s="117">
        <v>1766.8238378911785</v>
      </c>
    </row>
    <row r="111" spans="11:13" x14ac:dyDescent="0.4">
      <c r="K111" s="74">
        <v>109</v>
      </c>
      <c r="L111" s="119">
        <v>207.7999999999999</v>
      </c>
      <c r="M111" s="117">
        <v>1765.5828948638314</v>
      </c>
    </row>
    <row r="112" spans="11:13" x14ac:dyDescent="0.4">
      <c r="K112" s="74">
        <v>110</v>
      </c>
      <c r="L112" s="119">
        <v>257.69999999999987</v>
      </c>
      <c r="M112" s="117">
        <v>1773.3973974946484</v>
      </c>
    </row>
    <row r="113" spans="11:13" x14ac:dyDescent="0.4">
      <c r="K113" s="74">
        <v>111</v>
      </c>
      <c r="L113" s="119">
        <v>233.09999999999988</v>
      </c>
      <c r="M113" s="117">
        <v>1767.7550131096805</v>
      </c>
    </row>
    <row r="114" spans="11:13" x14ac:dyDescent="0.4">
      <c r="K114" s="74">
        <v>112</v>
      </c>
      <c r="L114" s="119">
        <v>256.69999999999987</v>
      </c>
      <c r="M114" s="117">
        <v>1771.2664830310223</v>
      </c>
    </row>
    <row r="115" spans="11:13" x14ac:dyDescent="0.4">
      <c r="K115" s="74">
        <v>113</v>
      </c>
      <c r="L115" s="119">
        <v>234.69999999999987</v>
      </c>
      <c r="M115" s="117">
        <v>1766.5488841328361</v>
      </c>
    </row>
    <row r="116" spans="11:13" x14ac:dyDescent="0.4">
      <c r="K116" s="74">
        <v>114</v>
      </c>
      <c r="L116" s="119">
        <v>186.69999999999987</v>
      </c>
      <c r="M116" s="117">
        <v>1756.8675908280391</v>
      </c>
    </row>
    <row r="117" spans="11:13" x14ac:dyDescent="0.4">
      <c r="K117" s="74">
        <v>115</v>
      </c>
      <c r="L117" s="119">
        <v>143.79999999999987</v>
      </c>
      <c r="M117" s="117">
        <v>1748.1143852830708</v>
      </c>
    </row>
    <row r="118" spans="11:13" x14ac:dyDescent="0.4">
      <c r="K118" s="74">
        <v>116</v>
      </c>
      <c r="L118" s="119">
        <v>199.79999999999987</v>
      </c>
      <c r="M118" s="117">
        <v>1757.2516989713724</v>
      </c>
    </row>
    <row r="119" spans="11:13" x14ac:dyDescent="0.4">
      <c r="K119" s="74">
        <v>117</v>
      </c>
      <c r="L119" s="119">
        <v>215.19999999999987</v>
      </c>
      <c r="M119" s="117">
        <v>1759.0261887775441</v>
      </c>
    </row>
    <row r="120" spans="11:13" x14ac:dyDescent="0.4">
      <c r="K120" s="74">
        <v>118</v>
      </c>
      <c r="L120" s="119">
        <v>163.49999999999989</v>
      </c>
      <c r="M120" s="117">
        <v>1748.9040316448788</v>
      </c>
    </row>
    <row r="121" spans="11:13" x14ac:dyDescent="0.4">
      <c r="K121" s="74">
        <v>119</v>
      </c>
      <c r="L121" s="119">
        <v>130.99999999999989</v>
      </c>
      <c r="M121" s="117">
        <v>1742.2986074550095</v>
      </c>
    </row>
    <row r="122" spans="11:13" x14ac:dyDescent="0.4">
      <c r="K122" s="74">
        <v>120</v>
      </c>
      <c r="L122" s="119">
        <v>100.89999999999989</v>
      </c>
      <c r="M122" s="117">
        <v>1736.0748158102795</v>
      </c>
    </row>
    <row r="123" spans="11:13" x14ac:dyDescent="0.4">
      <c r="K123" s="74">
        <v>121</v>
      </c>
      <c r="L123" s="119">
        <v>52.599999999999895</v>
      </c>
      <c r="M123" s="117">
        <v>1726.6123669154179</v>
      </c>
    </row>
    <row r="124" spans="11:13" x14ac:dyDescent="0.4">
      <c r="K124" s="74">
        <v>122</v>
      </c>
      <c r="L124" s="119">
        <v>23.499999999999893</v>
      </c>
      <c r="M124" s="117">
        <v>1720.8906927139253</v>
      </c>
    </row>
    <row r="125" spans="11:13" x14ac:dyDescent="0.4">
      <c r="K125" s="74">
        <v>123</v>
      </c>
      <c r="L125" s="119">
        <v>-3.3000000000001073</v>
      </c>
      <c r="M125" s="117">
        <v>1715.6173485576417</v>
      </c>
    </row>
    <row r="126" spans="11:13" x14ac:dyDescent="0.4">
      <c r="K126" s="74">
        <v>124</v>
      </c>
      <c r="L126" s="119">
        <v>36.999999999999886</v>
      </c>
      <c r="M126" s="117">
        <v>1722.4536444662958</v>
      </c>
    </row>
    <row r="127" spans="11:13" x14ac:dyDescent="0.4">
      <c r="K127" s="74">
        <v>125</v>
      </c>
      <c r="L127" s="119">
        <v>67.099999999999881</v>
      </c>
      <c r="M127" s="117">
        <v>1727.412922599498</v>
      </c>
    </row>
    <row r="128" spans="11:13" x14ac:dyDescent="0.4">
      <c r="K128" s="74">
        <v>126</v>
      </c>
      <c r="L128" s="119">
        <v>117.49999999999989</v>
      </c>
      <c r="M128" s="117">
        <v>1735.9964450639009</v>
      </c>
    </row>
    <row r="129" spans="11:13" x14ac:dyDescent="0.4">
      <c r="K129" s="74">
        <v>127</v>
      </c>
      <c r="L129" s="119">
        <v>148.2999999999999</v>
      </c>
      <c r="M129" s="117">
        <v>1740.9224663935174</v>
      </c>
    </row>
    <row r="130" spans="11:13" x14ac:dyDescent="0.4">
      <c r="K130" s="74">
        <v>128</v>
      </c>
      <c r="L130" s="119">
        <v>126.39999999999989</v>
      </c>
      <c r="M130" s="117">
        <v>1735.9609315951564</v>
      </c>
    </row>
    <row r="131" spans="11:13" x14ac:dyDescent="0.4">
      <c r="K131" s="74">
        <v>129</v>
      </c>
      <c r="L131" s="119">
        <v>114.99999999999989</v>
      </c>
      <c r="M131" s="117">
        <v>1732.9191660055853</v>
      </c>
    </row>
    <row r="132" spans="11:13" x14ac:dyDescent="0.4">
      <c r="K132" s="74">
        <v>130</v>
      </c>
      <c r="L132" s="119">
        <v>142.89999999999989</v>
      </c>
      <c r="M132" s="117">
        <v>1736.9696510095519</v>
      </c>
    </row>
    <row r="133" spans="11:13" x14ac:dyDescent="0.4">
      <c r="K133" s="74">
        <v>131</v>
      </c>
      <c r="L133" s="119">
        <v>119.69999999999989</v>
      </c>
      <c r="M133" s="117">
        <v>1731.7978331034944</v>
      </c>
    </row>
    <row r="134" spans="11:13" x14ac:dyDescent="0.4">
      <c r="K134" s="74">
        <v>132</v>
      </c>
      <c r="L134" s="119">
        <v>155.09999999999988</v>
      </c>
      <c r="M134" s="117">
        <v>1737.2050461048734</v>
      </c>
    </row>
    <row r="135" spans="11:13" x14ac:dyDescent="0.4">
      <c r="K135" s="74">
        <v>133</v>
      </c>
      <c r="L135" s="119">
        <v>146.19999999999987</v>
      </c>
      <c r="M135" s="117">
        <v>1734.6058158282442</v>
      </c>
    </row>
    <row r="136" spans="11:13" x14ac:dyDescent="0.4">
      <c r="K136" s="74">
        <v>134</v>
      </c>
      <c r="L136" s="119">
        <v>107.19999999999987</v>
      </c>
      <c r="M136" s="117">
        <v>1726.6041809332748</v>
      </c>
    </row>
    <row r="137" spans="11:13" x14ac:dyDescent="0.4">
      <c r="K137" s="74">
        <v>135</v>
      </c>
      <c r="L137" s="119">
        <v>104.09999999999988</v>
      </c>
      <c r="M137" s="117">
        <v>1725.1125558476751</v>
      </c>
    </row>
    <row r="138" spans="11:13" x14ac:dyDescent="0.4">
      <c r="K138" s="74">
        <v>136</v>
      </c>
      <c r="L138" s="119">
        <v>168.69999999999987</v>
      </c>
      <c r="M138" s="117">
        <v>1735.5338805125891</v>
      </c>
    </row>
    <row r="139" spans="11:13" x14ac:dyDescent="0.4">
      <c r="K139" s="74">
        <v>137</v>
      </c>
      <c r="L139" s="119">
        <v>199.99999999999989</v>
      </c>
      <c r="M139" s="117">
        <v>1740.3906772295136</v>
      </c>
    </row>
    <row r="140" spans="11:13" x14ac:dyDescent="0.4">
      <c r="K140" s="74">
        <v>138</v>
      </c>
      <c r="L140" s="119">
        <v>240.2999999999999</v>
      </c>
      <c r="M140" s="117">
        <v>1746.4063331661364</v>
      </c>
    </row>
    <row r="141" spans="11:13" x14ac:dyDescent="0.4">
      <c r="K141" s="74">
        <v>139</v>
      </c>
      <c r="L141" s="119">
        <v>247.6999999999999</v>
      </c>
      <c r="M141" s="117">
        <v>1746.4578951671397</v>
      </c>
    </row>
    <row r="142" spans="11:13" x14ac:dyDescent="0.4">
      <c r="K142" s="74">
        <v>140</v>
      </c>
      <c r="L142" s="119">
        <v>226.7999999999999</v>
      </c>
      <c r="M142" s="117">
        <v>1742.1531477961369</v>
      </c>
    </row>
    <row r="143" spans="11:13" x14ac:dyDescent="0.4">
      <c r="K143" s="74">
        <v>141</v>
      </c>
      <c r="L143" s="119">
        <v>228.2999999999999</v>
      </c>
      <c r="M143" s="117">
        <v>1741.9062289093602</v>
      </c>
    </row>
    <row r="144" spans="11:13" x14ac:dyDescent="0.4">
      <c r="K144" s="74">
        <v>142</v>
      </c>
      <c r="L144" s="119">
        <v>274.99999999999989</v>
      </c>
      <c r="M144" s="117">
        <v>1749.796791535904</v>
      </c>
    </row>
    <row r="145" spans="11:13" x14ac:dyDescent="0.4">
      <c r="K145" s="74">
        <v>143</v>
      </c>
      <c r="L145" s="119">
        <v>264.49999999999989</v>
      </c>
      <c r="M145" s="117">
        <v>1747.2420107866885</v>
      </c>
    </row>
    <row r="146" spans="11:13" x14ac:dyDescent="0.4">
      <c r="K146" s="74">
        <v>144</v>
      </c>
      <c r="L146" s="119">
        <v>320.7999999999999</v>
      </c>
      <c r="M146" s="117">
        <v>1756.7205587219685</v>
      </c>
    </row>
    <row r="147" spans="11:13" x14ac:dyDescent="0.4">
      <c r="K147" s="74">
        <v>145</v>
      </c>
      <c r="L147" s="119">
        <v>332.19999999999987</v>
      </c>
      <c r="M147" s="117">
        <v>1758.0662353696366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9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163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89</v>
      </c>
      <c r="C2" s="142"/>
      <c r="E2" s="26" t="s">
        <v>66</v>
      </c>
      <c r="F2" s="23" t="s">
        <v>22</v>
      </c>
      <c r="G2" s="11">
        <v>197</v>
      </c>
      <c r="H2" s="87">
        <f>IF(B$20=0,0,G2/B$20)</f>
        <v>0.9563106796116505</v>
      </c>
      <c r="I2" s="57">
        <v>3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1247.1910112359551</v>
      </c>
      <c r="Q2" s="76">
        <v>89</v>
      </c>
      <c r="R2" s="63">
        <v>111000</v>
      </c>
    </row>
    <row r="3" spans="1:18" x14ac:dyDescent="0.4">
      <c r="A3" s="19" t="s">
        <v>8</v>
      </c>
      <c r="B3" s="143">
        <v>791</v>
      </c>
      <c r="C3" s="144"/>
      <c r="E3" s="27" t="s">
        <v>72</v>
      </c>
      <c r="F3" s="24" t="s">
        <v>27</v>
      </c>
      <c r="G3" s="12">
        <v>135</v>
      </c>
      <c r="H3" s="88">
        <f>IF(B$20=0,0,G3/B$20)</f>
        <v>0.65533980582524276</v>
      </c>
      <c r="I3" s="58">
        <v>4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-385.05747126436779</v>
      </c>
      <c r="Q3" s="77">
        <v>87</v>
      </c>
      <c r="R3" s="64">
        <v>-33500</v>
      </c>
    </row>
    <row r="4" spans="1:18" x14ac:dyDescent="0.4">
      <c r="A4" s="19" t="s">
        <v>6</v>
      </c>
      <c r="B4" s="145">
        <v>-244.29999999999998</v>
      </c>
      <c r="C4" s="146"/>
      <c r="E4" s="27" t="s">
        <v>64</v>
      </c>
      <c r="F4" s="24" t="s">
        <v>20</v>
      </c>
      <c r="G4" s="12">
        <v>101</v>
      </c>
      <c r="H4" s="88">
        <f>IF(B$20=0,0,G4/B$20)</f>
        <v>0.49029126213592233</v>
      </c>
      <c r="I4" s="58">
        <v>5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-972.09302325581393</v>
      </c>
      <c r="Q4" s="77">
        <v>86</v>
      </c>
      <c r="R4" s="64">
        <v>-83600</v>
      </c>
    </row>
    <row r="5" spans="1:18" x14ac:dyDescent="0.4">
      <c r="A5" s="19" t="s">
        <v>7</v>
      </c>
      <c r="B5" s="133">
        <f>IF(B$2=0,0,B$4/B$2)</f>
        <v>-2.7449438202247189</v>
      </c>
      <c r="C5" s="134"/>
      <c r="E5" s="27" t="s">
        <v>159</v>
      </c>
      <c r="F5" s="24" t="s">
        <v>160</v>
      </c>
      <c r="G5" s="12">
        <v>79</v>
      </c>
      <c r="H5" s="88">
        <f>IF(B$20=0,0,G5/B$20)</f>
        <v>0.38349514563106796</v>
      </c>
      <c r="I5" s="58">
        <v>9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-234.52380952380952</v>
      </c>
      <c r="Q5" s="77">
        <v>84</v>
      </c>
      <c r="R5" s="64">
        <v>-19700</v>
      </c>
    </row>
    <row r="6" spans="1:18" x14ac:dyDescent="0.4">
      <c r="A6" s="19" t="s">
        <v>196</v>
      </c>
      <c r="B6" s="137">
        <v>1605.0170841089816</v>
      </c>
      <c r="C6" s="138"/>
      <c r="E6" s="27" t="s">
        <v>68</v>
      </c>
      <c r="F6" s="24" t="s">
        <v>12</v>
      </c>
      <c r="G6" s="12">
        <v>71</v>
      </c>
      <c r="H6" s="88">
        <f>IF(B$20=0,0,G6/B$20)</f>
        <v>0.3446601941747573</v>
      </c>
      <c r="I6" s="58">
        <v>5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-183.11688311688312</v>
      </c>
      <c r="Q6" s="77">
        <v>77</v>
      </c>
      <c r="R6" s="64">
        <v>-14100</v>
      </c>
    </row>
    <row r="7" spans="1:18" x14ac:dyDescent="0.4">
      <c r="A7" s="19" t="s">
        <v>1</v>
      </c>
      <c r="B7" s="147">
        <f>IF(B$2=0,0,(B$8*1+B$9*2+B$10*3)/B$2)</f>
        <v>2.0337078651685392</v>
      </c>
      <c r="C7" s="148"/>
      <c r="E7" s="27" t="s">
        <v>67</v>
      </c>
      <c r="F7" s="24" t="s">
        <v>23</v>
      </c>
      <c r="G7" s="12">
        <v>66</v>
      </c>
      <c r="H7" s="88">
        <f>IF(B$20=0,0,G7/B$20)</f>
        <v>0.32038834951456313</v>
      </c>
      <c r="I7" s="58">
        <v>4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-416.41791044776119</v>
      </c>
      <c r="Q7" s="78">
        <v>67</v>
      </c>
      <c r="R7" s="65">
        <v>-27900</v>
      </c>
    </row>
    <row r="8" spans="1:18" x14ac:dyDescent="0.4">
      <c r="A8" s="19" t="s">
        <v>2</v>
      </c>
      <c r="B8" s="12">
        <v>28</v>
      </c>
      <c r="C8" s="6">
        <f t="shared" ref="C8:C15" si="1">IF(B$2=0,0,B8/B$2)</f>
        <v>0.3146067415730337</v>
      </c>
      <c r="E8" s="27" t="s">
        <v>89</v>
      </c>
      <c r="F8" s="24" t="s">
        <v>44</v>
      </c>
      <c r="G8" s="12">
        <v>32</v>
      </c>
      <c r="H8" s="88">
        <f>IF(B$20=0,0,G8/B$20)</f>
        <v>0.1553398058252427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30</v>
      </c>
      <c r="C9" s="6">
        <f t="shared" si="1"/>
        <v>0.33707865168539325</v>
      </c>
      <c r="E9" s="27" t="s">
        <v>69</v>
      </c>
      <c r="F9" s="24" t="s">
        <v>24</v>
      </c>
      <c r="G9" s="12">
        <v>26</v>
      </c>
      <c r="H9" s="88">
        <f>IF(B$20=0,0,G9/B$20)</f>
        <v>0.12621359223300971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31</v>
      </c>
      <c r="C10" s="7">
        <f t="shared" si="1"/>
        <v>0.34831460674157305</v>
      </c>
      <c r="E10" s="27" t="s">
        <v>65</v>
      </c>
      <c r="F10" s="24" t="s">
        <v>21</v>
      </c>
      <c r="G10" s="12">
        <v>25</v>
      </c>
      <c r="H10" s="88">
        <f>IF(B$20=0,0,G10/B$20)</f>
        <v>0.12135922330097088</v>
      </c>
      <c r="I10" s="58">
        <v>5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-3.5606060606060606</v>
      </c>
      <c r="Q10" s="76">
        <v>33</v>
      </c>
      <c r="R10" s="67">
        <v>-117.5</v>
      </c>
    </row>
    <row r="11" spans="1:18" x14ac:dyDescent="0.4">
      <c r="A11" s="20" t="s">
        <v>184</v>
      </c>
      <c r="B11" s="109">
        <f>IF(B8=0,0,C11/B8)</f>
        <v>32.546428571428571</v>
      </c>
      <c r="C11" s="110">
        <v>911.3</v>
      </c>
      <c r="E11" s="27" t="s">
        <v>70</v>
      </c>
      <c r="F11" s="24" t="s">
        <v>25</v>
      </c>
      <c r="G11" s="12">
        <v>19</v>
      </c>
      <c r="H11" s="88">
        <f>IF(B$20=0,0,G11/B$20)</f>
        <v>9.2233009708737865E-2</v>
      </c>
      <c r="I11" s="58">
        <v>6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-0.64615384615384697</v>
      </c>
      <c r="Q11" s="77">
        <v>26</v>
      </c>
      <c r="R11" s="68">
        <v>-16.800000000000022</v>
      </c>
    </row>
    <row r="12" spans="1:18" x14ac:dyDescent="0.4">
      <c r="A12" s="20" t="s">
        <v>185</v>
      </c>
      <c r="B12" s="109">
        <f>IF(B9=0,0,C12/B9)</f>
        <v>0.59333333333333349</v>
      </c>
      <c r="C12" s="110">
        <v>17.800000000000004</v>
      </c>
      <c r="E12" s="27" t="s">
        <v>71</v>
      </c>
      <c r="F12" s="24" t="s">
        <v>26</v>
      </c>
      <c r="G12" s="12">
        <v>15</v>
      </c>
      <c r="H12" s="88">
        <f>IF(B$20=0,0,G12/B$20)</f>
        <v>7.281553398058252E-2</v>
      </c>
      <c r="I12" s="58">
        <v>6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-3.6666666666666665</v>
      </c>
      <c r="Q12" s="78">
        <v>30</v>
      </c>
      <c r="R12" s="69">
        <v>-110</v>
      </c>
    </row>
    <row r="13" spans="1:18" x14ac:dyDescent="0.4">
      <c r="A13" s="20" t="s">
        <v>186</v>
      </c>
      <c r="B13" s="109">
        <f>IF(B10=0,0,C13/B10)</f>
        <v>-37.851612903225806</v>
      </c>
      <c r="C13" s="110">
        <v>-1173.4000000000001</v>
      </c>
      <c r="E13" s="27" t="s">
        <v>86</v>
      </c>
      <c r="F13" s="24" t="s">
        <v>41</v>
      </c>
      <c r="G13" s="12">
        <v>12</v>
      </c>
      <c r="H13" s="88">
        <f>IF(B$20=0,0,G13/B$20)</f>
        <v>5.8252427184466021E-2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-1.5706169994879673</v>
      </c>
      <c r="C14" s="134"/>
      <c r="E14" s="27" t="s">
        <v>83</v>
      </c>
      <c r="F14" s="24" t="s">
        <v>38</v>
      </c>
      <c r="G14" s="12">
        <v>6</v>
      </c>
      <c r="H14" s="88">
        <f>IF(B$20=0,0,G14/B$20)</f>
        <v>2.9126213592233011E-2</v>
      </c>
      <c r="I14" s="58">
        <v>10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11</v>
      </c>
      <c r="C15" s="9">
        <f t="shared" si="1"/>
        <v>0.12359550561797752</v>
      </c>
      <c r="E15" s="27" t="s">
        <v>91</v>
      </c>
      <c r="F15" s="24" t="s">
        <v>46</v>
      </c>
      <c r="G15" s="12">
        <v>6</v>
      </c>
      <c r="H15" s="88">
        <f>IF(B$20=0,0,G15/B$20)</f>
        <v>2.9126213592233011E-2</v>
      </c>
      <c r="I15" s="58">
        <v>2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 t="shared" ref="P15:P24" si="2"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225</v>
      </c>
      <c r="C16" s="10">
        <f>IF(B$3=0,0,B16/B$3)</f>
        <v>0.28445006321112515</v>
      </c>
      <c r="E16" s="27" t="s">
        <v>155</v>
      </c>
      <c r="F16" s="24" t="s">
        <v>156</v>
      </c>
      <c r="G16" s="12">
        <v>6</v>
      </c>
      <c r="H16" s="88">
        <f>IF(B$20=0,0,G16/B$20)</f>
        <v>2.9126213592233011E-2</v>
      </c>
      <c r="I16" s="58">
        <v>2</v>
      </c>
      <c r="K16" s="74">
        <v>14</v>
      </c>
      <c r="L16" s="119">
        <v>-125.80000000000004</v>
      </c>
      <c r="M16" s="117">
        <v>1630.1668189337324</v>
      </c>
      <c r="O16" s="74" t="s">
        <v>201</v>
      </c>
      <c r="P16" s="83">
        <f t="shared" si="2"/>
        <v>21.074999999999999</v>
      </c>
      <c r="Q16" s="77">
        <v>4</v>
      </c>
      <c r="R16" s="68">
        <v>84.3</v>
      </c>
    </row>
    <row r="17" spans="1:18" x14ac:dyDescent="0.4">
      <c r="A17" s="19" t="s">
        <v>118</v>
      </c>
      <c r="B17" s="12">
        <v>176</v>
      </c>
      <c r="C17" s="6">
        <f>IF(B$3=0,0,B17/B$3)</f>
        <v>0.22250316055625791</v>
      </c>
      <c r="E17" s="27" t="s">
        <v>81</v>
      </c>
      <c r="F17" s="24" t="s">
        <v>36</v>
      </c>
      <c r="G17" s="12">
        <v>5</v>
      </c>
      <c r="H17" s="88">
        <f>IF(B$20=0,0,G17/B$20)</f>
        <v>2.4271844660194174E-2</v>
      </c>
      <c r="I17" s="58">
        <v>9</v>
      </c>
      <c r="K17" s="74">
        <v>15</v>
      </c>
      <c r="L17" s="119">
        <v>-165.10000000000002</v>
      </c>
      <c r="M17" s="117">
        <v>1623.3138180201299</v>
      </c>
      <c r="O17" s="74" t="s">
        <v>193</v>
      </c>
      <c r="P17" s="83">
        <f t="shared" si="2"/>
        <v>18.3</v>
      </c>
      <c r="Q17" s="77">
        <v>2</v>
      </c>
      <c r="R17" s="68">
        <v>36.6</v>
      </c>
    </row>
    <row r="18" spans="1:18" x14ac:dyDescent="0.4">
      <c r="A18" s="18" t="s">
        <v>123</v>
      </c>
      <c r="B18" s="11">
        <f>B24</f>
        <v>108</v>
      </c>
      <c r="C18" s="5">
        <f>IF(B$16=0,0,B18/B$16)</f>
        <v>0.48</v>
      </c>
      <c r="E18" s="27" t="s">
        <v>78</v>
      </c>
      <c r="F18" s="24" t="s">
        <v>33</v>
      </c>
      <c r="G18" s="12">
        <v>4</v>
      </c>
      <c r="H18" s="88">
        <f>IF(B$20=0,0,G18/B$20)</f>
        <v>1.9417475728155338E-2</v>
      </c>
      <c r="I18" s="58">
        <v>10</v>
      </c>
      <c r="K18" s="74">
        <v>16</v>
      </c>
      <c r="L18" s="119">
        <v>-95.40000000000002</v>
      </c>
      <c r="M18" s="117">
        <v>1635.5699351120093</v>
      </c>
      <c r="O18" s="74" t="s">
        <v>189</v>
      </c>
      <c r="P18" s="83">
        <f t="shared" si="2"/>
        <v>6.3545454545454554</v>
      </c>
      <c r="Q18" s="77">
        <v>22</v>
      </c>
      <c r="R18" s="68">
        <v>139.80000000000001</v>
      </c>
    </row>
    <row r="19" spans="1:18" x14ac:dyDescent="0.4">
      <c r="A19" s="18" t="s">
        <v>124</v>
      </c>
      <c r="B19" s="11">
        <f>B25</f>
        <v>59</v>
      </c>
      <c r="C19" s="5">
        <f>IF(B$17=0,0,B19/B$17)</f>
        <v>0.33522727272727271</v>
      </c>
      <c r="E19" s="27" t="s">
        <v>73</v>
      </c>
      <c r="F19" s="24" t="s">
        <v>28</v>
      </c>
      <c r="G19" s="12">
        <v>3</v>
      </c>
      <c r="H19" s="88">
        <f>IF(B$20=0,0,G19/B$20)</f>
        <v>1.4563106796116505E-2</v>
      </c>
      <c r="I19" s="58">
        <v>3</v>
      </c>
      <c r="K19" s="74">
        <v>17</v>
      </c>
      <c r="L19" s="119">
        <v>-91.000000000000014</v>
      </c>
      <c r="M19" s="117">
        <v>1635.9985155013371</v>
      </c>
      <c r="O19" s="74" t="s">
        <v>259</v>
      </c>
      <c r="P19" s="83">
        <f t="shared" si="2"/>
        <v>1.8999999999999977</v>
      </c>
      <c r="Q19" s="77">
        <v>3</v>
      </c>
      <c r="R19" s="68">
        <v>5.6999999999999931</v>
      </c>
    </row>
    <row r="20" spans="1:18" x14ac:dyDescent="0.4">
      <c r="A20" s="18" t="s">
        <v>10</v>
      </c>
      <c r="B20" s="11">
        <f>B23+B22</f>
        <v>206</v>
      </c>
      <c r="C20" s="5">
        <f>IF(B$3=0,0,B20/B$3)</f>
        <v>0.26042983565107458</v>
      </c>
      <c r="E20" s="27" t="s">
        <v>77</v>
      </c>
      <c r="F20" s="24" t="s">
        <v>32</v>
      </c>
      <c r="G20" s="12">
        <v>2</v>
      </c>
      <c r="H20" s="88">
        <f>IF(B$20=0,0,G20/B$20)</f>
        <v>9.7087378640776691E-3</v>
      </c>
      <c r="I20" s="58">
        <v>3</v>
      </c>
      <c r="K20" s="74">
        <v>18</v>
      </c>
      <c r="L20" s="119">
        <v>-91.000000000000014</v>
      </c>
      <c r="M20" s="117">
        <v>1635.974524408329</v>
      </c>
      <c r="O20" s="74" t="s">
        <v>195</v>
      </c>
      <c r="P20" s="83">
        <f t="shared" si="2"/>
        <v>-0.22000000000000169</v>
      </c>
      <c r="Q20" s="77">
        <v>5</v>
      </c>
      <c r="R20" s="68">
        <v>-1.1000000000000085</v>
      </c>
    </row>
    <row r="21" spans="1:18" x14ac:dyDescent="0.4">
      <c r="A21" s="19" t="s">
        <v>13</v>
      </c>
      <c r="B21" s="12">
        <v>161</v>
      </c>
      <c r="C21" s="6">
        <f>IF(B$3=0,0,B21/B$3)</f>
        <v>0.20353982300884957</v>
      </c>
      <c r="E21" s="27" t="s">
        <v>85</v>
      </c>
      <c r="F21" s="24" t="s">
        <v>40</v>
      </c>
      <c r="G21" s="12">
        <v>2</v>
      </c>
      <c r="H21" s="88">
        <f>IF(B$20=0,0,G21/B$20)</f>
        <v>9.7087378640776691E-3</v>
      </c>
      <c r="I21" s="58">
        <v>2</v>
      </c>
      <c r="K21" s="74">
        <v>19</v>
      </c>
      <c r="L21" s="119">
        <v>-143.4</v>
      </c>
      <c r="M21" s="117">
        <v>1626.518677261879</v>
      </c>
      <c r="O21" s="74" t="s">
        <v>126</v>
      </c>
      <c r="P21" s="83">
        <f t="shared" si="2"/>
        <v>-7.8605263157894738</v>
      </c>
      <c r="Q21" s="77">
        <v>76</v>
      </c>
      <c r="R21" s="68">
        <v>-597.4</v>
      </c>
    </row>
    <row r="22" spans="1:18" x14ac:dyDescent="0.4">
      <c r="A22" s="19" t="s">
        <v>12</v>
      </c>
      <c r="B22" s="12">
        <v>94</v>
      </c>
      <c r="C22" s="6">
        <f>IF(B$20=0,0,B22/B$20)</f>
        <v>0.4563106796116505</v>
      </c>
      <c r="E22" s="27" t="s">
        <v>88</v>
      </c>
      <c r="F22" s="24" t="s">
        <v>43</v>
      </c>
      <c r="G22" s="12">
        <v>2</v>
      </c>
      <c r="H22" s="88">
        <f>IF(B$20=0,0,G22/B$20)</f>
        <v>9.7087378640776691E-3</v>
      </c>
      <c r="I22" s="58">
        <v>1</v>
      </c>
      <c r="K22" s="74">
        <v>20</v>
      </c>
      <c r="L22" s="119">
        <v>-101.2</v>
      </c>
      <c r="M22" s="117">
        <v>1634.1175651983078</v>
      </c>
      <c r="O22" s="74" t="s">
        <v>190</v>
      </c>
      <c r="P22" s="83">
        <f t="shared" si="2"/>
        <v>-8.7866666666666653</v>
      </c>
      <c r="Q22" s="77">
        <v>15</v>
      </c>
      <c r="R22" s="68">
        <v>-131.79999999999998</v>
      </c>
    </row>
    <row r="23" spans="1:18" x14ac:dyDescent="0.4">
      <c r="A23" s="19" t="s">
        <v>11</v>
      </c>
      <c r="B23" s="12">
        <v>112</v>
      </c>
      <c r="C23" s="6">
        <f>IF(B$20=0,0,B23/B$20)</f>
        <v>0.5436893203883495</v>
      </c>
      <c r="E23" s="27" t="s">
        <v>79</v>
      </c>
      <c r="F23" s="24" t="s">
        <v>34</v>
      </c>
      <c r="G23" s="12">
        <v>1</v>
      </c>
      <c r="H23" s="88">
        <f>IF(B$20=0,0,G23/B$20)</f>
        <v>4.8543689320388345E-3</v>
      </c>
      <c r="I23" s="58">
        <v>7</v>
      </c>
      <c r="K23" s="74">
        <v>21</v>
      </c>
      <c r="L23" s="119">
        <v>-99.3</v>
      </c>
      <c r="M23" s="117">
        <v>1634.416859807118</v>
      </c>
      <c r="O23" s="74" t="s">
        <v>211</v>
      </c>
      <c r="P23" s="83">
        <f t="shared" si="2"/>
        <v>-9.0636363636363644</v>
      </c>
      <c r="Q23" s="77">
        <v>22</v>
      </c>
      <c r="R23" s="68">
        <v>-199.40000000000003</v>
      </c>
    </row>
    <row r="24" spans="1:18" x14ac:dyDescent="0.4">
      <c r="A24" s="19" t="s">
        <v>183</v>
      </c>
      <c r="B24" s="12">
        <v>108</v>
      </c>
      <c r="C24" s="6">
        <f>IF(B$20=0,0,B24/B$20)</f>
        <v>0.52427184466019416</v>
      </c>
      <c r="E24" s="27" t="s">
        <v>92</v>
      </c>
      <c r="F24" s="24" t="s">
        <v>47</v>
      </c>
      <c r="G24" s="12">
        <v>1</v>
      </c>
      <c r="H24" s="88">
        <f>IF(B$20=0,0,G24/B$20)</f>
        <v>4.8543689320388345E-3</v>
      </c>
      <c r="I24" s="58">
        <v>3</v>
      </c>
      <c r="K24" s="74">
        <v>22</v>
      </c>
      <c r="L24" s="119">
        <v>-95.2</v>
      </c>
      <c r="M24" s="117">
        <v>1635.1103586482752</v>
      </c>
      <c r="O24" s="74" t="s">
        <v>192</v>
      </c>
      <c r="P24" s="83">
        <f t="shared" si="2"/>
        <v>-14.495454545454548</v>
      </c>
      <c r="Q24" s="77">
        <v>22</v>
      </c>
      <c r="R24" s="68">
        <v>-318.90000000000003</v>
      </c>
    </row>
    <row r="25" spans="1:18" x14ac:dyDescent="0.4">
      <c r="A25" s="19" t="s">
        <v>181</v>
      </c>
      <c r="B25" s="12">
        <v>59</v>
      </c>
      <c r="C25" s="6">
        <f>IF(B$20=0,0,B25/B$20)</f>
        <v>0.28640776699029125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39</v>
      </c>
      <c r="C26" s="6">
        <f>IF(B$20=0,0,B26/B$20)</f>
        <v>0.18932038834951456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9417.961165048544</v>
      </c>
      <c r="C27" s="8">
        <v>1940100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10224.489795918367</v>
      </c>
      <c r="C28" s="96">
        <v>1503000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7408.4745762711864</v>
      </c>
      <c r="C29" s="96">
        <v>437100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-7673.913043478261</v>
      </c>
      <c r="C30" s="96">
        <v>-1235500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25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35">
        <v>7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37">
        <v>94700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1.2642225031605564E-3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10</v>
      </c>
      <c r="C37" s="98">
        <f t="shared" ref="C37:C49" si="3">IF(B$20=0,0,B37/B$20)</f>
        <v>4.8543689320388349E-2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21</v>
      </c>
      <c r="C38" s="6">
        <f t="shared" si="3"/>
        <v>0.10194174757281553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37</v>
      </c>
      <c r="C39" s="6">
        <f t="shared" si="3"/>
        <v>0.1796116504854369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41</v>
      </c>
      <c r="C40" s="6">
        <f t="shared" si="3"/>
        <v>0.19902912621359223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40</v>
      </c>
      <c r="C41" s="6">
        <f t="shared" si="3"/>
        <v>0.1941747572815534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24</v>
      </c>
      <c r="C42" s="6">
        <f t="shared" si="3"/>
        <v>0.11650485436893204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12</v>
      </c>
      <c r="C43" s="6">
        <f t="shared" si="3"/>
        <v>5.8252427184466021E-2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9</v>
      </c>
      <c r="C44" s="6">
        <f t="shared" si="3"/>
        <v>4.3689320388349516E-2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7</v>
      </c>
      <c r="C45" s="6">
        <f t="shared" si="3"/>
        <v>3.3980582524271843E-2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2</v>
      </c>
      <c r="C46" s="6">
        <f t="shared" si="3"/>
        <v>9.7087378640776691E-3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1</v>
      </c>
      <c r="C47" s="6">
        <f t="shared" si="3"/>
        <v>4.8543689320388345E-3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2</v>
      </c>
      <c r="C49" s="9">
        <f t="shared" si="3"/>
        <v>9.7087378640776691E-3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  <row r="53" spans="1:13" x14ac:dyDescent="0.4">
      <c r="K53" s="74">
        <v>51</v>
      </c>
      <c r="L53" s="119">
        <v>-111.60000000000001</v>
      </c>
      <c r="M53" s="117">
        <v>1630.1033478965769</v>
      </c>
    </row>
    <row r="54" spans="1:13" x14ac:dyDescent="0.4">
      <c r="K54" s="74">
        <v>52</v>
      </c>
      <c r="L54" s="119">
        <v>-107.9</v>
      </c>
      <c r="M54" s="117">
        <v>1630.7087278091974</v>
      </c>
    </row>
    <row r="55" spans="1:13" x14ac:dyDescent="0.4">
      <c r="K55" s="74">
        <v>53</v>
      </c>
      <c r="L55" s="119">
        <v>-130</v>
      </c>
      <c r="M55" s="117">
        <v>1625.9524754423421</v>
      </c>
    </row>
    <row r="56" spans="1:13" x14ac:dyDescent="0.4">
      <c r="K56" s="74">
        <v>54</v>
      </c>
      <c r="L56" s="119">
        <v>-97.8</v>
      </c>
      <c r="M56" s="117">
        <v>1630.9987605896881</v>
      </c>
    </row>
    <row r="57" spans="1:13" x14ac:dyDescent="0.4">
      <c r="K57" s="74">
        <v>55</v>
      </c>
      <c r="L57" s="119">
        <v>-100.8</v>
      </c>
      <c r="M57" s="117">
        <v>1630.4827680261501</v>
      </c>
    </row>
    <row r="58" spans="1:13" x14ac:dyDescent="0.4">
      <c r="K58" s="74">
        <v>56</v>
      </c>
      <c r="L58" s="119">
        <v>-96.399999999999991</v>
      </c>
      <c r="M58" s="117">
        <v>1631.2958714179931</v>
      </c>
    </row>
    <row r="59" spans="1:13" x14ac:dyDescent="0.4">
      <c r="K59" s="74">
        <v>57</v>
      </c>
      <c r="L59" s="119">
        <v>-59.099999999999994</v>
      </c>
      <c r="M59" s="117">
        <v>1637.9600961894851</v>
      </c>
    </row>
    <row r="60" spans="1:13" x14ac:dyDescent="0.4">
      <c r="K60" s="74">
        <v>58</v>
      </c>
      <c r="L60" s="119">
        <v>-39.599999999999994</v>
      </c>
      <c r="M60" s="117">
        <v>1641.6263356123482</v>
      </c>
    </row>
    <row r="61" spans="1:13" x14ac:dyDescent="0.4">
      <c r="K61" s="74">
        <v>59</v>
      </c>
      <c r="L61" s="119">
        <v>-66</v>
      </c>
      <c r="M61" s="117">
        <v>1637.008577598674</v>
      </c>
    </row>
    <row r="62" spans="1:13" x14ac:dyDescent="0.4">
      <c r="K62" s="74">
        <v>60</v>
      </c>
      <c r="L62" s="119">
        <v>-111.7</v>
      </c>
      <c r="M62" s="117">
        <v>1628.3625261330819</v>
      </c>
    </row>
    <row r="63" spans="1:13" x14ac:dyDescent="0.4">
      <c r="K63" s="74">
        <v>61</v>
      </c>
      <c r="L63" s="119">
        <v>-95.7</v>
      </c>
      <c r="M63" s="117">
        <v>1631.3423509762833</v>
      </c>
    </row>
    <row r="64" spans="1:13" x14ac:dyDescent="0.4">
      <c r="K64" s="74">
        <v>62</v>
      </c>
      <c r="L64" s="119">
        <v>-130.6</v>
      </c>
      <c r="M64" s="117">
        <v>1625.1422968704258</v>
      </c>
    </row>
    <row r="65" spans="11:13" x14ac:dyDescent="0.4">
      <c r="K65" s="74">
        <v>63</v>
      </c>
      <c r="L65" s="119">
        <v>-129</v>
      </c>
      <c r="M65" s="117">
        <v>1625.5494430892031</v>
      </c>
    </row>
    <row r="66" spans="11:13" x14ac:dyDescent="0.4">
      <c r="K66" s="74">
        <v>64</v>
      </c>
      <c r="L66" s="119">
        <v>-129.5</v>
      </c>
      <c r="M66" s="117">
        <v>1625.582146430668</v>
      </c>
    </row>
    <row r="67" spans="11:13" x14ac:dyDescent="0.4">
      <c r="K67" s="74">
        <v>65</v>
      </c>
      <c r="L67" s="119">
        <v>-92.4</v>
      </c>
      <c r="M67" s="117">
        <v>1632.3826535520841</v>
      </c>
    </row>
    <row r="68" spans="11:13" x14ac:dyDescent="0.4">
      <c r="K68" s="74">
        <v>66</v>
      </c>
      <c r="L68" s="119">
        <v>-141.4</v>
      </c>
      <c r="M68" s="117">
        <v>1623.6383576307717</v>
      </c>
    </row>
    <row r="69" spans="11:13" x14ac:dyDescent="0.4">
      <c r="K69" s="74">
        <v>67</v>
      </c>
      <c r="L69" s="119">
        <v>-112.7</v>
      </c>
      <c r="M69" s="117">
        <v>1628.830527484987</v>
      </c>
    </row>
    <row r="70" spans="11:13" x14ac:dyDescent="0.4">
      <c r="K70" s="74">
        <v>68</v>
      </c>
      <c r="L70" s="119">
        <v>-163.19999999999999</v>
      </c>
      <c r="M70" s="117">
        <v>1619.735544320077</v>
      </c>
    </row>
    <row r="71" spans="11:13" x14ac:dyDescent="0.4">
      <c r="K71" s="74">
        <v>69</v>
      </c>
      <c r="L71" s="119">
        <v>-122.6</v>
      </c>
      <c r="M71" s="117">
        <v>1627.0931310541566</v>
      </c>
    </row>
    <row r="72" spans="11:13" x14ac:dyDescent="0.4">
      <c r="K72" s="74">
        <v>70</v>
      </c>
      <c r="L72" s="119">
        <v>-134.79999999999998</v>
      </c>
      <c r="M72" s="117">
        <v>1624.9025722678316</v>
      </c>
    </row>
    <row r="73" spans="11:13" x14ac:dyDescent="0.4">
      <c r="K73" s="74">
        <v>71</v>
      </c>
      <c r="L73" s="119">
        <v>-102.19999999999999</v>
      </c>
      <c r="M73" s="117">
        <v>1630.7051568342247</v>
      </c>
    </row>
    <row r="74" spans="11:13" x14ac:dyDescent="0.4">
      <c r="K74" s="74">
        <v>72</v>
      </c>
      <c r="L74" s="119">
        <v>-87.699999999999989</v>
      </c>
      <c r="M74" s="117">
        <v>1633.2149258932193</v>
      </c>
    </row>
    <row r="75" spans="11:13" x14ac:dyDescent="0.4">
      <c r="K75" s="74">
        <v>73</v>
      </c>
      <c r="L75" s="119">
        <v>-121.19999999999999</v>
      </c>
      <c r="M75" s="117">
        <v>1627.2556363378599</v>
      </c>
    </row>
    <row r="76" spans="11:13" x14ac:dyDescent="0.4">
      <c r="K76" s="74">
        <v>74</v>
      </c>
      <c r="L76" s="119">
        <v>-96.299999999999983</v>
      </c>
      <c r="M76" s="117">
        <v>1631.8441025198326</v>
      </c>
    </row>
    <row r="77" spans="11:13" x14ac:dyDescent="0.4">
      <c r="K77" s="74">
        <v>75</v>
      </c>
      <c r="L77" s="119">
        <v>-101.69999999999999</v>
      </c>
      <c r="M77" s="117">
        <v>1630.6270379047137</v>
      </c>
    </row>
    <row r="78" spans="11:13" x14ac:dyDescent="0.4">
      <c r="K78" s="74">
        <v>76</v>
      </c>
      <c r="L78" s="119">
        <v>-119.19999999999999</v>
      </c>
      <c r="M78" s="117">
        <v>1627.2392756772854</v>
      </c>
    </row>
    <row r="79" spans="11:13" x14ac:dyDescent="0.4">
      <c r="K79" s="74">
        <v>77</v>
      </c>
      <c r="L79" s="119">
        <v>-113.6</v>
      </c>
      <c r="M79" s="117">
        <v>1628.1318400232217</v>
      </c>
    </row>
    <row r="80" spans="11:13" x14ac:dyDescent="0.4">
      <c r="K80" s="74">
        <v>78</v>
      </c>
      <c r="L80" s="119">
        <v>-103.89999999999999</v>
      </c>
      <c r="M80" s="117">
        <v>1629.7570489830823</v>
      </c>
    </row>
    <row r="81" spans="11:13" x14ac:dyDescent="0.4">
      <c r="K81" s="74">
        <v>79</v>
      </c>
      <c r="L81" s="119">
        <v>-111.3</v>
      </c>
      <c r="M81" s="117">
        <v>1628.5225066891837</v>
      </c>
    </row>
    <row r="82" spans="11:13" x14ac:dyDescent="0.4">
      <c r="K82" s="74">
        <v>80</v>
      </c>
      <c r="L82" s="119">
        <v>-86.9</v>
      </c>
      <c r="M82" s="117">
        <v>1633.0193716490487</v>
      </c>
    </row>
    <row r="83" spans="11:13" x14ac:dyDescent="0.4">
      <c r="K83" s="74">
        <v>81</v>
      </c>
      <c r="L83" s="119">
        <v>-132.9</v>
      </c>
      <c r="M83" s="117">
        <v>1624.8172554191544</v>
      </c>
    </row>
    <row r="84" spans="11:13" x14ac:dyDescent="0.4">
      <c r="K84" s="74">
        <v>82</v>
      </c>
      <c r="L84" s="119">
        <v>-164</v>
      </c>
      <c r="M84" s="117">
        <v>1619.3463518866395</v>
      </c>
    </row>
    <row r="85" spans="11:13" x14ac:dyDescent="0.4">
      <c r="K85" s="74">
        <v>83</v>
      </c>
      <c r="L85" s="119">
        <v>-182.6</v>
      </c>
      <c r="M85" s="117">
        <v>1616.1582737753197</v>
      </c>
    </row>
    <row r="86" spans="11:13" x14ac:dyDescent="0.4">
      <c r="K86" s="74">
        <v>84</v>
      </c>
      <c r="L86" s="119">
        <v>-180</v>
      </c>
      <c r="M86" s="117">
        <v>1616.7273241326677</v>
      </c>
    </row>
    <row r="87" spans="11:13" x14ac:dyDescent="0.4">
      <c r="K87" s="74">
        <v>85</v>
      </c>
      <c r="L87" s="119">
        <v>-151.6</v>
      </c>
      <c r="M87" s="117">
        <v>1621.0429601878718</v>
      </c>
    </row>
    <row r="88" spans="11:13" x14ac:dyDescent="0.4">
      <c r="K88" s="74">
        <v>86</v>
      </c>
      <c r="L88" s="119">
        <v>-194.6</v>
      </c>
      <c r="M88" s="117">
        <v>1613.2127024267445</v>
      </c>
    </row>
    <row r="89" spans="11:13" x14ac:dyDescent="0.4">
      <c r="K89" s="74">
        <v>87</v>
      </c>
      <c r="L89" s="119">
        <v>-170.2</v>
      </c>
      <c r="M89" s="117">
        <v>1617.8614262121841</v>
      </c>
    </row>
    <row r="90" spans="11:13" x14ac:dyDescent="0.4">
      <c r="K90" s="74">
        <v>88</v>
      </c>
      <c r="L90" s="119">
        <v>-204.79999999999998</v>
      </c>
      <c r="M90" s="117">
        <v>1611.862257654911</v>
      </c>
    </row>
    <row r="91" spans="11:13" x14ac:dyDescent="0.4">
      <c r="K91" s="74">
        <v>89</v>
      </c>
      <c r="L91" s="119">
        <v>-244.29999999999998</v>
      </c>
      <c r="M91" s="117">
        <v>1605.0170841089816</v>
      </c>
    </row>
  </sheetData>
  <sortState xmlns:xlrd2="http://schemas.microsoft.com/office/spreadsheetml/2017/richdata2" ref="E2:I92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189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51</v>
      </c>
      <c r="C2" s="142"/>
      <c r="E2" s="26" t="s">
        <v>72</v>
      </c>
      <c r="F2" s="23" t="s">
        <v>27</v>
      </c>
      <c r="G2" s="11">
        <v>93</v>
      </c>
      <c r="H2" s="87">
        <f>IF(B$20=0,0,G2/B$20)</f>
        <v>0.68888888888888888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-372.54901960784315</v>
      </c>
      <c r="Q2" s="76">
        <v>51</v>
      </c>
      <c r="R2" s="63">
        <v>-19000</v>
      </c>
    </row>
    <row r="3" spans="1:18" x14ac:dyDescent="0.4">
      <c r="A3" s="19" t="s">
        <v>8</v>
      </c>
      <c r="B3" s="143">
        <v>451</v>
      </c>
      <c r="C3" s="144"/>
      <c r="E3" s="27" t="s">
        <v>66</v>
      </c>
      <c r="F3" s="24" t="s">
        <v>22</v>
      </c>
      <c r="G3" s="12">
        <v>86</v>
      </c>
      <c r="H3" s="88">
        <f>IF(B$20=0,0,G3/B$20)</f>
        <v>0.63703703703703707</v>
      </c>
      <c r="I3" s="58">
        <v>12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-370.58823529411762</v>
      </c>
      <c r="Q3" s="77">
        <v>51</v>
      </c>
      <c r="R3" s="64">
        <v>-18900</v>
      </c>
    </row>
    <row r="4" spans="1:18" x14ac:dyDescent="0.4">
      <c r="A4" s="19" t="s">
        <v>6</v>
      </c>
      <c r="B4" s="145">
        <v>-62.099999999999994</v>
      </c>
      <c r="C4" s="146"/>
      <c r="E4" s="27" t="s">
        <v>64</v>
      </c>
      <c r="F4" s="24" t="s">
        <v>20</v>
      </c>
      <c r="G4" s="12">
        <v>53</v>
      </c>
      <c r="H4" s="88">
        <f>IF(B$20=0,0,G4/B$20)</f>
        <v>0.3925925925925926</v>
      </c>
      <c r="I4" s="58">
        <v>10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1226</v>
      </c>
      <c r="Q4" s="77">
        <v>50</v>
      </c>
      <c r="R4" s="64">
        <v>61300</v>
      </c>
    </row>
    <row r="5" spans="1:18" x14ac:dyDescent="0.4">
      <c r="A5" s="19" t="s">
        <v>7</v>
      </c>
      <c r="B5" s="133">
        <f>IF(B$2=0,0,B$4/B$2)</f>
        <v>-1.2176470588235293</v>
      </c>
      <c r="C5" s="134"/>
      <c r="E5" s="27" t="s">
        <v>159</v>
      </c>
      <c r="F5" s="24" t="s">
        <v>160</v>
      </c>
      <c r="G5" s="12">
        <v>52</v>
      </c>
      <c r="H5" s="88">
        <f>IF(B$20=0,0,G5/B$20)</f>
        <v>0.38518518518518519</v>
      </c>
      <c r="I5" s="58">
        <v>8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-1410</v>
      </c>
      <c r="Q5" s="77">
        <v>50</v>
      </c>
      <c r="R5" s="64">
        <v>-70500</v>
      </c>
    </row>
    <row r="6" spans="1:18" x14ac:dyDescent="0.4">
      <c r="A6" s="19" t="s">
        <v>196</v>
      </c>
      <c r="B6" s="137">
        <v>1463.3989422821498</v>
      </c>
      <c r="C6" s="138"/>
      <c r="E6" s="27" t="s">
        <v>68</v>
      </c>
      <c r="F6" s="24" t="s">
        <v>12</v>
      </c>
      <c r="G6" s="12">
        <v>38</v>
      </c>
      <c r="H6" s="88">
        <f>IF(B$20=0,0,G6/B$20)</f>
        <v>0.2814814814814815</v>
      </c>
      <c r="I6" s="58">
        <v>10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-841.66666666666663</v>
      </c>
      <c r="Q6" s="77">
        <v>48</v>
      </c>
      <c r="R6" s="64">
        <v>-40400</v>
      </c>
    </row>
    <row r="7" spans="1:18" x14ac:dyDescent="0.4">
      <c r="A7" s="19" t="s">
        <v>1</v>
      </c>
      <c r="B7" s="147">
        <f>IF(B$2=0,0,(B$8*1+B$9*2+B$10*3)/B$2)</f>
        <v>2.0392156862745097</v>
      </c>
      <c r="C7" s="148"/>
      <c r="E7" s="27" t="s">
        <v>67</v>
      </c>
      <c r="F7" s="24" t="s">
        <v>23</v>
      </c>
      <c r="G7" s="12">
        <v>30</v>
      </c>
      <c r="H7" s="88">
        <f>IF(B$20=0,0,G7/B$20)</f>
        <v>0.22222222222222221</v>
      </c>
      <c r="I7" s="58">
        <v>9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-1140</v>
      </c>
      <c r="Q7" s="78">
        <v>40</v>
      </c>
      <c r="R7" s="65">
        <v>-45600</v>
      </c>
    </row>
    <row r="8" spans="1:18" x14ac:dyDescent="0.4">
      <c r="A8" s="19" t="s">
        <v>2</v>
      </c>
      <c r="B8" s="12">
        <v>18</v>
      </c>
      <c r="C8" s="6">
        <f t="shared" ref="C8:C15" si="1">IF(B$2=0,0,B8/B$2)</f>
        <v>0.35294117647058826</v>
      </c>
      <c r="E8" s="27" t="s">
        <v>89</v>
      </c>
      <c r="F8" s="24" t="s">
        <v>44</v>
      </c>
      <c r="G8" s="12">
        <v>15</v>
      </c>
      <c r="H8" s="88">
        <f>IF(B$20=0,0,G8/B$20)</f>
        <v>0.1111111111111111</v>
      </c>
      <c r="I8" s="58">
        <v>10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13</v>
      </c>
      <c r="C9" s="6">
        <f t="shared" si="1"/>
        <v>0.25490196078431371</v>
      </c>
      <c r="E9" s="27" t="s">
        <v>70</v>
      </c>
      <c r="F9" s="24" t="s">
        <v>25</v>
      </c>
      <c r="G9" s="12">
        <v>12</v>
      </c>
      <c r="H9" s="88">
        <f>IF(B$20=0,0,G9/B$20)</f>
        <v>8.8888888888888892E-2</v>
      </c>
      <c r="I9" s="58">
        <v>7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20</v>
      </c>
      <c r="C10" s="7">
        <f t="shared" si="1"/>
        <v>0.39215686274509803</v>
      </c>
      <c r="E10" s="27" t="s">
        <v>69</v>
      </c>
      <c r="F10" s="24" t="s">
        <v>24</v>
      </c>
      <c r="G10" s="12">
        <v>11</v>
      </c>
      <c r="H10" s="88">
        <f>IF(B$20=0,0,G10/B$20)</f>
        <v>8.1481481481481488E-2</v>
      </c>
      <c r="I10" s="58">
        <v>9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4.0000000000000009</v>
      </c>
      <c r="Q10" s="76">
        <v>14</v>
      </c>
      <c r="R10" s="67">
        <v>56.000000000000014</v>
      </c>
    </row>
    <row r="11" spans="1:18" x14ac:dyDescent="0.4">
      <c r="A11" s="20" t="s">
        <v>184</v>
      </c>
      <c r="B11" s="109">
        <f>IF(B8=0,0,C11/B8)</f>
        <v>30.577777777777783</v>
      </c>
      <c r="C11" s="110">
        <v>550.40000000000009</v>
      </c>
      <c r="E11" s="27" t="s">
        <v>65</v>
      </c>
      <c r="F11" s="24" t="s">
        <v>21</v>
      </c>
      <c r="G11" s="12">
        <v>10</v>
      </c>
      <c r="H11" s="88">
        <f>IF(B$20=0,0,G11/B$20)</f>
        <v>7.407407407407407E-2</v>
      </c>
      <c r="I11" s="58">
        <v>10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-5.1055555555555561</v>
      </c>
      <c r="Q11" s="77">
        <v>18</v>
      </c>
      <c r="R11" s="68">
        <v>-91.9</v>
      </c>
    </row>
    <row r="12" spans="1:18" x14ac:dyDescent="0.4">
      <c r="A12" s="20" t="s">
        <v>185</v>
      </c>
      <c r="B12" s="109">
        <f>IF(B9=0,0,C12/B9)</f>
        <v>4.7692307692307692</v>
      </c>
      <c r="C12" s="110">
        <v>62</v>
      </c>
      <c r="E12" s="27" t="s">
        <v>83</v>
      </c>
      <c r="F12" s="24" t="s">
        <v>38</v>
      </c>
      <c r="G12" s="12">
        <v>9</v>
      </c>
      <c r="H12" s="88">
        <f>IF(B$20=0,0,G12/B$20)</f>
        <v>6.6666666666666666E-2</v>
      </c>
      <c r="I12" s="58">
        <v>4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-1.3789473684210534</v>
      </c>
      <c r="Q12" s="78">
        <v>19</v>
      </c>
      <c r="R12" s="69">
        <v>-26.200000000000014</v>
      </c>
    </row>
    <row r="13" spans="1:18" x14ac:dyDescent="0.4">
      <c r="A13" s="20" t="s">
        <v>186</v>
      </c>
      <c r="B13" s="109">
        <f>IF(B10=0,0,C13/B10)</f>
        <v>-33.725000000000001</v>
      </c>
      <c r="C13" s="110">
        <v>-674.5</v>
      </c>
      <c r="E13" s="27" t="s">
        <v>71</v>
      </c>
      <c r="F13" s="24" t="s">
        <v>26</v>
      </c>
      <c r="G13" s="12">
        <v>8</v>
      </c>
      <c r="H13" s="88">
        <f>IF(B$20=0,0,G13/B$20)</f>
        <v>5.9259259259259262E-2</v>
      </c>
      <c r="I13" s="58">
        <v>8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0.54066951566951593</v>
      </c>
      <c r="C14" s="134"/>
      <c r="E14" s="27" t="s">
        <v>78</v>
      </c>
      <c r="F14" s="24" t="s">
        <v>33</v>
      </c>
      <c r="G14" s="12">
        <v>5</v>
      </c>
      <c r="H14" s="88">
        <f>IF(B$20=0,0,G14/B$20)</f>
        <v>3.7037037037037035E-2</v>
      </c>
      <c r="I14" s="58">
        <v>6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7.8431372549019607E-2</v>
      </c>
      <c r="E15" s="27" t="s">
        <v>81</v>
      </c>
      <c r="F15" s="24" t="s">
        <v>36</v>
      </c>
      <c r="G15" s="12">
        <v>5</v>
      </c>
      <c r="H15" s="88">
        <f>IF(B$20=0,0,G15/B$20)</f>
        <v>3.7037037037037035E-2</v>
      </c>
      <c r="I15" s="58">
        <v>6</v>
      </c>
      <c r="K15" s="74">
        <v>13</v>
      </c>
      <c r="L15" s="119">
        <v>35.000000000000007</v>
      </c>
      <c r="M15" s="117">
        <v>1449.5174194108242</v>
      </c>
      <c r="O15" s="73" t="s">
        <v>190</v>
      </c>
      <c r="P15" s="82">
        <f t="shared" ref="P15:P21" si="2">IF(Q15=0,0,R15/Q15)</f>
        <v>39.524999999999999</v>
      </c>
      <c r="Q15" s="76">
        <v>4</v>
      </c>
      <c r="R15" s="67">
        <v>158.1</v>
      </c>
    </row>
    <row r="16" spans="1:18" x14ac:dyDescent="0.4">
      <c r="A16" s="22" t="s">
        <v>121</v>
      </c>
      <c r="B16" s="15">
        <v>115</v>
      </c>
      <c r="C16" s="10">
        <f>IF(B$3=0,0,B16/B$3)</f>
        <v>0.25498891352549891</v>
      </c>
      <c r="E16" s="27" t="s">
        <v>79</v>
      </c>
      <c r="F16" s="24" t="s">
        <v>34</v>
      </c>
      <c r="G16" s="12">
        <v>3</v>
      </c>
      <c r="H16" s="88">
        <f>IF(B$20=0,0,G16/B$20)</f>
        <v>2.2222222222222223E-2</v>
      </c>
      <c r="I16" s="58">
        <v>1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 t="shared" si="2"/>
        <v>35.5</v>
      </c>
      <c r="Q16" s="77">
        <v>1</v>
      </c>
      <c r="R16" s="68">
        <v>35.5</v>
      </c>
    </row>
    <row r="17" spans="1:18" x14ac:dyDescent="0.4">
      <c r="A17" s="19" t="s">
        <v>118</v>
      </c>
      <c r="B17" s="12">
        <v>132</v>
      </c>
      <c r="C17" s="6">
        <f>IF(B$3=0,0,B17/B$3)</f>
        <v>0.29268292682926828</v>
      </c>
      <c r="E17" s="27" t="s">
        <v>86</v>
      </c>
      <c r="F17" s="24" t="s">
        <v>41</v>
      </c>
      <c r="G17" s="12">
        <v>3</v>
      </c>
      <c r="H17" s="88">
        <f>IF(B$20=0,0,G17/B$20)</f>
        <v>2.2222222222222223E-2</v>
      </c>
      <c r="I17" s="58">
        <v>9</v>
      </c>
      <c r="K17" s="74">
        <v>15</v>
      </c>
      <c r="L17" s="119">
        <v>60.900000000000006</v>
      </c>
      <c r="M17" s="117">
        <v>1455.9833330049933</v>
      </c>
      <c r="O17" s="74" t="s">
        <v>195</v>
      </c>
      <c r="P17" s="83">
        <f t="shared" si="2"/>
        <v>25.800000000000004</v>
      </c>
      <c r="Q17" s="77">
        <v>4</v>
      </c>
      <c r="R17" s="68">
        <v>103.20000000000002</v>
      </c>
    </row>
    <row r="18" spans="1:18" x14ac:dyDescent="0.4">
      <c r="A18" s="18" t="s">
        <v>123</v>
      </c>
      <c r="B18" s="11">
        <f>B24</f>
        <v>53</v>
      </c>
      <c r="C18" s="5">
        <f>IF(B$16=0,0,B18/B$16)</f>
        <v>0.46086956521739131</v>
      </c>
      <c r="E18" s="27" t="s">
        <v>91</v>
      </c>
      <c r="F18" s="24" t="s">
        <v>46</v>
      </c>
      <c r="G18" s="12">
        <v>2</v>
      </c>
      <c r="H18" s="88">
        <f>IF(B$20=0,0,G18/B$20)</f>
        <v>1.4814814814814815E-2</v>
      </c>
      <c r="I18" s="58">
        <v>5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 t="shared" si="2"/>
        <v>6.9000000000000012</v>
      </c>
      <c r="Q18" s="77">
        <v>9</v>
      </c>
      <c r="R18" s="68">
        <v>62.100000000000009</v>
      </c>
    </row>
    <row r="19" spans="1:18" x14ac:dyDescent="0.4">
      <c r="A19" s="18" t="s">
        <v>124</v>
      </c>
      <c r="B19" s="11">
        <f>B25</f>
        <v>54</v>
      </c>
      <c r="C19" s="5">
        <f>IF(B$17=0,0,B19/B$17)</f>
        <v>0.40909090909090912</v>
      </c>
      <c r="E19" s="27" t="s">
        <v>88</v>
      </c>
      <c r="F19" s="24" t="s">
        <v>43</v>
      </c>
      <c r="G19" s="12">
        <v>1</v>
      </c>
      <c r="H19" s="88">
        <f>IF(B$20=0,0,G19/B$20)</f>
        <v>7.4074074074074077E-3</v>
      </c>
      <c r="I19" s="58">
        <v>2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 t="shared" si="2"/>
        <v>0.46818181818181864</v>
      </c>
      <c r="Q19" s="77">
        <v>44</v>
      </c>
      <c r="R19" s="68">
        <v>20.600000000000019</v>
      </c>
    </row>
    <row r="20" spans="1:18" x14ac:dyDescent="0.4">
      <c r="A20" s="18" t="s">
        <v>10</v>
      </c>
      <c r="B20" s="11">
        <f>B23+B22</f>
        <v>135</v>
      </c>
      <c r="C20" s="5">
        <f>IF(B$3=0,0,B20/B$3)</f>
        <v>0.29933481152993346</v>
      </c>
      <c r="E20" s="27" t="s">
        <v>93</v>
      </c>
      <c r="F20" s="24" t="s">
        <v>48</v>
      </c>
      <c r="G20" s="12">
        <v>1</v>
      </c>
      <c r="H20" s="88">
        <f>IF(B$20=0,0,G20/B$20)</f>
        <v>7.4074074074074077E-3</v>
      </c>
      <c r="I20" s="58">
        <v>2</v>
      </c>
      <c r="K20" s="74">
        <v>18</v>
      </c>
      <c r="L20" s="119">
        <v>15.100000000000009</v>
      </c>
      <c r="M20" s="117">
        <v>1450.6884191024681</v>
      </c>
      <c r="O20" s="74" t="s">
        <v>163</v>
      </c>
      <c r="P20" s="83">
        <f t="shared" si="2"/>
        <v>-6.3545454545454527</v>
      </c>
      <c r="Q20" s="77">
        <v>22</v>
      </c>
      <c r="R20" s="68">
        <v>-139.79999999999995</v>
      </c>
    </row>
    <row r="21" spans="1:18" x14ac:dyDescent="0.4">
      <c r="A21" s="19" t="s">
        <v>13</v>
      </c>
      <c r="B21" s="12">
        <v>72</v>
      </c>
      <c r="C21" s="6">
        <f>IF(B$3=0,0,B21/B$3)</f>
        <v>0.15964523281596452</v>
      </c>
      <c r="E21" s="27" t="s">
        <v>106</v>
      </c>
      <c r="F21" s="24" t="s">
        <v>113</v>
      </c>
      <c r="G21" s="12">
        <v>1</v>
      </c>
      <c r="H21" s="88">
        <f>IF(B$20=0,0,G21/B$20)</f>
        <v>7.4074074074074077E-3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 t="shared" si="2"/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64</v>
      </c>
      <c r="C22" s="6">
        <f>IF(B$20=0,0,B22/B$20)</f>
        <v>0.47407407407407409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7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71</v>
      </c>
      <c r="C23" s="6">
        <f>IF(B$20=0,0,B23/B$20)</f>
        <v>0.52592592592592591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53</v>
      </c>
      <c r="C24" s="6">
        <f>IF(B$20=0,0,B24/B$20)</f>
        <v>0.3925925925925926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54</v>
      </c>
      <c r="C25" s="6">
        <f>IF(B$20=0,0,B25/B$20)</f>
        <v>0.4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28</v>
      </c>
      <c r="C26" s="6">
        <f>IF(B$20=0,0,B26/B$20)</f>
        <v>0.2074074074074074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7534.8148148148148</v>
      </c>
      <c r="C27" s="8">
        <v>1017200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8919.7530864197524</v>
      </c>
      <c r="C28" s="96">
        <v>722500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5457.4074074074078</v>
      </c>
      <c r="C29" s="96">
        <v>294700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-8606.9444444444453</v>
      </c>
      <c r="C30" s="96">
        <v>-619700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35">
        <v>7</v>
      </c>
      <c r="C33" s="136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37">
        <v>89900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2.2172949002217295E-3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17</v>
      </c>
      <c r="C37" s="98">
        <f t="shared" ref="C37:C49" si="3">IF(B$20=0,0,B37/B$20)</f>
        <v>0.12592592592592591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27</v>
      </c>
      <c r="C38" s="6">
        <f t="shared" si="3"/>
        <v>0.2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30</v>
      </c>
      <c r="C39" s="6">
        <f t="shared" si="3"/>
        <v>0.22222222222222221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28</v>
      </c>
      <c r="C40" s="6">
        <f t="shared" si="3"/>
        <v>0.2074074074074074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8</v>
      </c>
      <c r="C41" s="6">
        <f t="shared" si="3"/>
        <v>5.9259259259259262E-2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6</v>
      </c>
      <c r="C42" s="6">
        <f t="shared" si="3"/>
        <v>4.4444444444444446E-2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7</v>
      </c>
      <c r="C43" s="6">
        <f t="shared" si="3"/>
        <v>5.185185185185185E-2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-14.299999999999997</v>
      </c>
      <c r="M43" s="117">
        <v>1464.0552948008349</v>
      </c>
    </row>
    <row r="44" spans="1:13" x14ac:dyDescent="0.4">
      <c r="A44" s="19" t="s">
        <v>174</v>
      </c>
      <c r="B44" s="124">
        <v>2</v>
      </c>
      <c r="C44" s="6">
        <f t="shared" si="3"/>
        <v>1.4814814814814815E-2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-64.599999999999994</v>
      </c>
      <c r="M44" s="117">
        <v>1455.9369630320298</v>
      </c>
    </row>
    <row r="45" spans="1:13" x14ac:dyDescent="0.4">
      <c r="A45" s="19" t="s">
        <v>175</v>
      </c>
      <c r="B45" s="124">
        <v>4</v>
      </c>
      <c r="C45" s="6">
        <f t="shared" si="3"/>
        <v>2.9629629629629631E-2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-110.1</v>
      </c>
      <c r="M45" s="117">
        <v>1448.7493412538377</v>
      </c>
    </row>
    <row r="46" spans="1:13" x14ac:dyDescent="0.4">
      <c r="A46" s="19" t="s">
        <v>176</v>
      </c>
      <c r="B46" s="124">
        <v>4</v>
      </c>
      <c r="C46" s="6">
        <f t="shared" si="3"/>
        <v>2.9629629629629631E-2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-134</v>
      </c>
      <c r="M46" s="117">
        <v>1445.4388452063147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-146.69999999999999</v>
      </c>
      <c r="M47" s="117">
        <v>1444.1642121350767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-94.6</v>
      </c>
      <c r="M48" s="117">
        <v>1454.3872268622663</v>
      </c>
    </row>
    <row r="49" spans="1:13" x14ac:dyDescent="0.4">
      <c r="A49" s="21" t="s">
        <v>179</v>
      </c>
      <c r="B49" s="97">
        <v>2</v>
      </c>
      <c r="C49" s="9">
        <f t="shared" si="3"/>
        <v>1.4814814814814815E-2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-70.099999999999994</v>
      </c>
      <c r="M49" s="117">
        <v>1459.7189035010927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-31.499999999999993</v>
      </c>
      <c r="M50" s="117">
        <v>1467.5565900800862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  <c r="K51" s="74">
        <v>49</v>
      </c>
      <c r="L51" s="119">
        <v>-70</v>
      </c>
      <c r="M51" s="117">
        <v>1460.9652505396057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-73.8</v>
      </c>
      <c r="M52" s="117">
        <v>1460.4194590363682</v>
      </c>
    </row>
    <row r="53" spans="1:13" x14ac:dyDescent="0.4">
      <c r="K53" s="74">
        <v>51</v>
      </c>
      <c r="L53" s="119">
        <v>-62.099999999999994</v>
      </c>
      <c r="M53" s="117">
        <v>1463.3989422821498</v>
      </c>
    </row>
  </sheetData>
  <sortState xmlns:xlrd2="http://schemas.microsoft.com/office/spreadsheetml/2017/richdata2" ref="E2:I54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190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40</v>
      </c>
      <c r="C2" s="142"/>
      <c r="E2" s="26" t="s">
        <v>66</v>
      </c>
      <c r="F2" s="23" t="s">
        <v>22</v>
      </c>
      <c r="G2" s="11">
        <v>73</v>
      </c>
      <c r="H2" s="87">
        <f>IF(B$20=0,0,G2/B$20)</f>
        <v>0.77659574468085102</v>
      </c>
      <c r="I2" s="57">
        <v>6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730</v>
      </c>
      <c r="Q2" s="76">
        <v>40</v>
      </c>
      <c r="R2" s="63">
        <v>29200</v>
      </c>
    </row>
    <row r="3" spans="1:18" x14ac:dyDescent="0.4">
      <c r="A3" s="19" t="s">
        <v>8</v>
      </c>
      <c r="B3" s="143">
        <v>343</v>
      </c>
      <c r="C3" s="144"/>
      <c r="E3" s="27" t="s">
        <v>72</v>
      </c>
      <c r="F3" s="24" t="s">
        <v>27</v>
      </c>
      <c r="G3" s="12">
        <v>50</v>
      </c>
      <c r="H3" s="88">
        <f>IF(B$20=0,0,G3/B$20)</f>
        <v>0.53191489361702127</v>
      </c>
      <c r="I3" s="58">
        <v>8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230</v>
      </c>
      <c r="Q3" s="77">
        <v>40</v>
      </c>
      <c r="R3" s="64">
        <v>9200</v>
      </c>
    </row>
    <row r="4" spans="1:18" x14ac:dyDescent="0.4">
      <c r="A4" s="19" t="s">
        <v>6</v>
      </c>
      <c r="B4" s="145">
        <v>45.799999999999962</v>
      </c>
      <c r="C4" s="146"/>
      <c r="E4" s="27" t="s">
        <v>64</v>
      </c>
      <c r="F4" s="24" t="s">
        <v>20</v>
      </c>
      <c r="G4" s="12">
        <v>49</v>
      </c>
      <c r="H4" s="88">
        <f>IF(B$20=0,0,G4/B$20)</f>
        <v>0.52127659574468088</v>
      </c>
      <c r="I4" s="58">
        <v>3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1794.8717948717949</v>
      </c>
      <c r="Q4" s="77">
        <v>39</v>
      </c>
      <c r="R4" s="64">
        <v>70000</v>
      </c>
    </row>
    <row r="5" spans="1:18" x14ac:dyDescent="0.4">
      <c r="A5" s="19" t="s">
        <v>7</v>
      </c>
      <c r="B5" s="133">
        <f>IF(B$2=0,0,B$4/B$2)</f>
        <v>1.1449999999999991</v>
      </c>
      <c r="C5" s="134"/>
      <c r="E5" s="27" t="s">
        <v>159</v>
      </c>
      <c r="F5" s="24" t="s">
        <v>160</v>
      </c>
      <c r="G5" s="12">
        <v>37</v>
      </c>
      <c r="H5" s="88">
        <f>IF(B$20=0,0,G5/B$20)</f>
        <v>0.39361702127659576</v>
      </c>
      <c r="I5" s="58">
        <v>6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-2279.4117647058824</v>
      </c>
      <c r="Q5" s="77">
        <v>34</v>
      </c>
      <c r="R5" s="64">
        <v>-77500</v>
      </c>
    </row>
    <row r="6" spans="1:18" x14ac:dyDescent="0.4">
      <c r="A6" s="19" t="s">
        <v>196</v>
      </c>
      <c r="B6" s="137">
        <v>1551.4699038276274</v>
      </c>
      <c r="C6" s="138"/>
      <c r="E6" s="27" t="s">
        <v>68</v>
      </c>
      <c r="F6" s="24" t="s">
        <v>12</v>
      </c>
      <c r="G6" s="12">
        <v>27</v>
      </c>
      <c r="H6" s="88">
        <f>IF(B$20=0,0,G6/B$20)</f>
        <v>0.28723404255319152</v>
      </c>
      <c r="I6" s="58">
        <v>9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1832.258064516129</v>
      </c>
      <c r="Q6" s="77">
        <v>31</v>
      </c>
      <c r="R6" s="64">
        <v>56800</v>
      </c>
    </row>
    <row r="7" spans="1:18" x14ac:dyDescent="0.4">
      <c r="A7" s="19" t="s">
        <v>1</v>
      </c>
      <c r="B7" s="147">
        <f>IF(B$2=0,0,(B$8*1+B$9*2+B$10*3)/B$2)</f>
        <v>1.9</v>
      </c>
      <c r="C7" s="148"/>
      <c r="E7" s="27" t="s">
        <v>67</v>
      </c>
      <c r="F7" s="24" t="s">
        <v>23</v>
      </c>
      <c r="G7" s="12">
        <v>22</v>
      </c>
      <c r="H7" s="88">
        <f>IF(B$20=0,0,G7/B$20)</f>
        <v>0.23404255319148937</v>
      </c>
      <c r="I7" s="58">
        <v>8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-312</v>
      </c>
      <c r="Q7" s="78">
        <v>25</v>
      </c>
      <c r="R7" s="65">
        <v>-7800</v>
      </c>
    </row>
    <row r="8" spans="1:18" x14ac:dyDescent="0.4">
      <c r="A8" s="19" t="s">
        <v>2</v>
      </c>
      <c r="B8" s="12">
        <v>12</v>
      </c>
      <c r="C8" s="6">
        <f t="shared" ref="C8:C15" si="1">IF(B$2=0,0,B8/B$2)</f>
        <v>0.3</v>
      </c>
      <c r="E8" s="27" t="s">
        <v>69</v>
      </c>
      <c r="F8" s="24" t="s">
        <v>24</v>
      </c>
      <c r="G8" s="12">
        <v>18</v>
      </c>
      <c r="H8" s="88">
        <f>IF(B$20=0,0,G8/B$20)</f>
        <v>0.19148936170212766</v>
      </c>
      <c r="I8" s="58">
        <v>2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20</v>
      </c>
      <c r="C9" s="6">
        <f t="shared" si="1"/>
        <v>0.5</v>
      </c>
      <c r="E9" s="27" t="s">
        <v>65</v>
      </c>
      <c r="F9" s="24" t="s">
        <v>21</v>
      </c>
      <c r="G9" s="12">
        <v>17</v>
      </c>
      <c r="H9" s="88">
        <f>IF(B$20=0,0,G9/B$20)</f>
        <v>0.18085106382978725</v>
      </c>
      <c r="I9" s="58">
        <v>1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0.2</v>
      </c>
      <c r="E10" s="27" t="s">
        <v>89</v>
      </c>
      <c r="F10" s="24" t="s">
        <v>44</v>
      </c>
      <c r="G10" s="12">
        <v>11</v>
      </c>
      <c r="H10" s="88">
        <f>IF(B$20=0,0,G10/B$20)</f>
        <v>0.11702127659574468</v>
      </c>
      <c r="I10" s="58">
        <v>9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-0.42499999999999966</v>
      </c>
      <c r="Q10" s="76">
        <v>12</v>
      </c>
      <c r="R10" s="67">
        <v>-5.0999999999999961</v>
      </c>
    </row>
    <row r="11" spans="1:18" x14ac:dyDescent="0.4">
      <c r="A11" s="20" t="s">
        <v>184</v>
      </c>
      <c r="B11" s="109">
        <f>IF(B8=0,0,C11/B8)</f>
        <v>33.9</v>
      </c>
      <c r="C11" s="110">
        <v>406.8</v>
      </c>
      <c r="E11" s="27" t="s">
        <v>86</v>
      </c>
      <c r="F11" s="24" t="s">
        <v>41</v>
      </c>
      <c r="G11" s="12">
        <v>9</v>
      </c>
      <c r="H11" s="88">
        <f>IF(B$20=0,0,G11/B$20)</f>
        <v>9.5744680851063829E-2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-3.7399999999999998</v>
      </c>
      <c r="Q11" s="77">
        <v>15</v>
      </c>
      <c r="R11" s="68">
        <v>-56.099999999999994</v>
      </c>
    </row>
    <row r="12" spans="1:18" x14ac:dyDescent="0.4">
      <c r="A12" s="20" t="s">
        <v>185</v>
      </c>
      <c r="B12" s="109">
        <f>IF(B9=0,0,C12/B9)</f>
        <v>-2.8400000000000003</v>
      </c>
      <c r="C12" s="110">
        <v>-56.800000000000004</v>
      </c>
      <c r="E12" s="27" t="s">
        <v>70</v>
      </c>
      <c r="F12" s="24" t="s">
        <v>25</v>
      </c>
      <c r="G12" s="12">
        <v>7</v>
      </c>
      <c r="H12" s="88">
        <f>IF(B$20=0,0,G12/B$20)</f>
        <v>7.4468085106382975E-2</v>
      </c>
      <c r="I12" s="58">
        <v>8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8.2307692307692282</v>
      </c>
      <c r="Q12" s="78">
        <v>13</v>
      </c>
      <c r="R12" s="69">
        <v>106.99999999999997</v>
      </c>
    </row>
    <row r="13" spans="1:18" x14ac:dyDescent="0.4">
      <c r="A13" s="20" t="s">
        <v>186</v>
      </c>
      <c r="B13" s="109">
        <f>IF(B10=0,0,C13/B10)</f>
        <v>-38.025000000000006</v>
      </c>
      <c r="C13" s="110">
        <v>-304.20000000000005</v>
      </c>
      <c r="E13" s="27" t="s">
        <v>83</v>
      </c>
      <c r="F13" s="24" t="s">
        <v>38</v>
      </c>
      <c r="G13" s="12">
        <v>5</v>
      </c>
      <c r="H13" s="88">
        <f>IF(B$20=0,0,G13/B$20)</f>
        <v>5.3191489361702128E-2</v>
      </c>
      <c r="I13" s="58">
        <v>5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-2.321666666666669</v>
      </c>
      <c r="C14" s="134"/>
      <c r="E14" s="27" t="s">
        <v>78</v>
      </c>
      <c r="F14" s="24" t="s">
        <v>33</v>
      </c>
      <c r="G14" s="12">
        <v>4</v>
      </c>
      <c r="H14" s="88">
        <f>IF(B$20=0,0,G14/B$20)</f>
        <v>4.2553191489361701E-2</v>
      </c>
      <c r="I14" s="58">
        <v>4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</v>
      </c>
      <c r="C15" s="9">
        <f t="shared" si="1"/>
        <v>7.4999999999999997E-2</v>
      </c>
      <c r="E15" s="27" t="s">
        <v>81</v>
      </c>
      <c r="F15" s="24" t="s">
        <v>36</v>
      </c>
      <c r="G15" s="12">
        <v>3</v>
      </c>
      <c r="H15" s="88">
        <f>IF(B$20=0,0,G15/B$20)</f>
        <v>3.1914893617021274E-2</v>
      </c>
      <c r="I15" s="58">
        <v>7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>IF(Q15=0,0,R15/Q15)</f>
        <v>9.5071428571428545</v>
      </c>
      <c r="Q15" s="76">
        <v>14</v>
      </c>
      <c r="R15" s="67">
        <v>133.09999999999997</v>
      </c>
    </row>
    <row r="16" spans="1:18" x14ac:dyDescent="0.4">
      <c r="A16" s="22" t="s">
        <v>121</v>
      </c>
      <c r="B16" s="15">
        <v>95</v>
      </c>
      <c r="C16" s="10">
        <f>IF(B$3=0,0,B16/B$3)</f>
        <v>0.27696793002915454</v>
      </c>
      <c r="E16" s="27" t="s">
        <v>71</v>
      </c>
      <c r="F16" s="24" t="s">
        <v>26</v>
      </c>
      <c r="G16" s="12">
        <v>2</v>
      </c>
      <c r="H16" s="88">
        <f>IF(B$20=0,0,G16/B$20)</f>
        <v>2.1276595744680851E-2</v>
      </c>
      <c r="I16" s="58">
        <v>11</v>
      </c>
      <c r="K16" s="74">
        <v>14</v>
      </c>
      <c r="L16" s="119">
        <v>-79.200000000000017</v>
      </c>
      <c r="M16" s="117">
        <v>1517.1299332658102</v>
      </c>
      <c r="O16" s="74" t="s">
        <v>163</v>
      </c>
      <c r="P16" s="83">
        <f>IF(Q16=0,0,R16/Q16)</f>
        <v>8.7866666666666671</v>
      </c>
      <c r="Q16" s="77">
        <v>15</v>
      </c>
      <c r="R16" s="68">
        <v>131.80000000000001</v>
      </c>
    </row>
    <row r="17" spans="1:18" x14ac:dyDescent="0.4">
      <c r="A17" s="19" t="s">
        <v>118</v>
      </c>
      <c r="B17" s="12">
        <v>69</v>
      </c>
      <c r="C17" s="6">
        <f>IF(B$3=0,0,B17/B$3)</f>
        <v>0.20116618075801748</v>
      </c>
      <c r="E17" s="27" t="s">
        <v>79</v>
      </c>
      <c r="F17" s="24" t="s">
        <v>34</v>
      </c>
      <c r="G17" s="12">
        <v>2</v>
      </c>
      <c r="H17" s="88">
        <f>IF(B$20=0,0,G17/B$20)</f>
        <v>2.1276595744680851E-2</v>
      </c>
      <c r="I17" s="58">
        <v>2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>IF(Q17=0,0,R17/Q17)</f>
        <v>6.5555555555555571</v>
      </c>
      <c r="Q17" s="77">
        <v>9</v>
      </c>
      <c r="R17" s="68">
        <v>59.000000000000014</v>
      </c>
    </row>
    <row r="18" spans="1:18" x14ac:dyDescent="0.4">
      <c r="A18" s="18" t="s">
        <v>123</v>
      </c>
      <c r="B18" s="11">
        <f>B24</f>
        <v>51</v>
      </c>
      <c r="C18" s="5">
        <f>IF(B$16=0,0,B18/B$16)</f>
        <v>0.5368421052631579</v>
      </c>
      <c r="E18" s="27" t="s">
        <v>77</v>
      </c>
      <c r="F18" s="24" t="s">
        <v>32</v>
      </c>
      <c r="G18" s="12">
        <v>1</v>
      </c>
      <c r="H18" s="88">
        <f>IF(B$20=0,0,G18/B$20)</f>
        <v>1.0638297872340425E-2</v>
      </c>
      <c r="I18" s="58">
        <v>2</v>
      </c>
      <c r="K18" s="74">
        <v>16</v>
      </c>
      <c r="L18" s="119">
        <v>-49.800000000000018</v>
      </c>
      <c r="M18" s="117">
        <v>1523.8481507442182</v>
      </c>
      <c r="O18" s="74" t="s">
        <v>195</v>
      </c>
      <c r="P18" s="83">
        <f>IF(Q18=0,0,R18/Q18)</f>
        <v>3.9499999999999993</v>
      </c>
      <c r="Q18" s="77">
        <v>4</v>
      </c>
      <c r="R18" s="68">
        <v>15.799999999999997</v>
      </c>
    </row>
    <row r="19" spans="1:18" x14ac:dyDescent="0.4">
      <c r="A19" s="18" t="s">
        <v>124</v>
      </c>
      <c r="B19" s="11">
        <f>B25</f>
        <v>24</v>
      </c>
      <c r="C19" s="5">
        <f>IF(B$17=0,0,B19/B$17)</f>
        <v>0.34782608695652173</v>
      </c>
      <c r="E19" s="27" t="s">
        <v>90</v>
      </c>
      <c r="F19" s="24" t="s">
        <v>45</v>
      </c>
      <c r="G19" s="12">
        <v>1</v>
      </c>
      <c r="H19" s="88">
        <f>IF(B$20=0,0,G19/B$20)</f>
        <v>1.0638297872340425E-2</v>
      </c>
      <c r="I19" s="58">
        <v>1</v>
      </c>
      <c r="K19" s="74">
        <v>17</v>
      </c>
      <c r="L19" s="119">
        <v>-47.800000000000018</v>
      </c>
      <c r="M19" s="117">
        <v>1524.9050618397528</v>
      </c>
      <c r="O19" s="74" t="s">
        <v>126</v>
      </c>
      <c r="P19" s="83">
        <f>IF(Q19=0,0,R19/Q19)</f>
        <v>-1.3</v>
      </c>
      <c r="Q19" s="77">
        <v>34</v>
      </c>
      <c r="R19" s="68">
        <v>-44.2</v>
      </c>
    </row>
    <row r="20" spans="1:18" x14ac:dyDescent="0.4">
      <c r="A20" s="18" t="s">
        <v>10</v>
      </c>
      <c r="B20" s="11">
        <f>B23+B22</f>
        <v>94</v>
      </c>
      <c r="C20" s="5">
        <f>IF(B$3=0,0,B20/B$3)</f>
        <v>0.27405247813411077</v>
      </c>
      <c r="E20" s="27" t="s">
        <v>91</v>
      </c>
      <c r="F20" s="24" t="s">
        <v>46</v>
      </c>
      <c r="G20" s="12">
        <v>1</v>
      </c>
      <c r="H20" s="88">
        <f>IF(B$20=0,0,G20/B$20)</f>
        <v>1.0638297872340425E-2</v>
      </c>
      <c r="I20" s="58">
        <v>6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>IF(Q20=0,0,R20/Q20)</f>
        <v>-39.525000000000006</v>
      </c>
      <c r="Q20" s="77">
        <v>4</v>
      </c>
      <c r="R20" s="68">
        <v>-158.10000000000002</v>
      </c>
    </row>
    <row r="21" spans="1:18" x14ac:dyDescent="0.4">
      <c r="A21" s="19" t="s">
        <v>13</v>
      </c>
      <c r="B21" s="12">
        <v>36</v>
      </c>
      <c r="C21" s="6">
        <f>IF(B$3=0,0,B21/B$3)</f>
        <v>0.10495626822157435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7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34</v>
      </c>
      <c r="C22" s="6">
        <f>IF(B$20=0,0,B22/B$20)</f>
        <v>0.36170212765957449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60</v>
      </c>
      <c r="C23" s="6">
        <f>IF(B$20=0,0,B23/B$20)</f>
        <v>0.63829787234042556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5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51</v>
      </c>
      <c r="C24" s="6">
        <f>IF(B$20=0,0,B24/B$20)</f>
        <v>0.54255319148936165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24</v>
      </c>
      <c r="C25" s="6">
        <f>IF(B$20=0,0,B25/B$20)</f>
        <v>0.25531914893617019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19</v>
      </c>
      <c r="C26" s="6">
        <f>IF(B$20=0,0,B26/B$20)</f>
        <v>0.20212765957446807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8131.9148936170213</v>
      </c>
      <c r="C27" s="8">
        <v>764400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8108.5714285714284</v>
      </c>
      <c r="C28" s="96">
        <v>567600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8200</v>
      </c>
      <c r="C29" s="96">
        <v>196800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-8155.5555555555557</v>
      </c>
      <c r="C30" s="96">
        <v>-293600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4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-35.300000000000026</v>
      </c>
      <c r="M31" s="117">
        <v>1531.7177178969628</v>
      </c>
    </row>
    <row r="32" spans="1:18" x14ac:dyDescent="0.4">
      <c r="A32" s="19" t="s">
        <v>158</v>
      </c>
      <c r="B32" s="12">
        <v>46</v>
      </c>
      <c r="C32" s="90">
        <v>8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-9.3000000000000256</v>
      </c>
      <c r="M32" s="117">
        <v>1537.0774115895811</v>
      </c>
    </row>
    <row r="33" spans="1:13" x14ac:dyDescent="0.4">
      <c r="A33" s="54" t="s">
        <v>136</v>
      </c>
      <c r="B33" s="135">
        <v>7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22.999999999999972</v>
      </c>
      <c r="M33" s="117">
        <v>1543.5389471200435</v>
      </c>
    </row>
    <row r="34" spans="1:13" x14ac:dyDescent="0.4">
      <c r="A34" s="22" t="s">
        <v>180</v>
      </c>
      <c r="B34" s="137">
        <v>85000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-0.400000000000027</v>
      </c>
      <c r="M34" s="117">
        <v>1539.9417134373232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-0.10000000000002701</v>
      </c>
      <c r="M35" s="117">
        <v>1540.6320631566994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59.89999999999997</v>
      </c>
      <c r="M36" s="117">
        <v>1552.0582707777592</v>
      </c>
    </row>
    <row r="37" spans="1:13" x14ac:dyDescent="0.4">
      <c r="A37" s="54" t="s">
        <v>171</v>
      </c>
      <c r="B37" s="123">
        <v>3</v>
      </c>
      <c r="C37" s="98">
        <f t="shared" ref="C37:C49" si="2">IF(B$20=0,0,B37/B$20)</f>
        <v>3.1914893617021274E-2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46.099999999999966</v>
      </c>
      <c r="M37" s="117">
        <v>1549.6879211530927</v>
      </c>
    </row>
    <row r="38" spans="1:13" x14ac:dyDescent="0.4">
      <c r="A38" s="19" t="s">
        <v>167</v>
      </c>
      <c r="B38" s="12">
        <v>13</v>
      </c>
      <c r="C38" s="6">
        <f t="shared" si="2"/>
        <v>0.13829787234042554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67.69999999999996</v>
      </c>
      <c r="M38" s="117">
        <v>1553.703793626174</v>
      </c>
    </row>
    <row r="39" spans="1:13" x14ac:dyDescent="0.4">
      <c r="A39" s="19" t="s">
        <v>168</v>
      </c>
      <c r="B39" s="124">
        <v>21</v>
      </c>
      <c r="C39" s="6">
        <f t="shared" si="2"/>
        <v>0.22340425531914893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58.499999999999957</v>
      </c>
      <c r="M39" s="117">
        <v>1552.235570864417</v>
      </c>
    </row>
    <row r="40" spans="1:13" x14ac:dyDescent="0.4">
      <c r="A40" s="19" t="s">
        <v>169</v>
      </c>
      <c r="B40" s="124">
        <v>25</v>
      </c>
      <c r="C40" s="6">
        <f t="shared" si="2"/>
        <v>0.26595744680851063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95.69999999999996</v>
      </c>
      <c r="M40" s="117">
        <v>1559.4521574392304</v>
      </c>
    </row>
    <row r="41" spans="1:13" x14ac:dyDescent="0.4">
      <c r="A41" s="19" t="s">
        <v>170</v>
      </c>
      <c r="B41" s="124">
        <v>13</v>
      </c>
      <c r="C41" s="6">
        <f t="shared" si="2"/>
        <v>0.13829787234042554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45.69999999999996</v>
      </c>
      <c r="M41" s="117">
        <v>1550.9234444945951</v>
      </c>
    </row>
    <row r="42" spans="1:13" x14ac:dyDescent="0.4">
      <c r="A42" s="19" t="s">
        <v>172</v>
      </c>
      <c r="B42" s="124">
        <v>9</v>
      </c>
      <c r="C42" s="6">
        <f t="shared" si="2"/>
        <v>9.5744680851063829E-2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45.799999999999962</v>
      </c>
      <c r="M42" s="117">
        <v>1551.4699038276274</v>
      </c>
    </row>
    <row r="43" spans="1:13" x14ac:dyDescent="0.4">
      <c r="A43" s="19" t="s">
        <v>173</v>
      </c>
      <c r="B43" s="124">
        <v>4</v>
      </c>
      <c r="C43" s="6">
        <f t="shared" si="2"/>
        <v>4.2553191489361701E-2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5</v>
      </c>
      <c r="C44" s="6">
        <f t="shared" si="2"/>
        <v>5.3191489361702128E-2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2"/>
        <v>1.0638297872340425E-2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51</v>
      </c>
      <c r="C2" s="142"/>
      <c r="E2" s="26" t="s">
        <v>66</v>
      </c>
      <c r="F2" s="23" t="s">
        <v>22</v>
      </c>
      <c r="G2" s="11">
        <v>88</v>
      </c>
      <c r="H2" s="87">
        <f>IF(B$20=0,0,G2/B$20)</f>
        <v>0.66666666666666663</v>
      </c>
      <c r="I2" s="57">
        <v>10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-912</v>
      </c>
      <c r="Q2" s="76">
        <v>50</v>
      </c>
      <c r="R2" s="63">
        <v>-45600</v>
      </c>
    </row>
    <row r="3" spans="1:18" x14ac:dyDescent="0.4">
      <c r="A3" s="19" t="s">
        <v>8</v>
      </c>
      <c r="B3" s="143">
        <v>430</v>
      </c>
      <c r="C3" s="144"/>
      <c r="E3" s="27" t="s">
        <v>72</v>
      </c>
      <c r="F3" s="24" t="s">
        <v>27</v>
      </c>
      <c r="G3" s="12">
        <v>78</v>
      </c>
      <c r="H3" s="88">
        <f>IF(B$20=0,0,G3/B$20)</f>
        <v>0.59090909090909094</v>
      </c>
      <c r="I3" s="58">
        <v>6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1166</v>
      </c>
      <c r="Q3" s="77">
        <v>50</v>
      </c>
      <c r="R3" s="64">
        <v>58300</v>
      </c>
    </row>
    <row r="4" spans="1:18" x14ac:dyDescent="0.4">
      <c r="A4" s="19" t="s">
        <v>6</v>
      </c>
      <c r="B4" s="145">
        <v>178.2</v>
      </c>
      <c r="C4" s="146"/>
      <c r="E4" s="27" t="s">
        <v>64</v>
      </c>
      <c r="F4" s="24" t="s">
        <v>20</v>
      </c>
      <c r="G4" s="12">
        <v>59</v>
      </c>
      <c r="H4" s="88">
        <f>IF(B$20=0,0,G4/B$20)</f>
        <v>0.44696969696969696</v>
      </c>
      <c r="I4" s="58">
        <v>6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2228</v>
      </c>
      <c r="Q4" s="77">
        <v>50</v>
      </c>
      <c r="R4" s="64">
        <v>111400</v>
      </c>
    </row>
    <row r="5" spans="1:18" x14ac:dyDescent="0.4">
      <c r="A5" s="19" t="s">
        <v>7</v>
      </c>
      <c r="B5" s="133">
        <f>IF(B$2=0,0,B$4/B$2)</f>
        <v>3.4941176470588231</v>
      </c>
      <c r="C5" s="134"/>
      <c r="E5" s="27" t="s">
        <v>159</v>
      </c>
      <c r="F5" s="24" t="s">
        <v>160</v>
      </c>
      <c r="G5" s="12">
        <v>44</v>
      </c>
      <c r="H5" s="88">
        <f>IF(B$20=0,0,G5/B$20)</f>
        <v>0.33333333333333331</v>
      </c>
      <c r="I5" s="58">
        <v>11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-382.97872340425533</v>
      </c>
      <c r="Q5" s="77">
        <v>47</v>
      </c>
      <c r="R5" s="64">
        <v>-18000</v>
      </c>
    </row>
    <row r="6" spans="1:18" x14ac:dyDescent="0.4">
      <c r="A6" s="19" t="s">
        <v>196</v>
      </c>
      <c r="B6" s="137">
        <v>1541.223654027415</v>
      </c>
      <c r="C6" s="138"/>
      <c r="E6" s="27" t="s">
        <v>67</v>
      </c>
      <c r="F6" s="24" t="s">
        <v>23</v>
      </c>
      <c r="G6" s="12">
        <v>37</v>
      </c>
      <c r="H6" s="88">
        <f>IF(B$20=0,0,G6/B$20)</f>
        <v>0.28030303030303028</v>
      </c>
      <c r="I6" s="58">
        <v>5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257.14285714285717</v>
      </c>
      <c r="Q6" s="77">
        <v>42</v>
      </c>
      <c r="R6" s="64">
        <v>10800</v>
      </c>
    </row>
    <row r="7" spans="1:18" x14ac:dyDescent="0.4">
      <c r="A7" s="19" t="s">
        <v>1</v>
      </c>
      <c r="B7" s="147">
        <f>IF(B$2=0,0,(B$8*1+B$9*2+B$10*3)/B$2)</f>
        <v>1.9215686274509804</v>
      </c>
      <c r="C7" s="148"/>
      <c r="E7" s="27" t="s">
        <v>68</v>
      </c>
      <c r="F7" s="24" t="s">
        <v>12</v>
      </c>
      <c r="G7" s="12">
        <v>32</v>
      </c>
      <c r="H7" s="88">
        <f>IF(B$20=0,0,G7/B$20)</f>
        <v>0.24242424242424243</v>
      </c>
      <c r="I7" s="58">
        <v>13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1710.2564102564102</v>
      </c>
      <c r="Q7" s="78">
        <v>39</v>
      </c>
      <c r="R7" s="65">
        <v>66700</v>
      </c>
    </row>
    <row r="8" spans="1:18" x14ac:dyDescent="0.4">
      <c r="A8" s="19" t="s">
        <v>2</v>
      </c>
      <c r="B8" s="12">
        <v>19</v>
      </c>
      <c r="C8" s="6">
        <f t="shared" ref="C8:C15" si="1">IF(B$2=0,0,B8/B$2)</f>
        <v>0.37254901960784315</v>
      </c>
      <c r="E8" s="27" t="s">
        <v>89</v>
      </c>
      <c r="F8" s="24" t="s">
        <v>44</v>
      </c>
      <c r="G8" s="12">
        <v>26</v>
      </c>
      <c r="H8" s="88">
        <f>IF(B$20=0,0,G8/B$20)</f>
        <v>0.19696969696969696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0.33333333333333331</v>
      </c>
      <c r="E9" s="27" t="s">
        <v>69</v>
      </c>
      <c r="F9" s="24" t="s">
        <v>24</v>
      </c>
      <c r="G9" s="12">
        <v>20</v>
      </c>
      <c r="H9" s="88">
        <f>IF(B$20=0,0,G9/B$20)</f>
        <v>0.15151515151515152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15</v>
      </c>
      <c r="C10" s="7">
        <f t="shared" si="1"/>
        <v>0.29411764705882354</v>
      </c>
      <c r="E10" s="27" t="s">
        <v>65</v>
      </c>
      <c r="F10" s="24" t="s">
        <v>21</v>
      </c>
      <c r="G10" s="12">
        <v>11</v>
      </c>
      <c r="H10" s="88">
        <f>IF(B$20=0,0,G10/B$20)</f>
        <v>8.3333333333333329E-2</v>
      </c>
      <c r="I10" s="58">
        <v>8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3.78125</v>
      </c>
      <c r="Q10" s="76">
        <v>16</v>
      </c>
      <c r="R10" s="67">
        <v>60.5</v>
      </c>
    </row>
    <row r="11" spans="1:18" x14ac:dyDescent="0.4">
      <c r="A11" s="20" t="s">
        <v>184</v>
      </c>
      <c r="B11" s="109">
        <f>IF(B8=0,0,C11/B8)</f>
        <v>33.868421052631582</v>
      </c>
      <c r="C11" s="110">
        <v>643.5</v>
      </c>
      <c r="E11" s="27" t="s">
        <v>71</v>
      </c>
      <c r="F11" s="24" t="s">
        <v>26</v>
      </c>
      <c r="G11" s="12">
        <v>10</v>
      </c>
      <c r="H11" s="88">
        <f>IF(B$20=0,0,G11/B$20)</f>
        <v>7.575757575757576E-2</v>
      </c>
      <c r="I11" s="58">
        <v>5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-0.7823529411764697</v>
      </c>
      <c r="Q11" s="77">
        <v>17</v>
      </c>
      <c r="R11" s="68">
        <v>-13.299999999999985</v>
      </c>
    </row>
    <row r="12" spans="1:18" x14ac:dyDescent="0.4">
      <c r="A12" s="20" t="s">
        <v>185</v>
      </c>
      <c r="B12" s="109">
        <f>IF(B9=0,0,C12/B9)</f>
        <v>-1.9823529411764711</v>
      </c>
      <c r="C12" s="110">
        <v>-33.70000000000001</v>
      </c>
      <c r="E12" s="27" t="s">
        <v>86</v>
      </c>
      <c r="F12" s="24" t="s">
        <v>41</v>
      </c>
      <c r="G12" s="12">
        <v>10</v>
      </c>
      <c r="H12" s="88">
        <f>IF(B$20=0,0,G12/B$20)</f>
        <v>7.575757575757576E-2</v>
      </c>
      <c r="I12" s="58">
        <v>3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7.2777777777777777</v>
      </c>
      <c r="Q12" s="78">
        <v>18</v>
      </c>
      <c r="R12" s="69">
        <v>131</v>
      </c>
    </row>
    <row r="13" spans="1:18" x14ac:dyDescent="0.4">
      <c r="A13" s="20" t="s">
        <v>186</v>
      </c>
      <c r="B13" s="109">
        <f>IF(B10=0,0,C13/B10)</f>
        <v>-28.773333333333333</v>
      </c>
      <c r="C13" s="110">
        <v>-431.6</v>
      </c>
      <c r="E13" s="27" t="s">
        <v>83</v>
      </c>
      <c r="F13" s="24" t="s">
        <v>38</v>
      </c>
      <c r="G13" s="12">
        <v>7</v>
      </c>
      <c r="H13" s="88">
        <f>IF(B$20=0,0,G13/B$20)</f>
        <v>5.3030303030303032E-2</v>
      </c>
      <c r="I13" s="58">
        <v>6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1.0375782593739256</v>
      </c>
      <c r="C14" s="134"/>
      <c r="E14" s="27" t="s">
        <v>70</v>
      </c>
      <c r="F14" s="24" t="s">
        <v>25</v>
      </c>
      <c r="G14" s="12">
        <v>5</v>
      </c>
      <c r="H14" s="88">
        <f>IF(B$20=0,0,G14/B$20)</f>
        <v>3.787878787878788E-2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3.9215686274509803E-2</v>
      </c>
      <c r="E15" s="27" t="s">
        <v>78</v>
      </c>
      <c r="F15" s="24" t="s">
        <v>33</v>
      </c>
      <c r="G15" s="12">
        <v>5</v>
      </c>
      <c r="H15" s="88">
        <f>IF(B$20=0,0,G15/B$20)</f>
        <v>3.787878787878788E-2</v>
      </c>
      <c r="I15" s="58">
        <v>5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 t="shared" ref="P15:P23" si="2">IF(Q15=0,0,R15/Q15)</f>
        <v>26.462500000000006</v>
      </c>
      <c r="Q15" s="76">
        <v>8</v>
      </c>
      <c r="R15" s="67">
        <v>211.70000000000005</v>
      </c>
    </row>
    <row r="16" spans="1:18" x14ac:dyDescent="0.4">
      <c r="A16" s="22" t="s">
        <v>121</v>
      </c>
      <c r="B16" s="15">
        <v>98</v>
      </c>
      <c r="C16" s="10">
        <f>IF(B$3=0,0,B16/B$3)</f>
        <v>0.22790697674418606</v>
      </c>
      <c r="E16" s="27" t="s">
        <v>81</v>
      </c>
      <c r="F16" s="24" t="s">
        <v>36</v>
      </c>
      <c r="G16" s="12">
        <v>5</v>
      </c>
      <c r="H16" s="88">
        <f>IF(B$20=0,0,G16/B$20)</f>
        <v>3.787878787878788E-2</v>
      </c>
      <c r="I16" s="58">
        <v>5</v>
      </c>
      <c r="K16" s="74">
        <v>14</v>
      </c>
      <c r="L16" s="119">
        <v>99.300000000000011</v>
      </c>
      <c r="M16" s="117">
        <v>1512.415829547685</v>
      </c>
      <c r="O16" s="74" t="s">
        <v>221</v>
      </c>
      <c r="P16" s="83">
        <f t="shared" si="2"/>
        <v>16.2</v>
      </c>
      <c r="Q16" s="77">
        <v>1</v>
      </c>
      <c r="R16" s="68">
        <v>16.2</v>
      </c>
    </row>
    <row r="17" spans="1:18" x14ac:dyDescent="0.4">
      <c r="A17" s="19" t="s">
        <v>118</v>
      </c>
      <c r="B17" s="12">
        <v>97</v>
      </c>
      <c r="C17" s="6">
        <f>IF(B$3=0,0,B17/B$3)</f>
        <v>0.2255813953488372</v>
      </c>
      <c r="E17" s="27" t="s">
        <v>91</v>
      </c>
      <c r="F17" s="24" t="s">
        <v>46</v>
      </c>
      <c r="G17" s="12">
        <v>5</v>
      </c>
      <c r="H17" s="88">
        <f>IF(B$20=0,0,G17/B$20)</f>
        <v>3.787878787878788E-2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163</v>
      </c>
      <c r="P17" s="83">
        <f t="shared" si="2"/>
        <v>9.0636363636363662</v>
      </c>
      <c r="Q17" s="77">
        <v>22</v>
      </c>
      <c r="R17" s="68">
        <v>199.40000000000006</v>
      </c>
    </row>
    <row r="18" spans="1:18" x14ac:dyDescent="0.4">
      <c r="A18" s="18" t="s">
        <v>123</v>
      </c>
      <c r="B18" s="11">
        <f>B24</f>
        <v>58</v>
      </c>
      <c r="C18" s="5">
        <f>IF(B$16=0,0,B18/B$16)</f>
        <v>0.59183673469387754</v>
      </c>
      <c r="E18" s="27" t="s">
        <v>73</v>
      </c>
      <c r="F18" s="24" t="s">
        <v>28</v>
      </c>
      <c r="G18" s="12">
        <v>2</v>
      </c>
      <c r="H18" s="88">
        <f>IF(B$20=0,0,G18/B$20)</f>
        <v>1.5151515151515152E-2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216</v>
      </c>
      <c r="P18" s="83">
        <f t="shared" si="2"/>
        <v>8.4214285714285744</v>
      </c>
      <c r="Q18" s="77">
        <v>14</v>
      </c>
      <c r="R18" s="68">
        <v>117.90000000000003</v>
      </c>
    </row>
    <row r="19" spans="1:18" x14ac:dyDescent="0.4">
      <c r="A19" s="18" t="s">
        <v>124</v>
      </c>
      <c r="B19" s="11">
        <f>B25</f>
        <v>44</v>
      </c>
      <c r="C19" s="5">
        <f>IF(B$17=0,0,B19/B$17)</f>
        <v>0.45360824742268041</v>
      </c>
      <c r="E19" s="27" t="s">
        <v>75</v>
      </c>
      <c r="F19" s="24" t="s">
        <v>30</v>
      </c>
      <c r="G19" s="12">
        <v>1</v>
      </c>
      <c r="H19" s="88">
        <f>IF(B$20=0,0,G19/B$20)</f>
        <v>7.575757575757576E-3</v>
      </c>
      <c r="I19" s="58">
        <v>3</v>
      </c>
      <c r="K19" s="74">
        <v>17</v>
      </c>
      <c r="L19" s="119">
        <v>81.600000000000009</v>
      </c>
      <c r="M19" s="117">
        <v>1510.8582724915987</v>
      </c>
      <c r="O19" s="74" t="s">
        <v>193</v>
      </c>
      <c r="P19" s="83">
        <f t="shared" si="2"/>
        <v>7.1250000000000009</v>
      </c>
      <c r="Q19" s="77">
        <v>4</v>
      </c>
      <c r="R19" s="68">
        <v>28.500000000000004</v>
      </c>
    </row>
    <row r="20" spans="1:18" x14ac:dyDescent="0.4">
      <c r="A20" s="18" t="s">
        <v>10</v>
      </c>
      <c r="B20" s="11">
        <f>B23+B22</f>
        <v>132</v>
      </c>
      <c r="C20" s="5">
        <f>IF(B$3=0,0,B20/B$3)</f>
        <v>0.30697674418604654</v>
      </c>
      <c r="E20" s="27" t="s">
        <v>79</v>
      </c>
      <c r="F20" s="24" t="s">
        <v>34</v>
      </c>
      <c r="G20" s="12">
        <v>1</v>
      </c>
      <c r="H20" s="88">
        <f>IF(B$20=0,0,G20/B$20)</f>
        <v>7.575757575757576E-3</v>
      </c>
      <c r="I20" s="58">
        <v>6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 t="shared" si="2"/>
        <v>3.0419354838709678</v>
      </c>
      <c r="Q20" s="77">
        <v>31</v>
      </c>
      <c r="R20" s="68">
        <v>94.3</v>
      </c>
    </row>
    <row r="21" spans="1:18" x14ac:dyDescent="0.4">
      <c r="A21" s="19" t="s">
        <v>13</v>
      </c>
      <c r="B21" s="12">
        <v>59</v>
      </c>
      <c r="C21" s="6">
        <f>IF(B$3=0,0,B21/B$3)</f>
        <v>0.1372093023255814</v>
      </c>
      <c r="E21" s="27" t="s">
        <v>93</v>
      </c>
      <c r="F21" s="24" t="s">
        <v>48</v>
      </c>
      <c r="G21" s="12">
        <v>1</v>
      </c>
      <c r="H21" s="88">
        <f>IF(B$20=0,0,G21/B$20)</f>
        <v>7.575757575757576E-3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195</v>
      </c>
      <c r="P21" s="83">
        <f t="shared" si="2"/>
        <v>-3.0750000000000011</v>
      </c>
      <c r="Q21" s="77">
        <v>4</v>
      </c>
      <c r="R21" s="68">
        <v>-12.300000000000004</v>
      </c>
    </row>
    <row r="22" spans="1:18" x14ac:dyDescent="0.4">
      <c r="A22" s="19" t="s">
        <v>12</v>
      </c>
      <c r="B22" s="12">
        <v>53</v>
      </c>
      <c r="C22" s="6">
        <f>IF(B$20=0,0,B22/B$20)</f>
        <v>0.40151515151515149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190</v>
      </c>
      <c r="P22" s="83">
        <f t="shared" si="2"/>
        <v>-6.5555555555555562</v>
      </c>
      <c r="Q22" s="77">
        <v>9</v>
      </c>
      <c r="R22" s="68">
        <v>-59.000000000000007</v>
      </c>
    </row>
    <row r="23" spans="1:18" x14ac:dyDescent="0.4">
      <c r="A23" s="19" t="s">
        <v>11</v>
      </c>
      <c r="B23" s="12">
        <v>79</v>
      </c>
      <c r="C23" s="6">
        <f>IF(B$20=0,0,B23/B$20)</f>
        <v>0.59848484848484851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116.7</v>
      </c>
      <c r="M23" s="117">
        <v>1519.9380592990233</v>
      </c>
      <c r="O23" s="74" t="s">
        <v>189</v>
      </c>
      <c r="P23" s="83">
        <f t="shared" si="2"/>
        <v>-6.9</v>
      </c>
      <c r="Q23" s="77">
        <v>9</v>
      </c>
      <c r="R23" s="68">
        <v>-62.1</v>
      </c>
    </row>
    <row r="24" spans="1:18" x14ac:dyDescent="0.4">
      <c r="A24" s="19" t="s">
        <v>183</v>
      </c>
      <c r="B24" s="12">
        <v>58</v>
      </c>
      <c r="C24" s="6">
        <f>IF(B$20=0,0,B24/B$20)</f>
        <v>0.43939393939393939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44</v>
      </c>
      <c r="C25" s="6">
        <f>IF(B$20=0,0,B25/B$20)</f>
        <v>0.33333333333333331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30</v>
      </c>
      <c r="C26" s="6">
        <f>IF(B$20=0,0,B26/B$20)</f>
        <v>0.22727272727272727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7929.545454545455</v>
      </c>
      <c r="C27" s="8">
        <v>1046700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8413.636363636364</v>
      </c>
      <c r="C28" s="96">
        <v>740400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6961.363636363636</v>
      </c>
      <c r="C29" s="96">
        <v>306300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-6961.0169491525421</v>
      </c>
      <c r="C30" s="96">
        <v>-410700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3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35">
        <v>6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37">
        <v>93600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6.9767441860465115E-3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6.0606060606060608E-2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27</v>
      </c>
      <c r="C38" s="6">
        <f t="shared" si="3"/>
        <v>0.20454545454545456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28</v>
      </c>
      <c r="C39" s="6">
        <f t="shared" si="3"/>
        <v>0.21212121212121213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19</v>
      </c>
      <c r="C40" s="6">
        <f t="shared" si="3"/>
        <v>0.14393939393939395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20</v>
      </c>
      <c r="C41" s="6">
        <f t="shared" si="3"/>
        <v>0.15151515151515152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15</v>
      </c>
      <c r="C42" s="6">
        <f t="shared" si="3"/>
        <v>0.11363636363636363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3"/>
        <v>3.787878787878788E-2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3"/>
        <v>3.0303030303030304E-2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3"/>
        <v>7.575757575757576E-3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148.29999999999998</v>
      </c>
      <c r="M45" s="117">
        <v>1532.2841533047581</v>
      </c>
    </row>
    <row r="46" spans="1:13" x14ac:dyDescent="0.4">
      <c r="A46" s="19" t="s">
        <v>176</v>
      </c>
      <c r="B46" s="124">
        <v>2</v>
      </c>
      <c r="C46" s="6">
        <f t="shared" si="3"/>
        <v>1.5151515151515152E-2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143.19999999999999</v>
      </c>
      <c r="M46" s="117">
        <v>1531.1784483849297</v>
      </c>
    </row>
    <row r="47" spans="1:13" x14ac:dyDescent="0.4">
      <c r="A47" s="19" t="s">
        <v>177</v>
      </c>
      <c r="B47" s="124">
        <v>2</v>
      </c>
      <c r="C47" s="6">
        <f t="shared" si="3"/>
        <v>1.5151515151515152E-2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157.69999999999999</v>
      </c>
      <c r="M47" s="117">
        <v>1534.3633776946201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167.6</v>
      </c>
      <c r="M48" s="117">
        <v>1536.8091974284523</v>
      </c>
    </row>
    <row r="49" spans="1:13" x14ac:dyDescent="0.4">
      <c r="A49" s="21" t="s">
        <v>179</v>
      </c>
      <c r="B49" s="97">
        <v>1</v>
      </c>
      <c r="C49" s="9">
        <f t="shared" si="3"/>
        <v>7.575757575757576E-3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164.7</v>
      </c>
      <c r="M49" s="117">
        <v>1536.9363422438817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140.69999999999999</v>
      </c>
      <c r="M50" s="117">
        <v>1532.9527241904184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  <c r="K51" s="74">
        <v>49</v>
      </c>
      <c r="L51" s="119">
        <v>209.29999999999998</v>
      </c>
      <c r="M51" s="117">
        <v>1545.841007845276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211.6</v>
      </c>
      <c r="M52" s="117">
        <v>1546.7179617982042</v>
      </c>
    </row>
    <row r="53" spans="1:13" x14ac:dyDescent="0.4">
      <c r="K53" s="74">
        <v>51</v>
      </c>
      <c r="L53" s="119">
        <v>178.2</v>
      </c>
      <c r="M53" s="117">
        <v>1541.223654027415</v>
      </c>
    </row>
  </sheetData>
  <sortState xmlns:xlrd2="http://schemas.microsoft.com/office/spreadsheetml/2017/richdata2" ref="E2:I54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7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192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70</v>
      </c>
      <c r="C2" s="142"/>
      <c r="E2" s="26" t="s">
        <v>66</v>
      </c>
      <c r="F2" s="23" t="s">
        <v>22</v>
      </c>
      <c r="G2" s="11">
        <v>154</v>
      </c>
      <c r="H2" s="87">
        <f>IF(B$20=0,0,G2/B$20)</f>
        <v>0.75490196078431371</v>
      </c>
      <c r="I2" s="57">
        <v>8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-10</v>
      </c>
      <c r="Q2" s="76">
        <v>70</v>
      </c>
      <c r="R2" s="63">
        <v>-700</v>
      </c>
    </row>
    <row r="3" spans="1:18" x14ac:dyDescent="0.4">
      <c r="A3" s="19" t="s">
        <v>8</v>
      </c>
      <c r="B3" s="143">
        <v>591</v>
      </c>
      <c r="C3" s="144"/>
      <c r="E3" s="27" t="s">
        <v>72</v>
      </c>
      <c r="F3" s="24" t="s">
        <v>27</v>
      </c>
      <c r="G3" s="12">
        <v>124</v>
      </c>
      <c r="H3" s="88">
        <f>IF(B$20=0,0,G3/B$20)</f>
        <v>0.60784313725490191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546.969696969697</v>
      </c>
      <c r="Q3" s="77">
        <v>66</v>
      </c>
      <c r="R3" s="64">
        <v>36100</v>
      </c>
    </row>
    <row r="4" spans="1:18" x14ac:dyDescent="0.4">
      <c r="A4" s="19" t="s">
        <v>6</v>
      </c>
      <c r="B4" s="145">
        <v>392.9</v>
      </c>
      <c r="C4" s="146"/>
      <c r="E4" s="27" t="s">
        <v>159</v>
      </c>
      <c r="F4" s="24" t="s">
        <v>160</v>
      </c>
      <c r="G4" s="12">
        <v>88</v>
      </c>
      <c r="H4" s="88">
        <f>IF(B$20=0,0,G4/B$20)</f>
        <v>0.43137254901960786</v>
      </c>
      <c r="I4" s="58">
        <v>3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1410.6060606060605</v>
      </c>
      <c r="Q4" s="77">
        <v>66</v>
      </c>
      <c r="R4" s="64">
        <v>93100</v>
      </c>
    </row>
    <row r="5" spans="1:18" x14ac:dyDescent="0.4">
      <c r="A5" s="19" t="s">
        <v>7</v>
      </c>
      <c r="B5" s="133">
        <f>IF(B$2=0,0,B$4/B$2)</f>
        <v>5.6128571428571421</v>
      </c>
      <c r="C5" s="134"/>
      <c r="E5" s="27" t="s">
        <v>64</v>
      </c>
      <c r="F5" s="24" t="s">
        <v>20</v>
      </c>
      <c r="G5" s="12">
        <v>71</v>
      </c>
      <c r="H5" s="88">
        <f>IF(B$20=0,0,G5/B$20)</f>
        <v>0.34803921568627449</v>
      </c>
      <c r="I5" s="58">
        <v>11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1804.8387096774193</v>
      </c>
      <c r="Q5" s="77">
        <v>62</v>
      </c>
      <c r="R5" s="64">
        <v>111900</v>
      </c>
    </row>
    <row r="6" spans="1:18" x14ac:dyDescent="0.4">
      <c r="A6" s="19" t="s">
        <v>196</v>
      </c>
      <c r="B6" s="137">
        <v>1606.4452616651972</v>
      </c>
      <c r="C6" s="138"/>
      <c r="E6" s="27" t="s">
        <v>68</v>
      </c>
      <c r="F6" s="24" t="s">
        <v>12</v>
      </c>
      <c r="G6" s="12">
        <v>50</v>
      </c>
      <c r="H6" s="88">
        <f>IF(B$20=0,0,G6/B$20)</f>
        <v>0.24509803921568626</v>
      </c>
      <c r="I6" s="58">
        <v>12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400</v>
      </c>
      <c r="Q6" s="77">
        <v>58</v>
      </c>
      <c r="R6" s="64">
        <v>23200</v>
      </c>
    </row>
    <row r="7" spans="1:18" x14ac:dyDescent="0.4">
      <c r="A7" s="19" t="s">
        <v>1</v>
      </c>
      <c r="B7" s="147">
        <f>IF(B$2=0,0,(B$8*1+B$9*2+B$10*3)/B$2)</f>
        <v>1.8571428571428572</v>
      </c>
      <c r="C7" s="148"/>
      <c r="E7" s="27" t="s">
        <v>67</v>
      </c>
      <c r="F7" s="24" t="s">
        <v>23</v>
      </c>
      <c r="G7" s="12">
        <v>31</v>
      </c>
      <c r="H7" s="88">
        <f>IF(B$20=0,0,G7/B$20)</f>
        <v>0.15196078431372548</v>
      </c>
      <c r="I7" s="58">
        <v>11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-197.87234042553192</v>
      </c>
      <c r="Q7" s="78">
        <v>47</v>
      </c>
      <c r="R7" s="65">
        <v>-9300</v>
      </c>
    </row>
    <row r="8" spans="1:18" x14ac:dyDescent="0.4">
      <c r="A8" s="19" t="s">
        <v>2</v>
      </c>
      <c r="B8" s="12">
        <v>27</v>
      </c>
      <c r="C8" s="6">
        <f t="shared" ref="C8:C15" si="1">IF(B$2=0,0,B8/B$2)</f>
        <v>0.38571428571428573</v>
      </c>
      <c r="E8" s="27" t="s">
        <v>70</v>
      </c>
      <c r="F8" s="24" t="s">
        <v>25</v>
      </c>
      <c r="G8" s="12">
        <v>26</v>
      </c>
      <c r="H8" s="88">
        <f>IF(B$20=0,0,G8/B$20)</f>
        <v>0.12745098039215685</v>
      </c>
      <c r="I8" s="58">
        <v>2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26</v>
      </c>
      <c r="C9" s="6">
        <f t="shared" si="1"/>
        <v>0.37142857142857144</v>
      </c>
      <c r="E9" s="27" t="s">
        <v>89</v>
      </c>
      <c r="F9" s="24" t="s">
        <v>44</v>
      </c>
      <c r="G9" s="12">
        <v>25</v>
      </c>
      <c r="H9" s="88">
        <f>IF(B$20=0,0,G9/B$20)</f>
        <v>0.12254901960784313</v>
      </c>
      <c r="I9" s="58">
        <v>7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17</v>
      </c>
      <c r="C10" s="7">
        <f t="shared" si="1"/>
        <v>0.24285714285714285</v>
      </c>
      <c r="E10" s="27" t="s">
        <v>69</v>
      </c>
      <c r="F10" s="24" t="s">
        <v>24</v>
      </c>
      <c r="G10" s="12">
        <v>23</v>
      </c>
      <c r="H10" s="88">
        <f>IF(B$20=0,0,G10/B$20)</f>
        <v>0.11274509803921569</v>
      </c>
      <c r="I10" s="58">
        <v>7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13.179166666666667</v>
      </c>
      <c r="Q10" s="76">
        <v>24</v>
      </c>
      <c r="R10" s="67">
        <v>316.3</v>
      </c>
    </row>
    <row r="11" spans="1:18" x14ac:dyDescent="0.4">
      <c r="A11" s="20" t="s">
        <v>184</v>
      </c>
      <c r="B11" s="109">
        <f>IF(B8=0,0,C11/B8)</f>
        <v>37.514814814814819</v>
      </c>
      <c r="C11" s="110">
        <v>1012.9000000000001</v>
      </c>
      <c r="E11" s="27" t="s">
        <v>71</v>
      </c>
      <c r="F11" s="24" t="s">
        <v>26</v>
      </c>
      <c r="G11" s="12">
        <v>21</v>
      </c>
      <c r="H11" s="88">
        <f>IF(B$20=0,0,G11/B$20)</f>
        <v>0.10294117647058823</v>
      </c>
      <c r="I11" s="58">
        <v>3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3.846153846153901E-3</v>
      </c>
      <c r="Q11" s="77">
        <v>26</v>
      </c>
      <c r="R11" s="68">
        <v>0.10000000000000142</v>
      </c>
    </row>
    <row r="12" spans="1:18" x14ac:dyDescent="0.4">
      <c r="A12" s="20" t="s">
        <v>185</v>
      </c>
      <c r="B12" s="109">
        <f>IF(B9=0,0,C12/B9)</f>
        <v>-3.0269230769230764</v>
      </c>
      <c r="C12" s="110">
        <v>-78.699999999999989</v>
      </c>
      <c r="E12" s="27" t="s">
        <v>65</v>
      </c>
      <c r="F12" s="24" t="s">
        <v>21</v>
      </c>
      <c r="G12" s="12">
        <v>15</v>
      </c>
      <c r="H12" s="88">
        <f>IF(B$20=0,0,G12/B$20)</f>
        <v>7.3529411764705885E-2</v>
      </c>
      <c r="I12" s="58">
        <v>11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3.8250000000000002</v>
      </c>
      <c r="Q12" s="78">
        <v>20</v>
      </c>
      <c r="R12" s="69">
        <v>76.5</v>
      </c>
    </row>
    <row r="13" spans="1:18" x14ac:dyDescent="0.4">
      <c r="A13" s="20" t="s">
        <v>186</v>
      </c>
      <c r="B13" s="109">
        <f>IF(B10=0,0,C13/B10)</f>
        <v>-31.841176470588234</v>
      </c>
      <c r="C13" s="110">
        <v>-541.29999999999995</v>
      </c>
      <c r="E13" s="27" t="s">
        <v>83</v>
      </c>
      <c r="F13" s="24" t="s">
        <v>38</v>
      </c>
      <c r="G13" s="12">
        <v>10</v>
      </c>
      <c r="H13" s="88">
        <f>IF(B$20=0,0,G13/B$20)</f>
        <v>4.9019607843137254E-2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0.88223842243450312</v>
      </c>
      <c r="C14" s="134"/>
      <c r="E14" s="27" t="s">
        <v>86</v>
      </c>
      <c r="F14" s="24" t="s">
        <v>41</v>
      </c>
      <c r="G14" s="12">
        <v>7</v>
      </c>
      <c r="H14" s="88">
        <f>IF(B$20=0,0,G14/B$20)</f>
        <v>3.4313725490196081E-2</v>
      </c>
      <c r="I14" s="58">
        <v>8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5.7142857142857141E-2</v>
      </c>
      <c r="E15" s="27" t="s">
        <v>78</v>
      </c>
      <c r="F15" s="24" t="s">
        <v>33</v>
      </c>
      <c r="G15" s="12">
        <v>4</v>
      </c>
      <c r="H15" s="88">
        <f>IF(B$20=0,0,G15/B$20)</f>
        <v>1.9607843137254902E-2</v>
      </c>
      <c r="I15" s="58">
        <v>9</v>
      </c>
      <c r="K15" s="74">
        <v>13</v>
      </c>
      <c r="L15" s="119">
        <v>-48.5</v>
      </c>
      <c r="M15" s="117">
        <v>1514.0489698444221</v>
      </c>
      <c r="O15" s="73" t="s">
        <v>216</v>
      </c>
      <c r="P15" s="82">
        <f>IF(Q15=0,0,R15/Q15)</f>
        <v>35.1</v>
      </c>
      <c r="Q15" s="76">
        <v>1</v>
      </c>
      <c r="R15" s="67">
        <v>35.1</v>
      </c>
    </row>
    <row r="16" spans="1:18" x14ac:dyDescent="0.4">
      <c r="A16" s="22" t="s">
        <v>121</v>
      </c>
      <c r="B16" s="15">
        <v>126</v>
      </c>
      <c r="C16" s="10">
        <f>IF(B$3=0,0,B16/B$3)</f>
        <v>0.21319796954314721</v>
      </c>
      <c r="E16" s="27" t="s">
        <v>81</v>
      </c>
      <c r="F16" s="24" t="s">
        <v>36</v>
      </c>
      <c r="G16" s="12">
        <v>4</v>
      </c>
      <c r="H16" s="88">
        <f>IF(B$20=0,0,G16/B$20)</f>
        <v>1.9607843137254902E-2</v>
      </c>
      <c r="I16" s="58">
        <v>11</v>
      </c>
      <c r="K16" s="74">
        <v>14</v>
      </c>
      <c r="L16" s="119">
        <v>-20.2</v>
      </c>
      <c r="M16" s="117">
        <v>1519.0406760253557</v>
      </c>
      <c r="O16" s="74" t="s">
        <v>195</v>
      </c>
      <c r="P16" s="83">
        <f>IF(Q16=0,0,R16/Q16)</f>
        <v>32.123076923076923</v>
      </c>
      <c r="Q16" s="77">
        <v>13</v>
      </c>
      <c r="R16" s="68">
        <v>417.6</v>
      </c>
    </row>
    <row r="17" spans="1:18" x14ac:dyDescent="0.4">
      <c r="A17" s="19" t="s">
        <v>118</v>
      </c>
      <c r="B17" s="12">
        <v>164</v>
      </c>
      <c r="C17" s="6">
        <f>IF(B$3=0,0,B17/B$3)</f>
        <v>0.27749576988155666</v>
      </c>
      <c r="E17" s="27" t="s">
        <v>79</v>
      </c>
      <c r="F17" s="24" t="s">
        <v>34</v>
      </c>
      <c r="G17" s="12">
        <v>3</v>
      </c>
      <c r="H17" s="88">
        <f>IF(B$20=0,0,G17/B$20)</f>
        <v>1.4705882352941176E-2</v>
      </c>
      <c r="I17" s="58">
        <v>3</v>
      </c>
      <c r="K17" s="74">
        <v>15</v>
      </c>
      <c r="L17" s="119">
        <v>22.500000000000004</v>
      </c>
      <c r="M17" s="117">
        <v>1526.5944319692035</v>
      </c>
      <c r="O17" s="74" t="s">
        <v>259</v>
      </c>
      <c r="P17" s="83">
        <f>IF(Q17=0,0,R17/Q17)</f>
        <v>32.1</v>
      </c>
      <c r="Q17" s="77">
        <v>1</v>
      </c>
      <c r="R17" s="68">
        <v>32.1</v>
      </c>
    </row>
    <row r="18" spans="1:18" x14ac:dyDescent="0.4">
      <c r="A18" s="18" t="s">
        <v>123</v>
      </c>
      <c r="B18" s="11">
        <f>B24</f>
        <v>71</v>
      </c>
      <c r="C18" s="5">
        <f>IF(B$16=0,0,B18/B$16)</f>
        <v>0.56349206349206349</v>
      </c>
      <c r="E18" s="27" t="s">
        <v>155</v>
      </c>
      <c r="F18" s="24" t="s">
        <v>156</v>
      </c>
      <c r="G18" s="12">
        <v>2</v>
      </c>
      <c r="H18" s="88">
        <f>IF(B$20=0,0,G18/B$20)</f>
        <v>9.8039215686274508E-3</v>
      </c>
      <c r="I18" s="58">
        <v>4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>IF(Q18=0,0,R18/Q18)</f>
        <v>23.666666666666668</v>
      </c>
      <c r="Q18" s="77">
        <v>18</v>
      </c>
      <c r="R18" s="68">
        <v>426</v>
      </c>
    </row>
    <row r="19" spans="1:18" x14ac:dyDescent="0.4">
      <c r="A19" s="18" t="s">
        <v>124</v>
      </c>
      <c r="B19" s="11">
        <f>B25</f>
        <v>70</v>
      </c>
      <c r="C19" s="5">
        <f>IF(B$17=0,0,B19/B$17)</f>
        <v>0.42682926829268292</v>
      </c>
      <c r="E19" s="27" t="s">
        <v>73</v>
      </c>
      <c r="F19" s="24" t="s">
        <v>28</v>
      </c>
      <c r="G19" s="12">
        <v>1</v>
      </c>
      <c r="H19" s="88">
        <f>IF(B$20=0,0,G19/B$20)</f>
        <v>4.9019607843137254E-3</v>
      </c>
      <c r="I19" s="58">
        <v>6</v>
      </c>
      <c r="K19" s="74">
        <v>17</v>
      </c>
      <c r="L19" s="119">
        <v>10.5</v>
      </c>
      <c r="M19" s="117">
        <v>1525.5663961851239</v>
      </c>
      <c r="O19" s="74" t="s">
        <v>221</v>
      </c>
      <c r="P19" s="83">
        <f>IF(Q19=0,0,R19/Q19)</f>
        <v>17</v>
      </c>
      <c r="Q19" s="77">
        <v>1</v>
      </c>
      <c r="R19" s="68">
        <v>17</v>
      </c>
    </row>
    <row r="20" spans="1:18" x14ac:dyDescent="0.4">
      <c r="A20" s="18" t="s">
        <v>10</v>
      </c>
      <c r="B20" s="11">
        <f>B23+B22</f>
        <v>204</v>
      </c>
      <c r="C20" s="5">
        <f>IF(B$3=0,0,B20/B$3)</f>
        <v>0.34517766497461927</v>
      </c>
      <c r="E20" s="27" t="s">
        <v>88</v>
      </c>
      <c r="F20" s="24" t="s">
        <v>43</v>
      </c>
      <c r="G20" s="12">
        <v>1</v>
      </c>
      <c r="H20" s="88">
        <f>IF(B$20=0,0,G20/B$20)</f>
        <v>4.9019607843137254E-3</v>
      </c>
      <c r="I20" s="58">
        <v>3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>IF(Q20=0,0,R20/Q20)</f>
        <v>14.495454545454544</v>
      </c>
      <c r="Q20" s="77">
        <v>22</v>
      </c>
      <c r="R20" s="68">
        <v>318.89999999999998</v>
      </c>
    </row>
    <row r="21" spans="1:18" x14ac:dyDescent="0.4">
      <c r="A21" s="19" t="s">
        <v>13</v>
      </c>
      <c r="B21" s="12">
        <v>73</v>
      </c>
      <c r="C21" s="6">
        <f>IF(B$3=0,0,B21/B$3)</f>
        <v>0.12351945854483926</v>
      </c>
      <c r="E21" s="27" t="s">
        <v>90</v>
      </c>
      <c r="F21" s="24" t="s">
        <v>45</v>
      </c>
      <c r="G21" s="12">
        <v>1</v>
      </c>
      <c r="H21" s="88">
        <f>IF(B$20=0,0,G21/B$20)</f>
        <v>4.9019607843137254E-3</v>
      </c>
      <c r="I21" s="58">
        <v>2</v>
      </c>
      <c r="K21" s="74">
        <v>19</v>
      </c>
      <c r="L21" s="119">
        <v>8.5000000000000036</v>
      </c>
      <c r="M21" s="117">
        <v>1526.4314438211652</v>
      </c>
      <c r="O21" s="74" t="s">
        <v>126</v>
      </c>
      <c r="P21" s="83">
        <f>IF(Q21=0,0,R21/Q21)</f>
        <v>4.4645161290322575</v>
      </c>
      <c r="Q21" s="77">
        <v>62</v>
      </c>
      <c r="R21" s="68">
        <v>276.79999999999995</v>
      </c>
    </row>
    <row r="22" spans="1:18" x14ac:dyDescent="0.4">
      <c r="A22" s="19" t="s">
        <v>12</v>
      </c>
      <c r="B22" s="12">
        <v>80</v>
      </c>
      <c r="C22" s="6">
        <f>IF(B$20=0,0,B22/B$20)</f>
        <v>0.39215686274509803</v>
      </c>
      <c r="E22" s="27" t="s">
        <v>92</v>
      </c>
      <c r="F22" s="24" t="s">
        <v>47</v>
      </c>
      <c r="G22" s="12">
        <v>1</v>
      </c>
      <c r="H22" s="88">
        <f>IF(B$20=0,0,G22/B$20)</f>
        <v>4.9019607843137254E-3</v>
      </c>
      <c r="I22" s="58">
        <v>2</v>
      </c>
      <c r="K22" s="74">
        <v>20</v>
      </c>
      <c r="L22" s="119">
        <v>36.800000000000004</v>
      </c>
      <c r="M22" s="117">
        <v>1531.9848551582381</v>
      </c>
      <c r="O22" s="74" t="s">
        <v>190</v>
      </c>
      <c r="P22" s="83">
        <f>IF(Q22=0,0,R22/Q22)</f>
        <v>-9.5071428571428562</v>
      </c>
      <c r="Q22" s="77">
        <v>14</v>
      </c>
      <c r="R22" s="68">
        <v>-133.1</v>
      </c>
    </row>
    <row r="23" spans="1:18" x14ac:dyDescent="0.4">
      <c r="A23" s="19" t="s">
        <v>11</v>
      </c>
      <c r="B23" s="12">
        <v>124</v>
      </c>
      <c r="C23" s="6">
        <f>IF(B$20=0,0,B23/B$20)</f>
        <v>0.60784313725490191</v>
      </c>
      <c r="E23" s="27" t="s">
        <v>102</v>
      </c>
      <c r="F23" s="24" t="s">
        <v>57</v>
      </c>
      <c r="G23" s="12">
        <v>1</v>
      </c>
      <c r="H23" s="88">
        <f>IF(B$20=0,0,G23/B$20)</f>
        <v>4.9019607843137254E-3</v>
      </c>
      <c r="I23" s="58">
        <v>1</v>
      </c>
      <c r="K23" s="74">
        <v>21</v>
      </c>
      <c r="L23" s="119">
        <v>66.2</v>
      </c>
      <c r="M23" s="117">
        <v>1537.7029460272888</v>
      </c>
      <c r="O23" s="74" t="s">
        <v>211</v>
      </c>
      <c r="P23" s="83">
        <f>IF(Q23=0,0,R23/Q23)</f>
        <v>-26.462500000000002</v>
      </c>
      <c r="Q23" s="77">
        <v>8</v>
      </c>
      <c r="R23" s="68">
        <v>-211.70000000000002</v>
      </c>
    </row>
    <row r="24" spans="1:18" x14ac:dyDescent="0.4">
      <c r="A24" s="19" t="s">
        <v>183</v>
      </c>
      <c r="B24" s="12">
        <v>71</v>
      </c>
      <c r="C24" s="6">
        <f>IF(B$20=0,0,B24/B$20)</f>
        <v>0.34803921568627449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70</v>
      </c>
      <c r="C25" s="6">
        <f>IF(B$20=0,0,B25/B$20)</f>
        <v>0.34313725490196079</v>
      </c>
      <c r="E25" s="27" t="s">
        <v>75</v>
      </c>
      <c r="F25" s="24" t="s">
        <v>30</v>
      </c>
      <c r="G25" s="12">
        <v>0</v>
      </c>
      <c r="H25" s="88">
        <f>IF(B$20=0,0,G25/B$20)</f>
        <v>0</v>
      </c>
      <c r="I25" s="58">
        <v>5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63</v>
      </c>
      <c r="C26" s="6">
        <f>IF(B$20=0,0,B26/B$20)</f>
        <v>0.30882352941176472</v>
      </c>
      <c r="E26" s="27" t="s">
        <v>76</v>
      </c>
      <c r="F26" s="24" t="s">
        <v>31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7693.1372549019607</v>
      </c>
      <c r="C27" s="8">
        <v>1569400</v>
      </c>
      <c r="E27" s="27" t="s">
        <v>77</v>
      </c>
      <c r="F27" s="24" t="s">
        <v>32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8611.194029850747</v>
      </c>
      <c r="C28" s="96">
        <v>1153900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5935.7142857142853</v>
      </c>
      <c r="C29" s="96">
        <v>415500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-8130.1369863013697</v>
      </c>
      <c r="C30" s="96">
        <v>-593500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85</v>
      </c>
      <c r="F31" s="24" t="s">
        <v>40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5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35">
        <v>7</v>
      </c>
      <c r="C33" s="136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7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37">
        <v>100700</v>
      </c>
      <c r="C34" s="138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1</v>
      </c>
      <c r="C35" s="9">
        <f>IF(B$3=0,0,B35/B$3)</f>
        <v>1.6920473773265651E-3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15</v>
      </c>
      <c r="C37" s="98">
        <f t="shared" ref="C37:C49" si="2">IF(B$20=0,0,B37/B$20)</f>
        <v>7.3529411764705885E-2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50</v>
      </c>
      <c r="C38" s="6">
        <f t="shared" si="2"/>
        <v>0.24509803921568626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43</v>
      </c>
      <c r="C39" s="6">
        <f t="shared" si="2"/>
        <v>0.2107843137254902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34</v>
      </c>
      <c r="C40" s="6">
        <f t="shared" si="2"/>
        <v>0.16666666666666666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28</v>
      </c>
      <c r="C41" s="6">
        <f t="shared" si="2"/>
        <v>0.13725490196078433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10</v>
      </c>
      <c r="C42" s="6">
        <f t="shared" si="2"/>
        <v>4.9019607843137254E-2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11</v>
      </c>
      <c r="C43" s="6">
        <f t="shared" si="2"/>
        <v>5.3921568627450983E-2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5</v>
      </c>
      <c r="C44" s="6">
        <f t="shared" si="2"/>
        <v>2.4509803921568627E-2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3</v>
      </c>
      <c r="C45" s="6">
        <f t="shared" si="2"/>
        <v>1.4705882352941176E-2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2</v>
      </c>
      <c r="C46" s="6">
        <f t="shared" si="2"/>
        <v>9.8039215686274508E-3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1</v>
      </c>
      <c r="C47" s="6">
        <f t="shared" si="2"/>
        <v>4.9019607843137254E-3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230.89999999999995</v>
      </c>
      <c r="M48" s="117">
        <v>1574.2297353699321</v>
      </c>
    </row>
    <row r="49" spans="1:13" x14ac:dyDescent="0.4">
      <c r="A49" s="21" t="s">
        <v>179</v>
      </c>
      <c r="B49" s="97">
        <v>2</v>
      </c>
      <c r="C49" s="9">
        <f t="shared" si="2"/>
        <v>9.8039215686274508E-3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222.99999999999994</v>
      </c>
      <c r="M49" s="117">
        <v>1573.3463569577125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261.89999999999992</v>
      </c>
      <c r="M50" s="117">
        <v>1580.3102788159663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248.19999999999993</v>
      </c>
      <c r="M51" s="117">
        <v>1578.1244171430706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231.29999999999993</v>
      </c>
      <c r="M52" s="117">
        <v>1575.3516706402122</v>
      </c>
    </row>
    <row r="53" spans="1:13" x14ac:dyDescent="0.4">
      <c r="K53" s="74">
        <v>51</v>
      </c>
      <c r="L53" s="119">
        <v>261.49999999999994</v>
      </c>
      <c r="M53" s="117">
        <v>1581.073560616371</v>
      </c>
    </row>
    <row r="54" spans="1:13" x14ac:dyDescent="0.4">
      <c r="K54" s="74">
        <v>52</v>
      </c>
      <c r="L54" s="119">
        <v>297.99999999999994</v>
      </c>
      <c r="M54" s="117">
        <v>1588.0331192526728</v>
      </c>
    </row>
    <row r="55" spans="1:13" x14ac:dyDescent="0.4">
      <c r="K55" s="74">
        <v>53</v>
      </c>
      <c r="L55" s="119">
        <v>300.39999999999992</v>
      </c>
      <c r="M55" s="117">
        <v>1588.8129205371567</v>
      </c>
    </row>
    <row r="56" spans="1:13" x14ac:dyDescent="0.4">
      <c r="K56" s="74">
        <v>54</v>
      </c>
      <c r="L56" s="119">
        <v>306.09999999999991</v>
      </c>
      <c r="M56" s="117">
        <v>1590.1820430139337</v>
      </c>
    </row>
    <row r="57" spans="1:13" x14ac:dyDescent="0.4">
      <c r="K57" s="74">
        <v>55</v>
      </c>
      <c r="L57" s="119">
        <v>307.09999999999991</v>
      </c>
      <c r="M57" s="117">
        <v>1590.6969507558501</v>
      </c>
    </row>
    <row r="58" spans="1:13" x14ac:dyDescent="0.4">
      <c r="K58" s="74">
        <v>56</v>
      </c>
      <c r="L58" s="119">
        <v>275.2999999999999</v>
      </c>
      <c r="M58" s="117">
        <v>1585.3047690513151</v>
      </c>
    </row>
    <row r="59" spans="1:13" x14ac:dyDescent="0.4">
      <c r="K59" s="74">
        <v>57</v>
      </c>
      <c r="L59" s="119">
        <v>302.19999999999987</v>
      </c>
      <c r="M59" s="117">
        <v>1590.0609404370073</v>
      </c>
    </row>
    <row r="60" spans="1:13" x14ac:dyDescent="0.4">
      <c r="K60" s="74">
        <v>58</v>
      </c>
      <c r="L60" s="119">
        <v>359.19999999999987</v>
      </c>
      <c r="M60" s="117">
        <v>1600.2065747943852</v>
      </c>
    </row>
    <row r="61" spans="1:13" x14ac:dyDescent="0.4">
      <c r="K61" s="74">
        <v>59</v>
      </c>
      <c r="L61" s="119">
        <v>367.49999999999989</v>
      </c>
      <c r="M61" s="117">
        <v>1601.5253353456189</v>
      </c>
    </row>
    <row r="62" spans="1:13" x14ac:dyDescent="0.4">
      <c r="K62" s="74">
        <v>60</v>
      </c>
      <c r="L62" s="119">
        <v>370.09999999999991</v>
      </c>
      <c r="M62" s="117">
        <v>1601.8101833335452</v>
      </c>
    </row>
    <row r="63" spans="1:13" x14ac:dyDescent="0.4">
      <c r="K63" s="74">
        <v>61</v>
      </c>
      <c r="L63" s="119">
        <v>326.19999999999993</v>
      </c>
      <c r="M63" s="117">
        <v>1593.723322233544</v>
      </c>
    </row>
    <row r="64" spans="1:13" x14ac:dyDescent="0.4">
      <c r="K64" s="74">
        <v>62</v>
      </c>
      <c r="L64" s="119">
        <v>401.89999999999992</v>
      </c>
      <c r="M64" s="117">
        <v>1607.2129823001428</v>
      </c>
    </row>
    <row r="65" spans="11:13" x14ac:dyDescent="0.4">
      <c r="K65" s="74">
        <v>63</v>
      </c>
      <c r="L65" s="119">
        <v>431.39999999999992</v>
      </c>
      <c r="M65" s="117">
        <v>1612.3057044063419</v>
      </c>
    </row>
    <row r="66" spans="11:13" x14ac:dyDescent="0.4">
      <c r="K66" s="74">
        <v>64</v>
      </c>
      <c r="L66" s="119">
        <v>414.99999999999994</v>
      </c>
      <c r="M66" s="117">
        <v>1609.1058701799038</v>
      </c>
    </row>
    <row r="67" spans="11:13" x14ac:dyDescent="0.4">
      <c r="K67" s="74">
        <v>65</v>
      </c>
      <c r="L67" s="119">
        <v>411.49999999999994</v>
      </c>
      <c r="M67" s="117">
        <v>1608.7572349588245</v>
      </c>
    </row>
    <row r="68" spans="11:13" x14ac:dyDescent="0.4">
      <c r="K68" s="74">
        <v>66</v>
      </c>
      <c r="L68" s="119">
        <v>444.59999999999997</v>
      </c>
      <c r="M68" s="117">
        <v>1614.9986915490715</v>
      </c>
    </row>
    <row r="69" spans="11:13" x14ac:dyDescent="0.4">
      <c r="K69" s="74">
        <v>67</v>
      </c>
      <c r="L69" s="119">
        <v>437.4</v>
      </c>
      <c r="M69" s="117">
        <v>1613.9486993997771</v>
      </c>
    </row>
    <row r="70" spans="11:13" x14ac:dyDescent="0.4">
      <c r="K70" s="74">
        <v>68</v>
      </c>
      <c r="L70" s="119">
        <v>410.7</v>
      </c>
      <c r="M70" s="117">
        <v>1609.2930072033785</v>
      </c>
    </row>
    <row r="71" spans="11:13" x14ac:dyDescent="0.4">
      <c r="K71" s="74">
        <v>69</v>
      </c>
      <c r="L71" s="119">
        <v>404.4</v>
      </c>
      <c r="M71" s="117">
        <v>1608.3312491601582</v>
      </c>
    </row>
    <row r="72" spans="11:13" x14ac:dyDescent="0.4">
      <c r="K72" s="74">
        <v>70</v>
      </c>
      <c r="L72" s="119">
        <v>392.9</v>
      </c>
      <c r="M72" s="117">
        <v>1606.4452616651972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19</v>
      </c>
      <c r="C2" s="142"/>
      <c r="E2" s="26" t="s">
        <v>66</v>
      </c>
      <c r="F2" s="23" t="s">
        <v>22</v>
      </c>
      <c r="G2" s="11">
        <v>21</v>
      </c>
      <c r="H2" s="87">
        <f>IF(B$20=0,0,G2/B$20)</f>
        <v>0.61764705882352944</v>
      </c>
      <c r="I2" s="57">
        <v>13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43">
        <v>144</v>
      </c>
      <c r="C3" s="144"/>
      <c r="E3" s="27" t="s">
        <v>72</v>
      </c>
      <c r="F3" s="24" t="s">
        <v>27</v>
      </c>
      <c r="G3" s="12">
        <v>17</v>
      </c>
      <c r="H3" s="88">
        <f>IF(B$20=0,0,G3/B$20)</f>
        <v>0.5</v>
      </c>
      <c r="I3" s="58">
        <v>10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45">
        <v>-108.30000000000001</v>
      </c>
      <c r="C4" s="146"/>
      <c r="E4" s="27" t="s">
        <v>64</v>
      </c>
      <c r="F4" s="24" t="s">
        <v>20</v>
      </c>
      <c r="G4" s="12">
        <v>15</v>
      </c>
      <c r="H4" s="88">
        <f>IF(B$20=0,0,G4/B$20)</f>
        <v>0.44117647058823528</v>
      </c>
      <c r="I4" s="58">
        <v>7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33">
        <f>IF(B$2=0,0,B$4/B$2)</f>
        <v>-5.7</v>
      </c>
      <c r="C5" s="134"/>
      <c r="E5" s="27" t="s">
        <v>159</v>
      </c>
      <c r="F5" s="24" t="s">
        <v>160</v>
      </c>
      <c r="G5" s="12">
        <v>14</v>
      </c>
      <c r="H5" s="88">
        <f>IF(B$20=0,0,G5/B$20)</f>
        <v>0.41176470588235292</v>
      </c>
      <c r="I5" s="58">
        <v>4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37">
        <v>1488.9447185272431</v>
      </c>
      <c r="C6" s="138"/>
      <c r="E6" s="27" t="s">
        <v>68</v>
      </c>
      <c r="F6" s="24" t="s">
        <v>12</v>
      </c>
      <c r="G6" s="12">
        <v>11</v>
      </c>
      <c r="H6" s="88">
        <f>IF(B$20=0,0,G6/B$20)</f>
        <v>0.3235294117647059</v>
      </c>
      <c r="I6" s="58">
        <v>6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47">
        <f>IF(B$2=0,0,(B$8*1+B$9*2+B$10*3)/B$2)</f>
        <v>2.1578947368421053</v>
      </c>
      <c r="C7" s="148"/>
      <c r="E7" s="27" t="s">
        <v>89</v>
      </c>
      <c r="F7" s="24" t="s">
        <v>44</v>
      </c>
      <c r="G7" s="12">
        <v>7</v>
      </c>
      <c r="H7" s="88">
        <f>IF(B$20=0,0,G7/B$20)</f>
        <v>0.20588235294117646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5</v>
      </c>
      <c r="C8" s="6">
        <f t="shared" ref="C8:C15" si="1">IF(B$2=0,0,B8/B$2)</f>
        <v>0.26315789473684209</v>
      </c>
      <c r="E8" s="27" t="s">
        <v>65</v>
      </c>
      <c r="F8" s="24" t="s">
        <v>21</v>
      </c>
      <c r="G8" s="12">
        <v>6</v>
      </c>
      <c r="H8" s="88">
        <f>IF(B$20=0,0,G8/B$20)</f>
        <v>0.17647058823529413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0.31578947368421051</v>
      </c>
      <c r="E9" s="27" t="s">
        <v>67</v>
      </c>
      <c r="F9" s="24" t="s">
        <v>23</v>
      </c>
      <c r="G9" s="12">
        <v>4</v>
      </c>
      <c r="H9" s="88">
        <f>IF(B$20=0,0,G9/B$20)</f>
        <v>0.11764705882352941</v>
      </c>
      <c r="I9" s="58">
        <v>12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0.42105263157894735</v>
      </c>
      <c r="E10" s="27" t="s">
        <v>70</v>
      </c>
      <c r="F10" s="24" t="s">
        <v>25</v>
      </c>
      <c r="G10" s="12">
        <v>4</v>
      </c>
      <c r="H10" s="88">
        <f>IF(B$20=0,0,G10/B$20)</f>
        <v>0.11764705882352941</v>
      </c>
      <c r="I10" s="58">
        <v>4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-1.414285714285713</v>
      </c>
      <c r="Q10" s="76">
        <v>7</v>
      </c>
      <c r="R10" s="67">
        <v>-9.8999999999999915</v>
      </c>
    </row>
    <row r="11" spans="1:18" x14ac:dyDescent="0.4">
      <c r="A11" s="20" t="s">
        <v>184</v>
      </c>
      <c r="B11" s="109">
        <f>IF(B8=0,0,C11/B8)</f>
        <v>45.5</v>
      </c>
      <c r="C11" s="110">
        <v>227.5</v>
      </c>
      <c r="E11" s="27" t="s">
        <v>71</v>
      </c>
      <c r="F11" s="24" t="s">
        <v>26</v>
      </c>
      <c r="G11" s="12">
        <v>3</v>
      </c>
      <c r="H11" s="88">
        <f>IF(B$20=0,0,G11/B$20)</f>
        <v>8.8235294117647065E-2</v>
      </c>
      <c r="I11" s="58">
        <v>4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86</v>
      </c>
      <c r="F12" s="24" t="s">
        <v>41</v>
      </c>
      <c r="G12" s="12">
        <v>3</v>
      </c>
      <c r="H12" s="88">
        <f>IF(B$20=0,0,G12/B$20)</f>
        <v>8.8235294117647065E-2</v>
      </c>
      <c r="I12" s="58">
        <v>2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69</v>
      </c>
      <c r="F13" s="24" t="s">
        <v>24</v>
      </c>
      <c r="G13" s="12">
        <v>2</v>
      </c>
      <c r="H13" s="88">
        <f>IF(B$20=0,0,G13/B$20)</f>
        <v>5.8823529411764705E-2</v>
      </c>
      <c r="I13" s="58">
        <v>10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0.89583333333333337</v>
      </c>
      <c r="C14" s="134"/>
      <c r="E14" s="27" t="s">
        <v>77</v>
      </c>
      <c r="F14" s="24" t="s">
        <v>32</v>
      </c>
      <c r="G14" s="12">
        <v>2</v>
      </c>
      <c r="H14" s="88">
        <f>IF(B$20=0,0,G14/B$20)</f>
        <v>5.8823529411764705E-2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0.10526315789473684</v>
      </c>
      <c r="E15" s="27" t="s">
        <v>81</v>
      </c>
      <c r="F15" s="24" t="s">
        <v>36</v>
      </c>
      <c r="G15" s="12">
        <v>2</v>
      </c>
      <c r="H15" s="88">
        <f>IF(B$20=0,0,G15/B$20)</f>
        <v>5.8823529411764705E-2</v>
      </c>
      <c r="I15" s="58">
        <v>4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34</v>
      </c>
      <c r="C16" s="10">
        <f>IF(B$3=0,0,B16/B$3)</f>
        <v>0.2361111111111111</v>
      </c>
      <c r="E16" s="27" t="s">
        <v>85</v>
      </c>
      <c r="F16" s="24" t="s">
        <v>40</v>
      </c>
      <c r="G16" s="12">
        <v>1</v>
      </c>
      <c r="H16" s="88">
        <f>IF(B$20=0,0,G16/B$20)</f>
        <v>2.9411764705882353E-2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0.10909090909090935</v>
      </c>
      <c r="Q16" s="77">
        <v>11</v>
      </c>
      <c r="R16" s="68">
        <v>1.2000000000000028</v>
      </c>
    </row>
    <row r="17" spans="1:18" x14ac:dyDescent="0.4">
      <c r="A17" s="19" t="s">
        <v>118</v>
      </c>
      <c r="B17" s="12">
        <v>25</v>
      </c>
      <c r="C17" s="6">
        <f>IF(B$3=0,0,B17/B$3)</f>
        <v>0.1736111111111111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7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-8.4214285714285744</v>
      </c>
      <c r="Q17" s="77">
        <v>14</v>
      </c>
      <c r="R17" s="68">
        <v>-117.90000000000003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0.47058823529411764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8</v>
      </c>
      <c r="C19" s="5">
        <f>IF(B$17=0,0,B19/B$17)</f>
        <v>0.32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34</v>
      </c>
      <c r="C20" s="5">
        <f>IF(B$3=0,0,B20/B$3)</f>
        <v>0.2361111111111111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0.2013888888888889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11</v>
      </c>
      <c r="K21" s="74">
        <v>19</v>
      </c>
      <c r="L21" s="119">
        <v>-108.30000000000001</v>
      </c>
      <c r="M21" s="117">
        <v>1488.9447185272431</v>
      </c>
    </row>
    <row r="22" spans="1:18" x14ac:dyDescent="0.4">
      <c r="A22" s="19" t="s">
        <v>12</v>
      </c>
      <c r="B22" s="12">
        <v>16</v>
      </c>
      <c r="C22" s="6">
        <f>IF(B$20=0,0,B22/B$20)</f>
        <v>0.47058823529411764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8</v>
      </c>
    </row>
    <row r="23" spans="1:18" x14ac:dyDescent="0.4">
      <c r="A23" s="19" t="s">
        <v>11</v>
      </c>
      <c r="B23" s="12">
        <v>18</v>
      </c>
      <c r="C23" s="6">
        <f>IF(B$20=0,0,B23/B$20)</f>
        <v>0.52941176470588236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16</v>
      </c>
      <c r="C24" s="6">
        <f>IF(B$20=0,0,B24/B$20)</f>
        <v>0.47058823529411764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8</v>
      </c>
      <c r="C25" s="6">
        <f>IF(B$20=0,0,B25/B$20)</f>
        <v>0.23529411764705882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11</v>
      </c>
    </row>
    <row r="26" spans="1:18" x14ac:dyDescent="0.4">
      <c r="A26" s="19" t="s">
        <v>182</v>
      </c>
      <c r="B26" s="12">
        <v>10</v>
      </c>
      <c r="C26" s="6">
        <f>IF(B$20=0,0,B26/B$20)</f>
        <v>0.29411764705882354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7926.4705882352937</v>
      </c>
      <c r="C27" s="8">
        <v>269500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3</v>
      </c>
    </row>
    <row r="28" spans="1:18" x14ac:dyDescent="0.4">
      <c r="A28" s="20" t="s">
        <v>165</v>
      </c>
      <c r="B28" s="95">
        <f>IF($B$20-B$19=0,0,C28/($B$20-B$19))</f>
        <v>8815.3846153846152</v>
      </c>
      <c r="C28" s="96">
        <v>229200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5037.5</v>
      </c>
      <c r="C29" s="96">
        <v>40300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4</v>
      </c>
      <c r="C31" s="90">
        <v>4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17</v>
      </c>
      <c r="C32" s="90">
        <v>8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97000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0.17647058823529413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0.17647058823529413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2</v>
      </c>
      <c r="C39" s="6">
        <f t="shared" si="3"/>
        <v>5.8823529411764705E-2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7</v>
      </c>
      <c r="C40" s="6">
        <f t="shared" si="3"/>
        <v>0.20588235294117646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6</v>
      </c>
      <c r="C41" s="6">
        <f t="shared" si="3"/>
        <v>0.17647058823529413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8.8235294117647065E-2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5.8823529411764705E-2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</v>
      </c>
      <c r="C2" s="142"/>
      <c r="E2" s="26" t="s">
        <v>72</v>
      </c>
      <c r="F2" s="23" t="s">
        <v>27</v>
      </c>
      <c r="G2" s="11">
        <v>9</v>
      </c>
      <c r="H2" s="87">
        <f>IF(B$20=0,0,G2/B$20)</f>
        <v>0.75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-7866.666666666667</v>
      </c>
      <c r="Q2" s="76">
        <v>6</v>
      </c>
      <c r="R2" s="63">
        <v>-47200</v>
      </c>
    </row>
    <row r="3" spans="1:18" x14ac:dyDescent="0.4">
      <c r="A3" s="19" t="s">
        <v>8</v>
      </c>
      <c r="B3" s="143">
        <v>54</v>
      </c>
      <c r="C3" s="144"/>
      <c r="E3" s="27" t="s">
        <v>66</v>
      </c>
      <c r="F3" s="24" t="s">
        <v>22</v>
      </c>
      <c r="G3" s="12">
        <v>8</v>
      </c>
      <c r="H3" s="88">
        <f>IF(B$20=0,0,G3/B$20)</f>
        <v>0.66666666666666663</v>
      </c>
      <c r="I3" s="58">
        <v>10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-500</v>
      </c>
      <c r="Q3" s="77">
        <v>6</v>
      </c>
      <c r="R3" s="64">
        <v>-3000</v>
      </c>
    </row>
    <row r="4" spans="1:18" x14ac:dyDescent="0.4">
      <c r="A4" s="19" t="s">
        <v>6</v>
      </c>
      <c r="B4" s="145">
        <v>-78.199999999999989</v>
      </c>
      <c r="C4" s="146"/>
      <c r="E4" s="27" t="s">
        <v>159</v>
      </c>
      <c r="F4" s="24" t="s">
        <v>160</v>
      </c>
      <c r="G4" s="12">
        <v>6</v>
      </c>
      <c r="H4" s="88">
        <f>IF(B$20=0,0,G4/B$20)</f>
        <v>0.5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7083.333333333333</v>
      </c>
      <c r="Q4" s="77">
        <v>6</v>
      </c>
      <c r="R4" s="64">
        <v>42500</v>
      </c>
    </row>
    <row r="5" spans="1:18" x14ac:dyDescent="0.4">
      <c r="A5" s="19" t="s">
        <v>7</v>
      </c>
      <c r="B5" s="133">
        <f>IF(B$2=0,0,B$4/B$2)</f>
        <v>-13.033333333333331</v>
      </c>
      <c r="C5" s="134"/>
      <c r="E5" s="27" t="s">
        <v>89</v>
      </c>
      <c r="F5" s="24" t="s">
        <v>44</v>
      </c>
      <c r="G5" s="12">
        <v>4</v>
      </c>
      <c r="H5" s="88">
        <f>IF(B$20=0,0,G5/B$20)</f>
        <v>0.33333333333333331</v>
      </c>
      <c r="I5" s="58">
        <v>1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-1360</v>
      </c>
      <c r="Q5" s="77">
        <v>5</v>
      </c>
      <c r="R5" s="64">
        <v>-6800</v>
      </c>
    </row>
    <row r="6" spans="1:18" x14ac:dyDescent="0.4">
      <c r="A6" s="19" t="s">
        <v>196</v>
      </c>
      <c r="B6" s="137">
        <v>1340.228259602879</v>
      </c>
      <c r="C6" s="138"/>
      <c r="E6" s="27" t="s">
        <v>64</v>
      </c>
      <c r="F6" s="24" t="s">
        <v>20</v>
      </c>
      <c r="G6" s="12">
        <v>3</v>
      </c>
      <c r="H6" s="88">
        <f>IF(B$20=0,0,G6/B$20)</f>
        <v>0.25</v>
      </c>
      <c r="I6" s="58">
        <v>12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5</v>
      </c>
      <c r="R6" s="64">
        <v>-20000</v>
      </c>
    </row>
    <row r="7" spans="1:18" x14ac:dyDescent="0.4">
      <c r="A7" s="19" t="s">
        <v>1</v>
      </c>
      <c r="B7" s="147">
        <f>IF(B$2=0,0,(B$8*1+B$9*2+B$10*3)/B$2)</f>
        <v>2.3333333333333335</v>
      </c>
      <c r="C7" s="148"/>
      <c r="E7" s="27" t="s">
        <v>68</v>
      </c>
      <c r="F7" s="24" t="s">
        <v>12</v>
      </c>
      <c r="G7" s="12">
        <v>3</v>
      </c>
      <c r="H7" s="88">
        <f>IF(B$20=0,0,G7/B$20)</f>
        <v>0.25</v>
      </c>
      <c r="I7" s="58">
        <v>11</v>
      </c>
      <c r="K7" s="74">
        <v>5</v>
      </c>
      <c r="L7" s="119">
        <v>-51.099999999999994</v>
      </c>
      <c r="M7" s="117">
        <v>1344.1652511095363</v>
      </c>
      <c r="O7" s="75" t="s">
        <v>133</v>
      </c>
      <c r="P7" s="81">
        <f t="shared" si="0"/>
        <v>-4740</v>
      </c>
      <c r="Q7" s="78">
        <v>5</v>
      </c>
      <c r="R7" s="65">
        <v>-23700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71</v>
      </c>
      <c r="F8" s="24" t="s">
        <v>26</v>
      </c>
      <c r="G8" s="12">
        <v>2</v>
      </c>
      <c r="H8" s="88">
        <f>IF(B$20=0,0,G8/B$20)</f>
        <v>0.16666666666666666</v>
      </c>
      <c r="I8" s="58">
        <v>1</v>
      </c>
      <c r="K8" s="74">
        <v>6</v>
      </c>
      <c r="L8" s="119">
        <v>-78.199999999999989</v>
      </c>
      <c r="M8" s="117">
        <v>1340.228259602879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65</v>
      </c>
      <c r="F9" s="24" t="s">
        <v>21</v>
      </c>
      <c r="G9" s="12">
        <v>1</v>
      </c>
      <c r="H9" s="88">
        <f>IF(B$20=0,0,G9/B$20)</f>
        <v>8.3333333333333329E-2</v>
      </c>
      <c r="I9" s="58">
        <v>8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8.3333333333333329E-2</v>
      </c>
      <c r="I10" s="58">
        <v>3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83</v>
      </c>
      <c r="F11" s="24" t="s">
        <v>38</v>
      </c>
      <c r="G11" s="12">
        <v>1</v>
      </c>
      <c r="H11" s="88">
        <f>IF(B$20=0,0,G11/B$20)</f>
        <v>8.3333333333333329E-2</v>
      </c>
      <c r="I11" s="58">
        <v>3</v>
      </c>
      <c r="O11" s="74" t="s">
        <v>152</v>
      </c>
      <c r="P11" s="83">
        <f>IF(Q11=0,0,R11/Q11)</f>
        <v>10.3</v>
      </c>
      <c r="Q11" s="77">
        <v>2</v>
      </c>
      <c r="R11" s="68">
        <v>20.6</v>
      </c>
    </row>
    <row r="12" spans="1:18" x14ac:dyDescent="0.4">
      <c r="A12" s="20" t="s">
        <v>185</v>
      </c>
      <c r="B12" s="109">
        <f>IF(B9=0,0,C12/B9)</f>
        <v>1.85</v>
      </c>
      <c r="C12" s="110">
        <v>3.7</v>
      </c>
      <c r="E12" s="27" t="s">
        <v>67</v>
      </c>
      <c r="F12" s="24" t="s">
        <v>23</v>
      </c>
      <c r="G12" s="12">
        <v>0</v>
      </c>
      <c r="H12" s="88">
        <f>IF(B$20=0,0,G12/B$20)</f>
        <v>0</v>
      </c>
      <c r="I12" s="58">
        <v>13</v>
      </c>
      <c r="O12" s="75" t="s">
        <v>153</v>
      </c>
      <c r="P12" s="84">
        <f>IF(Q12=0,0,R12/Q12)</f>
        <v>-24.699999999999996</v>
      </c>
      <c r="Q12" s="78">
        <v>4</v>
      </c>
      <c r="R12" s="69">
        <v>-98.799999999999983</v>
      </c>
    </row>
    <row r="13" spans="1:18" x14ac:dyDescent="0.4">
      <c r="A13" s="20" t="s">
        <v>186</v>
      </c>
      <c r="B13" s="109">
        <f>IF(B10=0,0,C13/B10)</f>
        <v>-33.966666666666669</v>
      </c>
      <c r="C13" s="110">
        <v>-101.9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-4.0388888888888888</v>
      </c>
      <c r="C14" s="134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10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7</v>
      </c>
      <c r="O15" s="73" t="s">
        <v>211</v>
      </c>
      <c r="P15" s="82">
        <f>IF(Q15=0,0,R15/Q15)</f>
        <v>-7.125</v>
      </c>
      <c r="Q15" s="76">
        <v>4</v>
      </c>
      <c r="R15" s="67">
        <v>-28.5</v>
      </c>
    </row>
    <row r="16" spans="1:18" x14ac:dyDescent="0.4">
      <c r="A16" s="22" t="s">
        <v>121</v>
      </c>
      <c r="B16" s="15">
        <v>9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-18.3</v>
      </c>
      <c r="Q16" s="77">
        <v>2</v>
      </c>
      <c r="R16" s="68">
        <v>-36.6</v>
      </c>
    </row>
    <row r="17" spans="1:18" x14ac:dyDescent="0.4">
      <c r="A17" s="19" t="s">
        <v>118</v>
      </c>
      <c r="B17" s="12">
        <v>12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216</v>
      </c>
      <c r="P17" s="83">
        <f>IF(Q17=0,0,R17/Q17)</f>
        <v>-27.925000000000004</v>
      </c>
      <c r="Q17" s="77">
        <v>4</v>
      </c>
      <c r="R17" s="68">
        <v>-111.70000000000002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-28.9</v>
      </c>
      <c r="Q18" s="77">
        <v>2</v>
      </c>
      <c r="R18" s="68">
        <v>-57.8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18" x14ac:dyDescent="0.4">
      <c r="A20" s="18" t="s">
        <v>10</v>
      </c>
      <c r="B20" s="11">
        <f>B23+B22</f>
        <v>12</v>
      </c>
      <c r="C20" s="5">
        <f>IF(B$3=0,0,B20/B$3)</f>
        <v>0.22222222222222221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11</v>
      </c>
    </row>
    <row r="21" spans="1:18" x14ac:dyDescent="0.4">
      <c r="A21" s="19" t="s">
        <v>13</v>
      </c>
      <c r="B21" s="12">
        <v>12</v>
      </c>
      <c r="C21" s="6">
        <f>IF(B$3=0,0,B21/B$3)</f>
        <v>0.22222222222222221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8</v>
      </c>
    </row>
    <row r="22" spans="1:18" x14ac:dyDescent="0.4">
      <c r="A22" s="19" t="s">
        <v>12</v>
      </c>
      <c r="B22" s="12">
        <v>3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9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0.16666666666666666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0.41666666666666669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5</v>
      </c>
      <c r="C26" s="6">
        <f>IF(B$20=0,0,B26/B$20)</f>
        <v>0.41666666666666669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10</v>
      </c>
    </row>
    <row r="27" spans="1:18" x14ac:dyDescent="0.4">
      <c r="A27" s="19" t="s">
        <v>5</v>
      </c>
      <c r="B27" s="16">
        <f>IF(B$20=0,0,C27/B$20)</f>
        <v>7866.666666666667</v>
      </c>
      <c r="C27" s="8">
        <v>94400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3</v>
      </c>
    </row>
    <row r="28" spans="1:18" x14ac:dyDescent="0.4">
      <c r="A28" s="20" t="s">
        <v>165</v>
      </c>
      <c r="B28" s="95">
        <f>IF($B$20-B$19=0,0,C28/($B$20-B$19))</f>
        <v>7414.2857142857147</v>
      </c>
      <c r="C28" s="96">
        <v>51900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8500</v>
      </c>
      <c r="C29" s="96">
        <v>42500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-8875</v>
      </c>
      <c r="C30" s="96">
        <v>-106500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8.3333333333333329E-2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195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28</v>
      </c>
      <c r="C2" s="142"/>
      <c r="E2" s="26" t="s">
        <v>66</v>
      </c>
      <c r="F2" s="23" t="s">
        <v>22</v>
      </c>
      <c r="G2" s="11">
        <v>48</v>
      </c>
      <c r="H2" s="87">
        <f>IF(B$20=0,0,G2/B$20)</f>
        <v>0.8571428571428571</v>
      </c>
      <c r="I2" s="57">
        <v>4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-925</v>
      </c>
      <c r="Q2" s="76">
        <v>28</v>
      </c>
      <c r="R2" s="63">
        <v>-25900</v>
      </c>
    </row>
    <row r="3" spans="1:18" x14ac:dyDescent="0.4">
      <c r="A3" s="19" t="s">
        <v>8</v>
      </c>
      <c r="B3" s="143">
        <v>245</v>
      </c>
      <c r="C3" s="144"/>
      <c r="E3" s="27" t="s">
        <v>64</v>
      </c>
      <c r="F3" s="24" t="s">
        <v>20</v>
      </c>
      <c r="G3" s="12">
        <v>34</v>
      </c>
      <c r="H3" s="88">
        <f>IF(B$20=0,0,G3/B$20)</f>
        <v>0.6071428571428571</v>
      </c>
      <c r="I3" s="58">
        <v>2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1073.0769230769231</v>
      </c>
      <c r="Q3" s="77">
        <v>26</v>
      </c>
      <c r="R3" s="64">
        <v>27900</v>
      </c>
    </row>
    <row r="4" spans="1:18" x14ac:dyDescent="0.4">
      <c r="A4" s="19" t="s">
        <v>6</v>
      </c>
      <c r="B4" s="145">
        <v>-241.89999999999995</v>
      </c>
      <c r="C4" s="146"/>
      <c r="E4" s="27" t="s">
        <v>68</v>
      </c>
      <c r="F4" s="24" t="s">
        <v>12</v>
      </c>
      <c r="G4" s="12">
        <v>28</v>
      </c>
      <c r="H4" s="88">
        <f>IF(B$20=0,0,G4/B$20)</f>
        <v>0.5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-1900</v>
      </c>
      <c r="Q4" s="77">
        <v>27</v>
      </c>
      <c r="R4" s="64">
        <v>-51300</v>
      </c>
    </row>
    <row r="5" spans="1:18" x14ac:dyDescent="0.4">
      <c r="A5" s="19" t="s">
        <v>7</v>
      </c>
      <c r="B5" s="133">
        <f>IF(B$2=0,0,B$4/B$2)</f>
        <v>-8.6392857142857125</v>
      </c>
      <c r="C5" s="134"/>
      <c r="E5" s="27" t="s">
        <v>159</v>
      </c>
      <c r="F5" s="24" t="s">
        <v>160</v>
      </c>
      <c r="G5" s="12">
        <v>28</v>
      </c>
      <c r="H5" s="88">
        <f>IF(B$20=0,0,G5/B$20)</f>
        <v>0.5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-1257.6923076923076</v>
      </c>
      <c r="Q5" s="77">
        <v>26</v>
      </c>
      <c r="R5" s="64">
        <v>-32700</v>
      </c>
    </row>
    <row r="6" spans="1:18" x14ac:dyDescent="0.4">
      <c r="A6" s="19" t="s">
        <v>196</v>
      </c>
      <c r="B6" s="137">
        <v>1377.1480089618358</v>
      </c>
      <c r="C6" s="138"/>
      <c r="E6" s="27" t="s">
        <v>72</v>
      </c>
      <c r="F6" s="24" t="s">
        <v>27</v>
      </c>
      <c r="G6" s="12">
        <v>22</v>
      </c>
      <c r="H6" s="88">
        <f>IF(B$20=0,0,G6/B$20)</f>
        <v>0.39285714285714285</v>
      </c>
      <c r="I6" s="58">
        <v>12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-2520</v>
      </c>
      <c r="Q6" s="77">
        <v>25</v>
      </c>
      <c r="R6" s="64">
        <v>-63000</v>
      </c>
    </row>
    <row r="7" spans="1:18" x14ac:dyDescent="0.4">
      <c r="A7" s="19" t="s">
        <v>1</v>
      </c>
      <c r="B7" s="147">
        <f>IF(B$2=0,0,(B$8*1+B$9*2+B$10*3)/B$2)</f>
        <v>2.0714285714285716</v>
      </c>
      <c r="C7" s="148"/>
      <c r="E7" s="27" t="s">
        <v>67</v>
      </c>
      <c r="F7" s="24" t="s">
        <v>23</v>
      </c>
      <c r="G7" s="12">
        <v>21</v>
      </c>
      <c r="H7" s="88">
        <f>IF(B$20=0,0,G7/B$20)</f>
        <v>0.375</v>
      </c>
      <c r="I7" s="58">
        <v>2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-1127.2727272727273</v>
      </c>
      <c r="Q7" s="78">
        <v>22</v>
      </c>
      <c r="R7" s="65">
        <v>-24800</v>
      </c>
    </row>
    <row r="8" spans="1:18" x14ac:dyDescent="0.4">
      <c r="A8" s="19" t="s">
        <v>2</v>
      </c>
      <c r="B8" s="12">
        <v>9</v>
      </c>
      <c r="C8" s="6">
        <f t="shared" ref="C8:C15" si="1">IF(B$2=0,0,B8/B$2)</f>
        <v>0.32142857142857145</v>
      </c>
      <c r="E8" s="27" t="s">
        <v>69</v>
      </c>
      <c r="F8" s="24" t="s">
        <v>24</v>
      </c>
      <c r="G8" s="12">
        <v>13</v>
      </c>
      <c r="H8" s="88">
        <f>IF(B$20=0,0,G8/B$20)</f>
        <v>0.23214285714285715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8</v>
      </c>
      <c r="C9" s="6">
        <f t="shared" si="1"/>
        <v>0.2857142857142857</v>
      </c>
      <c r="E9" s="27" t="s">
        <v>65</v>
      </c>
      <c r="F9" s="24" t="s">
        <v>21</v>
      </c>
      <c r="G9" s="12">
        <v>8</v>
      </c>
      <c r="H9" s="88">
        <f>IF(B$20=0,0,G9/B$20)</f>
        <v>0.14285714285714285</v>
      </c>
      <c r="I9" s="58">
        <v>4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11</v>
      </c>
      <c r="C10" s="7">
        <f t="shared" si="1"/>
        <v>0.39285714285714285</v>
      </c>
      <c r="E10" s="27" t="s">
        <v>70</v>
      </c>
      <c r="F10" s="24" t="s">
        <v>25</v>
      </c>
      <c r="G10" s="12">
        <v>8</v>
      </c>
      <c r="H10" s="88">
        <f>IF(B$20=0,0,G10/B$20)</f>
        <v>0.14285714285714285</v>
      </c>
      <c r="I10" s="58">
        <v>1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-15.342857142857143</v>
      </c>
      <c r="Q10" s="76">
        <v>7</v>
      </c>
      <c r="R10" s="67">
        <v>-107.4</v>
      </c>
    </row>
    <row r="11" spans="1:18" x14ac:dyDescent="0.4">
      <c r="A11" s="20" t="s">
        <v>184</v>
      </c>
      <c r="B11" s="109">
        <f>IF(B8=0,0,C11/B8)</f>
        <v>24.144444444444442</v>
      </c>
      <c r="C11" s="110">
        <v>217.29999999999998</v>
      </c>
      <c r="E11" s="27" t="s">
        <v>89</v>
      </c>
      <c r="F11" s="24" t="s">
        <v>44</v>
      </c>
      <c r="G11" s="12">
        <v>5</v>
      </c>
      <c r="H11" s="88">
        <f>IF(B$20=0,0,G11/B$20)</f>
        <v>8.9285714285714288E-2</v>
      </c>
      <c r="I11" s="58">
        <v>11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-7.580000000000001</v>
      </c>
      <c r="Q11" s="77">
        <v>10</v>
      </c>
      <c r="R11" s="68">
        <v>-75.800000000000011</v>
      </c>
    </row>
    <row r="12" spans="1:18" x14ac:dyDescent="0.4">
      <c r="A12" s="20" t="s">
        <v>185</v>
      </c>
      <c r="B12" s="109">
        <f>IF(B9=0,0,C12/B9)</f>
        <v>-1.8125</v>
      </c>
      <c r="C12" s="110">
        <v>-14.5</v>
      </c>
      <c r="E12" s="27" t="s">
        <v>78</v>
      </c>
      <c r="F12" s="24" t="s">
        <v>33</v>
      </c>
      <c r="G12" s="12">
        <v>3</v>
      </c>
      <c r="H12" s="88">
        <f>IF(B$20=0,0,G12/B$20)</f>
        <v>5.3571428571428568E-2</v>
      </c>
      <c r="I12" s="58">
        <v>3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-5.336363636363636</v>
      </c>
      <c r="Q12" s="78">
        <v>11</v>
      </c>
      <c r="R12" s="69">
        <v>-58.699999999999996</v>
      </c>
    </row>
    <row r="13" spans="1:18" x14ac:dyDescent="0.4">
      <c r="A13" s="20" t="s">
        <v>186</v>
      </c>
      <c r="B13" s="109">
        <f>IF(B10=0,0,C13/B10)</f>
        <v>-40.427272727272729</v>
      </c>
      <c r="C13" s="110">
        <v>-444.70000000000005</v>
      </c>
      <c r="E13" s="27" t="s">
        <v>86</v>
      </c>
      <c r="F13" s="24" t="s">
        <v>41</v>
      </c>
      <c r="G13" s="12">
        <v>3</v>
      </c>
      <c r="H13" s="88">
        <f>IF(B$20=0,0,G13/B$20)</f>
        <v>5.3571428571428568E-2</v>
      </c>
      <c r="I13" s="58">
        <v>7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-6.0317760942760961</v>
      </c>
      <c r="C14" s="134"/>
      <c r="E14" s="27" t="s">
        <v>71</v>
      </c>
      <c r="F14" s="24" t="s">
        <v>26</v>
      </c>
      <c r="G14" s="12">
        <v>2</v>
      </c>
      <c r="H14" s="88">
        <f>IF(B$20=0,0,G14/B$20)</f>
        <v>3.5714285714285712E-2</v>
      </c>
      <c r="I14" s="58">
        <v>10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5</v>
      </c>
      <c r="C15" s="9">
        <f t="shared" si="1"/>
        <v>0.17857142857142858</v>
      </c>
      <c r="E15" s="27" t="s">
        <v>73</v>
      </c>
      <c r="F15" s="24" t="s">
        <v>28</v>
      </c>
      <c r="G15" s="12">
        <v>1</v>
      </c>
      <c r="H15" s="88">
        <f>IF(B$20=0,0,G15/B$20)</f>
        <v>1.7857142857142856E-2</v>
      </c>
      <c r="I15" s="58">
        <v>1</v>
      </c>
      <c r="K15" s="74">
        <v>13</v>
      </c>
      <c r="L15" s="119">
        <v>-75.599999999999994</v>
      </c>
      <c r="M15" s="117">
        <v>1390.8671400806311</v>
      </c>
      <c r="O15" s="73" t="s">
        <v>201</v>
      </c>
      <c r="P15" s="82">
        <f t="shared" ref="P15:P22" si="2">IF(Q15=0,0,R15/Q15)</f>
        <v>49.249999999999993</v>
      </c>
      <c r="Q15" s="76">
        <v>2</v>
      </c>
      <c r="R15" s="67">
        <v>98.499999999999986</v>
      </c>
    </row>
    <row r="16" spans="1:18" x14ac:dyDescent="0.4">
      <c r="A16" s="22" t="s">
        <v>121</v>
      </c>
      <c r="B16" s="15">
        <v>57</v>
      </c>
      <c r="C16" s="10">
        <f>IF(B$3=0,0,B16/B$3)</f>
        <v>0.23265306122448978</v>
      </c>
      <c r="E16" s="27" t="s">
        <v>75</v>
      </c>
      <c r="F16" s="24" t="s">
        <v>30</v>
      </c>
      <c r="G16" s="12">
        <v>1</v>
      </c>
      <c r="H16" s="88">
        <f>IF(B$20=0,0,G16/B$20)</f>
        <v>1.7857142857142856E-2</v>
      </c>
      <c r="I16" s="58">
        <v>1</v>
      </c>
      <c r="K16" s="74">
        <v>14</v>
      </c>
      <c r="L16" s="119">
        <v>-72.599999999999994</v>
      </c>
      <c r="M16" s="117">
        <v>1392.4879372401474</v>
      </c>
      <c r="O16" s="74" t="s">
        <v>221</v>
      </c>
      <c r="P16" s="83">
        <f t="shared" si="2"/>
        <v>3.6500000000000004</v>
      </c>
      <c r="Q16" s="77">
        <v>2</v>
      </c>
      <c r="R16" s="68">
        <v>7.3000000000000007</v>
      </c>
    </row>
    <row r="17" spans="1:18" x14ac:dyDescent="0.4">
      <c r="A17" s="19" t="s">
        <v>118</v>
      </c>
      <c r="B17" s="12">
        <v>28</v>
      </c>
      <c r="C17" s="6">
        <f>IF(B$3=0,0,B17/B$3)</f>
        <v>0.11428571428571428</v>
      </c>
      <c r="E17" s="27" t="s">
        <v>81</v>
      </c>
      <c r="F17" s="24" t="s">
        <v>36</v>
      </c>
      <c r="G17" s="12">
        <v>1</v>
      </c>
      <c r="H17" s="88">
        <f>IF(B$20=0,0,G17/B$20)</f>
        <v>1.7857142857142856E-2</v>
      </c>
      <c r="I17" s="58">
        <v>12</v>
      </c>
      <c r="K17" s="74">
        <v>15</v>
      </c>
      <c r="L17" s="119">
        <v>-123.19999999999999</v>
      </c>
      <c r="M17" s="117">
        <v>1384.5710096167065</v>
      </c>
      <c r="O17" s="74" t="s">
        <v>211</v>
      </c>
      <c r="P17" s="83">
        <f t="shared" si="2"/>
        <v>3.0750000000000011</v>
      </c>
      <c r="Q17" s="77">
        <v>4</v>
      </c>
      <c r="R17" s="68">
        <v>12.300000000000004</v>
      </c>
    </row>
    <row r="18" spans="1:18" x14ac:dyDescent="0.4">
      <c r="A18" s="18" t="s">
        <v>123</v>
      </c>
      <c r="B18" s="11">
        <f>B24</f>
        <v>34</v>
      </c>
      <c r="C18" s="5">
        <f>IF(B$16=0,0,B18/B$16)</f>
        <v>0.59649122807017541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-121.1</v>
      </c>
      <c r="M18" s="117">
        <v>1386.1875835590063</v>
      </c>
      <c r="O18" s="74" t="s">
        <v>163</v>
      </c>
      <c r="P18" s="83">
        <f t="shared" si="2"/>
        <v>0.22000000000000314</v>
      </c>
      <c r="Q18" s="77">
        <v>5</v>
      </c>
      <c r="R18" s="68">
        <v>1.1000000000000156</v>
      </c>
    </row>
    <row r="19" spans="1:18" x14ac:dyDescent="0.4">
      <c r="A19" s="18" t="s">
        <v>124</v>
      </c>
      <c r="B19" s="11">
        <f>B25</f>
        <v>7</v>
      </c>
      <c r="C19" s="5">
        <f>IF(B$17=0,0,B19/B$17)</f>
        <v>0.25</v>
      </c>
      <c r="E19" s="27" t="s">
        <v>76</v>
      </c>
      <c r="F19" s="24" t="s">
        <v>31</v>
      </c>
      <c r="G19" s="12">
        <v>0</v>
      </c>
      <c r="H19" s="88">
        <f>IF(B$20=0,0,G19/B$20)</f>
        <v>0</v>
      </c>
      <c r="I19" s="58">
        <v>1</v>
      </c>
      <c r="K19" s="74">
        <v>17</v>
      </c>
      <c r="L19" s="119">
        <v>-126.1</v>
      </c>
      <c r="M19" s="117">
        <v>1386.3964580576521</v>
      </c>
      <c r="O19" s="74" t="s">
        <v>190</v>
      </c>
      <c r="P19" s="83">
        <f t="shared" si="2"/>
        <v>-3.9500000000000011</v>
      </c>
      <c r="Q19" s="77">
        <v>4</v>
      </c>
      <c r="R19" s="68">
        <v>-15.800000000000004</v>
      </c>
    </row>
    <row r="20" spans="1:18" x14ac:dyDescent="0.4">
      <c r="A20" s="18" t="s">
        <v>10</v>
      </c>
      <c r="B20" s="11">
        <f>B23+B22</f>
        <v>56</v>
      </c>
      <c r="C20" s="5">
        <f>IF(B$3=0,0,B20/B$3)</f>
        <v>0.22857142857142856</v>
      </c>
      <c r="E20" s="27" t="s">
        <v>77</v>
      </c>
      <c r="F20" s="24" t="s">
        <v>32</v>
      </c>
      <c r="G20" s="12">
        <v>0</v>
      </c>
      <c r="H20" s="88">
        <f>IF(B$20=0,0,G20/B$20)</f>
        <v>0</v>
      </c>
      <c r="I20" s="58">
        <v>5</v>
      </c>
      <c r="K20" s="74">
        <v>18</v>
      </c>
      <c r="L20" s="119">
        <v>-171.7</v>
      </c>
      <c r="M20" s="117">
        <v>1379.2960793093062</v>
      </c>
      <c r="O20" s="74" t="s">
        <v>126</v>
      </c>
      <c r="P20" s="83">
        <f t="shared" si="2"/>
        <v>-14.013636363636364</v>
      </c>
      <c r="Q20" s="77">
        <v>22</v>
      </c>
      <c r="R20" s="68">
        <v>-308.3</v>
      </c>
    </row>
    <row r="21" spans="1:18" x14ac:dyDescent="0.4">
      <c r="A21" s="19" t="s">
        <v>13</v>
      </c>
      <c r="B21" s="12">
        <v>45</v>
      </c>
      <c r="C21" s="6">
        <f>IF(B$3=0,0,B21/B$3)</f>
        <v>0.18367346938775511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8</v>
      </c>
      <c r="K21" s="74">
        <v>19</v>
      </c>
      <c r="L21" s="119">
        <v>-207.89999999999998</v>
      </c>
      <c r="M21" s="117">
        <v>1373.9303028334502</v>
      </c>
      <c r="O21" s="74" t="s">
        <v>189</v>
      </c>
      <c r="P21" s="83">
        <f t="shared" si="2"/>
        <v>-25.8</v>
      </c>
      <c r="Q21" s="77">
        <v>4</v>
      </c>
      <c r="R21" s="68">
        <v>-103.2</v>
      </c>
    </row>
    <row r="22" spans="1:18" x14ac:dyDescent="0.4">
      <c r="A22" s="19" t="s">
        <v>12</v>
      </c>
      <c r="B22" s="12">
        <v>30</v>
      </c>
      <c r="C22" s="6">
        <f>IF(B$20=0,0,B22/B$20)</f>
        <v>0.5357142857142857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-187.29999999999998</v>
      </c>
      <c r="M22" s="117">
        <v>1378.8207210164496</v>
      </c>
      <c r="O22" s="74" t="s">
        <v>192</v>
      </c>
      <c r="P22" s="83">
        <f t="shared" si="2"/>
        <v>-32.123076923076923</v>
      </c>
      <c r="Q22" s="77">
        <v>13</v>
      </c>
      <c r="R22" s="68">
        <v>-417.6</v>
      </c>
    </row>
    <row r="23" spans="1:18" x14ac:dyDescent="0.4">
      <c r="A23" s="19" t="s">
        <v>11</v>
      </c>
      <c r="B23" s="12">
        <v>26</v>
      </c>
      <c r="C23" s="6">
        <f>IF(B$20=0,0,B23/B$20)</f>
        <v>0.4642857142857143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-178.79999999999998</v>
      </c>
      <c r="M23" s="117">
        <v>1381.503796690351</v>
      </c>
    </row>
    <row r="24" spans="1:18" x14ac:dyDescent="0.4">
      <c r="A24" s="19" t="s">
        <v>183</v>
      </c>
      <c r="B24" s="12">
        <v>34</v>
      </c>
      <c r="C24" s="6">
        <f>IF(B$20=0,0,B24/B$20)</f>
        <v>0.6071428571428571</v>
      </c>
      <c r="E24" s="27" t="s">
        <v>83</v>
      </c>
      <c r="F24" s="24" t="s">
        <v>38</v>
      </c>
      <c r="G24" s="12">
        <v>0</v>
      </c>
      <c r="H24" s="88">
        <f>IF(B$20=0,0,G24/B$20)</f>
        <v>0</v>
      </c>
      <c r="I24" s="58">
        <v>11</v>
      </c>
      <c r="K24" s="74">
        <v>22</v>
      </c>
      <c r="L24" s="119">
        <v>-245.59999999999997</v>
      </c>
      <c r="M24" s="117">
        <v>1370.6167739102088</v>
      </c>
    </row>
    <row r="25" spans="1:18" x14ac:dyDescent="0.4">
      <c r="A25" s="19" t="s">
        <v>181</v>
      </c>
      <c r="B25" s="12">
        <v>7</v>
      </c>
      <c r="C25" s="6">
        <f>IF(B$20=0,0,B25/B$20)</f>
        <v>0.125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-236.09999999999997</v>
      </c>
      <c r="M25" s="117">
        <v>1373.5290732667477</v>
      </c>
    </row>
    <row r="26" spans="1:18" x14ac:dyDescent="0.4">
      <c r="A26" s="19" t="s">
        <v>182</v>
      </c>
      <c r="B26" s="12">
        <v>15</v>
      </c>
      <c r="C26" s="6">
        <f>IF(B$20=0,0,B26/B$20)</f>
        <v>0.26785714285714285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-216.59999999999997</v>
      </c>
      <c r="M26" s="117">
        <v>1378.2238988271472</v>
      </c>
    </row>
    <row r="27" spans="1:18" x14ac:dyDescent="0.4">
      <c r="A27" s="19" t="s">
        <v>5</v>
      </c>
      <c r="B27" s="16">
        <f>IF(B$20=0,0,C27/B$20)</f>
        <v>9282.1428571428569</v>
      </c>
      <c r="C27" s="8">
        <v>519800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-242.69999999999996</v>
      </c>
      <c r="M27" s="117">
        <v>1374.4005554341843</v>
      </c>
    </row>
    <row r="28" spans="1:18" x14ac:dyDescent="0.4">
      <c r="A28" s="20" t="s">
        <v>165</v>
      </c>
      <c r="B28" s="95">
        <f>IF($B$20-B$19=0,0,C28/($B$20-B$19))</f>
        <v>9244.8979591836742</v>
      </c>
      <c r="C28" s="96">
        <v>453000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  <c r="K28" s="74">
        <v>26</v>
      </c>
      <c r="L28" s="119">
        <v>-267.29999999999995</v>
      </c>
      <c r="M28" s="117">
        <v>1370.6301521015791</v>
      </c>
    </row>
    <row r="29" spans="1:18" x14ac:dyDescent="0.4">
      <c r="A29" s="20" t="s">
        <v>166</v>
      </c>
      <c r="B29" s="95">
        <f>IF(B$19=0,0,C29/B$19)</f>
        <v>9542.8571428571431</v>
      </c>
      <c r="C29" s="96">
        <v>66800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-264.79999999999995</v>
      </c>
      <c r="M29" s="117">
        <v>1372.0603711889696</v>
      </c>
    </row>
    <row r="30" spans="1:18" x14ac:dyDescent="0.4">
      <c r="A30" s="20" t="s">
        <v>164</v>
      </c>
      <c r="B30" s="95">
        <f>IF(B$21=0,0,C30/B$21)</f>
        <v>-8188.8888888888887</v>
      </c>
      <c r="C30" s="96">
        <v>-368500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  <c r="K30" s="74">
        <v>28</v>
      </c>
      <c r="L30" s="119">
        <v>-241.89999999999995</v>
      </c>
      <c r="M30" s="117">
        <v>1377.1480089618358</v>
      </c>
    </row>
    <row r="31" spans="1:18" x14ac:dyDescent="0.4">
      <c r="A31" s="19" t="s">
        <v>157</v>
      </c>
      <c r="B31" s="12">
        <v>3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16</v>
      </c>
      <c r="C32" s="90">
        <v>8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65700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4.0816326530612249E-3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3</v>
      </c>
      <c r="C37" s="98">
        <f t="shared" ref="C37:C49" si="3">IF(B$20=0,0,B37/B$20)</f>
        <v>5.3571428571428568E-2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0.10714285714285714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8</v>
      </c>
      <c r="C39" s="6">
        <f t="shared" si="3"/>
        <v>0.14285714285714285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13</v>
      </c>
      <c r="C40" s="6">
        <f t="shared" si="3"/>
        <v>0.23214285714285715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11</v>
      </c>
      <c r="C41" s="6">
        <f t="shared" si="3"/>
        <v>0.19642857142857142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8</v>
      </c>
      <c r="C42" s="6">
        <f t="shared" si="3"/>
        <v>0.14285714285714285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3</v>
      </c>
      <c r="C43" s="6">
        <f t="shared" si="3"/>
        <v>5.3571428571428568E-2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3"/>
        <v>5.3571428571428568E-2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1</v>
      </c>
      <c r="C47" s="6">
        <f t="shared" si="3"/>
        <v>1.7857142857142856E-2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221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2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43">
        <v>18</v>
      </c>
      <c r="C3" s="144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45">
        <v>-13.5</v>
      </c>
      <c r="C4" s="146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1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33">
        <f>IF(B$2=0,0,B$4/B$2)</f>
        <v>-6.75</v>
      </c>
      <c r="C5" s="134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12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37">
        <v>1497.379788</v>
      </c>
      <c r="C6" s="138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6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12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12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-4.5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8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13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10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3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39000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815DF-B228-411E-B964-D02356E0B59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259</v>
      </c>
      <c r="C1" s="140"/>
      <c r="E1" s="104" t="s">
        <v>154</v>
      </c>
      <c r="F1" s="126" t="s">
        <v>115</v>
      </c>
      <c r="G1" s="125" t="s">
        <v>116</v>
      </c>
      <c r="H1" s="86" t="s">
        <v>117</v>
      </c>
      <c r="I1" s="126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</v>
      </c>
      <c r="C2" s="142"/>
      <c r="E2" s="26" t="s">
        <v>66</v>
      </c>
      <c r="F2" s="23" t="s">
        <v>22</v>
      </c>
      <c r="G2" s="11">
        <v>5</v>
      </c>
      <c r="H2" s="87">
        <f>IF(B$20=0,0,G2/B$20)</f>
        <v>0.83333333333333337</v>
      </c>
      <c r="I2" s="57">
        <v>5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-5933.333333333333</v>
      </c>
      <c r="Q2" s="76">
        <v>3</v>
      </c>
      <c r="R2" s="63">
        <v>-17800</v>
      </c>
    </row>
    <row r="3" spans="1:18" x14ac:dyDescent="0.4">
      <c r="A3" s="19" t="s">
        <v>8</v>
      </c>
      <c r="B3" s="143">
        <v>25</v>
      </c>
      <c r="C3" s="144"/>
      <c r="E3" s="27" t="s">
        <v>64</v>
      </c>
      <c r="F3" s="24" t="s">
        <v>20</v>
      </c>
      <c r="G3" s="12">
        <v>4</v>
      </c>
      <c r="H3" s="88">
        <f>IF(B$20=0,0,G3/B$20)</f>
        <v>0.66666666666666663</v>
      </c>
      <c r="I3" s="58">
        <v>1</v>
      </c>
      <c r="K3" s="74">
        <v>1</v>
      </c>
      <c r="L3" s="119">
        <v>-24.5</v>
      </c>
      <c r="M3" s="117">
        <v>1496.4</v>
      </c>
      <c r="O3" s="74" t="s">
        <v>129</v>
      </c>
      <c r="P3" s="80">
        <f t="shared" si="0"/>
        <v>5500</v>
      </c>
      <c r="Q3" s="77">
        <v>3</v>
      </c>
      <c r="R3" s="64">
        <v>16500</v>
      </c>
    </row>
    <row r="4" spans="1:18" x14ac:dyDescent="0.4">
      <c r="A4" s="19" t="s">
        <v>6</v>
      </c>
      <c r="B4" s="145">
        <v>-50</v>
      </c>
      <c r="C4" s="146"/>
      <c r="E4" s="27" t="s">
        <v>68</v>
      </c>
      <c r="F4" s="24" t="s">
        <v>12</v>
      </c>
      <c r="G4" s="12">
        <v>3</v>
      </c>
      <c r="H4" s="88">
        <f>IF(B$20=0,0,G4/B$20)</f>
        <v>0.5</v>
      </c>
      <c r="I4" s="58">
        <v>1</v>
      </c>
      <c r="K4" s="74">
        <v>2</v>
      </c>
      <c r="L4" s="119">
        <v>-56.8</v>
      </c>
      <c r="M4" s="117">
        <v>1491.4116000000001</v>
      </c>
      <c r="O4" s="74" t="s">
        <v>130</v>
      </c>
      <c r="P4" s="80">
        <f t="shared" si="0"/>
        <v>-1433.3333333333333</v>
      </c>
      <c r="Q4" s="77">
        <v>3</v>
      </c>
      <c r="R4" s="64">
        <v>-4300</v>
      </c>
    </row>
    <row r="5" spans="1:18" x14ac:dyDescent="0.4">
      <c r="A5" s="19" t="s">
        <v>7</v>
      </c>
      <c r="B5" s="133">
        <f>IF(B$2=0,0,B$4/B$2)</f>
        <v>-16.666666666666668</v>
      </c>
      <c r="C5" s="134"/>
      <c r="E5" s="27" t="s">
        <v>67</v>
      </c>
      <c r="F5" s="24" t="s">
        <v>23</v>
      </c>
      <c r="G5" s="12">
        <v>2</v>
      </c>
      <c r="H5" s="88">
        <f>IF(B$20=0,0,G5/B$20)</f>
        <v>0.33333333333333331</v>
      </c>
      <c r="I5" s="58">
        <v>3</v>
      </c>
      <c r="K5" s="74">
        <v>3</v>
      </c>
      <c r="L5" s="119">
        <v>-50</v>
      </c>
      <c r="M5" s="117">
        <v>1493.0891304000002</v>
      </c>
      <c r="O5" s="74" t="s">
        <v>131</v>
      </c>
      <c r="P5" s="80">
        <f t="shared" si="0"/>
        <v>-6100</v>
      </c>
      <c r="Q5" s="77">
        <v>3</v>
      </c>
      <c r="R5" s="64">
        <v>-18300</v>
      </c>
    </row>
    <row r="6" spans="1:18" x14ac:dyDescent="0.4">
      <c r="A6" s="19" t="s">
        <v>196</v>
      </c>
      <c r="B6" s="137">
        <v>1493.0891304000002</v>
      </c>
      <c r="C6" s="138"/>
      <c r="E6" s="27" t="s">
        <v>81</v>
      </c>
      <c r="F6" s="24" t="s">
        <v>36</v>
      </c>
      <c r="G6" s="12">
        <v>2</v>
      </c>
      <c r="H6" s="88">
        <f>IF(B$20=0,0,G6/B$20)</f>
        <v>0.33333333333333331</v>
      </c>
      <c r="I6" s="58">
        <v>1</v>
      </c>
      <c r="O6" s="74" t="s">
        <v>132</v>
      </c>
      <c r="P6" s="80">
        <f t="shared" si="0"/>
        <v>4600</v>
      </c>
      <c r="Q6" s="77">
        <v>3</v>
      </c>
      <c r="R6" s="64">
        <v>13800</v>
      </c>
    </row>
    <row r="7" spans="1:18" x14ac:dyDescent="0.4">
      <c r="A7" s="19" t="s">
        <v>1</v>
      </c>
      <c r="B7" s="147">
        <f>IF(B$2=0,0,(B$8*1+B$9*2+B$10*3)/B$2)</f>
        <v>2.6666666666666665</v>
      </c>
      <c r="C7" s="148"/>
      <c r="E7" s="27" t="s">
        <v>65</v>
      </c>
      <c r="F7" s="24" t="s">
        <v>21</v>
      </c>
      <c r="G7" s="12">
        <v>1</v>
      </c>
      <c r="H7" s="88">
        <f>IF(B$20=0,0,G7/B$20)</f>
        <v>0.16666666666666666</v>
      </c>
      <c r="I7" s="58">
        <v>3</v>
      </c>
      <c r="O7" s="75" t="s">
        <v>133</v>
      </c>
      <c r="P7" s="81">
        <f t="shared" si="0"/>
        <v>-7500</v>
      </c>
      <c r="Q7" s="78">
        <v>2</v>
      </c>
      <c r="R7" s="65">
        <v>-15000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71</v>
      </c>
      <c r="F8" s="24" t="s">
        <v>26</v>
      </c>
      <c r="G8" s="12">
        <v>1</v>
      </c>
      <c r="H8" s="88">
        <f>IF(B$20=0,0,G8/B$20)</f>
        <v>0.16666666666666666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72</v>
      </c>
      <c r="F9" s="24" t="s">
        <v>27</v>
      </c>
      <c r="G9" s="12">
        <v>1</v>
      </c>
      <c r="H9" s="88">
        <f>IF(B$20=0,0,G9/B$20)</f>
        <v>0.16666666666666666</v>
      </c>
      <c r="I9" s="58">
        <v>13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0.66666666666666663</v>
      </c>
      <c r="E10" s="27" t="s">
        <v>83</v>
      </c>
      <c r="F10" s="24" t="s">
        <v>38</v>
      </c>
      <c r="G10" s="12">
        <v>1</v>
      </c>
      <c r="H10" s="88">
        <f>IF(B$20=0,0,G10/B$20)</f>
        <v>0.16666666666666666</v>
      </c>
      <c r="I10" s="58">
        <v>1</v>
      </c>
      <c r="O10" s="73" t="s">
        <v>151</v>
      </c>
      <c r="P10" s="82">
        <f>IF(Q10=0,0,R10/Q10)</f>
        <v>-8.85</v>
      </c>
      <c r="Q10" s="76">
        <v>2</v>
      </c>
      <c r="R10" s="67">
        <v>-17.7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159</v>
      </c>
      <c r="F11" s="24" t="s">
        <v>160</v>
      </c>
      <c r="G11" s="12">
        <v>1</v>
      </c>
      <c r="H11" s="88">
        <f>IF(B$20=0,0,G11/B$20)</f>
        <v>0.16666666666666666</v>
      </c>
      <c r="I11" s="58">
        <v>13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6.8</v>
      </c>
      <c r="C12" s="110">
        <v>6.8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11</v>
      </c>
      <c r="O12" s="75" t="s">
        <v>153</v>
      </c>
      <c r="P12" s="84">
        <f>IF(Q12=0,0,R12/Q12)</f>
        <v>-32.299999999999997</v>
      </c>
      <c r="Q12" s="78">
        <v>1</v>
      </c>
      <c r="R12" s="69">
        <v>-32.299999999999997</v>
      </c>
    </row>
    <row r="13" spans="1:18" x14ac:dyDescent="0.4">
      <c r="A13" s="20" t="s">
        <v>186</v>
      </c>
      <c r="B13" s="109">
        <f>IF(B10=0,0,C13/B10)</f>
        <v>-28.4</v>
      </c>
      <c r="C13" s="110">
        <v>-56.8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-7.1999999999999993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-1.8999999999999986</v>
      </c>
      <c r="Q15" s="76">
        <v>3</v>
      </c>
      <c r="R15" s="67">
        <v>-5.6999999999999957</v>
      </c>
    </row>
    <row r="16" spans="1:18" x14ac:dyDescent="0.4">
      <c r="A16" s="22" t="s">
        <v>121</v>
      </c>
      <c r="B16" s="15">
        <v>6</v>
      </c>
      <c r="C16" s="10">
        <f>IF(B$3=0,0,B16/B$3)</f>
        <v>0.24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192</v>
      </c>
      <c r="P16" s="83">
        <f>IF(Q16=0,0,R16/Q16)</f>
        <v>-32.1</v>
      </c>
      <c r="Q16" s="77">
        <v>1</v>
      </c>
      <c r="R16" s="68">
        <v>-32.1</v>
      </c>
    </row>
    <row r="17" spans="1:18" x14ac:dyDescent="0.4">
      <c r="A17" s="19" t="s">
        <v>118</v>
      </c>
      <c r="B17" s="12">
        <v>4</v>
      </c>
      <c r="C17" s="6">
        <f>IF(B$3=0,0,B17/B$3)</f>
        <v>0.16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-56.099999999999994</v>
      </c>
      <c r="Q17" s="77">
        <v>2</v>
      </c>
      <c r="R17" s="68">
        <v>-112.19999999999999</v>
      </c>
    </row>
    <row r="18" spans="1:18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11</v>
      </c>
    </row>
    <row r="20" spans="1:18" x14ac:dyDescent="0.4">
      <c r="A20" s="18" t="s">
        <v>10</v>
      </c>
      <c r="B20" s="11">
        <f>B23+B22</f>
        <v>6</v>
      </c>
      <c r="C20" s="5">
        <f>IF(B$3=0,0,B20/B$3)</f>
        <v>0.24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18" x14ac:dyDescent="0.4">
      <c r="A21" s="19" t="s">
        <v>13</v>
      </c>
      <c r="B21" s="12">
        <v>5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3</v>
      </c>
      <c r="C22" s="6">
        <f>IF(B$20=0,0,B22/B$20)</f>
        <v>0.5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3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4</v>
      </c>
      <c r="C24" s="6">
        <f>IF(B$20=0,0,B24/B$20)</f>
        <v>0.66666666666666663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181</v>
      </c>
      <c r="B25" s="12">
        <v>1</v>
      </c>
      <c r="C25" s="6">
        <f>IF(B$20=0,0,B25/B$20)</f>
        <v>0.16666666666666666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10</v>
      </c>
    </row>
    <row r="26" spans="1:18" x14ac:dyDescent="0.4">
      <c r="A26" s="19" t="s">
        <v>182</v>
      </c>
      <c r="B26" s="12">
        <v>1</v>
      </c>
      <c r="C26" s="6">
        <f>IF(B$20=0,0,B26/B$20)</f>
        <v>0.16666666666666666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7216.666666666667</v>
      </c>
      <c r="C27" s="8">
        <v>43300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8360</v>
      </c>
      <c r="C28" s="96">
        <v>41800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1500</v>
      </c>
      <c r="C29" s="96">
        <v>1500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-9420</v>
      </c>
      <c r="C30" s="96">
        <v>-47100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7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41800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7">
        <v>1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8">
        <v>2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8">
        <v>1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8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8">
        <v>1</v>
      </c>
      <c r="C44" s="6">
        <f t="shared" si="2"/>
        <v>0.16666666666666666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376C7-999D-471A-8448-A88E3DA4BE75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201</v>
      </c>
      <c r="C1" s="140"/>
      <c r="E1" s="104" t="s">
        <v>154</v>
      </c>
      <c r="F1" s="130" t="s">
        <v>115</v>
      </c>
      <c r="G1" s="129" t="s">
        <v>116</v>
      </c>
      <c r="H1" s="86" t="s">
        <v>117</v>
      </c>
      <c r="I1" s="13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</v>
      </c>
      <c r="C2" s="142"/>
      <c r="E2" s="26" t="s">
        <v>66</v>
      </c>
      <c r="F2" s="23" t="s">
        <v>22</v>
      </c>
      <c r="G2" s="11">
        <v>10</v>
      </c>
      <c r="H2" s="87">
        <f>IF(B$20=0,0,G2/B$20)</f>
        <v>1</v>
      </c>
      <c r="I2" s="57">
        <v>2</v>
      </c>
      <c r="K2" s="73">
        <v>0</v>
      </c>
      <c r="L2" s="118">
        <v>0</v>
      </c>
      <c r="M2" s="116">
        <v>1500.437982464869</v>
      </c>
      <c r="O2" s="73" t="s">
        <v>128</v>
      </c>
      <c r="P2" s="79">
        <f t="shared" ref="P2:P7" si="0">IF(Q2=0,0,R2/Q2)</f>
        <v>-2716.6666666666665</v>
      </c>
      <c r="Q2" s="76">
        <v>6</v>
      </c>
      <c r="R2" s="63">
        <v>-16300</v>
      </c>
    </row>
    <row r="3" spans="1:18" x14ac:dyDescent="0.4">
      <c r="A3" s="19" t="s">
        <v>8</v>
      </c>
      <c r="B3" s="143">
        <v>55</v>
      </c>
      <c r="C3" s="144"/>
      <c r="E3" s="27" t="s">
        <v>64</v>
      </c>
      <c r="F3" s="24" t="s">
        <v>20</v>
      </c>
      <c r="G3" s="12">
        <v>5</v>
      </c>
      <c r="H3" s="88">
        <f>IF(B$20=0,0,G3/B$20)</f>
        <v>0.5</v>
      </c>
      <c r="I3" s="58">
        <v>4</v>
      </c>
      <c r="K3" s="74">
        <v>1</v>
      </c>
      <c r="L3" s="119">
        <v>-4.5</v>
      </c>
      <c r="M3" s="117">
        <v>1500.3933545700797</v>
      </c>
      <c r="O3" s="74" t="s">
        <v>129</v>
      </c>
      <c r="P3" s="80">
        <f t="shared" si="0"/>
        <v>-5900</v>
      </c>
      <c r="Q3" s="77">
        <v>6</v>
      </c>
      <c r="R3" s="64">
        <v>-35400</v>
      </c>
    </row>
    <row r="4" spans="1:18" x14ac:dyDescent="0.4">
      <c r="A4" s="19" t="s">
        <v>6</v>
      </c>
      <c r="B4" s="145">
        <v>-150.79999999999998</v>
      </c>
      <c r="C4" s="146"/>
      <c r="E4" s="27" t="s">
        <v>68</v>
      </c>
      <c r="F4" s="24" t="s">
        <v>12</v>
      </c>
      <c r="G4" s="12">
        <v>5</v>
      </c>
      <c r="H4" s="88">
        <f>IF(B$20=0,0,G4/B$20)</f>
        <v>0.5</v>
      </c>
      <c r="I4" s="58">
        <v>1</v>
      </c>
      <c r="K4" s="74">
        <v>2</v>
      </c>
      <c r="L4" s="119">
        <v>-3.4</v>
      </c>
      <c r="M4" s="117">
        <v>1501.3569944426592</v>
      </c>
      <c r="O4" s="74" t="s">
        <v>130</v>
      </c>
      <c r="P4" s="80">
        <f t="shared" si="0"/>
        <v>83.333333333333329</v>
      </c>
      <c r="Q4" s="77">
        <v>6</v>
      </c>
      <c r="R4" s="64">
        <v>500</v>
      </c>
    </row>
    <row r="5" spans="1:18" x14ac:dyDescent="0.4">
      <c r="A5" s="19" t="s">
        <v>7</v>
      </c>
      <c r="B5" s="133">
        <f>IF(B$2=0,0,B$4/B$2)</f>
        <v>-25.133333333333329</v>
      </c>
      <c r="C5" s="134"/>
      <c r="E5" s="27" t="s">
        <v>72</v>
      </c>
      <c r="F5" s="24" t="s">
        <v>27</v>
      </c>
      <c r="G5" s="12">
        <v>5</v>
      </c>
      <c r="H5" s="88">
        <f>IF(B$20=0,0,G5/B$20)</f>
        <v>0.5</v>
      </c>
      <c r="I5" s="58">
        <v>10</v>
      </c>
      <c r="K5" s="74">
        <v>3</v>
      </c>
      <c r="L5" s="119">
        <v>-55.199999999999996</v>
      </c>
      <c r="M5" s="117">
        <v>1492.7928524760032</v>
      </c>
      <c r="O5" s="74" t="s">
        <v>131</v>
      </c>
      <c r="P5" s="80">
        <f t="shared" si="0"/>
        <v>-5580</v>
      </c>
      <c r="Q5" s="77">
        <v>5</v>
      </c>
      <c r="R5" s="64">
        <v>-27900</v>
      </c>
    </row>
    <row r="6" spans="1:18" x14ac:dyDescent="0.4">
      <c r="A6" s="19" t="s">
        <v>196</v>
      </c>
      <c r="B6" s="137">
        <v>1476.9680701642462</v>
      </c>
      <c r="C6" s="138"/>
      <c r="E6" s="27" t="s">
        <v>67</v>
      </c>
      <c r="F6" s="24" t="s">
        <v>23</v>
      </c>
      <c r="G6" s="12">
        <v>4</v>
      </c>
      <c r="H6" s="88">
        <f>IF(B$20=0,0,G6/B$20)</f>
        <v>0.4</v>
      </c>
      <c r="I6" s="58">
        <v>1</v>
      </c>
      <c r="K6" s="74">
        <v>4</v>
      </c>
      <c r="L6" s="119">
        <v>-77.699999999999989</v>
      </c>
      <c r="M6" s="117">
        <v>1489.5540953611471</v>
      </c>
      <c r="O6" s="74" t="s">
        <v>132</v>
      </c>
      <c r="P6" s="80">
        <f t="shared" si="0"/>
        <v>-3240</v>
      </c>
      <c r="Q6" s="77">
        <v>5</v>
      </c>
      <c r="R6" s="64">
        <v>-16200</v>
      </c>
    </row>
    <row r="7" spans="1:18" x14ac:dyDescent="0.4">
      <c r="A7" s="19" t="s">
        <v>1</v>
      </c>
      <c r="B7" s="147">
        <f>IF(B$2=0,0,(B$8*1+B$9*2+B$10*3)/B$2)</f>
        <v>2.6666666666666665</v>
      </c>
      <c r="C7" s="148"/>
      <c r="E7" s="27" t="s">
        <v>159</v>
      </c>
      <c r="F7" s="24" t="s">
        <v>160</v>
      </c>
      <c r="G7" s="12">
        <v>4</v>
      </c>
      <c r="H7" s="88">
        <f>IF(B$20=0,0,G7/B$20)</f>
        <v>0.4</v>
      </c>
      <c r="I7" s="58">
        <v>5</v>
      </c>
      <c r="K7" s="74">
        <v>5</v>
      </c>
      <c r="L7" s="119">
        <v>-120.49999999999999</v>
      </c>
      <c r="M7" s="117">
        <v>1482.1167707889801</v>
      </c>
      <c r="O7" s="75" t="s">
        <v>133</v>
      </c>
      <c r="P7" s="81">
        <f t="shared" si="0"/>
        <v>-1775</v>
      </c>
      <c r="Q7" s="78">
        <v>4</v>
      </c>
      <c r="R7" s="65">
        <v>-7100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69</v>
      </c>
      <c r="F8" s="24" t="s">
        <v>24</v>
      </c>
      <c r="G8" s="12">
        <v>1</v>
      </c>
      <c r="H8" s="88">
        <f>IF(B$20=0,0,G8/B$20)</f>
        <v>0.1</v>
      </c>
      <c r="I8" s="58">
        <v>8</v>
      </c>
      <c r="K8" s="74">
        <v>6</v>
      </c>
      <c r="L8" s="119">
        <v>-150.79999999999998</v>
      </c>
      <c r="M8" s="117">
        <v>1476.9680701642462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78</v>
      </c>
      <c r="F9" s="24" t="s">
        <v>33</v>
      </c>
      <c r="G9" s="12">
        <v>1</v>
      </c>
      <c r="H9" s="88">
        <f>IF(B$20=0,0,G9/B$20)</f>
        <v>0.1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</v>
      </c>
      <c r="C10" s="7">
        <f t="shared" si="1"/>
        <v>0.66666666666666663</v>
      </c>
      <c r="E10" s="27" t="s">
        <v>81</v>
      </c>
      <c r="F10" s="24" t="s">
        <v>36</v>
      </c>
      <c r="G10" s="12">
        <v>1</v>
      </c>
      <c r="H10" s="88">
        <f>IF(B$20=0,0,G10/B$20)</f>
        <v>0.1</v>
      </c>
      <c r="I10" s="58">
        <v>2</v>
      </c>
      <c r="O10" s="73" t="s">
        <v>151</v>
      </c>
      <c r="P10" s="82">
        <f>IF(Q10=0,0,R10/Q10)</f>
        <v>-25.866666666666664</v>
      </c>
      <c r="Q10" s="76">
        <v>3</v>
      </c>
      <c r="R10" s="67">
        <v>-77.599999999999994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83</v>
      </c>
      <c r="F11" s="24" t="s">
        <v>38</v>
      </c>
      <c r="G11" s="12">
        <v>1</v>
      </c>
      <c r="H11" s="88">
        <f>IF(B$20=0,0,G11/B$20)</f>
        <v>0.1</v>
      </c>
      <c r="I11" s="58">
        <v>2</v>
      </c>
      <c r="O11" s="74" t="s">
        <v>152</v>
      </c>
      <c r="P11" s="83">
        <f>IF(Q11=0,0,R11/Q11)</f>
        <v>1.1000000000000001</v>
      </c>
      <c r="Q11" s="77">
        <v>1</v>
      </c>
      <c r="R11" s="68">
        <v>1.1000000000000001</v>
      </c>
    </row>
    <row r="12" spans="1:18" x14ac:dyDescent="0.4">
      <c r="A12" s="20" t="s">
        <v>185</v>
      </c>
      <c r="B12" s="109">
        <f>IF(B9=0,0,C12/B9)</f>
        <v>-1.7</v>
      </c>
      <c r="C12" s="110">
        <v>-3.4</v>
      </c>
      <c r="E12" s="27" t="s">
        <v>65</v>
      </c>
      <c r="F12" s="24" t="s">
        <v>21</v>
      </c>
      <c r="G12" s="12">
        <v>0</v>
      </c>
      <c r="H12" s="88">
        <f>IF(B$20=0,0,G12/B$20)</f>
        <v>0</v>
      </c>
      <c r="I12" s="58">
        <v>12</v>
      </c>
      <c r="O12" s="75" t="s">
        <v>153</v>
      </c>
      <c r="P12" s="84">
        <f>IF(Q12=0,0,R12/Q12)</f>
        <v>-37.15</v>
      </c>
      <c r="Q12" s="78">
        <v>2</v>
      </c>
      <c r="R12" s="69">
        <v>-74.3</v>
      </c>
    </row>
    <row r="13" spans="1:18" x14ac:dyDescent="0.4">
      <c r="A13" s="20" t="s">
        <v>186</v>
      </c>
      <c r="B13" s="109">
        <f>IF(B10=0,0,C13/B10)</f>
        <v>-36.85</v>
      </c>
      <c r="C13" s="110">
        <v>-147.4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-12.850000000000001</v>
      </c>
      <c r="C14" s="134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12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0.16666666666666666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7</v>
      </c>
      <c r="O15" s="73" t="s">
        <v>163</v>
      </c>
      <c r="P15" s="82">
        <f>IF(Q15=0,0,R15/Q15)</f>
        <v>-21.074999999999999</v>
      </c>
      <c r="Q15" s="76">
        <v>4</v>
      </c>
      <c r="R15" s="67">
        <v>-84.3</v>
      </c>
    </row>
    <row r="16" spans="1:18" x14ac:dyDescent="0.4">
      <c r="A16" s="22" t="s">
        <v>121</v>
      </c>
      <c r="B16" s="15">
        <v>8</v>
      </c>
      <c r="C16" s="10">
        <f>IF(B$3=0,0,B16/B$3)</f>
        <v>0.14545454545454545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-44.933333333333337</v>
      </c>
      <c r="Q16" s="77">
        <v>6</v>
      </c>
      <c r="R16" s="68">
        <v>-269.60000000000002</v>
      </c>
    </row>
    <row r="17" spans="1:18" x14ac:dyDescent="0.4">
      <c r="A17" s="19" t="s">
        <v>118</v>
      </c>
      <c r="B17" s="12">
        <v>11</v>
      </c>
      <c r="C17" s="6">
        <f>IF(B$3=0,0,B17/B$3)</f>
        <v>0.2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195</v>
      </c>
      <c r="P17" s="83">
        <f>IF(Q17=0,0,R17/Q17)</f>
        <v>-49.25</v>
      </c>
      <c r="Q17" s="77">
        <v>2</v>
      </c>
      <c r="R17" s="68">
        <v>-98.5</v>
      </c>
    </row>
    <row r="18" spans="1:18" x14ac:dyDescent="0.4">
      <c r="A18" s="18" t="s">
        <v>123</v>
      </c>
      <c r="B18" s="11">
        <f>B24</f>
        <v>5</v>
      </c>
      <c r="C18" s="5">
        <f>IF(B$16=0,0,B18/B$16)</f>
        <v>0.625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0.18181818181818182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18" x14ac:dyDescent="0.4">
      <c r="A20" s="18" t="s">
        <v>10</v>
      </c>
      <c r="B20" s="11">
        <f>B23+B22</f>
        <v>10</v>
      </c>
      <c r="C20" s="5">
        <f>IF(B$3=0,0,B20/B$3)</f>
        <v>0.18181818181818182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18" x14ac:dyDescent="0.4">
      <c r="A21" s="19" t="s">
        <v>13</v>
      </c>
      <c r="B21" s="12">
        <v>14</v>
      </c>
      <c r="C21" s="6">
        <f>IF(B$3=0,0,B21/B$3)</f>
        <v>0.25454545454545452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6</v>
      </c>
      <c r="C22" s="6">
        <f>IF(B$20=0,0,B22/B$20)</f>
        <v>0.6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4</v>
      </c>
      <c r="C23" s="6">
        <f>IF(B$20=0,0,B23/B$20)</f>
        <v>0.4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5</v>
      </c>
      <c r="C24" s="6">
        <f>IF(B$20=0,0,B24/B$20)</f>
        <v>0.5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181</v>
      </c>
      <c r="B25" s="12">
        <v>2</v>
      </c>
      <c r="C25" s="6">
        <f>IF(B$20=0,0,B25/B$20)</f>
        <v>0.2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10</v>
      </c>
    </row>
    <row r="26" spans="1:18" x14ac:dyDescent="0.4">
      <c r="A26" s="19" t="s">
        <v>182</v>
      </c>
      <c r="B26" s="12">
        <v>3</v>
      </c>
      <c r="C26" s="6">
        <f>IF(B$20=0,0,B26/B$20)</f>
        <v>0.3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7270</v>
      </c>
      <c r="C27" s="8">
        <v>72700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7850</v>
      </c>
      <c r="C28" s="96">
        <v>62800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4950</v>
      </c>
      <c r="C29" s="96">
        <v>9900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-7157.1428571428569</v>
      </c>
      <c r="C30" s="96">
        <v>-100200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36100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31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32">
        <v>5</v>
      </c>
      <c r="C39" s="6">
        <f t="shared" si="2"/>
        <v>0.5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32">
        <v>1</v>
      </c>
      <c r="C40" s="6">
        <f t="shared" si="2"/>
        <v>0.1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32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32">
        <v>1</v>
      </c>
      <c r="C42" s="6">
        <f t="shared" si="2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32">
        <v>1</v>
      </c>
      <c r="C43" s="6">
        <f t="shared" si="2"/>
        <v>0.1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32">
        <v>1</v>
      </c>
      <c r="C44" s="6">
        <f t="shared" si="2"/>
        <v>0.1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32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32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32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32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F616D-141D-494D-9F22-1E4550959565}">
  <sheetPr codeName="Sheet30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201</v>
      </c>
      <c r="B1" s="34" t="s">
        <v>201</v>
      </c>
      <c r="C1" s="34" t="s">
        <v>201</v>
      </c>
      <c r="D1" s="35" t="s">
        <v>201</v>
      </c>
      <c r="E1" s="34" t="s">
        <v>201</v>
      </c>
      <c r="F1" s="34" t="s">
        <v>201</v>
      </c>
      <c r="G1" s="34" t="s">
        <v>201</v>
      </c>
      <c r="H1" s="34" t="s">
        <v>201</v>
      </c>
      <c r="I1" s="34" t="s">
        <v>201</v>
      </c>
      <c r="J1" s="34" t="s">
        <v>201</v>
      </c>
      <c r="K1" s="34" t="s">
        <v>201</v>
      </c>
      <c r="L1" s="34" t="s">
        <v>201</v>
      </c>
      <c r="M1" s="34" t="s">
        <v>201</v>
      </c>
      <c r="N1" s="34" t="s">
        <v>201</v>
      </c>
      <c r="O1" s="34" t="s">
        <v>201</v>
      </c>
      <c r="P1" s="34" t="s">
        <v>201</v>
      </c>
      <c r="Q1" s="34" t="s">
        <v>201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</v>
      </c>
      <c r="C4" s="30">
        <v>-4.5</v>
      </c>
      <c r="D4" s="35">
        <v>2</v>
      </c>
      <c r="E4" s="31">
        <v>0</v>
      </c>
      <c r="F4" s="31">
        <v>0</v>
      </c>
      <c r="G4" s="31">
        <v>0.22222222222222221</v>
      </c>
      <c r="H4" s="31">
        <v>0.22222222222222221</v>
      </c>
      <c r="I4" s="32">
        <v>10000</v>
      </c>
      <c r="J4" s="32">
        <v>-6750</v>
      </c>
      <c r="K4" s="31">
        <v>0</v>
      </c>
      <c r="L4" s="31">
        <v>0</v>
      </c>
      <c r="M4" s="31">
        <v>0.22222222222222221</v>
      </c>
      <c r="N4" s="31">
        <v>0</v>
      </c>
      <c r="O4" s="31">
        <v>0</v>
      </c>
      <c r="P4" s="31">
        <v>0.5</v>
      </c>
    </row>
    <row r="5" spans="1:17" x14ac:dyDescent="0.4">
      <c r="A5" s="33">
        <v>2</v>
      </c>
      <c r="B5" s="30">
        <v>-3.4</v>
      </c>
      <c r="C5" s="30">
        <v>-1.7</v>
      </c>
      <c r="D5" s="35">
        <v>2</v>
      </c>
      <c r="E5" s="31">
        <v>0</v>
      </c>
      <c r="F5" s="31">
        <v>0</v>
      </c>
      <c r="G5" s="31">
        <v>0.25</v>
      </c>
      <c r="H5" s="31">
        <v>0.3125</v>
      </c>
      <c r="I5" s="32">
        <v>10000</v>
      </c>
      <c r="J5" s="32">
        <v>-5320</v>
      </c>
      <c r="K5" s="31">
        <v>0</v>
      </c>
      <c r="L5" s="31">
        <v>0.125</v>
      </c>
      <c r="M5" s="31">
        <v>0.125</v>
      </c>
      <c r="N5" s="31">
        <v>1</v>
      </c>
      <c r="O5" s="31">
        <v>0</v>
      </c>
      <c r="P5" s="31">
        <v>0.25</v>
      </c>
    </row>
    <row r="6" spans="1:17" x14ac:dyDescent="0.4">
      <c r="A6" s="33">
        <v>3</v>
      </c>
      <c r="B6" s="30">
        <v>-55.199999999999996</v>
      </c>
      <c r="C6" s="30">
        <v>-18.399999999999999</v>
      </c>
      <c r="D6" s="35">
        <v>2.3333333333333335</v>
      </c>
      <c r="E6" s="31">
        <v>0</v>
      </c>
      <c r="F6" s="31">
        <v>0.33333333333333331</v>
      </c>
      <c r="G6" s="31">
        <v>0.22222222222222221</v>
      </c>
      <c r="H6" s="31">
        <v>0.25925925925925924</v>
      </c>
      <c r="I6" s="32">
        <v>7800</v>
      </c>
      <c r="J6" s="32">
        <v>-7385.7142857142853</v>
      </c>
      <c r="K6" s="31">
        <v>0.33333333333333331</v>
      </c>
      <c r="L6" s="31">
        <v>0.14814814814814814</v>
      </c>
      <c r="M6" s="31">
        <v>0.14814814814814814</v>
      </c>
      <c r="N6" s="31">
        <v>0.75</v>
      </c>
      <c r="O6" s="31">
        <v>0</v>
      </c>
      <c r="P6" s="31">
        <v>0.5</v>
      </c>
    </row>
    <row r="7" spans="1:17" x14ac:dyDescent="0.4">
      <c r="A7" s="33">
        <v>4</v>
      </c>
      <c r="B7" s="30">
        <v>-77.699999999999989</v>
      </c>
      <c r="C7" s="30">
        <v>-19.424999999999997</v>
      </c>
      <c r="D7" s="35">
        <v>2.5</v>
      </c>
      <c r="E7" s="31">
        <v>0</v>
      </c>
      <c r="F7" s="31">
        <v>0.5</v>
      </c>
      <c r="G7" s="31">
        <v>0.25</v>
      </c>
      <c r="H7" s="31">
        <v>0.27777777777777779</v>
      </c>
      <c r="I7" s="32">
        <v>6744.4444444444443</v>
      </c>
      <c r="J7" s="32">
        <v>-7370</v>
      </c>
      <c r="K7" s="31">
        <v>0.25</v>
      </c>
      <c r="L7" s="31">
        <v>0.16666666666666666</v>
      </c>
      <c r="M7" s="31">
        <v>0.22222222222222221</v>
      </c>
      <c r="N7" s="31">
        <v>0.66666666666666663</v>
      </c>
      <c r="O7" s="31">
        <v>0.25</v>
      </c>
      <c r="P7" s="31">
        <v>0.55555555555555558</v>
      </c>
    </row>
    <row r="8" spans="1:17" x14ac:dyDescent="0.4">
      <c r="A8" s="33">
        <v>5</v>
      </c>
      <c r="B8" s="30">
        <v>-120.49999999999999</v>
      </c>
      <c r="C8" s="30">
        <v>-24.099999999999998</v>
      </c>
      <c r="D8" s="35">
        <v>2.6</v>
      </c>
      <c r="E8" s="31">
        <v>0</v>
      </c>
      <c r="F8" s="31">
        <v>0.6</v>
      </c>
      <c r="G8" s="31">
        <v>0.2</v>
      </c>
      <c r="H8" s="31">
        <v>0.24444444444444444</v>
      </c>
      <c r="I8" s="32">
        <v>6744.4444444444443</v>
      </c>
      <c r="J8" s="32">
        <v>-7427.272727272727</v>
      </c>
      <c r="K8" s="31">
        <v>0.2</v>
      </c>
      <c r="L8" s="31">
        <v>0.13333333333333333</v>
      </c>
      <c r="M8" s="31">
        <v>0.2</v>
      </c>
      <c r="N8" s="31">
        <v>0.66666666666666663</v>
      </c>
      <c r="O8" s="31">
        <v>0.22222222222222221</v>
      </c>
      <c r="P8" s="31">
        <v>0.55555555555555558</v>
      </c>
    </row>
    <row r="9" spans="1:17" x14ac:dyDescent="0.4">
      <c r="A9" s="33">
        <v>6</v>
      </c>
      <c r="B9" s="30">
        <v>-150.79999999999998</v>
      </c>
      <c r="C9" s="30">
        <v>-25.133333333333329</v>
      </c>
      <c r="D9" s="35">
        <v>2.6666666666666665</v>
      </c>
      <c r="E9" s="31">
        <v>0</v>
      </c>
      <c r="F9" s="31">
        <v>0.66666666666666663</v>
      </c>
      <c r="G9" s="31">
        <v>0.18181818181818182</v>
      </c>
      <c r="H9" s="31">
        <v>0.25454545454545452</v>
      </c>
      <c r="I9" s="32">
        <v>7270</v>
      </c>
      <c r="J9" s="32">
        <v>-7157.1428571428569</v>
      </c>
      <c r="K9" s="31">
        <v>0.16666666666666666</v>
      </c>
      <c r="L9" s="31">
        <v>0.14545454545454545</v>
      </c>
      <c r="M9" s="31">
        <v>0.2</v>
      </c>
      <c r="N9" s="31">
        <v>0.625</v>
      </c>
      <c r="O9" s="31">
        <v>0.18181818181818182</v>
      </c>
      <c r="P9" s="31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9DFF4-3B53-49F9-B332-EECE3A3FB232}">
  <sheetPr codeName="Sheet28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259</v>
      </c>
      <c r="B1" s="34" t="s">
        <v>259</v>
      </c>
      <c r="C1" s="34" t="s">
        <v>259</v>
      </c>
      <c r="D1" s="35" t="s">
        <v>259</v>
      </c>
      <c r="E1" s="34" t="s">
        <v>259</v>
      </c>
      <c r="F1" s="34" t="s">
        <v>259</v>
      </c>
      <c r="G1" s="34" t="s">
        <v>259</v>
      </c>
      <c r="H1" s="34" t="s">
        <v>259</v>
      </c>
      <c r="I1" s="34" t="s">
        <v>259</v>
      </c>
      <c r="J1" s="34" t="s">
        <v>259</v>
      </c>
      <c r="K1" s="34" t="s">
        <v>259</v>
      </c>
      <c r="L1" s="34" t="s">
        <v>259</v>
      </c>
      <c r="M1" s="34" t="s">
        <v>259</v>
      </c>
      <c r="N1" s="34" t="s">
        <v>259</v>
      </c>
      <c r="O1" s="34" t="s">
        <v>259</v>
      </c>
      <c r="P1" s="34" t="s">
        <v>259</v>
      </c>
      <c r="Q1" s="34" t="s">
        <v>259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-24.5</v>
      </c>
      <c r="C4" s="30">
        <v>-24.5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16000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0.5</v>
      </c>
      <c r="O4" s="31">
        <v>0</v>
      </c>
      <c r="P4" s="31">
        <v>0</v>
      </c>
    </row>
    <row r="5" spans="1:17" x14ac:dyDescent="0.4">
      <c r="A5" s="33">
        <v>2</v>
      </c>
      <c r="B5" s="30">
        <v>-56.8</v>
      </c>
      <c r="C5" s="30">
        <v>-28.4</v>
      </c>
      <c r="D5" s="35">
        <v>3</v>
      </c>
      <c r="E5" s="31">
        <v>0</v>
      </c>
      <c r="F5" s="31">
        <v>1</v>
      </c>
      <c r="G5" s="31">
        <v>0.25</v>
      </c>
      <c r="H5" s="31">
        <v>0.25</v>
      </c>
      <c r="I5" s="32">
        <v>8300</v>
      </c>
      <c r="J5" s="32">
        <v>-10800</v>
      </c>
      <c r="K5" s="31">
        <v>0</v>
      </c>
      <c r="L5" s="31">
        <v>0.25</v>
      </c>
      <c r="M5" s="31">
        <v>0.1875</v>
      </c>
      <c r="N5" s="31">
        <v>0.75</v>
      </c>
      <c r="O5" s="31">
        <v>0.33333333333333331</v>
      </c>
      <c r="P5" s="31">
        <v>0.25</v>
      </c>
    </row>
    <row r="6" spans="1:17" x14ac:dyDescent="0.4">
      <c r="A6" s="33">
        <v>3</v>
      </c>
      <c r="B6" s="30">
        <v>-50</v>
      </c>
      <c r="C6" s="30">
        <v>-16.666666666666668</v>
      </c>
      <c r="D6" s="35">
        <v>2.6666666666666665</v>
      </c>
      <c r="E6" s="31">
        <v>0</v>
      </c>
      <c r="F6" s="31">
        <v>0.66666666666666663</v>
      </c>
      <c r="G6" s="31">
        <v>0.24</v>
      </c>
      <c r="H6" s="31">
        <v>0.2</v>
      </c>
      <c r="I6" s="32">
        <v>7216.666666666667</v>
      </c>
      <c r="J6" s="32">
        <v>-9420</v>
      </c>
      <c r="K6" s="31">
        <v>0</v>
      </c>
      <c r="L6" s="31">
        <v>0.24</v>
      </c>
      <c r="M6" s="31">
        <v>0.16</v>
      </c>
      <c r="N6" s="31">
        <v>0.66666666666666663</v>
      </c>
      <c r="O6" s="31">
        <v>0.25</v>
      </c>
      <c r="P6" s="31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3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  <row r="16" spans="1:17" x14ac:dyDescent="0.4">
      <c r="A16" s="33">
        <v>13</v>
      </c>
      <c r="B16" s="30">
        <v>-75.599999999999994</v>
      </c>
      <c r="C16" s="30">
        <v>-5.8153846153846152</v>
      </c>
      <c r="D16" s="35">
        <v>2</v>
      </c>
      <c r="E16" s="31">
        <v>0.46153846153846156</v>
      </c>
      <c r="F16" s="31">
        <v>0.46153846153846156</v>
      </c>
      <c r="G16" s="31">
        <v>0.26126126126126126</v>
      </c>
      <c r="H16" s="31">
        <v>0.17117117117117117</v>
      </c>
      <c r="I16" s="32">
        <v>8606.8965517241377</v>
      </c>
      <c r="J16" s="32">
        <v>-7568.4210526315792</v>
      </c>
      <c r="K16" s="31">
        <v>0.15384615384615385</v>
      </c>
      <c r="L16" s="31">
        <v>0.22522522522522523</v>
      </c>
      <c r="M16" s="31">
        <v>0.15315315315315314</v>
      </c>
      <c r="N16" s="31">
        <v>0.64</v>
      </c>
      <c r="O16" s="31">
        <v>0.29411764705882354</v>
      </c>
      <c r="P16" s="31">
        <v>0.55172413793103448</v>
      </c>
    </row>
    <row r="17" spans="1:16" x14ac:dyDescent="0.4">
      <c r="A17" s="33">
        <v>14</v>
      </c>
      <c r="B17" s="30">
        <v>-72.599999999999994</v>
      </c>
      <c r="C17" s="30">
        <v>-5.1857142857142851</v>
      </c>
      <c r="D17" s="35">
        <v>2</v>
      </c>
      <c r="E17" s="31">
        <v>0.42857142857142855</v>
      </c>
      <c r="F17" s="31">
        <v>0.42857142857142855</v>
      </c>
      <c r="G17" s="31">
        <v>0.256198347107438</v>
      </c>
      <c r="H17" s="31">
        <v>0.17355371900826447</v>
      </c>
      <c r="I17" s="32">
        <v>8954.8387096774186</v>
      </c>
      <c r="J17" s="32">
        <v>-7990.4761904761908</v>
      </c>
      <c r="K17" s="31">
        <v>0.14285714285714285</v>
      </c>
      <c r="L17" s="31">
        <v>0.21487603305785125</v>
      </c>
      <c r="M17" s="31">
        <v>0.14049586776859505</v>
      </c>
      <c r="N17" s="31">
        <v>0.65384615384615385</v>
      </c>
      <c r="O17" s="31">
        <v>0.29411764705882354</v>
      </c>
      <c r="P17" s="31">
        <v>0.5161290322580645</v>
      </c>
    </row>
    <row r="18" spans="1:16" x14ac:dyDescent="0.4">
      <c r="A18" s="33">
        <v>15</v>
      </c>
      <c r="B18" s="30">
        <v>-123.19999999999999</v>
      </c>
      <c r="C18" s="30">
        <v>-8.2133333333333329</v>
      </c>
      <c r="D18" s="35">
        <v>2.0666666666666669</v>
      </c>
      <c r="E18" s="31">
        <v>0.4</v>
      </c>
      <c r="F18" s="31">
        <v>0.46666666666666667</v>
      </c>
      <c r="G18" s="31">
        <v>0.23664122137404581</v>
      </c>
      <c r="H18" s="31">
        <v>0.18320610687022901</v>
      </c>
      <c r="I18" s="32">
        <v>8954.8387096774186</v>
      </c>
      <c r="J18" s="32">
        <v>-7695.833333333333</v>
      </c>
      <c r="K18" s="31">
        <v>0.2</v>
      </c>
      <c r="L18" s="31">
        <v>0.21374045801526717</v>
      </c>
      <c r="M18" s="31">
        <v>0.14503816793893129</v>
      </c>
      <c r="N18" s="31">
        <v>0.6071428571428571</v>
      </c>
      <c r="O18" s="31">
        <v>0.26315789473684209</v>
      </c>
      <c r="P18" s="31">
        <v>0.5161290322580645</v>
      </c>
    </row>
    <row r="19" spans="1:16" x14ac:dyDescent="0.4">
      <c r="A19" s="33">
        <v>16</v>
      </c>
      <c r="B19" s="30">
        <v>-121.1</v>
      </c>
      <c r="C19" s="30">
        <v>-7.5687499999999996</v>
      </c>
      <c r="D19" s="35">
        <v>2.0625</v>
      </c>
      <c r="E19" s="31">
        <v>0.375</v>
      </c>
      <c r="F19" s="31">
        <v>0.4375</v>
      </c>
      <c r="G19" s="31">
        <v>0.2413793103448276</v>
      </c>
      <c r="H19" s="31">
        <v>0.17241379310344829</v>
      </c>
      <c r="I19" s="32">
        <v>8974.2857142857138</v>
      </c>
      <c r="J19" s="32">
        <v>-7868</v>
      </c>
      <c r="K19" s="31">
        <v>0.1875</v>
      </c>
      <c r="L19" s="31">
        <v>0.23448275862068965</v>
      </c>
      <c r="M19" s="31">
        <v>0.1310344827586207</v>
      </c>
      <c r="N19" s="31">
        <v>0.61764705882352944</v>
      </c>
      <c r="O19" s="31">
        <v>0.26315789473684209</v>
      </c>
      <c r="P19" s="31">
        <v>0.54285714285714282</v>
      </c>
    </row>
    <row r="20" spans="1:16" x14ac:dyDescent="0.4">
      <c r="A20" s="33">
        <v>17</v>
      </c>
      <c r="B20" s="30">
        <v>-126.1</v>
      </c>
      <c r="C20" s="30">
        <v>-7.4176470588235288</v>
      </c>
      <c r="D20" s="35">
        <v>2.0588235294117645</v>
      </c>
      <c r="E20" s="31">
        <v>0.35294117647058826</v>
      </c>
      <c r="F20" s="31">
        <v>0.41176470588235292</v>
      </c>
      <c r="G20" s="31">
        <v>0.24183006535947713</v>
      </c>
      <c r="H20" s="31">
        <v>0.16339869281045752</v>
      </c>
      <c r="I20" s="32">
        <v>8921.6216216216217</v>
      </c>
      <c r="J20" s="32">
        <v>-7868</v>
      </c>
      <c r="K20" s="31">
        <v>0.17647058823529413</v>
      </c>
      <c r="L20" s="31">
        <v>0.23529411764705882</v>
      </c>
      <c r="M20" s="31">
        <v>0.13071895424836602</v>
      </c>
      <c r="N20" s="31">
        <v>0.63888888888888884</v>
      </c>
      <c r="O20" s="31">
        <v>0.25</v>
      </c>
      <c r="P20" s="31">
        <v>0.56756756756756754</v>
      </c>
    </row>
    <row r="21" spans="1:16" x14ac:dyDescent="0.4">
      <c r="A21" s="33">
        <v>18</v>
      </c>
      <c r="B21" s="30">
        <v>-171.7</v>
      </c>
      <c r="C21" s="30">
        <v>-9.5388888888888879</v>
      </c>
      <c r="D21" s="35">
        <v>2.1111111111111112</v>
      </c>
      <c r="E21" s="31">
        <v>0.33333333333333331</v>
      </c>
      <c r="F21" s="31">
        <v>0.44444444444444442</v>
      </c>
      <c r="G21" s="31">
        <v>0.23125000000000001</v>
      </c>
      <c r="H21" s="31">
        <v>0.18124999999999999</v>
      </c>
      <c r="I21" s="32">
        <v>8921.6216216216217</v>
      </c>
      <c r="J21" s="32">
        <v>-7493.1034482758623</v>
      </c>
      <c r="K21" s="31">
        <v>0.22222222222222221</v>
      </c>
      <c r="L21" s="31">
        <v>0.22500000000000001</v>
      </c>
      <c r="M21" s="31">
        <v>0.125</v>
      </c>
      <c r="N21" s="31">
        <v>0.63888888888888884</v>
      </c>
      <c r="O21" s="31">
        <v>0.25</v>
      </c>
      <c r="P21" s="31">
        <v>0.56756756756756754</v>
      </c>
    </row>
    <row r="22" spans="1:16" x14ac:dyDescent="0.4">
      <c r="A22" s="33">
        <v>19</v>
      </c>
      <c r="B22" s="30">
        <v>-207.89999999999998</v>
      </c>
      <c r="C22" s="30">
        <v>-10.942105263157893</v>
      </c>
      <c r="D22" s="35">
        <v>2.1578947368421053</v>
      </c>
      <c r="E22" s="31">
        <v>0.31578947368421051</v>
      </c>
      <c r="F22" s="31">
        <v>0.47368421052631576</v>
      </c>
      <c r="G22" s="31">
        <v>0.23809523809523808</v>
      </c>
      <c r="H22" s="31">
        <v>0.17857142857142858</v>
      </c>
      <c r="I22" s="32">
        <v>8535</v>
      </c>
      <c r="J22" s="32">
        <v>-8310</v>
      </c>
      <c r="K22" s="31">
        <v>0.21052631578947367</v>
      </c>
      <c r="L22" s="31">
        <v>0.22619047619047619</v>
      </c>
      <c r="M22" s="31">
        <v>0.125</v>
      </c>
      <c r="N22" s="31">
        <v>0.65789473684210531</v>
      </c>
      <c r="O22" s="31">
        <v>0.23809523809523808</v>
      </c>
      <c r="P22" s="31">
        <v>0.55000000000000004</v>
      </c>
    </row>
    <row r="23" spans="1:16" x14ac:dyDescent="0.4">
      <c r="A23" s="33">
        <v>20</v>
      </c>
      <c r="B23" s="30">
        <v>-187.29999999999998</v>
      </c>
      <c r="C23" s="30">
        <v>-9.3649999999999984</v>
      </c>
      <c r="D23" s="35">
        <v>2.1</v>
      </c>
      <c r="E23" s="31">
        <v>0.35</v>
      </c>
      <c r="F23" s="31">
        <v>0.45</v>
      </c>
      <c r="G23" s="31">
        <v>0.23595505617977527</v>
      </c>
      <c r="H23" s="31">
        <v>0.1797752808988764</v>
      </c>
      <c r="I23" s="32">
        <v>9080.9523809523816</v>
      </c>
      <c r="J23" s="32">
        <v>-8071.875</v>
      </c>
      <c r="K23" s="31">
        <v>0.2</v>
      </c>
      <c r="L23" s="31">
        <v>0.2247191011235955</v>
      </c>
      <c r="M23" s="31">
        <v>0.12359550561797752</v>
      </c>
      <c r="N23" s="31">
        <v>0.65</v>
      </c>
      <c r="O23" s="31">
        <v>0.22727272727272727</v>
      </c>
      <c r="P23" s="31">
        <v>0.5714285714285714</v>
      </c>
    </row>
    <row r="24" spans="1:16" x14ac:dyDescent="0.4">
      <c r="A24" s="33">
        <v>21</v>
      </c>
      <c r="B24" s="30">
        <v>-178.79999999999998</v>
      </c>
      <c r="C24" s="30">
        <v>-8.5142857142857142</v>
      </c>
      <c r="D24" s="35">
        <v>2.0952380952380953</v>
      </c>
      <c r="E24" s="31">
        <v>0.33333333333333331</v>
      </c>
      <c r="F24" s="31">
        <v>0.42857142857142855</v>
      </c>
      <c r="G24" s="31">
        <v>0.23529411764705882</v>
      </c>
      <c r="H24" s="31">
        <v>0.17112299465240641</v>
      </c>
      <c r="I24" s="32">
        <v>9159.0909090909099</v>
      </c>
      <c r="J24" s="32">
        <v>-8071.875</v>
      </c>
      <c r="K24" s="31">
        <v>0.19047619047619047</v>
      </c>
      <c r="L24" s="31">
        <v>0.21925133689839571</v>
      </c>
      <c r="M24" s="31">
        <v>0.12299465240641712</v>
      </c>
      <c r="N24" s="31">
        <v>0.65853658536585369</v>
      </c>
      <c r="O24" s="31">
        <v>0.21739130434782608</v>
      </c>
      <c r="P24" s="31">
        <v>0.56818181818181823</v>
      </c>
    </row>
    <row r="25" spans="1:16" x14ac:dyDescent="0.4">
      <c r="A25" s="33">
        <v>22</v>
      </c>
      <c r="B25" s="30">
        <v>-245.59999999999997</v>
      </c>
      <c r="C25" s="30">
        <v>-11.163636363636362</v>
      </c>
      <c r="D25" s="35">
        <v>2.1363636363636362</v>
      </c>
      <c r="E25" s="31">
        <v>0.31818181818181818</v>
      </c>
      <c r="F25" s="31">
        <v>0.45454545454545453</v>
      </c>
      <c r="G25" s="31">
        <v>0.22680412371134021</v>
      </c>
      <c r="H25" s="31">
        <v>0.18041237113402062</v>
      </c>
      <c r="I25" s="32">
        <v>9159.0909090909099</v>
      </c>
      <c r="J25" s="32">
        <v>-8745.7142857142862</v>
      </c>
      <c r="K25" s="31">
        <v>0.22727272727272727</v>
      </c>
      <c r="L25" s="31">
        <v>0.21134020618556701</v>
      </c>
      <c r="M25" s="31">
        <v>0.11855670103092783</v>
      </c>
      <c r="N25" s="31">
        <v>0.65853658536585369</v>
      </c>
      <c r="O25" s="31">
        <v>0.21739130434782608</v>
      </c>
      <c r="P25" s="31">
        <v>0.56818181818181823</v>
      </c>
    </row>
    <row r="26" spans="1:16" x14ac:dyDescent="0.4">
      <c r="A26" s="33">
        <v>23</v>
      </c>
      <c r="B26" s="30">
        <v>-236.09999999999997</v>
      </c>
      <c r="C26" s="30">
        <v>-10.265217391304347</v>
      </c>
      <c r="D26" s="35">
        <v>2.1304347826086958</v>
      </c>
      <c r="E26" s="31">
        <v>0.30434782608695654</v>
      </c>
      <c r="F26" s="31">
        <v>0.43478260869565216</v>
      </c>
      <c r="G26" s="31">
        <v>0.23</v>
      </c>
      <c r="H26" s="31">
        <v>0.17499999999999999</v>
      </c>
      <c r="I26" s="32">
        <v>9195.652173913044</v>
      </c>
      <c r="J26" s="32">
        <v>-8745.7142857142862</v>
      </c>
      <c r="K26" s="31">
        <v>0.21739130434782608</v>
      </c>
      <c r="L26" s="31">
        <v>0.22</v>
      </c>
      <c r="M26" s="31">
        <v>0.115</v>
      </c>
      <c r="N26" s="31">
        <v>0.65909090909090906</v>
      </c>
      <c r="O26" s="31">
        <v>0.21739130434782608</v>
      </c>
      <c r="P26" s="31">
        <v>0.56521739130434778</v>
      </c>
    </row>
    <row r="27" spans="1:16" x14ac:dyDescent="0.4">
      <c r="A27" s="33">
        <v>24</v>
      </c>
      <c r="B27" s="30">
        <v>-216.59999999999997</v>
      </c>
      <c r="C27" s="30">
        <v>-9.0249999999999986</v>
      </c>
      <c r="D27" s="35">
        <v>2.0833333333333335</v>
      </c>
      <c r="E27" s="31">
        <v>0.33333333333333331</v>
      </c>
      <c r="F27" s="31">
        <v>0.41666666666666669</v>
      </c>
      <c r="G27" s="31">
        <v>0.23076923076923078</v>
      </c>
      <c r="H27" s="31">
        <v>0.17307692307692307</v>
      </c>
      <c r="I27" s="32">
        <v>9089.5833333333339</v>
      </c>
      <c r="J27" s="32">
        <v>-8538.8888888888887</v>
      </c>
      <c r="K27" s="31">
        <v>0.20833333333333334</v>
      </c>
      <c r="L27" s="31">
        <v>0.22115384615384615</v>
      </c>
      <c r="M27" s="31">
        <v>0.11538461538461539</v>
      </c>
      <c r="N27" s="31">
        <v>0.65217391304347827</v>
      </c>
      <c r="O27" s="31">
        <v>0.20833333333333334</v>
      </c>
      <c r="P27" s="31">
        <v>0.54166666666666663</v>
      </c>
    </row>
    <row r="28" spans="1:16" x14ac:dyDescent="0.4">
      <c r="A28" s="33">
        <v>25</v>
      </c>
      <c r="B28" s="30">
        <v>-242.69999999999996</v>
      </c>
      <c r="C28" s="30">
        <v>-9.7079999999999984</v>
      </c>
      <c r="D28" s="35">
        <v>2.08</v>
      </c>
      <c r="E28" s="31">
        <v>0.32</v>
      </c>
      <c r="F28" s="31">
        <v>0.4</v>
      </c>
      <c r="G28" s="31">
        <v>0.22119815668202766</v>
      </c>
      <c r="H28" s="31">
        <v>0.17972350230414746</v>
      </c>
      <c r="I28" s="32">
        <v>9089.5833333333339</v>
      </c>
      <c r="J28" s="32">
        <v>-8307.6923076923085</v>
      </c>
      <c r="K28" s="31">
        <v>0.2</v>
      </c>
      <c r="L28" s="31">
        <v>0.22119815668202766</v>
      </c>
      <c r="M28" s="31">
        <v>0.11059907834101383</v>
      </c>
      <c r="N28" s="31">
        <v>0.625</v>
      </c>
      <c r="O28" s="31">
        <v>0.20833333333333334</v>
      </c>
      <c r="P28" s="31">
        <v>0.54166666666666663</v>
      </c>
    </row>
    <row r="29" spans="1:16" x14ac:dyDescent="0.4">
      <c r="A29" s="33">
        <v>26</v>
      </c>
      <c r="B29" s="30">
        <v>-267.29999999999995</v>
      </c>
      <c r="C29" s="30">
        <v>-10.280769230769229</v>
      </c>
      <c r="D29" s="35">
        <v>2.1153846153846154</v>
      </c>
      <c r="E29" s="31">
        <v>0.30769230769230771</v>
      </c>
      <c r="F29" s="31">
        <v>0.42307692307692307</v>
      </c>
      <c r="G29" s="31">
        <v>0.22123893805309736</v>
      </c>
      <c r="H29" s="31">
        <v>0.18141592920353983</v>
      </c>
      <c r="I29" s="32">
        <v>9206</v>
      </c>
      <c r="J29" s="32">
        <v>-8321.9512195121952</v>
      </c>
      <c r="K29" s="31">
        <v>0.19230769230769232</v>
      </c>
      <c r="L29" s="31">
        <v>0.22123893805309736</v>
      </c>
      <c r="M29" s="31">
        <v>0.11061946902654868</v>
      </c>
      <c r="N29" s="31">
        <v>0.62</v>
      </c>
      <c r="O29" s="31">
        <v>0.2</v>
      </c>
      <c r="P29" s="31">
        <v>0.56000000000000005</v>
      </c>
    </row>
    <row r="30" spans="1:16" x14ac:dyDescent="0.4">
      <c r="A30" s="33">
        <v>27</v>
      </c>
      <c r="B30" s="30">
        <v>-264.79999999999995</v>
      </c>
      <c r="C30" s="30">
        <v>-9.8074074074074051</v>
      </c>
      <c r="D30" s="35">
        <v>2.1111111111111112</v>
      </c>
      <c r="E30" s="31">
        <v>0.29629629629629628</v>
      </c>
      <c r="F30" s="31">
        <v>0.40740740740740738</v>
      </c>
      <c r="G30" s="31">
        <v>0.22553191489361701</v>
      </c>
      <c r="H30" s="31">
        <v>0.18723404255319148</v>
      </c>
      <c r="I30" s="32">
        <v>9281.132075471698</v>
      </c>
      <c r="J30" s="32">
        <v>-8200</v>
      </c>
      <c r="K30" s="31">
        <v>0.18518518518518517</v>
      </c>
      <c r="L30" s="31">
        <v>0.22127659574468084</v>
      </c>
      <c r="M30" s="31">
        <v>0.1148936170212766</v>
      </c>
      <c r="N30" s="31">
        <v>0.61538461538461542</v>
      </c>
      <c r="O30" s="31">
        <v>0.22222222222222221</v>
      </c>
      <c r="P30" s="31">
        <v>0.54716981132075471</v>
      </c>
    </row>
    <row r="31" spans="1:16" x14ac:dyDescent="0.4">
      <c r="A31" s="33">
        <v>28</v>
      </c>
      <c r="B31" s="30">
        <v>-241.89999999999995</v>
      </c>
      <c r="C31" s="30">
        <v>-8.6392857142857125</v>
      </c>
      <c r="D31" s="35">
        <v>2.0714285714285716</v>
      </c>
      <c r="E31" s="31">
        <v>0.32142857142857145</v>
      </c>
      <c r="F31" s="31">
        <v>0.39285714285714285</v>
      </c>
      <c r="G31" s="31">
        <v>0.22857142857142856</v>
      </c>
      <c r="H31" s="31">
        <v>0.18367346938775511</v>
      </c>
      <c r="I31" s="32">
        <v>9282.1428571428569</v>
      </c>
      <c r="J31" s="32">
        <v>-8188.8888888888887</v>
      </c>
      <c r="K31" s="31">
        <v>0.17857142857142858</v>
      </c>
      <c r="L31" s="31">
        <v>0.23265306122448978</v>
      </c>
      <c r="M31" s="31">
        <v>0.11428571428571428</v>
      </c>
      <c r="N31" s="31">
        <v>0.59649122807017541</v>
      </c>
      <c r="O31" s="31">
        <v>0.25</v>
      </c>
      <c r="P31" s="31">
        <v>0.5357142857142857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  <row r="8" spans="1:17" x14ac:dyDescent="0.4">
      <c r="A8" s="33">
        <v>5</v>
      </c>
      <c r="B8" s="30">
        <v>-51.099999999999994</v>
      </c>
      <c r="C8" s="30">
        <v>-10.219999999999999</v>
      </c>
      <c r="D8" s="35">
        <v>2.2000000000000002</v>
      </c>
      <c r="E8" s="31">
        <v>0.2</v>
      </c>
      <c r="F8" s="31">
        <v>0.4</v>
      </c>
      <c r="G8" s="31">
        <v>0.23255813953488372</v>
      </c>
      <c r="H8" s="31">
        <v>0.20930232558139536</v>
      </c>
      <c r="I8" s="32">
        <v>8110</v>
      </c>
      <c r="J8" s="32">
        <v>-9233.3333333333339</v>
      </c>
      <c r="K8" s="31">
        <v>0</v>
      </c>
      <c r="L8" s="31">
        <v>0.20930232558139536</v>
      </c>
      <c r="M8" s="31">
        <v>0.2558139534883721</v>
      </c>
      <c r="N8" s="31">
        <v>0.22222222222222221</v>
      </c>
      <c r="O8" s="31">
        <v>0.45454545454545453</v>
      </c>
      <c r="P8" s="31">
        <v>0.3</v>
      </c>
    </row>
    <row r="9" spans="1:17" x14ac:dyDescent="0.4">
      <c r="A9" s="33">
        <v>6</v>
      </c>
      <c r="B9" s="30">
        <v>-78.199999999999989</v>
      </c>
      <c r="C9" s="30">
        <v>-13.033333333333331</v>
      </c>
      <c r="D9" s="35">
        <v>2.3333333333333335</v>
      </c>
      <c r="E9" s="31">
        <v>0.16666666666666666</v>
      </c>
      <c r="F9" s="31">
        <v>0.5</v>
      </c>
      <c r="G9" s="31">
        <v>0.22222222222222221</v>
      </c>
      <c r="H9" s="31">
        <v>0.22222222222222221</v>
      </c>
      <c r="I9" s="32">
        <v>7866.666666666667</v>
      </c>
      <c r="J9" s="32">
        <v>-8875</v>
      </c>
      <c r="K9" s="31">
        <v>0</v>
      </c>
      <c r="L9" s="31">
        <v>0.16666666666666666</v>
      </c>
      <c r="M9" s="31">
        <v>0.22222222222222221</v>
      </c>
      <c r="N9" s="31">
        <v>0.22222222222222221</v>
      </c>
      <c r="O9" s="31">
        <v>0.41666666666666669</v>
      </c>
      <c r="P9" s="31">
        <v>0.25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  <row r="22" spans="1:16" x14ac:dyDescent="0.4">
      <c r="A22" s="33">
        <v>19</v>
      </c>
      <c r="B22" s="30">
        <v>-108.30000000000001</v>
      </c>
      <c r="C22" s="30">
        <v>-5.7</v>
      </c>
      <c r="D22" s="35">
        <v>2.1578947368421053</v>
      </c>
      <c r="E22" s="31">
        <v>0.26315789473684209</v>
      </c>
      <c r="F22" s="31">
        <v>0.42105263157894735</v>
      </c>
      <c r="G22" s="31">
        <v>0.2361111111111111</v>
      </c>
      <c r="H22" s="31">
        <v>0.2013888888888889</v>
      </c>
      <c r="I22" s="32">
        <v>7926.4705882352937</v>
      </c>
      <c r="J22" s="32">
        <v>-7886.2068965517237</v>
      </c>
      <c r="K22" s="31">
        <v>0.10526315789473684</v>
      </c>
      <c r="L22" s="31">
        <v>0.2361111111111111</v>
      </c>
      <c r="M22" s="31">
        <v>0.1736111111111111</v>
      </c>
      <c r="N22" s="31">
        <v>0.47058823529411764</v>
      </c>
      <c r="O22" s="31">
        <v>0.32</v>
      </c>
      <c r="P22" s="31">
        <v>0.47058823529411764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7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  <row r="49" spans="1:16" x14ac:dyDescent="0.4">
      <c r="A49" s="33">
        <v>46</v>
      </c>
      <c r="B49" s="30">
        <v>230.89999999999995</v>
      </c>
      <c r="C49" s="30">
        <v>5.0195652173913032</v>
      </c>
      <c r="D49" s="35">
        <v>1.826086956521739</v>
      </c>
      <c r="E49" s="31">
        <v>0.41304347826086957</v>
      </c>
      <c r="F49" s="31">
        <v>0.2391304347826087</v>
      </c>
      <c r="G49" s="31">
        <v>0.32663316582914576</v>
      </c>
      <c r="H49" s="31">
        <v>0.11306532663316583</v>
      </c>
      <c r="I49" s="32">
        <v>7520.7692307692305</v>
      </c>
      <c r="J49" s="32">
        <v>-8017.7777777777774</v>
      </c>
      <c r="K49" s="31">
        <v>8.6956521739130432E-2</v>
      </c>
      <c r="L49" s="31">
        <v>0.20351758793969849</v>
      </c>
      <c r="M49" s="31">
        <v>0.26884422110552764</v>
      </c>
      <c r="N49" s="31">
        <v>0.53086419753086422</v>
      </c>
      <c r="O49" s="31">
        <v>0.41121495327102803</v>
      </c>
      <c r="P49" s="31">
        <v>0.40769230769230769</v>
      </c>
    </row>
    <row r="50" spans="1:16" x14ac:dyDescent="0.4">
      <c r="A50" s="33">
        <v>47</v>
      </c>
      <c r="B50" s="30">
        <v>222.99999999999994</v>
      </c>
      <c r="C50" s="30">
        <v>4.744680851063829</v>
      </c>
      <c r="D50" s="35">
        <v>1.8297872340425532</v>
      </c>
      <c r="E50" s="31">
        <v>0.40425531914893614</v>
      </c>
      <c r="F50" s="31">
        <v>0.23404255319148937</v>
      </c>
      <c r="G50" s="31">
        <v>0.32839506172839505</v>
      </c>
      <c r="H50" s="31">
        <v>0.11604938271604938</v>
      </c>
      <c r="I50" s="32">
        <v>7401.5037593984962</v>
      </c>
      <c r="J50" s="32">
        <v>-7774.4680851063831</v>
      </c>
      <c r="K50" s="31">
        <v>8.5106382978723402E-2</v>
      </c>
      <c r="L50" s="31">
        <v>0.20246913580246914</v>
      </c>
      <c r="M50" s="31">
        <v>0.26913580246913582</v>
      </c>
      <c r="N50" s="31">
        <v>0.52439024390243905</v>
      </c>
      <c r="O50" s="31">
        <v>0.40366972477064222</v>
      </c>
      <c r="P50" s="31">
        <v>0.40601503759398494</v>
      </c>
    </row>
    <row r="51" spans="1:16" x14ac:dyDescent="0.4">
      <c r="A51" s="33">
        <v>48</v>
      </c>
      <c r="B51" s="30">
        <v>261.89999999999992</v>
      </c>
      <c r="C51" s="30">
        <v>5.456249999999998</v>
      </c>
      <c r="D51" s="35">
        <v>1.8125</v>
      </c>
      <c r="E51" s="31">
        <v>0.41666666666666669</v>
      </c>
      <c r="F51" s="31">
        <v>0.22916666666666666</v>
      </c>
      <c r="G51" s="31">
        <v>0.33574879227053139</v>
      </c>
      <c r="H51" s="31">
        <v>0.11352657004830918</v>
      </c>
      <c r="I51" s="32">
        <v>7306.4748201438852</v>
      </c>
      <c r="J51" s="32">
        <v>-7774.4680851063831</v>
      </c>
      <c r="K51" s="31">
        <v>8.3333333333333329E-2</v>
      </c>
      <c r="L51" s="31">
        <v>0.20289855072463769</v>
      </c>
      <c r="M51" s="31">
        <v>0.27294685990338163</v>
      </c>
      <c r="N51" s="31">
        <v>0.52380952380952384</v>
      </c>
      <c r="O51" s="31">
        <v>0.41592920353982299</v>
      </c>
      <c r="P51" s="31">
        <v>0.39568345323741005</v>
      </c>
    </row>
    <row r="52" spans="1:16" x14ac:dyDescent="0.4">
      <c r="A52" s="33">
        <v>49</v>
      </c>
      <c r="B52" s="30">
        <v>248.19999999999993</v>
      </c>
      <c r="C52" s="30">
        <v>5.0653061224489786</v>
      </c>
      <c r="D52" s="35">
        <v>1.8367346938775511</v>
      </c>
      <c r="E52" s="31">
        <v>0.40816326530612246</v>
      </c>
      <c r="F52" s="31">
        <v>0.24489795918367346</v>
      </c>
      <c r="G52" s="31">
        <v>0.33412322274881517</v>
      </c>
      <c r="H52" s="31">
        <v>0.11611374407582939</v>
      </c>
      <c r="I52" s="32">
        <v>7300</v>
      </c>
      <c r="J52" s="32">
        <v>-7693.8775510204077</v>
      </c>
      <c r="K52" s="31">
        <v>8.1632653061224483E-2</v>
      </c>
      <c r="L52" s="31">
        <v>0.2014218009478673</v>
      </c>
      <c r="M52" s="31">
        <v>0.27488151658767773</v>
      </c>
      <c r="N52" s="31">
        <v>0.52941176470588236</v>
      </c>
      <c r="O52" s="31">
        <v>0.41379310344827586</v>
      </c>
      <c r="P52" s="31">
        <v>0.3971631205673759</v>
      </c>
    </row>
    <row r="53" spans="1:16" x14ac:dyDescent="0.4">
      <c r="A53" s="33">
        <v>50</v>
      </c>
      <c r="B53" s="30">
        <v>231.29999999999993</v>
      </c>
      <c r="C53" s="30">
        <v>4.6259999999999986</v>
      </c>
      <c r="D53" s="35">
        <v>1.84</v>
      </c>
      <c r="E53" s="31">
        <v>0.4</v>
      </c>
      <c r="F53" s="31">
        <v>0.24</v>
      </c>
      <c r="G53" s="31">
        <v>0.32943925233644861</v>
      </c>
      <c r="H53" s="31">
        <v>0.1191588785046729</v>
      </c>
      <c r="I53" s="32">
        <v>7300</v>
      </c>
      <c r="J53" s="32">
        <v>-7507.8431372549021</v>
      </c>
      <c r="K53" s="31">
        <v>0.08</v>
      </c>
      <c r="L53" s="31">
        <v>0.19859813084112149</v>
      </c>
      <c r="M53" s="31">
        <v>0.2780373831775701</v>
      </c>
      <c r="N53" s="31">
        <v>0.52941176470588236</v>
      </c>
      <c r="O53" s="31">
        <v>0.40336134453781514</v>
      </c>
      <c r="P53" s="31">
        <v>0.3971631205673759</v>
      </c>
    </row>
    <row r="54" spans="1:16" x14ac:dyDescent="0.4">
      <c r="A54" s="33">
        <v>51</v>
      </c>
      <c r="B54" s="30">
        <v>261.49999999999994</v>
      </c>
      <c r="C54" s="30">
        <v>5.1274509803921555</v>
      </c>
      <c r="D54" s="35">
        <v>1.8235294117647058</v>
      </c>
      <c r="E54" s="31">
        <v>0.41176470588235292</v>
      </c>
      <c r="F54" s="31">
        <v>0.23529411764705882</v>
      </c>
      <c r="G54" s="31">
        <v>0.33179723502304148</v>
      </c>
      <c r="H54" s="31">
        <v>0.11751152073732719</v>
      </c>
      <c r="I54" s="32">
        <v>7267.3611111111113</v>
      </c>
      <c r="J54" s="32">
        <v>-7507.8431372549021</v>
      </c>
      <c r="K54" s="31">
        <v>7.8431372549019607E-2</v>
      </c>
      <c r="L54" s="31">
        <v>0.20046082949308755</v>
      </c>
      <c r="M54" s="31">
        <v>0.27419354838709675</v>
      </c>
      <c r="N54" s="31">
        <v>0.54022988505747127</v>
      </c>
      <c r="O54" s="31">
        <v>0.40336134453781514</v>
      </c>
      <c r="P54" s="31">
        <v>0.40277777777777779</v>
      </c>
    </row>
    <row r="55" spans="1:16" x14ac:dyDescent="0.4">
      <c r="A55" s="33">
        <v>52</v>
      </c>
      <c r="B55" s="30">
        <v>297.99999999999994</v>
      </c>
      <c r="C55" s="30">
        <v>5.7307692307692299</v>
      </c>
      <c r="D55" s="35">
        <v>1.8076923076923077</v>
      </c>
      <c r="E55" s="31">
        <v>0.42307692307692307</v>
      </c>
      <c r="F55" s="31">
        <v>0.23076923076923078</v>
      </c>
      <c r="G55" s="31">
        <v>0.3355855855855856</v>
      </c>
      <c r="H55" s="31">
        <v>0.11711711711711711</v>
      </c>
      <c r="I55" s="32">
        <v>7322.1476510067114</v>
      </c>
      <c r="J55" s="32">
        <v>-7671.1538461538457</v>
      </c>
      <c r="K55" s="31">
        <v>7.6923076923076927E-2</v>
      </c>
      <c r="L55" s="31">
        <v>0.20045045045045046</v>
      </c>
      <c r="M55" s="31">
        <v>0.2747747747747748</v>
      </c>
      <c r="N55" s="31">
        <v>0.550561797752809</v>
      </c>
      <c r="O55" s="31">
        <v>0.40163934426229508</v>
      </c>
      <c r="P55" s="31">
        <v>0.40939597315436244</v>
      </c>
    </row>
    <row r="56" spans="1:16" x14ac:dyDescent="0.4">
      <c r="A56" s="33">
        <v>53</v>
      </c>
      <c r="B56" s="30">
        <v>300.39999999999992</v>
      </c>
      <c r="C56" s="30">
        <v>5.6679245283018851</v>
      </c>
      <c r="D56" s="35">
        <v>1.8113207547169812</v>
      </c>
      <c r="E56" s="31">
        <v>0.41509433962264153</v>
      </c>
      <c r="F56" s="31">
        <v>0.22641509433962265</v>
      </c>
      <c r="G56" s="31">
        <v>0.33555555555555555</v>
      </c>
      <c r="H56" s="31">
        <v>0.12</v>
      </c>
      <c r="I56" s="32">
        <v>7384.1059602649011</v>
      </c>
      <c r="J56" s="32">
        <v>-7731.4814814814818</v>
      </c>
      <c r="K56" s="31">
        <v>7.5471698113207544E-2</v>
      </c>
      <c r="L56" s="31">
        <v>0.19777777777777777</v>
      </c>
      <c r="M56" s="31">
        <v>0.27555555555555555</v>
      </c>
      <c r="N56" s="31">
        <v>0.550561797752809</v>
      </c>
      <c r="O56" s="31">
        <v>0.40322580645161288</v>
      </c>
      <c r="P56" s="31">
        <v>0.40397350993377484</v>
      </c>
    </row>
    <row r="57" spans="1:16" x14ac:dyDescent="0.4">
      <c r="A57" s="33">
        <v>54</v>
      </c>
      <c r="B57" s="30">
        <v>306.09999999999991</v>
      </c>
      <c r="C57" s="30">
        <v>5.6685185185185167</v>
      </c>
      <c r="D57" s="35">
        <v>1.8148148148148149</v>
      </c>
      <c r="E57" s="31">
        <v>0.40740740740740738</v>
      </c>
      <c r="F57" s="31">
        <v>0.22222222222222221</v>
      </c>
      <c r="G57" s="31">
        <v>0.33839479392624727</v>
      </c>
      <c r="H57" s="31">
        <v>0.11713665943600868</v>
      </c>
      <c r="I57" s="32">
        <v>7321.7948717948721</v>
      </c>
      <c r="J57" s="32">
        <v>-7731.4814814814818</v>
      </c>
      <c r="K57" s="31">
        <v>7.407407407407407E-2</v>
      </c>
      <c r="L57" s="31">
        <v>0.19956616052060738</v>
      </c>
      <c r="M57" s="31">
        <v>0.27765726681127983</v>
      </c>
      <c r="N57" s="31">
        <v>0.54347826086956519</v>
      </c>
      <c r="O57" s="31">
        <v>0.421875</v>
      </c>
      <c r="P57" s="31">
        <v>0.40384615384615385</v>
      </c>
    </row>
    <row r="58" spans="1:16" x14ac:dyDescent="0.4">
      <c r="A58" s="33">
        <v>55</v>
      </c>
      <c r="B58" s="30">
        <v>307.09999999999991</v>
      </c>
      <c r="C58" s="30">
        <v>5.5836363636363622</v>
      </c>
      <c r="D58" s="35">
        <v>1.8181818181818181</v>
      </c>
      <c r="E58" s="31">
        <v>0.4</v>
      </c>
      <c r="F58" s="31">
        <v>0.21818181818181817</v>
      </c>
      <c r="G58" s="31">
        <v>0.33832976445396146</v>
      </c>
      <c r="H58" s="31">
        <v>0.11563169164882227</v>
      </c>
      <c r="I58" s="32">
        <v>7292.4050632911394</v>
      </c>
      <c r="J58" s="32">
        <v>-7731.4814814814818</v>
      </c>
      <c r="K58" s="31">
        <v>7.2727272727272724E-2</v>
      </c>
      <c r="L58" s="31">
        <v>0.19914346895074947</v>
      </c>
      <c r="M58" s="31">
        <v>0.27837259100642398</v>
      </c>
      <c r="N58" s="31">
        <v>0.5376344086021505</v>
      </c>
      <c r="O58" s="31">
        <v>0.43076923076923079</v>
      </c>
      <c r="P58" s="31">
        <v>0.39873417721518989</v>
      </c>
    </row>
    <row r="59" spans="1:16" x14ac:dyDescent="0.4">
      <c r="A59" s="33">
        <v>56</v>
      </c>
      <c r="B59" s="30">
        <v>275.2999999999999</v>
      </c>
      <c r="C59" s="30">
        <v>4.9160714285714269</v>
      </c>
      <c r="D59" s="35">
        <v>1.8392857142857142</v>
      </c>
      <c r="E59" s="31">
        <v>0.39285714285714285</v>
      </c>
      <c r="F59" s="31">
        <v>0.23214285714285715</v>
      </c>
      <c r="G59" s="31">
        <v>0.33540372670807456</v>
      </c>
      <c r="H59" s="31">
        <v>0.12215320910973085</v>
      </c>
      <c r="I59" s="32">
        <v>7298.7654320987658</v>
      </c>
      <c r="J59" s="32">
        <v>-7877.9661016949149</v>
      </c>
      <c r="K59" s="31">
        <v>7.1428571428571425E-2</v>
      </c>
      <c r="L59" s="31">
        <v>0.20082815734989648</v>
      </c>
      <c r="M59" s="31">
        <v>0.2691511387163561</v>
      </c>
      <c r="N59" s="31">
        <v>0.53608247422680411</v>
      </c>
      <c r="O59" s="31">
        <v>0.43076923076923079</v>
      </c>
      <c r="P59" s="31">
        <v>0.39506172839506171</v>
      </c>
    </row>
    <row r="60" spans="1:16" x14ac:dyDescent="0.4">
      <c r="A60" s="33">
        <v>57</v>
      </c>
      <c r="B60" s="30">
        <v>302.19999999999987</v>
      </c>
      <c r="C60" s="30">
        <v>5.3017543859649097</v>
      </c>
      <c r="D60" s="35">
        <v>1.8245614035087718</v>
      </c>
      <c r="E60" s="31">
        <v>0.40350877192982454</v>
      </c>
      <c r="F60" s="31">
        <v>0.22807017543859648</v>
      </c>
      <c r="G60" s="31">
        <v>0.33604887983706722</v>
      </c>
      <c r="H60" s="31">
        <v>0.12016293279022404</v>
      </c>
      <c r="I60" s="32">
        <v>7335.151515151515</v>
      </c>
      <c r="J60" s="32">
        <v>-7877.9661016949149</v>
      </c>
      <c r="K60" s="31">
        <v>7.0175438596491224E-2</v>
      </c>
      <c r="L60" s="31">
        <v>0.19755600814663951</v>
      </c>
      <c r="M60" s="31">
        <v>0.2708757637474542</v>
      </c>
      <c r="N60" s="31">
        <v>0.53608247422680411</v>
      </c>
      <c r="O60" s="31">
        <v>0.43609022556390975</v>
      </c>
      <c r="P60" s="31">
        <v>0.4</v>
      </c>
    </row>
    <row r="61" spans="1:16" x14ac:dyDescent="0.4">
      <c r="A61" s="33">
        <v>58</v>
      </c>
      <c r="B61" s="30">
        <v>359.19999999999987</v>
      </c>
      <c r="C61" s="30">
        <v>6.1931034482758598</v>
      </c>
      <c r="D61" s="35">
        <v>1.8103448275862069</v>
      </c>
      <c r="E61" s="31">
        <v>0.41379310344827586</v>
      </c>
      <c r="F61" s="31">
        <v>0.22413793103448276</v>
      </c>
      <c r="G61" s="31">
        <v>0.34337349397590361</v>
      </c>
      <c r="H61" s="31">
        <v>0.11847389558232932</v>
      </c>
      <c r="I61" s="32">
        <v>7326.3157894736842</v>
      </c>
      <c r="J61" s="32">
        <v>-7877.9661016949149</v>
      </c>
      <c r="K61" s="31">
        <v>6.8965517241379309E-2</v>
      </c>
      <c r="L61" s="31">
        <v>0.20281124497991967</v>
      </c>
      <c r="M61" s="31">
        <v>0.27108433734939757</v>
      </c>
      <c r="N61" s="31">
        <v>0.5544554455445545</v>
      </c>
      <c r="O61" s="31">
        <v>0.44444444444444442</v>
      </c>
      <c r="P61" s="31">
        <v>0.391812865497076</v>
      </c>
    </row>
    <row r="62" spans="1:16" x14ac:dyDescent="0.4">
      <c r="A62" s="33">
        <v>59</v>
      </c>
      <c r="B62" s="30">
        <v>367.49999999999989</v>
      </c>
      <c r="C62" s="30">
        <v>6.228813559322032</v>
      </c>
      <c r="D62" s="35">
        <v>1.8135593220338984</v>
      </c>
      <c r="E62" s="31">
        <v>0.40677966101694918</v>
      </c>
      <c r="F62" s="31">
        <v>0.22033898305084745</v>
      </c>
      <c r="G62" s="31">
        <v>0.34387351778656128</v>
      </c>
      <c r="H62" s="31">
        <v>0.11857707509881422</v>
      </c>
      <c r="I62" s="32">
        <v>7296.5517241379312</v>
      </c>
      <c r="J62" s="32">
        <v>-7780</v>
      </c>
      <c r="K62" s="31">
        <v>6.7796610169491525E-2</v>
      </c>
      <c r="L62" s="31">
        <v>0.2075098814229249</v>
      </c>
      <c r="M62" s="31">
        <v>0.27075098814229248</v>
      </c>
      <c r="N62" s="31">
        <v>0.55238095238095242</v>
      </c>
      <c r="O62" s="31">
        <v>0.44525547445255476</v>
      </c>
      <c r="P62" s="31">
        <v>0.39655172413793105</v>
      </c>
    </row>
    <row r="63" spans="1:16" x14ac:dyDescent="0.4">
      <c r="A63" s="33">
        <v>60</v>
      </c>
      <c r="B63" s="30">
        <v>370.09999999999991</v>
      </c>
      <c r="C63" s="30">
        <v>6.1683333333333321</v>
      </c>
      <c r="D63" s="35">
        <v>1.8166666666666667</v>
      </c>
      <c r="E63" s="31">
        <v>0.4</v>
      </c>
      <c r="F63" s="31">
        <v>0.21666666666666667</v>
      </c>
      <c r="G63" s="31">
        <v>0.34689922480620156</v>
      </c>
      <c r="H63" s="31">
        <v>0.11627906976744186</v>
      </c>
      <c r="I63" s="32">
        <v>7253.0726256983244</v>
      </c>
      <c r="J63" s="32">
        <v>-7780</v>
      </c>
      <c r="K63" s="31">
        <v>6.6666666666666666E-2</v>
      </c>
      <c r="L63" s="31">
        <v>0.21124031007751937</v>
      </c>
      <c r="M63" s="31">
        <v>0.27131782945736432</v>
      </c>
      <c r="N63" s="31">
        <v>0.55963302752293576</v>
      </c>
      <c r="O63" s="31">
        <v>0.45</v>
      </c>
      <c r="P63" s="31">
        <v>0.4022346368715084</v>
      </c>
    </row>
    <row r="64" spans="1:16" x14ac:dyDescent="0.4">
      <c r="A64" s="33">
        <v>61</v>
      </c>
      <c r="B64" s="30">
        <v>326.19999999999993</v>
      </c>
      <c r="C64" s="30">
        <v>5.3475409836065566</v>
      </c>
      <c r="D64" s="35">
        <v>1.8360655737704918</v>
      </c>
      <c r="E64" s="31">
        <v>0.39344262295081966</v>
      </c>
      <c r="F64" s="31">
        <v>0.22950819672131148</v>
      </c>
      <c r="G64" s="31">
        <v>0.34476190476190477</v>
      </c>
      <c r="H64" s="31">
        <v>0.1180952380952381</v>
      </c>
      <c r="I64" s="32">
        <v>7228.1767955801106</v>
      </c>
      <c r="J64" s="32">
        <v>-7916.1290322580644</v>
      </c>
      <c r="K64" s="31">
        <v>6.5573770491803282E-2</v>
      </c>
      <c r="L64" s="31">
        <v>0.20952380952380953</v>
      </c>
      <c r="M64" s="31">
        <v>0.27238095238095239</v>
      </c>
      <c r="N64" s="31">
        <v>0.5636363636363636</v>
      </c>
      <c r="O64" s="31">
        <v>0.44755244755244755</v>
      </c>
      <c r="P64" s="31">
        <v>0.39779005524861877</v>
      </c>
    </row>
    <row r="65" spans="1:16" x14ac:dyDescent="0.4">
      <c r="A65" s="33">
        <v>62</v>
      </c>
      <c r="B65" s="30">
        <v>401.89999999999992</v>
      </c>
      <c r="C65" s="30">
        <v>6.4822580645161274</v>
      </c>
      <c r="D65" s="35">
        <v>1.8225806451612903</v>
      </c>
      <c r="E65" s="31">
        <v>0.40322580645161288</v>
      </c>
      <c r="F65" s="31">
        <v>0.22580645161290322</v>
      </c>
      <c r="G65" s="31">
        <v>0.34774436090225563</v>
      </c>
      <c r="H65" s="31">
        <v>0.11654135338345864</v>
      </c>
      <c r="I65" s="32">
        <v>7372.9729729729734</v>
      </c>
      <c r="J65" s="32">
        <v>-7916.1290322580644</v>
      </c>
      <c r="K65" s="31">
        <v>6.4516129032258063E-2</v>
      </c>
      <c r="L65" s="31">
        <v>0.21052631578947367</v>
      </c>
      <c r="M65" s="31">
        <v>0.27255639097744361</v>
      </c>
      <c r="N65" s="31">
        <v>0.5625</v>
      </c>
      <c r="O65" s="31">
        <v>0.44827586206896552</v>
      </c>
      <c r="P65" s="31">
        <v>0.38918918918918921</v>
      </c>
    </row>
    <row r="66" spans="1:16" x14ac:dyDescent="0.4">
      <c r="A66" s="33">
        <v>63</v>
      </c>
      <c r="B66" s="30">
        <v>431.39999999999992</v>
      </c>
      <c r="C66" s="30">
        <v>6.8476190476190464</v>
      </c>
      <c r="D66" s="35">
        <v>1.8095238095238095</v>
      </c>
      <c r="E66" s="31">
        <v>0.41269841269841268</v>
      </c>
      <c r="F66" s="31">
        <v>0.22222222222222221</v>
      </c>
      <c r="G66" s="31">
        <v>0.34944237918215615</v>
      </c>
      <c r="H66" s="31">
        <v>0.11895910780669144</v>
      </c>
      <c r="I66" s="32">
        <v>7432.4468085106382</v>
      </c>
      <c r="J66" s="32">
        <v>-7814.0625</v>
      </c>
      <c r="K66" s="31">
        <v>6.3492063492063489E-2</v>
      </c>
      <c r="L66" s="31">
        <v>0.21189591078066913</v>
      </c>
      <c r="M66" s="31">
        <v>0.27137546468401486</v>
      </c>
      <c r="N66" s="31">
        <v>0.56140350877192979</v>
      </c>
      <c r="O66" s="31">
        <v>0.4452054794520548</v>
      </c>
      <c r="P66" s="31">
        <v>0.39361702127659576</v>
      </c>
    </row>
    <row r="67" spans="1:16" x14ac:dyDescent="0.4">
      <c r="A67" s="33">
        <v>64</v>
      </c>
      <c r="B67" s="30">
        <v>414.99999999999994</v>
      </c>
      <c r="C67" s="30">
        <v>6.4843749999999991</v>
      </c>
      <c r="D67" s="35">
        <v>1.828125</v>
      </c>
      <c r="E67" s="31">
        <v>0.40625</v>
      </c>
      <c r="F67" s="31">
        <v>0.234375</v>
      </c>
      <c r="G67" s="31">
        <v>0.34615384615384615</v>
      </c>
      <c r="H67" s="31">
        <v>0.12087912087912088</v>
      </c>
      <c r="I67" s="32">
        <v>7403.7037037037035</v>
      </c>
      <c r="J67" s="32">
        <v>-7636.363636363636</v>
      </c>
      <c r="K67" s="31">
        <v>6.25E-2</v>
      </c>
      <c r="L67" s="31">
        <v>0.21428571428571427</v>
      </c>
      <c r="M67" s="31">
        <v>0.27472527472527475</v>
      </c>
      <c r="N67" s="31">
        <v>0.54700854700854706</v>
      </c>
      <c r="O67" s="31">
        <v>0.44</v>
      </c>
      <c r="P67" s="31">
        <v>0.39153439153439151</v>
      </c>
    </row>
    <row r="68" spans="1:16" x14ac:dyDescent="0.4">
      <c r="A68" s="33">
        <v>65</v>
      </c>
      <c r="B68" s="30">
        <v>411.49999999999994</v>
      </c>
      <c r="C68" s="30">
        <v>6.3307692307692296</v>
      </c>
      <c r="D68" s="35">
        <v>1.8307692307692307</v>
      </c>
      <c r="E68" s="31">
        <v>0.4</v>
      </c>
      <c r="F68" s="31">
        <v>0.23076923076923078</v>
      </c>
      <c r="G68" s="31">
        <v>0.34719710669077758</v>
      </c>
      <c r="H68" s="31">
        <v>0.12115732368896925</v>
      </c>
      <c r="I68" s="32">
        <v>7370.833333333333</v>
      </c>
      <c r="J68" s="32">
        <v>-7565.6716417910447</v>
      </c>
      <c r="K68" s="31">
        <v>6.1538461538461542E-2</v>
      </c>
      <c r="L68" s="31">
        <v>0.21518987341772153</v>
      </c>
      <c r="M68" s="31">
        <v>0.27305605786618448</v>
      </c>
      <c r="N68" s="31">
        <v>0.54621848739495793</v>
      </c>
      <c r="O68" s="31">
        <v>0.4370860927152318</v>
      </c>
      <c r="P68" s="31">
        <v>0.390625</v>
      </c>
    </row>
    <row r="69" spans="1:16" x14ac:dyDescent="0.4">
      <c r="A69" s="33">
        <v>66</v>
      </c>
      <c r="B69" s="30">
        <v>444.59999999999997</v>
      </c>
      <c r="C69" s="30">
        <v>6.7363636363636354</v>
      </c>
      <c r="D69" s="35">
        <v>1.8181818181818181</v>
      </c>
      <c r="E69" s="31">
        <v>0.40909090909090912</v>
      </c>
      <c r="F69" s="31">
        <v>0.22727272727272727</v>
      </c>
      <c r="G69" s="31">
        <v>0.34759358288770054</v>
      </c>
      <c r="H69" s="31">
        <v>0.12121212121212122</v>
      </c>
      <c r="I69" s="32">
        <v>7493.333333333333</v>
      </c>
      <c r="J69" s="32">
        <v>-7492.6470588235297</v>
      </c>
      <c r="K69" s="31">
        <v>6.0606060606060608E-2</v>
      </c>
      <c r="L69" s="31">
        <v>0.21925133689839571</v>
      </c>
      <c r="M69" s="31">
        <v>0.27094474153297682</v>
      </c>
      <c r="N69" s="31">
        <v>0.55284552845528456</v>
      </c>
      <c r="O69" s="31">
        <v>0.43421052631578949</v>
      </c>
      <c r="P69" s="31">
        <v>0.39487179487179486</v>
      </c>
    </row>
    <row r="70" spans="1:16" x14ac:dyDescent="0.4">
      <c r="A70" s="33">
        <v>67</v>
      </c>
      <c r="B70" s="30">
        <v>437.4</v>
      </c>
      <c r="C70" s="30">
        <v>6.5283582089552237</v>
      </c>
      <c r="D70" s="35">
        <v>1.8208955223880596</v>
      </c>
      <c r="E70" s="31">
        <v>0.40298507462686567</v>
      </c>
      <c r="F70" s="31">
        <v>0.22388059701492538</v>
      </c>
      <c r="G70" s="31">
        <v>0.34622144112478032</v>
      </c>
      <c r="H70" s="31">
        <v>0.1195079086115993</v>
      </c>
      <c r="I70" s="32">
        <v>7488.8324873096444</v>
      </c>
      <c r="J70" s="32">
        <v>-7492.6470588235297</v>
      </c>
      <c r="K70" s="31">
        <v>5.9701492537313432E-2</v>
      </c>
      <c r="L70" s="31">
        <v>0.21616871704745166</v>
      </c>
      <c r="M70" s="31">
        <v>0.27592267135325133</v>
      </c>
      <c r="N70" s="31">
        <v>0.55284552845528456</v>
      </c>
      <c r="O70" s="31">
        <v>0.43312101910828027</v>
      </c>
      <c r="P70" s="31">
        <v>0.39593908629441626</v>
      </c>
    </row>
    <row r="71" spans="1:16" x14ac:dyDescent="0.4">
      <c r="A71" s="33">
        <v>68</v>
      </c>
      <c r="B71" s="30">
        <v>410.7</v>
      </c>
      <c r="C71" s="30">
        <v>6.0397058823529406</v>
      </c>
      <c r="D71" s="35">
        <v>1.838235294117647</v>
      </c>
      <c r="E71" s="31">
        <v>0.39705882352941174</v>
      </c>
      <c r="F71" s="31">
        <v>0.23529411764705882</v>
      </c>
      <c r="G71" s="31">
        <v>0.34488734835355284</v>
      </c>
      <c r="H71" s="31">
        <v>0.12131715771230503</v>
      </c>
      <c r="I71" s="32">
        <v>7572.86432160804</v>
      </c>
      <c r="J71" s="32">
        <v>-7678.5714285714284</v>
      </c>
      <c r="K71" s="31">
        <v>5.8823529411764705E-2</v>
      </c>
      <c r="L71" s="31">
        <v>0.21317157712305027</v>
      </c>
      <c r="M71" s="31">
        <v>0.27902946273830154</v>
      </c>
      <c r="N71" s="31">
        <v>0.55284552845528456</v>
      </c>
      <c r="O71" s="31">
        <v>0.42857142857142855</v>
      </c>
      <c r="P71" s="31">
        <v>0.39195979899497485</v>
      </c>
    </row>
    <row r="72" spans="1:16" x14ac:dyDescent="0.4">
      <c r="A72" s="33">
        <v>69</v>
      </c>
      <c r="B72" s="30">
        <v>404.4</v>
      </c>
      <c r="C72" s="30">
        <v>5.8608695652173912</v>
      </c>
      <c r="D72" s="35">
        <v>1.8405797101449275</v>
      </c>
      <c r="E72" s="31">
        <v>0.39130434782608697</v>
      </c>
      <c r="F72" s="31">
        <v>0.2318840579710145</v>
      </c>
      <c r="G72" s="31">
        <v>0.34305317324185247</v>
      </c>
      <c r="H72" s="31">
        <v>0.1234991423670669</v>
      </c>
      <c r="I72" s="32">
        <v>7655</v>
      </c>
      <c r="J72" s="32">
        <v>-7743.0555555555557</v>
      </c>
      <c r="K72" s="31">
        <v>5.7971014492753624E-2</v>
      </c>
      <c r="L72" s="31">
        <v>0.21269296740994853</v>
      </c>
      <c r="M72" s="31">
        <v>0.27787307032590053</v>
      </c>
      <c r="N72" s="31">
        <v>0.55645161290322576</v>
      </c>
      <c r="O72" s="31">
        <v>0.42592592592592593</v>
      </c>
      <c r="P72" s="31">
        <v>0.39</v>
      </c>
    </row>
    <row r="73" spans="1:16" x14ac:dyDescent="0.4">
      <c r="A73" s="33">
        <v>70</v>
      </c>
      <c r="B73" s="30">
        <v>392.9</v>
      </c>
      <c r="C73" s="30">
        <v>5.6128571428571421</v>
      </c>
      <c r="D73" s="35">
        <v>1.8571428571428572</v>
      </c>
      <c r="E73" s="31">
        <v>0.38571428571428573</v>
      </c>
      <c r="F73" s="31">
        <v>0.24285714285714285</v>
      </c>
      <c r="G73" s="31">
        <v>0.34517766497461927</v>
      </c>
      <c r="H73" s="31">
        <v>0.12351945854483926</v>
      </c>
      <c r="I73" s="32">
        <v>7693.1372549019607</v>
      </c>
      <c r="J73" s="32">
        <v>-8130.1369863013697</v>
      </c>
      <c r="K73" s="31">
        <v>5.7142857142857141E-2</v>
      </c>
      <c r="L73" s="31">
        <v>0.21319796954314721</v>
      </c>
      <c r="M73" s="31">
        <v>0.27749576988155666</v>
      </c>
      <c r="N73" s="31">
        <v>0.56349206349206349</v>
      </c>
      <c r="O73" s="31">
        <v>0.42682926829268292</v>
      </c>
      <c r="P73" s="31">
        <v>0.39215686274509803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5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  <row r="46" spans="1:16" x14ac:dyDescent="0.4">
      <c r="A46" s="33">
        <v>43</v>
      </c>
      <c r="B46" s="30">
        <v>148.29999999999998</v>
      </c>
      <c r="C46" s="30">
        <v>3.4488372093023254</v>
      </c>
      <c r="D46" s="35">
        <v>1.930232558139535</v>
      </c>
      <c r="E46" s="31">
        <v>0.39534883720930231</v>
      </c>
      <c r="F46" s="31">
        <v>0.32558139534883723</v>
      </c>
      <c r="G46" s="31">
        <v>0.3024523160762943</v>
      </c>
      <c r="H46" s="31">
        <v>0.13079019073569481</v>
      </c>
      <c r="I46" s="32">
        <v>7886.4864864864867</v>
      </c>
      <c r="J46" s="32">
        <v>-6579.166666666667</v>
      </c>
      <c r="K46" s="31">
        <v>4.6511627906976744E-2</v>
      </c>
      <c r="L46" s="31">
        <v>0.21253405994550409</v>
      </c>
      <c r="M46" s="31">
        <v>0.20435967302452315</v>
      </c>
      <c r="N46" s="31">
        <v>0.58974358974358976</v>
      </c>
      <c r="O46" s="31">
        <v>0.49333333333333335</v>
      </c>
      <c r="P46" s="31">
        <v>0.43243243243243246</v>
      </c>
    </row>
    <row r="47" spans="1:16" x14ac:dyDescent="0.4">
      <c r="A47" s="33">
        <v>44</v>
      </c>
      <c r="B47" s="30">
        <v>143.19999999999999</v>
      </c>
      <c r="C47" s="30">
        <v>3.2545454545454544</v>
      </c>
      <c r="D47" s="35">
        <v>1.9318181818181819</v>
      </c>
      <c r="E47" s="31">
        <v>0.38636363636363635</v>
      </c>
      <c r="F47" s="31">
        <v>0.31818181818181818</v>
      </c>
      <c r="G47" s="31">
        <v>0.30158730158730157</v>
      </c>
      <c r="H47" s="31">
        <v>0.13492063492063491</v>
      </c>
      <c r="I47" s="32">
        <v>7921.9298245614036</v>
      </c>
      <c r="J47" s="32">
        <v>-6609.8039215686276</v>
      </c>
      <c r="K47" s="31">
        <v>4.5454545454545456E-2</v>
      </c>
      <c r="L47" s="31">
        <v>0.21164021164021163</v>
      </c>
      <c r="M47" s="31">
        <v>0.20899470899470898</v>
      </c>
      <c r="N47" s="31">
        <v>0.58750000000000002</v>
      </c>
      <c r="O47" s="31">
        <v>0.49367088607594939</v>
      </c>
      <c r="P47" s="31">
        <v>0.42982456140350878</v>
      </c>
    </row>
    <row r="48" spans="1:16" x14ac:dyDescent="0.4">
      <c r="A48" s="33">
        <v>45</v>
      </c>
      <c r="B48" s="30">
        <v>157.69999999999999</v>
      </c>
      <c r="C48" s="30">
        <v>3.5044444444444443</v>
      </c>
      <c r="D48" s="35">
        <v>1.9111111111111112</v>
      </c>
      <c r="E48" s="31">
        <v>0.4</v>
      </c>
      <c r="F48" s="31">
        <v>0.31111111111111112</v>
      </c>
      <c r="G48" s="31">
        <v>0.30569948186528495</v>
      </c>
      <c r="H48" s="31">
        <v>0.13730569948186527</v>
      </c>
      <c r="I48" s="32">
        <v>7850</v>
      </c>
      <c r="J48" s="32">
        <v>-6656.6037735849059</v>
      </c>
      <c r="K48" s="31">
        <v>4.4444444444444446E-2</v>
      </c>
      <c r="L48" s="31">
        <v>0.21761658031088082</v>
      </c>
      <c r="M48" s="31">
        <v>0.21502590673575128</v>
      </c>
      <c r="N48" s="31">
        <v>0.59523809523809523</v>
      </c>
      <c r="O48" s="31">
        <v>0.48192771084337349</v>
      </c>
      <c r="P48" s="31">
        <v>0.43220338983050849</v>
      </c>
    </row>
    <row r="49" spans="1:16" x14ac:dyDescent="0.4">
      <c r="A49" s="33">
        <v>46</v>
      </c>
      <c r="B49" s="30">
        <v>167.6</v>
      </c>
      <c r="C49" s="30">
        <v>3.6434782608695651</v>
      </c>
      <c r="D49" s="35">
        <v>1.9130434782608696</v>
      </c>
      <c r="E49" s="31">
        <v>0.39130434782608697</v>
      </c>
      <c r="F49" s="31">
        <v>0.30434782608695654</v>
      </c>
      <c r="G49" s="31">
        <v>0.30710659898477155</v>
      </c>
      <c r="H49" s="31">
        <v>0.13451776649746192</v>
      </c>
      <c r="I49" s="32">
        <v>7761.9834710743798</v>
      </c>
      <c r="J49" s="32">
        <v>-6656.6037735849059</v>
      </c>
      <c r="K49" s="31">
        <v>4.3478260869565216E-2</v>
      </c>
      <c r="L49" s="31">
        <v>0.21319796954314721</v>
      </c>
      <c r="M49" s="31">
        <v>0.21827411167512689</v>
      </c>
      <c r="N49" s="31">
        <v>0.59523809523809523</v>
      </c>
      <c r="O49" s="31">
        <v>0.48837209302325579</v>
      </c>
      <c r="P49" s="31">
        <v>0.42148760330578511</v>
      </c>
    </row>
    <row r="50" spans="1:16" x14ac:dyDescent="0.4">
      <c r="A50" s="33">
        <v>47</v>
      </c>
      <c r="B50" s="30">
        <v>164.7</v>
      </c>
      <c r="C50" s="30">
        <v>3.5042553191489358</v>
      </c>
      <c r="D50" s="35">
        <v>1.9148936170212767</v>
      </c>
      <c r="E50" s="31">
        <v>0.38297872340425532</v>
      </c>
      <c r="F50" s="31">
        <v>0.2978723404255319</v>
      </c>
      <c r="G50" s="31">
        <v>0.30466830466830469</v>
      </c>
      <c r="H50" s="31">
        <v>0.13759213759213759</v>
      </c>
      <c r="I50" s="32">
        <v>7832.2580645161288</v>
      </c>
      <c r="J50" s="32">
        <v>-6833.9285714285716</v>
      </c>
      <c r="K50" s="31">
        <v>4.2553191489361701E-2</v>
      </c>
      <c r="L50" s="31">
        <v>0.21621621621621623</v>
      </c>
      <c r="M50" s="31">
        <v>0.22604422604422605</v>
      </c>
      <c r="N50" s="31">
        <v>0.60227272727272729</v>
      </c>
      <c r="O50" s="31">
        <v>0.45652173913043476</v>
      </c>
      <c r="P50" s="31">
        <v>0.41129032258064518</v>
      </c>
    </row>
    <row r="51" spans="1:16" x14ac:dyDescent="0.4">
      <c r="A51" s="33">
        <v>48</v>
      </c>
      <c r="B51" s="30">
        <v>140.69999999999999</v>
      </c>
      <c r="C51" s="30">
        <v>2.9312499999999999</v>
      </c>
      <c r="D51" s="35">
        <v>1.9166666666666667</v>
      </c>
      <c r="E51" s="31">
        <v>0.375</v>
      </c>
      <c r="F51" s="31">
        <v>0.29166666666666669</v>
      </c>
      <c r="G51" s="31">
        <v>0.30170316301703165</v>
      </c>
      <c r="H51" s="31">
        <v>0.13625304136253041</v>
      </c>
      <c r="I51" s="32">
        <v>7832.2580645161288</v>
      </c>
      <c r="J51" s="32">
        <v>-6833.9285714285716</v>
      </c>
      <c r="K51" s="31">
        <v>4.1666666666666664E-2</v>
      </c>
      <c r="L51" s="31">
        <v>0.21654501216545013</v>
      </c>
      <c r="M51" s="31">
        <v>0.22384428223844283</v>
      </c>
      <c r="N51" s="31">
        <v>0.5955056179775281</v>
      </c>
      <c r="O51" s="31">
        <v>0.45652173913043476</v>
      </c>
      <c r="P51" s="31">
        <v>0.41129032258064518</v>
      </c>
    </row>
    <row r="52" spans="1:16" x14ac:dyDescent="0.4">
      <c r="A52" s="33">
        <v>49</v>
      </c>
      <c r="B52" s="30">
        <v>209.29999999999998</v>
      </c>
      <c r="C52" s="30">
        <v>4.2714285714285714</v>
      </c>
      <c r="D52" s="35">
        <v>1.8979591836734695</v>
      </c>
      <c r="E52" s="31">
        <v>0.38775510204081631</v>
      </c>
      <c r="F52" s="31">
        <v>0.2857142857142857</v>
      </c>
      <c r="G52" s="31">
        <v>0.30935251798561153</v>
      </c>
      <c r="H52" s="31">
        <v>0.1342925659472422</v>
      </c>
      <c r="I52" s="32">
        <v>7959.6899224806202</v>
      </c>
      <c r="J52" s="32">
        <v>-6833.9285714285716</v>
      </c>
      <c r="K52" s="31">
        <v>4.0816326530612242E-2</v>
      </c>
      <c r="L52" s="31">
        <v>0.22302158273381295</v>
      </c>
      <c r="M52" s="31">
        <v>0.22541966426858512</v>
      </c>
      <c r="N52" s="31">
        <v>0.60215053763440862</v>
      </c>
      <c r="O52" s="31">
        <v>0.46808510638297873</v>
      </c>
      <c r="P52" s="31">
        <v>0.41085271317829458</v>
      </c>
    </row>
    <row r="53" spans="1:16" x14ac:dyDescent="0.4">
      <c r="A53" s="33">
        <v>50</v>
      </c>
      <c r="B53" s="30">
        <v>211.6</v>
      </c>
      <c r="C53" s="30">
        <v>4.2320000000000002</v>
      </c>
      <c r="D53" s="35">
        <v>1.9</v>
      </c>
      <c r="E53" s="31">
        <v>0.38</v>
      </c>
      <c r="F53" s="31">
        <v>0.28000000000000003</v>
      </c>
      <c r="G53" s="31">
        <v>0.30969267139479906</v>
      </c>
      <c r="H53" s="31">
        <v>0.13475177304964539</v>
      </c>
      <c r="I53" s="32">
        <v>7960.3053435114507</v>
      </c>
      <c r="J53" s="32">
        <v>-6854.3859649122805</v>
      </c>
      <c r="K53" s="31">
        <v>0.04</v>
      </c>
      <c r="L53" s="31">
        <v>0.22695035460992907</v>
      </c>
      <c r="M53" s="31">
        <v>0.22695035460992907</v>
      </c>
      <c r="N53" s="31">
        <v>0.59375</v>
      </c>
      <c r="O53" s="31">
        <v>0.45833333333333331</v>
      </c>
      <c r="P53" s="31">
        <v>0.40458015267175573</v>
      </c>
    </row>
    <row r="54" spans="1:16" x14ac:dyDescent="0.4">
      <c r="A54" s="33">
        <v>51</v>
      </c>
      <c r="B54" s="30">
        <v>178.2</v>
      </c>
      <c r="C54" s="30">
        <v>3.4941176470588231</v>
      </c>
      <c r="D54" s="35">
        <v>1.9215686274509804</v>
      </c>
      <c r="E54" s="31">
        <v>0.37254901960784315</v>
      </c>
      <c r="F54" s="31">
        <v>0.29411764705882354</v>
      </c>
      <c r="G54" s="31">
        <v>0.30697674418604654</v>
      </c>
      <c r="H54" s="31">
        <v>0.1372093023255814</v>
      </c>
      <c r="I54" s="32">
        <v>7929.545454545455</v>
      </c>
      <c r="J54" s="32">
        <v>-6961.0169491525421</v>
      </c>
      <c r="K54" s="31">
        <v>3.9215686274509803E-2</v>
      </c>
      <c r="L54" s="31">
        <v>0.22790697674418606</v>
      </c>
      <c r="M54" s="31">
        <v>0.2255813953488372</v>
      </c>
      <c r="N54" s="31">
        <v>0.59183673469387754</v>
      </c>
      <c r="O54" s="31">
        <v>0.45360824742268041</v>
      </c>
      <c r="P54" s="31">
        <v>0.40151515151515149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4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  <row r="32" spans="1:16" x14ac:dyDescent="0.4">
      <c r="A32" s="33">
        <v>29</v>
      </c>
      <c r="B32" s="30">
        <v>-35.300000000000026</v>
      </c>
      <c r="C32" s="30">
        <v>-1.2172413793103458</v>
      </c>
      <c r="D32" s="35">
        <v>1.9655172413793103</v>
      </c>
      <c r="E32" s="31">
        <v>0.2413793103448276</v>
      </c>
      <c r="F32" s="31">
        <v>0.20689655172413793</v>
      </c>
      <c r="G32" s="31">
        <v>0.24</v>
      </c>
      <c r="H32" s="31">
        <v>0.1</v>
      </c>
      <c r="I32" s="32">
        <v>8273.3333333333339</v>
      </c>
      <c r="J32" s="32">
        <v>-6124</v>
      </c>
      <c r="K32" s="31">
        <v>6.8965517241379309E-2</v>
      </c>
      <c r="L32" s="31">
        <v>0.22800000000000001</v>
      </c>
      <c r="M32" s="31">
        <v>0.20799999999999999</v>
      </c>
      <c r="N32" s="31">
        <v>0.50877192982456143</v>
      </c>
      <c r="O32" s="31">
        <v>0.34615384615384615</v>
      </c>
      <c r="P32" s="31">
        <v>0.33333333333333331</v>
      </c>
    </row>
    <row r="33" spans="1:16" x14ac:dyDescent="0.4">
      <c r="A33" s="33">
        <v>30</v>
      </c>
      <c r="B33" s="30">
        <v>-9.3000000000000256</v>
      </c>
      <c r="C33" s="30">
        <v>-0.31000000000000083</v>
      </c>
      <c r="D33" s="35">
        <v>1.9333333333333333</v>
      </c>
      <c r="E33" s="31">
        <v>0.26666666666666666</v>
      </c>
      <c r="F33" s="31">
        <v>0.2</v>
      </c>
      <c r="G33" s="31">
        <v>0.25190839694656486</v>
      </c>
      <c r="H33" s="31">
        <v>9.5419847328244281E-2</v>
      </c>
      <c r="I33" s="32">
        <v>8203.0303030303039</v>
      </c>
      <c r="J33" s="32">
        <v>-6124</v>
      </c>
      <c r="K33" s="31">
        <v>6.6666666666666666E-2</v>
      </c>
      <c r="L33" s="31">
        <v>0.24045801526717558</v>
      </c>
      <c r="M33" s="31">
        <v>0.20992366412213739</v>
      </c>
      <c r="N33" s="31">
        <v>0.50793650793650791</v>
      </c>
      <c r="O33" s="31">
        <v>0.36363636363636365</v>
      </c>
      <c r="P33" s="31">
        <v>0.31818181818181818</v>
      </c>
    </row>
    <row r="34" spans="1:16" x14ac:dyDescent="0.4">
      <c r="A34" s="33">
        <v>31</v>
      </c>
      <c r="B34" s="30">
        <v>22.999999999999972</v>
      </c>
      <c r="C34" s="30">
        <v>0.74193548387096686</v>
      </c>
      <c r="D34" s="35">
        <v>1.903225806451613</v>
      </c>
      <c r="E34" s="31">
        <v>0.29032258064516131</v>
      </c>
      <c r="F34" s="31">
        <v>0.19354838709677419</v>
      </c>
      <c r="G34" s="31">
        <v>0.26007326007326009</v>
      </c>
      <c r="H34" s="31">
        <v>9.1575091575091569E-2</v>
      </c>
      <c r="I34" s="32">
        <v>7960.5633802816901</v>
      </c>
      <c r="J34" s="32">
        <v>-6124</v>
      </c>
      <c r="K34" s="31">
        <v>6.4516129032258063E-2</v>
      </c>
      <c r="L34" s="31">
        <v>0.25274725274725274</v>
      </c>
      <c r="M34" s="31">
        <v>0.20512820512820512</v>
      </c>
      <c r="N34" s="31">
        <v>0.52173913043478259</v>
      </c>
      <c r="O34" s="31">
        <v>0.375</v>
      </c>
      <c r="P34" s="31">
        <v>0.30985915492957744</v>
      </c>
    </row>
    <row r="35" spans="1:16" x14ac:dyDescent="0.4">
      <c r="A35" s="33">
        <v>32</v>
      </c>
      <c r="B35" s="30">
        <v>-0.400000000000027</v>
      </c>
      <c r="C35" s="30">
        <v>-1.2500000000000844E-2</v>
      </c>
      <c r="D35" s="35">
        <v>1.9375</v>
      </c>
      <c r="E35" s="31">
        <v>0.28125</v>
      </c>
      <c r="F35" s="31">
        <v>0.21875</v>
      </c>
      <c r="G35" s="31">
        <v>0.25622775800711745</v>
      </c>
      <c r="H35" s="31">
        <v>9.2526690391459068E-2</v>
      </c>
      <c r="I35" s="32">
        <v>7886.1111111111113</v>
      </c>
      <c r="J35" s="32">
        <v>-6350</v>
      </c>
      <c r="K35" s="31">
        <v>6.25E-2</v>
      </c>
      <c r="L35" s="31">
        <v>0.25622775800711745</v>
      </c>
      <c r="M35" s="31">
        <v>0.199288256227758</v>
      </c>
      <c r="N35" s="31">
        <v>0.51388888888888884</v>
      </c>
      <c r="O35" s="31">
        <v>0.375</v>
      </c>
      <c r="P35" s="31">
        <v>0.30555555555555558</v>
      </c>
    </row>
    <row r="36" spans="1:16" x14ac:dyDescent="0.4">
      <c r="A36" s="33">
        <v>33</v>
      </c>
      <c r="B36" s="30">
        <v>-0.10000000000002701</v>
      </c>
      <c r="C36" s="30">
        <v>-3.0303030303038487E-3</v>
      </c>
      <c r="D36" s="35">
        <v>1.9393939393939394</v>
      </c>
      <c r="E36" s="31">
        <v>0.27272727272727271</v>
      </c>
      <c r="F36" s="31">
        <v>0.21212121212121213</v>
      </c>
      <c r="G36" s="31">
        <v>0.25605536332179929</v>
      </c>
      <c r="H36" s="31">
        <v>9.3425605536332182E-2</v>
      </c>
      <c r="I36" s="32">
        <v>7845.9459459459458</v>
      </c>
      <c r="J36" s="32">
        <v>-6151.8518518518522</v>
      </c>
      <c r="K36" s="31">
        <v>6.0606060606060608E-2</v>
      </c>
      <c r="L36" s="31">
        <v>0.25951557093425603</v>
      </c>
      <c r="M36" s="31">
        <v>0.1972318339100346</v>
      </c>
      <c r="N36" s="31">
        <v>0.52</v>
      </c>
      <c r="O36" s="31">
        <v>0.36842105263157893</v>
      </c>
      <c r="P36" s="31">
        <v>0.3108108108108108</v>
      </c>
    </row>
    <row r="37" spans="1:16" x14ac:dyDescent="0.4">
      <c r="A37" s="33">
        <v>34</v>
      </c>
      <c r="B37" s="30">
        <v>59.89999999999997</v>
      </c>
      <c r="C37" s="30">
        <v>1.761764705882352</v>
      </c>
      <c r="D37" s="35">
        <v>1.911764705882353</v>
      </c>
      <c r="E37" s="31">
        <v>0.29411764705882354</v>
      </c>
      <c r="F37" s="31">
        <v>0.20588235294117646</v>
      </c>
      <c r="G37" s="31">
        <v>0.26351351351351349</v>
      </c>
      <c r="H37" s="31">
        <v>9.1216216216216214E-2</v>
      </c>
      <c r="I37" s="32">
        <v>7982.0512820512822</v>
      </c>
      <c r="J37" s="32">
        <v>-6151.8518518518522</v>
      </c>
      <c r="K37" s="31">
        <v>5.8823529411764705E-2</v>
      </c>
      <c r="L37" s="31">
        <v>0.26351351351351349</v>
      </c>
      <c r="M37" s="31">
        <v>0.19594594594594594</v>
      </c>
      <c r="N37" s="31">
        <v>0.51282051282051277</v>
      </c>
      <c r="O37" s="31">
        <v>0.37931034482758619</v>
      </c>
      <c r="P37" s="31">
        <v>0.32051282051282054</v>
      </c>
    </row>
    <row r="38" spans="1:16" x14ac:dyDescent="0.4">
      <c r="A38" s="33">
        <v>35</v>
      </c>
      <c r="B38" s="30">
        <v>46.099999999999966</v>
      </c>
      <c r="C38" s="30">
        <v>1.3171428571428561</v>
      </c>
      <c r="D38" s="35">
        <v>1.9142857142857144</v>
      </c>
      <c r="E38" s="31">
        <v>0.2857142857142857</v>
      </c>
      <c r="F38" s="31">
        <v>0.2</v>
      </c>
      <c r="G38" s="31">
        <v>0.25986842105263158</v>
      </c>
      <c r="H38" s="31">
        <v>9.8684210526315791E-2</v>
      </c>
      <c r="I38" s="32">
        <v>8083.5443037974683</v>
      </c>
      <c r="J38" s="32">
        <v>-6280</v>
      </c>
      <c r="K38" s="31">
        <v>5.7142857142857141E-2</v>
      </c>
      <c r="L38" s="31">
        <v>0.26644736842105265</v>
      </c>
      <c r="M38" s="31">
        <v>0.20065789473684212</v>
      </c>
      <c r="N38" s="31">
        <v>0.50617283950617287</v>
      </c>
      <c r="O38" s="31">
        <v>0.36065573770491804</v>
      </c>
      <c r="P38" s="31">
        <v>0.32911392405063289</v>
      </c>
    </row>
    <row r="39" spans="1:16" x14ac:dyDescent="0.4">
      <c r="A39" s="33">
        <v>36</v>
      </c>
      <c r="B39" s="30">
        <v>67.69999999999996</v>
      </c>
      <c r="C39" s="30">
        <v>1.8805555555555544</v>
      </c>
      <c r="D39" s="35">
        <v>1.8888888888888888</v>
      </c>
      <c r="E39" s="31">
        <v>0.30555555555555558</v>
      </c>
      <c r="F39" s="31">
        <v>0.19444444444444445</v>
      </c>
      <c r="G39" s="31">
        <v>0.26751592356687898</v>
      </c>
      <c r="H39" s="31">
        <v>0.10191082802547771</v>
      </c>
      <c r="I39" s="32">
        <v>8045.2380952380954</v>
      </c>
      <c r="J39" s="32">
        <v>-6562.5</v>
      </c>
      <c r="K39" s="31">
        <v>5.5555555555555552E-2</v>
      </c>
      <c r="L39" s="31">
        <v>0.2643312101910828</v>
      </c>
      <c r="M39" s="31">
        <v>0.20063694267515925</v>
      </c>
      <c r="N39" s="31">
        <v>0.51807228915662651</v>
      </c>
      <c r="O39" s="31">
        <v>0.36507936507936506</v>
      </c>
      <c r="P39" s="31">
        <v>0.32142857142857145</v>
      </c>
    </row>
    <row r="40" spans="1:16" x14ac:dyDescent="0.4">
      <c r="A40" s="33">
        <v>37</v>
      </c>
      <c r="B40" s="30">
        <v>58.499999999999957</v>
      </c>
      <c r="C40" s="30">
        <v>1.58108108108108</v>
      </c>
      <c r="D40" s="35">
        <v>1.8918918918918919</v>
      </c>
      <c r="E40" s="31">
        <v>0.29729729729729731</v>
      </c>
      <c r="F40" s="31">
        <v>0.1891891891891892</v>
      </c>
      <c r="G40" s="31">
        <v>0.26479750778816197</v>
      </c>
      <c r="H40" s="31">
        <v>0.1059190031152648</v>
      </c>
      <c r="I40" s="32">
        <v>8091.7647058823532</v>
      </c>
      <c r="J40" s="32">
        <v>-6517.6470588235297</v>
      </c>
      <c r="K40" s="31">
        <v>5.4054054054054057E-2</v>
      </c>
      <c r="L40" s="31">
        <v>0.26168224299065418</v>
      </c>
      <c r="M40" s="31">
        <v>0.19626168224299065</v>
      </c>
      <c r="N40" s="31">
        <v>0.51190476190476186</v>
      </c>
      <c r="O40" s="31">
        <v>0.36507936507936506</v>
      </c>
      <c r="P40" s="31">
        <v>0.31764705882352939</v>
      </c>
    </row>
    <row r="41" spans="1:16" x14ac:dyDescent="0.4">
      <c r="A41" s="33">
        <v>38</v>
      </c>
      <c r="B41" s="30">
        <v>95.69999999999996</v>
      </c>
      <c r="C41" s="30">
        <v>2.5184210526315778</v>
      </c>
      <c r="D41" s="35">
        <v>1.868421052631579</v>
      </c>
      <c r="E41" s="31">
        <v>0.31578947368421051</v>
      </c>
      <c r="F41" s="31">
        <v>0.18421052631578946</v>
      </c>
      <c r="G41" s="31">
        <v>0.2735562310030395</v>
      </c>
      <c r="H41" s="31">
        <v>0.10638297872340426</v>
      </c>
      <c r="I41" s="32">
        <v>8200</v>
      </c>
      <c r="J41" s="32">
        <v>-7017.1428571428569</v>
      </c>
      <c r="K41" s="31">
        <v>5.2631578947368418E-2</v>
      </c>
      <c r="L41" s="31">
        <v>0.2735562310030395</v>
      </c>
      <c r="M41" s="31">
        <v>0.19452887537993921</v>
      </c>
      <c r="N41" s="31">
        <v>0.53333333333333333</v>
      </c>
      <c r="O41" s="31">
        <v>0.359375</v>
      </c>
      <c r="P41" s="31">
        <v>0.34444444444444444</v>
      </c>
    </row>
    <row r="42" spans="1:16" x14ac:dyDescent="0.4">
      <c r="A42" s="33">
        <v>39</v>
      </c>
      <c r="B42" s="30">
        <v>45.69999999999996</v>
      </c>
      <c r="C42" s="30">
        <v>1.1717948717948707</v>
      </c>
      <c r="D42" s="35">
        <v>1.8974358974358974</v>
      </c>
      <c r="E42" s="31">
        <v>0.30769230769230771</v>
      </c>
      <c r="F42" s="31">
        <v>0.20512820512820512</v>
      </c>
      <c r="G42" s="31">
        <v>0.27164179104477609</v>
      </c>
      <c r="H42" s="31">
        <v>0.10746268656716418</v>
      </c>
      <c r="I42" s="32">
        <v>8241.7582417582416</v>
      </c>
      <c r="J42" s="32">
        <v>-8155.5555555555557</v>
      </c>
      <c r="K42" s="31">
        <v>7.6923076923076927E-2</v>
      </c>
      <c r="L42" s="31">
        <v>0.2746268656716418</v>
      </c>
      <c r="M42" s="31">
        <v>0.19701492537313434</v>
      </c>
      <c r="N42" s="31">
        <v>0.53260869565217395</v>
      </c>
      <c r="O42" s="31">
        <v>0.34848484848484851</v>
      </c>
      <c r="P42" s="31">
        <v>0.35164835164835168</v>
      </c>
    </row>
    <row r="43" spans="1:16" x14ac:dyDescent="0.4">
      <c r="A43" s="33">
        <v>40</v>
      </c>
      <c r="B43" s="30">
        <v>45.799999999999962</v>
      </c>
      <c r="C43" s="30">
        <v>1.1449999999999991</v>
      </c>
      <c r="D43" s="35">
        <v>1.9</v>
      </c>
      <c r="E43" s="31">
        <v>0.3</v>
      </c>
      <c r="F43" s="31">
        <v>0.2</v>
      </c>
      <c r="G43" s="31">
        <v>0.27405247813411077</v>
      </c>
      <c r="H43" s="31">
        <v>0.10495626822157435</v>
      </c>
      <c r="I43" s="32">
        <v>8131.9148936170213</v>
      </c>
      <c r="J43" s="32">
        <v>-8155.5555555555557</v>
      </c>
      <c r="K43" s="31">
        <v>7.4999999999999997E-2</v>
      </c>
      <c r="L43" s="31">
        <v>0.27696793002915454</v>
      </c>
      <c r="M43" s="31">
        <v>0.20116618075801748</v>
      </c>
      <c r="N43" s="31">
        <v>0.5368421052631579</v>
      </c>
      <c r="O43" s="31">
        <v>0.34782608695652173</v>
      </c>
      <c r="P43" s="31">
        <v>0.36170212765957449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5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  <row r="44" spans="1:16" x14ac:dyDescent="0.4">
      <c r="A44" s="33">
        <v>41</v>
      </c>
      <c r="B44" s="30">
        <v>-14.299999999999997</v>
      </c>
      <c r="C44" s="30">
        <v>-0.34878048780487797</v>
      </c>
      <c r="D44" s="35">
        <v>2</v>
      </c>
      <c r="E44" s="31">
        <v>0.36585365853658536</v>
      </c>
      <c r="F44" s="31">
        <v>0.36585365853658536</v>
      </c>
      <c r="G44" s="31">
        <v>0.29945054945054944</v>
      </c>
      <c r="H44" s="31">
        <v>0.17307692307692307</v>
      </c>
      <c r="I44" s="32">
        <v>7549.54128440367</v>
      </c>
      <c r="J44" s="32">
        <v>-8092.063492063492</v>
      </c>
      <c r="K44" s="31">
        <v>4.878048780487805E-2</v>
      </c>
      <c r="L44" s="31">
        <v>0.26098901098901101</v>
      </c>
      <c r="M44" s="31">
        <v>0.30769230769230771</v>
      </c>
      <c r="N44" s="31">
        <v>0.45263157894736844</v>
      </c>
      <c r="O44" s="31">
        <v>0.4107142857142857</v>
      </c>
      <c r="P44" s="31">
        <v>0.46788990825688076</v>
      </c>
    </row>
    <row r="45" spans="1:16" x14ac:dyDescent="0.4">
      <c r="A45" s="33">
        <v>42</v>
      </c>
      <c r="B45" s="30">
        <v>-64.599999999999994</v>
      </c>
      <c r="C45" s="30">
        <v>-1.538095238095238</v>
      </c>
      <c r="D45" s="35">
        <v>2.0238095238095237</v>
      </c>
      <c r="E45" s="31">
        <v>0.35714285714285715</v>
      </c>
      <c r="F45" s="31">
        <v>0.38095238095238093</v>
      </c>
      <c r="G45" s="31">
        <v>0.29301075268817206</v>
      </c>
      <c r="H45" s="31">
        <v>0.17204301075268819</v>
      </c>
      <c r="I45" s="32">
        <v>7549.54128440367</v>
      </c>
      <c r="J45" s="32">
        <v>-8153.125</v>
      </c>
      <c r="K45" s="31">
        <v>7.1428571428571425E-2</v>
      </c>
      <c r="L45" s="31">
        <v>0.260752688172043</v>
      </c>
      <c r="M45" s="31">
        <v>0.30376344086021506</v>
      </c>
      <c r="N45" s="31">
        <v>0.44329896907216493</v>
      </c>
      <c r="O45" s="31">
        <v>0.40707964601769914</v>
      </c>
      <c r="P45" s="31">
        <v>0.46788990825688076</v>
      </c>
    </row>
    <row r="46" spans="1:16" x14ac:dyDescent="0.4">
      <c r="A46" s="33">
        <v>43</v>
      </c>
      <c r="B46" s="30">
        <v>-110.1</v>
      </c>
      <c r="C46" s="30">
        <v>-2.5604651162790697</v>
      </c>
      <c r="D46" s="35">
        <v>2.0465116279069768</v>
      </c>
      <c r="E46" s="31">
        <v>0.34883720930232559</v>
      </c>
      <c r="F46" s="31">
        <v>0.39534883720930231</v>
      </c>
      <c r="G46" s="31">
        <v>0.28720626631853785</v>
      </c>
      <c r="H46" s="31">
        <v>0.16971279373368145</v>
      </c>
      <c r="I46" s="32">
        <v>7535.454545454545</v>
      </c>
      <c r="J46" s="32">
        <v>-8520</v>
      </c>
      <c r="K46" s="31">
        <v>9.3023255813953487E-2</v>
      </c>
      <c r="L46" s="31">
        <v>0.26109660574412535</v>
      </c>
      <c r="M46" s="31">
        <v>0.30026109660574413</v>
      </c>
      <c r="N46" s="31">
        <v>0.43</v>
      </c>
      <c r="O46" s="31">
        <v>0.40869565217391307</v>
      </c>
      <c r="P46" s="31">
        <v>0.47272727272727272</v>
      </c>
    </row>
    <row r="47" spans="1:16" x14ac:dyDescent="0.4">
      <c r="A47" s="33">
        <v>44</v>
      </c>
      <c r="B47" s="30">
        <v>-134</v>
      </c>
      <c r="C47" s="30">
        <v>-3.0454545454545454</v>
      </c>
      <c r="D47" s="35">
        <v>2.0681818181818183</v>
      </c>
      <c r="E47" s="31">
        <v>0.34090909090909088</v>
      </c>
      <c r="F47" s="31">
        <v>0.40909090909090912</v>
      </c>
      <c r="G47" s="31">
        <v>0.28826530612244899</v>
      </c>
      <c r="H47" s="31">
        <v>0.1683673469387755</v>
      </c>
      <c r="I47" s="32">
        <v>7492.0353982300885</v>
      </c>
      <c r="J47" s="32">
        <v>-8572.7272727272721</v>
      </c>
      <c r="K47" s="31">
        <v>9.0909090909090912E-2</v>
      </c>
      <c r="L47" s="31">
        <v>0.25765306122448978</v>
      </c>
      <c r="M47" s="31">
        <v>0.29846938775510207</v>
      </c>
      <c r="N47" s="31">
        <v>0.43564356435643564</v>
      </c>
      <c r="O47" s="31">
        <v>0.40170940170940173</v>
      </c>
      <c r="P47" s="31">
        <v>0.46017699115044247</v>
      </c>
    </row>
    <row r="48" spans="1:16" x14ac:dyDescent="0.4">
      <c r="A48" s="33">
        <v>45</v>
      </c>
      <c r="B48" s="30">
        <v>-146.69999999999999</v>
      </c>
      <c r="C48" s="30">
        <v>-3.26</v>
      </c>
      <c r="D48" s="35">
        <v>2.088888888888889</v>
      </c>
      <c r="E48" s="31">
        <v>0.33333333333333331</v>
      </c>
      <c r="F48" s="31">
        <v>0.42222222222222222</v>
      </c>
      <c r="G48" s="31">
        <v>0.28999999999999998</v>
      </c>
      <c r="H48" s="31">
        <v>0.16500000000000001</v>
      </c>
      <c r="I48" s="32">
        <v>7512.0689655172409</v>
      </c>
      <c r="J48" s="32">
        <v>-8572.7272727272721</v>
      </c>
      <c r="K48" s="31">
        <v>8.8888888888888892E-2</v>
      </c>
      <c r="L48" s="31">
        <v>0.26250000000000001</v>
      </c>
      <c r="M48" s="31">
        <v>0.29749999999999999</v>
      </c>
      <c r="N48" s="31">
        <v>0.43809523809523809</v>
      </c>
      <c r="O48" s="31">
        <v>0.40336134453781514</v>
      </c>
      <c r="P48" s="31">
        <v>0.46551724137931033</v>
      </c>
    </row>
    <row r="49" spans="1:16" x14ac:dyDescent="0.4">
      <c r="A49" s="33">
        <v>46</v>
      </c>
      <c r="B49" s="30">
        <v>-94.6</v>
      </c>
      <c r="C49" s="30">
        <v>-2.0565217391304347</v>
      </c>
      <c r="D49" s="35">
        <v>2.0652173913043477</v>
      </c>
      <c r="E49" s="31">
        <v>0.34782608695652173</v>
      </c>
      <c r="F49" s="31">
        <v>0.41304347826086957</v>
      </c>
      <c r="G49" s="31">
        <v>0.29975429975429974</v>
      </c>
      <c r="H49" s="31">
        <v>0.16216216216216217</v>
      </c>
      <c r="I49" s="32">
        <v>7454.9180327868853</v>
      </c>
      <c r="J49" s="32">
        <v>-8572.7272727272721</v>
      </c>
      <c r="K49" s="31">
        <v>8.6956521739130432E-2</v>
      </c>
      <c r="L49" s="31">
        <v>0.26044226044226043</v>
      </c>
      <c r="M49" s="31">
        <v>0.29975429975429974</v>
      </c>
      <c r="N49" s="31">
        <v>0.44339622641509435</v>
      </c>
      <c r="O49" s="31">
        <v>0.41803278688524592</v>
      </c>
      <c r="P49" s="31">
        <v>0.46721311475409838</v>
      </c>
    </row>
    <row r="50" spans="1:16" x14ac:dyDescent="0.4">
      <c r="A50" s="33">
        <v>47</v>
      </c>
      <c r="B50" s="30">
        <v>-70.099999999999994</v>
      </c>
      <c r="C50" s="30">
        <v>-1.4914893617021276</v>
      </c>
      <c r="D50" s="35">
        <v>2.0425531914893615</v>
      </c>
      <c r="E50" s="31">
        <v>0.36170212765957449</v>
      </c>
      <c r="F50" s="31">
        <v>0.40425531914893614</v>
      </c>
      <c r="G50" s="31">
        <v>0.30048076923076922</v>
      </c>
      <c r="H50" s="31">
        <v>0.16105769230769232</v>
      </c>
      <c r="I50" s="32">
        <v>7409.6</v>
      </c>
      <c r="J50" s="32">
        <v>-8488.059701492537</v>
      </c>
      <c r="K50" s="31">
        <v>8.5106382978723402E-2</v>
      </c>
      <c r="L50" s="31">
        <v>0.25961538461538464</v>
      </c>
      <c r="M50" s="31">
        <v>0.30288461538461536</v>
      </c>
      <c r="N50" s="31">
        <v>0.44444444444444442</v>
      </c>
      <c r="O50" s="31">
        <v>0.41269841269841268</v>
      </c>
      <c r="P50" s="31">
        <v>0.46400000000000002</v>
      </c>
    </row>
    <row r="51" spans="1:16" x14ac:dyDescent="0.4">
      <c r="A51" s="33">
        <v>48</v>
      </c>
      <c r="B51" s="30">
        <v>-31.499999999999993</v>
      </c>
      <c r="C51" s="30">
        <v>-0.65624999999999989</v>
      </c>
      <c r="D51" s="35">
        <v>2.0208333333333335</v>
      </c>
      <c r="E51" s="31">
        <v>0.375</v>
      </c>
      <c r="F51" s="31">
        <v>0.39583333333333331</v>
      </c>
      <c r="G51" s="31">
        <v>0.30188679245283018</v>
      </c>
      <c r="H51" s="31">
        <v>0.15801886792452829</v>
      </c>
      <c r="I51" s="32">
        <v>7529.6875</v>
      </c>
      <c r="J51" s="32">
        <v>-8488.059701492537</v>
      </c>
      <c r="K51" s="31">
        <v>8.3333333333333329E-2</v>
      </c>
      <c r="L51" s="31">
        <v>0.2617924528301887</v>
      </c>
      <c r="M51" s="31">
        <v>0.29716981132075471</v>
      </c>
      <c r="N51" s="31">
        <v>0.45045045045045046</v>
      </c>
      <c r="O51" s="31">
        <v>0.41269841269841268</v>
      </c>
      <c r="P51" s="31">
        <v>0.46875</v>
      </c>
    </row>
    <row r="52" spans="1:16" x14ac:dyDescent="0.4">
      <c r="A52" s="33">
        <v>49</v>
      </c>
      <c r="B52" s="30">
        <v>-70</v>
      </c>
      <c r="C52" s="30">
        <v>-1.4285714285714286</v>
      </c>
      <c r="D52" s="35">
        <v>2.0408163265306123</v>
      </c>
      <c r="E52" s="31">
        <v>0.36734693877551022</v>
      </c>
      <c r="F52" s="31">
        <v>0.40816326530612246</v>
      </c>
      <c r="G52" s="31">
        <v>0.30023094688221708</v>
      </c>
      <c r="H52" s="31">
        <v>0.16166281755196305</v>
      </c>
      <c r="I52" s="32">
        <v>7521.5384615384619</v>
      </c>
      <c r="J52" s="32">
        <v>-8724.2857142857138</v>
      </c>
      <c r="K52" s="31">
        <v>8.1632653061224483E-2</v>
      </c>
      <c r="L52" s="31">
        <v>0.25866050808314089</v>
      </c>
      <c r="M52" s="31">
        <v>0.29561200923787528</v>
      </c>
      <c r="N52" s="31">
        <v>0.45535714285714285</v>
      </c>
      <c r="O52" s="31">
        <v>0.40625</v>
      </c>
      <c r="P52" s="31">
        <v>0.46923076923076923</v>
      </c>
    </row>
    <row r="53" spans="1:16" x14ac:dyDescent="0.4">
      <c r="A53" s="33">
        <v>50</v>
      </c>
      <c r="B53" s="30">
        <v>-73.8</v>
      </c>
      <c r="C53" s="30">
        <v>-1.476</v>
      </c>
      <c r="D53" s="35">
        <v>2.04</v>
      </c>
      <c r="E53" s="31">
        <v>0.36</v>
      </c>
      <c r="F53" s="31">
        <v>0.4</v>
      </c>
      <c r="G53" s="31">
        <v>0.29864253393665158</v>
      </c>
      <c r="H53" s="31">
        <v>0.15837104072398189</v>
      </c>
      <c r="I53" s="32">
        <v>7526.515151515152</v>
      </c>
      <c r="J53" s="32">
        <v>-8724.2857142857138</v>
      </c>
      <c r="K53" s="31">
        <v>0.08</v>
      </c>
      <c r="L53" s="31">
        <v>0.25339366515837103</v>
      </c>
      <c r="M53" s="31">
        <v>0.29411764705882354</v>
      </c>
      <c r="N53" s="31">
        <v>0.45535714285714285</v>
      </c>
      <c r="O53" s="31">
        <v>0.40769230769230769</v>
      </c>
      <c r="P53" s="31">
        <v>0.47727272727272729</v>
      </c>
    </row>
    <row r="54" spans="1:16" x14ac:dyDescent="0.4">
      <c r="A54" s="33">
        <v>51</v>
      </c>
      <c r="B54" s="30">
        <v>-62.099999999999994</v>
      </c>
      <c r="C54" s="30">
        <v>-1.2176470588235293</v>
      </c>
      <c r="D54" s="35">
        <v>2.0392156862745097</v>
      </c>
      <c r="E54" s="31">
        <v>0.35294117647058826</v>
      </c>
      <c r="F54" s="31">
        <v>0.39215686274509803</v>
      </c>
      <c r="G54" s="31">
        <v>0.29933481152993346</v>
      </c>
      <c r="H54" s="31">
        <v>0.15964523281596452</v>
      </c>
      <c r="I54" s="32">
        <v>7534.8148148148148</v>
      </c>
      <c r="J54" s="32">
        <v>-8606.9444444444453</v>
      </c>
      <c r="K54" s="31">
        <v>7.8431372549019607E-2</v>
      </c>
      <c r="L54" s="31">
        <v>0.25498891352549891</v>
      </c>
      <c r="M54" s="31">
        <v>0.29268292682926828</v>
      </c>
      <c r="N54" s="31">
        <v>0.46086956521739131</v>
      </c>
      <c r="O54" s="31">
        <v>0.40909090909090912</v>
      </c>
      <c r="P54" s="31">
        <v>0.47407407407407409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9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  <row r="54" spans="1:16" x14ac:dyDescent="0.4">
      <c r="A54" s="33">
        <v>51</v>
      </c>
      <c r="B54" s="30">
        <v>-111.60000000000001</v>
      </c>
      <c r="C54" s="30">
        <v>-2.1882352941176473</v>
      </c>
      <c r="D54" s="35">
        <v>2.0392156862745097</v>
      </c>
      <c r="E54" s="31">
        <v>0.31372549019607843</v>
      </c>
      <c r="F54" s="31">
        <v>0.35294117647058826</v>
      </c>
      <c r="G54" s="31">
        <v>0.27111111111111114</v>
      </c>
      <c r="H54" s="31">
        <v>0.18</v>
      </c>
      <c r="I54" s="32">
        <v>8912.2950819672133</v>
      </c>
      <c r="J54" s="32">
        <v>-8345.6790123456794</v>
      </c>
      <c r="K54" s="31">
        <v>0.13725490196078433</v>
      </c>
      <c r="L54" s="31">
        <v>0.27777777777777779</v>
      </c>
      <c r="M54" s="31">
        <v>0.22666666666666666</v>
      </c>
      <c r="N54" s="31">
        <v>0.48</v>
      </c>
      <c r="O54" s="31">
        <v>0.3235294117647059</v>
      </c>
      <c r="P54" s="31">
        <v>0.46721311475409838</v>
      </c>
    </row>
    <row r="55" spans="1:16" x14ac:dyDescent="0.4">
      <c r="A55" s="33">
        <v>52</v>
      </c>
      <c r="B55" s="30">
        <v>-107.9</v>
      </c>
      <c r="C55" s="30">
        <v>-2.0750000000000002</v>
      </c>
      <c r="D55" s="35">
        <v>2.0384615384615383</v>
      </c>
      <c r="E55" s="31">
        <v>0.30769230769230771</v>
      </c>
      <c r="F55" s="31">
        <v>0.34615384615384615</v>
      </c>
      <c r="G55" s="31">
        <v>0.27292576419213976</v>
      </c>
      <c r="H55" s="31">
        <v>0.17903930131004367</v>
      </c>
      <c r="I55" s="32">
        <v>8914.4</v>
      </c>
      <c r="J55" s="32">
        <v>-8341.4634146341468</v>
      </c>
      <c r="K55" s="31">
        <v>0.13461538461538461</v>
      </c>
      <c r="L55" s="31">
        <v>0.27947598253275108</v>
      </c>
      <c r="M55" s="31">
        <v>0.22707423580786026</v>
      </c>
      <c r="N55" s="31">
        <v>0.4765625</v>
      </c>
      <c r="O55" s="31">
        <v>0.33653846153846156</v>
      </c>
      <c r="P55" s="31">
        <v>0.47199999999999998</v>
      </c>
    </row>
    <row r="56" spans="1:16" x14ac:dyDescent="0.4">
      <c r="A56" s="33">
        <v>53</v>
      </c>
      <c r="B56" s="30">
        <v>-130</v>
      </c>
      <c r="C56" s="30">
        <v>-2.4528301886792452</v>
      </c>
      <c r="D56" s="35">
        <v>2.0566037735849059</v>
      </c>
      <c r="E56" s="31">
        <v>0.30188679245283018</v>
      </c>
      <c r="F56" s="31">
        <v>0.35849056603773582</v>
      </c>
      <c r="G56" s="31">
        <v>0.27038626609442062</v>
      </c>
      <c r="H56" s="31">
        <v>0.18025751072961374</v>
      </c>
      <c r="I56" s="32">
        <v>8904.7619047619046</v>
      </c>
      <c r="J56" s="32">
        <v>-8326.1904761904771</v>
      </c>
      <c r="K56" s="31">
        <v>0.13207547169811321</v>
      </c>
      <c r="L56" s="31">
        <v>0.27682403433476394</v>
      </c>
      <c r="M56" s="31">
        <v>0.22317596566523606</v>
      </c>
      <c r="N56" s="31">
        <v>0.47286821705426357</v>
      </c>
      <c r="O56" s="31">
        <v>0.33653846153846156</v>
      </c>
      <c r="P56" s="31">
        <v>0.47619047619047616</v>
      </c>
    </row>
    <row r="57" spans="1:16" x14ac:dyDescent="0.4">
      <c r="A57" s="33">
        <v>54</v>
      </c>
      <c r="B57" s="30">
        <v>-97.8</v>
      </c>
      <c r="C57" s="30">
        <v>-1.8111111111111111</v>
      </c>
      <c r="D57" s="35">
        <v>2.0370370370370372</v>
      </c>
      <c r="E57" s="31">
        <v>0.31481481481481483</v>
      </c>
      <c r="F57" s="31">
        <v>0.35185185185185186</v>
      </c>
      <c r="G57" s="31">
        <v>0.27253668763102723</v>
      </c>
      <c r="H57" s="31">
        <v>0.17819706498951782</v>
      </c>
      <c r="I57" s="32">
        <v>8936.1538461538457</v>
      </c>
      <c r="J57" s="32">
        <v>-8369.4117647058829</v>
      </c>
      <c r="K57" s="31">
        <v>0.12962962962962962</v>
      </c>
      <c r="L57" s="31">
        <v>0.27672955974842767</v>
      </c>
      <c r="M57" s="31">
        <v>0.22222222222222221</v>
      </c>
      <c r="N57" s="31">
        <v>0.47727272727272729</v>
      </c>
      <c r="O57" s="31">
        <v>0.33962264150943394</v>
      </c>
      <c r="P57" s="31">
        <v>0.46923076923076923</v>
      </c>
    </row>
    <row r="58" spans="1:16" x14ac:dyDescent="0.4">
      <c r="A58" s="33">
        <v>55</v>
      </c>
      <c r="B58" s="30">
        <v>-100.8</v>
      </c>
      <c r="C58" s="30">
        <v>-1.8327272727272728</v>
      </c>
      <c r="D58" s="35">
        <v>2.0363636363636362</v>
      </c>
      <c r="E58" s="31">
        <v>0.30909090909090908</v>
      </c>
      <c r="F58" s="31">
        <v>0.34545454545454546</v>
      </c>
      <c r="G58" s="31">
        <v>0.27479338842975204</v>
      </c>
      <c r="H58" s="31">
        <v>0.17768595041322313</v>
      </c>
      <c r="I58" s="32">
        <v>8906.7669172932328</v>
      </c>
      <c r="J58" s="32">
        <v>-8458.1395348837214</v>
      </c>
      <c r="K58" s="31">
        <v>0.12727272727272726</v>
      </c>
      <c r="L58" s="31">
        <v>0.27685950413223143</v>
      </c>
      <c r="M58" s="31">
        <v>0.2231404958677686</v>
      </c>
      <c r="N58" s="31">
        <v>0.47761194029850745</v>
      </c>
      <c r="O58" s="31">
        <v>0.35185185185185186</v>
      </c>
      <c r="P58" s="31">
        <v>0.46616541353383456</v>
      </c>
    </row>
    <row r="59" spans="1:16" x14ac:dyDescent="0.4">
      <c r="A59" s="33">
        <v>56</v>
      </c>
      <c r="B59" s="30">
        <v>-96.399999999999991</v>
      </c>
      <c r="C59" s="30">
        <v>-1.7214285714285713</v>
      </c>
      <c r="D59" s="35">
        <v>2.0357142857142856</v>
      </c>
      <c r="E59" s="31">
        <v>0.30357142857142855</v>
      </c>
      <c r="F59" s="31">
        <v>0.3392857142857143</v>
      </c>
      <c r="G59" s="31">
        <v>0.2738336713995943</v>
      </c>
      <c r="H59" s="31">
        <v>0.18052738336713997</v>
      </c>
      <c r="I59" s="32">
        <v>8982.2222222222226</v>
      </c>
      <c r="J59" s="32">
        <v>-8338.2022471910113</v>
      </c>
      <c r="K59" s="31">
        <v>0.125</v>
      </c>
      <c r="L59" s="31">
        <v>0.27586206896551724</v>
      </c>
      <c r="M59" s="31">
        <v>0.22515212981744423</v>
      </c>
      <c r="N59" s="31">
        <v>0.47794117647058826</v>
      </c>
      <c r="O59" s="31">
        <v>0.35135135135135137</v>
      </c>
      <c r="P59" s="31">
        <v>0.46666666666666667</v>
      </c>
    </row>
    <row r="60" spans="1:16" x14ac:dyDescent="0.4">
      <c r="A60" s="33">
        <v>57</v>
      </c>
      <c r="B60" s="30">
        <v>-59.099999999999994</v>
      </c>
      <c r="C60" s="30">
        <v>-1.0368421052631578</v>
      </c>
      <c r="D60" s="35">
        <v>2.0175438596491229</v>
      </c>
      <c r="E60" s="31">
        <v>0.31578947368421051</v>
      </c>
      <c r="F60" s="31">
        <v>0.33333333333333331</v>
      </c>
      <c r="G60" s="31">
        <v>0.27380952380952384</v>
      </c>
      <c r="H60" s="31">
        <v>0.18055555555555555</v>
      </c>
      <c r="I60" s="32">
        <v>9163.7681159420281</v>
      </c>
      <c r="J60" s="32">
        <v>-8327.4725274725279</v>
      </c>
      <c r="K60" s="31">
        <v>0.12280701754385964</v>
      </c>
      <c r="L60" s="31">
        <v>0.27380952380952384</v>
      </c>
      <c r="M60" s="31">
        <v>0.22817460317460317</v>
      </c>
      <c r="N60" s="31">
        <v>0.47101449275362317</v>
      </c>
      <c r="O60" s="31">
        <v>0.35652173913043478</v>
      </c>
      <c r="P60" s="31">
        <v>0.46376811594202899</v>
      </c>
    </row>
    <row r="61" spans="1:16" x14ac:dyDescent="0.4">
      <c r="A61" s="33">
        <v>58</v>
      </c>
      <c r="B61" s="30">
        <v>-39.599999999999994</v>
      </c>
      <c r="C61" s="30">
        <v>-0.68275862068965509</v>
      </c>
      <c r="D61" s="35">
        <v>2</v>
      </c>
      <c r="E61" s="31">
        <v>0.32758620689655171</v>
      </c>
      <c r="F61" s="31">
        <v>0.32758620689655171</v>
      </c>
      <c r="G61" s="31">
        <v>0.27592954990215263</v>
      </c>
      <c r="H61" s="31">
        <v>0.18003913894324852</v>
      </c>
      <c r="I61" s="32">
        <v>9193.6170212765956</v>
      </c>
      <c r="J61" s="32">
        <v>-8271.7391304347821</v>
      </c>
      <c r="K61" s="31">
        <v>0.1206896551724138</v>
      </c>
      <c r="L61" s="31">
        <v>0.27788649706457924</v>
      </c>
      <c r="M61" s="31">
        <v>0.22700587084148727</v>
      </c>
      <c r="N61" s="31">
        <v>0.47887323943661969</v>
      </c>
      <c r="O61" s="31">
        <v>0.35344827586206895</v>
      </c>
      <c r="P61" s="31">
        <v>0.46808510638297873</v>
      </c>
    </row>
    <row r="62" spans="1:16" x14ac:dyDescent="0.4">
      <c r="A62" s="33">
        <v>59</v>
      </c>
      <c r="B62" s="30">
        <v>-66</v>
      </c>
      <c r="C62" s="30">
        <v>-1.1186440677966101</v>
      </c>
      <c r="D62" s="35">
        <v>2.0169491525423728</v>
      </c>
      <c r="E62" s="31">
        <v>0.32203389830508472</v>
      </c>
      <c r="F62" s="31">
        <v>0.33898305084745761</v>
      </c>
      <c r="G62" s="31">
        <v>0.27220077220077221</v>
      </c>
      <c r="H62" s="31">
        <v>0.18146718146718147</v>
      </c>
      <c r="I62" s="32">
        <v>9193.6170212765956</v>
      </c>
      <c r="J62" s="32">
        <v>-8144.6808510638302</v>
      </c>
      <c r="K62" s="31">
        <v>0.11864406779661017</v>
      </c>
      <c r="L62" s="31">
        <v>0.27606177606177607</v>
      </c>
      <c r="M62" s="31">
        <v>0.22586872586872586</v>
      </c>
      <c r="N62" s="31">
        <v>0.47552447552447552</v>
      </c>
      <c r="O62" s="31">
        <v>0.3504273504273504</v>
      </c>
      <c r="P62" s="31">
        <v>0.46808510638297873</v>
      </c>
    </row>
    <row r="63" spans="1:16" x14ac:dyDescent="0.4">
      <c r="A63" s="33">
        <v>60</v>
      </c>
      <c r="B63" s="30">
        <v>-111.7</v>
      </c>
      <c r="C63" s="30">
        <v>-1.8616666666666668</v>
      </c>
      <c r="D63" s="35">
        <v>2.0333333333333332</v>
      </c>
      <c r="E63" s="31">
        <v>0.31666666666666665</v>
      </c>
      <c r="F63" s="31">
        <v>0.35</v>
      </c>
      <c r="G63" s="31">
        <v>0.26755218216318788</v>
      </c>
      <c r="H63" s="31">
        <v>0.1859582542694497</v>
      </c>
      <c r="I63" s="32">
        <v>9193.6170212765956</v>
      </c>
      <c r="J63" s="32">
        <v>-8011.2244897959181</v>
      </c>
      <c r="K63" s="31">
        <v>0.13333333333333333</v>
      </c>
      <c r="L63" s="31">
        <v>0.27324478178368122</v>
      </c>
      <c r="M63" s="31">
        <v>0.2239089184060721</v>
      </c>
      <c r="N63" s="31">
        <v>0.47222222222222221</v>
      </c>
      <c r="O63" s="31">
        <v>0.34745762711864409</v>
      </c>
      <c r="P63" s="31">
        <v>0.46808510638297873</v>
      </c>
    </row>
    <row r="64" spans="1:16" x14ac:dyDescent="0.4">
      <c r="A64" s="33">
        <v>61</v>
      </c>
      <c r="B64" s="30">
        <v>-95.7</v>
      </c>
      <c r="C64" s="30">
        <v>-1.5688524590163935</v>
      </c>
      <c r="D64" s="35">
        <v>2.0327868852459017</v>
      </c>
      <c r="E64" s="31">
        <v>0.31147540983606559</v>
      </c>
      <c r="F64" s="31">
        <v>0.34426229508196721</v>
      </c>
      <c r="G64" s="31">
        <v>0.27016885553470921</v>
      </c>
      <c r="H64" s="31">
        <v>0.18574108818011256</v>
      </c>
      <c r="I64" s="32">
        <v>9265.9722222222226</v>
      </c>
      <c r="J64" s="32">
        <v>-8091.9191919191917</v>
      </c>
      <c r="K64" s="31">
        <v>0.13114754098360656</v>
      </c>
      <c r="L64" s="31">
        <v>0.27579737335834897</v>
      </c>
      <c r="M64" s="31">
        <v>0.22138836772983114</v>
      </c>
      <c r="N64" s="31">
        <v>0.48299319727891155</v>
      </c>
      <c r="O64" s="31">
        <v>0.34745762711864409</v>
      </c>
      <c r="P64" s="31">
        <v>0.46527777777777779</v>
      </c>
    </row>
    <row r="65" spans="1:16" x14ac:dyDescent="0.4">
      <c r="A65" s="33">
        <v>62</v>
      </c>
      <c r="B65" s="30">
        <v>-130.6</v>
      </c>
      <c r="C65" s="30">
        <v>-2.1064516129032258</v>
      </c>
      <c r="D65" s="35">
        <v>2.0483870967741935</v>
      </c>
      <c r="E65" s="31">
        <v>0.30645161290322581</v>
      </c>
      <c r="F65" s="31">
        <v>0.35483870967741937</v>
      </c>
      <c r="G65" s="31">
        <v>0.26788990825688075</v>
      </c>
      <c r="H65" s="31">
        <v>0.1853211009174312</v>
      </c>
      <c r="I65" s="32">
        <v>9260.9589041095896</v>
      </c>
      <c r="J65" s="32">
        <v>-8084.1584158415844</v>
      </c>
      <c r="K65" s="31">
        <v>0.12903225806451613</v>
      </c>
      <c r="L65" s="31">
        <v>0.27522935779816515</v>
      </c>
      <c r="M65" s="31">
        <v>0.22201834862385322</v>
      </c>
      <c r="N65" s="31">
        <v>0.47333333333333333</v>
      </c>
      <c r="O65" s="31">
        <v>0.34710743801652894</v>
      </c>
      <c r="P65" s="31">
        <v>0.46575342465753422</v>
      </c>
    </row>
    <row r="66" spans="1:16" x14ac:dyDescent="0.4">
      <c r="A66" s="33">
        <v>63</v>
      </c>
      <c r="B66" s="30">
        <v>-129</v>
      </c>
      <c r="C66" s="30">
        <v>-2.0476190476190474</v>
      </c>
      <c r="D66" s="35">
        <v>2.0476190476190474</v>
      </c>
      <c r="E66" s="31">
        <v>0.30158730158730157</v>
      </c>
      <c r="F66" s="31">
        <v>0.34920634920634919</v>
      </c>
      <c r="G66" s="31">
        <v>0.26618705035971224</v>
      </c>
      <c r="H66" s="31">
        <v>0.18884892086330934</v>
      </c>
      <c r="I66" s="32">
        <v>9338.5135135135133</v>
      </c>
      <c r="J66" s="32">
        <v>-7932.3809523809523</v>
      </c>
      <c r="K66" s="31">
        <v>0.12698412698412698</v>
      </c>
      <c r="L66" s="31">
        <v>0.28237410071942448</v>
      </c>
      <c r="M66" s="31">
        <v>0.21762589928057555</v>
      </c>
      <c r="N66" s="31">
        <v>0.46496815286624205</v>
      </c>
      <c r="O66" s="31">
        <v>0.34710743801652894</v>
      </c>
      <c r="P66" s="31">
        <v>0.47297297297297297</v>
      </c>
    </row>
    <row r="67" spans="1:16" x14ac:dyDescent="0.4">
      <c r="A67" s="33">
        <v>64</v>
      </c>
      <c r="B67" s="30">
        <v>-129.5</v>
      </c>
      <c r="C67" s="30">
        <v>-2.0234375</v>
      </c>
      <c r="D67" s="35">
        <v>2.046875</v>
      </c>
      <c r="E67" s="31">
        <v>0.296875</v>
      </c>
      <c r="F67" s="31">
        <v>0.34375</v>
      </c>
      <c r="G67" s="31">
        <v>0.26595744680851063</v>
      </c>
      <c r="H67" s="31">
        <v>0.18971631205673758</v>
      </c>
      <c r="I67" s="32">
        <v>9320</v>
      </c>
      <c r="J67" s="32">
        <v>-7895.3271028037379</v>
      </c>
      <c r="K67" s="31">
        <v>0.125</v>
      </c>
      <c r="L67" s="31">
        <v>0.28368794326241137</v>
      </c>
      <c r="M67" s="31">
        <v>0.21808510638297873</v>
      </c>
      <c r="N67" s="31">
        <v>0.46875</v>
      </c>
      <c r="O67" s="31">
        <v>0.34146341463414637</v>
      </c>
      <c r="P67" s="31">
        <v>0.46666666666666667</v>
      </c>
    </row>
    <row r="68" spans="1:16" x14ac:dyDescent="0.4">
      <c r="A68" s="33">
        <v>65</v>
      </c>
      <c r="B68" s="30">
        <v>-92.4</v>
      </c>
      <c r="C68" s="30">
        <v>-1.4215384615384616</v>
      </c>
      <c r="D68" s="35">
        <v>2.0307692307692307</v>
      </c>
      <c r="E68" s="31">
        <v>0.30769230769230771</v>
      </c>
      <c r="F68" s="31">
        <v>0.33846153846153848</v>
      </c>
      <c r="G68" s="31">
        <v>0.2674825174825175</v>
      </c>
      <c r="H68" s="31">
        <v>0.1888111888111888</v>
      </c>
      <c r="I68" s="32">
        <v>9372.5490196078426</v>
      </c>
      <c r="J68" s="32">
        <v>-7881.4814814814818</v>
      </c>
      <c r="K68" s="31">
        <v>0.12307692307692308</v>
      </c>
      <c r="L68" s="31">
        <v>0.28496503496503495</v>
      </c>
      <c r="M68" s="31">
        <v>0.21503496503496503</v>
      </c>
      <c r="N68" s="31">
        <v>0.47239263803680981</v>
      </c>
      <c r="O68" s="31">
        <v>0.34146341463414637</v>
      </c>
      <c r="P68" s="31">
        <v>0.45751633986928103</v>
      </c>
    </row>
    <row r="69" spans="1:16" x14ac:dyDescent="0.4">
      <c r="A69" s="33">
        <v>66</v>
      </c>
      <c r="B69" s="30">
        <v>-141.4</v>
      </c>
      <c r="C69" s="30">
        <v>-2.1424242424242426</v>
      </c>
      <c r="D69" s="35">
        <v>2.0454545454545454</v>
      </c>
      <c r="E69" s="31">
        <v>0.30303030303030304</v>
      </c>
      <c r="F69" s="31">
        <v>0.34848484848484851</v>
      </c>
      <c r="G69" s="31">
        <v>0.26424870466321243</v>
      </c>
      <c r="H69" s="31">
        <v>0.18998272884283246</v>
      </c>
      <c r="I69" s="32">
        <v>9372.5490196078426</v>
      </c>
      <c r="J69" s="32">
        <v>-7920</v>
      </c>
      <c r="K69" s="31">
        <v>0.13636363636363635</v>
      </c>
      <c r="L69" s="31">
        <v>0.28497409326424872</v>
      </c>
      <c r="M69" s="31">
        <v>0.21588946459412781</v>
      </c>
      <c r="N69" s="31">
        <v>0.46666666666666667</v>
      </c>
      <c r="O69" s="31">
        <v>0.33600000000000002</v>
      </c>
      <c r="P69" s="31">
        <v>0.45751633986928103</v>
      </c>
    </row>
    <row r="70" spans="1:16" x14ac:dyDescent="0.4">
      <c r="A70" s="33">
        <v>67</v>
      </c>
      <c r="B70" s="30">
        <v>-112.7</v>
      </c>
      <c r="C70" s="30">
        <v>-1.682089552238806</v>
      </c>
      <c r="D70" s="35">
        <v>2.0298507462686568</v>
      </c>
      <c r="E70" s="31">
        <v>0.31343283582089554</v>
      </c>
      <c r="F70" s="31">
        <v>0.34328358208955223</v>
      </c>
      <c r="G70" s="31">
        <v>0.2687074829931973</v>
      </c>
      <c r="H70" s="31">
        <v>0.19217687074829931</v>
      </c>
      <c r="I70" s="32">
        <v>9386.7088607594942</v>
      </c>
      <c r="J70" s="32">
        <v>-7965.4867256637172</v>
      </c>
      <c r="K70" s="31">
        <v>0.13432835820895522</v>
      </c>
      <c r="L70" s="31">
        <v>0.2857142857142857</v>
      </c>
      <c r="M70" s="31">
        <v>0.22108843537414966</v>
      </c>
      <c r="N70" s="31">
        <v>0.47619047619047616</v>
      </c>
      <c r="O70" s="31">
        <v>0.33846153846153848</v>
      </c>
      <c r="P70" s="31">
        <v>0.44936708860759494</v>
      </c>
    </row>
    <row r="71" spans="1:16" x14ac:dyDescent="0.4">
      <c r="A71" s="33">
        <v>68</v>
      </c>
      <c r="B71" s="30">
        <v>-163.19999999999999</v>
      </c>
      <c r="C71" s="30">
        <v>-2.4</v>
      </c>
      <c r="D71" s="35">
        <v>2.0441176470588234</v>
      </c>
      <c r="E71" s="31">
        <v>0.30882352941176472</v>
      </c>
      <c r="F71" s="31">
        <v>0.35294117647058826</v>
      </c>
      <c r="G71" s="31">
        <v>0.26554621848739496</v>
      </c>
      <c r="H71" s="31">
        <v>0.19495798319327731</v>
      </c>
      <c r="I71" s="32">
        <v>9386.7088607594942</v>
      </c>
      <c r="J71" s="32">
        <v>-8031.8965517241377</v>
      </c>
      <c r="K71" s="31">
        <v>0.14705882352941177</v>
      </c>
      <c r="L71" s="31">
        <v>0.2857142857142857</v>
      </c>
      <c r="M71" s="31">
        <v>0.22184873949579831</v>
      </c>
      <c r="N71" s="31">
        <v>0.47058823529411764</v>
      </c>
      <c r="O71" s="31">
        <v>0.33333333333333331</v>
      </c>
      <c r="P71" s="31">
        <v>0.44936708860759494</v>
      </c>
    </row>
    <row r="72" spans="1:16" x14ac:dyDescent="0.4">
      <c r="A72" s="33">
        <v>69</v>
      </c>
      <c r="B72" s="30">
        <v>-122.6</v>
      </c>
      <c r="C72" s="30">
        <v>-1.7768115942028984</v>
      </c>
      <c r="D72" s="35">
        <v>2.0289855072463769</v>
      </c>
      <c r="E72" s="31">
        <v>0.3188405797101449</v>
      </c>
      <c r="F72" s="31">
        <v>0.34782608695652173</v>
      </c>
      <c r="G72" s="31">
        <v>0.26897689768976896</v>
      </c>
      <c r="H72" s="31">
        <v>0.19306930693069307</v>
      </c>
      <c r="I72" s="32">
        <v>9296.3190184049072</v>
      </c>
      <c r="J72" s="32">
        <v>-7988.0341880341884</v>
      </c>
      <c r="K72" s="31">
        <v>0.14492753623188406</v>
      </c>
      <c r="L72" s="31">
        <v>0.28712871287128711</v>
      </c>
      <c r="M72" s="31">
        <v>0.22112211221122113</v>
      </c>
      <c r="N72" s="31">
        <v>0.47126436781609193</v>
      </c>
      <c r="O72" s="31">
        <v>0.34328358208955223</v>
      </c>
      <c r="P72" s="31">
        <v>0.45398773006134968</v>
      </c>
    </row>
    <row r="73" spans="1:16" x14ac:dyDescent="0.4">
      <c r="A73" s="33">
        <v>70</v>
      </c>
      <c r="B73" s="30">
        <v>-134.79999999999998</v>
      </c>
      <c r="C73" s="30">
        <v>-1.9257142857142855</v>
      </c>
      <c r="D73" s="35">
        <v>2.0285714285714285</v>
      </c>
      <c r="E73" s="31">
        <v>0.31428571428571428</v>
      </c>
      <c r="F73" s="31">
        <v>0.34285714285714286</v>
      </c>
      <c r="G73" s="31">
        <v>0.26666666666666666</v>
      </c>
      <c r="H73" s="31">
        <v>0.19186991869918699</v>
      </c>
      <c r="I73" s="32">
        <v>9251.8292682926822</v>
      </c>
      <c r="J73" s="32">
        <v>-7953.3898305084749</v>
      </c>
      <c r="K73" s="31">
        <v>0.14285714285714285</v>
      </c>
      <c r="L73" s="31">
        <v>0.28292682926829266</v>
      </c>
      <c r="M73" s="31">
        <v>0.22601626016260162</v>
      </c>
      <c r="N73" s="31">
        <v>0.47126436781609193</v>
      </c>
      <c r="O73" s="31">
        <v>0.33812949640287771</v>
      </c>
      <c r="P73" s="31">
        <v>0.45121951219512196</v>
      </c>
    </row>
    <row r="74" spans="1:16" x14ac:dyDescent="0.4">
      <c r="A74" s="33">
        <v>71</v>
      </c>
      <c r="B74" s="30">
        <v>-102.19999999999999</v>
      </c>
      <c r="C74" s="30">
        <v>-1.4394366197183097</v>
      </c>
      <c r="D74" s="35">
        <v>2.0140845070422535</v>
      </c>
      <c r="E74" s="31">
        <v>0.323943661971831</v>
      </c>
      <c r="F74" s="31">
        <v>0.3380281690140845</v>
      </c>
      <c r="G74" s="31">
        <v>0.26762820512820512</v>
      </c>
      <c r="H74" s="31">
        <v>0.19070512820512819</v>
      </c>
      <c r="I74" s="32">
        <v>9299.4011976047896</v>
      </c>
      <c r="J74" s="32">
        <v>-7953.7815126050418</v>
      </c>
      <c r="K74" s="31">
        <v>0.14084507042253522</v>
      </c>
      <c r="L74" s="31">
        <v>0.28044871794871795</v>
      </c>
      <c r="M74" s="31">
        <v>0.22756410256410256</v>
      </c>
      <c r="N74" s="31">
        <v>0.46857142857142858</v>
      </c>
      <c r="O74" s="31">
        <v>0.34507042253521125</v>
      </c>
      <c r="P74" s="31">
        <v>0.45508982035928142</v>
      </c>
    </row>
    <row r="75" spans="1:16" x14ac:dyDescent="0.4">
      <c r="A75" s="33">
        <v>72</v>
      </c>
      <c r="B75" s="30">
        <v>-87.699999999999989</v>
      </c>
      <c r="C75" s="30">
        <v>-1.2180555555555554</v>
      </c>
      <c r="D75" s="35">
        <v>2</v>
      </c>
      <c r="E75" s="31">
        <v>0.33333333333333331</v>
      </c>
      <c r="F75" s="31">
        <v>0.33333333333333331</v>
      </c>
      <c r="G75" s="31">
        <v>0.26740506329113922</v>
      </c>
      <c r="H75" s="31">
        <v>0.18829113924050633</v>
      </c>
      <c r="I75" s="32">
        <v>9362.7218934911234</v>
      </c>
      <c r="J75" s="32">
        <v>-7953.7815126050418</v>
      </c>
      <c r="K75" s="31">
        <v>0.1388888888888889</v>
      </c>
      <c r="L75" s="31">
        <v>0.28639240506329117</v>
      </c>
      <c r="M75" s="31">
        <v>0.22468354430379747</v>
      </c>
      <c r="N75" s="31">
        <v>0.46408839779005523</v>
      </c>
      <c r="O75" s="31">
        <v>0.34507042253521125</v>
      </c>
      <c r="P75" s="31">
        <v>0.46153846153846156</v>
      </c>
    </row>
    <row r="76" spans="1:16" x14ac:dyDescent="0.4">
      <c r="A76" s="33">
        <v>73</v>
      </c>
      <c r="B76" s="30">
        <v>-121.19999999999999</v>
      </c>
      <c r="C76" s="30">
        <v>-1.6602739726027396</v>
      </c>
      <c r="D76" s="35">
        <v>2.0136986301369864</v>
      </c>
      <c r="E76" s="31">
        <v>0.32876712328767121</v>
      </c>
      <c r="F76" s="31">
        <v>0.34246575342465752</v>
      </c>
      <c r="G76" s="31">
        <v>0.265625</v>
      </c>
      <c r="H76" s="31">
        <v>0.19218750000000001</v>
      </c>
      <c r="I76" s="32">
        <v>9378.2352941176468</v>
      </c>
      <c r="J76" s="32">
        <v>-7963.4146341463411</v>
      </c>
      <c r="K76" s="31">
        <v>0.13698630136986301</v>
      </c>
      <c r="L76" s="31">
        <v>0.28437499999999999</v>
      </c>
      <c r="M76" s="31">
        <v>0.22343750000000001</v>
      </c>
      <c r="N76" s="31">
        <v>0.46703296703296704</v>
      </c>
      <c r="O76" s="31">
        <v>0.34265734265734266</v>
      </c>
      <c r="P76" s="31">
        <v>0.46470588235294119</v>
      </c>
    </row>
    <row r="77" spans="1:16" x14ac:dyDescent="0.4">
      <c r="A77" s="33">
        <v>74</v>
      </c>
      <c r="B77" s="30">
        <v>-96.299999999999983</v>
      </c>
      <c r="C77" s="30">
        <v>-1.301351351351351</v>
      </c>
      <c r="D77" s="35">
        <v>2</v>
      </c>
      <c r="E77" s="31">
        <v>0.33783783783783783</v>
      </c>
      <c r="F77" s="31">
        <v>0.33783783783783783</v>
      </c>
      <c r="G77" s="31">
        <v>0.26493108728943338</v>
      </c>
      <c r="H77" s="31">
        <v>0.19295558958652373</v>
      </c>
      <c r="I77" s="32">
        <v>9475.7225433526019</v>
      </c>
      <c r="J77" s="32">
        <v>-7925.3968253968251</v>
      </c>
      <c r="K77" s="31">
        <v>0.13513513513513514</v>
      </c>
      <c r="L77" s="31">
        <v>0.28330781010719758</v>
      </c>
      <c r="M77" s="31">
        <v>0.22511485451761101</v>
      </c>
      <c r="N77" s="31">
        <v>0.4702702702702703</v>
      </c>
      <c r="O77" s="31">
        <v>0.3401360544217687</v>
      </c>
      <c r="P77" s="31">
        <v>0.46242774566473988</v>
      </c>
    </row>
    <row r="78" spans="1:16" x14ac:dyDescent="0.4">
      <c r="A78" s="33">
        <v>75</v>
      </c>
      <c r="B78" s="30">
        <v>-101.69999999999999</v>
      </c>
      <c r="C78" s="30">
        <v>-1.3559999999999999</v>
      </c>
      <c r="D78" s="35">
        <v>2</v>
      </c>
      <c r="E78" s="31">
        <v>0.33333333333333331</v>
      </c>
      <c r="F78" s="31">
        <v>0.33333333333333331</v>
      </c>
      <c r="G78" s="31">
        <v>0.2669683257918552</v>
      </c>
      <c r="H78" s="31">
        <v>0.19306184012066366</v>
      </c>
      <c r="I78" s="32">
        <v>9425.4237288135591</v>
      </c>
      <c r="J78" s="32">
        <v>-7957.8125</v>
      </c>
      <c r="K78" s="31">
        <v>0.13333333333333333</v>
      </c>
      <c r="L78" s="31">
        <v>0.28657616892911009</v>
      </c>
      <c r="M78" s="31">
        <v>0.22322775263951736</v>
      </c>
      <c r="N78" s="31">
        <v>0.46842105263157896</v>
      </c>
      <c r="O78" s="31">
        <v>0.34459459459459457</v>
      </c>
      <c r="P78" s="31">
        <v>0.4632768361581921</v>
      </c>
    </row>
    <row r="79" spans="1:16" x14ac:dyDescent="0.4">
      <c r="A79" s="33">
        <v>76</v>
      </c>
      <c r="B79" s="30">
        <v>-119.19999999999999</v>
      </c>
      <c r="C79" s="30">
        <v>-1.5684210526315787</v>
      </c>
      <c r="D79" s="35">
        <v>2.013157894736842</v>
      </c>
      <c r="E79" s="31">
        <v>0.32894736842105265</v>
      </c>
      <c r="F79" s="31">
        <v>0.34210526315789475</v>
      </c>
      <c r="G79" s="31">
        <v>0.26587887740029542</v>
      </c>
      <c r="H79" s="31">
        <v>0.19350073855243721</v>
      </c>
      <c r="I79" s="32">
        <v>9468.3333333333339</v>
      </c>
      <c r="J79" s="32">
        <v>-7864.8854961832058</v>
      </c>
      <c r="K79" s="31">
        <v>0.13157894736842105</v>
      </c>
      <c r="L79" s="31">
        <v>0.28951255539143278</v>
      </c>
      <c r="M79" s="31">
        <v>0.22304283604135894</v>
      </c>
      <c r="N79" s="31">
        <v>0.4642857142857143</v>
      </c>
      <c r="O79" s="31">
        <v>0.3443708609271523</v>
      </c>
      <c r="P79" s="31">
        <v>0.46111111111111114</v>
      </c>
    </row>
    <row r="80" spans="1:16" x14ac:dyDescent="0.4">
      <c r="A80" s="33">
        <v>77</v>
      </c>
      <c r="B80" s="30">
        <v>-113.6</v>
      </c>
      <c r="C80" s="30">
        <v>-1.4753246753246751</v>
      </c>
      <c r="D80" s="35">
        <v>2.0129870129870131</v>
      </c>
      <c r="E80" s="31">
        <v>0.32467532467532467</v>
      </c>
      <c r="F80" s="31">
        <v>0.33766233766233766</v>
      </c>
      <c r="G80" s="31">
        <v>0.26676384839650147</v>
      </c>
      <c r="H80" s="31">
        <v>0.19387755102040816</v>
      </c>
      <c r="I80" s="32">
        <v>9438.7978142076499</v>
      </c>
      <c r="J80" s="32">
        <v>-7840.6015037593988</v>
      </c>
      <c r="K80" s="31">
        <v>0.12987012987012986</v>
      </c>
      <c r="L80" s="31">
        <v>0.29008746355685133</v>
      </c>
      <c r="M80" s="31">
        <v>0.22303206997084549</v>
      </c>
      <c r="N80" s="31">
        <v>0.46733668341708545</v>
      </c>
      <c r="O80" s="31">
        <v>0.34640522875816993</v>
      </c>
      <c r="P80" s="31">
        <v>0.45901639344262296</v>
      </c>
    </row>
    <row r="81" spans="1:16" x14ac:dyDescent="0.4">
      <c r="A81" s="33">
        <v>78</v>
      </c>
      <c r="B81" s="30">
        <v>-103.89999999999999</v>
      </c>
      <c r="C81" s="30">
        <v>-1.332051282051282</v>
      </c>
      <c r="D81" s="35">
        <v>2.0128205128205128</v>
      </c>
      <c r="E81" s="31">
        <v>0.32051282051282054</v>
      </c>
      <c r="F81" s="31">
        <v>0.33333333333333331</v>
      </c>
      <c r="G81" s="31">
        <v>0.2665706051873199</v>
      </c>
      <c r="H81" s="31">
        <v>0.1930835734870317</v>
      </c>
      <c r="I81" s="32">
        <v>9488.1081081081084</v>
      </c>
      <c r="J81" s="32">
        <v>-7841.7910447761196</v>
      </c>
      <c r="K81" s="31">
        <v>0.12820512820512819</v>
      </c>
      <c r="L81" s="31">
        <v>0.29106628242074928</v>
      </c>
      <c r="M81" s="31">
        <v>0.22190201729106629</v>
      </c>
      <c r="N81" s="31">
        <v>0.46534653465346537</v>
      </c>
      <c r="O81" s="31">
        <v>0.34415584415584416</v>
      </c>
      <c r="P81" s="31">
        <v>0.45945945945945948</v>
      </c>
    </row>
    <row r="82" spans="1:16" x14ac:dyDescent="0.4">
      <c r="A82" s="33">
        <v>79</v>
      </c>
      <c r="B82" s="30">
        <v>-111.3</v>
      </c>
      <c r="C82" s="30">
        <v>-1.4088607594936708</v>
      </c>
      <c r="D82" s="35">
        <v>2.0126582278481013</v>
      </c>
      <c r="E82" s="31">
        <v>0.31645569620253167</v>
      </c>
      <c r="F82" s="31">
        <v>0.32911392405063289</v>
      </c>
      <c r="G82" s="31">
        <v>0.265625</v>
      </c>
      <c r="H82" s="31">
        <v>0.19318181818181818</v>
      </c>
      <c r="I82" s="32">
        <v>9514.9732620320847</v>
      </c>
      <c r="J82" s="32">
        <v>-7813.9705882352937</v>
      </c>
      <c r="K82" s="31">
        <v>0.12658227848101267</v>
      </c>
      <c r="L82" s="31">
        <v>0.28693181818181818</v>
      </c>
      <c r="M82" s="31">
        <v>0.22585227272727273</v>
      </c>
      <c r="N82" s="31">
        <v>0.46534653465346537</v>
      </c>
      <c r="O82" s="31">
        <v>0.33962264150943394</v>
      </c>
      <c r="P82" s="31">
        <v>0.45989304812834225</v>
      </c>
    </row>
    <row r="83" spans="1:16" x14ac:dyDescent="0.4">
      <c r="A83" s="33">
        <v>80</v>
      </c>
      <c r="B83" s="30">
        <v>-86.9</v>
      </c>
      <c r="C83" s="30">
        <v>-1.0862500000000002</v>
      </c>
      <c r="D83" s="35">
        <v>2</v>
      </c>
      <c r="E83" s="31">
        <v>0.32500000000000001</v>
      </c>
      <c r="F83" s="31">
        <v>0.32500000000000001</v>
      </c>
      <c r="G83" s="31">
        <v>0.26619718309859153</v>
      </c>
      <c r="H83" s="31">
        <v>0.19436619718309858</v>
      </c>
      <c r="I83" s="32">
        <v>9541.269841269841</v>
      </c>
      <c r="J83" s="32">
        <v>-7777.536231884058</v>
      </c>
      <c r="K83" s="31">
        <v>0.125</v>
      </c>
      <c r="L83" s="31">
        <v>0.28591549295774649</v>
      </c>
      <c r="M83" s="31">
        <v>0.22816901408450704</v>
      </c>
      <c r="N83" s="31">
        <v>0.46798029556650245</v>
      </c>
      <c r="O83" s="31">
        <v>0.33950617283950618</v>
      </c>
      <c r="P83" s="31">
        <v>0.46031746031746029</v>
      </c>
    </row>
    <row r="84" spans="1:16" x14ac:dyDescent="0.4">
      <c r="A84" s="33">
        <v>81</v>
      </c>
      <c r="B84" s="30">
        <v>-132.9</v>
      </c>
      <c r="C84" s="30">
        <v>-1.6407407407407408</v>
      </c>
      <c r="D84" s="35">
        <v>2.0123456790123457</v>
      </c>
      <c r="E84" s="31">
        <v>0.32098765432098764</v>
      </c>
      <c r="F84" s="31">
        <v>0.33333333333333331</v>
      </c>
      <c r="G84" s="31">
        <v>0.26490984743411927</v>
      </c>
      <c r="H84" s="31">
        <v>0.19694868238557559</v>
      </c>
      <c r="I84" s="32">
        <v>9472.2513089005242</v>
      </c>
      <c r="J84" s="32">
        <v>-7730.9859154929582</v>
      </c>
      <c r="K84" s="31">
        <v>0.13580246913580246</v>
      </c>
      <c r="L84" s="31">
        <v>0.2857142857142857</v>
      </c>
      <c r="M84" s="31">
        <v>0.22607489597780861</v>
      </c>
      <c r="N84" s="31">
        <v>0.46601941747572817</v>
      </c>
      <c r="O84" s="31">
        <v>0.34355828220858897</v>
      </c>
      <c r="P84" s="31">
        <v>0.45549738219895286</v>
      </c>
    </row>
    <row r="85" spans="1:16" x14ac:dyDescent="0.4">
      <c r="A85" s="33">
        <v>82</v>
      </c>
      <c r="B85" s="30">
        <v>-164</v>
      </c>
      <c r="C85" s="30">
        <v>-2</v>
      </c>
      <c r="D85" s="35">
        <v>2.024390243902439</v>
      </c>
      <c r="E85" s="31">
        <v>0.31707317073170732</v>
      </c>
      <c r="F85" s="31">
        <v>0.34146341463414637</v>
      </c>
      <c r="G85" s="31">
        <v>0.26409903713892707</v>
      </c>
      <c r="H85" s="31">
        <v>0.19944979367262725</v>
      </c>
      <c r="I85" s="32">
        <v>9443.2291666666661</v>
      </c>
      <c r="J85" s="32">
        <v>-7695.1724137931033</v>
      </c>
      <c r="K85" s="31">
        <v>0.13414634146341464</v>
      </c>
      <c r="L85" s="31">
        <v>0.28335625859697389</v>
      </c>
      <c r="M85" s="31">
        <v>0.22696011004126548</v>
      </c>
      <c r="N85" s="31">
        <v>0.46601941747572817</v>
      </c>
      <c r="O85" s="31">
        <v>0.34545454545454546</v>
      </c>
      <c r="P85" s="31">
        <v>0.453125</v>
      </c>
    </row>
    <row r="86" spans="1:16" x14ac:dyDescent="0.4">
      <c r="A86" s="33">
        <v>83</v>
      </c>
      <c r="B86" s="30">
        <v>-182.6</v>
      </c>
      <c r="C86" s="30">
        <v>-2.1999999999999997</v>
      </c>
      <c r="D86" s="35">
        <v>2.0240963855421685</v>
      </c>
      <c r="E86" s="31">
        <v>0.31325301204819278</v>
      </c>
      <c r="F86" s="31">
        <v>0.33734939759036142</v>
      </c>
      <c r="G86" s="31">
        <v>0.26244952893674295</v>
      </c>
      <c r="H86" s="31">
        <v>0.20053835800807537</v>
      </c>
      <c r="I86" s="32">
        <v>9418.461538461539</v>
      </c>
      <c r="J86" s="32">
        <v>-7719.4630872483222</v>
      </c>
      <c r="K86" s="31">
        <v>0.13253012048192772</v>
      </c>
      <c r="L86" s="31">
        <v>0.28129205921938089</v>
      </c>
      <c r="M86" s="31">
        <v>0.2234185733512786</v>
      </c>
      <c r="N86" s="31">
        <v>0.47368421052631576</v>
      </c>
      <c r="O86" s="31">
        <v>0.34337349397590361</v>
      </c>
      <c r="P86" s="31">
        <v>0.45128205128205129</v>
      </c>
    </row>
    <row r="87" spans="1:16" x14ac:dyDescent="0.4">
      <c r="A87" s="33">
        <v>84</v>
      </c>
      <c r="B87" s="30">
        <v>-180</v>
      </c>
      <c r="C87" s="30">
        <v>-2.1428571428571428</v>
      </c>
      <c r="D87" s="35">
        <v>2.0238095238095237</v>
      </c>
      <c r="E87" s="31">
        <v>0.30952380952380953</v>
      </c>
      <c r="F87" s="31">
        <v>0.33333333333333331</v>
      </c>
      <c r="G87" s="31">
        <v>0.26266666666666666</v>
      </c>
      <c r="H87" s="31">
        <v>0.20266666666666666</v>
      </c>
      <c r="I87" s="32">
        <v>9402.5380710659902</v>
      </c>
      <c r="J87" s="32">
        <v>-7679.605263157895</v>
      </c>
      <c r="K87" s="31">
        <v>0.13095238095238096</v>
      </c>
      <c r="L87" s="31">
        <v>0.28133333333333332</v>
      </c>
      <c r="M87" s="31">
        <v>0.22533333333333333</v>
      </c>
      <c r="N87" s="31">
        <v>0.47867298578199052</v>
      </c>
      <c r="O87" s="31">
        <v>0.33727810650887574</v>
      </c>
      <c r="P87" s="31">
        <v>0.45177664974619292</v>
      </c>
    </row>
    <row r="88" spans="1:16" x14ac:dyDescent="0.4">
      <c r="A88" s="33">
        <v>85</v>
      </c>
      <c r="B88" s="30">
        <v>-151.6</v>
      </c>
      <c r="C88" s="30">
        <v>-1.7835294117647058</v>
      </c>
      <c r="D88" s="35">
        <v>2.0117647058823529</v>
      </c>
      <c r="E88" s="31">
        <v>0.31764705882352939</v>
      </c>
      <c r="F88" s="31">
        <v>0.32941176470588235</v>
      </c>
      <c r="G88" s="31">
        <v>0.2648221343873518</v>
      </c>
      <c r="H88" s="31">
        <v>0.20026350461133069</v>
      </c>
      <c r="I88" s="32">
        <v>9400.4975124378107</v>
      </c>
      <c r="J88" s="32">
        <v>-7679.605263157895</v>
      </c>
      <c r="K88" s="31">
        <v>0.12941176470588237</v>
      </c>
      <c r="L88" s="31">
        <v>0.28326745718050067</v>
      </c>
      <c r="M88" s="31">
        <v>0.22529644268774704</v>
      </c>
      <c r="N88" s="31">
        <v>0.48372093023255813</v>
      </c>
      <c r="O88" s="31">
        <v>0.33918128654970758</v>
      </c>
      <c r="P88" s="31">
        <v>0.45273631840796019</v>
      </c>
    </row>
    <row r="89" spans="1:16" x14ac:dyDescent="0.4">
      <c r="A89" s="33">
        <v>86</v>
      </c>
      <c r="B89" s="30">
        <v>-194.6</v>
      </c>
      <c r="C89" s="30">
        <v>-2.2627906976744185</v>
      </c>
      <c r="D89" s="35">
        <v>2.0232558139534884</v>
      </c>
      <c r="E89" s="31">
        <v>0.31395348837209303</v>
      </c>
      <c r="F89" s="31">
        <v>0.33720930232558138</v>
      </c>
      <c r="G89" s="31">
        <v>0.26171875</v>
      </c>
      <c r="H89" s="31">
        <v>0.203125</v>
      </c>
      <c r="I89" s="32">
        <v>9400.4975124378107</v>
      </c>
      <c r="J89" s="32">
        <v>-7614.1025641025644</v>
      </c>
      <c r="K89" s="31">
        <v>0.12790697674418605</v>
      </c>
      <c r="L89" s="31">
        <v>0.28255208333333331</v>
      </c>
      <c r="M89" s="31">
        <v>0.22395833333333334</v>
      </c>
      <c r="N89" s="31">
        <v>0.47926267281105989</v>
      </c>
      <c r="O89" s="31">
        <v>0.33720930232558138</v>
      </c>
      <c r="P89" s="31">
        <v>0.45273631840796019</v>
      </c>
    </row>
    <row r="90" spans="1:16" x14ac:dyDescent="0.4">
      <c r="A90" s="33">
        <v>87</v>
      </c>
      <c r="B90" s="30">
        <v>-170.2</v>
      </c>
      <c r="C90" s="30">
        <v>-1.9563218390804595</v>
      </c>
      <c r="D90" s="35">
        <v>2.0114942528735633</v>
      </c>
      <c r="E90" s="31">
        <v>0.32183908045977011</v>
      </c>
      <c r="F90" s="31">
        <v>0.33333333333333331</v>
      </c>
      <c r="G90" s="31">
        <v>0.26322580645161292</v>
      </c>
      <c r="H90" s="31">
        <v>0.20258064516129032</v>
      </c>
      <c r="I90" s="32">
        <v>9413.7254901960787</v>
      </c>
      <c r="J90" s="32">
        <v>-7616.5605095541405</v>
      </c>
      <c r="K90" s="31">
        <v>0.12643678160919541</v>
      </c>
      <c r="L90" s="31">
        <v>0.28387096774193549</v>
      </c>
      <c r="M90" s="31">
        <v>0.22451612903225807</v>
      </c>
      <c r="N90" s="31">
        <v>0.48181818181818181</v>
      </c>
      <c r="O90" s="31">
        <v>0.33908045977011492</v>
      </c>
      <c r="P90" s="31">
        <v>0.45098039215686275</v>
      </c>
    </row>
    <row r="91" spans="1:16" x14ac:dyDescent="0.4">
      <c r="A91" s="33">
        <v>88</v>
      </c>
      <c r="B91" s="30">
        <v>-204.79999999999998</v>
      </c>
      <c r="C91" s="30">
        <v>-2.3272727272727272</v>
      </c>
      <c r="D91" s="35">
        <v>2.0227272727272729</v>
      </c>
      <c r="E91" s="31">
        <v>0.31818181818181818</v>
      </c>
      <c r="F91" s="31">
        <v>0.34090909090909088</v>
      </c>
      <c r="G91" s="31">
        <v>0.26181353767560667</v>
      </c>
      <c r="H91" s="31">
        <v>0.20306513409961685</v>
      </c>
      <c r="I91" s="32">
        <v>9426.3414634146338</v>
      </c>
      <c r="J91" s="32">
        <v>-7670.4402515723268</v>
      </c>
      <c r="K91" s="31">
        <v>0.125</v>
      </c>
      <c r="L91" s="31">
        <v>0.28352490421455939</v>
      </c>
      <c r="M91" s="31">
        <v>0.22349936143039592</v>
      </c>
      <c r="N91" s="31">
        <v>0.481981981981982</v>
      </c>
      <c r="O91" s="31">
        <v>0.33714285714285713</v>
      </c>
      <c r="P91" s="31">
        <v>0.45365853658536587</v>
      </c>
    </row>
    <row r="92" spans="1:16" x14ac:dyDescent="0.4">
      <c r="A92" s="33">
        <v>89</v>
      </c>
      <c r="B92" s="30">
        <v>-244.29999999999998</v>
      </c>
      <c r="C92" s="30">
        <v>-2.7449438202247189</v>
      </c>
      <c r="D92" s="35">
        <v>2.0337078651685392</v>
      </c>
      <c r="E92" s="31">
        <v>0.3146067415730337</v>
      </c>
      <c r="F92" s="31">
        <v>0.34831460674157305</v>
      </c>
      <c r="G92" s="31">
        <v>0.26042983565107458</v>
      </c>
      <c r="H92" s="31">
        <v>0.20353982300884957</v>
      </c>
      <c r="I92" s="32">
        <v>9417.961165048544</v>
      </c>
      <c r="J92" s="32">
        <v>-7673.913043478261</v>
      </c>
      <c r="K92" s="31">
        <v>0.12359550561797752</v>
      </c>
      <c r="L92" s="31">
        <v>0.28445006321112515</v>
      </c>
      <c r="M92" s="31">
        <v>0.22250316055625791</v>
      </c>
      <c r="N92" s="31">
        <v>0.48</v>
      </c>
      <c r="O92" s="31">
        <v>0.33522727272727271</v>
      </c>
      <c r="P92" s="31">
        <v>0.4563106796116505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14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  <row r="93" spans="1:16" x14ac:dyDescent="0.4">
      <c r="A93" s="33">
        <v>90</v>
      </c>
      <c r="B93" s="30">
        <v>122.49999999999993</v>
      </c>
      <c r="C93" s="30">
        <v>1.3611111111111103</v>
      </c>
      <c r="D93" s="35">
        <v>2.0222222222222221</v>
      </c>
      <c r="E93" s="31">
        <v>0.32222222222222224</v>
      </c>
      <c r="F93" s="31">
        <v>0.34444444444444444</v>
      </c>
      <c r="G93" s="31">
        <v>0.32180851063829785</v>
      </c>
      <c r="H93" s="31">
        <v>0.18218085106382978</v>
      </c>
      <c r="I93" s="32">
        <v>8271.4876033057844</v>
      </c>
      <c r="J93" s="32">
        <v>-7286.1313868613142</v>
      </c>
      <c r="K93" s="31">
        <v>7.7777777777777779E-2</v>
      </c>
      <c r="L93" s="31">
        <v>0.24335106382978725</v>
      </c>
      <c r="M93" s="31">
        <v>0.20877659574468085</v>
      </c>
      <c r="N93" s="31">
        <v>0.56284153005464477</v>
      </c>
      <c r="O93" s="31">
        <v>0.47770700636942676</v>
      </c>
      <c r="P93" s="31">
        <v>0.47520661157024796</v>
      </c>
    </row>
    <row r="94" spans="1:16" x14ac:dyDescent="0.4">
      <c r="A94" s="33">
        <v>91</v>
      </c>
      <c r="B94" s="30">
        <v>169.09999999999994</v>
      </c>
      <c r="C94" s="30">
        <v>1.8582417582417576</v>
      </c>
      <c r="D94" s="35">
        <v>2.0109890109890109</v>
      </c>
      <c r="E94" s="31">
        <v>0.32967032967032966</v>
      </c>
      <c r="F94" s="31">
        <v>0.34065934065934067</v>
      </c>
      <c r="G94" s="31">
        <v>0.32236842105263158</v>
      </c>
      <c r="H94" s="31">
        <v>0.18026315789473685</v>
      </c>
      <c r="I94" s="32">
        <v>8323.6734693877552</v>
      </c>
      <c r="J94" s="32">
        <v>-7286.1313868613142</v>
      </c>
      <c r="K94" s="31">
        <v>7.6923076923076927E-2</v>
      </c>
      <c r="L94" s="31">
        <v>0.24473684210526317</v>
      </c>
      <c r="M94" s="31">
        <v>0.20789473684210527</v>
      </c>
      <c r="N94" s="31">
        <v>0.56451612903225812</v>
      </c>
      <c r="O94" s="31">
        <v>0.47468354430379744</v>
      </c>
      <c r="P94" s="31">
        <v>0.47755102040816327</v>
      </c>
    </row>
    <row r="95" spans="1:16" x14ac:dyDescent="0.4">
      <c r="A95" s="33">
        <v>92</v>
      </c>
      <c r="B95" s="30">
        <v>196.59999999999994</v>
      </c>
      <c r="C95" s="30">
        <v>2.1369565217391298</v>
      </c>
      <c r="D95" s="35">
        <v>2</v>
      </c>
      <c r="E95" s="31">
        <v>0.33695652173913043</v>
      </c>
      <c r="F95" s="31">
        <v>0.33695652173913043</v>
      </c>
      <c r="G95" s="31">
        <v>0.32333767926988266</v>
      </c>
      <c r="H95" s="31">
        <v>0.17992177314211213</v>
      </c>
      <c r="I95" s="32">
        <v>8323.3870967741932</v>
      </c>
      <c r="J95" s="32">
        <v>-7254.347826086957</v>
      </c>
      <c r="K95" s="31">
        <v>7.6086956521739135E-2</v>
      </c>
      <c r="L95" s="31">
        <v>0.24771838331160365</v>
      </c>
      <c r="M95" s="31">
        <v>0.20599739243807041</v>
      </c>
      <c r="N95" s="31">
        <v>0.56842105263157894</v>
      </c>
      <c r="O95" s="31">
        <v>0.47468354430379744</v>
      </c>
      <c r="P95" s="31">
        <v>0.47983870967741937</v>
      </c>
    </row>
    <row r="96" spans="1:16" x14ac:dyDescent="0.4">
      <c r="A96" s="33">
        <v>93</v>
      </c>
      <c r="B96" s="30">
        <v>224.49999999999994</v>
      </c>
      <c r="C96" s="30">
        <v>2.4139784946236551</v>
      </c>
      <c r="D96" s="35">
        <v>1.989247311827957</v>
      </c>
      <c r="E96" s="31">
        <v>0.34408602150537637</v>
      </c>
      <c r="F96" s="31">
        <v>0.33333333333333331</v>
      </c>
      <c r="G96" s="31">
        <v>0.32474226804123713</v>
      </c>
      <c r="H96" s="31">
        <v>0.17783505154639176</v>
      </c>
      <c r="I96" s="32">
        <v>8315.0793650793657</v>
      </c>
      <c r="J96" s="32">
        <v>-7254.347826086957</v>
      </c>
      <c r="K96" s="31">
        <v>7.5268817204301078E-2</v>
      </c>
      <c r="L96" s="31">
        <v>0.25</v>
      </c>
      <c r="M96" s="31">
        <v>0.20360824742268041</v>
      </c>
      <c r="N96" s="31">
        <v>0.57216494845360821</v>
      </c>
      <c r="O96" s="31">
        <v>0.47468354430379744</v>
      </c>
      <c r="P96" s="31">
        <v>0.48015873015873017</v>
      </c>
    </row>
    <row r="97" spans="1:16" x14ac:dyDescent="0.4">
      <c r="A97" s="33">
        <v>94</v>
      </c>
      <c r="B97" s="30">
        <v>232.69999999999993</v>
      </c>
      <c r="C97" s="30">
        <v>2.4755319148936161</v>
      </c>
      <c r="D97" s="35">
        <v>1.9893617021276595</v>
      </c>
      <c r="E97" s="31">
        <v>0.34042553191489361</v>
      </c>
      <c r="F97" s="31">
        <v>0.32978723404255317</v>
      </c>
      <c r="G97" s="31">
        <v>0.32655654383735705</v>
      </c>
      <c r="H97" s="31">
        <v>0.17662007623888182</v>
      </c>
      <c r="I97" s="32">
        <v>8261.0894941634233</v>
      </c>
      <c r="J97" s="32">
        <v>-7288.4892086330938</v>
      </c>
      <c r="K97" s="31">
        <v>7.4468085106382975E-2</v>
      </c>
      <c r="L97" s="31">
        <v>0.2503176620076239</v>
      </c>
      <c r="M97" s="31">
        <v>0.20330368487928843</v>
      </c>
      <c r="N97" s="31">
        <v>0.57360406091370564</v>
      </c>
      <c r="O97" s="31">
        <v>0.48125000000000001</v>
      </c>
      <c r="P97" s="31">
        <v>0.48249027237354086</v>
      </c>
    </row>
    <row r="98" spans="1:16" x14ac:dyDescent="0.4">
      <c r="A98" s="33">
        <v>95</v>
      </c>
      <c r="B98" s="30">
        <v>211.19999999999993</v>
      </c>
      <c r="C98" s="30">
        <v>2.2231578947368416</v>
      </c>
      <c r="D98" s="35">
        <v>2</v>
      </c>
      <c r="E98" s="31">
        <v>0.33684210526315789</v>
      </c>
      <c r="F98" s="31">
        <v>0.33684210526315789</v>
      </c>
      <c r="G98" s="31">
        <v>0.32619647355163728</v>
      </c>
      <c r="H98" s="31">
        <v>0.17758186397984888</v>
      </c>
      <c r="I98" s="32">
        <v>8279.1505791505788</v>
      </c>
      <c r="J98" s="32">
        <v>-7297.8723404255315</v>
      </c>
      <c r="K98" s="31">
        <v>7.3684210526315783E-2</v>
      </c>
      <c r="L98" s="31">
        <v>0.25188916876574308</v>
      </c>
      <c r="M98" s="31">
        <v>0.20403022670025189</v>
      </c>
      <c r="N98" s="31">
        <v>0.57499999999999996</v>
      </c>
      <c r="O98" s="31">
        <v>0.47530864197530864</v>
      </c>
      <c r="P98" s="31">
        <v>0.4826254826254826</v>
      </c>
    </row>
    <row r="99" spans="1:16" x14ac:dyDescent="0.4">
      <c r="A99" s="33">
        <v>96</v>
      </c>
      <c r="B99" s="30">
        <v>245.49999999999994</v>
      </c>
      <c r="C99" s="30">
        <v>2.5572916666666661</v>
      </c>
      <c r="D99" s="35">
        <v>1.9895833333333333</v>
      </c>
      <c r="E99" s="31">
        <v>0.34375</v>
      </c>
      <c r="F99" s="31">
        <v>0.33333333333333331</v>
      </c>
      <c r="G99" s="31">
        <v>0.32833957553058679</v>
      </c>
      <c r="H99" s="31">
        <v>0.17602996254681649</v>
      </c>
      <c r="I99" s="32">
        <v>8246.7680608365026</v>
      </c>
      <c r="J99" s="32">
        <v>-7297.8723404255315</v>
      </c>
      <c r="K99" s="31">
        <v>7.2916666666666671E-2</v>
      </c>
      <c r="L99" s="31">
        <v>0.25218476903870163</v>
      </c>
      <c r="M99" s="31">
        <v>0.20848938826466917</v>
      </c>
      <c r="N99" s="31">
        <v>0.57920792079207917</v>
      </c>
      <c r="O99" s="31">
        <v>0.47305389221556887</v>
      </c>
      <c r="P99" s="31">
        <v>0.4828897338403042</v>
      </c>
    </row>
    <row r="100" spans="1:16" x14ac:dyDescent="0.4">
      <c r="A100" s="33">
        <v>97</v>
      </c>
      <c r="B100" s="30">
        <v>197.49999999999994</v>
      </c>
      <c r="C100" s="30">
        <v>2.0360824742268036</v>
      </c>
      <c r="D100" s="35">
        <v>2</v>
      </c>
      <c r="E100" s="31">
        <v>0.34020618556701032</v>
      </c>
      <c r="F100" s="31">
        <v>0.34020618556701032</v>
      </c>
      <c r="G100" s="31">
        <v>0.32589838909541513</v>
      </c>
      <c r="H100" s="31">
        <v>0.17719950433705081</v>
      </c>
      <c r="I100" s="32">
        <v>8246.7680608365026</v>
      </c>
      <c r="J100" s="32">
        <v>-7335.6643356643353</v>
      </c>
      <c r="K100" s="31">
        <v>8.247422680412371E-2</v>
      </c>
      <c r="L100" s="31">
        <v>0.2503097893432466</v>
      </c>
      <c r="M100" s="31">
        <v>0.21065675340768278</v>
      </c>
      <c r="N100" s="31">
        <v>0.57920792079207917</v>
      </c>
      <c r="O100" s="31">
        <v>0.46470588235294119</v>
      </c>
      <c r="P100" s="31">
        <v>0.4828897338403042</v>
      </c>
    </row>
    <row r="101" spans="1:16" x14ac:dyDescent="0.4">
      <c r="A101" s="33">
        <v>98</v>
      </c>
      <c r="B101" s="30">
        <v>206.39999999999995</v>
      </c>
      <c r="C101" s="30">
        <v>2.1061224489795913</v>
      </c>
      <c r="D101" s="35">
        <v>2</v>
      </c>
      <c r="E101" s="31">
        <v>0.33673469387755101</v>
      </c>
      <c r="F101" s="31">
        <v>0.33673469387755101</v>
      </c>
      <c r="G101" s="31">
        <v>0.3247863247863248</v>
      </c>
      <c r="H101" s="31">
        <v>0.17948717948717949</v>
      </c>
      <c r="I101" s="32">
        <v>8289.0977443609027</v>
      </c>
      <c r="J101" s="32">
        <v>-7324.4897959183672</v>
      </c>
      <c r="K101" s="31">
        <v>8.1632653061224483E-2</v>
      </c>
      <c r="L101" s="31">
        <v>0.24908424908424909</v>
      </c>
      <c r="M101" s="31">
        <v>0.21367521367521367</v>
      </c>
      <c r="N101" s="31">
        <v>0.58333333333333337</v>
      </c>
      <c r="O101" s="31">
        <v>0.45714285714285713</v>
      </c>
      <c r="P101" s="31">
        <v>0.48872180451127817</v>
      </c>
    </row>
    <row r="102" spans="1:16" x14ac:dyDescent="0.4">
      <c r="A102" s="33">
        <v>99</v>
      </c>
      <c r="B102" s="30">
        <v>172.49999999999994</v>
      </c>
      <c r="C102" s="30">
        <v>1.7424242424242418</v>
      </c>
      <c r="D102" s="35">
        <v>2.0101010101010099</v>
      </c>
      <c r="E102" s="31">
        <v>0.33333333333333331</v>
      </c>
      <c r="F102" s="31">
        <v>0.34343434343434343</v>
      </c>
      <c r="G102" s="31">
        <v>0.3216867469879518</v>
      </c>
      <c r="H102" s="31">
        <v>0.1783132530120482</v>
      </c>
      <c r="I102" s="32">
        <v>8264.0449438202249</v>
      </c>
      <c r="J102" s="32">
        <v>-7281.7567567567567</v>
      </c>
      <c r="K102" s="31">
        <v>8.0808080808080815E-2</v>
      </c>
      <c r="L102" s="31">
        <v>0.25060240963855424</v>
      </c>
      <c r="M102" s="31">
        <v>0.21084337349397592</v>
      </c>
      <c r="N102" s="31">
        <v>0.57211538461538458</v>
      </c>
      <c r="O102" s="31">
        <v>0.45714285714285713</v>
      </c>
      <c r="P102" s="31">
        <v>0.48689138576779029</v>
      </c>
    </row>
    <row r="103" spans="1:16" x14ac:dyDescent="0.4">
      <c r="A103" s="33">
        <v>100</v>
      </c>
      <c r="B103" s="30">
        <v>196.39999999999995</v>
      </c>
      <c r="C103" s="30">
        <v>1.9639999999999995</v>
      </c>
      <c r="D103" s="35">
        <v>2</v>
      </c>
      <c r="E103" s="31">
        <v>0.34</v>
      </c>
      <c r="F103" s="31">
        <v>0.34</v>
      </c>
      <c r="G103" s="31">
        <v>0.3233890214797136</v>
      </c>
      <c r="H103" s="31">
        <v>0.17899761336515513</v>
      </c>
      <c r="I103" s="32">
        <v>8241.3284132841327</v>
      </c>
      <c r="J103" s="32">
        <v>-7228</v>
      </c>
      <c r="K103" s="31">
        <v>0.08</v>
      </c>
      <c r="L103" s="31">
        <v>0.25059665871121717</v>
      </c>
      <c r="M103" s="31">
        <v>0.21121718377088305</v>
      </c>
      <c r="N103" s="31">
        <v>0.57619047619047614</v>
      </c>
      <c r="O103" s="31">
        <v>0.4576271186440678</v>
      </c>
      <c r="P103" s="31">
        <v>0.4870848708487085</v>
      </c>
    </row>
    <row r="104" spans="1:16" x14ac:dyDescent="0.4">
      <c r="A104" s="33">
        <v>101</v>
      </c>
      <c r="B104" s="30">
        <v>158.99999999999994</v>
      </c>
      <c r="C104" s="30">
        <v>1.5742574257425737</v>
      </c>
      <c r="D104" s="35">
        <v>2.0099009900990099</v>
      </c>
      <c r="E104" s="31">
        <v>0.33663366336633666</v>
      </c>
      <c r="F104" s="31">
        <v>0.34653465346534651</v>
      </c>
      <c r="G104" s="31">
        <v>0.32269503546099293</v>
      </c>
      <c r="H104" s="31">
        <v>0.18085106382978725</v>
      </c>
      <c r="I104" s="32">
        <v>8228.5714285714294</v>
      </c>
      <c r="J104" s="32">
        <v>-7321.5686274509808</v>
      </c>
      <c r="K104" s="31">
        <v>7.9207920792079209E-2</v>
      </c>
      <c r="L104" s="31">
        <v>0.25177304964539005</v>
      </c>
      <c r="M104" s="31">
        <v>0.2115839243498818</v>
      </c>
      <c r="N104" s="31">
        <v>0.57276995305164324</v>
      </c>
      <c r="O104" s="31">
        <v>0.45251396648044695</v>
      </c>
      <c r="P104" s="31">
        <v>0.48717948717948717</v>
      </c>
    </row>
    <row r="105" spans="1:16" x14ac:dyDescent="0.4">
      <c r="A105" s="33">
        <v>102</v>
      </c>
      <c r="B105" s="30">
        <v>147.99999999999994</v>
      </c>
      <c r="C105" s="30">
        <v>1.4509803921568623</v>
      </c>
      <c r="D105" s="35">
        <v>2.0098039215686274</v>
      </c>
      <c r="E105" s="31">
        <v>0.33333333333333331</v>
      </c>
      <c r="F105" s="31">
        <v>0.34313725490196079</v>
      </c>
      <c r="G105" s="31">
        <v>0.3212192262602579</v>
      </c>
      <c r="H105" s="31">
        <v>0.17936694021101993</v>
      </c>
      <c r="I105" s="32">
        <v>8213.1386861313877</v>
      </c>
      <c r="J105" s="32">
        <v>-7321.5686274509808</v>
      </c>
      <c r="K105" s="31">
        <v>7.8431372549019607E-2</v>
      </c>
      <c r="L105" s="31">
        <v>0.25205158264947247</v>
      </c>
      <c r="M105" s="31">
        <v>0.21219226260257915</v>
      </c>
      <c r="N105" s="31">
        <v>0.5720930232558139</v>
      </c>
      <c r="O105" s="31">
        <v>0.44751381215469616</v>
      </c>
      <c r="P105" s="31">
        <v>0.48905109489051096</v>
      </c>
    </row>
    <row r="106" spans="1:16" x14ac:dyDescent="0.4">
      <c r="A106" s="33">
        <v>103</v>
      </c>
      <c r="B106" s="30">
        <v>123.79999999999994</v>
      </c>
      <c r="C106" s="30">
        <v>1.2019417475728149</v>
      </c>
      <c r="D106" s="35">
        <v>2.0194174757281553</v>
      </c>
      <c r="E106" s="31">
        <v>0.3300970873786408</v>
      </c>
      <c r="F106" s="31">
        <v>0.34951456310679613</v>
      </c>
      <c r="G106" s="31">
        <v>0.32018561484918795</v>
      </c>
      <c r="H106" s="31">
        <v>0.17981438515081208</v>
      </c>
      <c r="I106" s="32">
        <v>8200.36231884058</v>
      </c>
      <c r="J106" s="32">
        <v>-7353.5483870967746</v>
      </c>
      <c r="K106" s="31">
        <v>7.7669902912621352E-2</v>
      </c>
      <c r="L106" s="31">
        <v>0.25174013921113692</v>
      </c>
      <c r="M106" s="31">
        <v>0.21229698375870071</v>
      </c>
      <c r="N106" s="31">
        <v>0.56682027649769584</v>
      </c>
      <c r="O106" s="31">
        <v>0.44808743169398907</v>
      </c>
      <c r="P106" s="31">
        <v>0.48550724637681159</v>
      </c>
    </row>
    <row r="107" spans="1:16" x14ac:dyDescent="0.4">
      <c r="A107" s="33">
        <v>104</v>
      </c>
      <c r="B107" s="30">
        <v>173.19999999999993</v>
      </c>
      <c r="C107" s="30">
        <v>1.6653846153846148</v>
      </c>
      <c r="D107" s="35">
        <v>2.0096153846153846</v>
      </c>
      <c r="E107" s="31">
        <v>0.33653846153846156</v>
      </c>
      <c r="F107" s="31">
        <v>0.34615384615384615</v>
      </c>
      <c r="G107" s="31">
        <v>0.32336018411967782</v>
      </c>
      <c r="H107" s="31">
        <v>0.17836593785960875</v>
      </c>
      <c r="I107" s="32">
        <v>8169.7508896797153</v>
      </c>
      <c r="J107" s="32">
        <v>-7353.5483870967746</v>
      </c>
      <c r="K107" s="31">
        <v>7.6923076923076927E-2</v>
      </c>
      <c r="L107" s="31">
        <v>0.25086306098964328</v>
      </c>
      <c r="M107" s="31">
        <v>0.21288837744533948</v>
      </c>
      <c r="N107" s="31">
        <v>0.56880733944954132</v>
      </c>
      <c r="O107" s="31">
        <v>0.45405405405405408</v>
      </c>
      <c r="P107" s="31">
        <v>0.4804270462633452</v>
      </c>
    </row>
    <row r="108" spans="1:16" x14ac:dyDescent="0.4">
      <c r="A108" s="33">
        <v>105</v>
      </c>
      <c r="B108" s="30">
        <v>184.39999999999992</v>
      </c>
      <c r="C108" s="30">
        <v>1.7561904761904754</v>
      </c>
      <c r="D108" s="35">
        <v>2.0095238095238095</v>
      </c>
      <c r="E108" s="31">
        <v>0.33333333333333331</v>
      </c>
      <c r="F108" s="31">
        <v>0.34285714285714286</v>
      </c>
      <c r="G108" s="31">
        <v>0.32272727272727275</v>
      </c>
      <c r="H108" s="31">
        <v>0.17727272727272728</v>
      </c>
      <c r="I108" s="32">
        <v>8168.3098591549297</v>
      </c>
      <c r="J108" s="32">
        <v>-7314.7435897435898</v>
      </c>
      <c r="K108" s="31">
        <v>7.6190476190476197E-2</v>
      </c>
      <c r="L108" s="31">
        <v>0.24886363636363637</v>
      </c>
      <c r="M108" s="31">
        <v>0.21136363636363636</v>
      </c>
      <c r="N108" s="31">
        <v>0.57077625570776258</v>
      </c>
      <c r="O108" s="31">
        <v>0.45161290322580644</v>
      </c>
      <c r="P108" s="31">
        <v>0.47535211267605632</v>
      </c>
    </row>
    <row r="109" spans="1:16" x14ac:dyDescent="0.4">
      <c r="A109" s="33">
        <v>106</v>
      </c>
      <c r="B109" s="30">
        <v>219.09999999999991</v>
      </c>
      <c r="C109" s="30">
        <v>2.0669811320754707</v>
      </c>
      <c r="D109" s="35">
        <v>2</v>
      </c>
      <c r="E109" s="31">
        <v>0.33962264150943394</v>
      </c>
      <c r="F109" s="31">
        <v>0.33962264150943394</v>
      </c>
      <c r="G109" s="31">
        <v>0.32283464566929132</v>
      </c>
      <c r="H109" s="31">
        <v>0.17547806524184478</v>
      </c>
      <c r="I109" s="32">
        <v>8179.4425087108011</v>
      </c>
      <c r="J109" s="32">
        <v>-7314.7435897435898</v>
      </c>
      <c r="K109" s="31">
        <v>7.5471698113207544E-2</v>
      </c>
      <c r="L109" s="31">
        <v>0.24971878515185603</v>
      </c>
      <c r="M109" s="31">
        <v>0.21147356580427445</v>
      </c>
      <c r="N109" s="31">
        <v>0.57657657657657657</v>
      </c>
      <c r="O109" s="31">
        <v>0.44680851063829785</v>
      </c>
      <c r="P109" s="31">
        <v>0.47386759581881532</v>
      </c>
    </row>
    <row r="110" spans="1:16" x14ac:dyDescent="0.4">
      <c r="A110" s="33">
        <v>107</v>
      </c>
      <c r="B110" s="30">
        <v>218.2999999999999</v>
      </c>
      <c r="C110" s="30">
        <v>2.0401869158878494</v>
      </c>
      <c r="D110" s="35">
        <v>2</v>
      </c>
      <c r="E110" s="31">
        <v>0.3364485981308411</v>
      </c>
      <c r="F110" s="31">
        <v>0.3364485981308411</v>
      </c>
      <c r="G110" s="31">
        <v>0.32218506131549612</v>
      </c>
      <c r="H110" s="31">
        <v>0.17502787068004461</v>
      </c>
      <c r="I110" s="32">
        <v>8177.1626297577859</v>
      </c>
      <c r="J110" s="32">
        <v>-7301.2738853503188</v>
      </c>
      <c r="K110" s="31">
        <v>7.476635514018691E-2</v>
      </c>
      <c r="L110" s="31">
        <v>0.24860646599777034</v>
      </c>
      <c r="M110" s="31">
        <v>0.21181716833890746</v>
      </c>
      <c r="N110" s="31">
        <v>0.57399103139013452</v>
      </c>
      <c r="O110" s="31">
        <v>0.45263157894736844</v>
      </c>
      <c r="P110" s="31">
        <v>0.47058823529411764</v>
      </c>
    </row>
    <row r="111" spans="1:16" x14ac:dyDescent="0.4">
      <c r="A111" s="33">
        <v>108</v>
      </c>
      <c r="B111" s="30">
        <v>209.59999999999991</v>
      </c>
      <c r="C111" s="30">
        <v>1.94074074074074</v>
      </c>
      <c r="D111" s="35">
        <v>2</v>
      </c>
      <c r="E111" s="31">
        <v>0.33333333333333331</v>
      </c>
      <c r="F111" s="31">
        <v>0.33333333333333331</v>
      </c>
      <c r="G111" s="31">
        <v>0.32119205298013243</v>
      </c>
      <c r="H111" s="31">
        <v>0.17549668874172186</v>
      </c>
      <c r="I111" s="32">
        <v>8171.8213058419242</v>
      </c>
      <c r="J111" s="32">
        <v>-7270.4402515723268</v>
      </c>
      <c r="K111" s="31">
        <v>7.407407407407407E-2</v>
      </c>
      <c r="L111" s="31">
        <v>0.24724061810154527</v>
      </c>
      <c r="M111" s="31">
        <v>0.21302428256070641</v>
      </c>
      <c r="N111" s="31">
        <v>0.5758928571428571</v>
      </c>
      <c r="O111" s="31">
        <v>0.45077720207253885</v>
      </c>
      <c r="P111" s="31">
        <v>0.47422680412371132</v>
      </c>
    </row>
    <row r="112" spans="1:16" x14ac:dyDescent="0.4">
      <c r="A112" s="33">
        <v>109</v>
      </c>
      <c r="B112" s="30">
        <v>207.7999999999999</v>
      </c>
      <c r="C112" s="30">
        <v>1.9064220183486229</v>
      </c>
      <c r="D112" s="35">
        <v>2</v>
      </c>
      <c r="E112" s="31">
        <v>0.33027522935779818</v>
      </c>
      <c r="F112" s="31">
        <v>0.33027522935779818</v>
      </c>
      <c r="G112" s="31">
        <v>0.32056892778993434</v>
      </c>
      <c r="H112" s="31">
        <v>0.17505470459518599</v>
      </c>
      <c r="I112" s="32">
        <v>8197.9522184300349</v>
      </c>
      <c r="J112" s="32">
        <v>-7257.5</v>
      </c>
      <c r="K112" s="31">
        <v>7.3394495412844041E-2</v>
      </c>
      <c r="L112" s="31">
        <v>0.24617067833698031</v>
      </c>
      <c r="M112" s="31">
        <v>0.21115973741794311</v>
      </c>
      <c r="N112" s="31">
        <v>0.57777777777777772</v>
      </c>
      <c r="O112" s="31">
        <v>0.45077720207253885</v>
      </c>
      <c r="P112" s="31">
        <v>0.47781569965870307</v>
      </c>
    </row>
    <row r="113" spans="1:16" x14ac:dyDescent="0.4">
      <c r="A113" s="33">
        <v>110</v>
      </c>
      <c r="B113" s="30">
        <v>257.69999999999987</v>
      </c>
      <c r="C113" s="30">
        <v>2.3427272727272714</v>
      </c>
      <c r="D113" s="35">
        <v>1.990909090909091</v>
      </c>
      <c r="E113" s="31">
        <v>0.33636363636363636</v>
      </c>
      <c r="F113" s="31">
        <v>0.32727272727272727</v>
      </c>
      <c r="G113" s="31">
        <v>0.324295010845987</v>
      </c>
      <c r="H113" s="31">
        <v>0.17353579175704989</v>
      </c>
      <c r="I113" s="32">
        <v>8181.939799331104</v>
      </c>
      <c r="J113" s="32">
        <v>-7257.5</v>
      </c>
      <c r="K113" s="31">
        <v>7.2727272727272724E-2</v>
      </c>
      <c r="L113" s="31">
        <v>0.24620390455531455</v>
      </c>
      <c r="M113" s="31">
        <v>0.21149674620390455</v>
      </c>
      <c r="N113" s="31">
        <v>0.5770925110132159</v>
      </c>
      <c r="O113" s="31">
        <v>0.4564102564102564</v>
      </c>
      <c r="P113" s="31">
        <v>0.47157190635451507</v>
      </c>
    </row>
    <row r="114" spans="1:16" x14ac:dyDescent="0.4">
      <c r="A114" s="33">
        <v>111</v>
      </c>
      <c r="B114" s="30">
        <v>233.09999999999988</v>
      </c>
      <c r="C114" s="30">
        <v>2.0999999999999988</v>
      </c>
      <c r="D114" s="35">
        <v>2</v>
      </c>
      <c r="E114" s="31">
        <v>0.33333333333333331</v>
      </c>
      <c r="F114" s="31">
        <v>0.33333333333333331</v>
      </c>
      <c r="G114" s="31">
        <v>0.32403433476394849</v>
      </c>
      <c r="H114" s="31">
        <v>0.17596566523605151</v>
      </c>
      <c r="I114" s="32">
        <v>8182.1192052980132</v>
      </c>
      <c r="J114" s="32">
        <v>-7282.9268292682927</v>
      </c>
      <c r="K114" s="31">
        <v>7.2072072072072071E-2</v>
      </c>
      <c r="L114" s="31">
        <v>0.24463519313304721</v>
      </c>
      <c r="M114" s="31">
        <v>0.21244635193133046</v>
      </c>
      <c r="N114" s="31">
        <v>0.57894736842105265</v>
      </c>
      <c r="O114" s="31">
        <v>0.45454545454545453</v>
      </c>
      <c r="P114" s="31">
        <v>0.47019867549668876</v>
      </c>
    </row>
    <row r="115" spans="1:16" x14ac:dyDescent="0.4">
      <c r="A115" s="33">
        <v>112</v>
      </c>
      <c r="B115" s="30">
        <v>256.69999999999987</v>
      </c>
      <c r="C115" s="30">
        <v>2.2919642857142848</v>
      </c>
      <c r="D115" s="35">
        <v>1.9910714285714286</v>
      </c>
      <c r="E115" s="31">
        <v>0.3392857142857143</v>
      </c>
      <c r="F115" s="31">
        <v>0.33035714285714285</v>
      </c>
      <c r="G115" s="31">
        <v>0.32340425531914896</v>
      </c>
      <c r="H115" s="31">
        <v>0.17553191489361702</v>
      </c>
      <c r="I115" s="32">
        <v>8207.2368421052633</v>
      </c>
      <c r="J115" s="32">
        <v>-7262.424242424242</v>
      </c>
      <c r="K115" s="31">
        <v>7.1428571428571425E-2</v>
      </c>
      <c r="L115" s="31">
        <v>0.24361702127659574</v>
      </c>
      <c r="M115" s="31">
        <v>0.21063829787234042</v>
      </c>
      <c r="N115" s="31">
        <v>0.58078602620087338</v>
      </c>
      <c r="O115" s="31">
        <v>0.45454545454545453</v>
      </c>
      <c r="P115" s="31">
        <v>0.46710526315789475</v>
      </c>
    </row>
    <row r="116" spans="1:16" x14ac:dyDescent="0.4">
      <c r="A116" s="33">
        <v>113</v>
      </c>
      <c r="B116" s="30">
        <v>234.69999999999987</v>
      </c>
      <c r="C116" s="30">
        <v>2.0769911504424767</v>
      </c>
      <c r="D116" s="35">
        <v>2</v>
      </c>
      <c r="E116" s="31">
        <v>0.33628318584070799</v>
      </c>
      <c r="F116" s="31">
        <v>0.33628318584070799</v>
      </c>
      <c r="G116" s="31">
        <v>0.32528856243441762</v>
      </c>
      <c r="H116" s="31">
        <v>0.17628541448058763</v>
      </c>
      <c r="I116" s="32">
        <v>8141.9354838709678</v>
      </c>
      <c r="J116" s="32">
        <v>-7358.9285714285716</v>
      </c>
      <c r="K116" s="31">
        <v>7.0796460176991149E-2</v>
      </c>
      <c r="L116" s="31">
        <v>0.24239244491080797</v>
      </c>
      <c r="M116" s="31">
        <v>0.20986358866736621</v>
      </c>
      <c r="N116" s="31">
        <v>0.58441558441558439</v>
      </c>
      <c r="O116" s="31">
        <v>0.46</v>
      </c>
      <c r="P116" s="31">
        <v>0.46451612903225808</v>
      </c>
    </row>
    <row r="117" spans="1:16" x14ac:dyDescent="0.4">
      <c r="A117" s="33">
        <v>114</v>
      </c>
      <c r="B117" s="30">
        <v>186.69999999999987</v>
      </c>
      <c r="C117" s="30">
        <v>1.637719298245613</v>
      </c>
      <c r="D117" s="35">
        <v>2.0087719298245612</v>
      </c>
      <c r="E117" s="31">
        <v>0.33333333333333331</v>
      </c>
      <c r="F117" s="31">
        <v>0.34210526315789475</v>
      </c>
      <c r="G117" s="31">
        <v>0.32392894461859978</v>
      </c>
      <c r="H117" s="31">
        <v>0.17659352142110762</v>
      </c>
      <c r="I117" s="32">
        <v>8141.9354838709678</v>
      </c>
      <c r="J117" s="32">
        <v>-7386.3905325443784</v>
      </c>
      <c r="K117" s="31">
        <v>7.8947368421052627E-2</v>
      </c>
      <c r="L117" s="31">
        <v>0.24242424242424243</v>
      </c>
      <c r="M117" s="31">
        <v>0.2089864158829676</v>
      </c>
      <c r="N117" s="31">
        <v>0.5818965517241379</v>
      </c>
      <c r="O117" s="31">
        <v>0.46</v>
      </c>
      <c r="P117" s="31">
        <v>0.46451612903225808</v>
      </c>
    </row>
    <row r="118" spans="1:16" x14ac:dyDescent="0.4">
      <c r="A118" s="33">
        <v>115</v>
      </c>
      <c r="B118" s="30">
        <v>143.79999999999987</v>
      </c>
      <c r="C118" s="30">
        <v>1.2504347826086946</v>
      </c>
      <c r="D118" s="35">
        <v>2.017391304347826</v>
      </c>
      <c r="E118" s="31">
        <v>0.33043478260869563</v>
      </c>
      <c r="F118" s="31">
        <v>0.34782608695652173</v>
      </c>
      <c r="G118" s="31">
        <v>0.3215767634854772</v>
      </c>
      <c r="H118" s="31">
        <v>0.17738589211618258</v>
      </c>
      <c r="I118" s="32">
        <v>8141.9354838709678</v>
      </c>
      <c r="J118" s="32">
        <v>-7415.2046783625728</v>
      </c>
      <c r="K118" s="31">
        <v>7.8260869565217397E-2</v>
      </c>
      <c r="L118" s="31">
        <v>0.2437759336099585</v>
      </c>
      <c r="M118" s="31">
        <v>0.2074688796680498</v>
      </c>
      <c r="N118" s="31">
        <v>0.57446808510638303</v>
      </c>
      <c r="O118" s="31">
        <v>0.46</v>
      </c>
      <c r="P118" s="31">
        <v>0.46451612903225808</v>
      </c>
    </row>
    <row r="119" spans="1:16" x14ac:dyDescent="0.4">
      <c r="A119" s="33">
        <v>116</v>
      </c>
      <c r="B119" s="30">
        <v>199.79999999999987</v>
      </c>
      <c r="C119" s="30">
        <v>1.7224137931034471</v>
      </c>
      <c r="D119" s="35">
        <v>2.0086206896551726</v>
      </c>
      <c r="E119" s="31">
        <v>0.33620689655172414</v>
      </c>
      <c r="F119" s="31">
        <v>0.34482758620689657</v>
      </c>
      <c r="G119" s="31">
        <v>0.32340862422997946</v>
      </c>
      <c r="H119" s="31">
        <v>0.17556468172484599</v>
      </c>
      <c r="I119" s="32">
        <v>8164.4444444444443</v>
      </c>
      <c r="J119" s="32">
        <v>-7415.2046783625728</v>
      </c>
      <c r="K119" s="31">
        <v>7.7586206896551727E-2</v>
      </c>
      <c r="L119" s="31">
        <v>0.24640657084188911</v>
      </c>
      <c r="M119" s="31">
        <v>0.20739219712525667</v>
      </c>
      <c r="N119" s="31">
        <v>0.57499999999999996</v>
      </c>
      <c r="O119" s="31">
        <v>0.46039603960396042</v>
      </c>
      <c r="P119" s="31">
        <v>0.46349206349206351</v>
      </c>
    </row>
    <row r="120" spans="1:16" x14ac:dyDescent="0.4">
      <c r="A120" s="33">
        <v>117</v>
      </c>
      <c r="B120" s="30">
        <v>215.19999999999987</v>
      </c>
      <c r="C120" s="30">
        <v>1.8393162393162383</v>
      </c>
      <c r="D120" s="35">
        <v>2</v>
      </c>
      <c r="E120" s="31">
        <v>0.34188034188034189</v>
      </c>
      <c r="F120" s="31">
        <v>0.34188034188034189</v>
      </c>
      <c r="G120" s="31">
        <v>0.32388663967611336</v>
      </c>
      <c r="H120" s="31">
        <v>0.17408906882591094</v>
      </c>
      <c r="I120" s="32">
        <v>8156.25</v>
      </c>
      <c r="J120" s="32">
        <v>-7441.8604651162786</v>
      </c>
      <c r="K120" s="31">
        <v>7.6923076923076927E-2</v>
      </c>
      <c r="L120" s="31">
        <v>0.24595141700404857</v>
      </c>
      <c r="M120" s="31">
        <v>0.20748987854251011</v>
      </c>
      <c r="N120" s="31">
        <v>0.58024691358024694</v>
      </c>
      <c r="O120" s="31">
        <v>0.45853658536585368</v>
      </c>
      <c r="P120" s="31">
        <v>0.46562500000000001</v>
      </c>
    </row>
    <row r="121" spans="1:16" x14ac:dyDescent="0.4">
      <c r="A121" s="33">
        <v>118</v>
      </c>
      <c r="B121" s="30">
        <v>163.49999999999989</v>
      </c>
      <c r="C121" s="30">
        <v>1.385593220338982</v>
      </c>
      <c r="D121" s="35">
        <v>2.0084745762711864</v>
      </c>
      <c r="E121" s="31">
        <v>0.33898305084745761</v>
      </c>
      <c r="F121" s="31">
        <v>0.34745762711864409</v>
      </c>
      <c r="G121" s="31">
        <v>0.32293762575452717</v>
      </c>
      <c r="H121" s="31">
        <v>0.1750503018108652</v>
      </c>
      <c r="I121" s="32">
        <v>8137.071651090343</v>
      </c>
      <c r="J121" s="32">
        <v>-7538.5057471264372</v>
      </c>
      <c r="K121" s="31">
        <v>8.4745762711864403E-2</v>
      </c>
      <c r="L121" s="31">
        <v>0.24547283702213279</v>
      </c>
      <c r="M121" s="31">
        <v>0.20724346076458752</v>
      </c>
      <c r="N121" s="31">
        <v>0.57786885245901642</v>
      </c>
      <c r="O121" s="31">
        <v>0.46116504854368934</v>
      </c>
      <c r="P121" s="31">
        <v>0.46417445482866043</v>
      </c>
    </row>
    <row r="122" spans="1:16" x14ac:dyDescent="0.4">
      <c r="A122" s="33">
        <v>119</v>
      </c>
      <c r="B122" s="30">
        <v>130.99999999999989</v>
      </c>
      <c r="C122" s="30">
        <v>1.1008403361344528</v>
      </c>
      <c r="D122" s="35">
        <v>2.0168067226890756</v>
      </c>
      <c r="E122" s="31">
        <v>0.33613445378151263</v>
      </c>
      <c r="F122" s="31">
        <v>0.35294117647058826</v>
      </c>
      <c r="G122" s="31">
        <v>0.32100000000000001</v>
      </c>
      <c r="H122" s="31">
        <v>0.17599999999999999</v>
      </c>
      <c r="I122" s="32">
        <v>8137.071651090343</v>
      </c>
      <c r="J122" s="32">
        <v>-7543.75</v>
      </c>
      <c r="K122" s="31">
        <v>8.4033613445378158E-2</v>
      </c>
      <c r="L122" s="31">
        <v>0.245</v>
      </c>
      <c r="M122" s="31">
        <v>0.20599999999999999</v>
      </c>
      <c r="N122" s="31">
        <v>0.57551020408163267</v>
      </c>
      <c r="O122" s="31">
        <v>0.46116504854368934</v>
      </c>
      <c r="P122" s="31">
        <v>0.46417445482866043</v>
      </c>
    </row>
    <row r="123" spans="1:16" x14ac:dyDescent="0.4">
      <c r="A123" s="33">
        <v>120</v>
      </c>
      <c r="B123" s="30">
        <v>100.89999999999989</v>
      </c>
      <c r="C123" s="30">
        <v>0.84083333333333243</v>
      </c>
      <c r="D123" s="35">
        <v>2.0249999999999999</v>
      </c>
      <c r="E123" s="31">
        <v>0.33333333333333331</v>
      </c>
      <c r="F123" s="31">
        <v>0.35833333333333334</v>
      </c>
      <c r="G123" s="31">
        <v>0.3201189296333003</v>
      </c>
      <c r="H123" s="31">
        <v>0.17740336967294351</v>
      </c>
      <c r="I123" s="32">
        <v>8125.3869969040252</v>
      </c>
      <c r="J123" s="32">
        <v>-7568.1564245810059</v>
      </c>
      <c r="K123" s="31">
        <v>8.3333333333333329E-2</v>
      </c>
      <c r="L123" s="31">
        <v>0.24578790882061446</v>
      </c>
      <c r="M123" s="31">
        <v>0.20515361744301289</v>
      </c>
      <c r="N123" s="31">
        <v>0.57258064516129037</v>
      </c>
      <c r="O123" s="31">
        <v>0.46376811594202899</v>
      </c>
      <c r="P123" s="31">
        <v>0.46130030959752322</v>
      </c>
    </row>
    <row r="124" spans="1:16" x14ac:dyDescent="0.4">
      <c r="A124" s="33">
        <v>121</v>
      </c>
      <c r="B124" s="30">
        <v>52.599999999999895</v>
      </c>
      <c r="C124" s="30">
        <v>0.43471074380165203</v>
      </c>
      <c r="D124" s="35">
        <v>2.0330578512396693</v>
      </c>
      <c r="E124" s="31">
        <v>0.33057851239669422</v>
      </c>
      <c r="F124" s="31">
        <v>0.36363636363636365</v>
      </c>
      <c r="G124" s="31">
        <v>0.31760078662733532</v>
      </c>
      <c r="H124" s="31">
        <v>0.17699115044247787</v>
      </c>
      <c r="I124" s="32">
        <v>8125.3869969040252</v>
      </c>
      <c r="J124" s="32">
        <v>-7592.7777777777774</v>
      </c>
      <c r="K124" s="31">
        <v>9.0909090909090912E-2</v>
      </c>
      <c r="L124" s="31">
        <v>0.24582104228121926</v>
      </c>
      <c r="M124" s="31">
        <v>0.20353982300884957</v>
      </c>
      <c r="N124" s="31">
        <v>0.56799999999999995</v>
      </c>
      <c r="O124" s="31">
        <v>0.46376811594202899</v>
      </c>
      <c r="P124" s="31">
        <v>0.46130030959752322</v>
      </c>
    </row>
    <row r="125" spans="1:16" x14ac:dyDescent="0.4">
      <c r="A125" s="33">
        <v>122</v>
      </c>
      <c r="B125" s="30">
        <v>23.499999999999893</v>
      </c>
      <c r="C125" s="30">
        <v>0.19262295081967126</v>
      </c>
      <c r="D125" s="35">
        <v>2.040983606557377</v>
      </c>
      <c r="E125" s="31">
        <v>0.32786885245901637</v>
      </c>
      <c r="F125" s="31">
        <v>0.36885245901639346</v>
      </c>
      <c r="G125" s="31">
        <v>0.31548198636806229</v>
      </c>
      <c r="H125" s="31">
        <v>0.17624148003894841</v>
      </c>
      <c r="I125" s="32">
        <v>8125</v>
      </c>
      <c r="J125" s="32">
        <v>-7565.1933701657463</v>
      </c>
      <c r="K125" s="31">
        <v>9.0163934426229511E-2</v>
      </c>
      <c r="L125" s="31">
        <v>0.24732229795520935</v>
      </c>
      <c r="M125" s="31">
        <v>0.20155793573515093</v>
      </c>
      <c r="N125" s="31">
        <v>0.56299212598425197</v>
      </c>
      <c r="O125" s="31">
        <v>0.46376811594202899</v>
      </c>
      <c r="P125" s="31">
        <v>0.45987654320987653</v>
      </c>
    </row>
    <row r="126" spans="1:16" x14ac:dyDescent="0.4">
      <c r="A126" s="33">
        <v>123</v>
      </c>
      <c r="B126" s="30">
        <v>-3.3000000000001073</v>
      </c>
      <c r="C126" s="30">
        <v>-2.6829268292683801E-2</v>
      </c>
      <c r="D126" s="35">
        <v>2.0487804878048781</v>
      </c>
      <c r="E126" s="31">
        <v>0.32520325203252032</v>
      </c>
      <c r="F126" s="31">
        <v>0.37398373983739835</v>
      </c>
      <c r="G126" s="31">
        <v>0.31558567279767669</v>
      </c>
      <c r="H126" s="31">
        <v>0.17618586640851888</v>
      </c>
      <c r="I126" s="32">
        <v>8091.1042944785277</v>
      </c>
      <c r="J126" s="32">
        <v>-7611.5384615384619</v>
      </c>
      <c r="K126" s="31">
        <v>8.943089430894309E-2</v>
      </c>
      <c r="L126" s="31">
        <v>0.24878993223620524</v>
      </c>
      <c r="M126" s="31">
        <v>0.20038722168441434</v>
      </c>
      <c r="N126" s="31">
        <v>0.56420233463035019</v>
      </c>
      <c r="O126" s="31">
        <v>0.46376811594202899</v>
      </c>
      <c r="P126" s="31">
        <v>0.45705521472392641</v>
      </c>
    </row>
    <row r="127" spans="1:16" x14ac:dyDescent="0.4">
      <c r="A127" s="33">
        <v>124</v>
      </c>
      <c r="B127" s="30">
        <v>36.999999999999886</v>
      </c>
      <c r="C127" s="30">
        <v>0.29838709677419262</v>
      </c>
      <c r="D127" s="35">
        <v>2.0403225806451615</v>
      </c>
      <c r="E127" s="31">
        <v>0.33064516129032256</v>
      </c>
      <c r="F127" s="31">
        <v>0.37096774193548387</v>
      </c>
      <c r="G127" s="31">
        <v>0.31513409961685823</v>
      </c>
      <c r="H127" s="31">
        <v>0.17624521072796934</v>
      </c>
      <c r="I127" s="32">
        <v>8151.0638297872338</v>
      </c>
      <c r="J127" s="32">
        <v>-7560.869565217391</v>
      </c>
      <c r="K127" s="31">
        <v>8.8709677419354843E-2</v>
      </c>
      <c r="L127" s="31">
        <v>0.24904214559386972</v>
      </c>
      <c r="M127" s="31">
        <v>0.20019157088122605</v>
      </c>
      <c r="N127" s="31">
        <v>0.56153846153846154</v>
      </c>
      <c r="O127" s="31">
        <v>0.46411483253588515</v>
      </c>
      <c r="P127" s="31">
        <v>0.45896656534954405</v>
      </c>
    </row>
    <row r="128" spans="1:16" x14ac:dyDescent="0.4">
      <c r="A128" s="33">
        <v>125</v>
      </c>
      <c r="B128" s="30">
        <v>67.099999999999881</v>
      </c>
      <c r="C128" s="30">
        <v>0.53679999999999906</v>
      </c>
      <c r="D128" s="35">
        <v>2.032</v>
      </c>
      <c r="E128" s="31">
        <v>0.33600000000000002</v>
      </c>
      <c r="F128" s="31">
        <v>0.36799999999999999</v>
      </c>
      <c r="G128" s="31">
        <v>0.31523809523809526</v>
      </c>
      <c r="H128" s="31">
        <v>0.1761904761904762</v>
      </c>
      <c r="I128" s="32">
        <v>8162.2356495468275</v>
      </c>
      <c r="J128" s="32">
        <v>-7541.0810810810808</v>
      </c>
      <c r="K128" s="31">
        <v>8.7999999999999995E-2</v>
      </c>
      <c r="L128" s="31">
        <v>0.24857142857142858</v>
      </c>
      <c r="M128" s="31">
        <v>0.20095238095238097</v>
      </c>
      <c r="N128" s="31">
        <v>0.56321839080459768</v>
      </c>
      <c r="O128" s="31">
        <v>0.46445497630331756</v>
      </c>
      <c r="P128" s="31">
        <v>0.45921450151057402</v>
      </c>
    </row>
    <row r="129" spans="1:16" x14ac:dyDescent="0.4">
      <c r="A129" s="33">
        <v>126</v>
      </c>
      <c r="B129" s="30">
        <v>117.49999999999989</v>
      </c>
      <c r="C129" s="30">
        <v>0.93253968253968167</v>
      </c>
      <c r="D129" s="35">
        <v>2.0238095238095237</v>
      </c>
      <c r="E129" s="31">
        <v>0.34126984126984128</v>
      </c>
      <c r="F129" s="31">
        <v>0.36507936507936506</v>
      </c>
      <c r="G129" s="31">
        <v>0.31613508442776733</v>
      </c>
      <c r="H129" s="31">
        <v>0.17354596622889307</v>
      </c>
      <c r="I129" s="32">
        <v>8162.9080118694365</v>
      </c>
      <c r="J129" s="32">
        <v>-7541.0810810810808</v>
      </c>
      <c r="K129" s="31">
        <v>8.7301587301587297E-2</v>
      </c>
      <c r="L129" s="31">
        <v>0.24765478424015008</v>
      </c>
      <c r="M129" s="31">
        <v>0.19981238273921201</v>
      </c>
      <c r="N129" s="31">
        <v>0.56439393939393945</v>
      </c>
      <c r="O129" s="31">
        <v>0.46478873239436619</v>
      </c>
      <c r="P129" s="31">
        <v>0.45697329376854601</v>
      </c>
    </row>
    <row r="130" spans="1:16" x14ac:dyDescent="0.4">
      <c r="A130" s="33">
        <v>127</v>
      </c>
      <c r="B130" s="30">
        <v>148.2999999999999</v>
      </c>
      <c r="C130" s="30">
        <v>1.1677165354330701</v>
      </c>
      <c r="D130" s="35">
        <v>2.015748031496063</v>
      </c>
      <c r="E130" s="31">
        <v>0.34645669291338582</v>
      </c>
      <c r="F130" s="31">
        <v>0.36220472440944884</v>
      </c>
      <c r="G130" s="31">
        <v>0.3168685927306617</v>
      </c>
      <c r="H130" s="31">
        <v>0.17241379310344829</v>
      </c>
      <c r="I130" s="32">
        <v>8165</v>
      </c>
      <c r="J130" s="32">
        <v>-7541.0810810810808</v>
      </c>
      <c r="K130" s="31">
        <v>8.6614173228346455E-2</v>
      </c>
      <c r="L130" s="31">
        <v>0.24790307548928239</v>
      </c>
      <c r="M130" s="31">
        <v>0.20037278657968313</v>
      </c>
      <c r="N130" s="31">
        <v>0.56390977443609025</v>
      </c>
      <c r="O130" s="31">
        <v>0.4697674418604651</v>
      </c>
      <c r="P130" s="31">
        <v>0.45294117647058824</v>
      </c>
    </row>
    <row r="131" spans="1:16" x14ac:dyDescent="0.4">
      <c r="A131" s="33">
        <v>128</v>
      </c>
      <c r="B131" s="30">
        <v>126.39999999999989</v>
      </c>
      <c r="C131" s="30">
        <v>0.98749999999999916</v>
      </c>
      <c r="D131" s="35">
        <v>2.0234375</v>
      </c>
      <c r="E131" s="31">
        <v>0.34375</v>
      </c>
      <c r="F131" s="31">
        <v>0.3671875</v>
      </c>
      <c r="G131" s="31">
        <v>0.31637372802960223</v>
      </c>
      <c r="H131" s="31">
        <v>0.17206290471785385</v>
      </c>
      <c r="I131" s="32">
        <v>8152.3391812865493</v>
      </c>
      <c r="J131" s="32">
        <v>-7521.5053763440865</v>
      </c>
      <c r="K131" s="31">
        <v>8.59375E-2</v>
      </c>
      <c r="L131" s="31">
        <v>0.24884366327474561</v>
      </c>
      <c r="M131" s="31">
        <v>0.20074005550416282</v>
      </c>
      <c r="N131" s="31">
        <v>0.55762081784386619</v>
      </c>
      <c r="O131" s="31">
        <v>0.47465437788018433</v>
      </c>
      <c r="P131" s="31">
        <v>0.45614035087719296</v>
      </c>
    </row>
    <row r="132" spans="1:16" x14ac:dyDescent="0.4">
      <c r="A132" s="33">
        <v>129</v>
      </c>
      <c r="B132" s="30">
        <v>114.99999999999989</v>
      </c>
      <c r="C132" s="30">
        <v>0.8914728682170534</v>
      </c>
      <c r="D132" s="35">
        <v>2.0232558139534884</v>
      </c>
      <c r="E132" s="31">
        <v>0.34108527131782945</v>
      </c>
      <c r="F132" s="31">
        <v>0.36434108527131781</v>
      </c>
      <c r="G132" s="31">
        <v>0.31433823529411764</v>
      </c>
      <c r="H132" s="31">
        <v>0.171875</v>
      </c>
      <c r="I132" s="32">
        <v>8152.3391812865493</v>
      </c>
      <c r="J132" s="32">
        <v>-7502.139037433155</v>
      </c>
      <c r="K132" s="31">
        <v>8.5271317829457363E-2</v>
      </c>
      <c r="L132" s="31">
        <v>0.24724264705882354</v>
      </c>
      <c r="M132" s="31">
        <v>0.19944852941176472</v>
      </c>
      <c r="N132" s="31">
        <v>0.55762081784386619</v>
      </c>
      <c r="O132" s="31">
        <v>0.47465437788018433</v>
      </c>
      <c r="P132" s="31">
        <v>0.45614035087719296</v>
      </c>
    </row>
    <row r="133" spans="1:16" x14ac:dyDescent="0.4">
      <c r="A133" s="33">
        <v>130</v>
      </c>
      <c r="B133" s="30">
        <v>142.89999999999989</v>
      </c>
      <c r="C133" s="30">
        <v>1.0992307692307683</v>
      </c>
      <c r="D133" s="35">
        <v>2.0153846153846153</v>
      </c>
      <c r="E133" s="31">
        <v>0.34615384615384615</v>
      </c>
      <c r="F133" s="31">
        <v>0.36153846153846153</v>
      </c>
      <c r="G133" s="31">
        <v>0.31295620437956206</v>
      </c>
      <c r="H133" s="31">
        <v>0.17244525547445255</v>
      </c>
      <c r="I133" s="32">
        <v>8221.8658892128278</v>
      </c>
      <c r="J133" s="32">
        <v>-7455.0264550264546</v>
      </c>
      <c r="K133" s="31">
        <v>8.461538461538462E-2</v>
      </c>
      <c r="L133" s="31">
        <v>0.24543795620437955</v>
      </c>
      <c r="M133" s="31">
        <v>0.19981751824817517</v>
      </c>
      <c r="N133" s="31">
        <v>0.55762081784386619</v>
      </c>
      <c r="O133" s="31">
        <v>0.47031963470319632</v>
      </c>
      <c r="P133" s="31">
        <v>0.45481049562682213</v>
      </c>
    </row>
    <row r="134" spans="1:16" x14ac:dyDescent="0.4">
      <c r="A134" s="33">
        <v>131</v>
      </c>
      <c r="B134" s="30">
        <v>119.69999999999989</v>
      </c>
      <c r="C134" s="30">
        <v>0.91374045801526638</v>
      </c>
      <c r="D134" s="35">
        <v>2.0229007633587788</v>
      </c>
      <c r="E134" s="31">
        <v>0.34351145038167941</v>
      </c>
      <c r="F134" s="31">
        <v>0.36641221374045801</v>
      </c>
      <c r="G134" s="31">
        <v>0.31283905967450271</v>
      </c>
      <c r="H134" s="31">
        <v>0.17088607594936708</v>
      </c>
      <c r="I134" s="32">
        <v>8206.6473988439302</v>
      </c>
      <c r="J134" s="32">
        <v>-7455.0264550264546</v>
      </c>
      <c r="K134" s="31">
        <v>8.3969465648854963E-2</v>
      </c>
      <c r="L134" s="31">
        <v>0.24593128390596744</v>
      </c>
      <c r="M134" s="31">
        <v>0.19981916817359854</v>
      </c>
      <c r="N134" s="31">
        <v>0.55514705882352944</v>
      </c>
      <c r="O134" s="31">
        <v>0.47058823529411764</v>
      </c>
      <c r="P134" s="31">
        <v>0.45953757225433528</v>
      </c>
    </row>
    <row r="135" spans="1:16" x14ac:dyDescent="0.4">
      <c r="A135" s="33">
        <v>132</v>
      </c>
      <c r="B135" s="30">
        <v>155.09999999999988</v>
      </c>
      <c r="C135" s="30">
        <v>1.1749999999999992</v>
      </c>
      <c r="D135" s="35">
        <v>2.0151515151515151</v>
      </c>
      <c r="E135" s="31">
        <v>0.34848484848484851</v>
      </c>
      <c r="F135" s="31">
        <v>0.36363636363636365</v>
      </c>
      <c r="G135" s="31">
        <v>0.3147982062780269</v>
      </c>
      <c r="H135" s="31">
        <v>0.17219730941704037</v>
      </c>
      <c r="I135" s="32">
        <v>8239.3162393162402</v>
      </c>
      <c r="J135" s="32">
        <v>-7440.625</v>
      </c>
      <c r="K135" s="31">
        <v>8.3333333333333329E-2</v>
      </c>
      <c r="L135" s="31">
        <v>0.24932735426008967</v>
      </c>
      <c r="M135" s="31">
        <v>0.19820627802690582</v>
      </c>
      <c r="N135" s="31">
        <v>0.5611510791366906</v>
      </c>
      <c r="O135" s="31">
        <v>0.47058823529411764</v>
      </c>
      <c r="P135" s="31">
        <v>0.46153846153846156</v>
      </c>
    </row>
    <row r="136" spans="1:16" x14ac:dyDescent="0.4">
      <c r="A136" s="33">
        <v>133</v>
      </c>
      <c r="B136" s="30">
        <v>146.19999999999987</v>
      </c>
      <c r="C136" s="30">
        <v>1.0992481203007509</v>
      </c>
      <c r="D136" s="35">
        <v>2.0150375939849625</v>
      </c>
      <c r="E136" s="31">
        <v>0.34586466165413532</v>
      </c>
      <c r="F136" s="31">
        <v>0.36090225563909772</v>
      </c>
      <c r="G136" s="31">
        <v>0.3146167557932264</v>
      </c>
      <c r="H136" s="31">
        <v>0.17290552584670232</v>
      </c>
      <c r="I136" s="32">
        <v>8243.0594900849865</v>
      </c>
      <c r="J136" s="32">
        <v>-7496.3917525773195</v>
      </c>
      <c r="K136" s="31">
        <v>8.2706766917293228E-2</v>
      </c>
      <c r="L136" s="31">
        <v>0.24866310160427807</v>
      </c>
      <c r="M136" s="31">
        <v>0.19875222816399288</v>
      </c>
      <c r="N136" s="31">
        <v>0.55913978494623651</v>
      </c>
      <c r="O136" s="31">
        <v>0.47533632286995514</v>
      </c>
      <c r="P136" s="31">
        <v>0.45892351274787535</v>
      </c>
    </row>
    <row r="137" spans="1:16" x14ac:dyDescent="0.4">
      <c r="A137" s="33">
        <v>134</v>
      </c>
      <c r="B137" s="30">
        <v>107.19999999999987</v>
      </c>
      <c r="C137" s="30">
        <v>0.79999999999999905</v>
      </c>
      <c r="D137" s="35">
        <v>2.0223880597014925</v>
      </c>
      <c r="E137" s="31">
        <v>0.34328358208955223</v>
      </c>
      <c r="F137" s="31">
        <v>0.36567164179104478</v>
      </c>
      <c r="G137" s="31">
        <v>0.31382978723404253</v>
      </c>
      <c r="H137" s="31">
        <v>0.17287234042553193</v>
      </c>
      <c r="I137" s="32">
        <v>8223.4463276836159</v>
      </c>
      <c r="J137" s="32">
        <v>-7540</v>
      </c>
      <c r="K137" s="31">
        <v>8.2089552238805971E-2</v>
      </c>
      <c r="L137" s="31">
        <v>0.24822695035460993</v>
      </c>
      <c r="M137" s="31">
        <v>0.20035460992907803</v>
      </c>
      <c r="N137" s="31">
        <v>0.56071428571428572</v>
      </c>
      <c r="O137" s="31">
        <v>0.46902654867256638</v>
      </c>
      <c r="P137" s="31">
        <v>0.4576271186440678</v>
      </c>
    </row>
    <row r="138" spans="1:16" x14ac:dyDescent="0.4">
      <c r="A138" s="33">
        <v>135</v>
      </c>
      <c r="B138" s="30">
        <v>104.09999999999988</v>
      </c>
      <c r="C138" s="30">
        <v>0.77111111111111019</v>
      </c>
      <c r="D138" s="35">
        <v>2.0222222222222221</v>
      </c>
      <c r="E138" s="31">
        <v>0.34074074074074073</v>
      </c>
      <c r="F138" s="31">
        <v>0.36296296296296299</v>
      </c>
      <c r="G138" s="31">
        <v>0.31338028169014087</v>
      </c>
      <c r="H138" s="31">
        <v>0.17341549295774647</v>
      </c>
      <c r="I138" s="32">
        <v>8188.2022471910113</v>
      </c>
      <c r="J138" s="32">
        <v>-7534.5177664974617</v>
      </c>
      <c r="K138" s="31">
        <v>8.1481481481481488E-2</v>
      </c>
      <c r="L138" s="31">
        <v>0.24911971830985916</v>
      </c>
      <c r="M138" s="31">
        <v>0.20070422535211269</v>
      </c>
      <c r="N138" s="31">
        <v>0.55830388692579502</v>
      </c>
      <c r="O138" s="31">
        <v>0.46491228070175439</v>
      </c>
      <c r="P138" s="31">
        <v>0.4550561797752809</v>
      </c>
    </row>
    <row r="139" spans="1:16" x14ac:dyDescent="0.4">
      <c r="A139" s="33">
        <v>136</v>
      </c>
      <c r="B139" s="30">
        <v>168.69999999999987</v>
      </c>
      <c r="C139" s="30">
        <v>1.2404411764705874</v>
      </c>
      <c r="D139" s="35">
        <v>2.0147058823529411</v>
      </c>
      <c r="E139" s="31">
        <v>0.34558823529411764</v>
      </c>
      <c r="F139" s="31">
        <v>0.36029411764705882</v>
      </c>
      <c r="G139" s="31">
        <v>0.31615720524017465</v>
      </c>
      <c r="H139" s="31">
        <v>0.1720524017467249</v>
      </c>
      <c r="I139" s="32">
        <v>8225.4143646408847</v>
      </c>
      <c r="J139" s="32">
        <v>-7534.5177664974617</v>
      </c>
      <c r="K139" s="31">
        <v>8.0882352941176475E-2</v>
      </c>
      <c r="L139" s="31">
        <v>0.2497816593886463</v>
      </c>
      <c r="M139" s="31">
        <v>0.19912663755458515</v>
      </c>
      <c r="N139" s="31">
        <v>0.55944055944055948</v>
      </c>
      <c r="O139" s="31">
        <v>0.46491228070175439</v>
      </c>
      <c r="P139" s="31">
        <v>0.45027624309392267</v>
      </c>
    </row>
    <row r="140" spans="1:16" x14ac:dyDescent="0.4">
      <c r="A140" s="33">
        <v>137</v>
      </c>
      <c r="B140" s="30">
        <v>199.99999999999989</v>
      </c>
      <c r="C140" s="30">
        <v>1.4598540145985393</v>
      </c>
      <c r="D140" s="35">
        <v>2.0072992700729926</v>
      </c>
      <c r="E140" s="31">
        <v>0.35036496350364965</v>
      </c>
      <c r="F140" s="31">
        <v>0.35766423357664234</v>
      </c>
      <c r="G140" s="31">
        <v>0.3188908145580589</v>
      </c>
      <c r="H140" s="31">
        <v>0.17157712305025996</v>
      </c>
      <c r="I140" s="32">
        <v>8160.597826086957</v>
      </c>
      <c r="J140" s="32">
        <v>-7535.3535353535353</v>
      </c>
      <c r="K140" s="31">
        <v>8.0291970802919707E-2</v>
      </c>
      <c r="L140" s="31">
        <v>0.24870017331022531</v>
      </c>
      <c r="M140" s="31">
        <v>0.19844020797227035</v>
      </c>
      <c r="N140" s="31">
        <v>0.56097560975609762</v>
      </c>
      <c r="O140" s="31">
        <v>0.46724890829694321</v>
      </c>
      <c r="P140" s="31">
        <v>0.44565217391304346</v>
      </c>
    </row>
    <row r="141" spans="1:16" x14ac:dyDescent="0.4">
      <c r="A141" s="33">
        <v>138</v>
      </c>
      <c r="B141" s="30">
        <v>240.2999999999999</v>
      </c>
      <c r="C141" s="30">
        <v>1.7413043478260861</v>
      </c>
      <c r="D141" s="35">
        <v>2</v>
      </c>
      <c r="E141" s="31">
        <v>0.35507246376811596</v>
      </c>
      <c r="F141" s="31">
        <v>0.35507246376811596</v>
      </c>
      <c r="G141" s="31">
        <v>0.32072226999140152</v>
      </c>
      <c r="H141" s="31">
        <v>0.17110920034393809</v>
      </c>
      <c r="I141" s="32">
        <v>8178.8203753351208</v>
      </c>
      <c r="J141" s="32">
        <v>-7557.7889447236184</v>
      </c>
      <c r="K141" s="31">
        <v>7.9710144927536225E-2</v>
      </c>
      <c r="L141" s="31">
        <v>0.24849527085124679</v>
      </c>
      <c r="M141" s="31">
        <v>0.19948409286328461</v>
      </c>
      <c r="N141" s="31">
        <v>0.56055363321799312</v>
      </c>
      <c r="O141" s="31">
        <v>0.46982758620689657</v>
      </c>
      <c r="P141" s="31">
        <v>0.44504021447721182</v>
      </c>
    </row>
    <row r="142" spans="1:16" x14ac:dyDescent="0.4">
      <c r="A142" s="33">
        <v>139</v>
      </c>
      <c r="B142" s="30">
        <v>247.6999999999999</v>
      </c>
      <c r="C142" s="30">
        <v>1.7820143884892079</v>
      </c>
      <c r="D142" s="35">
        <v>2</v>
      </c>
      <c r="E142" s="31">
        <v>0.35251798561151076</v>
      </c>
      <c r="F142" s="31">
        <v>0.35251798561151076</v>
      </c>
      <c r="G142" s="31">
        <v>0.32054560954816708</v>
      </c>
      <c r="H142" s="31">
        <v>0.16965046888320545</v>
      </c>
      <c r="I142" s="32">
        <v>8171.8085106382978</v>
      </c>
      <c r="J142" s="32">
        <v>-7557.7889447236184</v>
      </c>
      <c r="K142" s="31">
        <v>7.9136690647482008E-2</v>
      </c>
      <c r="L142" s="31">
        <v>0.24893435635123615</v>
      </c>
      <c r="M142" s="31">
        <v>0.19948849104859334</v>
      </c>
      <c r="N142" s="31">
        <v>0.56164383561643838</v>
      </c>
      <c r="O142" s="31">
        <v>0.46581196581196582</v>
      </c>
      <c r="P142" s="31">
        <v>0.44414893617021278</v>
      </c>
    </row>
    <row r="143" spans="1:16" x14ac:dyDescent="0.4">
      <c r="A143" s="33">
        <v>140</v>
      </c>
      <c r="B143" s="30">
        <v>226.7999999999999</v>
      </c>
      <c r="C143" s="30">
        <v>1.6199999999999992</v>
      </c>
      <c r="D143" s="35">
        <v>2.0071428571428571</v>
      </c>
      <c r="E143" s="31">
        <v>0.35</v>
      </c>
      <c r="F143" s="31">
        <v>0.35714285714285715</v>
      </c>
      <c r="G143" s="31">
        <v>0.31949152542372883</v>
      </c>
      <c r="H143" s="31">
        <v>0.17033898305084746</v>
      </c>
      <c r="I143" s="32">
        <v>8181.9628647214859</v>
      </c>
      <c r="J143" s="32">
        <v>-7555.2238805970146</v>
      </c>
      <c r="K143" s="31">
        <v>7.857142857142857E-2</v>
      </c>
      <c r="L143" s="31">
        <v>0.24830508474576271</v>
      </c>
      <c r="M143" s="31">
        <v>0.19915254237288135</v>
      </c>
      <c r="N143" s="31">
        <v>0.56313993174061439</v>
      </c>
      <c r="O143" s="31">
        <v>0.46382978723404256</v>
      </c>
      <c r="P143" s="31">
        <v>0.44562334217506633</v>
      </c>
    </row>
    <row r="144" spans="1:16" x14ac:dyDescent="0.4">
      <c r="A144" s="33">
        <v>141</v>
      </c>
      <c r="B144" s="30">
        <v>228.2999999999999</v>
      </c>
      <c r="C144" s="30">
        <v>1.619148936170212</v>
      </c>
      <c r="D144" s="35">
        <v>2.0070921985815602</v>
      </c>
      <c r="E144" s="31">
        <v>0.3475177304964539</v>
      </c>
      <c r="F144" s="31">
        <v>0.3546099290780142</v>
      </c>
      <c r="G144" s="31">
        <v>0.31986531986531985</v>
      </c>
      <c r="H144" s="31">
        <v>0.1691919191919192</v>
      </c>
      <c r="I144" s="32">
        <v>8170</v>
      </c>
      <c r="J144" s="32">
        <v>-7555.2238805970146</v>
      </c>
      <c r="K144" s="31">
        <v>7.8014184397163122E-2</v>
      </c>
      <c r="L144" s="31">
        <v>0.25</v>
      </c>
      <c r="M144" s="31">
        <v>0.1978114478114478</v>
      </c>
      <c r="N144" s="31">
        <v>0.56565656565656564</v>
      </c>
      <c r="O144" s="31">
        <v>0.46382978723404256</v>
      </c>
      <c r="P144" s="31">
        <v>0.44473684210526315</v>
      </c>
    </row>
    <row r="145" spans="1:16" x14ac:dyDescent="0.4">
      <c r="A145" s="33">
        <v>142</v>
      </c>
      <c r="B145" s="30">
        <v>274.99999999999989</v>
      </c>
      <c r="C145" s="30">
        <v>1.9366197183098584</v>
      </c>
      <c r="D145" s="35">
        <v>2</v>
      </c>
      <c r="E145" s="31">
        <v>0.352112676056338</v>
      </c>
      <c r="F145" s="31">
        <v>0.352112676056338</v>
      </c>
      <c r="G145" s="31">
        <v>0.32023411371237459</v>
      </c>
      <c r="H145" s="31">
        <v>0.16806020066889632</v>
      </c>
      <c r="I145" s="32">
        <v>8194.516971279374</v>
      </c>
      <c r="J145" s="32">
        <v>-7555.2238805970146</v>
      </c>
      <c r="K145" s="31">
        <v>7.746478873239436E-2</v>
      </c>
      <c r="L145" s="31">
        <v>0.24916387959866221</v>
      </c>
      <c r="M145" s="31">
        <v>0.19816053511705686</v>
      </c>
      <c r="N145" s="31">
        <v>0.56711409395973156</v>
      </c>
      <c r="O145" s="31">
        <v>0.46413502109704641</v>
      </c>
      <c r="P145" s="31">
        <v>0.44647519582245432</v>
      </c>
    </row>
    <row r="146" spans="1:16" x14ac:dyDescent="0.4">
      <c r="A146" s="33">
        <v>143</v>
      </c>
      <c r="B146" s="30">
        <v>264.49999999999989</v>
      </c>
      <c r="C146" s="30">
        <v>1.8496503496503489</v>
      </c>
      <c r="D146" s="35">
        <v>2</v>
      </c>
      <c r="E146" s="31">
        <v>0.34965034965034963</v>
      </c>
      <c r="F146" s="31">
        <v>0.34965034965034963</v>
      </c>
      <c r="G146" s="31">
        <v>0.31893687707641194</v>
      </c>
      <c r="H146" s="31">
        <v>0.16777408637873753</v>
      </c>
      <c r="I146" s="32">
        <v>8214.84375</v>
      </c>
      <c r="J146" s="32">
        <v>-7555.9405940594061</v>
      </c>
      <c r="K146" s="31">
        <v>7.6923076923076927E-2</v>
      </c>
      <c r="L146" s="31">
        <v>0.24916943521594684</v>
      </c>
      <c r="M146" s="31">
        <v>0.19850498338870431</v>
      </c>
      <c r="N146" s="31">
        <v>0.56666666666666665</v>
      </c>
      <c r="O146" s="31">
        <v>0.46025104602510458</v>
      </c>
      <c r="P146" s="31">
        <v>0.4453125</v>
      </c>
    </row>
    <row r="147" spans="1:16" x14ac:dyDescent="0.4">
      <c r="A147" s="33">
        <v>144</v>
      </c>
      <c r="B147" s="30">
        <v>320.7999999999999</v>
      </c>
      <c r="C147" s="30">
        <v>2.227777777777777</v>
      </c>
      <c r="D147" s="35">
        <v>1.9930555555555556</v>
      </c>
      <c r="E147" s="31">
        <v>0.35416666666666669</v>
      </c>
      <c r="F147" s="31">
        <v>0.34722222222222221</v>
      </c>
      <c r="G147" s="31">
        <v>0.32066115702479336</v>
      </c>
      <c r="H147" s="31">
        <v>0.16776859504132233</v>
      </c>
      <c r="I147" s="32">
        <v>8319.0721649484531</v>
      </c>
      <c r="J147" s="32">
        <v>-7636.9458128078813</v>
      </c>
      <c r="K147" s="31">
        <v>7.6388888888888895E-2</v>
      </c>
      <c r="L147" s="31">
        <v>0.24876033057851241</v>
      </c>
      <c r="M147" s="31">
        <v>0.1975206611570248</v>
      </c>
      <c r="N147" s="31">
        <v>0.56810631229235875</v>
      </c>
      <c r="O147" s="31">
        <v>0.46025104602510458</v>
      </c>
      <c r="P147" s="31">
        <v>0.44329896907216493</v>
      </c>
    </row>
    <row r="148" spans="1:16" x14ac:dyDescent="0.4">
      <c r="A148" s="33">
        <v>145</v>
      </c>
      <c r="B148" s="30">
        <v>332.19999999999987</v>
      </c>
      <c r="C148" s="30">
        <v>2.29103448275862</v>
      </c>
      <c r="D148" s="35">
        <v>1.9862068965517241</v>
      </c>
      <c r="E148" s="31">
        <v>0.35862068965517241</v>
      </c>
      <c r="F148" s="31">
        <v>0.34482758620689657</v>
      </c>
      <c r="G148" s="31">
        <v>0.319376026272578</v>
      </c>
      <c r="H148" s="31">
        <v>0.16912972085385877</v>
      </c>
      <c r="I148" s="32">
        <v>8390.2313624678663</v>
      </c>
      <c r="J148" s="32">
        <v>-7588.8349514563106</v>
      </c>
      <c r="K148" s="31">
        <v>7.586206896551724E-2</v>
      </c>
      <c r="L148" s="31">
        <v>0.24876847290640394</v>
      </c>
      <c r="M148" s="31">
        <v>0.19704433497536947</v>
      </c>
      <c r="N148" s="31">
        <v>0.56765676567656764</v>
      </c>
      <c r="O148" s="31">
        <v>0.45833333333333331</v>
      </c>
      <c r="P148" s="31">
        <v>0.44215938303341901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7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  <row r="114" spans="1:16" x14ac:dyDescent="0.4">
      <c r="A114" s="33">
        <v>111</v>
      </c>
      <c r="B114" s="30">
        <v>4.2632564145606011E-14</v>
      </c>
      <c r="C114" s="30">
        <v>1.2802571815497301E-16</v>
      </c>
      <c r="D114" s="35">
        <v>1.996996996996997</v>
      </c>
      <c r="E114" s="31">
        <v>0.33633633633633636</v>
      </c>
      <c r="F114" s="31">
        <v>0.33333333333333331</v>
      </c>
      <c r="G114" s="31">
        <v>0.29376750700280113</v>
      </c>
      <c r="H114" s="31">
        <v>0.15966386554621848</v>
      </c>
      <c r="I114" s="32">
        <v>8071.8712753277714</v>
      </c>
      <c r="J114" s="32">
        <v>-7627.4122807017548</v>
      </c>
      <c r="K114" s="31">
        <v>8.408408408408409E-2</v>
      </c>
      <c r="L114" s="31">
        <v>0.23844537815126052</v>
      </c>
      <c r="M114" s="31">
        <v>0.22899159663865545</v>
      </c>
      <c r="N114" s="31">
        <v>0.51982378854625555</v>
      </c>
      <c r="O114" s="31">
        <v>0.41284403669724773</v>
      </c>
      <c r="P114" s="31">
        <v>0.44934445768772346</v>
      </c>
    </row>
    <row r="115" spans="1:16" x14ac:dyDescent="0.4">
      <c r="A115" s="33">
        <v>112</v>
      </c>
      <c r="B115" s="30">
        <v>4.9737991503207013E-14</v>
      </c>
      <c r="C115" s="30">
        <v>1.4802973661668753E-16</v>
      </c>
      <c r="D115" s="35">
        <v>1.9970238095238095</v>
      </c>
      <c r="E115" s="31">
        <v>0.33630952380952384</v>
      </c>
      <c r="F115" s="31">
        <v>0.33333333333333331</v>
      </c>
      <c r="G115" s="31">
        <v>0.29340277777777779</v>
      </c>
      <c r="H115" s="31">
        <v>0.15902777777777777</v>
      </c>
      <c r="I115" s="32">
        <v>8091.0059171597632</v>
      </c>
      <c r="J115" s="32">
        <v>-7637.7729257641922</v>
      </c>
      <c r="K115" s="31">
        <v>8.6309523809523808E-2</v>
      </c>
      <c r="L115" s="31">
        <v>0.23923611111111112</v>
      </c>
      <c r="M115" s="31">
        <v>0.22847222222222222</v>
      </c>
      <c r="N115" s="31">
        <v>0.51814223512336721</v>
      </c>
      <c r="O115" s="31">
        <v>0.41337386018237082</v>
      </c>
      <c r="P115" s="31">
        <v>0.45088757396449702</v>
      </c>
    </row>
    <row r="116" spans="1:16" x14ac:dyDescent="0.4">
      <c r="A116" s="33">
        <v>113</v>
      </c>
      <c r="B116" s="30">
        <v>4.9737991503207013E-14</v>
      </c>
      <c r="C116" s="30">
        <v>1.4671973894751331E-16</v>
      </c>
      <c r="D116" s="35">
        <v>1.9970501474926254</v>
      </c>
      <c r="E116" s="31">
        <v>0.33628318584070799</v>
      </c>
      <c r="F116" s="31">
        <v>0.33333333333333331</v>
      </c>
      <c r="G116" s="31">
        <v>0.29269972451790632</v>
      </c>
      <c r="H116" s="31">
        <v>0.15874655647382921</v>
      </c>
      <c r="I116" s="32">
        <v>8089.0588235294117</v>
      </c>
      <c r="J116" s="32">
        <v>-7638.8286334056402</v>
      </c>
      <c r="K116" s="31">
        <v>8.5545722713864306E-2</v>
      </c>
      <c r="L116" s="31">
        <v>0.23863636363636365</v>
      </c>
      <c r="M116" s="31">
        <v>0.22692837465564739</v>
      </c>
      <c r="N116" s="31">
        <v>0.51803751803751807</v>
      </c>
      <c r="O116" s="31">
        <v>0.41426403641881637</v>
      </c>
      <c r="P116" s="31">
        <v>0.45058823529411762</v>
      </c>
    </row>
    <row r="117" spans="1:16" x14ac:dyDescent="0.4">
      <c r="A117" s="33">
        <v>114</v>
      </c>
      <c r="B117" s="30">
        <v>4.9737991503207013E-14</v>
      </c>
      <c r="C117" s="30">
        <v>1.4543272369358775E-16</v>
      </c>
      <c r="D117" s="35">
        <v>1.9970760233918128</v>
      </c>
      <c r="E117" s="31">
        <v>0.33625730994152048</v>
      </c>
      <c r="F117" s="31">
        <v>0.33333333333333331</v>
      </c>
      <c r="G117" s="31">
        <v>0.29247531494722506</v>
      </c>
      <c r="H117" s="31">
        <v>0.15934627170582227</v>
      </c>
      <c r="I117" s="32">
        <v>8098.2537834691502</v>
      </c>
      <c r="J117" s="32">
        <v>-7645.7264957264961</v>
      </c>
      <c r="K117" s="31">
        <v>8.4795321637426896E-2</v>
      </c>
      <c r="L117" s="31">
        <v>0.23765747361252978</v>
      </c>
      <c r="M117" s="31">
        <v>0.22676200204290092</v>
      </c>
      <c r="N117" s="31">
        <v>0.51862464183381085</v>
      </c>
      <c r="O117" s="31">
        <v>0.4144144144144144</v>
      </c>
      <c r="P117" s="31">
        <v>0.44819557625145517</v>
      </c>
    </row>
    <row r="118" spans="1:16" x14ac:dyDescent="0.4">
      <c r="A118" s="33">
        <v>115</v>
      </c>
      <c r="B118" s="30">
        <v>4.9737991503207013E-14</v>
      </c>
      <c r="C118" s="30">
        <v>1.4416809131364351E-16</v>
      </c>
      <c r="D118" s="35">
        <v>1.9971014492753623</v>
      </c>
      <c r="E118" s="31">
        <v>0.336231884057971</v>
      </c>
      <c r="F118" s="31">
        <v>0.33333333333333331</v>
      </c>
      <c r="G118" s="31">
        <v>0.2927653820148749</v>
      </c>
      <c r="H118" s="31">
        <v>0.15956727518593644</v>
      </c>
      <c r="I118" s="32">
        <v>8106.4665127020789</v>
      </c>
      <c r="J118" s="32">
        <v>-7648.9406779661012</v>
      </c>
      <c r="K118" s="31">
        <v>8.4057971014492749E-2</v>
      </c>
      <c r="L118" s="31">
        <v>0.23867478025693037</v>
      </c>
      <c r="M118" s="31">
        <v>0.22616632860040567</v>
      </c>
      <c r="N118" s="31">
        <v>0.51983002832861192</v>
      </c>
      <c r="O118" s="31">
        <v>0.41554559043348283</v>
      </c>
      <c r="P118" s="31">
        <v>0.44803695150115475</v>
      </c>
    </row>
    <row r="119" spans="1:16" x14ac:dyDescent="0.4">
      <c r="A119" s="33">
        <v>116</v>
      </c>
      <c r="B119" s="30">
        <v>4.9737991503207013E-14</v>
      </c>
      <c r="C119" s="30">
        <v>1.4292526294025004E-16</v>
      </c>
      <c r="D119" s="35">
        <v>1.9971264367816093</v>
      </c>
      <c r="E119" s="31">
        <v>0.33620689655172414</v>
      </c>
      <c r="F119" s="31">
        <v>0.33333333333333331</v>
      </c>
      <c r="G119" s="31">
        <v>0.29313232830820768</v>
      </c>
      <c r="H119" s="31">
        <v>0.15979899497487438</v>
      </c>
      <c r="I119" s="32">
        <v>8110.4</v>
      </c>
      <c r="J119" s="32">
        <v>-7662.4737945492661</v>
      </c>
      <c r="K119" s="31">
        <v>8.3333333333333329E-2</v>
      </c>
      <c r="L119" s="31">
        <v>0.23919597989949748</v>
      </c>
      <c r="M119" s="31">
        <v>0.22579564489112228</v>
      </c>
      <c r="N119" s="31">
        <v>0.52240896358543421</v>
      </c>
      <c r="O119" s="31">
        <v>0.41543026706231456</v>
      </c>
      <c r="P119" s="31">
        <v>0.44800000000000001</v>
      </c>
    </row>
    <row r="120" spans="1:16" x14ac:dyDescent="0.4">
      <c r="A120" s="33">
        <v>117</v>
      </c>
      <c r="B120" s="30">
        <v>4.2632564145606011E-14</v>
      </c>
      <c r="C120" s="30">
        <v>1.2146029671112825E-16</v>
      </c>
      <c r="D120" s="35">
        <v>1.9971509971509971</v>
      </c>
      <c r="E120" s="31">
        <v>0.33618233618233617</v>
      </c>
      <c r="F120" s="31">
        <v>0.33333333333333331</v>
      </c>
      <c r="G120" s="31">
        <v>0.29290921139827703</v>
      </c>
      <c r="H120" s="31">
        <v>0.15937707090788603</v>
      </c>
      <c r="I120" s="32">
        <v>8124.7737556561087</v>
      </c>
      <c r="J120" s="32">
        <v>-7722.869022869023</v>
      </c>
      <c r="K120" s="31">
        <v>8.5470085470085472E-2</v>
      </c>
      <c r="L120" s="31">
        <v>0.23923127899271041</v>
      </c>
      <c r="M120" s="31">
        <v>0.22597746852220013</v>
      </c>
      <c r="N120" s="31">
        <v>0.51939058171745156</v>
      </c>
      <c r="O120" s="31">
        <v>0.41788856304985339</v>
      </c>
      <c r="P120" s="31">
        <v>0.4490950226244344</v>
      </c>
    </row>
    <row r="121" spans="1:16" x14ac:dyDescent="0.4">
      <c r="A121" s="33">
        <v>118</v>
      </c>
      <c r="B121" s="30">
        <v>4.2632564145606011E-14</v>
      </c>
      <c r="C121" s="30">
        <v>1.2043097216272884E-16</v>
      </c>
      <c r="D121" s="35">
        <v>1.9971751412429379</v>
      </c>
      <c r="E121" s="31">
        <v>0.33615819209039549</v>
      </c>
      <c r="F121" s="31">
        <v>0.33333333333333331</v>
      </c>
      <c r="G121" s="31">
        <v>0.29318854886475815</v>
      </c>
      <c r="H121" s="31">
        <v>0.15926291543270812</v>
      </c>
      <c r="I121" s="32">
        <v>8142.6487093153764</v>
      </c>
      <c r="J121" s="32">
        <v>-7714.4628099173551</v>
      </c>
      <c r="K121" s="31">
        <v>8.4745762711864403E-2</v>
      </c>
      <c r="L121" s="31">
        <v>0.24053965120105297</v>
      </c>
      <c r="M121" s="31">
        <v>0.22606120434353405</v>
      </c>
      <c r="N121" s="31">
        <v>0.51983584131326954</v>
      </c>
      <c r="O121" s="31">
        <v>0.41630276564774382</v>
      </c>
      <c r="P121" s="31">
        <v>0.45005611672278339</v>
      </c>
    </row>
    <row r="122" spans="1:16" x14ac:dyDescent="0.4">
      <c r="A122" s="33">
        <v>119</v>
      </c>
      <c r="B122" s="30">
        <v>4.2632564145606011E-14</v>
      </c>
      <c r="C122" s="30">
        <v>1.1941894718657145E-16</v>
      </c>
      <c r="D122" s="35">
        <v>1.9971988795518207</v>
      </c>
      <c r="E122" s="31">
        <v>0.33613445378151263</v>
      </c>
      <c r="F122" s="31">
        <v>0.33333333333333331</v>
      </c>
      <c r="G122" s="31">
        <v>0.29346405228758171</v>
      </c>
      <c r="H122" s="31">
        <v>0.15947712418300652</v>
      </c>
      <c r="I122" s="32">
        <v>8114.0311804008907</v>
      </c>
      <c r="J122" s="32">
        <v>-7670.0819672131147</v>
      </c>
      <c r="K122" s="31">
        <v>8.4033613445378158E-2</v>
      </c>
      <c r="L122" s="31">
        <v>0.24019607843137256</v>
      </c>
      <c r="M122" s="31">
        <v>0.22712418300653595</v>
      </c>
      <c r="N122" s="31">
        <v>0.51972789115646256</v>
      </c>
      <c r="O122" s="31">
        <v>0.41438848920863308</v>
      </c>
      <c r="P122" s="31">
        <v>0.44988864142538976</v>
      </c>
    </row>
    <row r="123" spans="1:16" x14ac:dyDescent="0.4">
      <c r="A123" s="33">
        <v>120</v>
      </c>
      <c r="B123" s="30">
        <v>3.5527136788005009E-14</v>
      </c>
      <c r="C123" s="30">
        <v>9.8686491077791687E-17</v>
      </c>
      <c r="D123" s="35">
        <v>1.9972222222222222</v>
      </c>
      <c r="E123" s="31">
        <v>0.33611111111111114</v>
      </c>
      <c r="F123" s="31">
        <v>0.33333333333333331</v>
      </c>
      <c r="G123" s="31">
        <v>0.29348882410106902</v>
      </c>
      <c r="H123" s="31">
        <v>0.15970197602850664</v>
      </c>
      <c r="I123" s="32">
        <v>8087.969094922737</v>
      </c>
      <c r="J123" s="32">
        <v>-7639.7565922920894</v>
      </c>
      <c r="K123" s="31">
        <v>8.611111111111111E-2</v>
      </c>
      <c r="L123" s="31">
        <v>0.23971493359248461</v>
      </c>
      <c r="M123" s="31">
        <v>0.22708130871396179</v>
      </c>
      <c r="N123" s="31">
        <v>0.51891891891891895</v>
      </c>
      <c r="O123" s="31">
        <v>0.41512125534950073</v>
      </c>
      <c r="P123" s="31">
        <v>0.44922737306843269</v>
      </c>
    </row>
    <row r="124" spans="1:16" x14ac:dyDescent="0.4">
      <c r="A124" s="33">
        <v>121</v>
      </c>
      <c r="B124" s="30">
        <v>3.5527136788005009E-14</v>
      </c>
      <c r="C124" s="30">
        <v>9.7870900242438045E-17</v>
      </c>
      <c r="D124" s="35">
        <v>1.997245179063361</v>
      </c>
      <c r="E124" s="31">
        <v>0.33608815426997246</v>
      </c>
      <c r="F124" s="31">
        <v>0.33333333333333331</v>
      </c>
      <c r="G124" s="31">
        <v>0.2933977455716586</v>
      </c>
      <c r="H124" s="31">
        <v>0.15974235104669887</v>
      </c>
      <c r="I124" s="32">
        <v>8116.0263446761801</v>
      </c>
      <c r="J124" s="32">
        <v>-7666.1290322580644</v>
      </c>
      <c r="K124" s="31">
        <v>8.8154269972451793E-2</v>
      </c>
      <c r="L124" s="31">
        <v>0.23961352657004831</v>
      </c>
      <c r="M124" s="31">
        <v>0.22737520128824476</v>
      </c>
      <c r="N124" s="31">
        <v>0.521505376344086</v>
      </c>
      <c r="O124" s="31">
        <v>0.41218130311614731</v>
      </c>
      <c r="P124" s="31">
        <v>0.44895718990120748</v>
      </c>
    </row>
    <row r="125" spans="1:16" x14ac:dyDescent="0.4">
      <c r="A125" s="33">
        <v>122</v>
      </c>
      <c r="B125" s="30">
        <v>3.730349362740526E-14</v>
      </c>
      <c r="C125" s="30">
        <v>1.0192211373607995E-16</v>
      </c>
      <c r="D125" s="35">
        <v>1.9972677595628416</v>
      </c>
      <c r="E125" s="31">
        <v>0.33606557377049179</v>
      </c>
      <c r="F125" s="31">
        <v>0.33333333333333331</v>
      </c>
      <c r="G125" s="31">
        <v>0.29353709009869466</v>
      </c>
      <c r="H125" s="31">
        <v>0.15982171283030883</v>
      </c>
      <c r="I125" s="32">
        <v>8126.355748373102</v>
      </c>
      <c r="J125" s="32">
        <v>-7660.3585657370522</v>
      </c>
      <c r="K125" s="31">
        <v>8.7431693989071038E-2</v>
      </c>
      <c r="L125" s="31">
        <v>0.24036930913721744</v>
      </c>
      <c r="M125" s="31">
        <v>0.2282712511938873</v>
      </c>
      <c r="N125" s="31">
        <v>0.52052980132450333</v>
      </c>
      <c r="O125" s="31">
        <v>0.41143654114365413</v>
      </c>
      <c r="P125" s="31">
        <v>0.44902386117136661</v>
      </c>
    </row>
    <row r="126" spans="1:16" x14ac:dyDescent="0.4">
      <c r="A126" s="33">
        <v>123</v>
      </c>
      <c r="B126" s="30">
        <v>3.5527136788005009E-14</v>
      </c>
      <c r="C126" s="30">
        <v>9.6279503490528487E-17</v>
      </c>
      <c r="D126" s="35">
        <v>1.9972899728997291</v>
      </c>
      <c r="E126" s="31">
        <v>0.33604336043360433</v>
      </c>
      <c r="F126" s="31">
        <v>0.33333333333333331</v>
      </c>
      <c r="G126" s="31">
        <v>0.29300567107750475</v>
      </c>
      <c r="H126" s="31">
        <v>0.15973534971644612</v>
      </c>
      <c r="I126" s="32">
        <v>8116.0215053763441</v>
      </c>
      <c r="J126" s="32">
        <v>-7619.1321499013802</v>
      </c>
      <c r="K126" s="31">
        <v>8.6720867208672087E-2</v>
      </c>
      <c r="L126" s="31">
        <v>0.24322621298046629</v>
      </c>
      <c r="M126" s="31">
        <v>0.2262129804662886</v>
      </c>
      <c r="N126" s="31">
        <v>0.51683937823834192</v>
      </c>
      <c r="O126" s="31">
        <v>0.41225626740947074</v>
      </c>
      <c r="P126" s="31">
        <v>0.44838709677419353</v>
      </c>
    </row>
    <row r="127" spans="1:16" x14ac:dyDescent="0.4">
      <c r="A127" s="33">
        <v>124</v>
      </c>
      <c r="B127" s="30">
        <v>3.5527136788005009E-14</v>
      </c>
      <c r="C127" s="30">
        <v>9.5503055881733897E-17</v>
      </c>
      <c r="D127" s="35">
        <v>1.9973118279569892</v>
      </c>
      <c r="E127" s="31">
        <v>0.33602150537634407</v>
      </c>
      <c r="F127" s="31">
        <v>0.33333333333333331</v>
      </c>
      <c r="G127" s="31">
        <v>0.29299562226391496</v>
      </c>
      <c r="H127" s="31">
        <v>0.16010006253908693</v>
      </c>
      <c r="I127" s="32">
        <v>8103.8420490928493</v>
      </c>
      <c r="J127" s="32">
        <v>-7604.1015625</v>
      </c>
      <c r="K127" s="31">
        <v>8.6021505376344093E-2</v>
      </c>
      <c r="L127" s="31">
        <v>0.24390243902439024</v>
      </c>
      <c r="M127" s="31">
        <v>0.22576610381488429</v>
      </c>
      <c r="N127" s="31">
        <v>0.517948717948718</v>
      </c>
      <c r="O127" s="31">
        <v>0.41135734072022162</v>
      </c>
      <c r="P127" s="31">
        <v>0.44717182497331909</v>
      </c>
    </row>
    <row r="128" spans="1:16" x14ac:dyDescent="0.4">
      <c r="A128" s="33">
        <v>125</v>
      </c>
      <c r="B128" s="30">
        <v>3.5527136788005009E-14</v>
      </c>
      <c r="C128" s="30">
        <v>9.4739031434680031E-17</v>
      </c>
      <c r="D128" s="35">
        <v>1.9973333333333334</v>
      </c>
      <c r="E128" s="31">
        <v>0.33600000000000002</v>
      </c>
      <c r="F128" s="31">
        <v>0.33333333333333331</v>
      </c>
      <c r="G128" s="31">
        <v>0.29298572315332094</v>
      </c>
      <c r="H128" s="31">
        <v>0.16045934202358783</v>
      </c>
      <c r="I128" s="32">
        <v>8109.2161016949149</v>
      </c>
      <c r="J128" s="32">
        <v>-7614.506769825919</v>
      </c>
      <c r="K128" s="31">
        <v>8.533333333333333E-2</v>
      </c>
      <c r="L128" s="31">
        <v>0.24487895716945995</v>
      </c>
      <c r="M128" s="31">
        <v>0.22501551831160771</v>
      </c>
      <c r="N128" s="31">
        <v>0.51837769328263628</v>
      </c>
      <c r="O128" s="31">
        <v>0.40965517241379312</v>
      </c>
      <c r="P128" s="31">
        <v>0.44597457627118642</v>
      </c>
    </row>
    <row r="129" spans="1:16" x14ac:dyDescent="0.4">
      <c r="A129" s="33">
        <v>126</v>
      </c>
      <c r="B129" s="30">
        <v>3.5527136788005009E-14</v>
      </c>
      <c r="C129" s="30">
        <v>9.3987134359801607E-17</v>
      </c>
      <c r="D129" s="35">
        <v>1.9973544973544974</v>
      </c>
      <c r="E129" s="31">
        <v>0.33597883597883599</v>
      </c>
      <c r="F129" s="31">
        <v>0.33333333333333331</v>
      </c>
      <c r="G129" s="31">
        <v>0.29263028060437868</v>
      </c>
      <c r="H129" s="31">
        <v>0.16003700277520813</v>
      </c>
      <c r="I129" s="32">
        <v>8114.9631190727077</v>
      </c>
      <c r="J129" s="32">
        <v>-7623.6994219653179</v>
      </c>
      <c r="K129" s="31">
        <v>8.7301587301587297E-2</v>
      </c>
      <c r="L129" s="31">
        <v>0.24545174221399937</v>
      </c>
      <c r="M129" s="31">
        <v>0.22510021584952206</v>
      </c>
      <c r="N129" s="31">
        <v>0.51633165829145733</v>
      </c>
      <c r="O129" s="31">
        <v>0.40821917808219177</v>
      </c>
      <c r="P129" s="31">
        <v>0.44678609062170704</v>
      </c>
    </row>
    <row r="130" spans="1:16" x14ac:dyDescent="0.4">
      <c r="A130" s="33">
        <v>127</v>
      </c>
      <c r="B130" s="30">
        <v>3.5527136788005009E-14</v>
      </c>
      <c r="C130" s="30">
        <v>9.3247078183740181E-17</v>
      </c>
      <c r="D130" s="35">
        <v>1.9973753280839894</v>
      </c>
      <c r="E130" s="31">
        <v>0.33595800524934383</v>
      </c>
      <c r="F130" s="31">
        <v>0.33333333333333331</v>
      </c>
      <c r="G130" s="31">
        <v>0.29296636085626909</v>
      </c>
      <c r="H130" s="31">
        <v>0.16085626911314985</v>
      </c>
      <c r="I130" s="32">
        <v>8124.321503131524</v>
      </c>
      <c r="J130" s="32">
        <v>-7640.1140684410648</v>
      </c>
      <c r="K130" s="31">
        <v>8.6614173228346455E-2</v>
      </c>
      <c r="L130" s="31">
        <v>0.24495412844036699</v>
      </c>
      <c r="M130" s="31">
        <v>0.22599388379204893</v>
      </c>
      <c r="N130" s="31">
        <v>0.5168539325842697</v>
      </c>
      <c r="O130" s="31">
        <v>0.40730717185385656</v>
      </c>
      <c r="P130" s="31">
        <v>0.44467640918580376</v>
      </c>
    </row>
    <row r="131" spans="1:16" x14ac:dyDescent="0.4">
      <c r="A131" s="33">
        <v>128</v>
      </c>
      <c r="B131" s="30">
        <v>3.5527136788005009E-14</v>
      </c>
      <c r="C131" s="30">
        <v>9.2518585385429716E-17</v>
      </c>
      <c r="D131" s="35">
        <v>1.9973958333333333</v>
      </c>
      <c r="E131" s="31">
        <v>0.3359375</v>
      </c>
      <c r="F131" s="31">
        <v>0.33333333333333331</v>
      </c>
      <c r="G131" s="31">
        <v>0.29322394408994229</v>
      </c>
      <c r="H131" s="31">
        <v>0.16165299301124278</v>
      </c>
      <c r="I131" s="32">
        <v>8119.6891191709847</v>
      </c>
      <c r="J131" s="32">
        <v>-7637.9699248120305</v>
      </c>
      <c r="K131" s="31">
        <v>8.8541666666666671E-2</v>
      </c>
      <c r="L131" s="31">
        <v>0.24491036159222121</v>
      </c>
      <c r="M131" s="31">
        <v>0.22576724399878456</v>
      </c>
      <c r="N131" s="31">
        <v>0.51736972704714645</v>
      </c>
      <c r="O131" s="31">
        <v>0.40780619111709288</v>
      </c>
      <c r="P131" s="31">
        <v>0.44248704663212435</v>
      </c>
    </row>
    <row r="132" spans="1:16" x14ac:dyDescent="0.4">
      <c r="A132" s="33">
        <v>129</v>
      </c>
      <c r="B132" s="30">
        <v>4.2632564145606011E-14</v>
      </c>
      <c r="C132" s="30">
        <v>1.1016166445893026E-16</v>
      </c>
      <c r="D132" s="35">
        <v>1.9974160206718345</v>
      </c>
      <c r="E132" s="31">
        <v>0.33591731266149871</v>
      </c>
      <c r="F132" s="31">
        <v>0.33333333333333331</v>
      </c>
      <c r="G132" s="31">
        <v>0.29332129963898917</v>
      </c>
      <c r="H132" s="31">
        <v>0.16125150421179302</v>
      </c>
      <c r="I132" s="32">
        <v>8101.1282051282051</v>
      </c>
      <c r="J132" s="32">
        <v>-7635.6343283582091</v>
      </c>
      <c r="K132" s="31">
        <v>9.0439276485788117E-2</v>
      </c>
      <c r="L132" s="31">
        <v>0.24458483754512636</v>
      </c>
      <c r="M132" s="31">
        <v>0.22503008423586041</v>
      </c>
      <c r="N132" s="31">
        <v>0.5178351783517835</v>
      </c>
      <c r="O132" s="31">
        <v>0.40775401069518719</v>
      </c>
      <c r="P132" s="31">
        <v>0.44307692307692309</v>
      </c>
    </row>
    <row r="133" spans="1:16" x14ac:dyDescent="0.4">
      <c r="A133" s="33">
        <v>130</v>
      </c>
      <c r="B133" s="30">
        <v>4.6185277824406512E-14</v>
      </c>
      <c r="C133" s="30">
        <v>1.1842378929335003E-16</v>
      </c>
      <c r="D133" s="35">
        <v>1.9974358974358974</v>
      </c>
      <c r="E133" s="31">
        <v>0.33589743589743587</v>
      </c>
      <c r="F133" s="31">
        <v>0.33333333333333331</v>
      </c>
      <c r="G133" s="31">
        <v>0.29304685168606387</v>
      </c>
      <c r="H133" s="31">
        <v>0.16114592658907789</v>
      </c>
      <c r="I133" s="32">
        <v>8087.7800407331979</v>
      </c>
      <c r="J133" s="32">
        <v>-7627.0370370370374</v>
      </c>
      <c r="K133" s="31">
        <v>8.9743589743589744E-2</v>
      </c>
      <c r="L133" s="31">
        <v>0.24410623694419575</v>
      </c>
      <c r="M133" s="31">
        <v>0.22649955237242614</v>
      </c>
      <c r="N133" s="31">
        <v>0.51955990220048898</v>
      </c>
      <c r="O133" s="31">
        <v>0.40579710144927539</v>
      </c>
      <c r="P133" s="31">
        <v>0.44297352342158858</v>
      </c>
    </row>
    <row r="134" spans="1:16" x14ac:dyDescent="0.4">
      <c r="A134" s="33">
        <v>131</v>
      </c>
      <c r="B134" s="30">
        <v>4.6185277824406512E-14</v>
      </c>
      <c r="C134" s="30">
        <v>1.1751979090179773E-16</v>
      </c>
      <c r="D134" s="35">
        <v>1.9974554707379135</v>
      </c>
      <c r="E134" s="31">
        <v>0.33587786259541985</v>
      </c>
      <c r="F134" s="31">
        <v>0.33333333333333331</v>
      </c>
      <c r="G134" s="31">
        <v>0.29333333333333333</v>
      </c>
      <c r="H134" s="31">
        <v>0.16148148148148148</v>
      </c>
      <c r="I134" s="32">
        <v>8075.5555555555557</v>
      </c>
      <c r="J134" s="32">
        <v>-7616.6972477064219</v>
      </c>
      <c r="K134" s="31">
        <v>8.9058524173027995E-2</v>
      </c>
      <c r="L134" s="31">
        <v>0.24414814814814814</v>
      </c>
      <c r="M134" s="31">
        <v>0.22755555555555557</v>
      </c>
      <c r="N134" s="31">
        <v>0.52063106796116509</v>
      </c>
      <c r="O134" s="31">
        <v>0.40625</v>
      </c>
      <c r="P134" s="31">
        <v>0.44242424242424244</v>
      </c>
    </row>
    <row r="135" spans="1:16" x14ac:dyDescent="0.4">
      <c r="A135" s="33">
        <v>132</v>
      </c>
      <c r="B135" s="30">
        <v>4.9737991503207013E-14</v>
      </c>
      <c r="C135" s="30">
        <v>1.2560098864446215E-16</v>
      </c>
      <c r="D135" s="35">
        <v>1.9974747474747474</v>
      </c>
      <c r="E135" s="31">
        <v>0.33585858585858586</v>
      </c>
      <c r="F135" s="31">
        <v>0.33333333333333331</v>
      </c>
      <c r="G135" s="31">
        <v>0.29335684891240449</v>
      </c>
      <c r="H135" s="31">
        <v>0.16137566137566137</v>
      </c>
      <c r="I135" s="32">
        <v>8079.1583166332666</v>
      </c>
      <c r="J135" s="32">
        <v>-7615.3005464480875</v>
      </c>
      <c r="K135" s="31">
        <v>8.8383838383838384E-2</v>
      </c>
      <c r="L135" s="31">
        <v>0.2430922986478542</v>
      </c>
      <c r="M135" s="31">
        <v>0.22810111699000588</v>
      </c>
      <c r="N135" s="31">
        <v>0.5211608222490931</v>
      </c>
      <c r="O135" s="31">
        <v>0.40592783505154639</v>
      </c>
      <c r="P135" s="31">
        <v>0.44288577154308617</v>
      </c>
    </row>
    <row r="136" spans="1:16" x14ac:dyDescent="0.4">
      <c r="A136" s="33">
        <v>133</v>
      </c>
      <c r="B136" s="30">
        <v>5.0404125317982107E-14</v>
      </c>
      <c r="C136" s="30">
        <v>1.2632612861649651E-16</v>
      </c>
      <c r="D136" s="35">
        <v>1.9974937343358397</v>
      </c>
      <c r="E136" s="31">
        <v>0.33583959899749372</v>
      </c>
      <c r="F136" s="31">
        <v>0.33333333333333331</v>
      </c>
      <c r="G136" s="31">
        <v>0.29334500875656744</v>
      </c>
      <c r="H136" s="31">
        <v>0.16053706946876825</v>
      </c>
      <c r="I136" s="32">
        <v>8100.5970149253735</v>
      </c>
      <c r="J136" s="32">
        <v>-7610.909090909091</v>
      </c>
      <c r="K136" s="31">
        <v>8.771929824561403E-2</v>
      </c>
      <c r="L136" s="31">
        <v>0.24460011675423235</v>
      </c>
      <c r="M136" s="31">
        <v>0.22708698190309398</v>
      </c>
      <c r="N136" s="31">
        <v>0.52028639618138428</v>
      </c>
      <c r="O136" s="31">
        <v>0.40616966580976865</v>
      </c>
      <c r="P136" s="31">
        <v>0.44577114427860698</v>
      </c>
    </row>
    <row r="137" spans="1:16" x14ac:dyDescent="0.4">
      <c r="A137" s="33">
        <v>134</v>
      </c>
      <c r="B137" s="30">
        <v>4.6185277824406512E-14</v>
      </c>
      <c r="C137" s="30">
        <v>1.1488875080698137E-16</v>
      </c>
      <c r="D137" s="35">
        <v>1.9975124378109452</v>
      </c>
      <c r="E137" s="31">
        <v>0.33582089552238809</v>
      </c>
      <c r="F137" s="31">
        <v>0.33333333333333331</v>
      </c>
      <c r="G137" s="31">
        <v>0.29333333333333333</v>
      </c>
      <c r="H137" s="31">
        <v>0.16086956521739129</v>
      </c>
      <c r="I137" s="32">
        <v>8104.249011857708</v>
      </c>
      <c r="J137" s="32">
        <v>-7607.9279279279281</v>
      </c>
      <c r="K137" s="31">
        <v>8.7064676616915429E-2</v>
      </c>
      <c r="L137" s="31">
        <v>0.24492753623188407</v>
      </c>
      <c r="M137" s="31">
        <v>0.22782608695652173</v>
      </c>
      <c r="N137" s="31">
        <v>0.51834319526627215</v>
      </c>
      <c r="O137" s="31">
        <v>0.40458015267175573</v>
      </c>
      <c r="P137" s="31">
        <v>0.44466403162055335</v>
      </c>
    </row>
    <row r="138" spans="1:16" x14ac:dyDescent="0.4">
      <c r="A138" s="33">
        <v>135</v>
      </c>
      <c r="B138" s="30">
        <v>4.6185277824406512E-14</v>
      </c>
      <c r="C138" s="30">
        <v>1.1403772302322596E-16</v>
      </c>
      <c r="D138" s="35">
        <v>1.9975308641975309</v>
      </c>
      <c r="E138" s="31">
        <v>0.33580246913580247</v>
      </c>
      <c r="F138" s="31">
        <v>0.33333333333333331</v>
      </c>
      <c r="G138" s="31">
        <v>0.29367816091954024</v>
      </c>
      <c r="H138" s="31">
        <v>0.1617816091954023</v>
      </c>
      <c r="I138" s="32">
        <v>8112.8180039138942</v>
      </c>
      <c r="J138" s="32">
        <v>-7639.7868561278865</v>
      </c>
      <c r="K138" s="31">
        <v>8.6419753086419748E-2</v>
      </c>
      <c r="L138" s="31">
        <v>0.2439655172413793</v>
      </c>
      <c r="M138" s="31">
        <v>0.22729885057471264</v>
      </c>
      <c r="N138" s="31">
        <v>0.52061248527679627</v>
      </c>
      <c r="O138" s="31">
        <v>0.40455120101137798</v>
      </c>
      <c r="P138" s="31">
        <v>0.44227005870841485</v>
      </c>
    </row>
    <row r="139" spans="1:16" x14ac:dyDescent="0.4">
      <c r="A139" s="33">
        <v>136</v>
      </c>
      <c r="B139" s="30">
        <v>4.9737991503207013E-14</v>
      </c>
      <c r="C139" s="30">
        <v>1.2190684191962504E-16</v>
      </c>
      <c r="D139" s="35">
        <v>1.9975490196078431</v>
      </c>
      <c r="E139" s="31">
        <v>0.33578431372549017</v>
      </c>
      <c r="F139" s="31">
        <v>0.33333333333333331</v>
      </c>
      <c r="G139" s="31">
        <v>0.29337899543378998</v>
      </c>
      <c r="H139" s="31">
        <v>0.16210045662100456</v>
      </c>
      <c r="I139" s="32">
        <v>8113.035019455253</v>
      </c>
      <c r="J139" s="32">
        <v>-7637.5</v>
      </c>
      <c r="K139" s="31">
        <v>8.5784313725490197E-2</v>
      </c>
      <c r="L139" s="31">
        <v>0.24286529680365296</v>
      </c>
      <c r="M139" s="31">
        <v>0.22688356164383561</v>
      </c>
      <c r="N139" s="31">
        <v>0.52173913043478259</v>
      </c>
      <c r="O139" s="31">
        <v>0.40503144654088052</v>
      </c>
      <c r="P139" s="31">
        <v>0.44066147859922178</v>
      </c>
    </row>
    <row r="140" spans="1:16" x14ac:dyDescent="0.4">
      <c r="A140" s="33">
        <v>137</v>
      </c>
      <c r="B140" s="30">
        <v>4.9737991503207013E-14</v>
      </c>
      <c r="C140" s="30">
        <v>1.2101701095670806E-16</v>
      </c>
      <c r="D140" s="35">
        <v>1.997566909975669</v>
      </c>
      <c r="E140" s="31">
        <v>0.33576642335766421</v>
      </c>
      <c r="F140" s="31">
        <v>0.33333333333333331</v>
      </c>
      <c r="G140" s="31">
        <v>0.29353655094552639</v>
      </c>
      <c r="H140" s="31">
        <v>0.16285633643804684</v>
      </c>
      <c r="I140" s="32">
        <v>8121.3461538461543</v>
      </c>
      <c r="J140" s="32">
        <v>-7669.1507798960138</v>
      </c>
      <c r="K140" s="31">
        <v>8.5158150851581502E-2</v>
      </c>
      <c r="L140" s="31">
        <v>0.24273214789726222</v>
      </c>
      <c r="M140" s="31">
        <v>0.22777307366638441</v>
      </c>
      <c r="N140" s="31">
        <v>0.52441860465116275</v>
      </c>
      <c r="O140" s="31">
        <v>0.40272614622057001</v>
      </c>
      <c r="P140" s="31">
        <v>0.43846153846153846</v>
      </c>
    </row>
    <row r="141" spans="1:16" x14ac:dyDescent="0.4">
      <c r="A141" s="33">
        <v>138</v>
      </c>
      <c r="B141" s="30">
        <v>5.6843418860808015E-14</v>
      </c>
      <c r="C141" s="30">
        <v>1.3730294410823191E-16</v>
      </c>
      <c r="D141" s="35">
        <v>1.9975845410628019</v>
      </c>
      <c r="E141" s="31">
        <v>0.33574879227053139</v>
      </c>
      <c r="F141" s="31">
        <v>0.33333333333333331</v>
      </c>
      <c r="G141" s="31">
        <v>0.29367088607594938</v>
      </c>
      <c r="H141" s="31">
        <v>0.16258790436005627</v>
      </c>
      <c r="I141" s="32">
        <v>8141.954022988506</v>
      </c>
      <c r="J141" s="32">
        <v>-7676.6435986159167</v>
      </c>
      <c r="K141" s="31">
        <v>8.6956521739130432E-2</v>
      </c>
      <c r="L141" s="31">
        <v>0.24303797468354429</v>
      </c>
      <c r="M141" s="31">
        <v>0.22728551336146272</v>
      </c>
      <c r="N141" s="31">
        <v>0.52430555555555558</v>
      </c>
      <c r="O141" s="31">
        <v>0.40346534653465349</v>
      </c>
      <c r="P141" s="31">
        <v>0.43965517241379309</v>
      </c>
    </row>
    <row r="142" spans="1:16" x14ac:dyDescent="0.4">
      <c r="A142" s="33">
        <v>139</v>
      </c>
      <c r="B142" s="30">
        <v>6.3948846218409017E-14</v>
      </c>
      <c r="C142" s="30">
        <v>1.5335454728635257E-16</v>
      </c>
      <c r="D142" s="35">
        <v>1.9976019184652278</v>
      </c>
      <c r="E142" s="31">
        <v>0.33573141486810554</v>
      </c>
      <c r="F142" s="31">
        <v>0.33333333333333331</v>
      </c>
      <c r="G142" s="31">
        <v>0.29390380313199105</v>
      </c>
      <c r="H142" s="31">
        <v>0.16275167785234898</v>
      </c>
      <c r="I142" s="32">
        <v>8135.3948620361562</v>
      </c>
      <c r="J142" s="32">
        <v>-7677.6632302405496</v>
      </c>
      <c r="K142" s="31">
        <v>8.6330935251798566E-2</v>
      </c>
      <c r="L142" s="31">
        <v>0.2430089485458613</v>
      </c>
      <c r="M142" s="31">
        <v>0.22678970917225952</v>
      </c>
      <c r="N142" s="31">
        <v>0.52243958573072502</v>
      </c>
      <c r="O142" s="31">
        <v>0.40567200986436497</v>
      </c>
      <c r="P142" s="31">
        <v>0.43958135109419599</v>
      </c>
    </row>
    <row r="143" spans="1:16" x14ac:dyDescent="0.4">
      <c r="A143" s="33">
        <v>140</v>
      </c>
      <c r="B143" s="30">
        <v>6.3948846218409017E-14</v>
      </c>
      <c r="C143" s="30">
        <v>1.5225915766287861E-16</v>
      </c>
      <c r="D143" s="35">
        <v>1.9976190476190476</v>
      </c>
      <c r="E143" s="31">
        <v>0.33571428571428569</v>
      </c>
      <c r="F143" s="31">
        <v>0.33333333333333331</v>
      </c>
      <c r="G143" s="31">
        <v>0.29395452024403773</v>
      </c>
      <c r="H143" s="31">
        <v>0.16278424847476428</v>
      </c>
      <c r="I143" s="32">
        <v>8138.7735849056608</v>
      </c>
      <c r="J143" s="32">
        <v>-7675.1277683134585</v>
      </c>
      <c r="K143" s="31">
        <v>8.8095238095238101E-2</v>
      </c>
      <c r="L143" s="31">
        <v>0.24431503050471437</v>
      </c>
      <c r="M143" s="31">
        <v>0.22628951747088186</v>
      </c>
      <c r="N143" s="31">
        <v>0.52099886492622016</v>
      </c>
      <c r="O143" s="31">
        <v>0.40563725490196079</v>
      </c>
      <c r="P143" s="31">
        <v>0.43962264150943398</v>
      </c>
    </row>
    <row r="144" spans="1:16" x14ac:dyDescent="0.4">
      <c r="A144" s="33">
        <v>141</v>
      </c>
      <c r="B144" s="30">
        <v>6.3948846218409017E-14</v>
      </c>
      <c r="C144" s="30">
        <v>1.5117930548087238E-16</v>
      </c>
      <c r="D144" s="35">
        <v>1.9976359338061467</v>
      </c>
      <c r="E144" s="31">
        <v>0.33569739952718675</v>
      </c>
      <c r="F144" s="31">
        <v>0.33333333333333331</v>
      </c>
      <c r="G144" s="31">
        <v>0.29385964912280704</v>
      </c>
      <c r="H144" s="31">
        <v>0.16228070175438597</v>
      </c>
      <c r="I144" s="32">
        <v>8150.9328358208959</v>
      </c>
      <c r="J144" s="32">
        <v>-7670.6081081081084</v>
      </c>
      <c r="K144" s="31">
        <v>8.7470449172576833E-2</v>
      </c>
      <c r="L144" s="31">
        <v>0.24561403508771928</v>
      </c>
      <c r="M144" s="31">
        <v>0.22532894736842105</v>
      </c>
      <c r="N144" s="31">
        <v>0.5223214285714286</v>
      </c>
      <c r="O144" s="31">
        <v>0.4051094890510949</v>
      </c>
      <c r="P144" s="31">
        <v>0.4412313432835821</v>
      </c>
    </row>
    <row r="145" spans="1:16" x14ac:dyDescent="0.4">
      <c r="A145" s="33">
        <v>142</v>
      </c>
      <c r="B145" s="30">
        <v>4.9737991503207013E-14</v>
      </c>
      <c r="C145" s="30">
        <v>1.167558485990775E-16</v>
      </c>
      <c r="D145" s="35">
        <v>1.9976525821596245</v>
      </c>
      <c r="E145" s="31">
        <v>0.33568075117370894</v>
      </c>
      <c r="F145" s="31">
        <v>0.33333333333333331</v>
      </c>
      <c r="G145" s="31">
        <v>0.29405346426623025</v>
      </c>
      <c r="H145" s="31">
        <v>0.16257501363884341</v>
      </c>
      <c r="I145" s="32">
        <v>8158.9981447124301</v>
      </c>
      <c r="J145" s="32">
        <v>-7682.2147651006708</v>
      </c>
      <c r="K145" s="31">
        <v>8.9201877934272297E-2</v>
      </c>
      <c r="L145" s="31">
        <v>0.24577195853791597</v>
      </c>
      <c r="M145" s="31">
        <v>0.22585924713584288</v>
      </c>
      <c r="N145" s="31">
        <v>0.52275249722530526</v>
      </c>
      <c r="O145" s="31">
        <v>0.40579710144927539</v>
      </c>
      <c r="P145" s="31">
        <v>0.44063079777365494</v>
      </c>
    </row>
    <row r="146" spans="1:16" x14ac:dyDescent="0.4">
      <c r="A146" s="33">
        <v>143</v>
      </c>
      <c r="B146" s="30">
        <v>4.9737991503207013E-14</v>
      </c>
      <c r="C146" s="30">
        <v>1.1593937413334967E-16</v>
      </c>
      <c r="D146" s="35">
        <v>1.9976689976689976</v>
      </c>
      <c r="E146" s="31">
        <v>0.33566433566433568</v>
      </c>
      <c r="F146" s="31">
        <v>0.33333333333333331</v>
      </c>
      <c r="G146" s="31">
        <v>0.2939739413680782</v>
      </c>
      <c r="H146" s="31">
        <v>0.16259500542888164</v>
      </c>
      <c r="I146" s="32">
        <v>8151.9852262234535</v>
      </c>
      <c r="J146" s="32">
        <v>-7683.8063439065108</v>
      </c>
      <c r="K146" s="31">
        <v>8.8578088578088576E-2</v>
      </c>
      <c r="L146" s="31">
        <v>0.24619978284473398</v>
      </c>
      <c r="M146" s="31">
        <v>0.22529858849077089</v>
      </c>
      <c r="N146" s="31">
        <v>0.52260198456449836</v>
      </c>
      <c r="O146" s="31">
        <v>0.40481927710843374</v>
      </c>
      <c r="P146" s="31">
        <v>0.44044321329639891</v>
      </c>
    </row>
    <row r="147" spans="1:16" x14ac:dyDescent="0.4">
      <c r="A147" s="33">
        <v>144</v>
      </c>
      <c r="B147" s="30">
        <v>4.7961634663806763E-14</v>
      </c>
      <c r="C147" s="30">
        <v>1.1102230246251565E-16</v>
      </c>
      <c r="D147" s="35">
        <v>1.9976851851851851</v>
      </c>
      <c r="E147" s="31">
        <v>0.33564814814814814</v>
      </c>
      <c r="F147" s="31">
        <v>0.33333333333333331</v>
      </c>
      <c r="G147" s="31">
        <v>0.29399083804904336</v>
      </c>
      <c r="H147" s="31">
        <v>0.16302883319859876</v>
      </c>
      <c r="I147" s="32">
        <v>8140.0549954170483</v>
      </c>
      <c r="J147" s="32">
        <v>-7677.6859504132235</v>
      </c>
      <c r="K147" s="31">
        <v>8.7962962962962965E-2</v>
      </c>
      <c r="L147" s="31">
        <v>0.24656426839126919</v>
      </c>
      <c r="M147" s="31">
        <v>0.2255456750202102</v>
      </c>
      <c r="N147" s="31">
        <v>0.52240437158469943</v>
      </c>
      <c r="O147" s="31">
        <v>0.4050179211469534</v>
      </c>
      <c r="P147" s="31">
        <v>0.43904674610449129</v>
      </c>
    </row>
    <row r="148" spans="1:16" x14ac:dyDescent="0.4">
      <c r="A148" s="33">
        <v>145</v>
      </c>
      <c r="B148" s="30">
        <v>5.3290705182007514E-14</v>
      </c>
      <c r="C148" s="30">
        <v>1.2250736823450003E-16</v>
      </c>
      <c r="D148" s="35">
        <v>1.9977011494252874</v>
      </c>
      <c r="E148" s="31">
        <v>0.335632183908046</v>
      </c>
      <c r="F148" s="31">
        <v>0.33333333333333331</v>
      </c>
      <c r="G148" s="31">
        <v>0.29344042838018741</v>
      </c>
      <c r="H148" s="31">
        <v>0.16251673360107094</v>
      </c>
      <c r="I148" s="32">
        <v>8162.7737226277368</v>
      </c>
      <c r="J148" s="32">
        <v>-7685.3377265238878</v>
      </c>
      <c r="K148" s="31">
        <v>8.9655172413793102E-2</v>
      </c>
      <c r="L148" s="31">
        <v>0.24712182061579652</v>
      </c>
      <c r="M148" s="31">
        <v>0.22436412315930387</v>
      </c>
      <c r="N148" s="31">
        <v>0.52112676056338025</v>
      </c>
      <c r="O148" s="31">
        <v>0.40453460620525061</v>
      </c>
      <c r="P148" s="31">
        <v>0.43978102189781021</v>
      </c>
    </row>
    <row r="149" spans="1:16" x14ac:dyDescent="0.4">
      <c r="A149" s="33">
        <v>146</v>
      </c>
      <c r="B149" s="30">
        <v>5.5067062021407764E-14</v>
      </c>
      <c r="C149" s="30">
        <v>1.2572388589362503E-16</v>
      </c>
      <c r="D149" s="35">
        <v>1.9977168949771689</v>
      </c>
      <c r="E149" s="31">
        <v>0.33561643835616439</v>
      </c>
      <c r="F149" s="31">
        <v>0.33333333333333331</v>
      </c>
      <c r="G149" s="31">
        <v>0.29322709163346611</v>
      </c>
      <c r="H149" s="31">
        <v>0.16228419654714477</v>
      </c>
      <c r="I149" s="32">
        <v>8172.916666666667</v>
      </c>
      <c r="J149" s="32">
        <v>-7684.9427168576103</v>
      </c>
      <c r="K149" s="31">
        <v>8.9041095890410954E-2</v>
      </c>
      <c r="L149" s="31">
        <v>0.24674634794156705</v>
      </c>
      <c r="M149" s="31">
        <v>0.22470119521912352</v>
      </c>
      <c r="N149" s="31">
        <v>0.5209903121636168</v>
      </c>
      <c r="O149" s="31">
        <v>0.40307328605200948</v>
      </c>
      <c r="P149" s="31">
        <v>0.44021739130434784</v>
      </c>
    </row>
    <row r="150" spans="1:16" x14ac:dyDescent="0.4">
      <c r="A150" s="33">
        <v>147</v>
      </c>
      <c r="B150" s="30">
        <v>4.9737991503207013E-14</v>
      </c>
      <c r="C150" s="30">
        <v>1.1278456123176193E-16</v>
      </c>
      <c r="D150" s="35">
        <v>1.9977324263038549</v>
      </c>
      <c r="E150" s="31">
        <v>0.33560090702947848</v>
      </c>
      <c r="F150" s="31">
        <v>0.33333333333333331</v>
      </c>
      <c r="G150" s="31">
        <v>0.29341792228390168</v>
      </c>
      <c r="H150" s="31">
        <v>0.16283372984403913</v>
      </c>
      <c r="I150" s="32">
        <v>8176.666666666667</v>
      </c>
      <c r="J150" s="32">
        <v>-7695.9415584415583</v>
      </c>
      <c r="K150" s="31">
        <v>8.8435374149659865E-2</v>
      </c>
      <c r="L150" s="31">
        <v>0.24662965900079303</v>
      </c>
      <c r="M150" s="31">
        <v>0.22495374041765795</v>
      </c>
      <c r="N150" s="31">
        <v>0.52197213290460875</v>
      </c>
      <c r="O150" s="31">
        <v>0.40305522914218567</v>
      </c>
      <c r="P150" s="31">
        <v>0.43873873873873875</v>
      </c>
    </row>
    <row r="151" spans="1:16" x14ac:dyDescent="0.4">
      <c r="A151" s="33">
        <v>148</v>
      </c>
      <c r="B151" s="30">
        <v>4.9737991503207013E-14</v>
      </c>
      <c r="C151" s="30">
        <v>1.1202250338560137E-16</v>
      </c>
      <c r="D151" s="35">
        <v>1.9977477477477477</v>
      </c>
      <c r="E151" s="31">
        <v>0.3355855855855856</v>
      </c>
      <c r="F151" s="31">
        <v>0.33333333333333331</v>
      </c>
      <c r="G151" s="31">
        <v>0.29350104821802936</v>
      </c>
      <c r="H151" s="31">
        <v>0.16299790356394131</v>
      </c>
      <c r="I151" s="32">
        <v>8172.5</v>
      </c>
      <c r="J151" s="32">
        <v>-7670.5787781350482</v>
      </c>
      <c r="K151" s="31">
        <v>9.0090090090090086E-2</v>
      </c>
      <c r="L151" s="31">
        <v>0.24685534591194969</v>
      </c>
      <c r="M151" s="31">
        <v>0.22484276729559749</v>
      </c>
      <c r="N151" s="31">
        <v>0.52016985138004246</v>
      </c>
      <c r="O151" s="31">
        <v>0.40675990675990675</v>
      </c>
      <c r="P151" s="31">
        <v>0.43839285714285714</v>
      </c>
    </row>
    <row r="152" spans="1:16" x14ac:dyDescent="0.4">
      <c r="A152" s="33">
        <v>149</v>
      </c>
      <c r="B152" s="30">
        <v>4.9737991503207013E-14</v>
      </c>
      <c r="C152" s="30">
        <v>1.1127067450381882E-16</v>
      </c>
      <c r="D152" s="35">
        <v>1.9977628635346756</v>
      </c>
      <c r="E152" s="31">
        <v>0.33557046979865773</v>
      </c>
      <c r="F152" s="31">
        <v>0.33333333333333331</v>
      </c>
      <c r="G152" s="31">
        <v>0.29342723004694837</v>
      </c>
      <c r="H152" s="31">
        <v>0.16327595200834638</v>
      </c>
      <c r="I152" s="32">
        <v>8166.3111111111111</v>
      </c>
      <c r="J152" s="32">
        <v>-7656.5495207667727</v>
      </c>
      <c r="K152" s="31">
        <v>8.9485458612975396E-2</v>
      </c>
      <c r="L152" s="31">
        <v>0.24621804903495045</v>
      </c>
      <c r="M152" s="31">
        <v>0.22535211267605634</v>
      </c>
      <c r="N152" s="31">
        <v>0.5201271186440678</v>
      </c>
      <c r="O152" s="31">
        <v>0.40856481481481483</v>
      </c>
      <c r="P152" s="31">
        <v>0.43733333333333335</v>
      </c>
    </row>
    <row r="153" spans="1:16" x14ac:dyDescent="0.4">
      <c r="A153" s="33">
        <v>150</v>
      </c>
      <c r="B153" s="30">
        <v>4.6185277824406512E-14</v>
      </c>
      <c r="C153" s="30">
        <v>1.0263395072090336E-16</v>
      </c>
      <c r="D153" s="35">
        <v>1.9977777777777779</v>
      </c>
      <c r="E153" s="31">
        <v>0.33555555555555555</v>
      </c>
      <c r="F153" s="31">
        <v>0.33333333333333331</v>
      </c>
      <c r="G153" s="31">
        <v>0.29314786192684184</v>
      </c>
      <c r="H153" s="31">
        <v>0.16357547655847501</v>
      </c>
      <c r="I153" s="32">
        <v>8163.4446397188049</v>
      </c>
      <c r="J153" s="32">
        <v>-7676.6929133858266</v>
      </c>
      <c r="K153" s="31">
        <v>8.8888888888888892E-2</v>
      </c>
      <c r="L153" s="31">
        <v>0.24574961360123648</v>
      </c>
      <c r="M153" s="31">
        <v>0.223338485316847</v>
      </c>
      <c r="N153" s="31">
        <v>0.5220125786163522</v>
      </c>
      <c r="O153" s="31">
        <v>0.40830449826989618</v>
      </c>
      <c r="P153" s="31">
        <v>0.43585237258347981</v>
      </c>
    </row>
    <row r="154" spans="1:16" x14ac:dyDescent="0.4">
      <c r="A154" s="33">
        <v>151</v>
      </c>
      <c r="B154" s="30">
        <v>4.9737991503207013E-14</v>
      </c>
      <c r="C154" s="30">
        <v>1.0979689073555633E-16</v>
      </c>
      <c r="D154" s="35">
        <v>1.9977924944812362</v>
      </c>
      <c r="E154" s="31">
        <v>0.33554083885209712</v>
      </c>
      <c r="F154" s="31">
        <v>0.33333333333333331</v>
      </c>
      <c r="G154" s="31">
        <v>0.29310786574429926</v>
      </c>
      <c r="H154" s="31">
        <v>0.16397642838841917</v>
      </c>
      <c r="I154" s="32">
        <v>8159.7902097902097</v>
      </c>
      <c r="J154" s="32">
        <v>-7674.6875</v>
      </c>
      <c r="K154" s="31">
        <v>8.8300220750551883E-2</v>
      </c>
      <c r="L154" s="31">
        <v>0.24596464258262873</v>
      </c>
      <c r="M154" s="31">
        <v>0.22367409684857803</v>
      </c>
      <c r="N154" s="31">
        <v>0.5229166666666667</v>
      </c>
      <c r="O154" s="31">
        <v>0.40778923253150057</v>
      </c>
      <c r="P154" s="31">
        <v>0.43444055944055943</v>
      </c>
    </row>
    <row r="155" spans="1:16" x14ac:dyDescent="0.4">
      <c r="A155" s="33">
        <v>152</v>
      </c>
      <c r="B155" s="30">
        <v>4.9737991503207013E-14</v>
      </c>
      <c r="C155" s="30">
        <v>1.0907454277019081E-16</v>
      </c>
      <c r="D155" s="35">
        <v>1.9978070175438596</v>
      </c>
      <c r="E155" s="31">
        <v>0.33552631578947367</v>
      </c>
      <c r="F155" s="31">
        <v>0.33333333333333331</v>
      </c>
      <c r="G155" s="31">
        <v>0.29309905780494017</v>
      </c>
      <c r="H155" s="31">
        <v>0.16322892793481028</v>
      </c>
      <c r="I155" s="32">
        <v>8158.7315377932237</v>
      </c>
      <c r="J155" s="32">
        <v>-7668.7987519500784</v>
      </c>
      <c r="K155" s="31">
        <v>8.771929824561403E-2</v>
      </c>
      <c r="L155" s="31">
        <v>0.24573465749936338</v>
      </c>
      <c r="M155" s="31">
        <v>0.22383498854087089</v>
      </c>
      <c r="N155" s="31">
        <v>0.52227979274611402</v>
      </c>
      <c r="O155" s="31">
        <v>0.40955631399317405</v>
      </c>
      <c r="P155" s="31">
        <v>0.43701129452649867</v>
      </c>
    </row>
    <row r="156" spans="1:16" x14ac:dyDescent="0.4">
      <c r="A156" s="33">
        <v>153</v>
      </c>
      <c r="B156" s="30">
        <v>4.7961634663806763E-14</v>
      </c>
      <c r="C156" s="30">
        <v>1.0449157878825003E-16</v>
      </c>
      <c r="D156" s="35">
        <v>1.9978213507625273</v>
      </c>
      <c r="E156" s="31">
        <v>0.33551198257080611</v>
      </c>
      <c r="F156" s="31">
        <v>0.33333333333333331</v>
      </c>
      <c r="G156" s="31">
        <v>0.29305977710233028</v>
      </c>
      <c r="H156" s="31">
        <v>0.16362715298885511</v>
      </c>
      <c r="I156" s="32">
        <v>8153.1547104580814</v>
      </c>
      <c r="J156" s="32">
        <v>-7647.3684210526317</v>
      </c>
      <c r="K156" s="31">
        <v>8.9324618736383449E-2</v>
      </c>
      <c r="L156" s="31">
        <v>0.24544072948328269</v>
      </c>
      <c r="M156" s="31">
        <v>0.22315096251266464</v>
      </c>
      <c r="N156" s="31">
        <v>0.5242518059855521</v>
      </c>
      <c r="O156" s="31">
        <v>0.41089670828603858</v>
      </c>
      <c r="P156" s="31">
        <v>0.43560933448573896</v>
      </c>
    </row>
    <row r="157" spans="1:16" x14ac:dyDescent="0.4">
      <c r="A157" s="33">
        <v>154</v>
      </c>
      <c r="B157" s="30">
        <v>4.2632564145606011E-14</v>
      </c>
      <c r="C157" s="30">
        <v>9.2278277371441589E-17</v>
      </c>
      <c r="D157" s="35">
        <v>1.9978354978354977</v>
      </c>
      <c r="E157" s="31">
        <v>0.33549783549783552</v>
      </c>
      <c r="F157" s="31">
        <v>0.33333333333333331</v>
      </c>
      <c r="G157" s="31">
        <v>0.29305135951661632</v>
      </c>
      <c r="H157" s="31">
        <v>0.16364551863041288</v>
      </c>
      <c r="I157" s="32">
        <v>8155.7560137457049</v>
      </c>
      <c r="J157" s="32">
        <v>-7662</v>
      </c>
      <c r="K157" s="31">
        <v>8.8744588744588751E-2</v>
      </c>
      <c r="L157" s="31">
        <v>0.24546827794561935</v>
      </c>
      <c r="M157" s="31">
        <v>0.2230614300100705</v>
      </c>
      <c r="N157" s="31">
        <v>0.52512820512820513</v>
      </c>
      <c r="O157" s="31">
        <v>0.40970654627539504</v>
      </c>
      <c r="P157" s="31">
        <v>0.43556701030927836</v>
      </c>
    </row>
    <row r="158" spans="1:16" x14ac:dyDescent="0.4">
      <c r="A158" s="33">
        <v>155</v>
      </c>
      <c r="B158" s="30">
        <v>4.6185277824406512E-14</v>
      </c>
      <c r="C158" s="30">
        <v>9.9323178117003255E-17</v>
      </c>
      <c r="D158" s="35">
        <v>1.9978494623655914</v>
      </c>
      <c r="E158" s="31">
        <v>0.33548387096774196</v>
      </c>
      <c r="F158" s="31">
        <v>0.33333333333333331</v>
      </c>
      <c r="G158" s="31">
        <v>0.29335332333833081</v>
      </c>
      <c r="H158" s="31">
        <v>0.16291854072963519</v>
      </c>
      <c r="I158" s="32">
        <v>8161.3287904599656</v>
      </c>
      <c r="J158" s="32">
        <v>-7652.3006134969328</v>
      </c>
      <c r="K158" s="31">
        <v>8.8172043010752682E-2</v>
      </c>
      <c r="L158" s="31">
        <v>0.24587706146926536</v>
      </c>
      <c r="M158" s="31">
        <v>0.22288855572213892</v>
      </c>
      <c r="N158" s="31">
        <v>0.52540650406504064</v>
      </c>
      <c r="O158" s="31">
        <v>0.4103139013452915</v>
      </c>
      <c r="P158" s="31">
        <v>0.43867120954003408</v>
      </c>
    </row>
    <row r="159" spans="1:16" x14ac:dyDescent="0.4">
      <c r="A159" s="33">
        <v>156</v>
      </c>
      <c r="B159" s="30">
        <v>4.9737991503207013E-14</v>
      </c>
      <c r="C159" s="30">
        <v>1.0627775962223721E-16</v>
      </c>
      <c r="D159" s="35">
        <v>1.9978632478632479</v>
      </c>
      <c r="E159" s="31">
        <v>0.33547008547008544</v>
      </c>
      <c r="F159" s="31">
        <v>0.33333333333333331</v>
      </c>
      <c r="G159" s="31">
        <v>0.29362124596674111</v>
      </c>
      <c r="H159" s="31">
        <v>0.16306775874906926</v>
      </c>
      <c r="I159" s="32">
        <v>8170.3296703296701</v>
      </c>
      <c r="J159" s="32">
        <v>-7660.426179604262</v>
      </c>
      <c r="K159" s="31">
        <v>8.7606837606837601E-2</v>
      </c>
      <c r="L159" s="31">
        <v>0.24621494167287167</v>
      </c>
      <c r="M159" s="31">
        <v>0.22238768925291635</v>
      </c>
      <c r="N159" s="31">
        <v>0.52822580645161288</v>
      </c>
      <c r="O159" s="31">
        <v>0.4095982142857143</v>
      </c>
      <c r="P159" s="31">
        <v>0.43871513102282333</v>
      </c>
    </row>
    <row r="160" spans="1:16" x14ac:dyDescent="0.4">
      <c r="A160" s="33">
        <v>157</v>
      </c>
      <c r="B160" s="30">
        <v>4.7961634663806763E-14</v>
      </c>
      <c r="C160" s="30">
        <v>1.0182937295925003E-16</v>
      </c>
      <c r="D160" s="35">
        <v>1.9978768577494692</v>
      </c>
      <c r="E160" s="31">
        <v>0.3354564755838641</v>
      </c>
      <c r="F160" s="31">
        <v>0.33333333333333331</v>
      </c>
      <c r="G160" s="31">
        <v>0.29358024691358026</v>
      </c>
      <c r="H160" s="31">
        <v>0.16345679012345679</v>
      </c>
      <c r="I160" s="32">
        <v>8190.9167367535747</v>
      </c>
      <c r="J160" s="32">
        <v>-7713.5951661631416</v>
      </c>
      <c r="K160" s="31">
        <v>8.9171974522292988E-2</v>
      </c>
      <c r="L160" s="31">
        <v>0.24567901234567902</v>
      </c>
      <c r="M160" s="31">
        <v>0.22222222222222221</v>
      </c>
      <c r="N160" s="31">
        <v>0.52763819095477382</v>
      </c>
      <c r="O160" s="31">
        <v>0.41111111111111109</v>
      </c>
      <c r="P160" s="31">
        <v>0.43650126156433977</v>
      </c>
    </row>
    <row r="161" spans="1:16" x14ac:dyDescent="0.4">
      <c r="A161" s="33">
        <v>158</v>
      </c>
      <c r="B161" s="30">
        <v>4.9737991503207013E-14</v>
      </c>
      <c r="C161" s="30">
        <v>1.0493247152575319E-16</v>
      </c>
      <c r="D161" s="35">
        <v>1.9978902953586497</v>
      </c>
      <c r="E161" s="31">
        <v>0.33544303797468356</v>
      </c>
      <c r="F161" s="31">
        <v>0.33333333333333331</v>
      </c>
      <c r="G161" s="31">
        <v>0.29375614552605706</v>
      </c>
      <c r="H161" s="31">
        <v>0.16347099311701083</v>
      </c>
      <c r="I161" s="32">
        <v>8195.4811715481173</v>
      </c>
      <c r="J161" s="32">
        <v>-7716.8421052631575</v>
      </c>
      <c r="K161" s="31">
        <v>8.8607594936708861E-2</v>
      </c>
      <c r="L161" s="31">
        <v>0.2460668633235005</v>
      </c>
      <c r="M161" s="31">
        <v>0.22222222222222221</v>
      </c>
      <c r="N161" s="31">
        <v>0.52847152847152845</v>
      </c>
      <c r="O161" s="31">
        <v>0.40929203539823011</v>
      </c>
      <c r="P161" s="31">
        <v>0.43682008368200836</v>
      </c>
    </row>
    <row r="162" spans="1:16" x14ac:dyDescent="0.4">
      <c r="A162" s="33">
        <v>159</v>
      </c>
      <c r="B162" s="30">
        <v>5.1070259132757201E-14</v>
      </c>
      <c r="C162" s="30">
        <v>1.070655327730759E-16</v>
      </c>
      <c r="D162" s="35">
        <v>1.9979035639412999</v>
      </c>
      <c r="E162" s="31">
        <v>0.33542976939203356</v>
      </c>
      <c r="F162" s="31">
        <v>0.33333333333333331</v>
      </c>
      <c r="G162" s="31">
        <v>0.2932551319648094</v>
      </c>
      <c r="H162" s="31">
        <v>0.16373411534701857</v>
      </c>
      <c r="I162" s="32">
        <v>8177.333333333333</v>
      </c>
      <c r="J162" s="32">
        <v>-7687.9104477611936</v>
      </c>
      <c r="K162" s="31">
        <v>8.8050314465408799E-2</v>
      </c>
      <c r="L162" s="31">
        <v>0.24657869012707723</v>
      </c>
      <c r="M162" s="31">
        <v>0.22262952101661779</v>
      </c>
      <c r="N162" s="31">
        <v>0.52626362735381571</v>
      </c>
      <c r="O162" s="31">
        <v>0.40724478594950603</v>
      </c>
      <c r="P162" s="31">
        <v>0.435</v>
      </c>
    </row>
    <row r="163" spans="1:16" x14ac:dyDescent="0.4">
      <c r="A163" s="33">
        <v>160</v>
      </c>
      <c r="B163" s="30">
        <v>4.2632564145606011E-14</v>
      </c>
      <c r="C163" s="30">
        <v>8.8817841970012528E-17</v>
      </c>
      <c r="D163" s="35">
        <v>1.9979166666666666</v>
      </c>
      <c r="E163" s="31">
        <v>0.33541666666666664</v>
      </c>
      <c r="F163" s="31">
        <v>0.33333333333333331</v>
      </c>
      <c r="G163" s="31">
        <v>0.29327506676377763</v>
      </c>
      <c r="H163" s="31">
        <v>0.16411750424860402</v>
      </c>
      <c r="I163" s="32">
        <v>8186.5894039735103</v>
      </c>
      <c r="J163" s="32">
        <v>-7706.3609467455617</v>
      </c>
      <c r="K163" s="31">
        <v>8.7499999999999994E-2</v>
      </c>
      <c r="L163" s="31">
        <v>0.24641903374605487</v>
      </c>
      <c r="M163" s="31">
        <v>0.22165574168487498</v>
      </c>
      <c r="N163" s="31">
        <v>0.52610837438423641</v>
      </c>
      <c r="O163" s="31">
        <v>0.40635268346111719</v>
      </c>
      <c r="P163" s="31">
        <v>0.43377483443708609</v>
      </c>
    </row>
    <row r="164" spans="1:16" x14ac:dyDescent="0.4">
      <c r="A164" s="33">
        <v>161</v>
      </c>
      <c r="B164" s="30">
        <v>3.9968028886505635E-14</v>
      </c>
      <c r="C164" s="30">
        <v>8.2749542208086198E-17</v>
      </c>
      <c r="D164" s="35">
        <v>1.9979296066252588</v>
      </c>
      <c r="E164" s="31">
        <v>0.33540372670807456</v>
      </c>
      <c r="F164" s="31">
        <v>0.33333333333333331</v>
      </c>
      <c r="G164" s="31">
        <v>0.29329474191992283</v>
      </c>
      <c r="H164" s="31">
        <v>0.16353111432706222</v>
      </c>
      <c r="I164" s="32">
        <v>8195.9703947368416</v>
      </c>
      <c r="J164" s="32">
        <v>-7708.9970501474927</v>
      </c>
      <c r="K164" s="31">
        <v>8.6956521739130432E-2</v>
      </c>
      <c r="L164" s="31">
        <v>0.24626145682585623</v>
      </c>
      <c r="M164" s="31">
        <v>0.22141823444283648</v>
      </c>
      <c r="N164" s="31">
        <v>0.52693437806072474</v>
      </c>
      <c r="O164" s="31">
        <v>0.40631808278867104</v>
      </c>
      <c r="P164" s="31">
        <v>0.43585526315789475</v>
      </c>
    </row>
    <row r="165" spans="1:16" x14ac:dyDescent="0.4">
      <c r="A165" s="33">
        <v>162</v>
      </c>
      <c r="B165" s="30">
        <v>4.2632564145606011E-14</v>
      </c>
      <c r="C165" s="30">
        <v>8.77213254024815E-17</v>
      </c>
      <c r="D165" s="35">
        <v>1.9979423868312758</v>
      </c>
      <c r="E165" s="31">
        <v>0.33539094650205764</v>
      </c>
      <c r="F165" s="31">
        <v>0.33333333333333331</v>
      </c>
      <c r="G165" s="31">
        <v>0.29355379822669542</v>
      </c>
      <c r="H165" s="31">
        <v>0.16415049125329498</v>
      </c>
      <c r="I165" s="32">
        <v>8175.9183673469388</v>
      </c>
      <c r="J165" s="32">
        <v>-7684.5255474452551</v>
      </c>
      <c r="K165" s="31">
        <v>8.6419753086419748E-2</v>
      </c>
      <c r="L165" s="31">
        <v>0.24610591900311526</v>
      </c>
      <c r="M165" s="31">
        <v>0.22094416486939852</v>
      </c>
      <c r="N165" s="31">
        <v>0.52677702044790653</v>
      </c>
      <c r="O165" s="31">
        <v>0.40672451193058567</v>
      </c>
      <c r="P165" s="31">
        <v>0.43428571428571427</v>
      </c>
    </row>
    <row r="166" spans="1:16" x14ac:dyDescent="0.4">
      <c r="A166" s="33">
        <v>163</v>
      </c>
      <c r="B166" s="30">
        <v>4.2632564145606011E-14</v>
      </c>
      <c r="C166" s="30">
        <v>8.7183157761975485E-17</v>
      </c>
      <c r="D166" s="35">
        <v>1.9979550102249488</v>
      </c>
      <c r="E166" s="31">
        <v>0.33537832310838445</v>
      </c>
      <c r="F166" s="31">
        <v>0.33333333333333331</v>
      </c>
      <c r="G166" s="31">
        <v>0.29357142857142859</v>
      </c>
      <c r="H166" s="31">
        <v>0.16428571428571428</v>
      </c>
      <c r="I166" s="32">
        <v>8187.1046228710466</v>
      </c>
      <c r="J166" s="32">
        <v>-7686.231884057971</v>
      </c>
      <c r="K166" s="31">
        <v>8.5889570552147243E-2</v>
      </c>
      <c r="L166" s="31">
        <v>0.24547619047619049</v>
      </c>
      <c r="M166" s="31">
        <v>0.22095238095238096</v>
      </c>
      <c r="N166" s="31">
        <v>0.52667313288069839</v>
      </c>
      <c r="O166" s="31">
        <v>0.40732758620689657</v>
      </c>
      <c r="P166" s="31">
        <v>0.43390105433901055</v>
      </c>
    </row>
    <row r="167" spans="1:16" x14ac:dyDescent="0.4">
      <c r="A167" s="33">
        <v>164</v>
      </c>
      <c r="B167" s="30">
        <v>4.2632564145606011E-14</v>
      </c>
      <c r="C167" s="30">
        <v>8.6651553141475635E-17</v>
      </c>
      <c r="D167" s="35">
        <v>1.9979674796747968</v>
      </c>
      <c r="E167" s="31">
        <v>0.33536585365853661</v>
      </c>
      <c r="F167" s="31">
        <v>0.33333333333333331</v>
      </c>
      <c r="G167" s="31">
        <v>0.29314420803782504</v>
      </c>
      <c r="H167" s="31">
        <v>0.16406619385342788</v>
      </c>
      <c r="I167" s="32">
        <v>8190.7258064516127</v>
      </c>
      <c r="J167" s="32">
        <v>-7679.682997118156</v>
      </c>
      <c r="K167" s="31">
        <v>8.5365853658536592E-2</v>
      </c>
      <c r="L167" s="31">
        <v>0.24609929078014184</v>
      </c>
      <c r="M167" s="31">
        <v>0.22056737588652484</v>
      </c>
      <c r="N167" s="31">
        <v>0.52641690682036502</v>
      </c>
      <c r="O167" s="31">
        <v>0.4062165058949625</v>
      </c>
      <c r="P167" s="31">
        <v>0.43387096774193551</v>
      </c>
    </row>
    <row r="168" spans="1:16" x14ac:dyDescent="0.4">
      <c r="A168" s="33">
        <v>165</v>
      </c>
      <c r="B168" s="30">
        <v>4.2632564145606011E-14</v>
      </c>
      <c r="C168" s="30">
        <v>8.6126392213345477E-17</v>
      </c>
      <c r="D168" s="35">
        <v>1.997979797979798</v>
      </c>
      <c r="E168" s="31">
        <v>0.33535353535353535</v>
      </c>
      <c r="F168" s="31">
        <v>0.33333333333333331</v>
      </c>
      <c r="G168" s="31">
        <v>0.29334274288402729</v>
      </c>
      <c r="H168" s="31">
        <v>0.16419665960950364</v>
      </c>
      <c r="I168" s="32">
        <v>8191.9005613472336</v>
      </c>
      <c r="J168" s="32">
        <v>-7672.2063037249281</v>
      </c>
      <c r="K168" s="31">
        <v>8.4848484848484854E-2</v>
      </c>
      <c r="L168" s="31">
        <v>0.24629498941425548</v>
      </c>
      <c r="M168" s="31">
        <v>0.22041872500588097</v>
      </c>
      <c r="N168" s="31">
        <v>0.52722063037249278</v>
      </c>
      <c r="O168" s="31">
        <v>0.4055496264674493</v>
      </c>
      <c r="P168" s="31">
        <v>0.43384121892542099</v>
      </c>
    </row>
    <row r="169" spans="1:16" x14ac:dyDescent="0.4">
      <c r="A169" s="33">
        <v>166</v>
      </c>
      <c r="B169" s="30">
        <v>4.2632564145606011E-14</v>
      </c>
      <c r="C169" s="30">
        <v>8.560755852531328E-17</v>
      </c>
      <c r="D169" s="35">
        <v>1.9979919678714859</v>
      </c>
      <c r="E169" s="31">
        <v>0.3353413654618474</v>
      </c>
      <c r="F169" s="31">
        <v>0.33333333333333331</v>
      </c>
      <c r="G169" s="31">
        <v>0.29333333333333333</v>
      </c>
      <c r="H169" s="31">
        <v>0.1639766081871345</v>
      </c>
      <c r="I169" s="32">
        <v>8208.3732057416273</v>
      </c>
      <c r="J169" s="32">
        <v>-7677.0328102710409</v>
      </c>
      <c r="K169" s="31">
        <v>8.4337349397590355E-2</v>
      </c>
      <c r="L169" s="31">
        <v>0.24725146198830408</v>
      </c>
      <c r="M169" s="31">
        <v>0.21964912280701754</v>
      </c>
      <c r="N169" s="31">
        <v>0.5288552507095553</v>
      </c>
      <c r="O169" s="31">
        <v>0.40468583599574015</v>
      </c>
      <c r="P169" s="31">
        <v>0.43460925039872406</v>
      </c>
    </row>
    <row r="170" spans="1:16" x14ac:dyDescent="0.4">
      <c r="A170" s="33">
        <v>167</v>
      </c>
      <c r="B170" s="30">
        <v>4.2632564145606011E-14</v>
      </c>
      <c r="C170" s="30">
        <v>8.5094938414383261E-17</v>
      </c>
      <c r="D170" s="35">
        <v>1.998003992015968</v>
      </c>
      <c r="E170" s="31">
        <v>0.33532934131736525</v>
      </c>
      <c r="F170" s="31">
        <v>0.33333333333333331</v>
      </c>
      <c r="G170" s="31">
        <v>0.29309141660851362</v>
      </c>
      <c r="H170" s="31">
        <v>0.1635264014887183</v>
      </c>
      <c r="I170" s="32">
        <v>8213.4920634920636</v>
      </c>
      <c r="J170" s="32">
        <v>-7677.8093883357042</v>
      </c>
      <c r="K170" s="31">
        <v>8.3832335329341312E-2</v>
      </c>
      <c r="L170" s="31">
        <v>0.24680158176320074</v>
      </c>
      <c r="M170" s="31">
        <v>0.22028378692719236</v>
      </c>
      <c r="N170" s="31">
        <v>0.52874646559849203</v>
      </c>
      <c r="O170" s="31">
        <v>0.40443505807814151</v>
      </c>
      <c r="P170" s="31">
        <v>0.43571428571428572</v>
      </c>
    </row>
    <row r="171" spans="1:16" x14ac:dyDescent="0.4">
      <c r="A171" s="33">
        <v>168</v>
      </c>
      <c r="B171" s="30">
        <v>4.6185277824406512E-14</v>
      </c>
      <c r="C171" s="30">
        <v>9.1637456000806567E-17</v>
      </c>
      <c r="D171" s="35">
        <v>1.998015873015873</v>
      </c>
      <c r="E171" s="31">
        <v>0.33531746031746029</v>
      </c>
      <c r="F171" s="31">
        <v>0.33333333333333331</v>
      </c>
      <c r="G171" s="31">
        <v>0.29331482766597272</v>
      </c>
      <c r="H171" s="31">
        <v>0.16354383529956049</v>
      </c>
      <c r="I171" s="32">
        <v>8238.8801261829649</v>
      </c>
      <c r="J171" s="32">
        <v>-7718.8118811881186</v>
      </c>
      <c r="K171" s="31">
        <v>8.3333333333333329E-2</v>
      </c>
      <c r="L171" s="31">
        <v>0.24728198010640759</v>
      </c>
      <c r="M171" s="31">
        <v>0.22068008327550312</v>
      </c>
      <c r="N171" s="31">
        <v>0.53040224508886813</v>
      </c>
      <c r="O171" s="31">
        <v>0.40251572327044027</v>
      </c>
      <c r="P171" s="31">
        <v>0.43611987381703471</v>
      </c>
    </row>
    <row r="172" spans="1:16" x14ac:dyDescent="0.4">
      <c r="A172" s="33">
        <v>169</v>
      </c>
      <c r="B172" s="30">
        <v>4.2632564145606011E-14</v>
      </c>
      <c r="C172" s="30">
        <v>8.4087897723088777E-17</v>
      </c>
      <c r="D172" s="35">
        <v>1.9980276134122288</v>
      </c>
      <c r="E172" s="31">
        <v>0.33530571992110453</v>
      </c>
      <c r="F172" s="31">
        <v>0.33333333333333331</v>
      </c>
      <c r="G172" s="31">
        <v>0.29348076480073715</v>
      </c>
      <c r="H172" s="31">
        <v>0.16378714581893572</v>
      </c>
      <c r="I172" s="32">
        <v>8285.8712715855581</v>
      </c>
      <c r="J172" s="32">
        <v>-7804.7819971870604</v>
      </c>
      <c r="K172" s="31">
        <v>8.4812623274161739E-2</v>
      </c>
      <c r="L172" s="31">
        <v>0.24717806956922367</v>
      </c>
      <c r="M172" s="31">
        <v>0.22045611610228058</v>
      </c>
      <c r="N172" s="31">
        <v>0.53122087604846224</v>
      </c>
      <c r="O172" s="31">
        <v>0.40125391849529779</v>
      </c>
      <c r="P172" s="31">
        <v>0.43563579277864994</v>
      </c>
    </row>
    <row r="173" spans="1:16" x14ac:dyDescent="0.4">
      <c r="A173" s="33">
        <v>170</v>
      </c>
      <c r="B173" s="30">
        <v>4.2632564145606011E-14</v>
      </c>
      <c r="C173" s="30">
        <v>8.3593263030600021E-17</v>
      </c>
      <c r="D173" s="35">
        <v>1.9980392156862745</v>
      </c>
      <c r="E173" s="31">
        <v>0.3352941176470588</v>
      </c>
      <c r="F173" s="31">
        <v>0.33333333333333331</v>
      </c>
      <c r="G173" s="31">
        <v>0.29369988545246278</v>
      </c>
      <c r="H173" s="31">
        <v>0.16380297823596793</v>
      </c>
      <c r="I173" s="32">
        <v>8303.432137285492</v>
      </c>
      <c r="J173" s="32">
        <v>-7829.6503496503492</v>
      </c>
      <c r="K173" s="31">
        <v>8.4313725490196084E-2</v>
      </c>
      <c r="L173" s="31">
        <v>0.24742268041237114</v>
      </c>
      <c r="M173" s="31">
        <v>0.22061855670103092</v>
      </c>
      <c r="N173" s="31">
        <v>0.53240740740740744</v>
      </c>
      <c r="O173" s="31">
        <v>0.40083073727933544</v>
      </c>
      <c r="P173" s="31">
        <v>0.43603744149765988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882</vt:i4>
      </vt:variant>
    </vt:vector>
  </HeadingPairs>
  <TitlesOfParts>
    <vt:vector size="92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やなぎ</vt:lpstr>
      <vt:lpstr>いっしー</vt:lpstr>
      <vt:lpstr>いっしー2</vt:lpstr>
      <vt:lpstr>やなぎ2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やなぎ!アガリ数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やなぎ!アガリ率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やなぎ!ダマアガリ数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やなぎ!ダマアガリ率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やなぎ!チョンボ数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やなぎ!チョンボ率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いっしー!ツモ数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やなぎ!ツモ数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いっしー!ツモ率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やなぎ!ツモ率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やなぎ!トップ数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やなぎ!トップ率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いっしー!バランス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やなぎ!バランス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やなぎ!ふっとび数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やなぎ!ふっとび率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いっしー!ラス数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やなぎ!ラス数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いっしー!ラス率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やなぎ!ラス率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やなぎ!リーチアガリ数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やなぎ!リーチアガリ率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やなぎ!リーチ数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やなぎ!リーチ成功数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やなぎ!リーチ成功率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やなぎ!リーチ率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いっしー!レーティング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やなぎ!レーティング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いっしー!ロン数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やなぎ!ロン数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いっしー!ロン率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やなぎ!ロン率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やなぎ!一位スコア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やなぎ!一位通算スコア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いっしー!一翻数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やなぎ!一翻数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いっしー!一翻率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やなぎ!一翻率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やなぎ!現行連続アガリ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やなぎ!現行連続無放銃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いっしー!最高点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やなぎ!最高点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やなぎ!最大ドラ数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やなぎ!最大点数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やなぎ!三位スコア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やなぎ!三位通算スコア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いっしー!総局数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やなぎ!総局数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いっしー!対戦数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やなぎ!対戦数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やなぎ!通算アガリ点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やなぎ!通算スコア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やなぎ!通算副露アガリ点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やなぎ!通算放銃点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やなぎ!通算門前アガリ点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やなぎ!二位スコア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いっしー!二位数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やなぎ!二位数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やなぎ!二位通算スコア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いっしー!二位率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やなぎ!二位率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やなぎ!副露アガリ数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やなぎ!副露アガリ点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やなぎ!副露アガリ率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いっしー!副露数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やなぎ!副露数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やなぎ!副露成功数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やなぎ!副露成功率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いっしー!副露率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やなぎ!副露率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やなぎ!平均アガリ点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やなぎ!平均スコア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やなぎ!平均順位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やなぎ!平均放銃点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いっしー!放銃数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やなぎ!放銃数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いっしー!放銃率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やなぎ!放銃率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いっしー!名前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やなぎ!名前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やなぎ!門前アガリ点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やなぎ!連続アガリ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やなぎ!連続無放銃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2021-02-06T09:35:54Z</dcterms:modified>
</cp:coreProperties>
</file>