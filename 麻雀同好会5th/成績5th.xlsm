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1C5D4BC8-0625-45D4-A9D3-02F693D600C9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26" r:id="rId6"/>
    <sheet name="だいち" sheetId="6828" r:id="rId7"/>
    <sheet name="れんたろう" sheetId="6830" r:id="rId8"/>
    <sheet name="たかの" sheetId="6832" r:id="rId9"/>
    <sheet name="まっつん" sheetId="6834" r:id="rId10"/>
    <sheet name="いちかわ" sheetId="6836" r:id="rId11"/>
    <sheet name="ただ" sheetId="6838" r:id="rId12"/>
    <sheet name="たか" sheetId="6840" r:id="rId13"/>
    <sheet name="のり" sheetId="6842" r:id="rId14"/>
    <sheet name="りくと" sheetId="6844" r:id="rId15"/>
    <sheet name="わさび" sheetId="6846" r:id="rId16"/>
    <sheet name="わさび2" sheetId="6847" state="hidden" r:id="rId17"/>
    <sheet name="りくと2" sheetId="6845" state="hidden" r:id="rId18"/>
    <sheet name="のり2" sheetId="6843" state="hidden" r:id="rId19"/>
    <sheet name="たか2" sheetId="6841" state="hidden" r:id="rId20"/>
    <sheet name="ただ2" sheetId="6839" state="hidden" r:id="rId21"/>
    <sheet name="いちかわ2" sheetId="6837" state="hidden" r:id="rId22"/>
    <sheet name="まっつん2" sheetId="6835" state="hidden" r:id="rId23"/>
    <sheet name="たかの2" sheetId="6833" state="hidden" r:id="rId24"/>
    <sheet name="れんたろう2" sheetId="6831" state="hidden" r:id="rId25"/>
    <sheet name="だいち2" sheetId="6829" state="hidden" r:id="rId26"/>
    <sheet name="全体2" sheetId="6827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32" l="1"/>
  <c r="P18" i="6834"/>
  <c r="P19" i="6838"/>
  <c r="P15" i="6834"/>
  <c r="P19" i="6840" l="1"/>
  <c r="P15" i="6832"/>
  <c r="P17" i="6844" l="1"/>
  <c r="P17" i="6828"/>
  <c r="P22" i="6836" l="1"/>
  <c r="P19" i="6832"/>
  <c r="P20" i="6838" l="1"/>
  <c r="P17" i="6838"/>
  <c r="P15" i="6844"/>
  <c r="P17" i="6846"/>
  <c r="P18" i="6836"/>
  <c r="P15" i="6836"/>
  <c r="P15" i="6846"/>
  <c r="P16" i="6846"/>
  <c r="C35" i="6846"/>
  <c r="B30" i="6846"/>
  <c r="C21" i="6846"/>
  <c r="B20" i="6846"/>
  <c r="H50" i="6846" s="1"/>
  <c r="B19" i="6846"/>
  <c r="B29" i="6846" s="1"/>
  <c r="C18" i="6846"/>
  <c r="B18" i="6846"/>
  <c r="C17" i="6846"/>
  <c r="C16" i="6846"/>
  <c r="C15" i="6846"/>
  <c r="B13" i="6846"/>
  <c r="P12" i="6846"/>
  <c r="B12" i="6846"/>
  <c r="P11" i="6846"/>
  <c r="B11" i="6846"/>
  <c r="P10" i="6846"/>
  <c r="C10" i="6846"/>
  <c r="C9" i="6846"/>
  <c r="C8" i="6846"/>
  <c r="P7" i="6846"/>
  <c r="B7" i="6846"/>
  <c r="P6" i="6846"/>
  <c r="P5" i="6846"/>
  <c r="B5" i="6846"/>
  <c r="P4" i="6846"/>
  <c r="P3" i="6846"/>
  <c r="P2" i="6846"/>
  <c r="P20" i="6826"/>
  <c r="P18" i="6844"/>
  <c r="P16" i="6844"/>
  <c r="C35" i="6844"/>
  <c r="B30" i="6844"/>
  <c r="C21" i="6844"/>
  <c r="B20" i="6844"/>
  <c r="H51" i="6844" s="1"/>
  <c r="B19" i="6844"/>
  <c r="B29" i="6844" s="1"/>
  <c r="B18" i="6844"/>
  <c r="C18" i="6844" s="1"/>
  <c r="C17" i="6844"/>
  <c r="C16" i="6844"/>
  <c r="C15" i="6844"/>
  <c r="B14" i="6844"/>
  <c r="B13" i="6844"/>
  <c r="P12" i="6844"/>
  <c r="B12" i="6844"/>
  <c r="P11" i="6844"/>
  <c r="B11" i="6844"/>
  <c r="P10" i="6844"/>
  <c r="C10" i="6844"/>
  <c r="C9" i="6844"/>
  <c r="C8" i="6844"/>
  <c r="P7" i="6844"/>
  <c r="B7" i="6844"/>
  <c r="P6" i="6844"/>
  <c r="P5" i="6844"/>
  <c r="B5" i="6844"/>
  <c r="P4" i="6844"/>
  <c r="P3" i="6844"/>
  <c r="P2" i="6844"/>
  <c r="P18" i="6826"/>
  <c r="C19" i="6844" l="1"/>
  <c r="B27" i="6844"/>
  <c r="C40" i="6844"/>
  <c r="H12" i="6844"/>
  <c r="H41" i="6844"/>
  <c r="H16" i="6844"/>
  <c r="B14" i="6846"/>
  <c r="C19" i="6846"/>
  <c r="C20" i="6846"/>
  <c r="H3" i="6846"/>
  <c r="H8" i="6846"/>
  <c r="H33" i="6846"/>
  <c r="C42" i="6846"/>
  <c r="C46" i="6846"/>
  <c r="H51" i="6846"/>
  <c r="H2" i="6846"/>
  <c r="H11" i="6846"/>
  <c r="H16" i="6846"/>
  <c r="H19" i="6846"/>
  <c r="C24" i="6846"/>
  <c r="B28" i="6846"/>
  <c r="H34" i="6846"/>
  <c r="H39" i="6846"/>
  <c r="H43" i="6846"/>
  <c r="H47" i="6846"/>
  <c r="H9" i="6846"/>
  <c r="H22" i="6846"/>
  <c r="H26" i="6846"/>
  <c r="H29" i="6846"/>
  <c r="H35" i="6846"/>
  <c r="C39" i="6846"/>
  <c r="C43" i="6846"/>
  <c r="C47" i="6846"/>
  <c r="H52" i="6846"/>
  <c r="H14" i="6846"/>
  <c r="H17" i="6846"/>
  <c r="C25" i="6846"/>
  <c r="H40" i="6846"/>
  <c r="H44" i="6846"/>
  <c r="H48" i="6846"/>
  <c r="H25" i="6846"/>
  <c r="C38" i="6846"/>
  <c r="H6" i="6846"/>
  <c r="H12" i="6846"/>
  <c r="H20" i="6846"/>
  <c r="H23" i="6846"/>
  <c r="H27" i="6846"/>
  <c r="H30" i="6846"/>
  <c r="H36" i="6846"/>
  <c r="C40" i="6846"/>
  <c r="C44" i="6846"/>
  <c r="C48" i="6846"/>
  <c r="H5" i="6846"/>
  <c r="H18" i="6846"/>
  <c r="C22" i="6846"/>
  <c r="C26" i="6846"/>
  <c r="H37" i="6846"/>
  <c r="H41" i="6846"/>
  <c r="H45" i="6846"/>
  <c r="H49" i="6846"/>
  <c r="H4" i="6846"/>
  <c r="H13" i="6846"/>
  <c r="H15" i="6846"/>
  <c r="H24" i="6846"/>
  <c r="H28" i="6846"/>
  <c r="H31" i="6846"/>
  <c r="C37" i="6846"/>
  <c r="C41" i="6846"/>
  <c r="C45" i="6846"/>
  <c r="C49" i="6846"/>
  <c r="H10" i="6846"/>
  <c r="H7" i="6846"/>
  <c r="H21" i="6846"/>
  <c r="C23" i="6846"/>
  <c r="B27" i="6846"/>
  <c r="H32" i="6846"/>
  <c r="H38" i="6846"/>
  <c r="H42" i="6846"/>
  <c r="H46" i="6846"/>
  <c r="H42" i="6844"/>
  <c r="H11" i="6844"/>
  <c r="H29" i="6844"/>
  <c r="H13" i="6844"/>
  <c r="H22" i="6844"/>
  <c r="C22" i="6844"/>
  <c r="H35" i="6844"/>
  <c r="H4" i="6844"/>
  <c r="C23" i="6844"/>
  <c r="H47" i="6844"/>
  <c r="B28" i="6844"/>
  <c r="H46" i="6844"/>
  <c r="H2" i="6844"/>
  <c r="H25" i="6844"/>
  <c r="H36" i="6844"/>
  <c r="C47" i="6844"/>
  <c r="H10" i="6844"/>
  <c r="H3" i="6844"/>
  <c r="H43" i="6844"/>
  <c r="H19" i="6844"/>
  <c r="H9" i="6844"/>
  <c r="H15" i="6844"/>
  <c r="C26" i="6844"/>
  <c r="H37" i="6844"/>
  <c r="H48" i="6844"/>
  <c r="H17" i="6844"/>
  <c r="H20" i="6844"/>
  <c r="C24" i="6844"/>
  <c r="H30" i="6844"/>
  <c r="H38" i="6844"/>
  <c r="C43" i="6844"/>
  <c r="H49" i="6844"/>
  <c r="H8" i="6844"/>
  <c r="H50" i="6844"/>
  <c r="H44" i="6844"/>
  <c r="H7" i="6844"/>
  <c r="H14" i="6844"/>
  <c r="H18" i="6844"/>
  <c r="C20" i="6844"/>
  <c r="C25" i="6844"/>
  <c r="H32" i="6844"/>
  <c r="C39" i="6844"/>
  <c r="C44" i="6844"/>
  <c r="H6" i="6844"/>
  <c r="H39" i="6844"/>
  <c r="H5" i="6844"/>
  <c r="H21" i="6844"/>
  <c r="H26" i="6844"/>
  <c r="H34" i="6844"/>
  <c r="H40" i="6844"/>
  <c r="H45" i="6844"/>
  <c r="H52" i="6844"/>
  <c r="C48" i="6844"/>
  <c r="H23" i="6844"/>
  <c r="H27" i="6844"/>
  <c r="H31" i="6844"/>
  <c r="C37" i="6844"/>
  <c r="C41" i="6844"/>
  <c r="C45" i="6844"/>
  <c r="C49" i="6844"/>
  <c r="H24" i="6844"/>
  <c r="H28" i="6844"/>
  <c r="H33" i="6844"/>
  <c r="C38" i="6844"/>
  <c r="C42" i="6844"/>
  <c r="C46" i="6844"/>
  <c r="P19" i="6830" l="1"/>
  <c r="P15" i="6838"/>
  <c r="P17" i="6836"/>
  <c r="P16" i="6838"/>
  <c r="P22" i="6838"/>
  <c r="P18" i="6840"/>
  <c r="P16" i="6836"/>
  <c r="P20" i="6840"/>
  <c r="P18" i="6830"/>
  <c r="P15" i="6830"/>
  <c r="P17" i="6842" l="1"/>
  <c r="P16" i="6840"/>
  <c r="P16" i="6828"/>
  <c r="P21" i="6828"/>
  <c r="P16" i="6842"/>
  <c r="P15" i="6842"/>
  <c r="C35" i="6842"/>
  <c r="B30" i="6842"/>
  <c r="C21" i="6842"/>
  <c r="B20" i="6842"/>
  <c r="H50" i="6842" s="1"/>
  <c r="B19" i="6842"/>
  <c r="B29" i="6842" s="1"/>
  <c r="B18" i="6842"/>
  <c r="C18" i="6842" s="1"/>
  <c r="C17" i="6842"/>
  <c r="C16" i="6842"/>
  <c r="C15" i="6842"/>
  <c r="B13" i="6842"/>
  <c r="P12" i="6842"/>
  <c r="B12" i="6842"/>
  <c r="P11" i="6842"/>
  <c r="B11" i="6842"/>
  <c r="P10" i="6842"/>
  <c r="C10" i="6842"/>
  <c r="C9" i="6842"/>
  <c r="C8" i="6842"/>
  <c r="P7" i="6842"/>
  <c r="B7" i="6842"/>
  <c r="P6" i="6842"/>
  <c r="P5" i="6842"/>
  <c r="B5" i="6842"/>
  <c r="P4" i="6842"/>
  <c r="P3" i="6842"/>
  <c r="P2" i="6842"/>
  <c r="P17" i="6840"/>
  <c r="P15" i="6840"/>
  <c r="C35" i="6840"/>
  <c r="B30" i="6840"/>
  <c r="C21" i="6840"/>
  <c r="B20" i="6840"/>
  <c r="H51" i="6840" s="1"/>
  <c r="B19" i="6840"/>
  <c r="B29" i="6840" s="1"/>
  <c r="B18" i="6840"/>
  <c r="C18" i="6840" s="1"/>
  <c r="C17" i="6840"/>
  <c r="C16" i="6840"/>
  <c r="C15" i="6840"/>
  <c r="B13" i="6840"/>
  <c r="P12" i="6840"/>
  <c r="B12" i="6840"/>
  <c r="P11" i="6840"/>
  <c r="B11" i="6840"/>
  <c r="P10" i="6840"/>
  <c r="C10" i="6840"/>
  <c r="C9" i="6840"/>
  <c r="C8" i="6840"/>
  <c r="P7" i="6840"/>
  <c r="B7" i="6840"/>
  <c r="P6" i="6840"/>
  <c r="P5" i="6840"/>
  <c r="B5" i="6840"/>
  <c r="P4" i="6840"/>
  <c r="P3" i="6840"/>
  <c r="P2" i="6840"/>
  <c r="P23" i="6836"/>
  <c r="P19" i="6836"/>
  <c r="P15" i="6826"/>
  <c r="P17" i="6826"/>
  <c r="B14" i="6840" l="1"/>
  <c r="B14" i="6842"/>
  <c r="H4" i="6840"/>
  <c r="C19" i="6842"/>
  <c r="C20" i="6842"/>
  <c r="H2" i="6842"/>
  <c r="H25" i="6842"/>
  <c r="H33" i="6842"/>
  <c r="C42" i="6842"/>
  <c r="C46" i="6842"/>
  <c r="H3" i="6842"/>
  <c r="H12" i="6842"/>
  <c r="H17" i="6842"/>
  <c r="H21" i="6842"/>
  <c r="C24" i="6842"/>
  <c r="B28" i="6842"/>
  <c r="H34" i="6842"/>
  <c r="H39" i="6842"/>
  <c r="H43" i="6842"/>
  <c r="H47" i="6842"/>
  <c r="H5" i="6842"/>
  <c r="H23" i="6842"/>
  <c r="H26" i="6842"/>
  <c r="H29" i="6842"/>
  <c r="H35" i="6842"/>
  <c r="C39" i="6842"/>
  <c r="C43" i="6842"/>
  <c r="C47" i="6842"/>
  <c r="H52" i="6842"/>
  <c r="H15" i="6842"/>
  <c r="H18" i="6842"/>
  <c r="C25" i="6842"/>
  <c r="H40" i="6842"/>
  <c r="H44" i="6842"/>
  <c r="H48" i="6842"/>
  <c r="H4" i="6842"/>
  <c r="C38" i="6842"/>
  <c r="H51" i="6842"/>
  <c r="H11" i="6842"/>
  <c r="H13" i="6842"/>
  <c r="H22" i="6842"/>
  <c r="H10" i="6842"/>
  <c r="H27" i="6842"/>
  <c r="H30" i="6842"/>
  <c r="H36" i="6842"/>
  <c r="C40" i="6842"/>
  <c r="C44" i="6842"/>
  <c r="C48" i="6842"/>
  <c r="H6" i="6842"/>
  <c r="H19" i="6842"/>
  <c r="C22" i="6842"/>
  <c r="C26" i="6842"/>
  <c r="H37" i="6842"/>
  <c r="H41" i="6842"/>
  <c r="H45" i="6842"/>
  <c r="H49" i="6842"/>
  <c r="H7" i="6842"/>
  <c r="H14" i="6842"/>
  <c r="H16" i="6842"/>
  <c r="H24" i="6842"/>
  <c r="H28" i="6842"/>
  <c r="H31" i="6842"/>
  <c r="C37" i="6842"/>
  <c r="C41" i="6842"/>
  <c r="C45" i="6842"/>
  <c r="C49" i="6842"/>
  <c r="H8" i="6842"/>
  <c r="H20" i="6842"/>
  <c r="H9" i="6842"/>
  <c r="C23" i="6842"/>
  <c r="B27" i="6842"/>
  <c r="H32" i="6842"/>
  <c r="H38" i="6842"/>
  <c r="H42" i="6842"/>
  <c r="H46" i="6842"/>
  <c r="C19" i="6840"/>
  <c r="H24" i="6840"/>
  <c r="B28" i="6840"/>
  <c r="H13" i="6840"/>
  <c r="C39" i="6840"/>
  <c r="H45" i="6840"/>
  <c r="H31" i="6840"/>
  <c r="H6" i="6840"/>
  <c r="H29" i="6840"/>
  <c r="C22" i="6840"/>
  <c r="H12" i="6840"/>
  <c r="H19" i="6840"/>
  <c r="H34" i="6840"/>
  <c r="H47" i="6840"/>
  <c r="H14" i="6840"/>
  <c r="H39" i="6840"/>
  <c r="H41" i="6840"/>
  <c r="C45" i="6840"/>
  <c r="C24" i="6840"/>
  <c r="H11" i="6840"/>
  <c r="C47" i="6840"/>
  <c r="H18" i="6840"/>
  <c r="H8" i="6840"/>
  <c r="H3" i="6840"/>
  <c r="H22" i="6840"/>
  <c r="H2" i="6840"/>
  <c r="H26" i="6840"/>
  <c r="H17" i="6840"/>
  <c r="H20" i="6840"/>
  <c r="H37" i="6840"/>
  <c r="H9" i="6840"/>
  <c r="H10" i="6840"/>
  <c r="H28" i="6840"/>
  <c r="C37" i="6840"/>
  <c r="H49" i="6840"/>
  <c r="C41" i="6840"/>
  <c r="C49" i="6840"/>
  <c r="C25" i="6840"/>
  <c r="H35" i="6840"/>
  <c r="H43" i="6840"/>
  <c r="H5" i="6840"/>
  <c r="C20" i="6840"/>
  <c r="C26" i="6840"/>
  <c r="C43" i="6840"/>
  <c r="H52" i="6840"/>
  <c r="H40" i="6840"/>
  <c r="H44" i="6840"/>
  <c r="H48" i="6840"/>
  <c r="H23" i="6840"/>
  <c r="H25" i="6840"/>
  <c r="H27" i="6840"/>
  <c r="H30" i="6840"/>
  <c r="H36" i="6840"/>
  <c r="C40" i="6840"/>
  <c r="C44" i="6840"/>
  <c r="C48" i="6840"/>
  <c r="H21" i="6840"/>
  <c r="H15" i="6840"/>
  <c r="C23" i="6840"/>
  <c r="B27" i="6840"/>
  <c r="H32" i="6840"/>
  <c r="H38" i="6840"/>
  <c r="H42" i="6840"/>
  <c r="H46" i="6840"/>
  <c r="H50" i="6840"/>
  <c r="H16" i="6840"/>
  <c r="H7" i="6840"/>
  <c r="H33" i="6840"/>
  <c r="C38" i="6840"/>
  <c r="C42" i="6840"/>
  <c r="C46" i="6840"/>
  <c r="P20" i="6832" l="1"/>
  <c r="P21" i="6838"/>
  <c r="P18" i="6838"/>
  <c r="C35" i="6838"/>
  <c r="B30" i="6838"/>
  <c r="C21" i="6838"/>
  <c r="B20" i="6838"/>
  <c r="H18" i="6838" s="1"/>
  <c r="B19" i="6838"/>
  <c r="B29" i="6838" s="1"/>
  <c r="B18" i="6838"/>
  <c r="C18" i="6838" s="1"/>
  <c r="C17" i="6838"/>
  <c r="C16" i="6838"/>
  <c r="C15" i="6838"/>
  <c r="B13" i="6838"/>
  <c r="P12" i="6838"/>
  <c r="B12" i="6838"/>
  <c r="P11" i="6838"/>
  <c r="B11" i="6838"/>
  <c r="P10" i="6838"/>
  <c r="C10" i="6838"/>
  <c r="C9" i="6838"/>
  <c r="C8" i="6838"/>
  <c r="P7" i="6838"/>
  <c r="B7" i="6838"/>
  <c r="P6" i="6838"/>
  <c r="P5" i="6838"/>
  <c r="B5" i="6838"/>
  <c r="P4" i="6838"/>
  <c r="P3" i="6838"/>
  <c r="P2" i="6838"/>
  <c r="P19" i="6828"/>
  <c r="P21" i="6826"/>
  <c r="C19" i="6838" l="1"/>
  <c r="B14" i="6838"/>
  <c r="H3" i="6838"/>
  <c r="H30" i="6838"/>
  <c r="C45" i="6838"/>
  <c r="C20" i="6838"/>
  <c r="H31" i="6838"/>
  <c r="H38" i="6838"/>
  <c r="C41" i="6838"/>
  <c r="H47" i="6838"/>
  <c r="H52" i="6838"/>
  <c r="H25" i="6838"/>
  <c r="C25" i="6838"/>
  <c r="C37" i="6838"/>
  <c r="H43" i="6838"/>
  <c r="H48" i="6838"/>
  <c r="H42" i="6838"/>
  <c r="H11" i="6838"/>
  <c r="H21" i="6838"/>
  <c r="H16" i="6838"/>
  <c r="H14" i="6838"/>
  <c r="H15" i="6838"/>
  <c r="H22" i="6838"/>
  <c r="H28" i="6838"/>
  <c r="H32" i="6838"/>
  <c r="H39" i="6838"/>
  <c r="H44" i="6838"/>
  <c r="C47" i="6838"/>
  <c r="C24" i="6838"/>
  <c r="H37" i="6838"/>
  <c r="H2" i="6838"/>
  <c r="H7" i="6838"/>
  <c r="H13" i="6838"/>
  <c r="H33" i="6838"/>
  <c r="H40" i="6838"/>
  <c r="H49" i="6838"/>
  <c r="H23" i="6838"/>
  <c r="C22" i="6838"/>
  <c r="H35" i="6838"/>
  <c r="C48" i="6838"/>
  <c r="H6" i="6838"/>
  <c r="H20" i="6838"/>
  <c r="H26" i="6838"/>
  <c r="B27" i="6838"/>
  <c r="H50" i="6838"/>
  <c r="H4" i="6838"/>
  <c r="H8" i="6838"/>
  <c r="H24" i="6838"/>
  <c r="C26" i="6838"/>
  <c r="C43" i="6838"/>
  <c r="H5" i="6838"/>
  <c r="H29" i="6838"/>
  <c r="C39" i="6838"/>
  <c r="H45" i="6838"/>
  <c r="H10" i="6838"/>
  <c r="H36" i="6838"/>
  <c r="H41" i="6838"/>
  <c r="C44" i="6838"/>
  <c r="H19" i="6838"/>
  <c r="H12" i="6838"/>
  <c r="H17" i="6838"/>
  <c r="C23" i="6838"/>
  <c r="B28" i="6838"/>
  <c r="C40" i="6838"/>
  <c r="H46" i="6838"/>
  <c r="C49" i="6838"/>
  <c r="H51" i="6838"/>
  <c r="H27" i="6838"/>
  <c r="H9" i="6838"/>
  <c r="H34" i="6838"/>
  <c r="C38" i="6838"/>
  <c r="C42" i="6838"/>
  <c r="C46" i="6838"/>
  <c r="P20" i="6828" l="1"/>
  <c r="P18" i="6828"/>
  <c r="P20" i="6836"/>
  <c r="P21" i="6836"/>
  <c r="C35" i="6836"/>
  <c r="B30" i="6836"/>
  <c r="C21" i="6836"/>
  <c r="B20" i="6836"/>
  <c r="H50" i="6836" s="1"/>
  <c r="B19" i="6836"/>
  <c r="B29" i="6836" s="1"/>
  <c r="B18" i="6836"/>
  <c r="C18" i="6836" s="1"/>
  <c r="C17" i="6836"/>
  <c r="C16" i="6836"/>
  <c r="C15" i="6836"/>
  <c r="B13" i="6836"/>
  <c r="P12" i="6836"/>
  <c r="B12" i="6836"/>
  <c r="P11" i="6836"/>
  <c r="B11" i="6836"/>
  <c r="P10" i="6836"/>
  <c r="C10" i="6836"/>
  <c r="C9" i="6836"/>
  <c r="C8" i="6836"/>
  <c r="P7" i="6836"/>
  <c r="B7" i="6836"/>
  <c r="P6" i="6836"/>
  <c r="P5" i="6836"/>
  <c r="B5" i="6836"/>
  <c r="P4" i="6836"/>
  <c r="P3" i="6836"/>
  <c r="P2" i="6836"/>
  <c r="P19" i="6826"/>
  <c r="P17" i="6834"/>
  <c r="P16" i="6834"/>
  <c r="C35" i="6834"/>
  <c r="B30" i="6834"/>
  <c r="C21" i="6834"/>
  <c r="B20" i="6834"/>
  <c r="H50" i="6834" s="1"/>
  <c r="B19" i="6834"/>
  <c r="B29" i="6834" s="1"/>
  <c r="B18" i="6834"/>
  <c r="C18" i="6834" s="1"/>
  <c r="C17" i="6834"/>
  <c r="C16" i="6834"/>
  <c r="C15" i="6834"/>
  <c r="B13" i="6834"/>
  <c r="P12" i="6834"/>
  <c r="B12" i="6834"/>
  <c r="P11" i="6834"/>
  <c r="B11" i="6834"/>
  <c r="P10" i="6834"/>
  <c r="C10" i="6834"/>
  <c r="C9" i="6834"/>
  <c r="C8" i="6834"/>
  <c r="P7" i="6834"/>
  <c r="B7" i="6834"/>
  <c r="P6" i="6834"/>
  <c r="P5" i="6834"/>
  <c r="B5" i="6834"/>
  <c r="P4" i="6834"/>
  <c r="P3" i="6834"/>
  <c r="P2" i="6834"/>
  <c r="P24" i="6826"/>
  <c r="C19" i="6834" l="1"/>
  <c r="B14" i="6834"/>
  <c r="B14" i="6836"/>
  <c r="C19" i="6836"/>
  <c r="C20" i="6836"/>
  <c r="H3" i="6836"/>
  <c r="H27" i="6836"/>
  <c r="H33" i="6836"/>
  <c r="C42" i="6836"/>
  <c r="C46" i="6836"/>
  <c r="H2" i="6836"/>
  <c r="H9" i="6836"/>
  <c r="H19" i="6836"/>
  <c r="H23" i="6836"/>
  <c r="C24" i="6836"/>
  <c r="B28" i="6836"/>
  <c r="H34" i="6836"/>
  <c r="H39" i="6836"/>
  <c r="H43" i="6836"/>
  <c r="H47" i="6836"/>
  <c r="H6" i="6836"/>
  <c r="H25" i="6836"/>
  <c r="H14" i="6836"/>
  <c r="H30" i="6836"/>
  <c r="H35" i="6836"/>
  <c r="C39" i="6836"/>
  <c r="C43" i="6836"/>
  <c r="C47" i="6836"/>
  <c r="H52" i="6836"/>
  <c r="H17" i="6836"/>
  <c r="H21" i="6836"/>
  <c r="C25" i="6836"/>
  <c r="H40" i="6836"/>
  <c r="H44" i="6836"/>
  <c r="H48" i="6836"/>
  <c r="H8" i="6836"/>
  <c r="C38" i="6836"/>
  <c r="H51" i="6836"/>
  <c r="H5" i="6836"/>
  <c r="H16" i="6836"/>
  <c r="H24" i="6836"/>
  <c r="H13" i="6836"/>
  <c r="H28" i="6836"/>
  <c r="H11" i="6836"/>
  <c r="H36" i="6836"/>
  <c r="C40" i="6836"/>
  <c r="C44" i="6836"/>
  <c r="C48" i="6836"/>
  <c r="H4" i="6836"/>
  <c r="H22" i="6836"/>
  <c r="C22" i="6836"/>
  <c r="C26" i="6836"/>
  <c r="H37" i="6836"/>
  <c r="H41" i="6836"/>
  <c r="H45" i="6836"/>
  <c r="H49" i="6836"/>
  <c r="H7" i="6836"/>
  <c r="H10" i="6836"/>
  <c r="H20" i="6836"/>
  <c r="H26" i="6836"/>
  <c r="H29" i="6836"/>
  <c r="H31" i="6836"/>
  <c r="C37" i="6836"/>
  <c r="C41" i="6836"/>
  <c r="C45" i="6836"/>
  <c r="C49" i="6836"/>
  <c r="H15" i="6836"/>
  <c r="H18" i="6836"/>
  <c r="H12" i="6836"/>
  <c r="C23" i="6836"/>
  <c r="B27" i="6836"/>
  <c r="H32" i="6836"/>
  <c r="H38" i="6836"/>
  <c r="H42" i="6836"/>
  <c r="H46" i="6836"/>
  <c r="C20" i="6834"/>
  <c r="H4" i="6834"/>
  <c r="H10" i="6834"/>
  <c r="C38" i="6834"/>
  <c r="C46" i="6834"/>
  <c r="H2" i="6834"/>
  <c r="H19" i="6834"/>
  <c r="H11" i="6834"/>
  <c r="C24" i="6834"/>
  <c r="B28" i="6834"/>
  <c r="H34" i="6834"/>
  <c r="H39" i="6834"/>
  <c r="H43" i="6834"/>
  <c r="H47" i="6834"/>
  <c r="H5" i="6834"/>
  <c r="H24" i="6834"/>
  <c r="H14" i="6834"/>
  <c r="H29" i="6834"/>
  <c r="H35" i="6834"/>
  <c r="C39" i="6834"/>
  <c r="C43" i="6834"/>
  <c r="C47" i="6834"/>
  <c r="H52" i="6834"/>
  <c r="H17" i="6834"/>
  <c r="H20" i="6834"/>
  <c r="C25" i="6834"/>
  <c r="H40" i="6834"/>
  <c r="H44" i="6834"/>
  <c r="H48" i="6834"/>
  <c r="H26" i="6834"/>
  <c r="H33" i="6834"/>
  <c r="C42" i="6834"/>
  <c r="H51" i="6834"/>
  <c r="H9" i="6834"/>
  <c r="H6" i="6834"/>
  <c r="H15" i="6834"/>
  <c r="H23" i="6834"/>
  <c r="H13" i="6834"/>
  <c r="H27" i="6834"/>
  <c r="H30" i="6834"/>
  <c r="H36" i="6834"/>
  <c r="C40" i="6834"/>
  <c r="C44" i="6834"/>
  <c r="C48" i="6834"/>
  <c r="H3" i="6834"/>
  <c r="H21" i="6834"/>
  <c r="C22" i="6834"/>
  <c r="C26" i="6834"/>
  <c r="H37" i="6834"/>
  <c r="H41" i="6834"/>
  <c r="H45" i="6834"/>
  <c r="H49" i="6834"/>
  <c r="H8" i="6834"/>
  <c r="H16" i="6834"/>
  <c r="H18" i="6834"/>
  <c r="H25" i="6834"/>
  <c r="H28" i="6834"/>
  <c r="H31" i="6834"/>
  <c r="C37" i="6834"/>
  <c r="C41" i="6834"/>
  <c r="C45" i="6834"/>
  <c r="C49" i="6834"/>
  <c r="H7" i="6834"/>
  <c r="H22" i="6834"/>
  <c r="H12" i="6834"/>
  <c r="C23" i="6834"/>
  <c r="B27" i="6834"/>
  <c r="H32" i="6834"/>
  <c r="H38" i="6834"/>
  <c r="H42" i="6834"/>
  <c r="H46" i="6834"/>
  <c r="P16" i="6832" l="1"/>
  <c r="P18" i="6832"/>
  <c r="C35" i="6832"/>
  <c r="B30" i="6832"/>
  <c r="C21" i="6832"/>
  <c r="B20" i="6832"/>
  <c r="H50" i="6832" s="1"/>
  <c r="B19" i="6832"/>
  <c r="B29" i="6832" s="1"/>
  <c r="B18" i="6832"/>
  <c r="C18" i="6832" s="1"/>
  <c r="C17" i="6832"/>
  <c r="C16" i="6832"/>
  <c r="C15" i="6832"/>
  <c r="B13" i="6832"/>
  <c r="P12" i="6832"/>
  <c r="B12" i="6832"/>
  <c r="P11" i="6832"/>
  <c r="B11" i="6832"/>
  <c r="B14" i="6832" s="1"/>
  <c r="P10" i="6832"/>
  <c r="C10" i="6832"/>
  <c r="C9" i="6832"/>
  <c r="C8" i="6832"/>
  <c r="P7" i="6832"/>
  <c r="B7" i="6832"/>
  <c r="P6" i="6832"/>
  <c r="P5" i="6832"/>
  <c r="B5" i="6832"/>
  <c r="P4" i="6832"/>
  <c r="P3" i="6832"/>
  <c r="P2" i="6832"/>
  <c r="P17" i="6830"/>
  <c r="P16" i="6830"/>
  <c r="C35" i="6830"/>
  <c r="B30" i="6830"/>
  <c r="C21" i="6830"/>
  <c r="B20" i="6830"/>
  <c r="H50" i="6830" s="1"/>
  <c r="B19" i="6830"/>
  <c r="B29" i="6830" s="1"/>
  <c r="B18" i="6830"/>
  <c r="C18" i="6830" s="1"/>
  <c r="C17" i="6830"/>
  <c r="C16" i="6830"/>
  <c r="C15" i="6830"/>
  <c r="B13" i="6830"/>
  <c r="P12" i="6830"/>
  <c r="B12" i="6830"/>
  <c r="P11" i="6830"/>
  <c r="B11" i="6830"/>
  <c r="P10" i="6830"/>
  <c r="C10" i="6830"/>
  <c r="C9" i="6830"/>
  <c r="C8" i="6830"/>
  <c r="P7" i="6830"/>
  <c r="B7" i="6830"/>
  <c r="P6" i="6830"/>
  <c r="P5" i="6830"/>
  <c r="B5" i="6830"/>
  <c r="P4" i="6830"/>
  <c r="P3" i="6830"/>
  <c r="P2" i="6830"/>
  <c r="P23" i="6826"/>
  <c r="P22" i="6828"/>
  <c r="P15" i="6828"/>
  <c r="C35" i="6828"/>
  <c r="B30" i="6828"/>
  <c r="C21" i="6828"/>
  <c r="B20" i="6828"/>
  <c r="H14" i="6828" s="1"/>
  <c r="B19" i="6828"/>
  <c r="B29" i="6828" s="1"/>
  <c r="B18" i="6828"/>
  <c r="C18" i="6828" s="1"/>
  <c r="C17" i="6828"/>
  <c r="C16" i="6828"/>
  <c r="C15" i="6828"/>
  <c r="B13" i="6828"/>
  <c r="P12" i="6828"/>
  <c r="B12" i="6828"/>
  <c r="P11" i="6828"/>
  <c r="B11" i="6828"/>
  <c r="P10" i="6828"/>
  <c r="C10" i="6828"/>
  <c r="C9" i="6828"/>
  <c r="C8" i="6828"/>
  <c r="P7" i="6828"/>
  <c r="B7" i="6828"/>
  <c r="P6" i="6828"/>
  <c r="P5" i="6828"/>
  <c r="B5" i="6828"/>
  <c r="P4" i="6828"/>
  <c r="P3" i="6828"/>
  <c r="P2" i="6828"/>
  <c r="P22" i="6826"/>
  <c r="P16" i="6826"/>
  <c r="C35" i="6826"/>
  <c r="B30" i="6826"/>
  <c r="C21" i="6826"/>
  <c r="B20" i="6826"/>
  <c r="H8" i="6826" s="1"/>
  <c r="B19" i="6826"/>
  <c r="B29" i="6826" s="1"/>
  <c r="B18" i="6826"/>
  <c r="C18" i="6826" s="1"/>
  <c r="C17" i="6826"/>
  <c r="C16" i="6826"/>
  <c r="C15" i="6826"/>
  <c r="B13" i="6826"/>
  <c r="P12" i="6826"/>
  <c r="B12" i="6826"/>
  <c r="P11" i="6826"/>
  <c r="B11" i="6826"/>
  <c r="P10" i="6826"/>
  <c r="C10" i="6826"/>
  <c r="C9" i="6826"/>
  <c r="C8" i="6826"/>
  <c r="P7" i="6826"/>
  <c r="B7" i="6826"/>
  <c r="P6" i="6826"/>
  <c r="P5" i="6826"/>
  <c r="B5" i="6826"/>
  <c r="P4" i="6826"/>
  <c r="P3" i="6826"/>
  <c r="P2" i="6826"/>
  <c r="B14" i="6828" l="1"/>
  <c r="B14" i="6830"/>
  <c r="C19" i="6830"/>
  <c r="C19" i="6828"/>
  <c r="H10" i="6828"/>
  <c r="C19" i="6832"/>
  <c r="C20" i="6832"/>
  <c r="H2" i="6832"/>
  <c r="H8" i="6832"/>
  <c r="H33" i="6832"/>
  <c r="C42" i="6832"/>
  <c r="C46" i="6832"/>
  <c r="H51" i="6832"/>
  <c r="H3" i="6832"/>
  <c r="H11" i="6832"/>
  <c r="H20" i="6832"/>
  <c r="H15" i="6832"/>
  <c r="C24" i="6832"/>
  <c r="B28" i="6832"/>
  <c r="H34" i="6832"/>
  <c r="H39" i="6832"/>
  <c r="H43" i="6832"/>
  <c r="H47" i="6832"/>
  <c r="H7" i="6832"/>
  <c r="H26" i="6832"/>
  <c r="H16" i="6832"/>
  <c r="H30" i="6832"/>
  <c r="H35" i="6832"/>
  <c r="C39" i="6832"/>
  <c r="C43" i="6832"/>
  <c r="C47" i="6832"/>
  <c r="H52" i="6832"/>
  <c r="H18" i="6832"/>
  <c r="H21" i="6832"/>
  <c r="C25" i="6832"/>
  <c r="H40" i="6832"/>
  <c r="H44" i="6832"/>
  <c r="H48" i="6832"/>
  <c r="H28" i="6832"/>
  <c r="C38" i="6832"/>
  <c r="H5" i="6832"/>
  <c r="H9" i="6832"/>
  <c r="H24" i="6832"/>
  <c r="H12" i="6832"/>
  <c r="H29" i="6832"/>
  <c r="H13" i="6832"/>
  <c r="H36" i="6832"/>
  <c r="C40" i="6832"/>
  <c r="C44" i="6832"/>
  <c r="C48" i="6832"/>
  <c r="H4" i="6832"/>
  <c r="H22" i="6832"/>
  <c r="C22" i="6832"/>
  <c r="C26" i="6832"/>
  <c r="H37" i="6832"/>
  <c r="H41" i="6832"/>
  <c r="H45" i="6832"/>
  <c r="H49" i="6832"/>
  <c r="H6" i="6832"/>
  <c r="H14" i="6832"/>
  <c r="H19" i="6832"/>
  <c r="H27" i="6832"/>
  <c r="H17" i="6832"/>
  <c r="H31" i="6832"/>
  <c r="C37" i="6832"/>
  <c r="C41" i="6832"/>
  <c r="C45" i="6832"/>
  <c r="C49" i="6832"/>
  <c r="H10" i="6832"/>
  <c r="H23" i="6832"/>
  <c r="H25" i="6832"/>
  <c r="C23" i="6832"/>
  <c r="B27" i="6832"/>
  <c r="H32" i="6832"/>
  <c r="H38" i="6832"/>
  <c r="H42" i="6832"/>
  <c r="H46" i="6832"/>
  <c r="C19" i="6826"/>
  <c r="C20" i="6830"/>
  <c r="H3" i="6830"/>
  <c r="H18" i="6830"/>
  <c r="H8" i="6830"/>
  <c r="C38" i="6830"/>
  <c r="C42" i="6830"/>
  <c r="C46" i="6830"/>
  <c r="H51" i="6830"/>
  <c r="H2" i="6830"/>
  <c r="H9" i="6830"/>
  <c r="H21" i="6830"/>
  <c r="H16" i="6830"/>
  <c r="C24" i="6830"/>
  <c r="B28" i="6830"/>
  <c r="H34" i="6830"/>
  <c r="H39" i="6830"/>
  <c r="H43" i="6830"/>
  <c r="H47" i="6830"/>
  <c r="H4" i="6830"/>
  <c r="H25" i="6830"/>
  <c r="H12" i="6830"/>
  <c r="H29" i="6830"/>
  <c r="H35" i="6830"/>
  <c r="C39" i="6830"/>
  <c r="C43" i="6830"/>
  <c r="C47" i="6830"/>
  <c r="H52" i="6830"/>
  <c r="H19" i="6830"/>
  <c r="H22" i="6830"/>
  <c r="C25" i="6830"/>
  <c r="H40" i="6830"/>
  <c r="H44" i="6830"/>
  <c r="H48" i="6830"/>
  <c r="H33" i="6830"/>
  <c r="H6" i="6830"/>
  <c r="H14" i="6830"/>
  <c r="H24" i="6830"/>
  <c r="H11" i="6830"/>
  <c r="H27" i="6830"/>
  <c r="H30" i="6830"/>
  <c r="H36" i="6830"/>
  <c r="C40" i="6830"/>
  <c r="C44" i="6830"/>
  <c r="C48" i="6830"/>
  <c r="H5" i="6830"/>
  <c r="H23" i="6830"/>
  <c r="C22" i="6830"/>
  <c r="C26" i="6830"/>
  <c r="H37" i="6830"/>
  <c r="H41" i="6830"/>
  <c r="H45" i="6830"/>
  <c r="H49" i="6830"/>
  <c r="H7" i="6830"/>
  <c r="H15" i="6830"/>
  <c r="H20" i="6830"/>
  <c r="H26" i="6830"/>
  <c r="H28" i="6830"/>
  <c r="H31" i="6830"/>
  <c r="C37" i="6830"/>
  <c r="C41" i="6830"/>
  <c r="C45" i="6830"/>
  <c r="C49" i="6830"/>
  <c r="H13" i="6830"/>
  <c r="H10" i="6830"/>
  <c r="H17" i="6830"/>
  <c r="C23" i="6830"/>
  <c r="B27" i="6830"/>
  <c r="H32" i="6830"/>
  <c r="H38" i="6830"/>
  <c r="H42" i="6830"/>
  <c r="H46" i="6830"/>
  <c r="B14" i="6826"/>
  <c r="H7" i="6828"/>
  <c r="B28" i="6828"/>
  <c r="H25" i="6828"/>
  <c r="H38" i="6828"/>
  <c r="H43" i="6828"/>
  <c r="C41" i="6828"/>
  <c r="H19" i="6828"/>
  <c r="H48" i="6828"/>
  <c r="C22" i="6828"/>
  <c r="H29" i="6828"/>
  <c r="B27" i="6828"/>
  <c r="C47" i="6828"/>
  <c r="H26" i="6828"/>
  <c r="C37" i="6828"/>
  <c r="H44" i="6828"/>
  <c r="H49" i="6828"/>
  <c r="C23" i="6828"/>
  <c r="H13" i="6828"/>
  <c r="H23" i="6828"/>
  <c r="H15" i="6828"/>
  <c r="C24" i="6828"/>
  <c r="H39" i="6828"/>
  <c r="C43" i="6828"/>
  <c r="H50" i="6828"/>
  <c r="H18" i="6828"/>
  <c r="C49" i="6828"/>
  <c r="H22" i="6828"/>
  <c r="H45" i="6828"/>
  <c r="H3" i="6828"/>
  <c r="C20" i="6828"/>
  <c r="C25" i="6828"/>
  <c r="H33" i="6828"/>
  <c r="C39" i="6828"/>
  <c r="H46" i="6828"/>
  <c r="H51" i="6828"/>
  <c r="H32" i="6828"/>
  <c r="H17" i="6828"/>
  <c r="C26" i="6828"/>
  <c r="H35" i="6828"/>
  <c r="H41" i="6828"/>
  <c r="C45" i="6828"/>
  <c r="H5" i="6828"/>
  <c r="H4" i="6828"/>
  <c r="H6" i="6828"/>
  <c r="H11" i="6828"/>
  <c r="H40" i="6828"/>
  <c r="H2" i="6828"/>
  <c r="H8" i="6828"/>
  <c r="H24" i="6828"/>
  <c r="H20" i="6828"/>
  <c r="H28" i="6828"/>
  <c r="H31" i="6828"/>
  <c r="H36" i="6828"/>
  <c r="H42" i="6828"/>
  <c r="H47" i="6828"/>
  <c r="H52" i="6828"/>
  <c r="H27" i="6828"/>
  <c r="H12" i="6828"/>
  <c r="H30" i="6828"/>
  <c r="H16" i="6828"/>
  <c r="H37" i="6828"/>
  <c r="C40" i="6828"/>
  <c r="C44" i="6828"/>
  <c r="C48" i="6828"/>
  <c r="H21" i="6828"/>
  <c r="H9" i="6828"/>
  <c r="H34" i="6828"/>
  <c r="C38" i="6828"/>
  <c r="C42" i="6828"/>
  <c r="C46" i="6828"/>
  <c r="C20" i="6826"/>
  <c r="H3" i="6826"/>
  <c r="H21" i="6826"/>
  <c r="C42" i="6826"/>
  <c r="C46" i="6826"/>
  <c r="H9" i="6826"/>
  <c r="H22" i="6826"/>
  <c r="H19" i="6826"/>
  <c r="C24" i="6826"/>
  <c r="B28" i="6826"/>
  <c r="H35" i="6826"/>
  <c r="H40" i="6826"/>
  <c r="H44" i="6826"/>
  <c r="H48" i="6826"/>
  <c r="H5" i="6826"/>
  <c r="H29" i="6826"/>
  <c r="H14" i="6826"/>
  <c r="H32" i="6826"/>
  <c r="H36" i="6826"/>
  <c r="C39" i="6826"/>
  <c r="C43" i="6826"/>
  <c r="C47" i="6826"/>
  <c r="H52" i="6826"/>
  <c r="H20" i="6826"/>
  <c r="H27" i="6826"/>
  <c r="C25" i="6826"/>
  <c r="H41" i="6826"/>
  <c r="H45" i="6826"/>
  <c r="H49" i="6826"/>
  <c r="H34" i="6826"/>
  <c r="C44" i="6826"/>
  <c r="C38" i="6826"/>
  <c r="H18" i="6826"/>
  <c r="H2" i="6826"/>
  <c r="H7" i="6826"/>
  <c r="H10" i="6826"/>
  <c r="H28" i="6826"/>
  <c r="H13" i="6826"/>
  <c r="H31" i="6826"/>
  <c r="H17" i="6826"/>
  <c r="H37" i="6826"/>
  <c r="C40" i="6826"/>
  <c r="C48" i="6826"/>
  <c r="H4" i="6826"/>
  <c r="H23" i="6826"/>
  <c r="C22" i="6826"/>
  <c r="C26" i="6826"/>
  <c r="H38" i="6826"/>
  <c r="H42" i="6826"/>
  <c r="H46" i="6826"/>
  <c r="H50" i="6826"/>
  <c r="H6" i="6826"/>
  <c r="H12" i="6826"/>
  <c r="H26" i="6826"/>
  <c r="H30" i="6826"/>
  <c r="H24" i="6826"/>
  <c r="H25" i="6826"/>
  <c r="C37" i="6826"/>
  <c r="C41" i="6826"/>
  <c r="C45" i="6826"/>
  <c r="C49" i="6826"/>
  <c r="H11" i="6826"/>
  <c r="H16" i="6826"/>
  <c r="H15" i="6826"/>
  <c r="C23" i="6826"/>
  <c r="B27" i="6826"/>
  <c r="H33" i="6826"/>
  <c r="H39" i="6826"/>
  <c r="H43" i="6826"/>
  <c r="H47" i="6826"/>
  <c r="H51" i="6826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<sst xmlns="http://schemas.openxmlformats.org/spreadsheetml/2006/main" count="2907" uniqueCount="232">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</sst>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全体!$L$2:$L$137</c:f>
              <c:numCache>
                <c:formatCode>\+0.0;\-0.0;\±0</c:formatCode>
                <c:ptCount val="13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BB-42E5-81F6-E3563201E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-44.444444444444443</c:v>
                </c:pt>
                <c:pt idx="1">
                  <c:v>45.454545454545453</c:v>
                </c:pt>
                <c:pt idx="2">
                  <c:v>-22.727272727272727</c:v>
                </c:pt>
                <c:pt idx="3">
                  <c:v>24.390243902439025</c:v>
                </c:pt>
                <c:pt idx="4">
                  <c:v>-27.027027027027028</c:v>
                </c:pt>
                <c:pt idx="5">
                  <c:v>30.303030303030305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A3-4220-B253-ECF80D212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26</c:v>
                </c:pt>
                <c:pt idx="1">
                  <c:v>71</c:v>
                </c:pt>
                <c:pt idx="2">
                  <c:v>62</c:v>
                </c:pt>
                <c:pt idx="3">
                  <c:v>53</c:v>
                </c:pt>
                <c:pt idx="4">
                  <c:v>43</c:v>
                </c:pt>
                <c:pt idx="5">
                  <c:v>31</c:v>
                </c:pt>
                <c:pt idx="6">
                  <c:v>19</c:v>
                </c:pt>
                <c:pt idx="7">
                  <c:v>11</c:v>
                </c:pt>
                <c:pt idx="8">
                  <c:v>7</c:v>
                </c:pt>
                <c:pt idx="9">
                  <c:v>4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4616-972C-B2CAC9D32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全体!$M$2:$M$137</c:f>
              <c:numCache>
                <c:formatCode>0</c:formatCode>
                <c:ptCount val="136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7-482E-97CE-84194C45F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だいち!$L$2:$L$37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4C-4DC0-87CF-2DAD78D3A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2757.1428571428573</c:v>
                </c:pt>
                <c:pt idx="1">
                  <c:v>-773.52941176470586</c:v>
                </c:pt>
                <c:pt idx="2">
                  <c:v>-776.47058823529414</c:v>
                </c:pt>
                <c:pt idx="3">
                  <c:v>1865.625</c:v>
                </c:pt>
                <c:pt idx="4">
                  <c:v>-234.48275862068965</c:v>
                </c:pt>
                <c:pt idx="5">
                  <c:v>-892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3F-44AA-9B3D-D5C5AC7C3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5</c:v>
                </c:pt>
                <c:pt idx="1">
                  <c:v>14</c:v>
                </c:pt>
                <c:pt idx="2">
                  <c:v>22</c:v>
                </c:pt>
                <c:pt idx="3">
                  <c:v>13</c:v>
                </c:pt>
                <c:pt idx="4">
                  <c:v>15</c:v>
                </c:pt>
                <c:pt idx="5">
                  <c:v>12</c:v>
                </c:pt>
                <c:pt idx="6">
                  <c:v>7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6-4C06-8E44-F087F043B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だいち!$M$2:$M$37</c:f>
              <c:numCache>
                <c:formatCode>0</c:formatCode>
                <c:ptCount val="36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6-4C57-9730-E7D71EC82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れんたろう!$L$2:$L$14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C-4BD7-A8D1-B66AFDF5F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-1133.3333333333333</c:v>
                </c:pt>
                <c:pt idx="1">
                  <c:v>2536.3636363636365</c:v>
                </c:pt>
                <c:pt idx="2">
                  <c:v>-2836.3636363636365</c:v>
                </c:pt>
                <c:pt idx="3">
                  <c:v>-1109.090909090909</c:v>
                </c:pt>
                <c:pt idx="4">
                  <c:v>-1077.7777777777778</c:v>
                </c:pt>
                <c:pt idx="5">
                  <c:v>-985.71428571428567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3B-4F67-8A40-F291E770B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F3-44C4-92A2-B732007AD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れんたろう!$M$2:$M$14</c:f>
              <c:numCache>
                <c:formatCode>0</c:formatCode>
                <c:ptCount val="13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A-4054-AA96-BB8F124AB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7-4A38-ABC7-EDAC14A1C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-887.5</c:v>
                </c:pt>
                <c:pt idx="1">
                  <c:v>-50</c:v>
                </c:pt>
                <c:pt idx="2">
                  <c:v>1781.25</c:v>
                </c:pt>
                <c:pt idx="3">
                  <c:v>-1200</c:v>
                </c:pt>
                <c:pt idx="4">
                  <c:v>-31.25</c:v>
                </c:pt>
                <c:pt idx="5">
                  <c:v>1830.7692307692307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39-4B31-B5E4-0691A1CC9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7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E-483E-A6DB-6DE6C7277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たかの!$M$2:$M$18</c:f>
              <c:numCache>
                <c:formatCode>0</c:formatCode>
                <c:ptCount val="17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83-4C08-BEED-4BB53961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E6-47E7-BFE5-0E49BF597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1420</c:v>
                </c:pt>
                <c:pt idx="1">
                  <c:v>2270</c:v>
                </c:pt>
                <c:pt idx="2">
                  <c:v>1590</c:v>
                </c:pt>
                <c:pt idx="3">
                  <c:v>-4062.5</c:v>
                </c:pt>
                <c:pt idx="4">
                  <c:v>-3385.7142857142858</c:v>
                </c:pt>
                <c:pt idx="5">
                  <c:v>-3266.6666666666665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22-47C6-9DBF-C28341782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2-4515-9BD9-3393CF111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まっつん!$M$2:$M$12</c:f>
              <c:numCache>
                <c:formatCode>0</c:formatCode>
                <c:ptCount val="11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6-476C-B11A-DECD28F7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18-4949-9D22-DC8D92D82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189.47368421052633</c:v>
                </c:pt>
                <c:pt idx="1">
                  <c:v>452.63157894736844</c:v>
                </c:pt>
                <c:pt idx="2">
                  <c:v>3657.8947368421054</c:v>
                </c:pt>
                <c:pt idx="3">
                  <c:v>-1035.2941176470588</c:v>
                </c:pt>
                <c:pt idx="4">
                  <c:v>2328.5714285714284</c:v>
                </c:pt>
                <c:pt idx="5">
                  <c:v>1257.1428571428571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BE-4DD0-AFFE-356BBBA05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9</c:v>
                </c:pt>
                <c:pt idx="3">
                  <c:v>9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3-48E6-BF71-F7C6A0F76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いちかわ!$M$2:$M$21</c:f>
              <c:numCache>
                <c:formatCode>0</c:formatCode>
                <c:ptCount val="20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B-4DFC-8304-7DEA808A4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1D-43B3-A41B-7C76A71CA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-778.9473684210526</c:v>
                </c:pt>
                <c:pt idx="1">
                  <c:v>-827.77777777777783</c:v>
                </c:pt>
                <c:pt idx="2">
                  <c:v>-527.77777777777783</c:v>
                </c:pt>
                <c:pt idx="3">
                  <c:v>1935.2941176470588</c:v>
                </c:pt>
                <c:pt idx="4">
                  <c:v>912.5</c:v>
                </c:pt>
                <c:pt idx="5">
                  <c:v>-1385.7142857142858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E-4D0D-AF47-D00817A7B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10</c:v>
                </c:pt>
                <c:pt idx="3">
                  <c:v>8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7-4CF3-B2EF-20DE3853A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ただ!$M$2:$M$21</c:f>
              <c:numCache>
                <c:formatCode>0</c:formatCode>
                <c:ptCount val="20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E3-4E9F-ADB0-9DE17E11E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62-423A-A29D-FAFED5887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-1221.4285714285713</c:v>
                </c:pt>
                <c:pt idx="1">
                  <c:v>-907.14285714285711</c:v>
                </c:pt>
                <c:pt idx="2">
                  <c:v>-4335.7142857142853</c:v>
                </c:pt>
                <c:pt idx="3">
                  <c:v>-161.53846153846155</c:v>
                </c:pt>
                <c:pt idx="4">
                  <c:v>-581.81818181818187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8A-42CA-8243-B5FA585F2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85-4745-9BF7-EA7EBD6E1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たか!$M$2:$M$16</c:f>
              <c:numCache>
                <c:formatCode>0</c:formatCode>
                <c:ptCount val="15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A-4F42-AC92-DF213E836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94-41B5-8A39-C79499D1B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F-4181-AF52-ED4086836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D-45F9-8745-E39807B2E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4F-4083-9D8D-76B18AF3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96-4C6E-BC0F-033A85242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18-475E-BE8A-35C88B407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85D-98A8-B4817BB77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C-4621-AE87-C4208F184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9-4AC8-A2E6-5770FAE7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E2-4C93-9D85-02990F55B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3-412B-8F0D-37542B74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3-49AA-A8EE-339A9A0B2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ただ2!$B$3:$B$22</c:f>
              <c:numCache>
                <c:formatCode>\+0.0;\-0.0;\±0</c:formatCode>
                <c:ptCount val="2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48689957516035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ただ2!$C$3:$C$22</c:f>
              <c:numCache>
                <c:formatCode>\+0.0;\-0.0;\±0</c:formatCode>
                <c:ptCount val="20"/>
                <c:pt idx="1">
                  <c:v>11.6</c:v>
                </c:pt>
                <c:pt idx="2">
                  <c:v>21.45</c:v>
                </c:pt>
                <c:pt idx="3">
                  <c:v>16.399999999999999</c:v>
                </c:pt>
                <c:pt idx="4">
                  <c:v>18.95</c:v>
                </c:pt>
                <c:pt idx="5">
                  <c:v>9.5599999999999987</c:v>
                </c:pt>
                <c:pt idx="6">
                  <c:v>4.3999999999999995</c:v>
                </c:pt>
                <c:pt idx="7">
                  <c:v>3.6999999999999997</c:v>
                </c:pt>
                <c:pt idx="8">
                  <c:v>0.1875</c:v>
                </c:pt>
                <c:pt idx="9">
                  <c:v>1.0777777777777777</c:v>
                </c:pt>
                <c:pt idx="10">
                  <c:v>0.91999999999999993</c:v>
                </c:pt>
                <c:pt idx="11">
                  <c:v>0.20909090909090899</c:v>
                </c:pt>
                <c:pt idx="12">
                  <c:v>0.13333333333333325</c:v>
                </c:pt>
                <c:pt idx="13">
                  <c:v>-3.7307692307692308</c:v>
                </c:pt>
                <c:pt idx="14">
                  <c:v>-1.4428571428571428</c:v>
                </c:pt>
                <c:pt idx="15">
                  <c:v>1.5000000000000002</c:v>
                </c:pt>
                <c:pt idx="16">
                  <c:v>4.03125</c:v>
                </c:pt>
                <c:pt idx="17">
                  <c:v>0.61764705882352944</c:v>
                </c:pt>
                <c:pt idx="18">
                  <c:v>-1.2388888888888887</c:v>
                </c:pt>
                <c:pt idx="19">
                  <c:v>0.44736842105263175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842147833452111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ただ2!$D$3:$D$22</c:f>
              <c:numCache>
                <c:formatCode>0.00\ "位"</c:formatCode>
                <c:ptCount val="20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1.25</c:v>
                </c:pt>
                <c:pt idx="5">
                  <c:v>1.4</c:v>
                </c:pt>
                <c:pt idx="6">
                  <c:v>1.6666666666666667</c:v>
                </c:pt>
                <c:pt idx="7">
                  <c:v>1.7142857142857142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2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1.8125</c:v>
                </c:pt>
                <c:pt idx="17">
                  <c:v>1.8823529411764706</c:v>
                </c:pt>
                <c:pt idx="18">
                  <c:v>1.9444444444444444</c:v>
                </c:pt>
                <c:pt idx="19">
                  <c:v>1.8947368421052631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25925925925927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ただ2!$E$3:$E$22</c:f>
              <c:numCache>
                <c:formatCode>0.0%</c:formatCode>
                <c:ptCount val="20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0740740740740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ただ2!$F$3:$F$22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ただ2!$G$3:$G$22</c:f>
              <c:numCache>
                <c:formatCode>0.0%</c:formatCode>
                <c:ptCount val="20"/>
                <c:pt idx="1">
                  <c:v>0.25</c:v>
                </c:pt>
                <c:pt idx="2">
                  <c:v>0.36842105263157893</c:v>
                </c:pt>
                <c:pt idx="3">
                  <c:v>0.37037037037037035</c:v>
                </c:pt>
                <c:pt idx="4">
                  <c:v>0.375</c:v>
                </c:pt>
                <c:pt idx="5">
                  <c:v>0.32608695652173914</c:v>
                </c:pt>
                <c:pt idx="6">
                  <c:v>0.30357142857142855</c:v>
                </c:pt>
                <c:pt idx="7">
                  <c:v>0.3125</c:v>
                </c:pt>
                <c:pt idx="8">
                  <c:v>0.31428571428571428</c:v>
                </c:pt>
                <c:pt idx="9">
                  <c:v>0.32926829268292684</c:v>
                </c:pt>
                <c:pt idx="10">
                  <c:v>0.32258064516129031</c:v>
                </c:pt>
                <c:pt idx="11">
                  <c:v>0.32323232323232326</c:v>
                </c:pt>
                <c:pt idx="12">
                  <c:v>0.31775700934579437</c:v>
                </c:pt>
                <c:pt idx="13">
                  <c:v>0.30973451327433627</c:v>
                </c:pt>
                <c:pt idx="14">
                  <c:v>0.30952380952380953</c:v>
                </c:pt>
                <c:pt idx="15">
                  <c:v>0.31617647058823528</c:v>
                </c:pt>
                <c:pt idx="16">
                  <c:v>0.32167832167832167</c:v>
                </c:pt>
                <c:pt idx="17">
                  <c:v>0.31292517006802723</c:v>
                </c:pt>
                <c:pt idx="18">
                  <c:v>0.30573248407643311</c:v>
                </c:pt>
                <c:pt idx="19">
                  <c:v>0.31288343558282211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117647058823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ただ2!$H$3:$H$22</c:f>
              <c:numCache>
                <c:formatCode>0.0%</c:formatCode>
                <c:ptCount val="20"/>
                <c:pt idx="1">
                  <c:v>0</c:v>
                </c:pt>
                <c:pt idx="2">
                  <c:v>5.2631578947368418E-2</c:v>
                </c:pt>
                <c:pt idx="3">
                  <c:v>0.1111111111111111</c:v>
                </c:pt>
                <c:pt idx="4">
                  <c:v>0.1</c:v>
                </c:pt>
                <c:pt idx="5">
                  <c:v>0.10869565217391304</c:v>
                </c:pt>
                <c:pt idx="6">
                  <c:v>0.10714285714285714</c:v>
                </c:pt>
                <c:pt idx="7">
                  <c:v>0.109375</c:v>
                </c:pt>
                <c:pt idx="8">
                  <c:v>0.11428571428571428</c:v>
                </c:pt>
                <c:pt idx="9">
                  <c:v>0.10975609756097561</c:v>
                </c:pt>
                <c:pt idx="10">
                  <c:v>0.11827956989247312</c:v>
                </c:pt>
                <c:pt idx="11">
                  <c:v>0.12121212121212122</c:v>
                </c:pt>
                <c:pt idx="12">
                  <c:v>0.12149532710280374</c:v>
                </c:pt>
                <c:pt idx="13">
                  <c:v>0.15044247787610621</c:v>
                </c:pt>
                <c:pt idx="14">
                  <c:v>0.15873015873015872</c:v>
                </c:pt>
                <c:pt idx="15">
                  <c:v>0.15441176470588236</c:v>
                </c:pt>
                <c:pt idx="16">
                  <c:v>0.14685314685314685</c:v>
                </c:pt>
                <c:pt idx="17">
                  <c:v>0.15646258503401361</c:v>
                </c:pt>
                <c:pt idx="18">
                  <c:v>0.15923566878980891</c:v>
                </c:pt>
                <c:pt idx="19">
                  <c:v>0.15950920245398773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992869875222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ただ2!$I$3:$I$22</c:f>
              <c:numCache>
                <c:formatCode>0</c:formatCode>
                <c:ptCount val="20"/>
                <c:pt idx="1">
                  <c:v>1800</c:v>
                </c:pt>
                <c:pt idx="2">
                  <c:v>6028.5714285714284</c:v>
                </c:pt>
                <c:pt idx="3">
                  <c:v>6210</c:v>
                </c:pt>
                <c:pt idx="4">
                  <c:v>6126.666666666667</c:v>
                </c:pt>
                <c:pt idx="5">
                  <c:v>6126.666666666667</c:v>
                </c:pt>
                <c:pt idx="6">
                  <c:v>6288.2352941176468</c:v>
                </c:pt>
                <c:pt idx="7">
                  <c:v>6405</c:v>
                </c:pt>
                <c:pt idx="8">
                  <c:v>6031.818181818182</c:v>
                </c:pt>
                <c:pt idx="9">
                  <c:v>6414.8148148148148</c:v>
                </c:pt>
                <c:pt idx="10">
                  <c:v>6493.333333333333</c:v>
                </c:pt>
                <c:pt idx="11">
                  <c:v>6315.625</c:v>
                </c:pt>
                <c:pt idx="12">
                  <c:v>6532.3529411764703</c:v>
                </c:pt>
                <c:pt idx="13">
                  <c:v>6460</c:v>
                </c:pt>
                <c:pt idx="14">
                  <c:v>6669.2307692307695</c:v>
                </c:pt>
                <c:pt idx="15">
                  <c:v>6951.1627906976746</c:v>
                </c:pt>
                <c:pt idx="16">
                  <c:v>7095.652173913043</c:v>
                </c:pt>
                <c:pt idx="17">
                  <c:v>7095.652173913043</c:v>
                </c:pt>
                <c:pt idx="18">
                  <c:v>7087.5</c:v>
                </c:pt>
                <c:pt idx="19">
                  <c:v>7294.1176470588234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52.7272727272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ただ2!$J$3:$J$22</c:f>
              <c:numCache>
                <c:formatCode>0</c:formatCode>
                <c:ptCount val="20"/>
                <c:pt idx="1">
                  <c:v>0</c:v>
                </c:pt>
                <c:pt idx="2">
                  <c:v>-12000</c:v>
                </c:pt>
                <c:pt idx="3">
                  <c:v>-8866.6666666666661</c:v>
                </c:pt>
                <c:pt idx="4">
                  <c:v>-7625</c:v>
                </c:pt>
                <c:pt idx="5">
                  <c:v>-8500</c:v>
                </c:pt>
                <c:pt idx="6">
                  <c:v>-7733.333333333333</c:v>
                </c:pt>
                <c:pt idx="7">
                  <c:v>-7371.4285714285716</c:v>
                </c:pt>
                <c:pt idx="8">
                  <c:v>-7450</c:v>
                </c:pt>
                <c:pt idx="9">
                  <c:v>-7955.5555555555557</c:v>
                </c:pt>
                <c:pt idx="10">
                  <c:v>-7327.272727272727</c:v>
                </c:pt>
                <c:pt idx="11">
                  <c:v>-7150</c:v>
                </c:pt>
                <c:pt idx="12">
                  <c:v>-7830.7692307692305</c:v>
                </c:pt>
                <c:pt idx="13">
                  <c:v>-7641.1764705882351</c:v>
                </c:pt>
                <c:pt idx="14">
                  <c:v>-6980</c:v>
                </c:pt>
                <c:pt idx="15">
                  <c:v>-6771.4285714285716</c:v>
                </c:pt>
                <c:pt idx="16">
                  <c:v>-6771.4285714285716</c:v>
                </c:pt>
                <c:pt idx="17">
                  <c:v>-7226.086956521739</c:v>
                </c:pt>
                <c:pt idx="18">
                  <c:v>-7180</c:v>
                </c:pt>
                <c:pt idx="19">
                  <c:v>-7211.5384615384619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22.2826086956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ただ2!$K$3:$K$22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925925925925926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ただ2!$L$3:$L$22</c:f>
              <c:numCache>
                <c:formatCode>0.0%</c:formatCode>
                <c:ptCount val="20"/>
                <c:pt idx="1">
                  <c:v>0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0.25</c:v>
                </c:pt>
                <c:pt idx="5">
                  <c:v>0.21739130434782608</c:v>
                </c:pt>
                <c:pt idx="6">
                  <c:v>0.25</c:v>
                </c:pt>
                <c:pt idx="7">
                  <c:v>0.25</c:v>
                </c:pt>
                <c:pt idx="8">
                  <c:v>0.25714285714285712</c:v>
                </c:pt>
                <c:pt idx="9">
                  <c:v>0.24390243902439024</c:v>
                </c:pt>
                <c:pt idx="10">
                  <c:v>0.22580645161290322</c:v>
                </c:pt>
                <c:pt idx="11">
                  <c:v>0.23232323232323232</c:v>
                </c:pt>
                <c:pt idx="12">
                  <c:v>0.23364485981308411</c:v>
                </c:pt>
                <c:pt idx="13">
                  <c:v>0.23008849557522124</c:v>
                </c:pt>
                <c:pt idx="14">
                  <c:v>0.23015873015873015</c:v>
                </c:pt>
                <c:pt idx="15">
                  <c:v>0.22058823529411764</c:v>
                </c:pt>
                <c:pt idx="16">
                  <c:v>0.21678321678321677</c:v>
                </c:pt>
                <c:pt idx="17">
                  <c:v>0.21768707482993196</c:v>
                </c:pt>
                <c:pt idx="18">
                  <c:v>0.22292993630573249</c:v>
                </c:pt>
                <c:pt idx="19">
                  <c:v>0.23312883435582821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3315508021390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ただ2!$M$3:$M$22</c:f>
              <c:numCache>
                <c:formatCode>0.0%</c:formatCode>
                <c:ptCount val="20"/>
                <c:pt idx="1">
                  <c:v>0.25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0.17499999999999999</c:v>
                </c:pt>
                <c:pt idx="5">
                  <c:v>0.17391304347826086</c:v>
                </c:pt>
                <c:pt idx="6">
                  <c:v>0.21428571428571427</c:v>
                </c:pt>
                <c:pt idx="7">
                  <c:v>0.203125</c:v>
                </c:pt>
                <c:pt idx="8">
                  <c:v>0.2</c:v>
                </c:pt>
                <c:pt idx="9">
                  <c:v>0.1951219512195122</c:v>
                </c:pt>
                <c:pt idx="10">
                  <c:v>0.21505376344086022</c:v>
                </c:pt>
                <c:pt idx="11">
                  <c:v>0.21212121212121213</c:v>
                </c:pt>
                <c:pt idx="12">
                  <c:v>0.21495327102803738</c:v>
                </c:pt>
                <c:pt idx="13">
                  <c:v>0.24778761061946902</c:v>
                </c:pt>
                <c:pt idx="14">
                  <c:v>0.24603174603174602</c:v>
                </c:pt>
                <c:pt idx="15">
                  <c:v>0.26470588235294118</c:v>
                </c:pt>
                <c:pt idx="16">
                  <c:v>0.28671328671328672</c:v>
                </c:pt>
                <c:pt idx="17">
                  <c:v>0.2857142857142857</c:v>
                </c:pt>
                <c:pt idx="18">
                  <c:v>0.27388535031847133</c:v>
                </c:pt>
                <c:pt idx="19">
                  <c:v>0.26993865030674846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771836007130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ただ2!$N$3:$N$22</c:f>
              <c:numCache>
                <c:formatCode>0.0%</c:formatCode>
                <c:ptCount val="20"/>
                <c:pt idx="1">
                  <c:v>0</c:v>
                </c:pt>
                <c:pt idx="2">
                  <c:v>0.6</c:v>
                </c:pt>
                <c:pt idx="3">
                  <c:v>0.7142857142857143</c:v>
                </c:pt>
                <c:pt idx="4">
                  <c:v>0.8</c:v>
                </c:pt>
                <c:pt idx="5">
                  <c:v>0.8</c:v>
                </c:pt>
                <c:pt idx="6">
                  <c:v>0.6428571428571429</c:v>
                </c:pt>
                <c:pt idx="7">
                  <c:v>0.625</c:v>
                </c:pt>
                <c:pt idx="8">
                  <c:v>0.61111111111111116</c:v>
                </c:pt>
                <c:pt idx="9">
                  <c:v>0.6</c:v>
                </c:pt>
                <c:pt idx="10">
                  <c:v>0.5714285714285714</c:v>
                </c:pt>
                <c:pt idx="11">
                  <c:v>0.56521739130434778</c:v>
                </c:pt>
                <c:pt idx="12">
                  <c:v>0.52</c:v>
                </c:pt>
                <c:pt idx="13">
                  <c:v>0.5</c:v>
                </c:pt>
                <c:pt idx="14">
                  <c:v>0.48275862068965519</c:v>
                </c:pt>
                <c:pt idx="15">
                  <c:v>0.5</c:v>
                </c:pt>
                <c:pt idx="16">
                  <c:v>0.4838709677419355</c:v>
                </c:pt>
                <c:pt idx="17">
                  <c:v>0.46875</c:v>
                </c:pt>
                <c:pt idx="18">
                  <c:v>0.42857142857142855</c:v>
                </c:pt>
                <c:pt idx="19">
                  <c:v>0.47368421052631576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98168498168498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ただ2!$O$3:$O$22</c:f>
              <c:numCache>
                <c:formatCode>0.0%</c:formatCode>
                <c:ptCount val="20"/>
                <c:pt idx="1">
                  <c:v>0.5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0.5714285714285714</c:v>
                </c:pt>
                <c:pt idx="5">
                  <c:v>0.5</c:v>
                </c:pt>
                <c:pt idx="6">
                  <c:v>0.41666666666666669</c:v>
                </c:pt>
                <c:pt idx="7">
                  <c:v>0.46153846153846156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0.47619047619047616</c:v>
                </c:pt>
                <c:pt idx="12">
                  <c:v>0.43478260869565216</c:v>
                </c:pt>
                <c:pt idx="13">
                  <c:v>0.39285714285714285</c:v>
                </c:pt>
                <c:pt idx="14">
                  <c:v>0.41935483870967744</c:v>
                </c:pt>
                <c:pt idx="15">
                  <c:v>0.41666666666666669</c:v>
                </c:pt>
                <c:pt idx="16">
                  <c:v>0.43902439024390244</c:v>
                </c:pt>
                <c:pt idx="17">
                  <c:v>0.42857142857142855</c:v>
                </c:pt>
                <c:pt idx="18">
                  <c:v>0.44186046511627908</c:v>
                </c:pt>
                <c:pt idx="19">
                  <c:v>0.43181818181818182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3237410071942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ただ2!$P$3:$P$22</c:f>
              <c:numCache>
                <c:formatCode>0.0%</c:formatCode>
                <c:ptCount val="20"/>
                <c:pt idx="1">
                  <c:v>0</c:v>
                </c:pt>
                <c:pt idx="2">
                  <c:v>0.42857142857142855</c:v>
                </c:pt>
                <c:pt idx="3">
                  <c:v>0.5</c:v>
                </c:pt>
                <c:pt idx="4">
                  <c:v>0.4</c:v>
                </c:pt>
                <c:pt idx="5">
                  <c:v>0.4</c:v>
                </c:pt>
                <c:pt idx="6">
                  <c:v>0.41176470588235292</c:v>
                </c:pt>
                <c:pt idx="7">
                  <c:v>0.35</c:v>
                </c:pt>
                <c:pt idx="8">
                  <c:v>0.31818181818181818</c:v>
                </c:pt>
                <c:pt idx="9">
                  <c:v>0.40740740740740738</c:v>
                </c:pt>
                <c:pt idx="10">
                  <c:v>0.4</c:v>
                </c:pt>
                <c:pt idx="11">
                  <c:v>0.40625</c:v>
                </c:pt>
                <c:pt idx="12">
                  <c:v>0.41176470588235292</c:v>
                </c:pt>
                <c:pt idx="13">
                  <c:v>0.42857142857142855</c:v>
                </c:pt>
                <c:pt idx="14">
                  <c:v>0.41025641025641024</c:v>
                </c:pt>
                <c:pt idx="15">
                  <c:v>0.39534883720930231</c:v>
                </c:pt>
                <c:pt idx="16">
                  <c:v>0.39130434782608697</c:v>
                </c:pt>
                <c:pt idx="17">
                  <c:v>0.39130434782608697</c:v>
                </c:pt>
                <c:pt idx="18">
                  <c:v>0.39583333333333331</c:v>
                </c:pt>
                <c:pt idx="19">
                  <c:v>0.39215686274509803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393939393939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8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6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6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35</v>
      </c>
      <c r="C2" s="120">
        <v>1842.3339395535957</v>
      </c>
    </row>
    <row r="3" spans="1:3" x14ac:dyDescent="0.45">
      <c r="A3" t="s">
        <v>163</v>
      </c>
      <c r="B3" s="120">
        <v>12</v>
      </c>
      <c r="C3" s="120">
        <v>1653.1699313523677</v>
      </c>
    </row>
    <row r="4" spans="1:3" x14ac:dyDescent="0.45">
      <c r="A4" t="s">
        <v>139</v>
      </c>
      <c r="B4" s="120">
        <v>135</v>
      </c>
      <c r="C4" s="120">
        <v>1594.5463045050694</v>
      </c>
    </row>
    <row r="5" spans="1:3" x14ac:dyDescent="0.45">
      <c r="A5" t="s">
        <v>190</v>
      </c>
      <c r="B5" s="120">
        <v>10</v>
      </c>
      <c r="C5" s="120">
        <v>1524.3778689305989</v>
      </c>
    </row>
    <row r="6" spans="1:3" x14ac:dyDescent="0.45">
      <c r="A6" t="s">
        <v>192</v>
      </c>
      <c r="B6" s="120">
        <v>19</v>
      </c>
      <c r="C6" s="120">
        <v>1517.1288342047803</v>
      </c>
    </row>
    <row r="7" spans="1:3" x14ac:dyDescent="0.45">
      <c r="A7" t="s">
        <v>211</v>
      </c>
      <c r="B7" s="120">
        <v>19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16</v>
      </c>
      <c r="C10" s="120">
        <v>1433.30445236539</v>
      </c>
    </row>
    <row r="11" spans="1:3" x14ac:dyDescent="0.45">
      <c r="A11" t="s">
        <v>195</v>
      </c>
      <c r="B11" s="120">
        <v>4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14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0.77956707036565764</v>
      </c>
      <c r="C2" s="144"/>
      <c r="D2" s="143">
        <v>0.46394750843715482</v>
      </c>
      <c r="E2" s="144"/>
      <c r="F2" s="143">
        <v>0.18358640158261177</v>
      </c>
      <c r="G2" s="144"/>
      <c r="H2" s="145"/>
      <c r="I2" s="146"/>
      <c r="J2" s="143">
        <v>-4.1798592842951692E-4</v>
      </c>
      <c r="K2" s="144"/>
      <c r="L2" s="143">
        <v>0.14270948869771097</v>
      </c>
      <c r="M2" s="144"/>
      <c r="N2" s="143">
        <v>-0.1291407733302925</v>
      </c>
      <c r="O2" s="144"/>
      <c r="P2" s="143">
        <v>0.22005100223427321</v>
      </c>
      <c r="Q2" s="144"/>
      <c r="R2" s="143">
        <v>-0.12277690472360035</v>
      </c>
      <c r="S2" s="144"/>
      <c r="T2" s="143">
        <v>0.67778476370573992</v>
      </c>
      <c r="U2" s="144"/>
      <c r="V2" s="143">
        <v>-0.10249186804802947</v>
      </c>
      <c r="W2" s="144"/>
      <c r="X2" s="143">
        <v>-0.157817141770108</v>
      </c>
      <c r="Y2" s="144"/>
      <c r="Z2" s="143">
        <v>8.8987836750175728E-2</v>
      </c>
      <c r="AA2" s="144"/>
      <c r="AB2" s="143">
        <v>-0.32087949650789943</v>
      </c>
      <c r="AC2" s="144"/>
      <c r="AD2" s="143">
        <v>0.28567293523500276</v>
      </c>
      <c r="AE2" s="144"/>
      <c r="AF2" s="143">
        <v>0.13034849464211984</v>
      </c>
      <c r="AG2" s="144"/>
      <c r="AH2" s="143">
        <v>0.27314169911524677</v>
      </c>
      <c r="AI2" s="144"/>
      <c r="AJ2" s="143">
        <v>0.86507983087887352</v>
      </c>
      <c r="AK2" s="144"/>
    </row>
    <row r="3" spans="1:37" x14ac:dyDescent="0.45">
      <c r="A3" s="38">
        <v>1</v>
      </c>
      <c r="B3" s="41" t="s">
        <v>139</v>
      </c>
      <c r="C3" s="113">
        <v>45</v>
      </c>
      <c r="D3" s="39" t="s">
        <v>126</v>
      </c>
      <c r="E3" s="40">
        <v>196.8</v>
      </c>
      <c r="F3" s="41" t="s">
        <v>211</v>
      </c>
      <c r="G3" s="60">
        <v>6.6736842105263161</v>
      </c>
      <c r="H3" s="41" t="s">
        <v>126</v>
      </c>
      <c r="I3" s="45">
        <v>1829.8985077648213</v>
      </c>
      <c r="J3" s="41" t="s">
        <v>211</v>
      </c>
      <c r="K3" s="42">
        <v>1.8421052631578947</v>
      </c>
      <c r="L3" s="41" t="s">
        <v>195</v>
      </c>
      <c r="M3" s="43">
        <v>0.5</v>
      </c>
      <c r="N3" s="41" t="s">
        <v>189</v>
      </c>
      <c r="O3" s="43">
        <v>0.25</v>
      </c>
      <c r="P3" s="41" t="s">
        <v>211</v>
      </c>
      <c r="Q3" s="44">
        <v>0.33774834437086093</v>
      </c>
      <c r="R3" s="41" t="s">
        <v>190</v>
      </c>
      <c r="S3" s="44">
        <v>6.4935064935064929E-2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190</v>
      </c>
      <c r="Y3" s="43">
        <v>0</v>
      </c>
      <c r="Z3" s="41" t="s">
        <v>190</v>
      </c>
      <c r="AA3" s="44">
        <v>0.27272727272727271</v>
      </c>
      <c r="AB3" s="41" t="s">
        <v>189</v>
      </c>
      <c r="AC3" s="44">
        <v>0.33566433566433568</v>
      </c>
      <c r="AD3" s="41" t="s">
        <v>195</v>
      </c>
      <c r="AE3" s="44">
        <v>0.77777777777777779</v>
      </c>
      <c r="AF3" s="41" t="s">
        <v>211</v>
      </c>
      <c r="AG3" s="44">
        <v>0.58974358974358976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35</v>
      </c>
      <c r="D4" s="47" t="s">
        <v>211</v>
      </c>
      <c r="E4" s="48">
        <v>126.80000000000001</v>
      </c>
      <c r="F4" s="49" t="s">
        <v>126</v>
      </c>
      <c r="G4" s="61">
        <v>5.6228571428571428</v>
      </c>
      <c r="H4" s="49" t="s">
        <v>163</v>
      </c>
      <c r="I4" s="53">
        <v>1627.1676972637965</v>
      </c>
      <c r="J4" s="49" t="s">
        <v>189</v>
      </c>
      <c r="K4" s="50">
        <v>1.875</v>
      </c>
      <c r="L4" s="49" t="s">
        <v>211</v>
      </c>
      <c r="M4" s="51">
        <v>0.42105263157894735</v>
      </c>
      <c r="N4" s="49" t="s">
        <v>192</v>
      </c>
      <c r="O4" s="51">
        <v>0.26315789473684209</v>
      </c>
      <c r="P4" s="49" t="s">
        <v>126</v>
      </c>
      <c r="Q4" s="52">
        <v>0.32517482517482516</v>
      </c>
      <c r="R4" s="49" t="s">
        <v>195</v>
      </c>
      <c r="S4" s="52">
        <v>0.1388888888888889</v>
      </c>
      <c r="T4" s="49" t="s">
        <v>163</v>
      </c>
      <c r="U4" s="53">
        <v>9504</v>
      </c>
      <c r="V4" s="49" t="s">
        <v>195</v>
      </c>
      <c r="W4" s="53">
        <v>-6380</v>
      </c>
      <c r="X4" s="49" t="s">
        <v>189</v>
      </c>
      <c r="Y4" s="51">
        <v>0</v>
      </c>
      <c r="Z4" s="49" t="s">
        <v>126</v>
      </c>
      <c r="AA4" s="52">
        <v>0.25874125874125875</v>
      </c>
      <c r="AB4" s="49" t="s">
        <v>193</v>
      </c>
      <c r="AC4" s="52">
        <v>0.2857142857142857</v>
      </c>
      <c r="AD4" s="49" t="s">
        <v>126</v>
      </c>
      <c r="AE4" s="52">
        <v>0.56756756756756754</v>
      </c>
      <c r="AF4" s="49" t="s">
        <v>195</v>
      </c>
      <c r="AG4" s="52">
        <v>0.5</v>
      </c>
      <c r="AH4" s="49" t="s">
        <v>195</v>
      </c>
      <c r="AI4" s="52">
        <v>0.77777777777777779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19</v>
      </c>
      <c r="D5" s="47" t="s">
        <v>189</v>
      </c>
      <c r="E5" s="48">
        <v>38.600000000000009</v>
      </c>
      <c r="F5" s="49" t="s">
        <v>189</v>
      </c>
      <c r="G5" s="61">
        <v>2.4125000000000005</v>
      </c>
      <c r="H5" s="49" t="s">
        <v>139</v>
      </c>
      <c r="I5" s="53">
        <v>1595.0603106338692</v>
      </c>
      <c r="J5" s="49" t="s">
        <v>192</v>
      </c>
      <c r="K5" s="50">
        <v>1.8947368421052631</v>
      </c>
      <c r="L5" s="49" t="s">
        <v>163</v>
      </c>
      <c r="M5" s="51">
        <v>0.41666666666666669</v>
      </c>
      <c r="N5" s="49" t="s">
        <v>211</v>
      </c>
      <c r="O5" s="51">
        <v>0.26315789473684209</v>
      </c>
      <c r="P5" s="49" t="s">
        <v>189</v>
      </c>
      <c r="Q5" s="52">
        <v>0.31468531468531469</v>
      </c>
      <c r="R5" s="49" t="s">
        <v>211</v>
      </c>
      <c r="S5" s="52">
        <v>0.15231788079470199</v>
      </c>
      <c r="T5" s="49" t="s">
        <v>195</v>
      </c>
      <c r="U5" s="53">
        <v>9022.2222222222226</v>
      </c>
      <c r="V5" s="49" t="s">
        <v>126</v>
      </c>
      <c r="W5" s="53">
        <v>-6536.95652173913</v>
      </c>
      <c r="X5" s="49" t="s">
        <v>195</v>
      </c>
      <c r="Y5" s="51">
        <v>0</v>
      </c>
      <c r="Z5" s="49" t="s">
        <v>189</v>
      </c>
      <c r="AA5" s="52">
        <v>0.25874125874125875</v>
      </c>
      <c r="AB5" s="49" t="s">
        <v>221</v>
      </c>
      <c r="AC5" s="52">
        <v>0.27777777777777779</v>
      </c>
      <c r="AD5" s="49" t="s">
        <v>211</v>
      </c>
      <c r="AE5" s="52">
        <v>0.54545454545454541</v>
      </c>
      <c r="AF5" s="49" t="s">
        <v>126</v>
      </c>
      <c r="AG5" s="52">
        <v>0.48484848484848486</v>
      </c>
      <c r="AH5" s="49" t="s">
        <v>126</v>
      </c>
      <c r="AI5" s="52">
        <v>0.5053763440860215</v>
      </c>
      <c r="AJ5" s="49" t="s">
        <v>211</v>
      </c>
      <c r="AK5" s="56">
        <v>80600</v>
      </c>
    </row>
    <row r="6" spans="1:37" x14ac:dyDescent="0.45">
      <c r="A6" s="46">
        <v>4</v>
      </c>
      <c r="B6" s="49" t="s">
        <v>211</v>
      </c>
      <c r="C6" s="114">
        <v>19</v>
      </c>
      <c r="D6" s="47" t="s">
        <v>192</v>
      </c>
      <c r="E6" s="48">
        <v>8.5000000000000036</v>
      </c>
      <c r="F6" s="49" t="s">
        <v>192</v>
      </c>
      <c r="G6" s="61">
        <v>0.44736842105263175</v>
      </c>
      <c r="H6" s="49" t="s">
        <v>192</v>
      </c>
      <c r="I6" s="53">
        <v>1526.4314438211652</v>
      </c>
      <c r="J6" s="49" t="s">
        <v>126</v>
      </c>
      <c r="K6" s="50">
        <v>1.9428571428571428</v>
      </c>
      <c r="L6" s="49" t="s">
        <v>189</v>
      </c>
      <c r="M6" s="51">
        <v>0.375</v>
      </c>
      <c r="N6" s="49" t="s">
        <v>126</v>
      </c>
      <c r="O6" s="51">
        <v>0.2857142857142857</v>
      </c>
      <c r="P6" s="49" t="s">
        <v>192</v>
      </c>
      <c r="Q6" s="52">
        <v>0.31288343558282211</v>
      </c>
      <c r="R6" s="49" t="s">
        <v>189</v>
      </c>
      <c r="S6" s="52">
        <v>0.15384615384615385</v>
      </c>
      <c r="T6" s="49" t="s">
        <v>126</v>
      </c>
      <c r="U6" s="53">
        <v>8861.2903225806458</v>
      </c>
      <c r="V6" s="49" t="s">
        <v>189</v>
      </c>
      <c r="W6" s="53">
        <v>-6727.272727272727</v>
      </c>
      <c r="X6" s="49" t="s">
        <v>193</v>
      </c>
      <c r="Y6" s="51">
        <v>0</v>
      </c>
      <c r="Z6" s="49" t="s">
        <v>193</v>
      </c>
      <c r="AA6" s="52">
        <v>0.25714285714285712</v>
      </c>
      <c r="AB6" s="49" t="s">
        <v>192</v>
      </c>
      <c r="AC6" s="52">
        <v>0.26993865030674846</v>
      </c>
      <c r="AD6" s="49" t="s">
        <v>190</v>
      </c>
      <c r="AE6" s="52">
        <v>0.52380952380952384</v>
      </c>
      <c r="AF6" s="49" t="s">
        <v>189</v>
      </c>
      <c r="AG6" s="52">
        <v>0.45833333333333331</v>
      </c>
      <c r="AH6" s="49" t="s">
        <v>189</v>
      </c>
      <c r="AI6" s="52">
        <v>0.48888888888888887</v>
      </c>
      <c r="AJ6" s="49" t="s">
        <v>190</v>
      </c>
      <c r="AK6" s="56">
        <v>80000</v>
      </c>
    </row>
    <row r="7" spans="1:37" x14ac:dyDescent="0.45">
      <c r="A7" s="46">
        <v>5</v>
      </c>
      <c r="B7" s="49" t="s">
        <v>189</v>
      </c>
      <c r="C7" s="114">
        <v>16</v>
      </c>
      <c r="D7" s="47" t="s">
        <v>139</v>
      </c>
      <c r="E7" s="48">
        <v>2.4868995751603507E-14</v>
      </c>
      <c r="F7" s="49" t="s">
        <v>139</v>
      </c>
      <c r="G7" s="61">
        <v>1.8421478334521115E-16</v>
      </c>
      <c r="H7" s="49" t="s">
        <v>211</v>
      </c>
      <c r="I7" s="53">
        <v>1520.8008041195092</v>
      </c>
      <c r="J7" s="49" t="s">
        <v>139</v>
      </c>
      <c r="K7" s="50">
        <v>1.9925925925925927</v>
      </c>
      <c r="L7" s="49" t="s">
        <v>192</v>
      </c>
      <c r="M7" s="51">
        <v>0.36842105263157893</v>
      </c>
      <c r="N7" s="49" t="s">
        <v>190</v>
      </c>
      <c r="O7" s="51">
        <v>0.3</v>
      </c>
      <c r="P7" s="49" t="s">
        <v>139</v>
      </c>
      <c r="Q7" s="52">
        <v>0.29411764705882354</v>
      </c>
      <c r="R7" s="49" t="s">
        <v>192</v>
      </c>
      <c r="S7" s="52">
        <v>0.15950920245398773</v>
      </c>
      <c r="T7" s="49" t="s">
        <v>193</v>
      </c>
      <c r="U7" s="53">
        <v>8212.5</v>
      </c>
      <c r="V7" s="49" t="s">
        <v>192</v>
      </c>
      <c r="W7" s="53">
        <v>-7211.5384615384619</v>
      </c>
      <c r="X7" s="49" t="s">
        <v>221</v>
      </c>
      <c r="Y7" s="51">
        <v>0</v>
      </c>
      <c r="Z7" s="49" t="s">
        <v>195</v>
      </c>
      <c r="AA7" s="52">
        <v>0.25</v>
      </c>
      <c r="AB7" s="49" t="s">
        <v>211</v>
      </c>
      <c r="AC7" s="52">
        <v>0.25827814569536423</v>
      </c>
      <c r="AD7" s="49" t="s">
        <v>139</v>
      </c>
      <c r="AE7" s="52">
        <v>0.49816849816849818</v>
      </c>
      <c r="AF7" s="49" t="s">
        <v>139</v>
      </c>
      <c r="AG7" s="52">
        <v>0.45323741007194246</v>
      </c>
      <c r="AH7" s="49" t="s">
        <v>216</v>
      </c>
      <c r="AI7" s="52">
        <v>0.44</v>
      </c>
      <c r="AJ7" s="49" t="s">
        <v>163</v>
      </c>
      <c r="AK7" s="56">
        <v>74600</v>
      </c>
    </row>
    <row r="8" spans="1:37" x14ac:dyDescent="0.45">
      <c r="A8" s="46">
        <v>6</v>
      </c>
      <c r="B8" s="49" t="s">
        <v>216</v>
      </c>
      <c r="C8" s="114">
        <v>14</v>
      </c>
      <c r="D8" s="47" t="s">
        <v>221</v>
      </c>
      <c r="E8" s="48">
        <v>-13.5</v>
      </c>
      <c r="F8" s="49" t="s">
        <v>195</v>
      </c>
      <c r="G8" s="61">
        <v>-3.6749999999999989</v>
      </c>
      <c r="H8" s="49" t="s">
        <v>190</v>
      </c>
      <c r="I8" s="53">
        <v>1519.2183815819624</v>
      </c>
      <c r="J8" s="49" t="s">
        <v>195</v>
      </c>
      <c r="K8" s="50">
        <v>2</v>
      </c>
      <c r="L8" s="49" t="s">
        <v>126</v>
      </c>
      <c r="M8" s="51">
        <v>0.34285714285714286</v>
      </c>
      <c r="N8" s="49" t="s">
        <v>139</v>
      </c>
      <c r="O8" s="51">
        <v>0.33333333333333331</v>
      </c>
      <c r="P8" s="49" t="s">
        <v>195</v>
      </c>
      <c r="Q8" s="52">
        <v>0.25</v>
      </c>
      <c r="R8" s="49" t="s">
        <v>126</v>
      </c>
      <c r="S8" s="52">
        <v>0.16083916083916083</v>
      </c>
      <c r="T8" s="49" t="s">
        <v>211</v>
      </c>
      <c r="U8" s="53">
        <v>8115.6862745098042</v>
      </c>
      <c r="V8" s="49" t="s">
        <v>139</v>
      </c>
      <c r="W8" s="53">
        <v>-7322.282608695652</v>
      </c>
      <c r="X8" s="49" t="s">
        <v>126</v>
      </c>
      <c r="Y8" s="51">
        <v>2.8571428571428571E-2</v>
      </c>
      <c r="Z8" s="49" t="s">
        <v>139</v>
      </c>
      <c r="AA8" s="52">
        <v>0.24331550802139038</v>
      </c>
      <c r="AB8" s="49" t="s">
        <v>139</v>
      </c>
      <c r="AC8" s="52">
        <v>0.24777183600713013</v>
      </c>
      <c r="AD8" s="49" t="s">
        <v>192</v>
      </c>
      <c r="AE8" s="52">
        <v>0.47368421052631576</v>
      </c>
      <c r="AF8" s="49" t="s">
        <v>190</v>
      </c>
      <c r="AG8" s="52">
        <v>0.4375</v>
      </c>
      <c r="AH8" s="49" t="s">
        <v>139</v>
      </c>
      <c r="AI8" s="52">
        <v>0.43939393939393939</v>
      </c>
      <c r="AJ8" s="49" t="s">
        <v>216</v>
      </c>
      <c r="AK8" s="56">
        <v>74600</v>
      </c>
    </row>
    <row r="9" spans="1:37" x14ac:dyDescent="0.45">
      <c r="A9" s="46">
        <v>7</v>
      </c>
      <c r="B9" s="49" t="s">
        <v>163</v>
      </c>
      <c r="C9" s="114">
        <v>12</v>
      </c>
      <c r="D9" s="47" t="s">
        <v>195</v>
      </c>
      <c r="E9" s="48">
        <v>-14.699999999999996</v>
      </c>
      <c r="F9" s="49" t="s">
        <v>190</v>
      </c>
      <c r="G9" s="61">
        <v>-5.5</v>
      </c>
      <c r="H9" s="49" t="s">
        <v>221</v>
      </c>
      <c r="I9" s="53">
        <v>1497.379788</v>
      </c>
      <c r="J9" s="49" t="s">
        <v>216</v>
      </c>
      <c r="K9" s="50">
        <v>2.1428571428571428</v>
      </c>
      <c r="L9" s="49" t="s">
        <v>139</v>
      </c>
      <c r="M9" s="51">
        <v>0.34074074074074073</v>
      </c>
      <c r="N9" s="49" t="s">
        <v>216</v>
      </c>
      <c r="O9" s="51">
        <v>0.42857142857142855</v>
      </c>
      <c r="P9" s="49" t="s">
        <v>190</v>
      </c>
      <c r="Q9" s="52">
        <v>0.24675324675324675</v>
      </c>
      <c r="R9" s="49" t="s">
        <v>139</v>
      </c>
      <c r="S9" s="52">
        <v>0.16399286987522282</v>
      </c>
      <c r="T9" s="49" t="s">
        <v>139</v>
      </c>
      <c r="U9" s="53">
        <v>8052.727272727273</v>
      </c>
      <c r="V9" s="49" t="s">
        <v>211</v>
      </c>
      <c r="W9" s="53">
        <v>-7365.217391304348</v>
      </c>
      <c r="X9" s="49" t="s">
        <v>211</v>
      </c>
      <c r="Y9" s="51">
        <v>5.2631578947368418E-2</v>
      </c>
      <c r="Z9" s="49" t="s">
        <v>216</v>
      </c>
      <c r="AA9" s="52">
        <v>0.23423423423423423</v>
      </c>
      <c r="AB9" s="49" t="s">
        <v>163</v>
      </c>
      <c r="AC9" s="52">
        <v>0.24509803921568626</v>
      </c>
      <c r="AD9" s="49" t="s">
        <v>216</v>
      </c>
      <c r="AE9" s="52">
        <v>0.46153846153846156</v>
      </c>
      <c r="AF9" s="49" t="s">
        <v>192</v>
      </c>
      <c r="AG9" s="52">
        <v>0.43181818181818182</v>
      </c>
      <c r="AH9" s="49" t="s">
        <v>192</v>
      </c>
      <c r="AI9" s="52">
        <v>0.39215686274509803</v>
      </c>
      <c r="AJ9" s="49" t="s">
        <v>192</v>
      </c>
      <c r="AK9" s="56">
        <v>67700</v>
      </c>
    </row>
    <row r="10" spans="1:37" x14ac:dyDescent="0.45">
      <c r="A10" s="46">
        <v>8</v>
      </c>
      <c r="B10" s="49" t="s">
        <v>190</v>
      </c>
      <c r="C10" s="114">
        <v>10</v>
      </c>
      <c r="D10" s="47" t="s">
        <v>193</v>
      </c>
      <c r="E10" s="48">
        <v>-51.699999999999996</v>
      </c>
      <c r="F10" s="49" t="s">
        <v>221</v>
      </c>
      <c r="G10" s="61">
        <v>-6.75</v>
      </c>
      <c r="H10" s="49" t="s">
        <v>216</v>
      </c>
      <c r="I10" s="53">
        <v>1488.317150804671</v>
      </c>
      <c r="J10" s="49" t="s">
        <v>163</v>
      </c>
      <c r="K10" s="50">
        <v>2.1666666666666665</v>
      </c>
      <c r="L10" s="49" t="s">
        <v>216</v>
      </c>
      <c r="M10" s="51">
        <v>0.2857142857142857</v>
      </c>
      <c r="N10" s="49" t="s">
        <v>195</v>
      </c>
      <c r="O10" s="51">
        <v>0.5</v>
      </c>
      <c r="P10" s="49" t="s">
        <v>163</v>
      </c>
      <c r="Q10" s="52">
        <v>0.24509803921568626</v>
      </c>
      <c r="R10" s="49" t="s">
        <v>221</v>
      </c>
      <c r="S10" s="52">
        <v>0.16666666666666666</v>
      </c>
      <c r="T10" s="49" t="s">
        <v>216</v>
      </c>
      <c r="U10" s="53">
        <v>7796</v>
      </c>
      <c r="V10" s="49" t="s">
        <v>216</v>
      </c>
      <c r="W10" s="53">
        <v>-7654.166666666667</v>
      </c>
      <c r="X10" s="49" t="s">
        <v>139</v>
      </c>
      <c r="Y10" s="51">
        <v>5.9259259259259262E-2</v>
      </c>
      <c r="Z10" s="49" t="s">
        <v>192</v>
      </c>
      <c r="AA10" s="52">
        <v>0.23312883435582821</v>
      </c>
      <c r="AB10" s="49" t="s">
        <v>126</v>
      </c>
      <c r="AC10" s="52">
        <v>0.23076923076923078</v>
      </c>
      <c r="AD10" s="49" t="s">
        <v>189</v>
      </c>
      <c r="AE10" s="52">
        <v>0.45945945945945948</v>
      </c>
      <c r="AF10" s="49" t="s">
        <v>193</v>
      </c>
      <c r="AG10" s="52">
        <v>0.4</v>
      </c>
      <c r="AH10" s="49" t="s">
        <v>211</v>
      </c>
      <c r="AI10" s="52">
        <v>0.39215686274509803</v>
      </c>
      <c r="AJ10" s="49" t="s">
        <v>189</v>
      </c>
      <c r="AK10" s="56">
        <v>61300</v>
      </c>
    </row>
    <row r="11" spans="1:37" x14ac:dyDescent="0.45">
      <c r="A11" s="46">
        <v>9</v>
      </c>
      <c r="B11" s="49" t="s">
        <v>195</v>
      </c>
      <c r="C11" s="114">
        <v>4</v>
      </c>
      <c r="D11" s="47" t="s">
        <v>190</v>
      </c>
      <c r="E11" s="48">
        <v>-55</v>
      </c>
      <c r="F11" s="49" t="s">
        <v>216</v>
      </c>
      <c r="G11" s="61">
        <v>-6.8285714285714283</v>
      </c>
      <c r="H11" s="49" t="s">
        <v>189</v>
      </c>
      <c r="I11" s="53">
        <v>1453.0914330069634</v>
      </c>
      <c r="J11" s="49" t="s">
        <v>190</v>
      </c>
      <c r="K11" s="50">
        <v>2.2000000000000002</v>
      </c>
      <c r="L11" s="49" t="s">
        <v>193</v>
      </c>
      <c r="M11" s="51">
        <v>0.25</v>
      </c>
      <c r="N11" s="49" t="s">
        <v>193</v>
      </c>
      <c r="O11" s="51">
        <v>0.5</v>
      </c>
      <c r="P11" s="49" t="s">
        <v>193</v>
      </c>
      <c r="Q11" s="52">
        <v>0.22857142857142856</v>
      </c>
      <c r="R11" s="49" t="s">
        <v>163</v>
      </c>
      <c r="S11" s="52">
        <v>0.21568627450980393</v>
      </c>
      <c r="T11" s="49" t="s">
        <v>192</v>
      </c>
      <c r="U11" s="53">
        <v>7294.1176470588234</v>
      </c>
      <c r="V11" s="49" t="s">
        <v>163</v>
      </c>
      <c r="W11" s="53">
        <v>-9236.363636363636</v>
      </c>
      <c r="X11" s="49" t="s">
        <v>216</v>
      </c>
      <c r="Y11" s="51">
        <v>7.1428571428571425E-2</v>
      </c>
      <c r="Z11" s="49" t="s">
        <v>221</v>
      </c>
      <c r="AA11" s="52">
        <v>0.22222222222222221</v>
      </c>
      <c r="AB11" s="49" t="s">
        <v>190</v>
      </c>
      <c r="AC11" s="52">
        <v>0.20779220779220781</v>
      </c>
      <c r="AD11" s="49" t="s">
        <v>163</v>
      </c>
      <c r="AE11" s="52">
        <v>0.36363636363636365</v>
      </c>
      <c r="AF11" s="49" t="s">
        <v>221</v>
      </c>
      <c r="AG11" s="52">
        <v>0.4</v>
      </c>
      <c r="AH11" s="49" t="s">
        <v>163</v>
      </c>
      <c r="AI11" s="52">
        <v>0.36</v>
      </c>
      <c r="AJ11" s="49" t="s">
        <v>195</v>
      </c>
      <c r="AK11" s="56">
        <v>49300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216</v>
      </c>
      <c r="E12" s="48">
        <v>-95.6</v>
      </c>
      <c r="F12" s="49" t="s">
        <v>163</v>
      </c>
      <c r="G12" s="61">
        <v>-11.683333333333337</v>
      </c>
      <c r="H12" s="49" t="s">
        <v>195</v>
      </c>
      <c r="I12" s="53">
        <v>1393.6019525837494</v>
      </c>
      <c r="J12" s="49" t="s">
        <v>193</v>
      </c>
      <c r="K12" s="50">
        <v>2.25</v>
      </c>
      <c r="L12" s="49" t="s">
        <v>190</v>
      </c>
      <c r="M12" s="51">
        <v>0.1</v>
      </c>
      <c r="N12" s="49" t="s">
        <v>221</v>
      </c>
      <c r="O12" s="51">
        <v>0.5</v>
      </c>
      <c r="P12" s="49" t="s">
        <v>216</v>
      </c>
      <c r="Q12" s="52">
        <v>0.22522522522522523</v>
      </c>
      <c r="R12" s="49" t="s">
        <v>216</v>
      </c>
      <c r="S12" s="52">
        <v>0.21621621621621623</v>
      </c>
      <c r="T12" s="49" t="s">
        <v>189</v>
      </c>
      <c r="U12" s="53">
        <v>6704.4444444444443</v>
      </c>
      <c r="V12" s="49" t="s">
        <v>193</v>
      </c>
      <c r="W12" s="53">
        <v>-9387.5</v>
      </c>
      <c r="X12" s="49" t="s">
        <v>192</v>
      </c>
      <c r="Y12" s="51">
        <v>0.10526315789473684</v>
      </c>
      <c r="Z12" s="49" t="s">
        <v>211</v>
      </c>
      <c r="AA12" s="52">
        <v>0.2185430463576159</v>
      </c>
      <c r="AB12" s="49" t="s">
        <v>216</v>
      </c>
      <c r="AC12" s="52">
        <v>0.2072072072072072</v>
      </c>
      <c r="AD12" s="49" t="s">
        <v>221</v>
      </c>
      <c r="AE12" s="52">
        <v>0.25</v>
      </c>
      <c r="AF12" s="49" t="s">
        <v>163</v>
      </c>
      <c r="AG12" s="52">
        <v>0.36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163</v>
      </c>
      <c r="E13" s="48">
        <v>-140.20000000000005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163</v>
      </c>
      <c r="O13" s="51">
        <v>0.58333333333333337</v>
      </c>
      <c r="P13" s="49" t="s">
        <v>221</v>
      </c>
      <c r="Q13" s="52">
        <v>0.22222222222222221</v>
      </c>
      <c r="R13" s="49" t="s">
        <v>193</v>
      </c>
      <c r="S13" s="52">
        <v>0.22857142857142856</v>
      </c>
      <c r="T13" s="49" t="s">
        <v>190</v>
      </c>
      <c r="U13" s="53">
        <v>6452.6315789473683</v>
      </c>
      <c r="V13" s="49" t="s">
        <v>221</v>
      </c>
      <c r="W13" s="53">
        <v>-10300</v>
      </c>
      <c r="X13" s="49" t="s">
        <v>163</v>
      </c>
      <c r="Y13" s="51">
        <v>0.25</v>
      </c>
      <c r="Z13" s="49" t="s">
        <v>163</v>
      </c>
      <c r="AA13" s="52">
        <v>0.21568627450980393</v>
      </c>
      <c r="AB13" s="49" t="s">
        <v>195</v>
      </c>
      <c r="AC13" s="52">
        <v>5.5555555555555552E-2</v>
      </c>
      <c r="AD13" s="49" t="s">
        <v>193</v>
      </c>
      <c r="AE13" s="52">
        <v>0.22222222222222221</v>
      </c>
      <c r="AF13" s="49" t="s">
        <v>216</v>
      </c>
      <c r="AG13" s="52">
        <v>0.30434782608695654</v>
      </c>
      <c r="AH13" s="49" t="s">
        <v>190</v>
      </c>
      <c r="AI13" s="52">
        <v>0.15789473684210525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110D3-1CB3-43DD-992A-373B4C5579F0}">
  <sheetPr codeName="Sheet4"/>
  <dimension ref="A1:R13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135</v>
      </c>
      <c r="C2" s="134"/>
      <c r="E2" s="26" t="s">
        <v>66</v>
      </c>
      <c r="F2" s="23" t="s">
        <v>22</v>
      </c>
      <c r="G2" s="11">
        <v>256</v>
      </c>
      <c r="H2" s="87">
        <f>IF(B$20=0,0,G2/B$20)</f>
        <v>0.77575757575757576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-44.444444444444443</v>
      </c>
      <c r="Q2" s="76">
        <v>135</v>
      </c>
      <c r="R2" s="63">
        <v>-6000</v>
      </c>
    </row>
    <row r="3" spans="1:18" x14ac:dyDescent="0.45">
      <c r="A3" s="19" t="s">
        <v>8</v>
      </c>
      <c r="B3" s="135">
        <v>1122</v>
      </c>
      <c r="C3" s="136"/>
      <c r="E3" s="27" t="s">
        <v>72</v>
      </c>
      <c r="F3" s="24" t="s">
        <v>27</v>
      </c>
      <c r="G3" s="12">
        <v>219</v>
      </c>
      <c r="H3" s="88">
        <f>IF(B$20=0,0,G3/B$20)</f>
        <v>0.66363636363636369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45.454545454545453</v>
      </c>
      <c r="Q3" s="77">
        <v>132</v>
      </c>
      <c r="R3" s="64">
        <v>6000</v>
      </c>
    </row>
    <row r="4" spans="1:18" x14ac:dyDescent="0.45">
      <c r="A4" s="19" t="s">
        <v>6</v>
      </c>
      <c r="B4" s="137">
        <v>2.4868995751603507E-14</v>
      </c>
      <c r="C4" s="138"/>
      <c r="E4" s="27" t="s">
        <v>64</v>
      </c>
      <c r="F4" s="24" t="s">
        <v>20</v>
      </c>
      <c r="G4" s="12">
        <v>128</v>
      </c>
      <c r="H4" s="88">
        <f>IF(B$20=0,0,G4/B$20)</f>
        <v>0.38787878787878788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-22.727272727272727</v>
      </c>
      <c r="Q4" s="77">
        <v>132</v>
      </c>
      <c r="R4" s="64">
        <v>-3000</v>
      </c>
    </row>
    <row r="5" spans="1:18" x14ac:dyDescent="0.45">
      <c r="A5" s="19" t="s">
        <v>7</v>
      </c>
      <c r="B5" s="125">
        <f>IF(B$2=0,0,B$4/B$2)</f>
        <v>1.8421478334521115E-16</v>
      </c>
      <c r="C5" s="126"/>
      <c r="E5" s="27" t="s">
        <v>159</v>
      </c>
      <c r="F5" s="24" t="s">
        <v>160</v>
      </c>
      <c r="G5" s="12">
        <v>119</v>
      </c>
      <c r="H5" s="88">
        <f>IF(B$20=0,0,G5/B$20)</f>
        <v>0.3606060606060606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24.390243902439025</v>
      </c>
      <c r="Q5" s="77">
        <v>123</v>
      </c>
      <c r="R5" s="64">
        <v>3000</v>
      </c>
    </row>
    <row r="6" spans="1:18" x14ac:dyDescent="0.45">
      <c r="A6" s="19" t="s">
        <v>196</v>
      </c>
      <c r="B6" s="129">
        <v>1595.0603106338692</v>
      </c>
      <c r="C6" s="130"/>
      <c r="E6" s="27" t="s">
        <v>68</v>
      </c>
      <c r="F6" s="24" t="s">
        <v>12</v>
      </c>
      <c r="G6" s="12">
        <v>97</v>
      </c>
      <c r="H6" s="88">
        <f>IF(B$20=0,0,G6/B$20)</f>
        <v>0.29393939393939394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-27.027027027027028</v>
      </c>
      <c r="Q6" s="77">
        <v>111</v>
      </c>
      <c r="R6" s="64">
        <v>-3000</v>
      </c>
    </row>
    <row r="7" spans="1:18" x14ac:dyDescent="0.45">
      <c r="A7" s="19" t="s">
        <v>1</v>
      </c>
      <c r="B7" s="139">
        <f>IF(B$2=0,0,(B$8*1+B$9*2+B$10*3)/B$2)</f>
        <v>1.9925925925925927</v>
      </c>
      <c r="C7" s="140"/>
      <c r="E7" s="27" t="s">
        <v>67</v>
      </c>
      <c r="F7" s="24" t="s">
        <v>23</v>
      </c>
      <c r="G7" s="12">
        <v>73</v>
      </c>
      <c r="H7" s="88">
        <f>IF(B$20=0,0,G7/B$20)</f>
        <v>0.22121212121212122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30.303030303030305</v>
      </c>
      <c r="Q7" s="78">
        <v>99</v>
      </c>
      <c r="R7" s="65">
        <v>3000</v>
      </c>
    </row>
    <row r="8" spans="1:18" x14ac:dyDescent="0.45">
      <c r="A8" s="19" t="s">
        <v>2</v>
      </c>
      <c r="B8" s="12">
        <v>46</v>
      </c>
      <c r="C8" s="6">
        <f t="shared" ref="C8:C15" si="1">IF(B$2=0,0,B8/B$2)</f>
        <v>0.34074074074074073</v>
      </c>
      <c r="E8" s="27" t="s">
        <v>89</v>
      </c>
      <c r="F8" s="24" t="s">
        <v>44</v>
      </c>
      <c r="G8" s="12">
        <v>54</v>
      </c>
      <c r="H8" s="88">
        <f>IF(B$20=0,0,G8/B$20)</f>
        <v>0.16363636363636364</v>
      </c>
      <c r="I8" s="58">
        <v>5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44</v>
      </c>
      <c r="C9" s="6">
        <f t="shared" si="1"/>
        <v>0.32592592592592595</v>
      </c>
      <c r="E9" s="27" t="s">
        <v>69</v>
      </c>
      <c r="F9" s="24" t="s">
        <v>24</v>
      </c>
      <c r="G9" s="12">
        <v>38</v>
      </c>
      <c r="H9" s="88">
        <f>IF(B$20=0,0,G9/B$20)</f>
        <v>0.11515151515151516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45</v>
      </c>
      <c r="C10" s="7">
        <f t="shared" si="1"/>
        <v>0.33333333333333331</v>
      </c>
      <c r="E10" s="27" t="s">
        <v>70</v>
      </c>
      <c r="F10" s="24" t="s">
        <v>25</v>
      </c>
      <c r="G10" s="12">
        <v>31</v>
      </c>
      <c r="H10" s="88">
        <f>IF(B$20=0,0,G10/B$20)</f>
        <v>9.3939393939393934E-2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-2.1488888888888886</v>
      </c>
      <c r="Q10" s="76">
        <v>45</v>
      </c>
      <c r="R10" s="67">
        <v>-96.699999999999989</v>
      </c>
    </row>
    <row r="11" spans="1:18" x14ac:dyDescent="0.45">
      <c r="A11" s="20" t="s">
        <v>184</v>
      </c>
      <c r="B11" s="109">
        <f>IF(B8=0,0,C11/B8)</f>
        <v>32.739130434782609</v>
      </c>
      <c r="C11" s="110">
        <v>1506</v>
      </c>
      <c r="E11" s="27" t="s">
        <v>65</v>
      </c>
      <c r="F11" s="24" t="s">
        <v>21</v>
      </c>
      <c r="G11" s="12">
        <v>24</v>
      </c>
      <c r="H11" s="88">
        <f>IF(B$20=0,0,G11/B$20)</f>
        <v>7.2727272727272724E-2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-5.8422222222222215</v>
      </c>
      <c r="Q11" s="77">
        <v>45</v>
      </c>
      <c r="R11" s="68">
        <v>-262.89999999999998</v>
      </c>
    </row>
    <row r="12" spans="1:18" x14ac:dyDescent="0.45">
      <c r="A12" s="20" t="s">
        <v>185</v>
      </c>
      <c r="B12" s="109">
        <f>IF(B9=0,0,C12/B9)</f>
        <v>-1.3045454545454545</v>
      </c>
      <c r="C12" s="110">
        <v>-57.4</v>
      </c>
      <c r="E12" s="27" t="s">
        <v>71</v>
      </c>
      <c r="F12" s="24" t="s">
        <v>26</v>
      </c>
      <c r="G12" s="12">
        <v>20</v>
      </c>
      <c r="H12" s="88">
        <f>IF(B$20=0,0,G12/B$20)</f>
        <v>6.0606060606060608E-2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7.9911111111111133</v>
      </c>
      <c r="Q12" s="78">
        <v>45</v>
      </c>
      <c r="R12" s="69">
        <v>359.60000000000008</v>
      </c>
    </row>
    <row r="13" spans="1:18" x14ac:dyDescent="0.45">
      <c r="A13" s="20" t="s">
        <v>186</v>
      </c>
      <c r="B13" s="109">
        <f>IF(B10=0,0,C13/B10)</f>
        <v>-32.191111111111113</v>
      </c>
      <c r="C13" s="110">
        <v>-1448.6</v>
      </c>
      <c r="E13" s="27" t="s">
        <v>83</v>
      </c>
      <c r="F13" s="24" t="s">
        <v>38</v>
      </c>
      <c r="G13" s="12">
        <v>17</v>
      </c>
      <c r="H13" s="88">
        <f>IF(B$20=0,0,G13/B$20)</f>
        <v>5.1515151515151514E-2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-0.25217537695798597</v>
      </c>
      <c r="C14" s="126"/>
      <c r="E14" s="27" t="s">
        <v>86</v>
      </c>
      <c r="F14" s="24" t="s">
        <v>41</v>
      </c>
      <c r="G14" s="12">
        <v>14</v>
      </c>
      <c r="H14" s="88">
        <f>IF(B$20=0,0,G14/B$20)</f>
        <v>4.2424242424242427E-2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8</v>
      </c>
      <c r="C15" s="9">
        <f t="shared" si="1"/>
        <v>5.9259259259259262E-2</v>
      </c>
      <c r="E15" s="27" t="s">
        <v>81</v>
      </c>
      <c r="F15" s="24" t="s">
        <v>36</v>
      </c>
      <c r="G15" s="12">
        <v>11</v>
      </c>
      <c r="H15" s="88">
        <f>IF(B$20=0,0,G15/B$20)</f>
        <v>3.3333333333333333E-2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5">
      <c r="A16" s="22" t="s">
        <v>121</v>
      </c>
      <c r="B16" s="15">
        <v>273</v>
      </c>
      <c r="C16" s="10">
        <f>IF(B$3=0,0,B16/B$3)</f>
        <v>0.24331550802139038</v>
      </c>
      <c r="E16" s="27" t="s">
        <v>78</v>
      </c>
      <c r="F16" s="24" t="s">
        <v>33</v>
      </c>
      <c r="G16" s="12">
        <v>10</v>
      </c>
      <c r="H16" s="88">
        <f>IF(B$20=0,0,G16/B$20)</f>
        <v>3.0303030303030304E-2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163</v>
      </c>
      <c r="P16" s="83">
        <f>IF(Q16=0,0,R16/Q16)</f>
        <v>17.524999999999999</v>
      </c>
      <c r="Q16" s="77">
        <v>24</v>
      </c>
      <c r="R16" s="68">
        <v>420.59999999999997</v>
      </c>
    </row>
    <row r="17" spans="1:18" x14ac:dyDescent="0.45">
      <c r="A17" s="19" t="s">
        <v>118</v>
      </c>
      <c r="B17" s="12">
        <v>278</v>
      </c>
      <c r="C17" s="6">
        <f>IF(B$3=0,0,B17/B$3)</f>
        <v>0.24777183600713013</v>
      </c>
      <c r="E17" s="27" t="s">
        <v>91</v>
      </c>
      <c r="F17" s="24" t="s">
        <v>46</v>
      </c>
      <c r="G17" s="12">
        <v>9</v>
      </c>
      <c r="H17" s="88">
        <f>IF(B$20=0,0,G17/B$20)</f>
        <v>2.7272727272727271E-2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10.242857142857144</v>
      </c>
      <c r="Q17" s="77">
        <v>28</v>
      </c>
      <c r="R17" s="68">
        <v>286.8</v>
      </c>
    </row>
    <row r="18" spans="1:18" x14ac:dyDescent="0.45">
      <c r="A18" s="18" t="s">
        <v>123</v>
      </c>
      <c r="B18" s="11">
        <f>B24</f>
        <v>136</v>
      </c>
      <c r="C18" s="5">
        <f>IF(B$16=0,0,B18/B$16)</f>
        <v>0.49816849816849818</v>
      </c>
      <c r="E18" s="27" t="s">
        <v>155</v>
      </c>
      <c r="F18" s="24" t="s">
        <v>156</v>
      </c>
      <c r="G18" s="12">
        <v>6</v>
      </c>
      <c r="H18" s="88">
        <f>IF(B$20=0,0,G18/B$20)</f>
        <v>1.8181818181818181E-2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126</v>
      </c>
      <c r="C19" s="5">
        <f>IF(B$17=0,0,B19/B$17)</f>
        <v>0.45323741007194246</v>
      </c>
      <c r="E19" s="27" t="s">
        <v>79</v>
      </c>
      <c r="F19" s="24" t="s">
        <v>34</v>
      </c>
      <c r="G19" s="12">
        <v>5</v>
      </c>
      <c r="H19" s="88">
        <f>IF(B$20=0,0,G19/B$20)</f>
        <v>1.5151515151515152E-2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190</v>
      </c>
      <c r="P19" s="83">
        <f>IF(Q19=0,0,R19/Q19)</f>
        <v>8.2500000000000036</v>
      </c>
      <c r="Q19" s="77">
        <v>20</v>
      </c>
      <c r="R19" s="68">
        <v>165.00000000000009</v>
      </c>
    </row>
    <row r="20" spans="1:18" x14ac:dyDescent="0.45">
      <c r="A20" s="18" t="s">
        <v>10</v>
      </c>
      <c r="B20" s="11">
        <f>B23+B22</f>
        <v>330</v>
      </c>
      <c r="C20" s="5">
        <f>IF(B$3=0,0,B20/B$3)</f>
        <v>0.29411764705882354</v>
      </c>
      <c r="E20" s="27" t="s">
        <v>73</v>
      </c>
      <c r="F20" s="24" t="s">
        <v>28</v>
      </c>
      <c r="G20" s="12">
        <v>4</v>
      </c>
      <c r="H20" s="88">
        <f>IF(B$20=0,0,G20/B$20)</f>
        <v>1.2121212121212121E-2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5.5124999999999984</v>
      </c>
      <c r="Q20" s="77">
        <v>8</v>
      </c>
      <c r="R20" s="68">
        <v>44.099999999999987</v>
      </c>
    </row>
    <row r="21" spans="1:18" x14ac:dyDescent="0.45">
      <c r="A21" s="19" t="s">
        <v>13</v>
      </c>
      <c r="B21" s="12">
        <v>184</v>
      </c>
      <c r="C21" s="6">
        <f>IF(B$3=0,0,B21/B$3)</f>
        <v>0.16399286987522282</v>
      </c>
      <c r="E21" s="27" t="s">
        <v>85</v>
      </c>
      <c r="F21" s="24" t="s">
        <v>40</v>
      </c>
      <c r="G21" s="12">
        <v>3</v>
      </c>
      <c r="H21" s="88">
        <f>IF(B$20=0,0,G21/B$20)</f>
        <v>9.0909090909090905E-3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192</v>
      </c>
      <c r="P21" s="83">
        <f>IF(Q21=0,0,R21/Q21)</f>
        <v>-0.67105263157894868</v>
      </c>
      <c r="Q21" s="77">
        <v>38</v>
      </c>
      <c r="R21" s="68">
        <v>-25.50000000000005</v>
      </c>
    </row>
    <row r="22" spans="1:18" x14ac:dyDescent="0.45">
      <c r="A22" s="19" t="s">
        <v>12</v>
      </c>
      <c r="B22" s="12">
        <v>145</v>
      </c>
      <c r="C22" s="6">
        <f>IF(B$20=0,0,B22/B$20)</f>
        <v>0.43939393939393939</v>
      </c>
      <c r="E22" s="27" t="s">
        <v>75</v>
      </c>
      <c r="F22" s="24" t="s">
        <v>30</v>
      </c>
      <c r="G22" s="12">
        <v>1</v>
      </c>
      <c r="H22" s="88">
        <f>IF(B$20=0,0,G22/B$20)</f>
        <v>3.0303030303030303E-3</v>
      </c>
      <c r="I22" s="58">
        <v>2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-3.618749999999999</v>
      </c>
      <c r="Q22" s="77">
        <v>32</v>
      </c>
      <c r="R22" s="68">
        <v>-115.79999999999997</v>
      </c>
    </row>
    <row r="23" spans="1:18" x14ac:dyDescent="0.45">
      <c r="A23" s="19" t="s">
        <v>11</v>
      </c>
      <c r="B23" s="12">
        <v>185</v>
      </c>
      <c r="C23" s="6">
        <f>IF(B$20=0,0,B23/B$20)</f>
        <v>0.56060606060606055</v>
      </c>
      <c r="E23" s="27" t="s">
        <v>77</v>
      </c>
      <c r="F23" s="24" t="s">
        <v>32</v>
      </c>
      <c r="G23" s="12">
        <v>1</v>
      </c>
      <c r="H23" s="88">
        <f>IF(B$20=0,0,G23/B$20)</f>
        <v>3.0303030303030303E-3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-8.4342857142857071</v>
      </c>
      <c r="Q23" s="77">
        <v>70</v>
      </c>
      <c r="R23" s="68">
        <v>-590.39999999999952</v>
      </c>
    </row>
    <row r="24" spans="1:18" x14ac:dyDescent="0.45">
      <c r="A24" s="19" t="s">
        <v>183</v>
      </c>
      <c r="B24" s="12">
        <v>136</v>
      </c>
      <c r="C24" s="6">
        <f>IF(B$20=0,0,B24/B$20)</f>
        <v>0.41212121212121211</v>
      </c>
      <c r="E24" s="27" t="s">
        <v>88</v>
      </c>
      <c r="F24" s="24" t="s">
        <v>43</v>
      </c>
      <c r="G24" s="12">
        <v>1</v>
      </c>
      <c r="H24" s="88">
        <f>IF(B$20=0,0,G24/B$20)</f>
        <v>3.0303030303030303E-3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211</v>
      </c>
      <c r="P24" s="83">
        <f>IF(Q24=0,0,R24/Q24)</f>
        <v>-10.010526315789475</v>
      </c>
      <c r="Q24" s="77">
        <v>38</v>
      </c>
      <c r="R24" s="68">
        <v>-380.40000000000003</v>
      </c>
    </row>
    <row r="25" spans="1:18" x14ac:dyDescent="0.45">
      <c r="A25" s="19" t="s">
        <v>181</v>
      </c>
      <c r="B25" s="12">
        <v>126</v>
      </c>
      <c r="C25" s="6">
        <f>IF(B$20=0,0,B25/B$20)</f>
        <v>0.38181818181818183</v>
      </c>
      <c r="E25" s="27" t="s">
        <v>92</v>
      </c>
      <c r="F25" s="24" t="s">
        <v>47</v>
      </c>
      <c r="G25" s="12">
        <v>1</v>
      </c>
      <c r="H25" s="88">
        <f>IF(B$20=0,0,G25/B$20)</f>
        <v>3.0303030303030303E-3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68</v>
      </c>
      <c r="C26" s="6">
        <f>IF(B$20=0,0,B26/B$20)</f>
        <v>0.20606060606060606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8052.727272727273</v>
      </c>
      <c r="C27" s="8">
        <v>2657400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8771.5686274509808</v>
      </c>
      <c r="C28" s="96">
        <v>1789400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6888.8888888888887</v>
      </c>
      <c r="C29" s="96">
        <v>868000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-7322.282608695652</v>
      </c>
      <c r="C30" s="96">
        <v>-1347300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3</v>
      </c>
      <c r="C35" s="9">
        <f>IF(B$3=0,0,B35/B$3)</f>
        <v>2.6737967914438501E-3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26</v>
      </c>
      <c r="C37" s="98">
        <f t="shared" ref="C37:C49" si="2">IF(B$20=0,0,B37/B$20)</f>
        <v>7.8787878787878782E-2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71</v>
      </c>
      <c r="C38" s="6">
        <f t="shared" si="2"/>
        <v>0.21515151515151515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62</v>
      </c>
      <c r="C39" s="6">
        <f t="shared" si="2"/>
        <v>0.18787878787878787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53</v>
      </c>
      <c r="C40" s="6">
        <f t="shared" si="2"/>
        <v>0.16060606060606061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43</v>
      </c>
      <c r="C41" s="6">
        <f t="shared" si="2"/>
        <v>0.13030303030303031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31</v>
      </c>
      <c r="C42" s="6">
        <f t="shared" si="2"/>
        <v>9.3939393939393934E-2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19</v>
      </c>
      <c r="C43" s="6">
        <f t="shared" si="2"/>
        <v>5.7575757575757579E-2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11</v>
      </c>
      <c r="C44" s="6">
        <f t="shared" si="2"/>
        <v>3.3333333333333333E-2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7</v>
      </c>
      <c r="C45" s="6">
        <f t="shared" si="2"/>
        <v>2.1212121212121213E-2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4</v>
      </c>
      <c r="C46" s="6">
        <f t="shared" si="2"/>
        <v>1.2121212121212121E-2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6.0606060606060606E-3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1</v>
      </c>
      <c r="C49" s="9">
        <f t="shared" si="2"/>
        <v>3.0303030303030303E-3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E705-C710-462F-BC4E-3D9DB8330613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35</v>
      </c>
      <c r="C2" s="134"/>
      <c r="E2" s="26" t="s">
        <v>66</v>
      </c>
      <c r="F2" s="23" t="s">
        <v>22</v>
      </c>
      <c r="G2" s="11">
        <v>68</v>
      </c>
      <c r="H2" s="87">
        <f>IF(B$20=0,0,G2/B$20)</f>
        <v>0.73118279569892475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2757.1428571428573</v>
      </c>
      <c r="Q2" s="76">
        <v>35</v>
      </c>
      <c r="R2" s="63">
        <v>96500</v>
      </c>
    </row>
    <row r="3" spans="1:18" x14ac:dyDescent="0.45">
      <c r="A3" s="19" t="s">
        <v>8</v>
      </c>
      <c r="B3" s="135">
        <v>286</v>
      </c>
      <c r="C3" s="136"/>
      <c r="E3" s="27" t="s">
        <v>72</v>
      </c>
      <c r="F3" s="24" t="s">
        <v>27</v>
      </c>
      <c r="G3" s="12">
        <v>66</v>
      </c>
      <c r="H3" s="88">
        <f>IF(B$20=0,0,G3/B$20)</f>
        <v>0.70967741935483875</v>
      </c>
      <c r="I3" s="58">
        <v>4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-773.52941176470586</v>
      </c>
      <c r="Q3" s="77">
        <v>34</v>
      </c>
      <c r="R3" s="64">
        <v>-26300</v>
      </c>
    </row>
    <row r="4" spans="1:18" x14ac:dyDescent="0.45">
      <c r="A4" s="19" t="s">
        <v>6</v>
      </c>
      <c r="B4" s="137">
        <v>196.8</v>
      </c>
      <c r="C4" s="138"/>
      <c r="E4" s="27" t="s">
        <v>64</v>
      </c>
      <c r="F4" s="24" t="s">
        <v>20</v>
      </c>
      <c r="G4" s="12">
        <v>37</v>
      </c>
      <c r="H4" s="88">
        <f>IF(B$20=0,0,G4/B$20)</f>
        <v>0.39784946236559138</v>
      </c>
      <c r="I4" s="58">
        <v>4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-776.47058823529414</v>
      </c>
      <c r="Q4" s="77">
        <v>34</v>
      </c>
      <c r="R4" s="64">
        <v>-26400</v>
      </c>
    </row>
    <row r="5" spans="1:18" x14ac:dyDescent="0.45">
      <c r="A5" s="19" t="s">
        <v>7</v>
      </c>
      <c r="B5" s="125">
        <f>IF(B$2=0,0,B$4/B$2)</f>
        <v>5.6228571428571428</v>
      </c>
      <c r="C5" s="126"/>
      <c r="E5" s="27" t="s">
        <v>159</v>
      </c>
      <c r="F5" s="24" t="s">
        <v>160</v>
      </c>
      <c r="G5" s="12">
        <v>36</v>
      </c>
      <c r="H5" s="88">
        <f>IF(B$20=0,0,G5/B$20)</f>
        <v>0.38709677419354838</v>
      </c>
      <c r="I5" s="58">
        <v>4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1865.625</v>
      </c>
      <c r="Q5" s="77">
        <v>32</v>
      </c>
      <c r="R5" s="64">
        <v>59700</v>
      </c>
    </row>
    <row r="6" spans="1:18" x14ac:dyDescent="0.45">
      <c r="A6" s="19" t="s">
        <v>196</v>
      </c>
      <c r="B6" s="129">
        <v>1829.8985077648213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0.34408602150537637</v>
      </c>
      <c r="I6" s="58">
        <v>3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-234.48275862068965</v>
      </c>
      <c r="Q6" s="77">
        <v>29</v>
      </c>
      <c r="R6" s="64">
        <v>-6800</v>
      </c>
    </row>
    <row r="7" spans="1:18" x14ac:dyDescent="0.45">
      <c r="A7" s="19" t="s">
        <v>1</v>
      </c>
      <c r="B7" s="139">
        <f>IF(B$2=0,0,(B$8*1+B$9*2+B$10*3)/B$2)</f>
        <v>1.9428571428571428</v>
      </c>
      <c r="C7" s="140"/>
      <c r="E7" s="27" t="s">
        <v>67</v>
      </c>
      <c r="F7" s="24" t="s">
        <v>23</v>
      </c>
      <c r="G7" s="12">
        <v>18</v>
      </c>
      <c r="H7" s="88">
        <f>IF(B$20=0,0,G7/B$20)</f>
        <v>0.19354838709677419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-892</v>
      </c>
      <c r="Q7" s="78">
        <v>25</v>
      </c>
      <c r="R7" s="65">
        <v>-22300</v>
      </c>
    </row>
    <row r="8" spans="1:18" x14ac:dyDescent="0.45">
      <c r="A8" s="19" t="s">
        <v>2</v>
      </c>
      <c r="B8" s="12">
        <v>12</v>
      </c>
      <c r="C8" s="6">
        <f t="shared" ref="C8:C15" si="1">IF(B$2=0,0,B8/B$2)</f>
        <v>0.34285714285714286</v>
      </c>
      <c r="E8" s="27" t="s">
        <v>69</v>
      </c>
      <c r="F8" s="24" t="s">
        <v>24</v>
      </c>
      <c r="G8" s="12">
        <v>15</v>
      </c>
      <c r="H8" s="88">
        <f>IF(B$20=0,0,G8/B$20)</f>
        <v>0.16129032258064516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13</v>
      </c>
      <c r="C9" s="6">
        <f t="shared" si="1"/>
        <v>0.37142857142857144</v>
      </c>
      <c r="E9" s="27" t="s">
        <v>89</v>
      </c>
      <c r="F9" s="24" t="s">
        <v>44</v>
      </c>
      <c r="G9" s="12">
        <v>14</v>
      </c>
      <c r="H9" s="88">
        <f>IF(B$20=0,0,G9/B$20)</f>
        <v>0.15053763440860216</v>
      </c>
      <c r="I9" s="58">
        <v>8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10</v>
      </c>
      <c r="C10" s="7">
        <f t="shared" si="1"/>
        <v>0.2857142857142857</v>
      </c>
      <c r="E10" s="27" t="s">
        <v>70</v>
      </c>
      <c r="F10" s="24" t="s">
        <v>25</v>
      </c>
      <c r="G10" s="12">
        <v>12</v>
      </c>
      <c r="H10" s="88">
        <f>IF(B$20=0,0,G10/B$20)</f>
        <v>0.12903225806451613</v>
      </c>
      <c r="I10" s="58">
        <v>2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8.8785714285714281</v>
      </c>
      <c r="Q10" s="76">
        <v>14</v>
      </c>
      <c r="R10" s="67">
        <v>124.29999999999998</v>
      </c>
    </row>
    <row r="11" spans="1:18" x14ac:dyDescent="0.45">
      <c r="A11" s="20" t="s">
        <v>184</v>
      </c>
      <c r="B11" s="109">
        <f>IF(B8=0,0,C11/B8)</f>
        <v>40.675000000000004</v>
      </c>
      <c r="C11" s="110">
        <v>488.1</v>
      </c>
      <c r="E11" s="27" t="s">
        <v>65</v>
      </c>
      <c r="F11" s="24" t="s">
        <v>21</v>
      </c>
      <c r="G11" s="12">
        <v>8</v>
      </c>
      <c r="H11" s="88">
        <f>IF(B$20=0,0,G11/B$20)</f>
        <v>8.6021505376344093E-2</v>
      </c>
      <c r="I11" s="58">
        <v>5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-4.138461538461538</v>
      </c>
      <c r="Q11" s="77">
        <v>13</v>
      </c>
      <c r="R11" s="68">
        <v>-53.8</v>
      </c>
    </row>
    <row r="12" spans="1:18" x14ac:dyDescent="0.45">
      <c r="A12" s="20" t="s">
        <v>185</v>
      </c>
      <c r="B12" s="109">
        <f>IF(B9=0,0,C12/B9)</f>
        <v>-4.4076923076923071</v>
      </c>
      <c r="C12" s="110">
        <v>-57.29999999999999</v>
      </c>
      <c r="E12" s="27" t="s">
        <v>83</v>
      </c>
      <c r="F12" s="24" t="s">
        <v>38</v>
      </c>
      <c r="G12" s="12">
        <v>6</v>
      </c>
      <c r="H12" s="88">
        <f>IF(B$20=0,0,G12/B$20)</f>
        <v>6.4516129032258063E-2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15.787500000000001</v>
      </c>
      <c r="Q12" s="78">
        <v>8</v>
      </c>
      <c r="R12" s="69">
        <v>126.30000000000001</v>
      </c>
    </row>
    <row r="13" spans="1:18" x14ac:dyDescent="0.45">
      <c r="A13" s="20" t="s">
        <v>186</v>
      </c>
      <c r="B13" s="109">
        <f>IF(B10=0,0,C13/B10)</f>
        <v>-23.4</v>
      </c>
      <c r="C13" s="110">
        <v>-234</v>
      </c>
      <c r="E13" s="27" t="s">
        <v>71</v>
      </c>
      <c r="F13" s="24" t="s">
        <v>26</v>
      </c>
      <c r="G13" s="12">
        <v>5</v>
      </c>
      <c r="H13" s="88">
        <f>IF(B$20=0,0,G13/B$20)</f>
        <v>5.3763440860215055E-2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4.2891025641025662</v>
      </c>
      <c r="C14" s="126"/>
      <c r="E14" s="27" t="s">
        <v>155</v>
      </c>
      <c r="F14" s="24" t="s">
        <v>156</v>
      </c>
      <c r="G14" s="12">
        <v>5</v>
      </c>
      <c r="H14" s="88">
        <f>IF(B$20=0,0,G14/B$20)</f>
        <v>5.3763440860215055E-2</v>
      </c>
      <c r="I14" s="58">
        <v>1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2.8571428571428571E-2</v>
      </c>
      <c r="E15" s="27" t="s">
        <v>81</v>
      </c>
      <c r="F15" s="24" t="s">
        <v>36</v>
      </c>
      <c r="G15" s="12">
        <v>3</v>
      </c>
      <c r="H15" s="88">
        <f>IF(B$20=0,0,G15/B$20)</f>
        <v>3.2258064516129031E-2</v>
      </c>
      <c r="I15" s="58">
        <v>7</v>
      </c>
      <c r="K15" s="74">
        <v>13</v>
      </c>
      <c r="L15" s="119">
        <v>236</v>
      </c>
      <c r="M15" s="117">
        <v>1865.6935040107483</v>
      </c>
      <c r="O15" s="73" t="s">
        <v>163</v>
      </c>
      <c r="P15" s="82">
        <f>IF(Q15=0,0,R15/Q15)</f>
        <v>29.610000000000003</v>
      </c>
      <c r="Q15" s="76">
        <v>10</v>
      </c>
      <c r="R15" s="67">
        <v>296.10000000000002</v>
      </c>
    </row>
    <row r="16" spans="1:18" x14ac:dyDescent="0.45">
      <c r="A16" s="22" t="s">
        <v>121</v>
      </c>
      <c r="B16" s="15">
        <v>74</v>
      </c>
      <c r="C16" s="10">
        <f>IF(B$3=0,0,B16/B$3)</f>
        <v>0.25874125874125875</v>
      </c>
      <c r="E16" s="27" t="s">
        <v>91</v>
      </c>
      <c r="F16" s="24" t="s">
        <v>46</v>
      </c>
      <c r="G16" s="12">
        <v>3</v>
      </c>
      <c r="H16" s="88">
        <f>IF(B$20=0,0,G16/B$20)</f>
        <v>3.2258064516129031E-2</v>
      </c>
      <c r="I16" s="58">
        <v>3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5">
      <c r="A17" s="19" t="s">
        <v>118</v>
      </c>
      <c r="B17" s="12">
        <v>66</v>
      </c>
      <c r="C17" s="6">
        <f>IF(B$3=0,0,B17/B$3)</f>
        <v>0.23076923076923078</v>
      </c>
      <c r="E17" s="27" t="s">
        <v>78</v>
      </c>
      <c r="F17" s="24" t="s">
        <v>33</v>
      </c>
      <c r="G17" s="12">
        <v>2</v>
      </c>
      <c r="H17" s="88">
        <f>IF(B$20=0,0,G17/B$20)</f>
        <v>2.1505376344086023E-2</v>
      </c>
      <c r="I17" s="58">
        <v>6</v>
      </c>
      <c r="K17" s="74">
        <v>15</v>
      </c>
      <c r="L17" s="119">
        <v>190.9</v>
      </c>
      <c r="M17" s="117">
        <v>1854.6511469287639</v>
      </c>
      <c r="O17" s="74" t="s">
        <v>195</v>
      </c>
      <c r="P17" s="83">
        <f>IF(Q17=0,0,R17/Q17)</f>
        <v>16.600000000000001</v>
      </c>
      <c r="Q17" s="77">
        <v>2</v>
      </c>
      <c r="R17" s="68">
        <v>33.200000000000003</v>
      </c>
    </row>
    <row r="18" spans="1:18" x14ac:dyDescent="0.45">
      <c r="A18" s="18" t="s">
        <v>123</v>
      </c>
      <c r="B18" s="11">
        <f>B24</f>
        <v>42</v>
      </c>
      <c r="C18" s="5">
        <f>IF(B$16=0,0,B18/B$16)</f>
        <v>0.56756756756756754</v>
      </c>
      <c r="E18" s="27" t="s">
        <v>86</v>
      </c>
      <c r="F18" s="24" t="s">
        <v>41</v>
      </c>
      <c r="G18" s="12">
        <v>2</v>
      </c>
      <c r="H18" s="88">
        <f>IF(B$20=0,0,G18/B$20)</f>
        <v>2.1505376344086023E-2</v>
      </c>
      <c r="I18" s="58">
        <v>8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>IF(Q18=0,0,R18/Q18)</f>
        <v>12.162499999999998</v>
      </c>
      <c r="Q18" s="77">
        <v>8</v>
      </c>
      <c r="R18" s="68">
        <v>97.299999999999983</v>
      </c>
    </row>
    <row r="19" spans="1:18" x14ac:dyDescent="0.45">
      <c r="A19" s="18" t="s">
        <v>124</v>
      </c>
      <c r="B19" s="11">
        <f>B25</f>
        <v>32</v>
      </c>
      <c r="C19" s="5">
        <f>IF(B$17=0,0,B19/B$17)</f>
        <v>0.48484848484848486</v>
      </c>
      <c r="E19" s="27" t="s">
        <v>73</v>
      </c>
      <c r="F19" s="24" t="s">
        <v>28</v>
      </c>
      <c r="G19" s="12">
        <v>1</v>
      </c>
      <c r="H19" s="88">
        <f>IF(B$20=0,0,G19/B$20)</f>
        <v>1.0752688172043012E-2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192</v>
      </c>
      <c r="P19" s="83">
        <f>IF(Q19=0,0,R19/Q19)</f>
        <v>10.433333333333332</v>
      </c>
      <c r="Q19" s="77">
        <v>15</v>
      </c>
      <c r="R19" s="68">
        <v>156.49999999999997</v>
      </c>
    </row>
    <row r="20" spans="1:18" x14ac:dyDescent="0.45">
      <c r="A20" s="18" t="s">
        <v>10</v>
      </c>
      <c r="B20" s="11">
        <f>B23+B22</f>
        <v>93</v>
      </c>
      <c r="C20" s="5">
        <f>IF(B$3=0,0,B20/B$3)</f>
        <v>0.32517482517482516</v>
      </c>
      <c r="E20" s="27" t="s">
        <v>79</v>
      </c>
      <c r="F20" s="24" t="s">
        <v>34</v>
      </c>
      <c r="G20" s="12">
        <v>1</v>
      </c>
      <c r="H20" s="88">
        <f>IF(B$20=0,0,G20/B$20)</f>
        <v>1.0752688172043012E-2</v>
      </c>
      <c r="I20" s="58">
        <v>6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-0.4833333333333325</v>
      </c>
      <c r="Q20" s="77">
        <v>12</v>
      </c>
      <c r="R20" s="68">
        <v>-5.7999999999999901</v>
      </c>
    </row>
    <row r="21" spans="1:18" x14ac:dyDescent="0.45">
      <c r="A21" s="19" t="s">
        <v>13</v>
      </c>
      <c r="B21" s="12">
        <v>46</v>
      </c>
      <c r="C21" s="6">
        <f>IF(B$3=0,0,B21/B$3)</f>
        <v>0.16083916083916083</v>
      </c>
      <c r="E21" s="27" t="s">
        <v>85</v>
      </c>
      <c r="F21" s="24" t="s">
        <v>40</v>
      </c>
      <c r="G21" s="12">
        <v>1</v>
      </c>
      <c r="H21" s="88">
        <f>IF(B$20=0,0,G21/B$20)</f>
        <v>1.0752688172043012E-2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216</v>
      </c>
      <c r="P21" s="83">
        <f>IF(Q21=0,0,R21/Q21)</f>
        <v>-1.8500000000000005</v>
      </c>
      <c r="Q21" s="77">
        <v>8</v>
      </c>
      <c r="R21" s="68">
        <v>-14.800000000000004</v>
      </c>
    </row>
    <row r="22" spans="1:18" x14ac:dyDescent="0.45">
      <c r="A22" s="19" t="s">
        <v>12</v>
      </c>
      <c r="B22" s="12">
        <v>47</v>
      </c>
      <c r="C22" s="6">
        <f>IF(B$20=0,0,B22/B$20)</f>
        <v>0.5053763440860215</v>
      </c>
      <c r="E22" s="27" t="s">
        <v>92</v>
      </c>
      <c r="F22" s="24" t="s">
        <v>47</v>
      </c>
      <c r="G22" s="12">
        <v>1</v>
      </c>
      <c r="H22" s="88">
        <f>IF(B$20=0,0,G22/B$20)</f>
        <v>1.0752688172043012E-2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189</v>
      </c>
      <c r="P22" s="83">
        <f>IF(Q22=0,0,R22/Q22)</f>
        <v>-2.2999999999999998</v>
      </c>
      <c r="Q22" s="77">
        <v>13</v>
      </c>
      <c r="R22" s="68">
        <v>-29.899999999999995</v>
      </c>
    </row>
    <row r="23" spans="1:18" x14ac:dyDescent="0.45">
      <c r="A23" s="19" t="s">
        <v>11</v>
      </c>
      <c r="B23" s="12">
        <v>46</v>
      </c>
      <c r="C23" s="6">
        <f>IF(B$20=0,0,B23/B$20)</f>
        <v>0.4946236559139785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42</v>
      </c>
      <c r="C24" s="6">
        <f>IF(B$20=0,0,B24/B$20)</f>
        <v>0.45161290322580644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32</v>
      </c>
      <c r="C25" s="6">
        <f>IF(B$20=0,0,B25/B$20)</f>
        <v>0.34408602150537637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19</v>
      </c>
      <c r="C26" s="6">
        <f>IF(B$20=0,0,B26/B$20)</f>
        <v>0.20430107526881722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8861.2903225806458</v>
      </c>
      <c r="C27" s="8">
        <v>824100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9219.6721311475412</v>
      </c>
      <c r="C28" s="96">
        <v>562400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8178.125</v>
      </c>
      <c r="C29" s="96">
        <v>261700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-6536.95652173913</v>
      </c>
      <c r="C30" s="96">
        <v>-300700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3.4965034965034965E-3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5</v>
      </c>
      <c r="C37" s="98">
        <f t="shared" ref="C37:C49" si="2">IF(B$20=0,0,B37/B$20)</f>
        <v>5.3763440860215055E-2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14</v>
      </c>
      <c r="C38" s="6">
        <f t="shared" si="2"/>
        <v>0.15053763440860216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22</v>
      </c>
      <c r="C39" s="6">
        <f t="shared" si="2"/>
        <v>0.23655913978494625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13</v>
      </c>
      <c r="C40" s="6">
        <f t="shared" si="2"/>
        <v>0.13978494623655913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15</v>
      </c>
      <c r="C41" s="6">
        <f t="shared" si="2"/>
        <v>0.16129032258064516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12</v>
      </c>
      <c r="C42" s="6">
        <f t="shared" si="2"/>
        <v>0.12903225806451613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7</v>
      </c>
      <c r="C43" s="6">
        <f t="shared" si="2"/>
        <v>7.5268817204301078E-2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2</v>
      </c>
      <c r="C45" s="6">
        <f t="shared" si="2"/>
        <v>2.1505376344086023E-2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1.0752688172043012E-2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1</v>
      </c>
      <c r="C47" s="6">
        <f t="shared" si="2"/>
        <v>1.0752688172043012E-2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1.0752688172043012E-2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5B088-9924-4E6B-822D-7A1DD8A245CF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21</v>
      </c>
      <c r="H2" s="87">
        <f>IF(B$20=0,0,G2/B$20)</f>
        <v>0.84</v>
      </c>
      <c r="I2" s="57">
        <v>4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-1133.3333333333333</v>
      </c>
      <c r="Q2" s="76">
        <v>12</v>
      </c>
      <c r="R2" s="63">
        <v>-13600</v>
      </c>
    </row>
    <row r="3" spans="1:18" x14ac:dyDescent="0.45">
      <c r="A3" s="19" t="s">
        <v>8</v>
      </c>
      <c r="B3" s="135">
        <v>102</v>
      </c>
      <c r="C3" s="136"/>
      <c r="E3" s="27" t="s">
        <v>72</v>
      </c>
      <c r="F3" s="24" t="s">
        <v>27</v>
      </c>
      <c r="G3" s="12">
        <v>17</v>
      </c>
      <c r="H3" s="88">
        <f>IF(B$20=0,0,G3/B$20)</f>
        <v>0.68</v>
      </c>
      <c r="I3" s="58">
        <v>5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2536.3636363636365</v>
      </c>
      <c r="Q3" s="77">
        <v>11</v>
      </c>
      <c r="R3" s="64">
        <v>27900</v>
      </c>
    </row>
    <row r="4" spans="1:18" x14ac:dyDescent="0.45">
      <c r="A4" s="19" t="s">
        <v>6</v>
      </c>
      <c r="B4" s="137">
        <v>-140.20000000000005</v>
      </c>
      <c r="C4" s="138"/>
      <c r="E4" s="27" t="s">
        <v>159</v>
      </c>
      <c r="F4" s="24" t="s">
        <v>160</v>
      </c>
      <c r="G4" s="12">
        <v>11</v>
      </c>
      <c r="H4" s="88">
        <f>IF(B$20=0,0,G4/B$20)</f>
        <v>0.44</v>
      </c>
      <c r="I4" s="58">
        <v>3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-2836.3636363636365</v>
      </c>
      <c r="Q4" s="77">
        <v>11</v>
      </c>
      <c r="R4" s="64">
        <v>-31200</v>
      </c>
    </row>
    <row r="5" spans="1:18" x14ac:dyDescent="0.45">
      <c r="A5" s="19" t="s">
        <v>7</v>
      </c>
      <c r="B5" s="125">
        <f>IF(B$2=0,0,B$4/B$2)</f>
        <v>-11.683333333333337</v>
      </c>
      <c r="C5" s="126"/>
      <c r="E5" s="27" t="s">
        <v>64</v>
      </c>
      <c r="F5" s="24" t="s">
        <v>20</v>
      </c>
      <c r="G5" s="12">
        <v>8</v>
      </c>
      <c r="H5" s="88">
        <f>IF(B$20=0,0,G5/B$20)</f>
        <v>0.32</v>
      </c>
      <c r="I5" s="58">
        <v>9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-1109.090909090909</v>
      </c>
      <c r="Q5" s="77">
        <v>11</v>
      </c>
      <c r="R5" s="64">
        <v>-12200</v>
      </c>
    </row>
    <row r="6" spans="1:18" x14ac:dyDescent="0.45">
      <c r="A6" s="19" t="s">
        <v>196</v>
      </c>
      <c r="B6" s="129">
        <v>1627.1676972637965</v>
      </c>
      <c r="C6" s="130"/>
      <c r="E6" s="27" t="s">
        <v>67</v>
      </c>
      <c r="F6" s="24" t="s">
        <v>23</v>
      </c>
      <c r="G6" s="12">
        <v>6</v>
      </c>
      <c r="H6" s="88">
        <f>IF(B$20=0,0,G6/B$20)</f>
        <v>0.24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-1077.7777777777778</v>
      </c>
      <c r="Q6" s="77">
        <v>9</v>
      </c>
      <c r="R6" s="64">
        <v>-9700</v>
      </c>
    </row>
    <row r="7" spans="1:18" x14ac:dyDescent="0.45">
      <c r="A7" s="19" t="s">
        <v>1</v>
      </c>
      <c r="B7" s="139">
        <f>IF(B$2=0,0,(B$8*1+B$9*2+B$10*3)/B$2)</f>
        <v>2.1666666666666665</v>
      </c>
      <c r="C7" s="140"/>
      <c r="E7" s="27" t="s">
        <v>68</v>
      </c>
      <c r="F7" s="24" t="s">
        <v>12</v>
      </c>
      <c r="G7" s="12">
        <v>6</v>
      </c>
      <c r="H7" s="88">
        <f>IF(B$20=0,0,G7/B$20)</f>
        <v>0.24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-985.71428571428567</v>
      </c>
      <c r="Q7" s="78">
        <v>7</v>
      </c>
      <c r="R7" s="65">
        <v>-6900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0.41666666666666669</v>
      </c>
      <c r="E8" s="27" t="s">
        <v>89</v>
      </c>
      <c r="F8" s="24" t="s">
        <v>44</v>
      </c>
      <c r="G8" s="12">
        <v>6</v>
      </c>
      <c r="H8" s="88">
        <f>IF(B$20=0,0,G8/B$20)</f>
        <v>0.24</v>
      </c>
      <c r="I8" s="58">
        <v>3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3</v>
      </c>
      <c r="H9" s="88">
        <f>IF(B$20=0,0,G9/B$20)</f>
        <v>0.12</v>
      </c>
      <c r="I9" s="58">
        <v>4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0.58333333333333337</v>
      </c>
      <c r="E10" s="27" t="s">
        <v>78</v>
      </c>
      <c r="F10" s="24" t="s">
        <v>33</v>
      </c>
      <c r="G10" s="12">
        <v>3</v>
      </c>
      <c r="H10" s="88">
        <f>IF(B$20=0,0,G10/B$20)</f>
        <v>0.12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-15.5</v>
      </c>
      <c r="Q10" s="76">
        <v>3</v>
      </c>
      <c r="R10" s="67">
        <v>-46.5</v>
      </c>
    </row>
    <row r="11" spans="1:18" x14ac:dyDescent="0.45">
      <c r="A11" s="20" t="s">
        <v>184</v>
      </c>
      <c r="B11" s="109">
        <f>IF(B8=0,0,C11/B8)</f>
        <v>31.1</v>
      </c>
      <c r="C11" s="110">
        <v>155.5</v>
      </c>
      <c r="E11" s="27" t="s">
        <v>83</v>
      </c>
      <c r="F11" s="24" t="s">
        <v>38</v>
      </c>
      <c r="G11" s="12">
        <v>2</v>
      </c>
      <c r="H11" s="88">
        <f>IF(B$20=0,0,G11/B$20)</f>
        <v>0.08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-17.340000000000007</v>
      </c>
      <c r="Q11" s="77">
        <v>5</v>
      </c>
      <c r="R11" s="68">
        <v>-86.700000000000031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86</v>
      </c>
      <c r="F12" s="24" t="s">
        <v>41</v>
      </c>
      <c r="G12" s="12">
        <v>2</v>
      </c>
      <c r="H12" s="88">
        <f>IF(B$20=0,0,G12/B$20)</f>
        <v>0.08</v>
      </c>
      <c r="I12" s="58">
        <v>2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-1.75</v>
      </c>
      <c r="Q12" s="78">
        <v>4</v>
      </c>
      <c r="R12" s="69">
        <v>-7</v>
      </c>
    </row>
    <row r="13" spans="1:18" x14ac:dyDescent="0.45">
      <c r="A13" s="20" t="s">
        <v>186</v>
      </c>
      <c r="B13" s="109">
        <f>IF(B10=0,0,C13/B10)</f>
        <v>-42.24285714285714</v>
      </c>
      <c r="C13" s="110">
        <v>-295.7</v>
      </c>
      <c r="E13" s="27" t="s">
        <v>65</v>
      </c>
      <c r="F13" s="24" t="s">
        <v>21</v>
      </c>
      <c r="G13" s="12">
        <v>1</v>
      </c>
      <c r="H13" s="88">
        <f>IF(B$20=0,0,G13/B$20)</f>
        <v>0.04</v>
      </c>
      <c r="I13" s="58">
        <v>8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-3.7142857142857131</v>
      </c>
      <c r="C14" s="126"/>
      <c r="E14" s="27" t="s">
        <v>70</v>
      </c>
      <c r="F14" s="24" t="s">
        <v>25</v>
      </c>
      <c r="G14" s="12">
        <v>1</v>
      </c>
      <c r="H14" s="88">
        <f>IF(B$20=0,0,G14/B$20)</f>
        <v>0.04</v>
      </c>
      <c r="I14" s="58">
        <v>7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3</v>
      </c>
      <c r="C15" s="9">
        <f t="shared" si="1"/>
        <v>0.25</v>
      </c>
      <c r="E15" s="27" t="s">
        <v>71</v>
      </c>
      <c r="F15" s="24" t="s">
        <v>26</v>
      </c>
      <c r="G15" s="12">
        <v>1</v>
      </c>
      <c r="H15" s="88">
        <f>IF(B$20=0,0,G15/B$20)</f>
        <v>0.04</v>
      </c>
      <c r="I15" s="58">
        <v>6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22</v>
      </c>
      <c r="C16" s="10">
        <f>IF(B$3=0,0,B16/B$3)</f>
        <v>0.21568627450980393</v>
      </c>
      <c r="E16" s="27" t="s">
        <v>79</v>
      </c>
      <c r="F16" s="24" t="s">
        <v>34</v>
      </c>
      <c r="G16" s="12">
        <v>1</v>
      </c>
      <c r="H16" s="88">
        <f>IF(B$20=0,0,G16/B$20)</f>
        <v>0.04</v>
      </c>
      <c r="I16" s="58">
        <v>2</v>
      </c>
      <c r="O16" s="74" t="s">
        <v>189</v>
      </c>
      <c r="P16" s="83">
        <f>IF(Q16=0,0,R16/Q16)</f>
        <v>-28.700000000000003</v>
      </c>
      <c r="Q16" s="77">
        <v>3</v>
      </c>
      <c r="R16" s="68">
        <v>-86.100000000000009</v>
      </c>
    </row>
    <row r="17" spans="1:18" x14ac:dyDescent="0.45">
      <c r="A17" s="19" t="s">
        <v>118</v>
      </c>
      <c r="B17" s="12">
        <v>25</v>
      </c>
      <c r="C17" s="6">
        <f>IF(B$3=0,0,B17/B$3)</f>
        <v>0.24509803921568626</v>
      </c>
      <c r="E17" s="27" t="s">
        <v>81</v>
      </c>
      <c r="F17" s="24" t="s">
        <v>36</v>
      </c>
      <c r="G17" s="12">
        <v>1</v>
      </c>
      <c r="H17" s="88">
        <f>IF(B$20=0,0,G17/B$20)</f>
        <v>0.04</v>
      </c>
      <c r="I17" s="58">
        <v>4</v>
      </c>
      <c r="O17" s="74" t="s">
        <v>126</v>
      </c>
      <c r="P17" s="83">
        <f>IF(Q17=0,0,R17/Q17)</f>
        <v>-29.610000000000007</v>
      </c>
      <c r="Q17" s="77">
        <v>10</v>
      </c>
      <c r="R17" s="68">
        <v>-296.10000000000008</v>
      </c>
    </row>
    <row r="18" spans="1:18" x14ac:dyDescent="0.45">
      <c r="A18" s="18" t="s">
        <v>123</v>
      </c>
      <c r="B18" s="11">
        <f>B24</f>
        <v>8</v>
      </c>
      <c r="C18" s="5">
        <f>IF(B$16=0,0,B18/B$16)</f>
        <v>0.36363636363636365</v>
      </c>
      <c r="E18" s="27" t="s">
        <v>85</v>
      </c>
      <c r="F18" s="24" t="s">
        <v>40</v>
      </c>
      <c r="G18" s="12">
        <v>1</v>
      </c>
      <c r="H18" s="88">
        <f>IF(B$20=0,0,G18/B$20)</f>
        <v>0.04</v>
      </c>
      <c r="I18" s="58">
        <v>1</v>
      </c>
      <c r="O18" s="74" t="s">
        <v>211</v>
      </c>
      <c r="P18" s="83">
        <f>IF(Q18=0,0,R18/Q18)</f>
        <v>-39</v>
      </c>
      <c r="Q18" s="77">
        <v>4</v>
      </c>
      <c r="R18" s="68">
        <v>-156</v>
      </c>
    </row>
    <row r="19" spans="1:18" x14ac:dyDescent="0.45">
      <c r="A19" s="18" t="s">
        <v>124</v>
      </c>
      <c r="B19" s="11">
        <f>B25</f>
        <v>9</v>
      </c>
      <c r="C19" s="5">
        <f>IF(B$17=0,0,B19/B$17)</f>
        <v>0.36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5</v>
      </c>
      <c r="O19" s="74" t="s">
        <v>192</v>
      </c>
      <c r="P19" s="83">
        <f>IF(Q19=0,0,R19/Q19)</f>
        <v>-40.900000000000006</v>
      </c>
      <c r="Q19" s="77">
        <v>2</v>
      </c>
      <c r="R19" s="68">
        <v>-81.800000000000011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0.24509803921568626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22</v>
      </c>
      <c r="C21" s="6">
        <f>IF(B$3=0,0,B21/B$3)</f>
        <v>0.21568627450980393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9</v>
      </c>
      <c r="C22" s="6">
        <f>IF(B$20=0,0,B22/B$20)</f>
        <v>0.36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16</v>
      </c>
      <c r="C23" s="6">
        <f>IF(B$20=0,0,B23/B$20)</f>
        <v>0.64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8</v>
      </c>
      <c r="C24" s="6">
        <f>IF(B$20=0,0,B24/B$20)</f>
        <v>0.32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9</v>
      </c>
      <c r="C25" s="6">
        <f>IF(B$20=0,0,B25/B$20)</f>
        <v>0.36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8</v>
      </c>
      <c r="C26" s="6">
        <f>IF(B$20=0,0,B26/B$20)</f>
        <v>0.32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9504</v>
      </c>
      <c r="C27" s="8">
        <v>237600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9875</v>
      </c>
      <c r="C28" s="96">
        <v>158000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8844.4444444444453</v>
      </c>
      <c r="C29" s="96">
        <v>79600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-9236.363636363636</v>
      </c>
      <c r="C30" s="96">
        <v>-203200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8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9.8039215686274508E-3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0.04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3</v>
      </c>
      <c r="C38" s="6">
        <f t="shared" si="2"/>
        <v>0.12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0.16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0.16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8</v>
      </c>
      <c r="C41" s="6">
        <f t="shared" si="2"/>
        <v>0.32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2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FF431-1A46-4AC9-BE6B-04ACEE5A81D4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16</v>
      </c>
      <c r="C2" s="134"/>
      <c r="E2" s="26" t="s">
        <v>72</v>
      </c>
      <c r="F2" s="23" t="s">
        <v>27</v>
      </c>
      <c r="G2" s="11">
        <v>38</v>
      </c>
      <c r="H2" s="87">
        <f>IF(B$20=0,0,G2/B$20)</f>
        <v>0.84444444444444444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-887.5</v>
      </c>
      <c r="Q2" s="76">
        <v>16</v>
      </c>
      <c r="R2" s="63">
        <v>-14200</v>
      </c>
    </row>
    <row r="3" spans="1:18" x14ac:dyDescent="0.45">
      <c r="A3" s="19" t="s">
        <v>8</v>
      </c>
      <c r="B3" s="135">
        <v>143</v>
      </c>
      <c r="C3" s="136"/>
      <c r="E3" s="27" t="s">
        <v>66</v>
      </c>
      <c r="F3" s="24" t="s">
        <v>22</v>
      </c>
      <c r="G3" s="12">
        <v>27</v>
      </c>
      <c r="H3" s="88">
        <f>IF(B$20=0,0,G3/B$20)</f>
        <v>0.6</v>
      </c>
      <c r="I3" s="58">
        <v>9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-50</v>
      </c>
      <c r="Q3" s="77">
        <v>16</v>
      </c>
      <c r="R3" s="64">
        <v>-800</v>
      </c>
    </row>
    <row r="4" spans="1:18" x14ac:dyDescent="0.45">
      <c r="A4" s="19" t="s">
        <v>6</v>
      </c>
      <c r="B4" s="137">
        <v>38.600000000000009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0.35555555555555557</v>
      </c>
      <c r="I4" s="58">
        <v>6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1781.25</v>
      </c>
      <c r="Q4" s="77">
        <v>16</v>
      </c>
      <c r="R4" s="64">
        <v>28500</v>
      </c>
    </row>
    <row r="5" spans="1:18" x14ac:dyDescent="0.45">
      <c r="A5" s="19" t="s">
        <v>7</v>
      </c>
      <c r="B5" s="125">
        <f>IF(B$2=0,0,B$4/B$2)</f>
        <v>2.4125000000000005</v>
      </c>
      <c r="C5" s="126"/>
      <c r="E5" s="27" t="s">
        <v>67</v>
      </c>
      <c r="F5" s="24" t="s">
        <v>23</v>
      </c>
      <c r="G5" s="12">
        <v>14</v>
      </c>
      <c r="H5" s="88">
        <f>IF(B$20=0,0,G5/B$20)</f>
        <v>0.31111111111111112</v>
      </c>
      <c r="I5" s="58">
        <v>2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-1200</v>
      </c>
      <c r="Q5" s="77">
        <v>16</v>
      </c>
      <c r="R5" s="64">
        <v>-19200</v>
      </c>
    </row>
    <row r="6" spans="1:18" x14ac:dyDescent="0.45">
      <c r="A6" s="19" t="s">
        <v>196</v>
      </c>
      <c r="B6" s="129">
        <v>1453.0914330069634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0.31111111111111112</v>
      </c>
      <c r="I6" s="58">
        <v>5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-31.25</v>
      </c>
      <c r="Q6" s="77">
        <v>16</v>
      </c>
      <c r="R6" s="64">
        <v>-500</v>
      </c>
    </row>
    <row r="7" spans="1:18" x14ac:dyDescent="0.45">
      <c r="A7" s="19" t="s">
        <v>1</v>
      </c>
      <c r="B7" s="139">
        <f>IF(B$2=0,0,(B$8*1+B$9*2+B$10*3)/B$2)</f>
        <v>1.875</v>
      </c>
      <c r="C7" s="140"/>
      <c r="E7" s="27" t="s">
        <v>159</v>
      </c>
      <c r="F7" s="24" t="s">
        <v>160</v>
      </c>
      <c r="G7" s="12">
        <v>11</v>
      </c>
      <c r="H7" s="88">
        <f>IF(B$20=0,0,G7/B$20)</f>
        <v>0.24444444444444444</v>
      </c>
      <c r="I7" s="58">
        <v>10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1830.7692307692307</v>
      </c>
      <c r="Q7" s="78">
        <v>13</v>
      </c>
      <c r="R7" s="65">
        <v>23800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7</v>
      </c>
      <c r="H8" s="88">
        <f>IF(B$20=0,0,G8/B$20)</f>
        <v>0.15555555555555556</v>
      </c>
      <c r="I8" s="58">
        <v>7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0.375</v>
      </c>
      <c r="E9" s="27" t="s">
        <v>70</v>
      </c>
      <c r="F9" s="24" t="s">
        <v>25</v>
      </c>
      <c r="G9" s="12">
        <v>4</v>
      </c>
      <c r="H9" s="88">
        <f>IF(B$20=0,0,G9/B$20)</f>
        <v>8.8888888888888892E-2</v>
      </c>
      <c r="I9" s="58">
        <v>6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0.25</v>
      </c>
      <c r="E10" s="27" t="s">
        <v>65</v>
      </c>
      <c r="F10" s="24" t="s">
        <v>21</v>
      </c>
      <c r="G10" s="12">
        <v>3</v>
      </c>
      <c r="H10" s="88">
        <f>IF(B$20=0,0,G10/B$20)</f>
        <v>6.6666666666666666E-2</v>
      </c>
      <c r="I10" s="58">
        <v>7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1.36</v>
      </c>
      <c r="Q10" s="76">
        <v>5</v>
      </c>
      <c r="R10" s="67">
        <v>6.8000000000000007</v>
      </c>
    </row>
    <row r="11" spans="1:18" x14ac:dyDescent="0.45">
      <c r="A11" s="20" t="s">
        <v>184</v>
      </c>
      <c r="B11" s="109">
        <f>IF(B8=0,0,C11/B8)</f>
        <v>18.083333333333332</v>
      </c>
      <c r="C11" s="110">
        <v>108.5</v>
      </c>
      <c r="E11" s="27" t="s">
        <v>69</v>
      </c>
      <c r="F11" s="24" t="s">
        <v>24</v>
      </c>
      <c r="G11" s="12">
        <v>2</v>
      </c>
      <c r="H11" s="88">
        <f>IF(B$20=0,0,G11/B$20)</f>
        <v>4.4444444444444446E-2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-6.7799999999999994</v>
      </c>
      <c r="Q11" s="77">
        <v>5</v>
      </c>
      <c r="R11" s="68">
        <v>-33.9</v>
      </c>
    </row>
    <row r="12" spans="1:18" x14ac:dyDescent="0.45">
      <c r="A12" s="20" t="s">
        <v>185</v>
      </c>
      <c r="B12" s="109">
        <f>IF(B9=0,0,C12/B9)</f>
        <v>6.833333333333333</v>
      </c>
      <c r="C12" s="110">
        <v>41</v>
      </c>
      <c r="E12" s="27" t="s">
        <v>83</v>
      </c>
      <c r="F12" s="24" t="s">
        <v>38</v>
      </c>
      <c r="G12" s="12">
        <v>2</v>
      </c>
      <c r="H12" s="88">
        <f>IF(B$20=0,0,G12/B$20)</f>
        <v>4.4444444444444446E-2</v>
      </c>
      <c r="I12" s="58">
        <v>7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10.949999999999998</v>
      </c>
      <c r="Q12" s="78">
        <v>6</v>
      </c>
      <c r="R12" s="69">
        <v>65.699999999999989</v>
      </c>
    </row>
    <row r="13" spans="1:18" x14ac:dyDescent="0.45">
      <c r="A13" s="20" t="s">
        <v>186</v>
      </c>
      <c r="B13" s="109">
        <f>IF(B10=0,0,C13/B10)</f>
        <v>-27.724999999999998</v>
      </c>
      <c r="C13" s="110">
        <v>-110.89999999999999</v>
      </c>
      <c r="E13" s="27" t="s">
        <v>91</v>
      </c>
      <c r="F13" s="24" t="s">
        <v>46</v>
      </c>
      <c r="G13" s="12">
        <v>2</v>
      </c>
      <c r="H13" s="88">
        <f>IF(B$20=0,0,G13/B$20)</f>
        <v>4.4444444444444446E-2</v>
      </c>
      <c r="I13" s="58">
        <v>2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-0.93611111111111123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2.2222222222222223E-2</v>
      </c>
      <c r="I14" s="58">
        <v>7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79</v>
      </c>
      <c r="F15" s="24" t="s">
        <v>34</v>
      </c>
      <c r="G15" s="12">
        <v>1</v>
      </c>
      <c r="H15" s="88">
        <f>IF(B$20=0,0,G15/B$20)</f>
        <v>2.2222222222222223E-2</v>
      </c>
      <c r="I15" s="58">
        <v>3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 t="shared" ref="P15:P20" si="2"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37</v>
      </c>
      <c r="C16" s="10">
        <f>IF(B$3=0,0,B16/B$3)</f>
        <v>0.25874125874125875</v>
      </c>
      <c r="E16" s="27" t="s">
        <v>86</v>
      </c>
      <c r="F16" s="24" t="s">
        <v>41</v>
      </c>
      <c r="G16" s="12">
        <v>1</v>
      </c>
      <c r="H16" s="88">
        <f>IF(B$20=0,0,G16/B$20)</f>
        <v>2.2222222222222223E-2</v>
      </c>
      <c r="I16" s="58">
        <v>7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 t="shared" si="2"/>
        <v>28.700000000000006</v>
      </c>
      <c r="Q16" s="77">
        <v>3</v>
      </c>
      <c r="R16" s="68">
        <v>86.100000000000023</v>
      </c>
    </row>
    <row r="17" spans="1:18" x14ac:dyDescent="0.45">
      <c r="A17" s="19" t="s">
        <v>118</v>
      </c>
      <c r="B17" s="12">
        <v>48</v>
      </c>
      <c r="C17" s="6">
        <f>IF(B$3=0,0,B17/B$3)</f>
        <v>0.33566433566433568</v>
      </c>
      <c r="E17" s="27" t="s">
        <v>88</v>
      </c>
      <c r="F17" s="24" t="s">
        <v>43</v>
      </c>
      <c r="G17" s="12">
        <v>1</v>
      </c>
      <c r="H17" s="88">
        <f>IF(B$20=0,0,G17/B$20)</f>
        <v>2.2222222222222223E-2</v>
      </c>
      <c r="I17" s="58">
        <v>1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17</v>
      </c>
      <c r="C18" s="5">
        <f>IF(B$16=0,0,B18/B$16)</f>
        <v>0.45945945945945948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 t="shared" si="2"/>
        <v>2.2999999999999994</v>
      </c>
      <c r="Q18" s="77">
        <v>13</v>
      </c>
      <c r="R18" s="68">
        <v>29.899999999999991</v>
      </c>
    </row>
    <row r="19" spans="1:18" x14ac:dyDescent="0.45">
      <c r="A19" s="18" t="s">
        <v>124</v>
      </c>
      <c r="B19" s="11">
        <f>B25</f>
        <v>22</v>
      </c>
      <c r="C19" s="5">
        <f>IF(B$17=0,0,B19/B$17)</f>
        <v>0.45833333333333331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O19" s="74" t="s">
        <v>211</v>
      </c>
      <c r="P19" s="83">
        <f t="shared" si="2"/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45</v>
      </c>
      <c r="C20" s="5">
        <f>IF(B$3=0,0,B20/B$3)</f>
        <v>0.31468531468531469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O20" s="74" t="s">
        <v>192</v>
      </c>
      <c r="P20" s="83">
        <f t="shared" si="2"/>
        <v>-8.625</v>
      </c>
      <c r="Q20" s="77">
        <v>8</v>
      </c>
      <c r="R20" s="68">
        <v>-69</v>
      </c>
    </row>
    <row r="21" spans="1:18" x14ac:dyDescent="0.45">
      <c r="A21" s="19" t="s">
        <v>13</v>
      </c>
      <c r="B21" s="12">
        <v>22</v>
      </c>
      <c r="C21" s="6">
        <f>IF(B$3=0,0,B21/B$3)</f>
        <v>0.15384615384615385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22</v>
      </c>
      <c r="C22" s="6">
        <f>IF(B$20=0,0,B22/B$20)</f>
        <v>0.48888888888888887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23</v>
      </c>
      <c r="C23" s="6">
        <f>IF(B$20=0,0,B23/B$20)</f>
        <v>0.51111111111111107</v>
      </c>
      <c r="E23" s="27" t="s">
        <v>78</v>
      </c>
      <c r="F23" s="24" t="s">
        <v>33</v>
      </c>
      <c r="G23" s="12">
        <v>0</v>
      </c>
      <c r="H23" s="88">
        <f>IF(B$20=0,0,G23/B$20)</f>
        <v>0</v>
      </c>
      <c r="I23" s="58">
        <v>7</v>
      </c>
    </row>
    <row r="24" spans="1:18" x14ac:dyDescent="0.45">
      <c r="A24" s="19" t="s">
        <v>183</v>
      </c>
      <c r="B24" s="12">
        <v>17</v>
      </c>
      <c r="C24" s="6">
        <f>IF(B$20=0,0,B24/B$20)</f>
        <v>0.37777777777777777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22</v>
      </c>
      <c r="C25" s="6">
        <f>IF(B$20=0,0,B25/B$20)</f>
        <v>0.48888888888888887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6</v>
      </c>
      <c r="C26" s="6">
        <f>IF(B$20=0,0,B26/B$20)</f>
        <v>0.13333333333333333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6704.4444444444443</v>
      </c>
      <c r="C27" s="8">
        <v>301700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8113.04347826087</v>
      </c>
      <c r="C28" s="96">
        <v>186600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5231.818181818182</v>
      </c>
      <c r="C29" s="96">
        <v>115100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-6727.272727272727</v>
      </c>
      <c r="C30" s="96">
        <v>-148000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21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0.13333333333333333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15</v>
      </c>
      <c r="C38" s="6">
        <f t="shared" si="3"/>
        <v>0.33333333333333331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3"/>
        <v>0.15555555555555556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3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3"/>
        <v>4.4444444444444446E-2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3"/>
        <v>4.4444444444444446E-2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4.4444444444444446E-2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2.2222222222222223E-2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3"/>
        <v>6.6666666666666666E-2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2</v>
      </c>
      <c r="C46" s="6">
        <f t="shared" si="3"/>
        <v>4.4444444444444446E-2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3CC95-4D52-4AEF-9E7B-3185C5D34435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14</v>
      </c>
      <c r="H2" s="87">
        <f>IF(B$20=0,0,G2/B$20)</f>
        <v>0.73684210526315785</v>
      </c>
      <c r="I2" s="57">
        <v>7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1420</v>
      </c>
      <c r="Q2" s="76">
        <v>10</v>
      </c>
      <c r="R2" s="63">
        <v>14200</v>
      </c>
    </row>
    <row r="3" spans="1:18" x14ac:dyDescent="0.45">
      <c r="A3" s="19" t="s">
        <v>8</v>
      </c>
      <c r="B3" s="135">
        <v>77</v>
      </c>
      <c r="C3" s="136"/>
      <c r="E3" s="27" t="s">
        <v>64</v>
      </c>
      <c r="F3" s="24" t="s">
        <v>20</v>
      </c>
      <c r="G3" s="12">
        <v>11</v>
      </c>
      <c r="H3" s="88">
        <f>IF(B$20=0,0,G3/B$20)</f>
        <v>0.57894736842105265</v>
      </c>
      <c r="I3" s="58">
        <v>2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2270</v>
      </c>
      <c r="Q3" s="77">
        <v>10</v>
      </c>
      <c r="R3" s="64">
        <v>22700</v>
      </c>
    </row>
    <row r="4" spans="1:18" x14ac:dyDescent="0.45">
      <c r="A4" s="19" t="s">
        <v>6</v>
      </c>
      <c r="B4" s="137">
        <v>-55</v>
      </c>
      <c r="C4" s="138"/>
      <c r="E4" s="27" t="s">
        <v>72</v>
      </c>
      <c r="F4" s="24" t="s">
        <v>27</v>
      </c>
      <c r="G4" s="12">
        <v>9</v>
      </c>
      <c r="H4" s="88">
        <f>IF(B$20=0,0,G4/B$20)</f>
        <v>0.47368421052631576</v>
      </c>
      <c r="I4" s="58">
        <v>10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1590</v>
      </c>
      <c r="Q4" s="77">
        <v>10</v>
      </c>
      <c r="R4" s="64">
        <v>15900</v>
      </c>
    </row>
    <row r="5" spans="1:18" x14ac:dyDescent="0.45">
      <c r="A5" s="19" t="s">
        <v>7</v>
      </c>
      <c r="B5" s="125">
        <f>IF(B$2=0,0,B$4/B$2)</f>
        <v>-5.5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0.36842105263157893</v>
      </c>
      <c r="I5" s="58">
        <v>6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-4062.5</v>
      </c>
      <c r="Q5" s="77">
        <v>8</v>
      </c>
      <c r="R5" s="64">
        <v>-32500</v>
      </c>
    </row>
    <row r="6" spans="1:18" x14ac:dyDescent="0.45">
      <c r="A6" s="19" t="s">
        <v>196</v>
      </c>
      <c r="B6" s="129">
        <v>1519.2183815819624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0.26315789473684209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-3385.7142857142858</v>
      </c>
      <c r="Q6" s="77">
        <v>7</v>
      </c>
      <c r="R6" s="64">
        <v>-23700</v>
      </c>
    </row>
    <row r="7" spans="1:18" x14ac:dyDescent="0.45">
      <c r="A7" s="19" t="s">
        <v>1</v>
      </c>
      <c r="B7" s="139">
        <f>IF(B$2=0,0,(B$8*1+B$9*2+B$10*3)/B$2)</f>
        <v>2.2000000000000002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0.15789473684210525</v>
      </c>
      <c r="I7" s="58">
        <v>3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-3266.6666666666665</v>
      </c>
      <c r="Q7" s="78">
        <v>6</v>
      </c>
      <c r="R7" s="65">
        <v>-19600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</v>
      </c>
      <c r="E8" s="27" t="s">
        <v>68</v>
      </c>
      <c r="F8" s="24" t="s">
        <v>12</v>
      </c>
      <c r="G8" s="12">
        <v>3</v>
      </c>
      <c r="H8" s="88">
        <f>IF(B$20=0,0,G8/B$20)</f>
        <v>0.15789473684210525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0.6</v>
      </c>
      <c r="E9" s="27" t="s">
        <v>69</v>
      </c>
      <c r="F9" s="24" t="s">
        <v>24</v>
      </c>
      <c r="G9" s="12">
        <v>2</v>
      </c>
      <c r="H9" s="88">
        <f>IF(B$20=0,0,G9/B$20)</f>
        <v>0.10526315789473684</v>
      </c>
      <c r="I9" s="58">
        <v>6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0.3</v>
      </c>
      <c r="E10" s="27" t="s">
        <v>89</v>
      </c>
      <c r="F10" s="24" t="s">
        <v>44</v>
      </c>
      <c r="G10" s="12">
        <v>2</v>
      </c>
      <c r="H10" s="88">
        <f>IF(B$20=0,0,G10/B$20)</f>
        <v>0.10526315789473684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-18.466666666666665</v>
      </c>
      <c r="Q10" s="76">
        <v>3</v>
      </c>
      <c r="R10" s="67">
        <v>-55.4</v>
      </c>
    </row>
    <row r="11" spans="1:18" x14ac:dyDescent="0.45">
      <c r="A11" s="20" t="s">
        <v>184</v>
      </c>
      <c r="B11" s="109">
        <f>IF(B8=0,0,C11/B8)</f>
        <v>55</v>
      </c>
      <c r="C11" s="110">
        <v>55</v>
      </c>
      <c r="E11" s="27" t="s">
        <v>79</v>
      </c>
      <c r="F11" s="24" t="s">
        <v>34</v>
      </c>
      <c r="G11" s="12">
        <v>1</v>
      </c>
      <c r="H11" s="88">
        <f>IF(B$20=0,0,G11/B$20)</f>
        <v>5.2631578947368418E-2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-2.3166666666666664</v>
      </c>
      <c r="C12" s="110">
        <v>-13.899999999999999</v>
      </c>
      <c r="E12" s="27" t="s">
        <v>81</v>
      </c>
      <c r="F12" s="24" t="s">
        <v>36</v>
      </c>
      <c r="G12" s="12">
        <v>1</v>
      </c>
      <c r="H12" s="88">
        <f>IF(B$20=0,0,G12/B$20)</f>
        <v>5.2631578947368418E-2</v>
      </c>
      <c r="I12" s="58">
        <v>3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8.16</v>
      </c>
      <c r="Q12" s="78">
        <v>5</v>
      </c>
      <c r="R12" s="69">
        <v>40.800000000000004</v>
      </c>
    </row>
    <row r="13" spans="1:18" x14ac:dyDescent="0.45">
      <c r="A13" s="20" t="s">
        <v>186</v>
      </c>
      <c r="B13" s="109">
        <f>IF(B10=0,0,C13/B10)</f>
        <v>-32.033333333333331</v>
      </c>
      <c r="C13" s="110">
        <v>-96.1</v>
      </c>
      <c r="E13" s="27" t="s">
        <v>83</v>
      </c>
      <c r="F13" s="24" t="s">
        <v>38</v>
      </c>
      <c r="G13" s="12">
        <v>1</v>
      </c>
      <c r="H13" s="88">
        <f>IF(B$20=0,0,G13/B$20)</f>
        <v>5.2631578947368418E-2</v>
      </c>
      <c r="I13" s="58">
        <v>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6.8833333333333355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5.2631578947368418E-2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21</v>
      </c>
      <c r="C16" s="10">
        <f>IF(B$3=0,0,B16/B$3)</f>
        <v>0.27272727272727271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-6.5999999999999988</v>
      </c>
      <c r="Q16" s="77">
        <v>3</v>
      </c>
      <c r="R16" s="68">
        <v>-19.799999999999997</v>
      </c>
    </row>
    <row r="17" spans="1:18" x14ac:dyDescent="0.45">
      <c r="A17" s="19" t="s">
        <v>118</v>
      </c>
      <c r="B17" s="12">
        <v>16</v>
      </c>
      <c r="C17" s="6">
        <f>IF(B$3=0,0,B17/B$3)</f>
        <v>0.20779220779220781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-12.162500000000001</v>
      </c>
      <c r="Q17" s="77">
        <v>8</v>
      </c>
      <c r="R17" s="68">
        <v>-97.300000000000011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0.52380952380952384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0.24675324675324675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5</v>
      </c>
      <c r="C21" s="6">
        <f>IF(B$3=0,0,B21/B$3)</f>
        <v>6.4935064935064929E-2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0.15789473684210525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16</v>
      </c>
      <c r="C23" s="6">
        <f>IF(B$20=0,0,B23/B$20)</f>
        <v>0.84210526315789469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11</v>
      </c>
      <c r="C24" s="6">
        <f>IF(B$20=0,0,B24/B$20)</f>
        <v>0.57894736842105265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0.36842105263157893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5.2631578947368418E-2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6452.6315789473683</v>
      </c>
      <c r="C27" s="8">
        <v>122600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6283.333333333333</v>
      </c>
      <c r="C28" s="96">
        <v>75400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6742.8571428571431</v>
      </c>
      <c r="C29" s="96">
        <v>47200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27</v>
      </c>
      <c r="C32" s="90">
        <v>27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5.2631578947368418E-2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0.31578947368421051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0.26315789473684209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0.21052631578947367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5.2631578947368418E-2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0.10526315789473684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DEB62-BA23-4727-AF3B-CEC21F257F13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19</v>
      </c>
      <c r="C2" s="134"/>
      <c r="E2" s="26" t="s">
        <v>66</v>
      </c>
      <c r="F2" s="23" t="s">
        <v>22</v>
      </c>
      <c r="G2" s="11">
        <v>48</v>
      </c>
      <c r="H2" s="87">
        <f>IF(B$20=0,0,G2/B$20)</f>
        <v>0.94117647058823528</v>
      </c>
      <c r="I2" s="57">
        <v>2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189.47368421052633</v>
      </c>
      <c r="Q2" s="76">
        <v>19</v>
      </c>
      <c r="R2" s="63">
        <v>3600</v>
      </c>
    </row>
    <row r="3" spans="1:18" x14ac:dyDescent="0.45">
      <c r="A3" s="19" t="s">
        <v>8</v>
      </c>
      <c r="B3" s="135">
        <v>151</v>
      </c>
      <c r="C3" s="136"/>
      <c r="E3" s="27" t="s">
        <v>72</v>
      </c>
      <c r="F3" s="24" t="s">
        <v>27</v>
      </c>
      <c r="G3" s="12">
        <v>34</v>
      </c>
      <c r="H3" s="88">
        <f>IF(B$20=0,0,G3/B$20)</f>
        <v>0.66666666666666663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452.63157894736844</v>
      </c>
      <c r="Q3" s="77">
        <v>19</v>
      </c>
      <c r="R3" s="64">
        <v>8600</v>
      </c>
    </row>
    <row r="4" spans="1:18" x14ac:dyDescent="0.45">
      <c r="A4" s="19" t="s">
        <v>6</v>
      </c>
      <c r="B4" s="137">
        <v>126.80000000000001</v>
      </c>
      <c r="C4" s="138"/>
      <c r="E4" s="27" t="s">
        <v>64</v>
      </c>
      <c r="F4" s="24" t="s">
        <v>20</v>
      </c>
      <c r="G4" s="12">
        <v>18</v>
      </c>
      <c r="H4" s="88">
        <f>IF(B$20=0,0,G4/B$20)</f>
        <v>0.35294117647058826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3657.8947368421054</v>
      </c>
      <c r="Q4" s="77">
        <v>19</v>
      </c>
      <c r="R4" s="64">
        <v>69500</v>
      </c>
    </row>
    <row r="5" spans="1:18" x14ac:dyDescent="0.45">
      <c r="A5" s="19" t="s">
        <v>7</v>
      </c>
      <c r="B5" s="125">
        <f>IF(B$2=0,0,B$4/B$2)</f>
        <v>6.6736842105263161</v>
      </c>
      <c r="C5" s="126"/>
      <c r="E5" s="27" t="s">
        <v>67</v>
      </c>
      <c r="F5" s="24" t="s">
        <v>23</v>
      </c>
      <c r="G5" s="12">
        <v>12</v>
      </c>
      <c r="H5" s="88">
        <f>IF(B$20=0,0,G5/B$20)</f>
        <v>0.23529411764705882</v>
      </c>
      <c r="I5" s="58">
        <v>6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-1035.2941176470588</v>
      </c>
      <c r="Q5" s="77">
        <v>17</v>
      </c>
      <c r="R5" s="64">
        <v>-17600</v>
      </c>
    </row>
    <row r="6" spans="1:18" x14ac:dyDescent="0.45">
      <c r="A6" s="19" t="s">
        <v>196</v>
      </c>
      <c r="B6" s="129">
        <v>1520.8008041195092</v>
      </c>
      <c r="C6" s="130"/>
      <c r="E6" s="27" t="s">
        <v>159</v>
      </c>
      <c r="F6" s="24" t="s">
        <v>160</v>
      </c>
      <c r="G6" s="12">
        <v>11</v>
      </c>
      <c r="H6" s="88">
        <f>IF(B$20=0,0,G6/B$20)</f>
        <v>0.21568627450980393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2328.5714285714284</v>
      </c>
      <c r="Q6" s="77">
        <v>14</v>
      </c>
      <c r="R6" s="64">
        <v>32600</v>
      </c>
    </row>
    <row r="7" spans="1:18" x14ac:dyDescent="0.45">
      <c r="A7" s="19" t="s">
        <v>1</v>
      </c>
      <c r="B7" s="139">
        <f>IF(B$2=0,0,(B$8*1+B$9*2+B$10*3)/B$2)</f>
        <v>1.8421052631578947</v>
      </c>
      <c r="C7" s="140"/>
      <c r="E7" s="27" t="s">
        <v>68</v>
      </c>
      <c r="F7" s="24" t="s">
        <v>12</v>
      </c>
      <c r="G7" s="12">
        <v>9</v>
      </c>
      <c r="H7" s="88">
        <f>IF(B$20=0,0,G7/B$20)</f>
        <v>0.17647058823529413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1257.1428571428571</v>
      </c>
      <c r="Q7" s="78">
        <v>14</v>
      </c>
      <c r="R7" s="65">
        <v>17600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0.42105263157894735</v>
      </c>
      <c r="E8" s="27" t="s">
        <v>89</v>
      </c>
      <c r="F8" s="24" t="s">
        <v>44</v>
      </c>
      <c r="G8" s="12">
        <v>8</v>
      </c>
      <c r="H8" s="88">
        <f>IF(B$20=0,0,G8/B$20)</f>
        <v>0.15686274509803921</v>
      </c>
      <c r="I8" s="58">
        <v>6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0.31578947368421051</v>
      </c>
      <c r="E9" s="27" t="s">
        <v>69</v>
      </c>
      <c r="F9" s="24" t="s">
        <v>24</v>
      </c>
      <c r="G9" s="12">
        <v>7</v>
      </c>
      <c r="H9" s="88">
        <f>IF(B$20=0,0,G9/B$20)</f>
        <v>0.13725490196078433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0.26315789473684209</v>
      </c>
      <c r="E10" s="27" t="s">
        <v>71</v>
      </c>
      <c r="F10" s="24" t="s">
        <v>26</v>
      </c>
      <c r="G10" s="12">
        <v>6</v>
      </c>
      <c r="H10" s="88">
        <f>IF(B$20=0,0,G10/B$20)</f>
        <v>0.11764705882352941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-7.4</v>
      </c>
      <c r="Q10" s="76">
        <v>4</v>
      </c>
      <c r="R10" s="67">
        <v>-29.6</v>
      </c>
    </row>
    <row r="11" spans="1:18" x14ac:dyDescent="0.45">
      <c r="A11" s="20" t="s">
        <v>184</v>
      </c>
      <c r="B11" s="109">
        <f>IF(B8=0,0,C11/B8)</f>
        <v>33.475000000000001</v>
      </c>
      <c r="C11" s="110">
        <v>267.8</v>
      </c>
      <c r="E11" s="27" t="s">
        <v>91</v>
      </c>
      <c r="F11" s="24" t="s">
        <v>46</v>
      </c>
      <c r="G11" s="12">
        <v>4</v>
      </c>
      <c r="H11" s="88">
        <f>IF(B$20=0,0,G11/B$20)</f>
        <v>7.8431372549019607E-2</v>
      </c>
      <c r="I11" s="58">
        <v>1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5.4428571428571439</v>
      </c>
      <c r="Q11" s="77">
        <v>7</v>
      </c>
      <c r="R11" s="68">
        <v>38.100000000000009</v>
      </c>
    </row>
    <row r="12" spans="1:18" x14ac:dyDescent="0.45">
      <c r="A12" s="20" t="s">
        <v>185</v>
      </c>
      <c r="B12" s="109">
        <f>IF(B9=0,0,C12/B9)</f>
        <v>0.41666666666666624</v>
      </c>
      <c r="C12" s="110">
        <v>2.4999999999999973</v>
      </c>
      <c r="E12" s="27" t="s">
        <v>81</v>
      </c>
      <c r="F12" s="24" t="s">
        <v>36</v>
      </c>
      <c r="G12" s="12">
        <v>3</v>
      </c>
      <c r="H12" s="88">
        <f>IF(B$20=0,0,G12/B$20)</f>
        <v>5.8823529411764705E-2</v>
      </c>
      <c r="I12" s="58">
        <v>2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14.787499999999998</v>
      </c>
      <c r="Q12" s="78">
        <v>8</v>
      </c>
      <c r="R12" s="69">
        <v>118.29999999999998</v>
      </c>
    </row>
    <row r="13" spans="1:18" x14ac:dyDescent="0.45">
      <c r="A13" s="20" t="s">
        <v>186</v>
      </c>
      <c r="B13" s="109">
        <f>IF(B10=0,0,C13/B10)</f>
        <v>-28.7</v>
      </c>
      <c r="C13" s="110">
        <v>-143.5</v>
      </c>
      <c r="E13" s="27" t="s">
        <v>83</v>
      </c>
      <c r="F13" s="24" t="s">
        <v>38</v>
      </c>
      <c r="G13" s="12">
        <v>3</v>
      </c>
      <c r="H13" s="88">
        <f>IF(B$20=0,0,G13/B$20)</f>
        <v>5.8823529411764705E-2</v>
      </c>
      <c r="I13" s="58">
        <v>4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1.7305555555555554</v>
      </c>
      <c r="C14" s="126"/>
      <c r="E14" s="27" t="s">
        <v>86</v>
      </c>
      <c r="F14" s="24" t="s">
        <v>41</v>
      </c>
      <c r="G14" s="12">
        <v>3</v>
      </c>
      <c r="H14" s="88">
        <f>IF(B$20=0,0,G14/B$20)</f>
        <v>5.8823529411764705E-2</v>
      </c>
      <c r="I14" s="58">
        <v>3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5.2631578947368418E-2</v>
      </c>
      <c r="E15" s="27" t="s">
        <v>65</v>
      </c>
      <c r="F15" s="24" t="s">
        <v>21</v>
      </c>
      <c r="G15" s="12">
        <v>2</v>
      </c>
      <c r="H15" s="88">
        <f>IF(B$20=0,0,G15/B$20)</f>
        <v>3.9215686274509803E-2</v>
      </c>
      <c r="I15" s="58">
        <v>9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33</v>
      </c>
      <c r="C16" s="10">
        <f>IF(B$3=0,0,B16/B$3)</f>
        <v>0.2185430463576159</v>
      </c>
      <c r="E16" s="27" t="s">
        <v>70</v>
      </c>
      <c r="F16" s="24" t="s">
        <v>25</v>
      </c>
      <c r="G16" s="12">
        <v>2</v>
      </c>
      <c r="H16" s="88">
        <f>IF(B$20=0,0,G16/B$20)</f>
        <v>3.9215686274509803E-2</v>
      </c>
      <c r="I16" s="58">
        <v>8</v>
      </c>
      <c r="K16" s="74">
        <v>14</v>
      </c>
      <c r="L16" s="119">
        <v>99.300000000000011</v>
      </c>
      <c r="M16" s="117">
        <v>1512.415829547685</v>
      </c>
      <c r="O16" s="74" t="s">
        <v>163</v>
      </c>
      <c r="P16" s="83">
        <f t="shared" si="2"/>
        <v>39</v>
      </c>
      <c r="Q16" s="77">
        <v>4</v>
      </c>
      <c r="R16" s="68">
        <v>156</v>
      </c>
    </row>
    <row r="17" spans="1:18" x14ac:dyDescent="0.45">
      <c r="A17" s="19" t="s">
        <v>118</v>
      </c>
      <c r="B17" s="12">
        <v>39</v>
      </c>
      <c r="C17" s="6">
        <f>IF(B$3=0,0,B17/B$3)</f>
        <v>0.25827814569536423</v>
      </c>
      <c r="E17" s="27" t="s">
        <v>73</v>
      </c>
      <c r="F17" s="24" t="s">
        <v>28</v>
      </c>
      <c r="G17" s="12">
        <v>2</v>
      </c>
      <c r="H17" s="88">
        <f>IF(B$20=0,0,G17/B$20)</f>
        <v>3.9215686274509803E-2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192</v>
      </c>
      <c r="P17" s="83">
        <f t="shared" si="2"/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18</v>
      </c>
      <c r="C18" s="5">
        <f>IF(B$16=0,0,B18/B$16)</f>
        <v>0.54545454545454541</v>
      </c>
      <c r="E18" s="27" t="s">
        <v>78</v>
      </c>
      <c r="F18" s="24" t="s">
        <v>33</v>
      </c>
      <c r="G18" s="12">
        <v>2</v>
      </c>
      <c r="H18" s="88">
        <f>IF(B$20=0,0,G18/B$20)</f>
        <v>3.9215686274509803E-2</v>
      </c>
      <c r="I18" s="58">
        <v>3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 t="shared" si="2"/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23</v>
      </c>
      <c r="C19" s="5">
        <f>IF(B$17=0,0,B19/B$17)</f>
        <v>0.58974358974358976</v>
      </c>
      <c r="E19" s="27" t="s">
        <v>75</v>
      </c>
      <c r="F19" s="24" t="s">
        <v>30</v>
      </c>
      <c r="G19" s="12">
        <v>1</v>
      </c>
      <c r="H19" s="88">
        <f>IF(B$20=0,0,G19/B$20)</f>
        <v>1.9607843137254902E-2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216</v>
      </c>
      <c r="P19" s="83">
        <f t="shared" si="2"/>
        <v>15.922222222222224</v>
      </c>
      <c r="Q19" s="77">
        <v>9</v>
      </c>
      <c r="R19" s="68">
        <v>143.30000000000001</v>
      </c>
    </row>
    <row r="20" spans="1:18" x14ac:dyDescent="0.45">
      <c r="A20" s="18" t="s">
        <v>10</v>
      </c>
      <c r="B20" s="11">
        <f>B23+B22</f>
        <v>51</v>
      </c>
      <c r="C20" s="5">
        <f>IF(B$3=0,0,B20/B$3)</f>
        <v>0.33774834437086093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190</v>
      </c>
      <c r="P20" s="83">
        <f t="shared" si="2"/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23</v>
      </c>
      <c r="C21" s="6">
        <f>IF(B$3=0,0,B21/B$3)</f>
        <v>0.15231788079470199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126</v>
      </c>
      <c r="P21" s="83">
        <f t="shared" si="2"/>
        <v>0.48333333333333323</v>
      </c>
      <c r="Q21" s="77">
        <v>12</v>
      </c>
      <c r="R21" s="68">
        <v>5.7999999999999989</v>
      </c>
    </row>
    <row r="22" spans="1:18" x14ac:dyDescent="0.45">
      <c r="A22" s="19" t="s">
        <v>12</v>
      </c>
      <c r="B22" s="12">
        <v>20</v>
      </c>
      <c r="C22" s="6">
        <f>IF(B$20=0,0,B22/B$20)</f>
        <v>0.39215686274509803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189</v>
      </c>
      <c r="P22" s="83">
        <f t="shared" si="2"/>
        <v>-1.3800000000000014</v>
      </c>
      <c r="Q22" s="77">
        <v>5</v>
      </c>
      <c r="R22" s="68">
        <v>-6.9000000000000075</v>
      </c>
    </row>
    <row r="23" spans="1:18" x14ac:dyDescent="0.45">
      <c r="A23" s="19" t="s">
        <v>11</v>
      </c>
      <c r="B23" s="12">
        <v>31</v>
      </c>
      <c r="C23" s="6">
        <f>IF(B$20=0,0,B23/B$20)</f>
        <v>0.60784313725490191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18</v>
      </c>
      <c r="C24" s="6">
        <f>IF(B$20=0,0,B24/B$20)</f>
        <v>0.35294117647058826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23</v>
      </c>
      <c r="C25" s="6">
        <f>IF(B$20=0,0,B25/B$20)</f>
        <v>0.45098039215686275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10</v>
      </c>
      <c r="C26" s="6">
        <f>IF(B$20=0,0,B26/B$20)</f>
        <v>0.19607843137254902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8115.6862745098042</v>
      </c>
      <c r="C27" s="8">
        <v>413900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8725</v>
      </c>
      <c r="C28" s="96">
        <v>244300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7373.913043478261</v>
      </c>
      <c r="C29" s="96">
        <v>169600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-7365.217391304348</v>
      </c>
      <c r="C30" s="96">
        <v>-169400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6.6225165562913907E-3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3">IF(B$20=0,0,B37/B$20)</f>
        <v>5.8823529411764705E-2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13</v>
      </c>
      <c r="C38" s="6">
        <f t="shared" si="3"/>
        <v>0.25490196078431371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9</v>
      </c>
      <c r="C39" s="6">
        <f t="shared" si="3"/>
        <v>0.17647058823529413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3"/>
        <v>0.17647058823529413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3"/>
        <v>5.8823529411764705E-2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5</v>
      </c>
      <c r="C42" s="6">
        <f t="shared" si="3"/>
        <v>9.8039215686274508E-2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1.9607843137254902E-2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3"/>
        <v>1.9607843137254902E-2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3"/>
        <v>1.9607843137254902E-2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A5C5F-528B-498A-B694-FBE66151058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19</v>
      </c>
      <c r="C2" s="134"/>
      <c r="E2" s="26" t="s">
        <v>66</v>
      </c>
      <c r="F2" s="23" t="s">
        <v>22</v>
      </c>
      <c r="G2" s="11">
        <v>45</v>
      </c>
      <c r="H2" s="87">
        <f>IF(B$20=0,0,G2/B$20)</f>
        <v>0.88235294117647056</v>
      </c>
      <c r="I2" s="57">
        <v>3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-778.9473684210526</v>
      </c>
      <c r="Q2" s="76">
        <v>19</v>
      </c>
      <c r="R2" s="63">
        <v>-14800</v>
      </c>
    </row>
    <row r="3" spans="1:18" x14ac:dyDescent="0.45">
      <c r="A3" s="19" t="s">
        <v>8</v>
      </c>
      <c r="B3" s="135">
        <v>163</v>
      </c>
      <c r="C3" s="136"/>
      <c r="E3" s="27" t="s">
        <v>72</v>
      </c>
      <c r="F3" s="24" t="s">
        <v>27</v>
      </c>
      <c r="G3" s="12">
        <v>27</v>
      </c>
      <c r="H3" s="88">
        <f>IF(B$20=0,0,G3/B$20)</f>
        <v>0.52941176470588236</v>
      </c>
      <c r="I3" s="58">
        <v>9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-827.77777777777783</v>
      </c>
      <c r="Q3" s="77">
        <v>18</v>
      </c>
      <c r="R3" s="64">
        <v>-14900</v>
      </c>
    </row>
    <row r="4" spans="1:18" x14ac:dyDescent="0.45">
      <c r="A4" s="19" t="s">
        <v>6</v>
      </c>
      <c r="B4" s="137">
        <v>8.5000000000000036</v>
      </c>
      <c r="C4" s="138"/>
      <c r="E4" s="27" t="s">
        <v>159</v>
      </c>
      <c r="F4" s="24" t="s">
        <v>160</v>
      </c>
      <c r="G4" s="12">
        <v>26</v>
      </c>
      <c r="H4" s="88">
        <f>IF(B$20=0,0,G4/B$20)</f>
        <v>0.50980392156862742</v>
      </c>
      <c r="I4" s="58">
        <v>1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-527.77777777777783</v>
      </c>
      <c r="Q4" s="77">
        <v>18</v>
      </c>
      <c r="R4" s="64">
        <v>-9500</v>
      </c>
    </row>
    <row r="5" spans="1:18" x14ac:dyDescent="0.45">
      <c r="A5" s="19" t="s">
        <v>7</v>
      </c>
      <c r="B5" s="125">
        <f>IF(B$2=0,0,B$4/B$2)</f>
        <v>0.44736842105263175</v>
      </c>
      <c r="C5" s="126"/>
      <c r="E5" s="27" t="s">
        <v>64</v>
      </c>
      <c r="F5" s="24" t="s">
        <v>20</v>
      </c>
      <c r="G5" s="12">
        <v>17</v>
      </c>
      <c r="H5" s="88">
        <f>IF(B$20=0,0,G5/B$20)</f>
        <v>0.33333333333333331</v>
      </c>
      <c r="I5" s="58">
        <v>8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1935.2941176470588</v>
      </c>
      <c r="Q5" s="77">
        <v>17</v>
      </c>
      <c r="R5" s="64">
        <v>32900</v>
      </c>
    </row>
    <row r="6" spans="1:18" x14ac:dyDescent="0.45">
      <c r="A6" s="19" t="s">
        <v>196</v>
      </c>
      <c r="B6" s="129">
        <v>1526.4314438211652</v>
      </c>
      <c r="C6" s="130"/>
      <c r="E6" s="27" t="s">
        <v>68</v>
      </c>
      <c r="F6" s="24" t="s">
        <v>12</v>
      </c>
      <c r="G6" s="12">
        <v>16</v>
      </c>
      <c r="H6" s="88">
        <f>IF(B$20=0,0,G6/B$20)</f>
        <v>0.31372549019607843</v>
      </c>
      <c r="I6" s="58">
        <v>4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912.5</v>
      </c>
      <c r="Q6" s="77">
        <v>16</v>
      </c>
      <c r="R6" s="64">
        <v>14600</v>
      </c>
    </row>
    <row r="7" spans="1:18" x14ac:dyDescent="0.45">
      <c r="A7" s="19" t="s">
        <v>1</v>
      </c>
      <c r="B7" s="139">
        <f>IF(B$2=0,0,(B$8*1+B$9*2+B$10*3)/B$2)</f>
        <v>1.8947368421052631</v>
      </c>
      <c r="C7" s="140"/>
      <c r="E7" s="27" t="s">
        <v>70</v>
      </c>
      <c r="F7" s="24" t="s">
        <v>25</v>
      </c>
      <c r="G7" s="12">
        <v>8</v>
      </c>
      <c r="H7" s="88">
        <f>IF(B$20=0,0,G7/B$20)</f>
        <v>0.15686274509803921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-1385.7142857142858</v>
      </c>
      <c r="Q7" s="78">
        <v>14</v>
      </c>
      <c r="R7" s="65">
        <v>-19400</v>
      </c>
    </row>
    <row r="8" spans="1:18" x14ac:dyDescent="0.45">
      <c r="A8" s="19" t="s">
        <v>2</v>
      </c>
      <c r="B8" s="12">
        <v>7</v>
      </c>
      <c r="C8" s="6">
        <f t="shared" ref="C8:C15" si="1">IF(B$2=0,0,B8/B$2)</f>
        <v>0.36842105263157893</v>
      </c>
      <c r="E8" s="27" t="s">
        <v>67</v>
      </c>
      <c r="F8" s="24" t="s">
        <v>23</v>
      </c>
      <c r="G8" s="12">
        <v>7</v>
      </c>
      <c r="H8" s="88">
        <f>IF(B$20=0,0,G8/B$20)</f>
        <v>0.13725490196078433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0.36842105263157893</v>
      </c>
      <c r="E9" s="27" t="s">
        <v>89</v>
      </c>
      <c r="F9" s="24" t="s">
        <v>44</v>
      </c>
      <c r="G9" s="12">
        <v>7</v>
      </c>
      <c r="H9" s="88">
        <f>IF(B$20=0,0,G9/B$20)</f>
        <v>0.13725490196078433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0.26315789473684209</v>
      </c>
      <c r="E10" s="27" t="s">
        <v>71</v>
      </c>
      <c r="F10" s="24" t="s">
        <v>26</v>
      </c>
      <c r="G10" s="12">
        <v>5</v>
      </c>
      <c r="H10" s="88">
        <f>IF(B$20=0,0,G10/B$20)</f>
        <v>9.8039215686274508E-2</v>
      </c>
      <c r="I10" s="58">
        <v>2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2.6333333333333333</v>
      </c>
      <c r="Q10" s="76">
        <v>9</v>
      </c>
      <c r="R10" s="67">
        <v>23.7</v>
      </c>
    </row>
    <row r="11" spans="1:18" x14ac:dyDescent="0.45">
      <c r="A11" s="20" t="s">
        <v>184</v>
      </c>
      <c r="B11" s="109">
        <f>IF(B8=0,0,C11/B8)</f>
        <v>30.471428571428572</v>
      </c>
      <c r="C11" s="110">
        <v>213.3</v>
      </c>
      <c r="E11" s="27" t="s">
        <v>69</v>
      </c>
      <c r="F11" s="24" t="s">
        <v>24</v>
      </c>
      <c r="G11" s="12">
        <v>4</v>
      </c>
      <c r="H11" s="88">
        <f>IF(B$20=0,0,G11/B$20)</f>
        <v>7.8431372549019607E-2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-10.971428571428572</v>
      </c>
      <c r="Q11" s="77">
        <v>7</v>
      </c>
      <c r="R11" s="68">
        <v>-76.8</v>
      </c>
    </row>
    <row r="12" spans="1:18" x14ac:dyDescent="0.45">
      <c r="A12" s="20" t="s">
        <v>185</v>
      </c>
      <c r="B12" s="109">
        <f>IF(B9=0,0,C12/B9)</f>
        <v>-3.157142857142857</v>
      </c>
      <c r="C12" s="110">
        <v>-22.099999999999998</v>
      </c>
      <c r="E12" s="27" t="s">
        <v>78</v>
      </c>
      <c r="F12" s="24" t="s">
        <v>33</v>
      </c>
      <c r="G12" s="12">
        <v>2</v>
      </c>
      <c r="H12" s="88">
        <f>IF(B$20=0,0,G12/B$20)</f>
        <v>3.9215686274509803E-2</v>
      </c>
      <c r="I12" s="58">
        <v>3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20.533333333333335</v>
      </c>
      <c r="Q12" s="78">
        <v>3</v>
      </c>
      <c r="R12" s="69">
        <v>61.6</v>
      </c>
    </row>
    <row r="13" spans="1:18" x14ac:dyDescent="0.45">
      <c r="A13" s="20" t="s">
        <v>186</v>
      </c>
      <c r="B13" s="109">
        <f>IF(B10=0,0,C13/B10)</f>
        <v>-36.54</v>
      </c>
      <c r="C13" s="110">
        <v>-182.7</v>
      </c>
      <c r="E13" s="27" t="s">
        <v>83</v>
      </c>
      <c r="F13" s="24" t="s">
        <v>38</v>
      </c>
      <c r="G13" s="12">
        <v>2</v>
      </c>
      <c r="H13" s="88">
        <f>IF(B$20=0,0,G13/B$20)</f>
        <v>3.9215686274509803E-2</v>
      </c>
      <c r="I13" s="58">
        <v>8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-3.0752380952380953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3.9215686274509803E-2</v>
      </c>
      <c r="I14" s="58">
        <v>6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0.10526315789473684</v>
      </c>
      <c r="E15" s="27" t="s">
        <v>73</v>
      </c>
      <c r="F15" s="24" t="s">
        <v>28</v>
      </c>
      <c r="G15" s="12">
        <v>1</v>
      </c>
      <c r="H15" s="88">
        <f>IF(B$20=0,0,G15/B$20)</f>
        <v>1.9607843137254902E-2</v>
      </c>
      <c r="I15" s="58">
        <v>2</v>
      </c>
      <c r="K15" s="74">
        <v>13</v>
      </c>
      <c r="L15" s="119">
        <v>-48.5</v>
      </c>
      <c r="M15" s="117">
        <v>1514.0489698444221</v>
      </c>
      <c r="O15" s="73" t="s">
        <v>163</v>
      </c>
      <c r="P15" s="82">
        <f>IF(Q15=0,0,R15/Q15)</f>
        <v>40.900000000000006</v>
      </c>
      <c r="Q15" s="76">
        <v>2</v>
      </c>
      <c r="R15" s="67">
        <v>81.800000000000011</v>
      </c>
    </row>
    <row r="16" spans="1:18" x14ac:dyDescent="0.45">
      <c r="A16" s="22" t="s">
        <v>121</v>
      </c>
      <c r="B16" s="15">
        <v>38</v>
      </c>
      <c r="C16" s="10">
        <f>IF(B$3=0,0,B16/B$3)</f>
        <v>0.23312883435582821</v>
      </c>
      <c r="E16" s="27" t="s">
        <v>79</v>
      </c>
      <c r="F16" s="24" t="s">
        <v>34</v>
      </c>
      <c r="G16" s="12">
        <v>1</v>
      </c>
      <c r="H16" s="88">
        <f>IF(B$20=0,0,G16/B$20)</f>
        <v>1.9607843137254902E-2</v>
      </c>
      <c r="I16" s="58">
        <v>4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44</v>
      </c>
      <c r="C17" s="6">
        <f>IF(B$3=0,0,B17/B$3)</f>
        <v>0.26993865030674846</v>
      </c>
      <c r="E17" s="27" t="s">
        <v>81</v>
      </c>
      <c r="F17" s="24" t="s">
        <v>36</v>
      </c>
      <c r="G17" s="12">
        <v>1</v>
      </c>
      <c r="H17" s="88">
        <f>IF(B$20=0,0,G17/B$20)</f>
        <v>1.9607843137254902E-2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221</v>
      </c>
      <c r="P17" s="83">
        <f>IF(Q17=0,0,R17/Q17)</f>
        <v>17</v>
      </c>
      <c r="Q17" s="77">
        <v>1</v>
      </c>
      <c r="R17" s="68">
        <v>17</v>
      </c>
    </row>
    <row r="18" spans="1:18" x14ac:dyDescent="0.45">
      <c r="A18" s="18" t="s">
        <v>123</v>
      </c>
      <c r="B18" s="11">
        <f>B24</f>
        <v>18</v>
      </c>
      <c r="C18" s="5">
        <f>IF(B$16=0,0,B18/B$16)</f>
        <v>0.47368421052631576</v>
      </c>
      <c r="E18" s="27" t="s">
        <v>155</v>
      </c>
      <c r="F18" s="24" t="s">
        <v>156</v>
      </c>
      <c r="G18" s="12">
        <v>1</v>
      </c>
      <c r="H18" s="88">
        <f>IF(B$20=0,0,G18/B$20)</f>
        <v>1.9607843137254902E-2</v>
      </c>
      <c r="I18" s="58">
        <v>2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>IF(Q18=0,0,R18/Q18)</f>
        <v>8.625</v>
      </c>
      <c r="Q18" s="77">
        <v>8</v>
      </c>
      <c r="R18" s="68">
        <v>69</v>
      </c>
    </row>
    <row r="19" spans="1:18" x14ac:dyDescent="0.45">
      <c r="A19" s="18" t="s">
        <v>124</v>
      </c>
      <c r="B19" s="11">
        <f>B25</f>
        <v>19</v>
      </c>
      <c r="C19" s="5">
        <f>IF(B$17=0,0,B19/B$17)</f>
        <v>0.43181818181818182</v>
      </c>
      <c r="E19" s="27" t="s">
        <v>65</v>
      </c>
      <c r="F19" s="24" t="s">
        <v>21</v>
      </c>
      <c r="G19" s="12">
        <v>0</v>
      </c>
      <c r="H19" s="88">
        <f>IF(B$20=0,0,G19/B$20)</f>
        <v>0</v>
      </c>
      <c r="I19" s="58">
        <v>10</v>
      </c>
      <c r="K19" s="74">
        <v>17</v>
      </c>
      <c r="L19" s="119">
        <v>10.5</v>
      </c>
      <c r="M19" s="117">
        <v>1525.5663961851239</v>
      </c>
      <c r="O19" s="74" t="s">
        <v>190</v>
      </c>
      <c r="P19" s="83">
        <f>IF(Q19=0,0,R19/Q19)</f>
        <v>3.0714285714285707</v>
      </c>
      <c r="Q19" s="77">
        <v>7</v>
      </c>
      <c r="R19" s="68">
        <v>21.499999999999996</v>
      </c>
    </row>
    <row r="20" spans="1:18" x14ac:dyDescent="0.45">
      <c r="A20" s="18" t="s">
        <v>10</v>
      </c>
      <c r="B20" s="11">
        <f>B23+B22</f>
        <v>51</v>
      </c>
      <c r="C20" s="5">
        <f>IF(B$3=0,0,B20/B$3)</f>
        <v>0.31288343558282211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195</v>
      </c>
      <c r="P20" s="83">
        <f>IF(Q20=0,0,R20/Q20)</f>
        <v>-8.7333333333333343</v>
      </c>
      <c r="Q20" s="77">
        <v>3</v>
      </c>
      <c r="R20" s="68">
        <v>-26.200000000000003</v>
      </c>
    </row>
    <row r="21" spans="1:18" x14ac:dyDescent="0.45">
      <c r="A21" s="19" t="s">
        <v>13</v>
      </c>
      <c r="B21" s="12">
        <v>26</v>
      </c>
      <c r="C21" s="6">
        <f>IF(B$3=0,0,B21/B$3)</f>
        <v>0.15950920245398773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>IF(Q21=0,0,R21/Q21)</f>
        <v>-10.433333333333332</v>
      </c>
      <c r="Q21" s="77">
        <v>15</v>
      </c>
      <c r="R21" s="68">
        <v>-156.49999999999997</v>
      </c>
    </row>
    <row r="22" spans="1:18" x14ac:dyDescent="0.45">
      <c r="A22" s="19" t="s">
        <v>12</v>
      </c>
      <c r="B22" s="12">
        <v>20</v>
      </c>
      <c r="C22" s="6">
        <f>IF(B$20=0,0,B22/B$20)</f>
        <v>0.39215686274509803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O22" s="74" t="s">
        <v>211</v>
      </c>
      <c r="P22" s="83">
        <f>IF(Q22=0,0,R22/Q22)</f>
        <v>-16.2</v>
      </c>
      <c r="Q22" s="77">
        <v>1</v>
      </c>
      <c r="R22" s="68">
        <v>-16.2</v>
      </c>
    </row>
    <row r="23" spans="1:18" x14ac:dyDescent="0.45">
      <c r="A23" s="19" t="s">
        <v>11</v>
      </c>
      <c r="B23" s="12">
        <v>31</v>
      </c>
      <c r="C23" s="6">
        <f>IF(B$20=0,0,B23/B$20)</f>
        <v>0.60784313725490191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18</v>
      </c>
      <c r="C24" s="6">
        <f>IF(B$20=0,0,B24/B$20)</f>
        <v>0.35294117647058826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19</v>
      </c>
      <c r="C25" s="6">
        <f>IF(B$20=0,0,B25/B$20)</f>
        <v>0.37254901960784315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14</v>
      </c>
      <c r="C26" s="6">
        <f>IF(B$20=0,0,B26/B$20)</f>
        <v>0.27450980392156865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7294.1176470588234</v>
      </c>
      <c r="C27" s="8">
        <v>372000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8568.75</v>
      </c>
      <c r="C28" s="96">
        <v>274200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5147.3684210526317</v>
      </c>
      <c r="C29" s="96">
        <v>97800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-7211.5384615384619</v>
      </c>
      <c r="C30" s="96">
        <v>-187500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16</v>
      </c>
      <c r="C32" s="90">
        <v>3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67700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5</v>
      </c>
      <c r="C37" s="98">
        <f t="shared" ref="C37:C49" si="2">IF(B$20=0,0,B37/B$20)</f>
        <v>9.8039215686274508E-2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12</v>
      </c>
      <c r="C38" s="6">
        <f t="shared" si="2"/>
        <v>0.23529411764705882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10</v>
      </c>
      <c r="C39" s="6">
        <f t="shared" si="2"/>
        <v>0.19607843137254902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2"/>
        <v>0.15686274509803921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9</v>
      </c>
      <c r="C41" s="6">
        <f t="shared" si="2"/>
        <v>0.17647058823529413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1.9607843137254902E-2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2"/>
        <v>5.8823529411764705E-2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3.9215686274509803E-2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1.9607843137254902E-2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8B2C8-B8ED-448B-A97A-E4638E0CA249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0.6</v>
      </c>
      <c r="I2" s="57">
        <v>9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-1221.4285714285713</v>
      </c>
      <c r="Q2" s="76">
        <v>14</v>
      </c>
      <c r="R2" s="63">
        <v>-17100</v>
      </c>
    </row>
    <row r="3" spans="1:18" x14ac:dyDescent="0.45">
      <c r="A3" s="19" t="s">
        <v>8</v>
      </c>
      <c r="B3" s="135">
        <v>111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0.56000000000000005</v>
      </c>
      <c r="I3" s="58">
        <v>8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-907.14285714285711</v>
      </c>
      <c r="Q3" s="77">
        <v>14</v>
      </c>
      <c r="R3" s="64">
        <v>-12700</v>
      </c>
    </row>
    <row r="4" spans="1:18" x14ac:dyDescent="0.45">
      <c r="A4" s="19" t="s">
        <v>6</v>
      </c>
      <c r="B4" s="137">
        <v>-95.6</v>
      </c>
      <c r="C4" s="138"/>
      <c r="E4" s="27" t="s">
        <v>64</v>
      </c>
      <c r="F4" s="24" t="s">
        <v>20</v>
      </c>
      <c r="G4" s="12">
        <v>11</v>
      </c>
      <c r="H4" s="88">
        <f>IF(B$20=0,0,G4/B$20)</f>
        <v>0.44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-4335.7142857142853</v>
      </c>
      <c r="Q4" s="77">
        <v>14</v>
      </c>
      <c r="R4" s="64">
        <v>-60700</v>
      </c>
    </row>
    <row r="5" spans="1:18" x14ac:dyDescent="0.45">
      <c r="A5" s="19" t="s">
        <v>7</v>
      </c>
      <c r="B5" s="125">
        <f>IF(B$2=0,0,B$4/B$2)</f>
        <v>-6.8285714285714283</v>
      </c>
      <c r="C5" s="126"/>
      <c r="E5" s="27" t="s">
        <v>159</v>
      </c>
      <c r="F5" s="24" t="s">
        <v>160</v>
      </c>
      <c r="G5" s="12">
        <v>9</v>
      </c>
      <c r="H5" s="88">
        <f>IF(B$20=0,0,G5/B$20)</f>
        <v>0.36</v>
      </c>
      <c r="I5" s="58">
        <v>8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-161.53846153846155</v>
      </c>
      <c r="Q5" s="77">
        <v>13</v>
      </c>
      <c r="R5" s="64">
        <v>-2100</v>
      </c>
    </row>
    <row r="6" spans="1:18" x14ac:dyDescent="0.45">
      <c r="A6" s="19" t="s">
        <v>196</v>
      </c>
      <c r="B6" s="129">
        <v>1488.317150804671</v>
      </c>
      <c r="C6" s="130"/>
      <c r="E6" s="27" t="s">
        <v>68</v>
      </c>
      <c r="F6" s="24" t="s">
        <v>12</v>
      </c>
      <c r="G6" s="12">
        <v>6</v>
      </c>
      <c r="H6" s="88">
        <f>IF(B$20=0,0,G6/B$20)</f>
        <v>0.24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-581.81818181818187</v>
      </c>
      <c r="Q6" s="77">
        <v>11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2.1428571428571428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0.24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0.2857142857142857</v>
      </c>
      <c r="E8" s="27" t="s">
        <v>65</v>
      </c>
      <c r="F8" s="24" t="s">
        <v>21</v>
      </c>
      <c r="G8" s="12">
        <v>4</v>
      </c>
      <c r="H8" s="88">
        <f>IF(B$20=0,0,G8/B$20)</f>
        <v>0.16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0.2857142857142857</v>
      </c>
      <c r="E9" s="27" t="s">
        <v>67</v>
      </c>
      <c r="F9" s="24" t="s">
        <v>23</v>
      </c>
      <c r="G9" s="12">
        <v>3</v>
      </c>
      <c r="H9" s="88">
        <f>IF(B$20=0,0,G9/B$20)</f>
        <v>0.12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0.12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-15.66</v>
      </c>
      <c r="Q10" s="76">
        <v>5</v>
      </c>
      <c r="R10" s="67">
        <v>-78.3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0.12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185</v>
      </c>
      <c r="B12" s="109">
        <f>IF(B9=0,0,C12/B9)</f>
        <v>-3.6750000000000003</v>
      </c>
      <c r="C12" s="110">
        <v>-14.700000000000001</v>
      </c>
      <c r="E12" s="27" t="s">
        <v>69</v>
      </c>
      <c r="F12" s="24" t="s">
        <v>24</v>
      </c>
      <c r="G12" s="12">
        <v>2</v>
      </c>
      <c r="H12" s="88">
        <f>IF(B$20=0,0,G12/B$20)</f>
        <v>0.08</v>
      </c>
      <c r="I12" s="58">
        <v>7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</v>
      </c>
      <c r="C13" s="110">
        <v>-236.4</v>
      </c>
      <c r="E13" s="27" t="s">
        <v>71</v>
      </c>
      <c r="F13" s="24" t="s">
        <v>26</v>
      </c>
      <c r="G13" s="12">
        <v>2</v>
      </c>
      <c r="H13" s="88">
        <f>IF(B$20=0,0,G13/B$20)</f>
        <v>0.08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-1.3999999999999986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0.04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81</v>
      </c>
      <c r="F15" s="24" t="s">
        <v>36</v>
      </c>
      <c r="G15" s="12">
        <v>1</v>
      </c>
      <c r="H15" s="88">
        <f>IF(B$20=0,0,G15/B$20)</f>
        <v>0.04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26</v>
      </c>
      <c r="C16" s="10">
        <f>IF(B$3=0,0,B16/B$3)</f>
        <v>0.23423423423423423</v>
      </c>
      <c r="E16" s="27" t="s">
        <v>85</v>
      </c>
      <c r="F16" s="24" t="s">
        <v>40</v>
      </c>
      <c r="G16" s="12">
        <v>1</v>
      </c>
      <c r="H16" s="88">
        <f>IF(B$20=0,0,G16/B$20)</f>
        <v>0.04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1.85</v>
      </c>
      <c r="Q16" s="77">
        <v>8</v>
      </c>
      <c r="R16" s="68">
        <v>14.8</v>
      </c>
    </row>
    <row r="17" spans="1:18" x14ac:dyDescent="0.45">
      <c r="A17" s="19" t="s">
        <v>118</v>
      </c>
      <c r="B17" s="12">
        <v>23</v>
      </c>
      <c r="C17" s="6">
        <f>IF(B$3=0,0,B17/B$3)</f>
        <v>0.2072072072072072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211</v>
      </c>
      <c r="P17" s="83">
        <f t="shared" si="2"/>
        <v>-15.922222222222224</v>
      </c>
      <c r="Q17" s="77">
        <v>9</v>
      </c>
      <c r="R17" s="68">
        <v>-143.30000000000001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0.22522522522522523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 t="shared" si="2"/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24</v>
      </c>
      <c r="C21" s="6">
        <f>IF(B$3=0,0,B21/B$3)</f>
        <v>0.21621621621621623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11</v>
      </c>
      <c r="C22" s="6">
        <f>IF(B$20=0,0,B22/B$20)</f>
        <v>0.44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14</v>
      </c>
      <c r="C23" s="6">
        <f>IF(B$20=0,0,B23/B$20)</f>
        <v>0.56000000000000005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12</v>
      </c>
      <c r="C24" s="6">
        <f>IF(B$20=0,0,B24/B$20)</f>
        <v>0.48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0.28000000000000003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6</v>
      </c>
      <c r="C26" s="6">
        <f>IF(B$20=0,0,B26/B$20)</f>
        <v>0.24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7796</v>
      </c>
      <c r="C27" s="8">
        <v>194900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8922.2222222222226</v>
      </c>
      <c r="C28" s="96">
        <v>160600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-7654.166666666667</v>
      </c>
      <c r="C30" s="96">
        <v>-183700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3">IF(B$20=0,0,B37/B$20)</f>
        <v>0.16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0.04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3"/>
        <v>0.12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3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0.04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B61D9-3439-42F7-91A2-6E25C3835587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6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5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7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5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4A26-426D-4216-82B4-C267F28C6D77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64</v>
      </c>
      <c r="F2" s="23" t="s">
        <v>20</v>
      </c>
      <c r="G2" s="11">
        <v>7</v>
      </c>
      <c r="H2" s="87">
        <f>IF(B$20=0,0,G2/B$20)</f>
        <v>0.77777777777777779</v>
      </c>
      <c r="I2" s="57">
        <v>1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-6700</v>
      </c>
      <c r="Q2" s="76">
        <v>4</v>
      </c>
      <c r="R2" s="63">
        <v>-26800</v>
      </c>
    </row>
    <row r="3" spans="1:18" x14ac:dyDescent="0.45">
      <c r="A3" s="19" t="s">
        <v>8</v>
      </c>
      <c r="B3" s="135">
        <v>36</v>
      </c>
      <c r="C3" s="136"/>
      <c r="E3" s="27" t="s">
        <v>67</v>
      </c>
      <c r="F3" s="24" t="s">
        <v>23</v>
      </c>
      <c r="G3" s="12">
        <v>7</v>
      </c>
      <c r="H3" s="88">
        <f>IF(B$20=0,0,G3/B$20)</f>
        <v>0.77777777777777779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1925</v>
      </c>
      <c r="Q3" s="77">
        <v>4</v>
      </c>
      <c r="R3" s="64">
        <v>7700</v>
      </c>
    </row>
    <row r="4" spans="1:18" x14ac:dyDescent="0.45">
      <c r="A4" s="19" t="s">
        <v>6</v>
      </c>
      <c r="B4" s="137">
        <v>-14.699999999999996</v>
      </c>
      <c r="C4" s="138"/>
      <c r="E4" s="27" t="s">
        <v>68</v>
      </c>
      <c r="F4" s="24" t="s">
        <v>12</v>
      </c>
      <c r="G4" s="12">
        <v>7</v>
      </c>
      <c r="H4" s="88">
        <f>IF(B$20=0,0,G4/B$20)</f>
        <v>0.77777777777777779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-1950</v>
      </c>
      <c r="Q4" s="77">
        <v>4</v>
      </c>
      <c r="R4" s="64">
        <v>-7800</v>
      </c>
    </row>
    <row r="5" spans="1:18" x14ac:dyDescent="0.45">
      <c r="A5" s="19" t="s">
        <v>7</v>
      </c>
      <c r="B5" s="125">
        <f>IF(B$2=0,0,B$4/B$2)</f>
        <v>-3.6749999999999989</v>
      </c>
      <c r="C5" s="126"/>
      <c r="E5" s="27" t="s">
        <v>66</v>
      </c>
      <c r="F5" s="24" t="s">
        <v>22</v>
      </c>
      <c r="G5" s="12">
        <v>5</v>
      </c>
      <c r="H5" s="88">
        <f>IF(B$20=0,0,G5/B$20)</f>
        <v>0.55555555555555558</v>
      </c>
      <c r="I5" s="58">
        <v>11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-2375</v>
      </c>
      <c r="Q5" s="77">
        <v>4</v>
      </c>
      <c r="R5" s="64">
        <v>-9500</v>
      </c>
    </row>
    <row r="6" spans="1:18" x14ac:dyDescent="0.45">
      <c r="A6" s="19" t="s">
        <v>196</v>
      </c>
      <c r="B6" s="129">
        <v>1393.6019525837494</v>
      </c>
      <c r="C6" s="130"/>
      <c r="E6" s="27" t="s">
        <v>159</v>
      </c>
      <c r="F6" s="24" t="s">
        <v>160</v>
      </c>
      <c r="G6" s="12">
        <v>4</v>
      </c>
      <c r="H6" s="88">
        <f>IF(B$20=0,0,G6/B$20)</f>
        <v>0.44444444444444442</v>
      </c>
      <c r="I6" s="58">
        <v>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1300</v>
      </c>
      <c r="Q6" s="77">
        <v>4</v>
      </c>
      <c r="R6" s="64">
        <v>5200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>IF(B$20=0,0,G7/B$20)</f>
        <v>0.33333333333333331</v>
      </c>
      <c r="I7" s="58">
        <v>1</v>
      </c>
      <c r="O7" s="75" t="s">
        <v>133</v>
      </c>
      <c r="P7" s="81">
        <f t="shared" si="0"/>
        <v>4125</v>
      </c>
      <c r="Q7" s="78">
        <v>4</v>
      </c>
      <c r="R7" s="65">
        <v>16500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3</v>
      </c>
      <c r="H8" s="88">
        <f>IF(B$20=0,0,G8/B$20)</f>
        <v>0.33333333333333331</v>
      </c>
      <c r="I8" s="58">
        <v>11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0.22222222222222221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0.1111111111111111</v>
      </c>
      <c r="I10" s="58">
        <v>4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18</v>
      </c>
      <c r="Q11" s="77">
        <v>1</v>
      </c>
      <c r="R11" s="68">
        <v>18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5">
      <c r="A13" s="20" t="s">
        <v>186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-2.4500000000000006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192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5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7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9</v>
      </c>
    </row>
    <row r="21" spans="1:18" x14ac:dyDescent="0.45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9</v>
      </c>
    </row>
    <row r="23" spans="1:18" x14ac:dyDescent="0.45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5">
      <c r="A25" s="19" t="s">
        <v>181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165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0.33333333333333331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0.22222222222222221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59569-1FF0-4221-BCBC-FF9DE6179B1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10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9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6D893-85A5-4E79-8C0D-E438BFF40416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E6231-AFCF-496D-A138-03259FE430D2}">
  <sheetPr codeName="Sheet24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B5241-0AE0-4F8B-AD1A-14474E831BB3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7B82-20EF-4607-9546-4A12D54AF81B}">
  <sheetPr codeName="Sheet20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378A-77DB-48D2-B8CB-A4061D2DEB8F}">
  <sheetPr codeName="Sheet18"/>
  <dimension ref="A1:Q2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8069C-F4C9-4877-A722-4C95A7C9E60A}">
  <sheetPr codeName="Sheet16"/>
  <dimension ref="A1:Q2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9FDD1-D8B0-4C5F-8B1D-5F407C71F727}">
  <sheetPr codeName="Sheet14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A5D3-966C-463C-8A7F-A9BF84390DAF}">
  <sheetPr codeName="Sheet12"/>
  <dimension ref="A1:Q1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EAA8E-F84F-4A13-86BE-796EE19ED4E8}">
  <sheetPr codeName="Sheet10"/>
  <dimension ref="A1:Q1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1C845-9539-429C-BCF2-6B5EBBC9A0DE}">
  <sheetPr codeName="Sheet8"/>
  <dimension ref="A1:Q3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24F4F-897E-4558-B78E-4B96C8235B8F}">
  <sheetPr codeName="Sheet6"/>
  <dimension ref="A1:Q4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2020-10-21T08:04:37Z</dcterms:modified>
</cp:coreProperties>
</file>