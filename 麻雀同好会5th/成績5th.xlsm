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8E3FAB1F-B0D2-4505-A322-2342289A02E9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804" r:id="rId6"/>
    <sheet name="だいち" sheetId="6806" r:id="rId7"/>
    <sheet name="れんたろう" sheetId="6808" r:id="rId8"/>
    <sheet name="たかの" sheetId="6810" r:id="rId9"/>
    <sheet name="まっつん" sheetId="6812" r:id="rId10"/>
    <sheet name="いちかわ" sheetId="6814" r:id="rId11"/>
    <sheet name="ただ" sheetId="6816" r:id="rId12"/>
    <sheet name="たか" sheetId="6818" r:id="rId13"/>
    <sheet name="のり" sheetId="6820" r:id="rId14"/>
    <sheet name="りくと" sheetId="6822" r:id="rId15"/>
    <sheet name="わさび" sheetId="6824" r:id="rId16"/>
    <sheet name="わさび2" sheetId="6825" state="hidden" r:id="rId17"/>
    <sheet name="りくと2" sheetId="6823" state="hidden" r:id="rId18"/>
    <sheet name="のり2" sheetId="6821" state="hidden" r:id="rId19"/>
    <sheet name="たか2" sheetId="6819" state="hidden" r:id="rId20"/>
    <sheet name="ただ2" sheetId="6817" state="hidden" r:id="rId21"/>
    <sheet name="いちかわ2" sheetId="6815" state="hidden" r:id="rId22"/>
    <sheet name="まっつん2" sheetId="6813" state="hidden" r:id="rId23"/>
    <sheet name="たかの2" sheetId="6811" state="hidden" r:id="rId24"/>
    <sheet name="れんたろう2" sheetId="6809" state="hidden" r:id="rId25"/>
    <sheet name="だいち2" sheetId="6807" state="hidden" r:id="rId26"/>
    <sheet name="全体2" sheetId="6805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6810" l="1"/>
  <c r="P16" i="6812"/>
  <c r="P17" i="6816"/>
  <c r="P17" i="6812"/>
  <c r="P19" i="6818" l="1"/>
  <c r="P16" i="6810"/>
  <c r="P17" i="6822" l="1"/>
  <c r="P18" i="6806"/>
  <c r="P22" i="6814" l="1"/>
  <c r="P19" i="6810"/>
  <c r="P20" i="6816" l="1"/>
  <c r="P18" i="6816"/>
  <c r="P15" i="6822"/>
  <c r="P17" i="6824"/>
  <c r="P17" i="6814"/>
  <c r="P15" i="6814"/>
  <c r="P15" i="6824"/>
  <c r="P16" i="6824"/>
  <c r="C35" i="6824"/>
  <c r="B30" i="6824"/>
  <c r="C21" i="6824"/>
  <c r="B20" i="6824"/>
  <c r="H50" i="6824" s="1"/>
  <c r="B19" i="6824"/>
  <c r="B29" i="6824" s="1"/>
  <c r="C18" i="6824"/>
  <c r="B18" i="6824"/>
  <c r="C17" i="6824"/>
  <c r="C16" i="6824"/>
  <c r="C15" i="6824"/>
  <c r="B13" i="6824"/>
  <c r="P12" i="6824"/>
  <c r="B12" i="6824"/>
  <c r="P11" i="6824"/>
  <c r="B11" i="6824"/>
  <c r="P10" i="6824"/>
  <c r="C10" i="6824"/>
  <c r="C9" i="6824"/>
  <c r="C8" i="6824"/>
  <c r="P7" i="6824"/>
  <c r="B7" i="6824"/>
  <c r="P6" i="6824"/>
  <c r="P5" i="6824"/>
  <c r="B5" i="6824"/>
  <c r="P4" i="6824"/>
  <c r="P3" i="6824"/>
  <c r="P2" i="6824"/>
  <c r="P20" i="6804"/>
  <c r="P18" i="6822"/>
  <c r="P16" i="6822"/>
  <c r="C35" i="6822"/>
  <c r="B30" i="6822"/>
  <c r="C21" i="6822"/>
  <c r="B20" i="6822"/>
  <c r="H50" i="6822" s="1"/>
  <c r="B19" i="6822"/>
  <c r="B29" i="6822" s="1"/>
  <c r="B18" i="6822"/>
  <c r="C18" i="6822" s="1"/>
  <c r="C17" i="6822"/>
  <c r="C16" i="6822"/>
  <c r="C15" i="6822"/>
  <c r="B13" i="6822"/>
  <c r="P12" i="6822"/>
  <c r="B12" i="6822"/>
  <c r="P11" i="6822"/>
  <c r="B11" i="6822"/>
  <c r="P10" i="6822"/>
  <c r="C10" i="6822"/>
  <c r="C9" i="6822"/>
  <c r="C8" i="6822"/>
  <c r="P7" i="6822"/>
  <c r="B7" i="6822"/>
  <c r="P6" i="6822"/>
  <c r="P5" i="6822"/>
  <c r="B5" i="6822"/>
  <c r="P4" i="6822"/>
  <c r="P3" i="6822"/>
  <c r="P2" i="6822"/>
  <c r="P19" i="6804"/>
  <c r="C19" i="6822" l="1"/>
  <c r="B14" i="6824"/>
  <c r="C19" i="6824"/>
  <c r="C20" i="6824"/>
  <c r="H3" i="6824"/>
  <c r="H25" i="6824"/>
  <c r="H33" i="6824"/>
  <c r="C38" i="6824"/>
  <c r="C46" i="6824"/>
  <c r="H2" i="6824"/>
  <c r="H11" i="6824"/>
  <c r="H16" i="6824"/>
  <c r="H19" i="6824"/>
  <c r="C24" i="6824"/>
  <c r="B28" i="6824"/>
  <c r="H34" i="6824"/>
  <c r="H39" i="6824"/>
  <c r="H43" i="6824"/>
  <c r="H47" i="6824"/>
  <c r="H9" i="6824"/>
  <c r="H22" i="6824"/>
  <c r="H26" i="6824"/>
  <c r="H29" i="6824"/>
  <c r="H35" i="6824"/>
  <c r="C39" i="6824"/>
  <c r="C43" i="6824"/>
  <c r="C47" i="6824"/>
  <c r="H52" i="6824"/>
  <c r="H14" i="6824"/>
  <c r="H17" i="6824"/>
  <c r="C25" i="6824"/>
  <c r="H40" i="6824"/>
  <c r="H44" i="6824"/>
  <c r="H48" i="6824"/>
  <c r="H8" i="6824"/>
  <c r="C42" i="6824"/>
  <c r="H51" i="6824"/>
  <c r="H6" i="6824"/>
  <c r="H12" i="6824"/>
  <c r="H20" i="6824"/>
  <c r="H23" i="6824"/>
  <c r="H27" i="6824"/>
  <c r="H30" i="6824"/>
  <c r="H36" i="6824"/>
  <c r="C40" i="6824"/>
  <c r="C44" i="6824"/>
  <c r="C48" i="6824"/>
  <c r="H5" i="6824"/>
  <c r="H18" i="6824"/>
  <c r="C22" i="6824"/>
  <c r="C26" i="6824"/>
  <c r="H37" i="6824"/>
  <c r="H41" i="6824"/>
  <c r="H45" i="6824"/>
  <c r="H49" i="6824"/>
  <c r="H4" i="6824"/>
  <c r="H13" i="6824"/>
  <c r="H15" i="6824"/>
  <c r="H24" i="6824"/>
  <c r="H28" i="6824"/>
  <c r="H31" i="6824"/>
  <c r="C37" i="6824"/>
  <c r="C41" i="6824"/>
  <c r="C45" i="6824"/>
  <c r="C49" i="6824"/>
  <c r="H10" i="6824"/>
  <c r="H7" i="6824"/>
  <c r="H21" i="6824"/>
  <c r="C23" i="6824"/>
  <c r="B27" i="6824"/>
  <c r="H32" i="6824"/>
  <c r="H38" i="6824"/>
  <c r="H42" i="6824"/>
  <c r="H46" i="6824"/>
  <c r="B14" i="6822"/>
  <c r="C20" i="6822"/>
  <c r="H8" i="6822"/>
  <c r="H24" i="6822"/>
  <c r="H33" i="6822"/>
  <c r="C42" i="6822"/>
  <c r="C46" i="6822"/>
  <c r="H5" i="6822"/>
  <c r="C24" i="6822"/>
  <c r="B28" i="6822"/>
  <c r="H34" i="6822"/>
  <c r="H39" i="6822"/>
  <c r="H43" i="6822"/>
  <c r="H47" i="6822"/>
  <c r="H6" i="6822"/>
  <c r="H21" i="6822"/>
  <c r="H25" i="6822"/>
  <c r="H29" i="6822"/>
  <c r="H35" i="6822"/>
  <c r="C39" i="6822"/>
  <c r="C43" i="6822"/>
  <c r="C47" i="6822"/>
  <c r="H52" i="6822"/>
  <c r="H12" i="6822"/>
  <c r="H15" i="6822"/>
  <c r="C25" i="6822"/>
  <c r="H40" i="6822"/>
  <c r="H44" i="6822"/>
  <c r="H48" i="6822"/>
  <c r="H28" i="6822"/>
  <c r="C38" i="6822"/>
  <c r="H51" i="6822"/>
  <c r="H7" i="6822"/>
  <c r="H14" i="6822"/>
  <c r="H18" i="6822"/>
  <c r="H3" i="6822"/>
  <c r="H10" i="6822"/>
  <c r="H19" i="6822"/>
  <c r="H22" i="6822"/>
  <c r="H26" i="6822"/>
  <c r="H30" i="6822"/>
  <c r="H36" i="6822"/>
  <c r="C40" i="6822"/>
  <c r="C44" i="6822"/>
  <c r="C48" i="6822"/>
  <c r="H2" i="6822"/>
  <c r="H16" i="6822"/>
  <c r="C22" i="6822"/>
  <c r="C26" i="6822"/>
  <c r="H37" i="6822"/>
  <c r="H41" i="6822"/>
  <c r="H45" i="6822"/>
  <c r="H49" i="6822"/>
  <c r="H4" i="6822"/>
  <c r="H11" i="6822"/>
  <c r="H13" i="6822"/>
  <c r="H23" i="6822"/>
  <c r="H27" i="6822"/>
  <c r="H31" i="6822"/>
  <c r="C37" i="6822"/>
  <c r="C41" i="6822"/>
  <c r="C45" i="6822"/>
  <c r="C49" i="6822"/>
  <c r="H9" i="6822"/>
  <c r="H17" i="6822"/>
  <c r="H20" i="6822"/>
  <c r="C23" i="6822"/>
  <c r="B27" i="6822"/>
  <c r="H32" i="6822"/>
  <c r="H38" i="6822"/>
  <c r="H42" i="6822"/>
  <c r="H46" i="6822"/>
  <c r="P18" i="6808" l="1"/>
  <c r="P15" i="6816"/>
  <c r="P16" i="6814"/>
  <c r="P16" i="6816"/>
  <c r="P22" i="6816"/>
  <c r="P18" i="6818"/>
  <c r="P19" i="6814"/>
  <c r="P20" i="6818"/>
  <c r="P16" i="6808"/>
  <c r="P15" i="6808"/>
  <c r="P17" i="6820" l="1"/>
  <c r="P16" i="6818"/>
  <c r="P17" i="6806"/>
  <c r="P20" i="6806"/>
  <c r="P16" i="6820"/>
  <c r="P15" i="6820"/>
  <c r="C45" i="6820"/>
  <c r="H45" i="6820"/>
  <c r="C35" i="6820"/>
  <c r="B30" i="6820"/>
  <c r="C21" i="6820"/>
  <c r="B20" i="6820"/>
  <c r="H51" i="6820" s="1"/>
  <c r="B19" i="6820"/>
  <c r="B29" i="6820" s="1"/>
  <c r="B18" i="6820"/>
  <c r="C18" i="6820" s="1"/>
  <c r="C17" i="6820"/>
  <c r="C16" i="6820"/>
  <c r="C15" i="6820"/>
  <c r="B13" i="6820"/>
  <c r="P12" i="6820"/>
  <c r="B12" i="6820"/>
  <c r="B14" i="6820" s="1"/>
  <c r="P11" i="6820"/>
  <c r="B11" i="6820"/>
  <c r="P10" i="6820"/>
  <c r="C10" i="6820"/>
  <c r="C9" i="6820"/>
  <c r="C8" i="6820"/>
  <c r="P7" i="6820"/>
  <c r="B7" i="6820"/>
  <c r="P6" i="6820"/>
  <c r="P5" i="6820"/>
  <c r="B5" i="6820"/>
  <c r="P4" i="6820"/>
  <c r="P3" i="6820"/>
  <c r="P2" i="6820"/>
  <c r="P17" i="6818"/>
  <c r="P15" i="6818"/>
  <c r="C35" i="6818"/>
  <c r="B30" i="6818"/>
  <c r="C21" i="6818"/>
  <c r="B20" i="6818"/>
  <c r="H52" i="6818" s="1"/>
  <c r="B19" i="6818"/>
  <c r="B29" i="6818" s="1"/>
  <c r="B18" i="6818"/>
  <c r="C18" i="6818" s="1"/>
  <c r="C17" i="6818"/>
  <c r="C16" i="6818"/>
  <c r="C15" i="6818"/>
  <c r="B13" i="6818"/>
  <c r="P12" i="6818"/>
  <c r="B12" i="6818"/>
  <c r="P11" i="6818"/>
  <c r="B11" i="6818"/>
  <c r="P10" i="6818"/>
  <c r="C10" i="6818"/>
  <c r="C9" i="6818"/>
  <c r="C8" i="6818"/>
  <c r="P7" i="6818"/>
  <c r="B7" i="6818"/>
  <c r="P6" i="6818"/>
  <c r="P5" i="6818"/>
  <c r="B5" i="6818"/>
  <c r="P4" i="6818"/>
  <c r="P3" i="6818"/>
  <c r="P2" i="6818"/>
  <c r="P23" i="6814"/>
  <c r="P18" i="6814"/>
  <c r="P16" i="6804"/>
  <c r="P18" i="6804"/>
  <c r="H8" i="6820" l="1"/>
  <c r="H47" i="6820"/>
  <c r="H29" i="6820"/>
  <c r="H28" i="6820"/>
  <c r="H21" i="6820"/>
  <c r="B28" i="6820"/>
  <c r="H12" i="6820"/>
  <c r="H3" i="6820"/>
  <c r="H37" i="6820"/>
  <c r="H23" i="6820"/>
  <c r="H2" i="6820"/>
  <c r="C37" i="6820"/>
  <c r="C22" i="6820"/>
  <c r="H39" i="6820"/>
  <c r="C19" i="6820"/>
  <c r="H17" i="6820"/>
  <c r="C47" i="6820"/>
  <c r="H24" i="6820"/>
  <c r="C39" i="6820"/>
  <c r="H15" i="6820"/>
  <c r="H18" i="6820"/>
  <c r="C24" i="6820"/>
  <c r="H31" i="6820"/>
  <c r="H41" i="6820"/>
  <c r="H49" i="6820"/>
  <c r="H11" i="6820"/>
  <c r="H26" i="6820"/>
  <c r="H34" i="6820"/>
  <c r="C41" i="6820"/>
  <c r="C49" i="6820"/>
  <c r="H35" i="6820"/>
  <c r="H43" i="6820"/>
  <c r="H5" i="6820"/>
  <c r="H13" i="6820"/>
  <c r="H6" i="6820"/>
  <c r="H19" i="6820"/>
  <c r="C25" i="6820"/>
  <c r="H7" i="6820"/>
  <c r="H14" i="6820"/>
  <c r="H16" i="6820"/>
  <c r="C20" i="6820"/>
  <c r="C26" i="6820"/>
  <c r="C43" i="6820"/>
  <c r="H52" i="6820"/>
  <c r="H40" i="6820"/>
  <c r="H44" i="6820"/>
  <c r="H48" i="6820"/>
  <c r="H22" i="6820"/>
  <c r="H10" i="6820"/>
  <c r="H27" i="6820"/>
  <c r="H30" i="6820"/>
  <c r="H36" i="6820"/>
  <c r="C40" i="6820"/>
  <c r="C44" i="6820"/>
  <c r="C48" i="6820"/>
  <c r="H20" i="6820"/>
  <c r="H9" i="6820"/>
  <c r="C23" i="6820"/>
  <c r="B27" i="6820"/>
  <c r="H32" i="6820"/>
  <c r="H38" i="6820"/>
  <c r="H42" i="6820"/>
  <c r="H46" i="6820"/>
  <c r="H50" i="6820"/>
  <c r="H25" i="6820"/>
  <c r="H4" i="6820"/>
  <c r="H33" i="6820"/>
  <c r="C38" i="6820"/>
  <c r="C42" i="6820"/>
  <c r="C46" i="6820"/>
  <c r="B14" i="6818"/>
  <c r="C19" i="6818"/>
  <c r="H26" i="6818"/>
  <c r="H2" i="6818"/>
  <c r="H3" i="6818"/>
  <c r="H20" i="6818"/>
  <c r="H12" i="6818"/>
  <c r="H23" i="6818"/>
  <c r="C25" i="6818"/>
  <c r="H27" i="6818"/>
  <c r="H19" i="6818"/>
  <c r="H37" i="6818"/>
  <c r="C40" i="6818"/>
  <c r="H41" i="6818"/>
  <c r="C41" i="6818"/>
  <c r="H14" i="6818"/>
  <c r="C44" i="6818"/>
  <c r="H9" i="6818"/>
  <c r="H31" i="6818"/>
  <c r="H45" i="6818"/>
  <c r="H10" i="6818"/>
  <c r="H22" i="6818"/>
  <c r="H49" i="6818"/>
  <c r="H17" i="6818"/>
  <c r="H30" i="6818"/>
  <c r="H25" i="6818"/>
  <c r="H4" i="6818"/>
  <c r="H6" i="6818"/>
  <c r="C22" i="6818"/>
  <c r="H36" i="6818"/>
  <c r="C49" i="6818"/>
  <c r="H44" i="6818"/>
  <c r="C37" i="6818"/>
  <c r="C45" i="6818"/>
  <c r="H13" i="6818"/>
  <c r="H18" i="6818"/>
  <c r="H21" i="6818"/>
  <c r="C26" i="6818"/>
  <c r="H8" i="6818"/>
  <c r="C20" i="6818"/>
  <c r="H28" i="6818"/>
  <c r="H40" i="6818"/>
  <c r="C48" i="6818"/>
  <c r="H48" i="6818"/>
  <c r="H15" i="6818"/>
  <c r="C23" i="6818"/>
  <c r="B27" i="6818"/>
  <c r="H32" i="6818"/>
  <c r="H38" i="6818"/>
  <c r="H42" i="6818"/>
  <c r="H46" i="6818"/>
  <c r="H50" i="6818"/>
  <c r="H16" i="6818"/>
  <c r="H7" i="6818"/>
  <c r="H33" i="6818"/>
  <c r="C38" i="6818"/>
  <c r="C42" i="6818"/>
  <c r="C46" i="6818"/>
  <c r="H51" i="6818"/>
  <c r="C24" i="6818"/>
  <c r="B28" i="6818"/>
  <c r="H34" i="6818"/>
  <c r="H39" i="6818"/>
  <c r="H43" i="6818"/>
  <c r="H47" i="6818"/>
  <c r="H5" i="6818"/>
  <c r="H24" i="6818"/>
  <c r="H11" i="6818"/>
  <c r="H29" i="6818"/>
  <c r="H35" i="6818"/>
  <c r="C39" i="6818"/>
  <c r="C43" i="6818"/>
  <c r="C47" i="6818"/>
  <c r="P20" i="6810" l="1"/>
  <c r="P21" i="6816"/>
  <c r="P19" i="6816"/>
  <c r="C35" i="6816"/>
  <c r="B30" i="6816"/>
  <c r="C21" i="6816"/>
  <c r="B20" i="6816"/>
  <c r="H52" i="6816" s="1"/>
  <c r="C19" i="6816"/>
  <c r="B19" i="6816"/>
  <c r="B29" i="6816" s="1"/>
  <c r="B18" i="6816"/>
  <c r="C18" i="6816" s="1"/>
  <c r="C17" i="6816"/>
  <c r="C16" i="6816"/>
  <c r="C15" i="6816"/>
  <c r="B13" i="6816"/>
  <c r="P12" i="6816"/>
  <c r="B12" i="6816"/>
  <c r="P11" i="6816"/>
  <c r="B11" i="6816"/>
  <c r="P10" i="6816"/>
  <c r="C10" i="6816"/>
  <c r="C9" i="6816"/>
  <c r="C8" i="6816"/>
  <c r="P7" i="6816"/>
  <c r="B7" i="6816"/>
  <c r="P6" i="6816"/>
  <c r="P5" i="6816"/>
  <c r="B5" i="6816"/>
  <c r="P4" i="6816"/>
  <c r="P3" i="6816"/>
  <c r="P2" i="6816"/>
  <c r="P19" i="6806"/>
  <c r="P21" i="6804"/>
  <c r="B14" i="6816" l="1"/>
  <c r="H17" i="6816"/>
  <c r="H19" i="6816"/>
  <c r="H37" i="6816"/>
  <c r="C40" i="6816"/>
  <c r="H42" i="6816"/>
  <c r="H20" i="6816"/>
  <c r="H26" i="6816"/>
  <c r="C25" i="6816"/>
  <c r="C22" i="6816"/>
  <c r="H9" i="6816"/>
  <c r="C41" i="6816"/>
  <c r="H6" i="6816"/>
  <c r="H28" i="6816"/>
  <c r="H14" i="6816"/>
  <c r="H24" i="6816"/>
  <c r="H3" i="6816"/>
  <c r="H5" i="6816"/>
  <c r="H22" i="6816"/>
  <c r="H45" i="6816"/>
  <c r="H31" i="6816"/>
  <c r="H46" i="6816"/>
  <c r="H23" i="6816"/>
  <c r="H2" i="6816"/>
  <c r="C20" i="6816"/>
  <c r="H32" i="6816"/>
  <c r="C49" i="6816"/>
  <c r="C26" i="6816"/>
  <c r="C45" i="6816"/>
  <c r="C37" i="6816"/>
  <c r="H49" i="6816"/>
  <c r="H38" i="6816"/>
  <c r="H7" i="6816"/>
  <c r="H29" i="6816"/>
  <c r="H8" i="6816"/>
  <c r="H41" i="6816"/>
  <c r="H50" i="6816"/>
  <c r="C44" i="6816"/>
  <c r="C48" i="6816"/>
  <c r="H12" i="6816"/>
  <c r="H16" i="6816"/>
  <c r="C23" i="6816"/>
  <c r="B27" i="6816"/>
  <c r="H33" i="6816"/>
  <c r="H39" i="6816"/>
  <c r="H43" i="6816"/>
  <c r="H47" i="6816"/>
  <c r="H51" i="6816"/>
  <c r="H27" i="6816"/>
  <c r="H10" i="6816"/>
  <c r="H34" i="6816"/>
  <c r="C38" i="6816"/>
  <c r="C42" i="6816"/>
  <c r="C46" i="6816"/>
  <c r="H18" i="6816"/>
  <c r="H11" i="6816"/>
  <c r="H21" i="6816"/>
  <c r="H15" i="6816"/>
  <c r="C24" i="6816"/>
  <c r="B28" i="6816"/>
  <c r="H35" i="6816"/>
  <c r="H40" i="6816"/>
  <c r="H44" i="6816"/>
  <c r="H48" i="6816"/>
  <c r="H4" i="6816"/>
  <c r="H25" i="6816"/>
  <c r="H13" i="6816"/>
  <c r="H30" i="6816"/>
  <c r="H36" i="6816"/>
  <c r="C39" i="6816"/>
  <c r="C43" i="6816"/>
  <c r="C47" i="6816"/>
  <c r="P21" i="6806" l="1"/>
  <c r="P15" i="6806"/>
  <c r="P20" i="6814"/>
  <c r="P21" i="6814"/>
  <c r="C35" i="6814"/>
  <c r="B30" i="6814"/>
  <c r="C21" i="6814"/>
  <c r="B20" i="6814"/>
  <c r="H52" i="6814" s="1"/>
  <c r="B19" i="6814"/>
  <c r="B29" i="6814" s="1"/>
  <c r="B18" i="6814"/>
  <c r="C18" i="6814" s="1"/>
  <c r="C17" i="6814"/>
  <c r="C16" i="6814"/>
  <c r="C15" i="6814"/>
  <c r="B13" i="6814"/>
  <c r="P12" i="6814"/>
  <c r="B12" i="6814"/>
  <c r="P11" i="6814"/>
  <c r="B11" i="6814"/>
  <c r="P10" i="6814"/>
  <c r="C10" i="6814"/>
  <c r="C9" i="6814"/>
  <c r="C8" i="6814"/>
  <c r="P7" i="6814"/>
  <c r="B7" i="6814"/>
  <c r="P6" i="6814"/>
  <c r="P5" i="6814"/>
  <c r="B5" i="6814"/>
  <c r="P4" i="6814"/>
  <c r="P3" i="6814"/>
  <c r="P2" i="6814"/>
  <c r="P15" i="6804"/>
  <c r="P18" i="6812"/>
  <c r="P15" i="6812"/>
  <c r="C35" i="6812"/>
  <c r="B30" i="6812"/>
  <c r="C21" i="6812"/>
  <c r="B20" i="6812"/>
  <c r="H52" i="6812" s="1"/>
  <c r="B19" i="6812"/>
  <c r="B29" i="6812" s="1"/>
  <c r="B18" i="6812"/>
  <c r="C18" i="6812" s="1"/>
  <c r="C17" i="6812"/>
  <c r="C16" i="6812"/>
  <c r="C15" i="6812"/>
  <c r="B13" i="6812"/>
  <c r="P12" i="6812"/>
  <c r="B12" i="6812"/>
  <c r="P11" i="6812"/>
  <c r="B11" i="6812"/>
  <c r="P10" i="6812"/>
  <c r="C10" i="6812"/>
  <c r="C9" i="6812"/>
  <c r="C8" i="6812"/>
  <c r="P7" i="6812"/>
  <c r="B7" i="6812"/>
  <c r="P6" i="6812"/>
  <c r="P5" i="6812"/>
  <c r="B5" i="6812"/>
  <c r="P4" i="6812"/>
  <c r="P3" i="6812"/>
  <c r="P2" i="6812"/>
  <c r="P24" i="6804"/>
  <c r="C19" i="6812" l="1"/>
  <c r="B14" i="6812"/>
  <c r="C25" i="6812"/>
  <c r="H14" i="6812"/>
  <c r="B14" i="6814"/>
  <c r="C19" i="6814"/>
  <c r="H31" i="6814"/>
  <c r="H18" i="6814"/>
  <c r="H40" i="6814"/>
  <c r="H20" i="6814"/>
  <c r="H4" i="6814"/>
  <c r="H22" i="6814"/>
  <c r="H26" i="6814"/>
  <c r="H45" i="6814"/>
  <c r="H11" i="6814"/>
  <c r="H38" i="6814"/>
  <c r="H15" i="6814"/>
  <c r="C23" i="6814"/>
  <c r="H5" i="6814"/>
  <c r="C25" i="6814"/>
  <c r="C45" i="6814"/>
  <c r="C40" i="6814"/>
  <c r="H10" i="6814"/>
  <c r="H13" i="6814"/>
  <c r="H7" i="6814"/>
  <c r="H46" i="6814"/>
  <c r="H28" i="6814"/>
  <c r="H32" i="6814"/>
  <c r="H41" i="6814"/>
  <c r="H48" i="6814"/>
  <c r="H14" i="6814"/>
  <c r="H3" i="6814"/>
  <c r="H23" i="6814"/>
  <c r="C26" i="6814"/>
  <c r="C48" i="6814"/>
  <c r="H8" i="6814"/>
  <c r="H29" i="6814"/>
  <c r="H49" i="6814"/>
  <c r="H21" i="6814"/>
  <c r="H12" i="6814"/>
  <c r="B27" i="6814"/>
  <c r="H37" i="6814"/>
  <c r="H44" i="6814"/>
  <c r="C49" i="6814"/>
  <c r="C20" i="6814"/>
  <c r="C41" i="6814"/>
  <c r="H2" i="6814"/>
  <c r="H17" i="6814"/>
  <c r="H36" i="6814"/>
  <c r="H42" i="6814"/>
  <c r="H16" i="6814"/>
  <c r="H24" i="6814"/>
  <c r="C22" i="6814"/>
  <c r="C37" i="6814"/>
  <c r="C44" i="6814"/>
  <c r="H50" i="6814"/>
  <c r="H27" i="6814"/>
  <c r="H9" i="6814"/>
  <c r="H33" i="6814"/>
  <c r="C38" i="6814"/>
  <c r="C42" i="6814"/>
  <c r="C46" i="6814"/>
  <c r="H51" i="6814"/>
  <c r="C24" i="6814"/>
  <c r="B28" i="6814"/>
  <c r="H34" i="6814"/>
  <c r="H39" i="6814"/>
  <c r="H43" i="6814"/>
  <c r="H47" i="6814"/>
  <c r="H6" i="6814"/>
  <c r="H25" i="6814"/>
  <c r="H19" i="6814"/>
  <c r="H30" i="6814"/>
  <c r="H35" i="6814"/>
  <c r="C39" i="6814"/>
  <c r="C43" i="6814"/>
  <c r="C47" i="6814"/>
  <c r="H37" i="6812"/>
  <c r="H13" i="6812"/>
  <c r="H28" i="6812"/>
  <c r="C37" i="6812"/>
  <c r="C45" i="6812"/>
  <c r="H12" i="6812"/>
  <c r="C44" i="6812"/>
  <c r="H45" i="6812"/>
  <c r="H15" i="6812"/>
  <c r="H11" i="6812"/>
  <c r="H48" i="6812"/>
  <c r="H2" i="6812"/>
  <c r="H24" i="6812"/>
  <c r="H30" i="6812"/>
  <c r="C40" i="6812"/>
  <c r="C48" i="6812"/>
  <c r="H8" i="6812"/>
  <c r="H27" i="6812"/>
  <c r="H4" i="6812"/>
  <c r="C26" i="6812"/>
  <c r="H9" i="6812"/>
  <c r="H20" i="6812"/>
  <c r="H5" i="6812"/>
  <c r="H16" i="6812"/>
  <c r="C22" i="6812"/>
  <c r="H41" i="6812"/>
  <c r="H49" i="6812"/>
  <c r="H44" i="6812"/>
  <c r="H18" i="6812"/>
  <c r="H36" i="6812"/>
  <c r="C20" i="6812"/>
  <c r="H40" i="6812"/>
  <c r="H6" i="6812"/>
  <c r="H17" i="6812"/>
  <c r="H21" i="6812"/>
  <c r="H25" i="6812"/>
  <c r="H31" i="6812"/>
  <c r="C41" i="6812"/>
  <c r="C49" i="6812"/>
  <c r="H19" i="6812"/>
  <c r="H22" i="6812"/>
  <c r="C23" i="6812"/>
  <c r="B27" i="6812"/>
  <c r="H32" i="6812"/>
  <c r="H38" i="6812"/>
  <c r="H42" i="6812"/>
  <c r="H46" i="6812"/>
  <c r="H50" i="6812"/>
  <c r="H26" i="6812"/>
  <c r="H7" i="6812"/>
  <c r="H33" i="6812"/>
  <c r="C38" i="6812"/>
  <c r="C42" i="6812"/>
  <c r="C46" i="6812"/>
  <c r="H51" i="6812"/>
  <c r="C24" i="6812"/>
  <c r="B28" i="6812"/>
  <c r="H34" i="6812"/>
  <c r="H39" i="6812"/>
  <c r="H43" i="6812"/>
  <c r="H47" i="6812"/>
  <c r="H3" i="6812"/>
  <c r="H23" i="6812"/>
  <c r="H10" i="6812"/>
  <c r="H29" i="6812"/>
  <c r="H35" i="6812"/>
  <c r="C39" i="6812"/>
  <c r="C43" i="6812"/>
  <c r="C47" i="6812"/>
  <c r="P15" i="6810" l="1"/>
  <c r="P18" i="6810"/>
  <c r="C35" i="6810"/>
  <c r="B30" i="6810"/>
  <c r="C21" i="6810"/>
  <c r="B20" i="6810"/>
  <c r="H52" i="6810" s="1"/>
  <c r="B19" i="6810"/>
  <c r="B29" i="6810" s="1"/>
  <c r="B18" i="6810"/>
  <c r="C18" i="6810" s="1"/>
  <c r="C17" i="6810"/>
  <c r="C16" i="6810"/>
  <c r="C15" i="6810"/>
  <c r="B13" i="6810"/>
  <c r="P12" i="6810"/>
  <c r="B12" i="6810"/>
  <c r="P11" i="6810"/>
  <c r="B11" i="6810"/>
  <c r="B14" i="6810" s="1"/>
  <c r="P10" i="6810"/>
  <c r="C10" i="6810"/>
  <c r="C9" i="6810"/>
  <c r="C8" i="6810"/>
  <c r="P7" i="6810"/>
  <c r="B7" i="6810"/>
  <c r="P6" i="6810"/>
  <c r="P5" i="6810"/>
  <c r="B5" i="6810"/>
  <c r="P4" i="6810"/>
  <c r="P3" i="6810"/>
  <c r="P2" i="6810"/>
  <c r="P17" i="6808"/>
  <c r="P19" i="6808"/>
  <c r="C35" i="6808"/>
  <c r="B30" i="6808"/>
  <c r="C21" i="6808"/>
  <c r="B20" i="6808"/>
  <c r="H52" i="6808" s="1"/>
  <c r="B19" i="6808"/>
  <c r="B29" i="6808" s="1"/>
  <c r="B18" i="6808"/>
  <c r="C18" i="6808" s="1"/>
  <c r="C17" i="6808"/>
  <c r="C16" i="6808"/>
  <c r="C15" i="6808"/>
  <c r="B13" i="6808"/>
  <c r="P12" i="6808"/>
  <c r="B12" i="6808"/>
  <c r="P11" i="6808"/>
  <c r="B11" i="6808"/>
  <c r="P10" i="6808"/>
  <c r="C10" i="6808"/>
  <c r="C9" i="6808"/>
  <c r="C8" i="6808"/>
  <c r="P7" i="6808"/>
  <c r="B7" i="6808"/>
  <c r="P6" i="6808"/>
  <c r="P5" i="6808"/>
  <c r="B5" i="6808"/>
  <c r="P4" i="6808"/>
  <c r="P3" i="6808"/>
  <c r="P2" i="6808"/>
  <c r="P23" i="6804"/>
  <c r="P22" i="6806"/>
  <c r="P16" i="6806"/>
  <c r="C35" i="6806"/>
  <c r="B30" i="6806"/>
  <c r="C21" i="6806"/>
  <c r="B20" i="6806"/>
  <c r="H5" i="6806" s="1"/>
  <c r="B19" i="6806"/>
  <c r="B29" i="6806" s="1"/>
  <c r="B18" i="6806"/>
  <c r="C18" i="6806" s="1"/>
  <c r="C17" i="6806"/>
  <c r="C16" i="6806"/>
  <c r="C15" i="6806"/>
  <c r="B13" i="6806"/>
  <c r="P12" i="6806"/>
  <c r="B12" i="6806"/>
  <c r="P11" i="6806"/>
  <c r="B11" i="6806"/>
  <c r="P10" i="6806"/>
  <c r="C10" i="6806"/>
  <c r="C9" i="6806"/>
  <c r="C8" i="6806"/>
  <c r="P7" i="6806"/>
  <c r="B7" i="6806"/>
  <c r="P6" i="6806"/>
  <c r="P5" i="6806"/>
  <c r="B5" i="6806"/>
  <c r="P4" i="6806"/>
  <c r="P3" i="6806"/>
  <c r="P2" i="6806"/>
  <c r="P22" i="6804"/>
  <c r="P17" i="6804"/>
  <c r="C35" i="6804"/>
  <c r="B30" i="6804"/>
  <c r="C21" i="6804"/>
  <c r="B20" i="6804"/>
  <c r="H52" i="6804" s="1"/>
  <c r="B19" i="6804"/>
  <c r="B29" i="6804" s="1"/>
  <c r="B18" i="6804"/>
  <c r="C18" i="6804" s="1"/>
  <c r="C17" i="6804"/>
  <c r="C16" i="6804"/>
  <c r="C15" i="6804"/>
  <c r="B13" i="6804"/>
  <c r="P12" i="6804"/>
  <c r="B12" i="6804"/>
  <c r="P11" i="6804"/>
  <c r="B11" i="6804"/>
  <c r="P10" i="6804"/>
  <c r="C10" i="6804"/>
  <c r="C9" i="6804"/>
  <c r="C8" i="6804"/>
  <c r="P7" i="6804"/>
  <c r="B7" i="6804"/>
  <c r="P6" i="6804"/>
  <c r="P5" i="6804"/>
  <c r="B5" i="6804"/>
  <c r="P4" i="6804"/>
  <c r="P3" i="6804"/>
  <c r="P2" i="6804"/>
  <c r="C19" i="6808" l="1"/>
  <c r="H8" i="6808"/>
  <c r="B14" i="6806"/>
  <c r="C19" i="6806"/>
  <c r="H9" i="6810"/>
  <c r="H21" i="6810"/>
  <c r="C19" i="6810"/>
  <c r="H4" i="6810"/>
  <c r="C25" i="6810"/>
  <c r="H44" i="6810"/>
  <c r="H18" i="6810"/>
  <c r="C26" i="6810"/>
  <c r="H37" i="6810"/>
  <c r="H45" i="6810"/>
  <c r="H39" i="6810"/>
  <c r="H47" i="6810"/>
  <c r="C45" i="6810"/>
  <c r="H19" i="6810"/>
  <c r="H48" i="6810"/>
  <c r="H22" i="6810"/>
  <c r="C20" i="6810"/>
  <c r="H14" i="6810"/>
  <c r="H10" i="6810"/>
  <c r="H15" i="6810"/>
  <c r="C22" i="6810"/>
  <c r="H41" i="6810"/>
  <c r="H49" i="6810"/>
  <c r="C37" i="6810"/>
  <c r="H5" i="6810"/>
  <c r="H40" i="6810"/>
  <c r="H2" i="6810"/>
  <c r="H27" i="6810"/>
  <c r="H31" i="6810"/>
  <c r="C41" i="6810"/>
  <c r="C49" i="6810"/>
  <c r="H17" i="6810"/>
  <c r="B28" i="6810"/>
  <c r="H6" i="6810"/>
  <c r="H3" i="6810"/>
  <c r="H13" i="6810"/>
  <c r="H20" i="6810"/>
  <c r="C24" i="6810"/>
  <c r="H34" i="6810"/>
  <c r="H43" i="6810"/>
  <c r="H7" i="6810"/>
  <c r="H24" i="6810"/>
  <c r="H11" i="6810"/>
  <c r="H29" i="6810"/>
  <c r="H12" i="6810"/>
  <c r="H36" i="6810"/>
  <c r="C40" i="6810"/>
  <c r="C44" i="6810"/>
  <c r="C48" i="6810"/>
  <c r="H23" i="6810"/>
  <c r="H25" i="6810"/>
  <c r="C23" i="6810"/>
  <c r="B27" i="6810"/>
  <c r="H32" i="6810"/>
  <c r="H38" i="6810"/>
  <c r="H42" i="6810"/>
  <c r="H46" i="6810"/>
  <c r="H50" i="6810"/>
  <c r="H28" i="6810"/>
  <c r="H8" i="6810"/>
  <c r="H33" i="6810"/>
  <c r="C38" i="6810"/>
  <c r="C42" i="6810"/>
  <c r="C46" i="6810"/>
  <c r="H51" i="6810"/>
  <c r="H26" i="6810"/>
  <c r="H16" i="6810"/>
  <c r="H30" i="6810"/>
  <c r="H35" i="6810"/>
  <c r="C39" i="6810"/>
  <c r="C43" i="6810"/>
  <c r="C47" i="6810"/>
  <c r="C19" i="6804"/>
  <c r="B14" i="6808"/>
  <c r="C25" i="6808"/>
  <c r="H20" i="6808"/>
  <c r="H14" i="6808"/>
  <c r="H10" i="6808"/>
  <c r="H31" i="6808"/>
  <c r="H16" i="6808"/>
  <c r="C41" i="6808"/>
  <c r="H42" i="6808"/>
  <c r="H12" i="6808"/>
  <c r="H32" i="6808"/>
  <c r="C26" i="6808"/>
  <c r="H9" i="6808"/>
  <c r="C44" i="6808"/>
  <c r="H44" i="6808"/>
  <c r="C45" i="6808"/>
  <c r="H15" i="6808"/>
  <c r="H28" i="6808"/>
  <c r="H48" i="6808"/>
  <c r="C20" i="6808"/>
  <c r="H11" i="6808"/>
  <c r="B27" i="6808"/>
  <c r="C37" i="6808"/>
  <c r="H19" i="6808"/>
  <c r="H24" i="6808"/>
  <c r="C22" i="6808"/>
  <c r="H6" i="6808"/>
  <c r="H13" i="6808"/>
  <c r="H23" i="6808"/>
  <c r="H26" i="6808"/>
  <c r="H30" i="6808"/>
  <c r="H40" i="6808"/>
  <c r="C48" i="6808"/>
  <c r="H27" i="6808"/>
  <c r="H2" i="6808"/>
  <c r="H3" i="6808"/>
  <c r="H21" i="6808"/>
  <c r="H36" i="6808"/>
  <c r="H22" i="6808"/>
  <c r="H38" i="6808"/>
  <c r="H5" i="6808"/>
  <c r="C23" i="6808"/>
  <c r="C40" i="6808"/>
  <c r="C49" i="6808"/>
  <c r="H37" i="6808"/>
  <c r="H41" i="6808"/>
  <c r="H45" i="6808"/>
  <c r="H49" i="6808"/>
  <c r="H46" i="6808"/>
  <c r="H50" i="6808"/>
  <c r="H17" i="6808"/>
  <c r="H7" i="6808"/>
  <c r="H33" i="6808"/>
  <c r="C38" i="6808"/>
  <c r="C42" i="6808"/>
  <c r="C46" i="6808"/>
  <c r="H51" i="6808"/>
  <c r="C24" i="6808"/>
  <c r="B28" i="6808"/>
  <c r="H34" i="6808"/>
  <c r="H39" i="6808"/>
  <c r="H43" i="6808"/>
  <c r="H47" i="6808"/>
  <c r="H4" i="6808"/>
  <c r="H25" i="6808"/>
  <c r="H18" i="6808"/>
  <c r="H29" i="6808"/>
  <c r="H35" i="6808"/>
  <c r="C39" i="6808"/>
  <c r="C43" i="6808"/>
  <c r="C47" i="6808"/>
  <c r="B14" i="6804"/>
  <c r="H13" i="6806"/>
  <c r="H32" i="6806"/>
  <c r="H6" i="6806"/>
  <c r="H4" i="6806"/>
  <c r="H45" i="6806"/>
  <c r="H3" i="6806"/>
  <c r="H25" i="6806"/>
  <c r="H41" i="6806"/>
  <c r="H8" i="6806"/>
  <c r="H16" i="6806"/>
  <c r="H46" i="6806"/>
  <c r="H2" i="6806"/>
  <c r="H38" i="6806"/>
  <c r="H27" i="6806"/>
  <c r="H7" i="6806"/>
  <c r="H22" i="6806"/>
  <c r="C25" i="6806"/>
  <c r="H49" i="6806"/>
  <c r="C26" i="6806"/>
  <c r="C45" i="6806"/>
  <c r="C37" i="6806"/>
  <c r="H12" i="6806"/>
  <c r="H18" i="6806"/>
  <c r="C20" i="6806"/>
  <c r="H31" i="6806"/>
  <c r="C39" i="6806"/>
  <c r="C47" i="6806"/>
  <c r="H10" i="6806"/>
  <c r="H19" i="6806"/>
  <c r="H42" i="6806"/>
  <c r="H20" i="6806"/>
  <c r="C41" i="6806"/>
  <c r="C49" i="6806"/>
  <c r="H23" i="6806"/>
  <c r="H50" i="6806"/>
  <c r="C22" i="6806"/>
  <c r="H21" i="6806"/>
  <c r="H24" i="6806"/>
  <c r="H28" i="6806"/>
  <c r="H36" i="6806"/>
  <c r="C43" i="6806"/>
  <c r="H52" i="6806"/>
  <c r="H26" i="6806"/>
  <c r="H11" i="6806"/>
  <c r="H30" i="6806"/>
  <c r="H17" i="6806"/>
  <c r="H37" i="6806"/>
  <c r="C40" i="6806"/>
  <c r="C44" i="6806"/>
  <c r="C48" i="6806"/>
  <c r="H14" i="6806"/>
  <c r="C23" i="6806"/>
  <c r="B27" i="6806"/>
  <c r="H33" i="6806"/>
  <c r="H39" i="6806"/>
  <c r="H43" i="6806"/>
  <c r="H47" i="6806"/>
  <c r="H51" i="6806"/>
  <c r="H29" i="6806"/>
  <c r="H9" i="6806"/>
  <c r="H34" i="6806"/>
  <c r="C38" i="6806"/>
  <c r="C42" i="6806"/>
  <c r="C46" i="6806"/>
  <c r="H15" i="6806"/>
  <c r="C24" i="6806"/>
  <c r="B28" i="6806"/>
  <c r="H35" i="6806"/>
  <c r="H40" i="6806"/>
  <c r="H44" i="6806"/>
  <c r="H48" i="6806"/>
  <c r="H7" i="6804"/>
  <c r="H20" i="6804"/>
  <c r="H23" i="6804"/>
  <c r="C25" i="6804"/>
  <c r="H10" i="6804"/>
  <c r="H45" i="6804"/>
  <c r="H31" i="6804"/>
  <c r="H37" i="6804"/>
  <c r="C44" i="6804"/>
  <c r="H4" i="6804"/>
  <c r="H46" i="6804"/>
  <c r="H6" i="6804"/>
  <c r="H12" i="6804"/>
  <c r="H26" i="6804"/>
  <c r="C20" i="6804"/>
  <c r="H24" i="6804"/>
  <c r="C37" i="6804"/>
  <c r="C45" i="6804"/>
  <c r="C26" i="6804"/>
  <c r="H11" i="6804"/>
  <c r="H41" i="6804"/>
  <c r="H13" i="6804"/>
  <c r="H17" i="6804"/>
  <c r="C40" i="6804"/>
  <c r="C48" i="6804"/>
  <c r="H38" i="6804"/>
  <c r="H18" i="6804"/>
  <c r="H49" i="6804"/>
  <c r="H3" i="6804"/>
  <c r="H2" i="6804"/>
  <c r="H9" i="6804"/>
  <c r="H22" i="6804"/>
  <c r="C22" i="6804"/>
  <c r="H42" i="6804"/>
  <c r="H50" i="6804"/>
  <c r="H27" i="6804"/>
  <c r="H28" i="6804"/>
  <c r="H30" i="6804"/>
  <c r="H25" i="6804"/>
  <c r="C41" i="6804"/>
  <c r="C49" i="6804"/>
  <c r="H16" i="6804"/>
  <c r="H15" i="6804"/>
  <c r="C23" i="6804"/>
  <c r="B27" i="6804"/>
  <c r="H33" i="6804"/>
  <c r="H39" i="6804"/>
  <c r="H43" i="6804"/>
  <c r="H47" i="6804"/>
  <c r="H51" i="6804"/>
  <c r="H21" i="6804"/>
  <c r="H8" i="6804"/>
  <c r="H34" i="6804"/>
  <c r="C38" i="6804"/>
  <c r="C42" i="6804"/>
  <c r="C46" i="6804"/>
  <c r="H19" i="6804"/>
  <c r="C24" i="6804"/>
  <c r="B28" i="6804"/>
  <c r="H35" i="6804"/>
  <c r="H40" i="6804"/>
  <c r="H44" i="6804"/>
  <c r="H48" i="6804"/>
  <c r="H5" i="6804"/>
  <c r="H29" i="6804"/>
  <c r="H14" i="6804"/>
  <c r="H32" i="6804"/>
  <c r="H36" i="6804"/>
  <c r="C39" i="6804"/>
  <c r="C43" i="6804"/>
  <c r="C47" i="6804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<sst xmlns="http://schemas.openxmlformats.org/spreadsheetml/2006/main" count="2894" uniqueCount="229">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</sst>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全体!$L$2:$L$107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E-478A-8FD6-F8118E750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-38.095238095238095</c:v>
                </c:pt>
                <c:pt idx="1">
                  <c:v>39.215686274509807</c:v>
                </c:pt>
                <c:pt idx="2">
                  <c:v>-29.411764705882351</c:v>
                </c:pt>
                <c:pt idx="3">
                  <c:v>31.25</c:v>
                </c:pt>
                <c:pt idx="4">
                  <c:v>-33.333333333333336</c:v>
                </c:pt>
                <c:pt idx="5">
                  <c:v>35.714285714285715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6E-4395-9008-A4D92EF27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19</c:v>
                </c:pt>
                <c:pt idx="1">
                  <c:v>55</c:v>
                </c:pt>
                <c:pt idx="2">
                  <c:v>50</c:v>
                </c:pt>
                <c:pt idx="3">
                  <c:v>44</c:v>
                </c:pt>
                <c:pt idx="4">
                  <c:v>29</c:v>
                </c:pt>
                <c:pt idx="5">
                  <c:v>29</c:v>
                </c:pt>
                <c:pt idx="6">
                  <c:v>16</c:v>
                </c:pt>
                <c:pt idx="7">
                  <c:v>7</c:v>
                </c:pt>
                <c:pt idx="8">
                  <c:v>5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A-4762-9EAB-A5F9493C6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全体!$M$2:$M$107</c:f>
              <c:numCache>
                <c:formatCode>0</c:formatCode>
                <c:ptCount val="106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2-455B-9A67-2AC387C7E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だいち!$L$2:$L$27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AA-410A-9094-D764E0EE9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1884</c:v>
                </c:pt>
                <c:pt idx="1">
                  <c:v>-354.16666666666669</c:v>
                </c:pt>
                <c:pt idx="2">
                  <c:v>-12.5</c:v>
                </c:pt>
                <c:pt idx="3">
                  <c:v>1939.1304347826087</c:v>
                </c:pt>
                <c:pt idx="4">
                  <c:v>-122.72727272727273</c:v>
                </c:pt>
                <c:pt idx="5">
                  <c:v>-2120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B4-46DC-BFC2-9349B5191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3</c:v>
                </c:pt>
                <c:pt idx="1">
                  <c:v>11</c:v>
                </c:pt>
                <c:pt idx="2">
                  <c:v>17</c:v>
                </c:pt>
                <c:pt idx="3">
                  <c:v>10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3E-4AD8-8A83-9318E1F50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だいち!$M$2:$M$27</c:f>
              <c:numCache>
                <c:formatCode>0</c:formatCode>
                <c:ptCount val="26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A1-490D-B2BE-00C4AE3DE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れんたろう!$L$2:$L$11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D-4872-AF61-6F999A3B9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222.22222222222223</c:v>
                </c:pt>
                <c:pt idx="1">
                  <c:v>2212.5</c:v>
                </c:pt>
                <c:pt idx="2">
                  <c:v>-1200</c:v>
                </c:pt>
                <c:pt idx="3">
                  <c:v>-787.5</c:v>
                </c:pt>
                <c:pt idx="4">
                  <c:v>-642.85714285714289</c:v>
                </c:pt>
                <c:pt idx="5">
                  <c:v>-2340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96-4AC1-8FFB-B300594F1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4C-407F-A703-CB5BEEEF3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れんたろう!$M$2:$M$11</c:f>
              <c:numCache>
                <c:formatCode>0</c:formatCode>
                <c:ptCount val="10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8E-4148-8AB5-30E94C366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たかの!$L$2:$L$14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C5-4607-8437-38B804E1F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158.33333333333334</c:v>
                </c:pt>
                <c:pt idx="1">
                  <c:v>-41.666666666666664</c:v>
                </c:pt>
                <c:pt idx="2">
                  <c:v>2375</c:v>
                </c:pt>
                <c:pt idx="3">
                  <c:v>-1858.3333333333333</c:v>
                </c:pt>
                <c:pt idx="4">
                  <c:v>391.66666666666669</c:v>
                </c:pt>
                <c:pt idx="5">
                  <c:v>3810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65-4B98-B737-C4970258E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4</c:v>
                </c:pt>
                <c:pt idx="1">
                  <c:v>9</c:v>
                </c:pt>
                <c:pt idx="2">
                  <c:v>6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60-4D25-AD9E-83F67FA9C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たかの!$M$2:$M$14</c:f>
              <c:numCache>
                <c:formatCode>0</c:formatCode>
                <c:ptCount val="13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00-46BD-A377-7716DA4C8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E0-4BA9-9744-E781CED61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2116.6666666666665</c:v>
                </c:pt>
                <c:pt idx="1">
                  <c:v>-700</c:v>
                </c:pt>
                <c:pt idx="2">
                  <c:v>-1016.6666666666666</c:v>
                </c:pt>
                <c:pt idx="3">
                  <c:v>-5600</c:v>
                </c:pt>
                <c:pt idx="4">
                  <c:v>-4580</c:v>
                </c:pt>
                <c:pt idx="5">
                  <c:v>-3400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65-49E9-AADE-AA6832250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2-4F35-822D-FC3478394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まっつん!$M$2:$M$8</c:f>
              <c:numCache>
                <c:formatCode>0</c:formatCode>
                <c:ptCount val="7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72-4371-9434-1C08ADFD2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いちかわ!$L$2:$L$16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21-4153-96A4-7C924FC54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200</c:v>
                </c:pt>
                <c:pt idx="1">
                  <c:v>1642.8571428571429</c:v>
                </c:pt>
                <c:pt idx="2">
                  <c:v>1121.4285714285713</c:v>
                </c:pt>
                <c:pt idx="3">
                  <c:v>258.33333333333331</c:v>
                </c:pt>
                <c:pt idx="4">
                  <c:v>2360</c:v>
                </c:pt>
                <c:pt idx="5">
                  <c:v>1918.1818181818182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C3-4D76-A02E-695C31879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2</c:v>
                </c:pt>
                <c:pt idx="1">
                  <c:v>9</c:v>
                </c:pt>
                <c:pt idx="2">
                  <c:v>7</c:v>
                </c:pt>
                <c:pt idx="3">
                  <c:v>7</c:v>
                </c:pt>
                <c:pt idx="4">
                  <c:v>2</c:v>
                </c:pt>
                <c:pt idx="5">
                  <c:v>5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B3-444B-861B-3D01EEEE6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いちかわ!$M$2:$M$16</c:f>
              <c:numCache>
                <c:formatCode>0</c:formatCode>
                <c:ptCount val="15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53-45A6-BB4F-DAED4E9D0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ただ!$L$2:$L$17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8E-4489-8942-42F73D30F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480</c:v>
                </c:pt>
                <c:pt idx="1">
                  <c:v>-878.57142857142856</c:v>
                </c:pt>
                <c:pt idx="2">
                  <c:v>1328.5714285714287</c:v>
                </c:pt>
                <c:pt idx="3">
                  <c:v>1428.5714285714287</c:v>
                </c:pt>
                <c:pt idx="4">
                  <c:v>592.85714285714289</c:v>
                </c:pt>
                <c:pt idx="5">
                  <c:v>-1146.1538461538462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A-4F72-A68D-CDD0FD789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4</c:v>
                </c:pt>
                <c:pt idx="1">
                  <c:v>11</c:v>
                </c:pt>
                <c:pt idx="2">
                  <c:v>8</c:v>
                </c:pt>
                <c:pt idx="3">
                  <c:v>6</c:v>
                </c:pt>
                <c:pt idx="4">
                  <c:v>8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79-4D04-A579-02AA7BB21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ただ!$M$2:$M$17</c:f>
              <c:numCache>
                <c:formatCode>0</c:formatCode>
                <c:ptCount val="16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60-402F-A755-0475466E5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60-420C-9FDF-12534CFB7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-1221.4285714285713</c:v>
                </c:pt>
                <c:pt idx="1">
                  <c:v>-907.14285714285711</c:v>
                </c:pt>
                <c:pt idx="2">
                  <c:v>-4335.7142857142853</c:v>
                </c:pt>
                <c:pt idx="3">
                  <c:v>-161.53846153846155</c:v>
                </c:pt>
                <c:pt idx="4">
                  <c:v>-581.81818181818187</c:v>
                </c:pt>
                <c:pt idx="5">
                  <c:v>2945.4545454545455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FF-4113-80A4-DB850A4E4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6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1-4246-A8E4-C10B7BFF5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たか!$M$2:$M$16</c:f>
              <c:numCache>
                <c:formatCode>0</c:formatCode>
                <c:ptCount val="15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5-4FFF-B69D-9A629C93C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67-437D-A455-2238B1E77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56-4863-AB75-521A79619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A-4A40-89BB-45693AE96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0D-4013-984F-E31B2D7EE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FB-41A9-826B-995F0E691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-6700</c:v>
                </c:pt>
                <c:pt idx="1">
                  <c:v>1925</c:v>
                </c:pt>
                <c:pt idx="2">
                  <c:v>-1950</c:v>
                </c:pt>
                <c:pt idx="3">
                  <c:v>-2375</c:v>
                </c:pt>
                <c:pt idx="4">
                  <c:v>1300</c:v>
                </c:pt>
                <c:pt idx="5">
                  <c:v>4125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8-4966-BA88-4E8DBA806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68-4741-90E0-72648AC7F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りくと!$M$2:$M$6</c:f>
              <c:numCache>
                <c:formatCode>0</c:formatCode>
                <c:ptCount val="5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BD-49F0-B9EF-E2AE9BE07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32-4EE6-8E3F-23686399A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7C-4F23-B931-ADEB98D92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C-4368-ACAD-230F10269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E5-481C-BD9D-96018D576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たかの2!$B$3:$B$15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309263891220325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たかの2!$C$3:$C$15</c:f>
              <c:numCache>
                <c:formatCode>\+0.0;\-0.0;\±0</c:formatCode>
                <c:ptCount val="13"/>
                <c:pt idx="1">
                  <c:v>10.1</c:v>
                </c:pt>
                <c:pt idx="2">
                  <c:v>18.2</c:v>
                </c:pt>
                <c:pt idx="3">
                  <c:v>12.133333333333333</c:v>
                </c:pt>
                <c:pt idx="4">
                  <c:v>3.3249999999999993</c:v>
                </c:pt>
                <c:pt idx="5">
                  <c:v>1.6199999999999997</c:v>
                </c:pt>
                <c:pt idx="6">
                  <c:v>4.1166666666666663</c:v>
                </c:pt>
                <c:pt idx="7">
                  <c:v>5.6428571428571432</c:v>
                </c:pt>
                <c:pt idx="8">
                  <c:v>8.3125</c:v>
                </c:pt>
                <c:pt idx="9">
                  <c:v>10.077777777777778</c:v>
                </c:pt>
                <c:pt idx="10">
                  <c:v>9.17</c:v>
                </c:pt>
                <c:pt idx="11">
                  <c:v>9.1363636363636367</c:v>
                </c:pt>
                <c:pt idx="12">
                  <c:v>5.7833333333333341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1992989440193578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たかの2!$D$3:$D$15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1.8571428571428572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1.7</c:v>
                </c:pt>
                <c:pt idx="11">
                  <c:v>1.7272727272727273</c:v>
                </c:pt>
                <c:pt idx="12">
                  <c:v>1.8333333333333333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たかの2!$E$3:$E$15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たかの2!$F$3:$F$15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たかの2!$G$3:$G$15</c:f>
              <c:numCache>
                <c:formatCode>0.0%</c:formatCode>
                <c:ptCount val="13"/>
                <c:pt idx="1">
                  <c:v>0.44444444444444442</c:v>
                </c:pt>
                <c:pt idx="2">
                  <c:v>0.41176470588235292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0.32608695652173914</c:v>
                </c:pt>
                <c:pt idx="6">
                  <c:v>0.33962264150943394</c:v>
                </c:pt>
                <c:pt idx="7">
                  <c:v>0.34375</c:v>
                </c:pt>
                <c:pt idx="8">
                  <c:v>0.35714285714285715</c:v>
                </c:pt>
                <c:pt idx="9">
                  <c:v>0.35897435897435898</c:v>
                </c:pt>
                <c:pt idx="10">
                  <c:v>0.3411764705882353</c:v>
                </c:pt>
                <c:pt idx="11">
                  <c:v>0.34693877551020408</c:v>
                </c:pt>
                <c:pt idx="12">
                  <c:v>0.32407407407407407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784580498866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たかの2!$H$3:$H$15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5.8823529411764705E-2</c:v>
                </c:pt>
                <c:pt idx="3">
                  <c:v>0.12</c:v>
                </c:pt>
                <c:pt idx="4">
                  <c:v>0.1111111111111111</c:v>
                </c:pt>
                <c:pt idx="5">
                  <c:v>0.13043478260869565</c:v>
                </c:pt>
                <c:pt idx="6">
                  <c:v>0.13207547169811321</c:v>
                </c:pt>
                <c:pt idx="7">
                  <c:v>0.140625</c:v>
                </c:pt>
                <c:pt idx="8">
                  <c:v>0.14285714285714285</c:v>
                </c:pt>
                <c:pt idx="9">
                  <c:v>0.14102564102564102</c:v>
                </c:pt>
                <c:pt idx="10">
                  <c:v>0.14117647058823529</c:v>
                </c:pt>
                <c:pt idx="11">
                  <c:v>0.14285714285714285</c:v>
                </c:pt>
                <c:pt idx="12">
                  <c:v>0.15740740740740741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265306122448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たかの2!$I$3:$I$15</c:f>
              <c:numCache>
                <c:formatCode>0</c:formatCode>
                <c:ptCount val="13"/>
                <c:pt idx="1">
                  <c:v>8400</c:v>
                </c:pt>
                <c:pt idx="2">
                  <c:v>9028.5714285714294</c:v>
                </c:pt>
                <c:pt idx="3">
                  <c:v>7780</c:v>
                </c:pt>
                <c:pt idx="4">
                  <c:v>7983.333333333333</c:v>
                </c:pt>
                <c:pt idx="5">
                  <c:v>8240</c:v>
                </c:pt>
                <c:pt idx="6">
                  <c:v>8355.5555555555547</c:v>
                </c:pt>
                <c:pt idx="7">
                  <c:v>7850</c:v>
                </c:pt>
                <c:pt idx="8">
                  <c:v>7796</c:v>
                </c:pt>
                <c:pt idx="9">
                  <c:v>8017.8571428571431</c:v>
                </c:pt>
                <c:pt idx="10">
                  <c:v>7810.3448275862065</c:v>
                </c:pt>
                <c:pt idx="11">
                  <c:v>7655.8823529411766</c:v>
                </c:pt>
                <c:pt idx="12">
                  <c:v>7780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75.76923076923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たかの2!$J$3:$J$15</c:f>
              <c:numCache>
                <c:formatCode>0</c:formatCode>
                <c:ptCount val="13"/>
                <c:pt idx="1">
                  <c:v>-8000</c:v>
                </c:pt>
                <c:pt idx="2">
                  <c:v>-8000</c:v>
                </c:pt>
                <c:pt idx="3">
                  <c:v>-6200</c:v>
                </c:pt>
                <c:pt idx="4">
                  <c:v>-6575</c:v>
                </c:pt>
                <c:pt idx="5">
                  <c:v>-7550</c:v>
                </c:pt>
                <c:pt idx="6">
                  <c:v>-7571.4285714285716</c:v>
                </c:pt>
                <c:pt idx="7">
                  <c:v>-7100</c:v>
                </c:pt>
                <c:pt idx="8">
                  <c:v>-6780</c:v>
                </c:pt>
                <c:pt idx="9">
                  <c:v>-6890.909090909091</c:v>
                </c:pt>
                <c:pt idx="10">
                  <c:v>-6483.333333333333</c:v>
                </c:pt>
                <c:pt idx="11">
                  <c:v>-7414.2857142857147</c:v>
                </c:pt>
                <c:pt idx="12">
                  <c:v>-7317.6470588235297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95.13888888888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たかの2!$K$3:$K$15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761904761904761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たかの2!$L$3:$L$15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0.29411764705882354</c:v>
                </c:pt>
                <c:pt idx="3">
                  <c:v>0.24</c:v>
                </c:pt>
                <c:pt idx="4">
                  <c:v>0.27777777777777779</c:v>
                </c:pt>
                <c:pt idx="5">
                  <c:v>0.2608695652173913</c:v>
                </c:pt>
                <c:pt idx="6">
                  <c:v>0.28301886792452829</c:v>
                </c:pt>
                <c:pt idx="7">
                  <c:v>0.28125</c:v>
                </c:pt>
                <c:pt idx="8">
                  <c:v>0.3</c:v>
                </c:pt>
                <c:pt idx="9">
                  <c:v>0.29487179487179488</c:v>
                </c:pt>
                <c:pt idx="10">
                  <c:v>0.27058823529411763</c:v>
                </c:pt>
                <c:pt idx="11">
                  <c:v>0.27551020408163263</c:v>
                </c:pt>
                <c:pt idx="12">
                  <c:v>0.25925925925925924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2630385487528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たかの2!$M$3:$M$15</c:f>
              <c:numCache>
                <c:formatCode>0.0%</c:formatCode>
                <c:ptCount val="13"/>
                <c:pt idx="1">
                  <c:v>0.55555555555555558</c:v>
                </c:pt>
                <c:pt idx="2">
                  <c:v>0.47058823529411764</c:v>
                </c:pt>
                <c:pt idx="3">
                  <c:v>0.52</c:v>
                </c:pt>
                <c:pt idx="4">
                  <c:v>0.44444444444444442</c:v>
                </c:pt>
                <c:pt idx="5">
                  <c:v>0.43478260869565216</c:v>
                </c:pt>
                <c:pt idx="6">
                  <c:v>0.43396226415094341</c:v>
                </c:pt>
                <c:pt idx="7">
                  <c:v>0.40625</c:v>
                </c:pt>
                <c:pt idx="8">
                  <c:v>0.38571428571428573</c:v>
                </c:pt>
                <c:pt idx="9">
                  <c:v>0.37179487179487181</c:v>
                </c:pt>
                <c:pt idx="10">
                  <c:v>0.37647058823529411</c:v>
                </c:pt>
                <c:pt idx="11">
                  <c:v>0.37755102040816324</c:v>
                </c:pt>
                <c:pt idx="12">
                  <c:v>0.35185185185185186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8299319727891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たかの2!$N$3:$N$15</c:f>
              <c:numCache>
                <c:formatCode>0.0%</c:formatCode>
                <c:ptCount val="13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0.4</c:v>
                </c:pt>
                <c:pt idx="5">
                  <c:v>0.41666666666666669</c:v>
                </c:pt>
                <c:pt idx="6">
                  <c:v>0.46666666666666667</c:v>
                </c:pt>
                <c:pt idx="7">
                  <c:v>0.44444444444444442</c:v>
                </c:pt>
                <c:pt idx="8">
                  <c:v>0.42857142857142855</c:v>
                </c:pt>
                <c:pt idx="9">
                  <c:v>0.43478260869565216</c:v>
                </c:pt>
                <c:pt idx="10">
                  <c:v>0.43478260869565216</c:v>
                </c:pt>
                <c:pt idx="11">
                  <c:v>0.44444444444444442</c:v>
                </c:pt>
                <c:pt idx="12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85981308411214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たかの2!$O$3:$O$15</c:f>
              <c:numCache>
                <c:formatCode>0.0%</c:formatCode>
                <c:ptCount val="13"/>
                <c:pt idx="1">
                  <c:v>0.6</c:v>
                </c:pt>
                <c:pt idx="2">
                  <c:v>0.625</c:v>
                </c:pt>
                <c:pt idx="3">
                  <c:v>0.53846153846153844</c:v>
                </c:pt>
                <c:pt idx="4">
                  <c:v>0.4375</c:v>
                </c:pt>
                <c:pt idx="5">
                  <c:v>0.4</c:v>
                </c:pt>
                <c:pt idx="6">
                  <c:v>0.39130434782608697</c:v>
                </c:pt>
                <c:pt idx="7">
                  <c:v>0.42307692307692307</c:v>
                </c:pt>
                <c:pt idx="8">
                  <c:v>0.44444444444444442</c:v>
                </c:pt>
                <c:pt idx="9">
                  <c:v>0.44827586206896552</c:v>
                </c:pt>
                <c:pt idx="10">
                  <c:v>0.4375</c:v>
                </c:pt>
                <c:pt idx="11">
                  <c:v>0.45945945945945948</c:v>
                </c:pt>
                <c:pt idx="12">
                  <c:v>0.47368421052631576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5753424657534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たかの2!$P$3:$P$15</c:f>
              <c:numCache>
                <c:formatCode>0.0%</c:formatCode>
                <c:ptCount val="13"/>
                <c:pt idx="1">
                  <c:v>0.75</c:v>
                </c:pt>
                <c:pt idx="2">
                  <c:v>0.5714285714285714</c:v>
                </c:pt>
                <c:pt idx="3">
                  <c:v>0.5</c:v>
                </c:pt>
                <c:pt idx="4">
                  <c:v>0.5</c:v>
                </c:pt>
                <c:pt idx="5">
                  <c:v>0.53333333333333333</c:v>
                </c:pt>
                <c:pt idx="6">
                  <c:v>0.55555555555555558</c:v>
                </c:pt>
                <c:pt idx="7">
                  <c:v>0.59090909090909094</c:v>
                </c:pt>
                <c:pt idx="8">
                  <c:v>0.56000000000000005</c:v>
                </c:pt>
                <c:pt idx="9">
                  <c:v>0.5357142857142857</c:v>
                </c:pt>
                <c:pt idx="10">
                  <c:v>0.51724137931034486</c:v>
                </c:pt>
                <c:pt idx="11">
                  <c:v>0.5</c:v>
                </c:pt>
                <c:pt idx="12">
                  <c:v>0.51428571428571423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2307692307692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15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5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5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25</v>
      </c>
      <c r="C2" s="120">
        <v>1842.3339395535957</v>
      </c>
    </row>
    <row r="3" spans="1:3" x14ac:dyDescent="0.45">
      <c r="A3" t="s">
        <v>163</v>
      </c>
      <c r="B3" s="120">
        <v>9</v>
      </c>
      <c r="C3" s="120">
        <v>1653.1699313523677</v>
      </c>
    </row>
    <row r="4" spans="1:3" x14ac:dyDescent="0.45">
      <c r="A4" t="s">
        <v>139</v>
      </c>
      <c r="B4" s="120">
        <v>105</v>
      </c>
      <c r="C4" s="120">
        <v>1594.5463045050694</v>
      </c>
    </row>
    <row r="5" spans="1:3" x14ac:dyDescent="0.45">
      <c r="A5" t="s">
        <v>190</v>
      </c>
      <c r="B5" s="120">
        <v>6</v>
      </c>
      <c r="C5" s="120">
        <v>1524.3778689305989</v>
      </c>
    </row>
    <row r="6" spans="1:3" x14ac:dyDescent="0.45">
      <c r="A6" t="s">
        <v>192</v>
      </c>
      <c r="B6" s="120">
        <v>15</v>
      </c>
      <c r="C6" s="120">
        <v>1517.1288342047803</v>
      </c>
    </row>
    <row r="7" spans="1:3" x14ac:dyDescent="0.45">
      <c r="A7" t="s">
        <v>211</v>
      </c>
      <c r="B7" s="120">
        <v>14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12</v>
      </c>
      <c r="C10" s="120">
        <v>1433.30445236539</v>
      </c>
    </row>
    <row r="11" spans="1:3" x14ac:dyDescent="0.45">
      <c r="A11" t="s">
        <v>195</v>
      </c>
      <c r="B11" s="120">
        <v>4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14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196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5">
      <c r="A2" s="36" t="s">
        <v>208</v>
      </c>
      <c r="B2" s="143">
        <v>0.99743342661144674</v>
      </c>
      <c r="C2" s="144"/>
      <c r="D2" s="143">
        <v>0.6218725765087062</v>
      </c>
      <c r="E2" s="144"/>
      <c r="F2" s="143">
        <v>0.33067791857721918</v>
      </c>
      <c r="G2" s="144"/>
      <c r="H2" s="145"/>
      <c r="I2" s="146"/>
      <c r="J2" s="143">
        <v>7.7808989738577972E-2</v>
      </c>
      <c r="K2" s="144"/>
      <c r="L2" s="143">
        <v>0.18463272273311962</v>
      </c>
      <c r="M2" s="144"/>
      <c r="N2" s="143">
        <v>-2.3474182307089727E-3</v>
      </c>
      <c r="O2" s="144"/>
      <c r="P2" s="143">
        <v>0.2198155465577272</v>
      </c>
      <c r="Q2" s="144"/>
      <c r="R2" s="143">
        <v>0.55669027341407462</v>
      </c>
      <c r="S2" s="144"/>
      <c r="T2" s="143">
        <v>0.75493842465294203</v>
      </c>
      <c r="U2" s="144"/>
      <c r="V2" s="143">
        <v>0.13325977262936514</v>
      </c>
      <c r="W2" s="144"/>
      <c r="X2" s="143">
        <v>0.48534156202260892</v>
      </c>
      <c r="Y2" s="144"/>
      <c r="Z2" s="143">
        <v>0.33393227984588686</v>
      </c>
      <c r="AA2" s="144"/>
      <c r="AB2" s="143">
        <v>-0.43003056522383476</v>
      </c>
      <c r="AC2" s="144"/>
      <c r="AD2" s="143">
        <v>0.16798027871216098</v>
      </c>
      <c r="AE2" s="144"/>
      <c r="AF2" s="143">
        <v>0.43045892846923417</v>
      </c>
      <c r="AG2" s="144"/>
      <c r="AH2" s="143">
        <v>0.2969951073868442</v>
      </c>
      <c r="AI2" s="144"/>
      <c r="AJ2" s="143">
        <v>0.92119340195428856</v>
      </c>
      <c r="AK2" s="144"/>
    </row>
    <row r="3" spans="1:37" x14ac:dyDescent="0.45">
      <c r="A3" s="38">
        <v>1</v>
      </c>
      <c r="B3" s="41" t="s">
        <v>139</v>
      </c>
      <c r="C3" s="113">
        <v>35</v>
      </c>
      <c r="D3" s="39" t="s">
        <v>126</v>
      </c>
      <c r="E3" s="40">
        <v>157.69999999999999</v>
      </c>
      <c r="F3" s="41" t="s">
        <v>211</v>
      </c>
      <c r="G3" s="60">
        <v>7.0928571428571434</v>
      </c>
      <c r="H3" s="41" t="s">
        <v>126</v>
      </c>
      <c r="I3" s="45">
        <v>1835.351148842728</v>
      </c>
      <c r="J3" s="41" t="s">
        <v>189</v>
      </c>
      <c r="K3" s="42">
        <v>1.8333333333333333</v>
      </c>
      <c r="L3" s="41" t="s">
        <v>195</v>
      </c>
      <c r="M3" s="43">
        <v>0.5</v>
      </c>
      <c r="N3" s="41" t="s">
        <v>189</v>
      </c>
      <c r="O3" s="43">
        <v>0.16666666666666666</v>
      </c>
      <c r="P3" s="41" t="s">
        <v>211</v>
      </c>
      <c r="Q3" s="44">
        <v>0.35238095238095241</v>
      </c>
      <c r="R3" s="41" t="s">
        <v>190</v>
      </c>
      <c r="S3" s="44">
        <v>0.1</v>
      </c>
      <c r="T3" s="41" t="s">
        <v>221</v>
      </c>
      <c r="U3" s="45">
        <v>10925</v>
      </c>
      <c r="V3" s="41" t="s">
        <v>190</v>
      </c>
      <c r="W3" s="45">
        <v>-3380</v>
      </c>
      <c r="X3" s="41" t="s">
        <v>126</v>
      </c>
      <c r="Y3" s="43">
        <v>0</v>
      </c>
      <c r="Z3" s="41" t="s">
        <v>189</v>
      </c>
      <c r="AA3" s="44">
        <v>0.25925925925925924</v>
      </c>
      <c r="AB3" s="41" t="s">
        <v>189</v>
      </c>
      <c r="AC3" s="44">
        <v>0.35185185185185186</v>
      </c>
      <c r="AD3" s="41" t="s">
        <v>195</v>
      </c>
      <c r="AE3" s="44">
        <v>0.77777777777777779</v>
      </c>
      <c r="AF3" s="41" t="s">
        <v>211</v>
      </c>
      <c r="AG3" s="44">
        <v>0.59259259259259256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25</v>
      </c>
      <c r="D4" s="47" t="s">
        <v>211</v>
      </c>
      <c r="E4" s="48">
        <v>99.300000000000011</v>
      </c>
      <c r="F4" s="49" t="s">
        <v>126</v>
      </c>
      <c r="G4" s="61">
        <v>6.3079999999999998</v>
      </c>
      <c r="H4" s="49" t="s">
        <v>163</v>
      </c>
      <c r="I4" s="53">
        <v>1636.255456115799</v>
      </c>
      <c r="J4" s="49" t="s">
        <v>192</v>
      </c>
      <c r="K4" s="50">
        <v>1.8666666666666667</v>
      </c>
      <c r="L4" s="49" t="s">
        <v>163</v>
      </c>
      <c r="M4" s="51">
        <v>0.44444444444444442</v>
      </c>
      <c r="N4" s="49" t="s">
        <v>192</v>
      </c>
      <c r="O4" s="51">
        <v>0.2</v>
      </c>
      <c r="P4" s="49" t="s">
        <v>126</v>
      </c>
      <c r="Q4" s="52">
        <v>0.32524271844660196</v>
      </c>
      <c r="R4" s="49" t="s">
        <v>126</v>
      </c>
      <c r="S4" s="52">
        <v>0.13592233009708737</v>
      </c>
      <c r="T4" s="49" t="s">
        <v>163</v>
      </c>
      <c r="U4" s="53">
        <v>9561.9047619047615</v>
      </c>
      <c r="V4" s="49" t="s">
        <v>195</v>
      </c>
      <c r="W4" s="53">
        <v>-6380</v>
      </c>
      <c r="X4" s="49" t="s">
        <v>189</v>
      </c>
      <c r="Y4" s="51">
        <v>0</v>
      </c>
      <c r="Z4" s="49" t="s">
        <v>126</v>
      </c>
      <c r="AA4" s="52">
        <v>0.25728155339805825</v>
      </c>
      <c r="AB4" s="49" t="s">
        <v>193</v>
      </c>
      <c r="AC4" s="52">
        <v>0.2857142857142857</v>
      </c>
      <c r="AD4" s="49" t="s">
        <v>211</v>
      </c>
      <c r="AE4" s="52">
        <v>0.61538461538461542</v>
      </c>
      <c r="AF4" s="49" t="s">
        <v>126</v>
      </c>
      <c r="AG4" s="52">
        <v>0.55319148936170215</v>
      </c>
      <c r="AH4" s="49" t="s">
        <v>195</v>
      </c>
      <c r="AI4" s="52">
        <v>0.77777777777777779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192</v>
      </c>
      <c r="C5" s="114">
        <v>15</v>
      </c>
      <c r="D5" s="47" t="s">
        <v>189</v>
      </c>
      <c r="E5" s="48">
        <v>69.400000000000006</v>
      </c>
      <c r="F5" s="49" t="s">
        <v>189</v>
      </c>
      <c r="G5" s="61">
        <v>5.7833333333333341</v>
      </c>
      <c r="H5" s="49" t="s">
        <v>139</v>
      </c>
      <c r="I5" s="53">
        <v>1588.6413638489066</v>
      </c>
      <c r="J5" s="49" t="s">
        <v>126</v>
      </c>
      <c r="K5" s="50">
        <v>1.92</v>
      </c>
      <c r="L5" s="49" t="s">
        <v>211</v>
      </c>
      <c r="M5" s="51">
        <v>0.42857142857142855</v>
      </c>
      <c r="N5" s="49" t="s">
        <v>126</v>
      </c>
      <c r="O5" s="51">
        <v>0.28000000000000003</v>
      </c>
      <c r="P5" s="49" t="s">
        <v>189</v>
      </c>
      <c r="Q5" s="52">
        <v>0.32407407407407407</v>
      </c>
      <c r="R5" s="49" t="s">
        <v>195</v>
      </c>
      <c r="S5" s="52">
        <v>0.1388888888888889</v>
      </c>
      <c r="T5" s="49" t="s">
        <v>195</v>
      </c>
      <c r="U5" s="53">
        <v>9022.2222222222226</v>
      </c>
      <c r="V5" s="49" t="s">
        <v>192</v>
      </c>
      <c r="W5" s="53">
        <v>-6771.4285714285716</v>
      </c>
      <c r="X5" s="49" t="s">
        <v>190</v>
      </c>
      <c r="Y5" s="51">
        <v>0</v>
      </c>
      <c r="Z5" s="49" t="s">
        <v>193</v>
      </c>
      <c r="AA5" s="52">
        <v>0.25714285714285712</v>
      </c>
      <c r="AB5" s="49" t="s">
        <v>221</v>
      </c>
      <c r="AC5" s="52">
        <v>0.27777777777777779</v>
      </c>
      <c r="AD5" s="49" t="s">
        <v>126</v>
      </c>
      <c r="AE5" s="52">
        <v>0.50943396226415094</v>
      </c>
      <c r="AF5" s="49" t="s">
        <v>195</v>
      </c>
      <c r="AG5" s="52">
        <v>0.5</v>
      </c>
      <c r="AH5" s="49" t="s">
        <v>189</v>
      </c>
      <c r="AI5" s="52">
        <v>0.51428571428571423</v>
      </c>
      <c r="AJ5" s="49" t="s">
        <v>211</v>
      </c>
      <c r="AK5" s="56">
        <v>80600</v>
      </c>
    </row>
    <row r="6" spans="1:37" x14ac:dyDescent="0.45">
      <c r="A6" s="46">
        <v>4</v>
      </c>
      <c r="B6" s="49" t="s">
        <v>211</v>
      </c>
      <c r="C6" s="114">
        <v>14</v>
      </c>
      <c r="D6" s="47" t="s">
        <v>192</v>
      </c>
      <c r="E6" s="48">
        <v>22.500000000000004</v>
      </c>
      <c r="F6" s="49" t="s">
        <v>192</v>
      </c>
      <c r="G6" s="61">
        <v>1.5000000000000002</v>
      </c>
      <c r="H6" s="49" t="s">
        <v>192</v>
      </c>
      <c r="I6" s="53">
        <v>1526.5944319692035</v>
      </c>
      <c r="J6" s="49" t="s">
        <v>211</v>
      </c>
      <c r="K6" s="50">
        <v>1.9285714285714286</v>
      </c>
      <c r="L6" s="49" t="s">
        <v>126</v>
      </c>
      <c r="M6" s="51">
        <v>0.36</v>
      </c>
      <c r="N6" s="49" t="s">
        <v>139</v>
      </c>
      <c r="O6" s="51">
        <v>0.33333333333333331</v>
      </c>
      <c r="P6" s="49" t="s">
        <v>192</v>
      </c>
      <c r="Q6" s="52">
        <v>0.31617647058823528</v>
      </c>
      <c r="R6" s="49" t="s">
        <v>192</v>
      </c>
      <c r="S6" s="52">
        <v>0.15441176470588236</v>
      </c>
      <c r="T6" s="49" t="s">
        <v>126</v>
      </c>
      <c r="U6" s="53">
        <v>8859.7014925373132</v>
      </c>
      <c r="V6" s="49" t="s">
        <v>126</v>
      </c>
      <c r="W6" s="53">
        <v>-7253.5714285714284</v>
      </c>
      <c r="X6" s="49" t="s">
        <v>195</v>
      </c>
      <c r="Y6" s="51">
        <v>0</v>
      </c>
      <c r="Z6" s="49" t="s">
        <v>195</v>
      </c>
      <c r="AA6" s="52">
        <v>0.25</v>
      </c>
      <c r="AB6" s="49" t="s">
        <v>192</v>
      </c>
      <c r="AC6" s="52">
        <v>0.26470588235294118</v>
      </c>
      <c r="AD6" s="49" t="s">
        <v>192</v>
      </c>
      <c r="AE6" s="52">
        <v>0.5</v>
      </c>
      <c r="AF6" s="49" t="s">
        <v>189</v>
      </c>
      <c r="AG6" s="52">
        <v>0.47368421052631576</v>
      </c>
      <c r="AH6" s="49" t="s">
        <v>126</v>
      </c>
      <c r="AI6" s="52">
        <v>0.4925373134328358</v>
      </c>
      <c r="AJ6" s="49" t="s">
        <v>216</v>
      </c>
      <c r="AK6" s="56">
        <v>74600</v>
      </c>
    </row>
    <row r="7" spans="1:37" x14ac:dyDescent="0.45">
      <c r="A7" s="46">
        <v>5</v>
      </c>
      <c r="B7" s="49" t="s">
        <v>216</v>
      </c>
      <c r="C7" s="114">
        <v>14</v>
      </c>
      <c r="D7" s="47" t="s">
        <v>139</v>
      </c>
      <c r="E7" s="48">
        <v>2.3092638912203256E-14</v>
      </c>
      <c r="F7" s="49" t="s">
        <v>139</v>
      </c>
      <c r="G7" s="61">
        <v>2.1992989440193578E-16</v>
      </c>
      <c r="H7" s="49" t="s">
        <v>211</v>
      </c>
      <c r="I7" s="53">
        <v>1512.415829547685</v>
      </c>
      <c r="J7" s="49" t="s">
        <v>139</v>
      </c>
      <c r="K7" s="50">
        <v>2</v>
      </c>
      <c r="L7" s="49" t="s">
        <v>192</v>
      </c>
      <c r="M7" s="51">
        <v>0.33333333333333331</v>
      </c>
      <c r="N7" s="49" t="s">
        <v>190</v>
      </c>
      <c r="O7" s="51">
        <v>0.33333333333333331</v>
      </c>
      <c r="P7" s="49" t="s">
        <v>139</v>
      </c>
      <c r="Q7" s="52">
        <v>0.29478458049886619</v>
      </c>
      <c r="R7" s="49" t="s">
        <v>189</v>
      </c>
      <c r="S7" s="52">
        <v>0.15740740740740741</v>
      </c>
      <c r="T7" s="49" t="s">
        <v>193</v>
      </c>
      <c r="U7" s="53">
        <v>8212.5</v>
      </c>
      <c r="V7" s="49" t="s">
        <v>189</v>
      </c>
      <c r="W7" s="53">
        <v>-7317.6470588235297</v>
      </c>
      <c r="X7" s="49" t="s">
        <v>193</v>
      </c>
      <c r="Y7" s="51">
        <v>0</v>
      </c>
      <c r="Z7" s="49" t="s">
        <v>211</v>
      </c>
      <c r="AA7" s="52">
        <v>0.24761904761904763</v>
      </c>
      <c r="AB7" s="49" t="s">
        <v>163</v>
      </c>
      <c r="AC7" s="52">
        <v>0.25974025974025972</v>
      </c>
      <c r="AD7" s="49" t="s">
        <v>139</v>
      </c>
      <c r="AE7" s="52">
        <v>0.48598130841121495</v>
      </c>
      <c r="AF7" s="49" t="s">
        <v>139</v>
      </c>
      <c r="AG7" s="52">
        <v>0.46575342465753422</v>
      </c>
      <c r="AH7" s="49" t="s">
        <v>139</v>
      </c>
      <c r="AI7" s="52">
        <v>0.44230769230769229</v>
      </c>
      <c r="AJ7" s="49" t="s">
        <v>163</v>
      </c>
      <c r="AK7" s="56">
        <v>74600</v>
      </c>
    </row>
    <row r="8" spans="1:37" x14ac:dyDescent="0.45">
      <c r="A8" s="46">
        <v>6</v>
      </c>
      <c r="B8" s="49" t="s">
        <v>189</v>
      </c>
      <c r="C8" s="114">
        <v>12</v>
      </c>
      <c r="D8" s="47" t="s">
        <v>221</v>
      </c>
      <c r="E8" s="48">
        <v>-13.5</v>
      </c>
      <c r="F8" s="49" t="s">
        <v>195</v>
      </c>
      <c r="G8" s="61">
        <v>-3.6749999999999989</v>
      </c>
      <c r="H8" s="49" t="s">
        <v>190</v>
      </c>
      <c r="I8" s="53">
        <v>1511.1565284528424</v>
      </c>
      <c r="J8" s="49" t="s">
        <v>195</v>
      </c>
      <c r="K8" s="50">
        <v>2</v>
      </c>
      <c r="L8" s="49" t="s">
        <v>189</v>
      </c>
      <c r="M8" s="51">
        <v>0.33333333333333331</v>
      </c>
      <c r="N8" s="49" t="s">
        <v>211</v>
      </c>
      <c r="O8" s="51">
        <v>0.35714285714285715</v>
      </c>
      <c r="P8" s="49" t="s">
        <v>163</v>
      </c>
      <c r="Q8" s="52">
        <v>0.27272727272727271</v>
      </c>
      <c r="R8" s="49" t="s">
        <v>211</v>
      </c>
      <c r="S8" s="52">
        <v>0.16190476190476191</v>
      </c>
      <c r="T8" s="49" t="s">
        <v>139</v>
      </c>
      <c r="U8" s="53">
        <v>8075.7692307692305</v>
      </c>
      <c r="V8" s="49" t="s">
        <v>211</v>
      </c>
      <c r="W8" s="53">
        <v>-7394.1176470588234</v>
      </c>
      <c r="X8" s="49" t="s">
        <v>221</v>
      </c>
      <c r="Y8" s="51">
        <v>0</v>
      </c>
      <c r="Z8" s="49" t="s">
        <v>139</v>
      </c>
      <c r="AA8" s="52">
        <v>0.24263038548752835</v>
      </c>
      <c r="AB8" s="49" t="s">
        <v>211</v>
      </c>
      <c r="AC8" s="52">
        <v>0.25714285714285712</v>
      </c>
      <c r="AD8" s="49" t="s">
        <v>216</v>
      </c>
      <c r="AE8" s="52">
        <v>0.46153846153846156</v>
      </c>
      <c r="AF8" s="49" t="s">
        <v>190</v>
      </c>
      <c r="AG8" s="52">
        <v>0.45454545454545453</v>
      </c>
      <c r="AH8" s="49" t="s">
        <v>216</v>
      </c>
      <c r="AI8" s="52">
        <v>0.44</v>
      </c>
      <c r="AJ8" s="49" t="s">
        <v>192</v>
      </c>
      <c r="AK8" s="56">
        <v>67700</v>
      </c>
    </row>
    <row r="9" spans="1:37" x14ac:dyDescent="0.45">
      <c r="A9" s="46">
        <v>7</v>
      </c>
      <c r="B9" s="49" t="s">
        <v>163</v>
      </c>
      <c r="C9" s="114">
        <v>9</v>
      </c>
      <c r="D9" s="47" t="s">
        <v>195</v>
      </c>
      <c r="E9" s="48">
        <v>-14.699999999999996</v>
      </c>
      <c r="F9" s="49" t="s">
        <v>221</v>
      </c>
      <c r="G9" s="61">
        <v>-6.75</v>
      </c>
      <c r="H9" s="49" t="s">
        <v>221</v>
      </c>
      <c r="I9" s="53">
        <v>1497.379788</v>
      </c>
      <c r="J9" s="49" t="s">
        <v>163</v>
      </c>
      <c r="K9" s="50">
        <v>2.1111111111111112</v>
      </c>
      <c r="L9" s="49" t="s">
        <v>139</v>
      </c>
      <c r="M9" s="51">
        <v>0.33333333333333331</v>
      </c>
      <c r="N9" s="49" t="s">
        <v>216</v>
      </c>
      <c r="O9" s="51">
        <v>0.42857142857142855</v>
      </c>
      <c r="P9" s="49" t="s">
        <v>195</v>
      </c>
      <c r="Q9" s="52">
        <v>0.25</v>
      </c>
      <c r="R9" s="49" t="s">
        <v>139</v>
      </c>
      <c r="S9" s="52">
        <v>0.16326530612244897</v>
      </c>
      <c r="T9" s="49" t="s">
        <v>211</v>
      </c>
      <c r="U9" s="53">
        <v>7913.5135135135133</v>
      </c>
      <c r="V9" s="49" t="s">
        <v>216</v>
      </c>
      <c r="W9" s="53">
        <v>-7654.166666666667</v>
      </c>
      <c r="X9" s="49" t="s">
        <v>139</v>
      </c>
      <c r="Y9" s="51">
        <v>4.7619047619047616E-2</v>
      </c>
      <c r="Z9" s="49" t="s">
        <v>216</v>
      </c>
      <c r="AA9" s="52">
        <v>0.23423423423423423</v>
      </c>
      <c r="AB9" s="49" t="s">
        <v>139</v>
      </c>
      <c r="AC9" s="52">
        <v>0.24829931972789115</v>
      </c>
      <c r="AD9" s="49" t="s">
        <v>190</v>
      </c>
      <c r="AE9" s="52">
        <v>0.45454545454545453</v>
      </c>
      <c r="AF9" s="49" t="s">
        <v>192</v>
      </c>
      <c r="AG9" s="52">
        <v>0.41666666666666669</v>
      </c>
      <c r="AH9" s="49" t="s">
        <v>211</v>
      </c>
      <c r="AI9" s="52">
        <v>0.40540540540540543</v>
      </c>
      <c r="AJ9" s="49" t="s">
        <v>189</v>
      </c>
      <c r="AK9" s="56">
        <v>61300</v>
      </c>
    </row>
    <row r="10" spans="1:37" x14ac:dyDescent="0.45">
      <c r="A10" s="46">
        <v>8</v>
      </c>
      <c r="B10" s="49" t="s">
        <v>190</v>
      </c>
      <c r="C10" s="114">
        <v>6</v>
      </c>
      <c r="D10" s="47" t="s">
        <v>193</v>
      </c>
      <c r="E10" s="48">
        <v>-51.699999999999996</v>
      </c>
      <c r="F10" s="49" t="s">
        <v>216</v>
      </c>
      <c r="G10" s="61">
        <v>-6.8285714285714283</v>
      </c>
      <c r="H10" s="49" t="s">
        <v>216</v>
      </c>
      <c r="I10" s="53">
        <v>1488.317150804671</v>
      </c>
      <c r="J10" s="49" t="s">
        <v>216</v>
      </c>
      <c r="K10" s="50">
        <v>2.1428571428571428</v>
      </c>
      <c r="L10" s="49" t="s">
        <v>216</v>
      </c>
      <c r="M10" s="51">
        <v>0.2857142857142857</v>
      </c>
      <c r="N10" s="49" t="s">
        <v>195</v>
      </c>
      <c r="O10" s="51">
        <v>0.5</v>
      </c>
      <c r="P10" s="49" t="s">
        <v>193</v>
      </c>
      <c r="Q10" s="52">
        <v>0.22857142857142856</v>
      </c>
      <c r="R10" s="49" t="s">
        <v>221</v>
      </c>
      <c r="S10" s="52">
        <v>0.16666666666666666</v>
      </c>
      <c r="T10" s="49" t="s">
        <v>216</v>
      </c>
      <c r="U10" s="53">
        <v>7796</v>
      </c>
      <c r="V10" s="49" t="s">
        <v>139</v>
      </c>
      <c r="W10" s="53">
        <v>-7695.1388888888887</v>
      </c>
      <c r="X10" s="49" t="s">
        <v>192</v>
      </c>
      <c r="Y10" s="51">
        <v>6.6666666666666666E-2</v>
      </c>
      <c r="Z10" s="49" t="s">
        <v>163</v>
      </c>
      <c r="AA10" s="52">
        <v>0.23376623376623376</v>
      </c>
      <c r="AB10" s="49" t="s">
        <v>126</v>
      </c>
      <c r="AC10" s="52">
        <v>0.22815533980582525</v>
      </c>
      <c r="AD10" s="49" t="s">
        <v>189</v>
      </c>
      <c r="AE10" s="52">
        <v>0.42857142857142855</v>
      </c>
      <c r="AF10" s="49" t="s">
        <v>163</v>
      </c>
      <c r="AG10" s="52">
        <v>0.4</v>
      </c>
      <c r="AH10" s="49" t="s">
        <v>192</v>
      </c>
      <c r="AI10" s="52">
        <v>0.39534883720930231</v>
      </c>
      <c r="AJ10" s="49" t="s">
        <v>195</v>
      </c>
      <c r="AK10" s="56">
        <v>49300</v>
      </c>
    </row>
    <row r="11" spans="1:37" x14ac:dyDescent="0.45">
      <c r="A11" s="46">
        <v>9</v>
      </c>
      <c r="B11" s="49" t="s">
        <v>195</v>
      </c>
      <c r="C11" s="114">
        <v>4</v>
      </c>
      <c r="D11" s="47" t="s">
        <v>190</v>
      </c>
      <c r="E11" s="48">
        <v>-85.5</v>
      </c>
      <c r="F11" s="49" t="s">
        <v>163</v>
      </c>
      <c r="G11" s="61">
        <v>-9.766666666666671</v>
      </c>
      <c r="H11" s="49" t="s">
        <v>189</v>
      </c>
      <c r="I11" s="53">
        <v>1454.8324138941894</v>
      </c>
      <c r="J11" s="49" t="s">
        <v>193</v>
      </c>
      <c r="K11" s="50">
        <v>2.25</v>
      </c>
      <c r="L11" s="49" t="s">
        <v>193</v>
      </c>
      <c r="M11" s="51">
        <v>0.25</v>
      </c>
      <c r="N11" s="49" t="s">
        <v>193</v>
      </c>
      <c r="O11" s="51">
        <v>0.5</v>
      </c>
      <c r="P11" s="49" t="s">
        <v>216</v>
      </c>
      <c r="Q11" s="52">
        <v>0.22522522522522523</v>
      </c>
      <c r="R11" s="49" t="s">
        <v>163</v>
      </c>
      <c r="S11" s="52">
        <v>0.20779220779220781</v>
      </c>
      <c r="T11" s="49" t="s">
        <v>189</v>
      </c>
      <c r="U11" s="53">
        <v>7780</v>
      </c>
      <c r="V11" s="49" t="s">
        <v>193</v>
      </c>
      <c r="W11" s="53">
        <v>-9387.5</v>
      </c>
      <c r="X11" s="49" t="s">
        <v>211</v>
      </c>
      <c r="Y11" s="51">
        <v>7.1428571428571425E-2</v>
      </c>
      <c r="Z11" s="49" t="s">
        <v>221</v>
      </c>
      <c r="AA11" s="52">
        <v>0.22222222222222221</v>
      </c>
      <c r="AB11" s="49" t="s">
        <v>190</v>
      </c>
      <c r="AC11" s="52">
        <v>0.22</v>
      </c>
      <c r="AD11" s="49" t="s">
        <v>163</v>
      </c>
      <c r="AE11" s="52">
        <v>0.3888888888888889</v>
      </c>
      <c r="AF11" s="49" t="s">
        <v>193</v>
      </c>
      <c r="AG11" s="52">
        <v>0.4</v>
      </c>
      <c r="AH11" s="49" t="s">
        <v>163</v>
      </c>
      <c r="AI11" s="52">
        <v>0.33333333333333331</v>
      </c>
      <c r="AJ11" s="49" t="s">
        <v>193</v>
      </c>
      <c r="AK11" s="56">
        <v>45000</v>
      </c>
    </row>
    <row r="12" spans="1:37" x14ac:dyDescent="0.45">
      <c r="A12" s="46">
        <v>10</v>
      </c>
      <c r="B12" s="49" t="s">
        <v>193</v>
      </c>
      <c r="C12" s="114">
        <v>4</v>
      </c>
      <c r="D12" s="47" t="s">
        <v>163</v>
      </c>
      <c r="E12" s="48">
        <v>-87.900000000000034</v>
      </c>
      <c r="F12" s="49" t="s">
        <v>193</v>
      </c>
      <c r="G12" s="61">
        <v>-12.924999999999999</v>
      </c>
      <c r="H12" s="49" t="s">
        <v>195</v>
      </c>
      <c r="I12" s="53">
        <v>1393.6019525837494</v>
      </c>
      <c r="J12" s="49" t="s">
        <v>190</v>
      </c>
      <c r="K12" s="50">
        <v>2.3333333333333335</v>
      </c>
      <c r="L12" s="49" t="s">
        <v>190</v>
      </c>
      <c r="M12" s="51">
        <v>0</v>
      </c>
      <c r="N12" s="49" t="s">
        <v>221</v>
      </c>
      <c r="O12" s="51">
        <v>0.5</v>
      </c>
      <c r="P12" s="49" t="s">
        <v>221</v>
      </c>
      <c r="Q12" s="52">
        <v>0.22222222222222221</v>
      </c>
      <c r="R12" s="49" t="s">
        <v>216</v>
      </c>
      <c r="S12" s="52">
        <v>0.21621621621621623</v>
      </c>
      <c r="T12" s="49" t="s">
        <v>192</v>
      </c>
      <c r="U12" s="53">
        <v>6951.1627906976746</v>
      </c>
      <c r="V12" s="49" t="s">
        <v>221</v>
      </c>
      <c r="W12" s="53">
        <v>-10300</v>
      </c>
      <c r="X12" s="49" t="s">
        <v>216</v>
      </c>
      <c r="Y12" s="51">
        <v>7.1428571428571425E-2</v>
      </c>
      <c r="Z12" s="49" t="s">
        <v>192</v>
      </c>
      <c r="AA12" s="52">
        <v>0.22058823529411764</v>
      </c>
      <c r="AB12" s="49" t="s">
        <v>216</v>
      </c>
      <c r="AC12" s="52">
        <v>0.2072072072072072</v>
      </c>
      <c r="AD12" s="49" t="s">
        <v>221</v>
      </c>
      <c r="AE12" s="52">
        <v>0.25</v>
      </c>
      <c r="AF12" s="49" t="s">
        <v>221</v>
      </c>
      <c r="AG12" s="52">
        <v>0.4</v>
      </c>
      <c r="AH12" s="49" t="s">
        <v>193</v>
      </c>
      <c r="AI12" s="52">
        <v>0.25</v>
      </c>
      <c r="AJ12" s="49" t="s">
        <v>221</v>
      </c>
      <c r="AK12" s="56">
        <v>39000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216</v>
      </c>
      <c r="E13" s="48">
        <v>-95.6</v>
      </c>
      <c r="F13" s="49" t="s">
        <v>190</v>
      </c>
      <c r="G13" s="61">
        <v>-14.25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163</v>
      </c>
      <c r="O13" s="51">
        <v>0.55555555555555558</v>
      </c>
      <c r="P13" s="49" t="s">
        <v>190</v>
      </c>
      <c r="Q13" s="52">
        <v>0.22</v>
      </c>
      <c r="R13" s="49" t="s">
        <v>193</v>
      </c>
      <c r="S13" s="52">
        <v>0.22857142857142856</v>
      </c>
      <c r="T13" s="49" t="s">
        <v>190</v>
      </c>
      <c r="U13" s="53">
        <v>5072.727272727273</v>
      </c>
      <c r="V13" s="49" t="s">
        <v>163</v>
      </c>
      <c r="W13" s="53">
        <v>-10887.5</v>
      </c>
      <c r="X13" s="49" t="s">
        <v>163</v>
      </c>
      <c r="Y13" s="51">
        <v>0.22222222222222221</v>
      </c>
      <c r="Z13" s="49" t="s">
        <v>190</v>
      </c>
      <c r="AA13" s="52">
        <v>0.22</v>
      </c>
      <c r="AB13" s="49" t="s">
        <v>195</v>
      </c>
      <c r="AC13" s="52">
        <v>5.5555555555555552E-2</v>
      </c>
      <c r="AD13" s="49" t="s">
        <v>193</v>
      </c>
      <c r="AE13" s="52">
        <v>0.22222222222222221</v>
      </c>
      <c r="AF13" s="49" t="s">
        <v>216</v>
      </c>
      <c r="AG13" s="52">
        <v>0.30434782608695654</v>
      </c>
      <c r="AH13" s="49" t="s">
        <v>190</v>
      </c>
      <c r="AI13" s="52">
        <v>9.0909090909090912E-2</v>
      </c>
      <c r="AJ13" s="49" t="s">
        <v>190</v>
      </c>
      <c r="AK13" s="56">
        <v>38600</v>
      </c>
    </row>
  </sheetData>
  <sortState xmlns:xlrd2="http://schemas.microsoft.com/office/spreadsheetml/2017/richdata2" ref="AJ3:AK6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9CB5D-A2B3-4A1A-84EE-73A0D5B5DC3D}">
  <sheetPr codeName="Sheet4"/>
  <dimension ref="A1:R107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105</v>
      </c>
      <c r="C2" s="134"/>
      <c r="E2" s="26" t="s">
        <v>66</v>
      </c>
      <c r="F2" s="23" t="s">
        <v>22</v>
      </c>
      <c r="G2" s="11">
        <v>192</v>
      </c>
      <c r="H2" s="87">
        <f>IF(B$20=0,0,G2/B$20)</f>
        <v>0.7384615384615385</v>
      </c>
      <c r="I2" s="57">
        <v>5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-38.095238095238095</v>
      </c>
      <c r="Q2" s="76">
        <v>105</v>
      </c>
      <c r="R2" s="63">
        <v>-4000</v>
      </c>
    </row>
    <row r="3" spans="1:18" x14ac:dyDescent="0.45">
      <c r="A3" s="19" t="s">
        <v>8</v>
      </c>
      <c r="B3" s="135">
        <v>882</v>
      </c>
      <c r="C3" s="136"/>
      <c r="E3" s="27" t="s">
        <v>72</v>
      </c>
      <c r="F3" s="24" t="s">
        <v>27</v>
      </c>
      <c r="G3" s="12">
        <v>184</v>
      </c>
      <c r="H3" s="88">
        <f>IF(B$20=0,0,G3/B$20)</f>
        <v>0.70769230769230773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39.215686274509807</v>
      </c>
      <c r="Q3" s="77">
        <v>102</v>
      </c>
      <c r="R3" s="64">
        <v>4000</v>
      </c>
    </row>
    <row r="4" spans="1:18" x14ac:dyDescent="0.45">
      <c r="A4" s="19" t="s">
        <v>6</v>
      </c>
      <c r="B4" s="137">
        <v>2.3092638912203256E-14</v>
      </c>
      <c r="C4" s="138"/>
      <c r="E4" s="27" t="s">
        <v>64</v>
      </c>
      <c r="F4" s="24" t="s">
        <v>20</v>
      </c>
      <c r="G4" s="12">
        <v>99</v>
      </c>
      <c r="H4" s="88">
        <f>IF(B$20=0,0,G4/B$20)</f>
        <v>0.38076923076923075</v>
      </c>
      <c r="I4" s="58">
        <v>5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-29.411764705882351</v>
      </c>
      <c r="Q4" s="77">
        <v>102</v>
      </c>
      <c r="R4" s="64">
        <v>-3000</v>
      </c>
    </row>
    <row r="5" spans="1:18" x14ac:dyDescent="0.45">
      <c r="A5" s="19" t="s">
        <v>7</v>
      </c>
      <c r="B5" s="125">
        <f>IF(B$2=0,0,B$4/B$2)</f>
        <v>2.1992989440193578E-16</v>
      </c>
      <c r="C5" s="126"/>
      <c r="E5" s="27" t="s">
        <v>159</v>
      </c>
      <c r="F5" s="24" t="s">
        <v>160</v>
      </c>
      <c r="G5" s="12">
        <v>95</v>
      </c>
      <c r="H5" s="88">
        <f>IF(B$20=0,0,G5/B$20)</f>
        <v>0.36538461538461536</v>
      </c>
      <c r="I5" s="58">
        <v>6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31.25</v>
      </c>
      <c r="Q5" s="77">
        <v>96</v>
      </c>
      <c r="R5" s="64">
        <v>3000</v>
      </c>
    </row>
    <row r="6" spans="1:18" x14ac:dyDescent="0.45">
      <c r="A6" s="19" t="s">
        <v>196</v>
      </c>
      <c r="B6" s="129">
        <v>1588.6413638489066</v>
      </c>
      <c r="C6" s="130"/>
      <c r="E6" s="27" t="s">
        <v>68</v>
      </c>
      <c r="F6" s="24" t="s">
        <v>12</v>
      </c>
      <c r="G6" s="12">
        <v>75</v>
      </c>
      <c r="H6" s="88">
        <f>IF(B$20=0,0,G6/B$20)</f>
        <v>0.28846153846153844</v>
      </c>
      <c r="I6" s="58">
        <v>6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-33.333333333333336</v>
      </c>
      <c r="Q6" s="77">
        <v>90</v>
      </c>
      <c r="R6" s="64">
        <v>-3000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61</v>
      </c>
      <c r="H7" s="88">
        <f>IF(B$20=0,0,G7/B$20)</f>
        <v>0.23461538461538461</v>
      </c>
      <c r="I7" s="58">
        <v>6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35.714285714285715</v>
      </c>
      <c r="Q7" s="78">
        <v>84</v>
      </c>
      <c r="R7" s="65">
        <v>3000</v>
      </c>
    </row>
    <row r="8" spans="1:18" x14ac:dyDescent="0.45">
      <c r="A8" s="19" t="s">
        <v>2</v>
      </c>
      <c r="B8" s="12">
        <v>35</v>
      </c>
      <c r="C8" s="6">
        <f t="shared" ref="C8:C15" si="1">IF(B$2=0,0,B8/B$2)</f>
        <v>0.33333333333333331</v>
      </c>
      <c r="E8" s="27" t="s">
        <v>89</v>
      </c>
      <c r="F8" s="24" t="s">
        <v>44</v>
      </c>
      <c r="G8" s="12">
        <v>45</v>
      </c>
      <c r="H8" s="88">
        <f>IF(B$20=0,0,G8/B$20)</f>
        <v>0.17307692307692307</v>
      </c>
      <c r="I8" s="58">
        <v>7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35</v>
      </c>
      <c r="C9" s="6">
        <f t="shared" si="1"/>
        <v>0.33333333333333331</v>
      </c>
      <c r="E9" s="27" t="s">
        <v>69</v>
      </c>
      <c r="F9" s="24" t="s">
        <v>24</v>
      </c>
      <c r="G9" s="12">
        <v>30</v>
      </c>
      <c r="H9" s="88">
        <f>IF(B$20=0,0,G9/B$20)</f>
        <v>0.11538461538461539</v>
      </c>
      <c r="I9" s="58">
        <v>6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35</v>
      </c>
      <c r="C10" s="7">
        <f t="shared" si="1"/>
        <v>0.33333333333333331</v>
      </c>
      <c r="E10" s="27" t="s">
        <v>70</v>
      </c>
      <c r="F10" s="24" t="s">
        <v>25</v>
      </c>
      <c r="G10" s="12">
        <v>29</v>
      </c>
      <c r="H10" s="88">
        <f>IF(B$20=0,0,G10/B$20)</f>
        <v>0.11153846153846154</v>
      </c>
      <c r="I10" s="58">
        <v>5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-5.5571428571428569</v>
      </c>
      <c r="Q10" s="76">
        <v>35</v>
      </c>
      <c r="R10" s="67">
        <v>-194.5</v>
      </c>
    </row>
    <row r="11" spans="1:18" x14ac:dyDescent="0.45">
      <c r="A11" s="20" t="s">
        <v>184</v>
      </c>
      <c r="B11" s="109">
        <f>IF(B8=0,0,C11/B8)</f>
        <v>32.68571428571429</v>
      </c>
      <c r="C11" s="110">
        <v>1144.0000000000002</v>
      </c>
      <c r="E11" s="27" t="s">
        <v>65</v>
      </c>
      <c r="F11" s="24" t="s">
        <v>21</v>
      </c>
      <c r="G11" s="12">
        <v>16</v>
      </c>
      <c r="H11" s="88">
        <f>IF(B$20=0,0,G11/B$20)</f>
        <v>6.1538461538461542E-2</v>
      </c>
      <c r="I11" s="58">
        <v>5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-1.6885714285714288</v>
      </c>
      <c r="Q11" s="77">
        <v>35</v>
      </c>
      <c r="R11" s="68">
        <v>-59.100000000000009</v>
      </c>
    </row>
    <row r="12" spans="1:18" x14ac:dyDescent="0.45">
      <c r="A12" s="20" t="s">
        <v>185</v>
      </c>
      <c r="B12" s="109">
        <f>IF(B9=0,0,C12/B9)</f>
        <v>-0.72857142857142876</v>
      </c>
      <c r="C12" s="110">
        <v>-25.500000000000007</v>
      </c>
      <c r="E12" s="27" t="s">
        <v>71</v>
      </c>
      <c r="F12" s="24" t="s">
        <v>26</v>
      </c>
      <c r="G12" s="12">
        <v>16</v>
      </c>
      <c r="H12" s="88">
        <f>IF(B$20=0,0,G12/B$20)</f>
        <v>6.1538461538461542E-2</v>
      </c>
      <c r="I12" s="58">
        <v>4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7.2457142857142873</v>
      </c>
      <c r="Q12" s="78">
        <v>35</v>
      </c>
      <c r="R12" s="69">
        <v>253.60000000000005</v>
      </c>
    </row>
    <row r="13" spans="1:18" x14ac:dyDescent="0.45">
      <c r="A13" s="20" t="s">
        <v>186</v>
      </c>
      <c r="B13" s="109">
        <f>IF(B10=0,0,C13/B10)</f>
        <v>-31.957142857142852</v>
      </c>
      <c r="C13" s="110">
        <v>-1118.4999999999998</v>
      </c>
      <c r="E13" s="27" t="s">
        <v>83</v>
      </c>
      <c r="F13" s="24" t="s">
        <v>38</v>
      </c>
      <c r="G13" s="12">
        <v>13</v>
      </c>
      <c r="H13" s="88">
        <f>IF(B$20=0,0,G13/B$20)</f>
        <v>0.05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86</v>
      </c>
      <c r="F14" s="24" t="s">
        <v>41</v>
      </c>
      <c r="G14" s="12">
        <v>11</v>
      </c>
      <c r="H14" s="88">
        <f>IF(B$20=0,0,G14/B$20)</f>
        <v>4.230769230769231E-2</v>
      </c>
      <c r="I14" s="58">
        <v>5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5</v>
      </c>
      <c r="C15" s="9">
        <f t="shared" si="1"/>
        <v>4.7619047619047616E-2</v>
      </c>
      <c r="E15" s="27" t="s">
        <v>81</v>
      </c>
      <c r="F15" s="24" t="s">
        <v>36</v>
      </c>
      <c r="G15" s="12">
        <v>9</v>
      </c>
      <c r="H15" s="88">
        <f>IF(B$20=0,0,G15/B$20)</f>
        <v>3.4615384615384617E-2</v>
      </c>
      <c r="I15" s="58">
        <v>6</v>
      </c>
      <c r="K15" s="74">
        <v>13</v>
      </c>
      <c r="L15" s="119">
        <v>48.999999999999993</v>
      </c>
      <c r="M15" s="117">
        <v>1603.6953056015411</v>
      </c>
      <c r="O15" s="73" t="s">
        <v>190</v>
      </c>
      <c r="P15" s="82">
        <f>IF(Q15=0,0,R15/Q15)</f>
        <v>21.375000000000004</v>
      </c>
      <c r="Q15" s="76">
        <v>12</v>
      </c>
      <c r="R15" s="67">
        <v>256.50000000000006</v>
      </c>
    </row>
    <row r="16" spans="1:18" x14ac:dyDescent="0.45">
      <c r="A16" s="22" t="s">
        <v>121</v>
      </c>
      <c r="B16" s="15">
        <v>214</v>
      </c>
      <c r="C16" s="10">
        <f>IF(B$3=0,0,B16/B$3)</f>
        <v>0.24263038548752835</v>
      </c>
      <c r="E16" s="27" t="s">
        <v>78</v>
      </c>
      <c r="F16" s="24" t="s">
        <v>33</v>
      </c>
      <c r="G16" s="12">
        <v>7</v>
      </c>
      <c r="H16" s="88">
        <f>IF(B$20=0,0,G16/B$20)</f>
        <v>2.6923076923076925E-2</v>
      </c>
      <c r="I16" s="58">
        <v>5</v>
      </c>
      <c r="K16" s="74">
        <v>14</v>
      </c>
      <c r="L16" s="119">
        <v>3.4999999999999929</v>
      </c>
      <c r="M16" s="117">
        <v>1595.6091337679318</v>
      </c>
      <c r="O16" s="74" t="s">
        <v>193</v>
      </c>
      <c r="P16" s="83">
        <f>IF(Q16=0,0,R16/Q16)</f>
        <v>19.387500000000003</v>
      </c>
      <c r="Q16" s="77">
        <v>8</v>
      </c>
      <c r="R16" s="68">
        <v>155.10000000000002</v>
      </c>
    </row>
    <row r="17" spans="1:18" x14ac:dyDescent="0.45">
      <c r="A17" s="19" t="s">
        <v>118</v>
      </c>
      <c r="B17" s="12">
        <v>219</v>
      </c>
      <c r="C17" s="6">
        <f>IF(B$3=0,0,B17/B$3)</f>
        <v>0.24829931972789115</v>
      </c>
      <c r="E17" s="27" t="s">
        <v>91</v>
      </c>
      <c r="F17" s="24" t="s">
        <v>46</v>
      </c>
      <c r="G17" s="12">
        <v>6</v>
      </c>
      <c r="H17" s="88">
        <f>IF(B$20=0,0,G17/B$20)</f>
        <v>2.3076923076923078E-2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163</v>
      </c>
      <c r="P17" s="83">
        <f>IF(Q17=0,0,R17/Q17)</f>
        <v>14.649999999999999</v>
      </c>
      <c r="Q17" s="77">
        <v>18</v>
      </c>
      <c r="R17" s="68">
        <v>263.7</v>
      </c>
    </row>
    <row r="18" spans="1:18" x14ac:dyDescent="0.45">
      <c r="A18" s="18" t="s">
        <v>123</v>
      </c>
      <c r="B18" s="11">
        <f>B24</f>
        <v>104</v>
      </c>
      <c r="C18" s="5">
        <f>IF(B$16=0,0,B18/B$16)</f>
        <v>0.48598130841121495</v>
      </c>
      <c r="E18" s="27" t="s">
        <v>79</v>
      </c>
      <c r="F18" s="24" t="s">
        <v>34</v>
      </c>
      <c r="G18" s="12">
        <v>4</v>
      </c>
      <c r="H18" s="88">
        <f>IF(B$20=0,0,G18/B$20)</f>
        <v>1.5384615384615385E-2</v>
      </c>
      <c r="I18" s="58">
        <v>4</v>
      </c>
      <c r="K18" s="74">
        <v>16</v>
      </c>
      <c r="L18" s="119">
        <v>-11.600000000000007</v>
      </c>
      <c r="M18" s="117">
        <v>1593.0666900915323</v>
      </c>
      <c r="O18" s="74" t="s">
        <v>216</v>
      </c>
      <c r="P18" s="83">
        <f>IF(Q18=0,0,R18/Q18)</f>
        <v>10.242857142857144</v>
      </c>
      <c r="Q18" s="77">
        <v>28</v>
      </c>
      <c r="R18" s="68">
        <v>286.8</v>
      </c>
    </row>
    <row r="19" spans="1:18" x14ac:dyDescent="0.45">
      <c r="A19" s="18" t="s">
        <v>124</v>
      </c>
      <c r="B19" s="11">
        <f>B25</f>
        <v>102</v>
      </c>
      <c r="C19" s="5">
        <f>IF(B$17=0,0,B19/B$17)</f>
        <v>0.46575342465753422</v>
      </c>
      <c r="E19" s="27" t="s">
        <v>155</v>
      </c>
      <c r="F19" s="24" t="s">
        <v>156</v>
      </c>
      <c r="G19" s="12">
        <v>4</v>
      </c>
      <c r="H19" s="88">
        <f>IF(B$20=0,0,G19/B$20)</f>
        <v>1.5384615384615385E-2</v>
      </c>
      <c r="I19" s="58">
        <v>3</v>
      </c>
      <c r="K19" s="74">
        <v>17</v>
      </c>
      <c r="L19" s="119">
        <v>-7.1054273576010019E-15</v>
      </c>
      <c r="M19" s="117">
        <v>1595.1902899509832</v>
      </c>
      <c r="O19" s="74" t="s">
        <v>221</v>
      </c>
      <c r="P19" s="83">
        <f>IF(Q19=0,0,R19/Q19)</f>
        <v>10.125</v>
      </c>
      <c r="Q19" s="77">
        <v>4</v>
      </c>
      <c r="R19" s="68">
        <v>40.5</v>
      </c>
    </row>
    <row r="20" spans="1:18" x14ac:dyDescent="0.45">
      <c r="A20" s="18" t="s">
        <v>10</v>
      </c>
      <c r="B20" s="11">
        <f>B23+B22</f>
        <v>260</v>
      </c>
      <c r="C20" s="5">
        <f>IF(B$3=0,0,B20/B$3)</f>
        <v>0.29478458049886619</v>
      </c>
      <c r="E20" s="27" t="s">
        <v>73</v>
      </c>
      <c r="F20" s="24" t="s">
        <v>28</v>
      </c>
      <c r="G20" s="12">
        <v>2</v>
      </c>
      <c r="H20" s="88">
        <f>IF(B$20=0,0,G20/B$20)</f>
        <v>7.6923076923076927E-3</v>
      </c>
      <c r="I20" s="58">
        <v>3</v>
      </c>
      <c r="K20" s="74">
        <v>18</v>
      </c>
      <c r="L20" s="119">
        <v>-7.1054273576010019E-15</v>
      </c>
      <c r="M20" s="117">
        <v>1595.2131482112773</v>
      </c>
      <c r="O20" s="74" t="s">
        <v>195</v>
      </c>
      <c r="P20" s="83">
        <f>IF(Q20=0,0,R20/Q20)</f>
        <v>5.5124999999999984</v>
      </c>
      <c r="Q20" s="77">
        <v>8</v>
      </c>
      <c r="R20" s="68">
        <v>44.099999999999987</v>
      </c>
    </row>
    <row r="21" spans="1:18" x14ac:dyDescent="0.45">
      <c r="A21" s="19" t="s">
        <v>13</v>
      </c>
      <c r="B21" s="12">
        <v>144</v>
      </c>
      <c r="C21" s="6">
        <f>IF(B$3=0,0,B21/B$3)</f>
        <v>0.16326530612244897</v>
      </c>
      <c r="E21" s="27" t="s">
        <v>85</v>
      </c>
      <c r="F21" s="24" t="s">
        <v>40</v>
      </c>
      <c r="G21" s="12">
        <v>2</v>
      </c>
      <c r="H21" s="88">
        <f>IF(B$20=0,0,G21/B$20)</f>
        <v>7.6923076923076927E-3</v>
      </c>
      <c r="I21" s="58">
        <v>3</v>
      </c>
      <c r="K21" s="74">
        <v>19</v>
      </c>
      <c r="L21" s="119">
        <v>-23.100000000000009</v>
      </c>
      <c r="M21" s="117">
        <v>1591.1138693220096</v>
      </c>
      <c r="O21" s="74" t="s">
        <v>192</v>
      </c>
      <c r="P21" s="83">
        <f>IF(Q21=0,0,R21/Q21)</f>
        <v>-2.2500000000000018</v>
      </c>
      <c r="Q21" s="77">
        <v>30</v>
      </c>
      <c r="R21" s="68">
        <v>-67.500000000000057</v>
      </c>
    </row>
    <row r="22" spans="1:18" x14ac:dyDescent="0.45">
      <c r="A22" s="19" t="s">
        <v>12</v>
      </c>
      <c r="B22" s="12">
        <v>115</v>
      </c>
      <c r="C22" s="6">
        <f>IF(B$20=0,0,B22/B$20)</f>
        <v>0.44230769230769229</v>
      </c>
      <c r="E22" s="27" t="s">
        <v>75</v>
      </c>
      <c r="F22" s="24" t="s">
        <v>30</v>
      </c>
      <c r="G22" s="12">
        <v>1</v>
      </c>
      <c r="H22" s="88">
        <f>IF(B$20=0,0,G22/B$20)</f>
        <v>3.8461538461538464E-3</v>
      </c>
      <c r="I22" s="58">
        <v>2</v>
      </c>
      <c r="K22" s="74">
        <v>20</v>
      </c>
      <c r="L22" s="119">
        <v>-31.300000000000008</v>
      </c>
      <c r="M22" s="117">
        <v>1589.7211861060775</v>
      </c>
      <c r="O22" s="74" t="s">
        <v>189</v>
      </c>
      <c r="P22" s="83">
        <f>IF(Q22=0,0,R22/Q22)</f>
        <v>-8.6750000000000007</v>
      </c>
      <c r="Q22" s="77">
        <v>24</v>
      </c>
      <c r="R22" s="68">
        <v>-208.20000000000002</v>
      </c>
    </row>
    <row r="23" spans="1:18" x14ac:dyDescent="0.45">
      <c r="A23" s="19" t="s">
        <v>11</v>
      </c>
      <c r="B23" s="12">
        <v>145</v>
      </c>
      <c r="C23" s="6">
        <f>IF(B$20=0,0,B23/B$20)</f>
        <v>0.55769230769230771</v>
      </c>
      <c r="E23" s="27" t="s">
        <v>77</v>
      </c>
      <c r="F23" s="24" t="s">
        <v>32</v>
      </c>
      <c r="G23" s="12">
        <v>1</v>
      </c>
      <c r="H23" s="88">
        <f>IF(B$20=0,0,G23/B$20)</f>
        <v>3.8461538461538464E-3</v>
      </c>
      <c r="I23" s="58">
        <v>2</v>
      </c>
      <c r="K23" s="74">
        <v>21</v>
      </c>
      <c r="L23" s="119">
        <v>-7.1054273576010019E-15</v>
      </c>
      <c r="M23" s="117">
        <v>1595.4468589894411</v>
      </c>
      <c r="O23" s="74" t="s">
        <v>126</v>
      </c>
      <c r="P23" s="83">
        <f>IF(Q23=0,0,R23/Q23)</f>
        <v>-9.4619999999999962</v>
      </c>
      <c r="Q23" s="77">
        <v>50</v>
      </c>
      <c r="R23" s="68">
        <v>-473.09999999999985</v>
      </c>
    </row>
    <row r="24" spans="1:18" x14ac:dyDescent="0.45">
      <c r="A24" s="19" t="s">
        <v>183</v>
      </c>
      <c r="B24" s="12">
        <v>104</v>
      </c>
      <c r="C24" s="6">
        <f>IF(B$20=0,0,B24/B$20)</f>
        <v>0.4</v>
      </c>
      <c r="E24" s="27" t="s">
        <v>88</v>
      </c>
      <c r="F24" s="24" t="s">
        <v>43</v>
      </c>
      <c r="G24" s="12">
        <v>1</v>
      </c>
      <c r="H24" s="88">
        <f>IF(B$20=0,0,G24/B$20)</f>
        <v>3.8461538461538464E-3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211</v>
      </c>
      <c r="P24" s="83">
        <f>IF(Q24=0,0,R24/Q24)</f>
        <v>-10.639285714285716</v>
      </c>
      <c r="Q24" s="77">
        <v>28</v>
      </c>
      <c r="R24" s="68">
        <v>-297.90000000000003</v>
      </c>
    </row>
    <row r="25" spans="1:18" x14ac:dyDescent="0.45">
      <c r="A25" s="19" t="s">
        <v>181</v>
      </c>
      <c r="B25" s="12">
        <v>102</v>
      </c>
      <c r="C25" s="6">
        <f>IF(B$20=0,0,B25/B$20)</f>
        <v>0.3923076923076923</v>
      </c>
      <c r="E25" s="27" t="s">
        <v>92</v>
      </c>
      <c r="F25" s="24" t="s">
        <v>47</v>
      </c>
      <c r="G25" s="12">
        <v>1</v>
      </c>
      <c r="H25" s="88">
        <f>IF(B$20=0,0,G25/B$20)</f>
        <v>3.8461538461538464E-3</v>
      </c>
      <c r="I25" s="58">
        <v>2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54</v>
      </c>
      <c r="C26" s="6">
        <f>IF(B$20=0,0,B26/B$20)</f>
        <v>0.2076923076923077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8075.7692307692305</v>
      </c>
      <c r="C27" s="8">
        <v>2099700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9055.0632911392404</v>
      </c>
      <c r="C28" s="96">
        <v>1430700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6558.8235294117649</v>
      </c>
      <c r="C29" s="96">
        <v>669000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-7695.1388888888887</v>
      </c>
      <c r="C30" s="96">
        <v>-1108100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24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3</v>
      </c>
      <c r="C35" s="9">
        <f>IF(B$3=0,0,B35/B$3)</f>
        <v>3.4013605442176869E-3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19</v>
      </c>
      <c r="C37" s="98">
        <f t="shared" ref="C37:C49" si="2">IF(B$20=0,0,B37/B$20)</f>
        <v>7.3076923076923081E-2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55</v>
      </c>
      <c r="C38" s="6">
        <f t="shared" si="2"/>
        <v>0.21153846153846154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50</v>
      </c>
      <c r="C39" s="6">
        <f t="shared" si="2"/>
        <v>0.19230769230769232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44</v>
      </c>
      <c r="C40" s="6">
        <f t="shared" si="2"/>
        <v>0.16923076923076924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29</v>
      </c>
      <c r="C41" s="6">
        <f t="shared" si="2"/>
        <v>0.11153846153846154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29</v>
      </c>
      <c r="C42" s="6">
        <f t="shared" si="2"/>
        <v>0.11153846153846154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16</v>
      </c>
      <c r="C43" s="6">
        <f t="shared" si="2"/>
        <v>6.1538461538461542E-2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7</v>
      </c>
      <c r="C44" s="6">
        <f t="shared" si="2"/>
        <v>2.6923076923076925E-2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5</v>
      </c>
      <c r="C45" s="6">
        <f t="shared" si="2"/>
        <v>1.9230769230769232E-2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3</v>
      </c>
      <c r="C46" s="6">
        <f t="shared" si="2"/>
        <v>1.1538461538461539E-2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2</v>
      </c>
      <c r="C47" s="6">
        <f t="shared" si="2"/>
        <v>7.6923076923076927E-3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1</v>
      </c>
      <c r="C49" s="9">
        <f t="shared" si="2"/>
        <v>3.8461538461538464E-3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  <row r="90" spans="11:13" x14ac:dyDescent="0.45">
      <c r="K90" s="74">
        <v>88</v>
      </c>
      <c r="L90" s="119">
        <v>-24.699999999999985</v>
      </c>
      <c r="M90" s="117">
        <v>1583.8223670949612</v>
      </c>
    </row>
    <row r="91" spans="11:13" x14ac:dyDescent="0.45">
      <c r="K91" s="74">
        <v>89</v>
      </c>
      <c r="L91" s="119">
        <v>-4.0999999999999837</v>
      </c>
      <c r="M91" s="117">
        <v>1587.9334328923915</v>
      </c>
    </row>
    <row r="92" spans="11:13" x14ac:dyDescent="0.45">
      <c r="K92" s="74">
        <v>90</v>
      </c>
      <c r="L92" s="119">
        <v>1.5987211554602254E-14</v>
      </c>
      <c r="M92" s="117">
        <v>1589.049832295037</v>
      </c>
    </row>
    <row r="93" spans="11:13" x14ac:dyDescent="0.45">
      <c r="K93" s="74">
        <v>91</v>
      </c>
      <c r="L93" s="119">
        <v>-37.899999999999984</v>
      </c>
      <c r="M93" s="117">
        <v>1582.5995333012668</v>
      </c>
    </row>
    <row r="94" spans="11:13" x14ac:dyDescent="0.45">
      <c r="K94" s="74">
        <v>92</v>
      </c>
      <c r="L94" s="119">
        <v>-13.099999999999984</v>
      </c>
      <c r="M94" s="117">
        <v>1587.4739361014592</v>
      </c>
    </row>
    <row r="95" spans="11:13" x14ac:dyDescent="0.45">
      <c r="K95" s="74">
        <v>93</v>
      </c>
      <c r="L95" s="119">
        <v>1.5987211554602254E-14</v>
      </c>
      <c r="M95" s="117">
        <v>1590.2130924848504</v>
      </c>
    </row>
    <row r="96" spans="11:13" x14ac:dyDescent="0.45">
      <c r="K96" s="74">
        <v>94</v>
      </c>
      <c r="L96" s="119">
        <v>-41.399999999999984</v>
      </c>
      <c r="M96" s="117">
        <v>1583.1258139299414</v>
      </c>
    </row>
    <row r="97" spans="11:13" x14ac:dyDescent="0.45">
      <c r="K97" s="74">
        <v>95</v>
      </c>
      <c r="L97" s="119">
        <v>-49.59999999999998</v>
      </c>
      <c r="M97" s="117">
        <v>1582.0570590463617</v>
      </c>
    </row>
    <row r="98" spans="11:13" x14ac:dyDescent="0.45">
      <c r="K98" s="74">
        <v>96</v>
      </c>
      <c r="L98" s="119">
        <v>2.1316282072803006E-14</v>
      </c>
      <c r="M98" s="117">
        <v>1591.3987166920836</v>
      </c>
    </row>
    <row r="99" spans="11:13" x14ac:dyDescent="0.45">
      <c r="K99" s="74">
        <v>97</v>
      </c>
      <c r="L99" s="119">
        <v>3.6000000000000214</v>
      </c>
      <c r="M99" s="117">
        <v>1592.236324391931</v>
      </c>
    </row>
    <row r="100" spans="11:13" x14ac:dyDescent="0.45">
      <c r="K100" s="74">
        <v>98</v>
      </c>
      <c r="L100" s="119">
        <v>-46.499999999999979</v>
      </c>
      <c r="M100" s="117">
        <v>1583.4029064455794</v>
      </c>
    </row>
    <row r="101" spans="11:13" x14ac:dyDescent="0.45">
      <c r="K101" s="74">
        <v>99</v>
      </c>
      <c r="L101" s="119">
        <v>2.1316282072803006E-14</v>
      </c>
      <c r="M101" s="117">
        <v>1592.010489006906</v>
      </c>
    </row>
    <row r="102" spans="11:13" x14ac:dyDescent="0.45">
      <c r="K102" s="74">
        <v>100</v>
      </c>
      <c r="L102" s="119">
        <v>28.300000000000022</v>
      </c>
      <c r="M102" s="117">
        <v>1596.5344260728646</v>
      </c>
    </row>
    <row r="103" spans="11:13" x14ac:dyDescent="0.45">
      <c r="K103" s="74">
        <v>101</v>
      </c>
      <c r="L103" s="119">
        <v>-8.7999999999999794</v>
      </c>
      <c r="M103" s="117">
        <v>1589.2592195164273</v>
      </c>
    </row>
    <row r="104" spans="11:13" x14ac:dyDescent="0.45">
      <c r="K104" s="74">
        <v>102</v>
      </c>
      <c r="L104" s="119">
        <v>2.1316282072803006E-14</v>
      </c>
      <c r="M104" s="117">
        <v>1590.2896641993286</v>
      </c>
    </row>
    <row r="105" spans="11:13" x14ac:dyDescent="0.45">
      <c r="K105" s="74">
        <v>103</v>
      </c>
      <c r="L105" s="119">
        <v>-31.09999999999998</v>
      </c>
      <c r="M105" s="117">
        <v>1584.1319262141326</v>
      </c>
    </row>
    <row r="106" spans="11:13" x14ac:dyDescent="0.45">
      <c r="K106" s="74">
        <v>104</v>
      </c>
      <c r="L106" s="119">
        <v>11.600000000000023</v>
      </c>
      <c r="M106" s="117">
        <v>1591.2951346568477</v>
      </c>
    </row>
    <row r="107" spans="11:13" x14ac:dyDescent="0.45">
      <c r="K107" s="74">
        <v>105</v>
      </c>
      <c r="L107" s="119">
        <v>2.3092638912203256E-14</v>
      </c>
      <c r="M107" s="117">
        <v>1588.6413638489066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9CBD-6354-4617-A382-B6DC9725ECFB}">
  <sheetPr codeName="Sheet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25</v>
      </c>
      <c r="C2" s="134"/>
      <c r="E2" s="26" t="s">
        <v>72</v>
      </c>
      <c r="F2" s="23" t="s">
        <v>27</v>
      </c>
      <c r="G2" s="11">
        <v>53</v>
      </c>
      <c r="H2" s="87">
        <f>IF(B$20=0,0,G2/B$20)</f>
        <v>0.79104477611940294</v>
      </c>
      <c r="I2" s="57">
        <v>5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1884</v>
      </c>
      <c r="Q2" s="76">
        <v>25</v>
      </c>
      <c r="R2" s="63">
        <v>47100</v>
      </c>
    </row>
    <row r="3" spans="1:18" x14ac:dyDescent="0.45">
      <c r="A3" s="19" t="s">
        <v>8</v>
      </c>
      <c r="B3" s="135">
        <v>206</v>
      </c>
      <c r="C3" s="136"/>
      <c r="E3" s="27" t="s">
        <v>66</v>
      </c>
      <c r="F3" s="24" t="s">
        <v>22</v>
      </c>
      <c r="G3" s="12">
        <v>48</v>
      </c>
      <c r="H3" s="88">
        <f>IF(B$20=0,0,G3/B$20)</f>
        <v>0.71641791044776115</v>
      </c>
      <c r="I3" s="58">
        <v>6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-354.16666666666669</v>
      </c>
      <c r="Q3" s="77">
        <v>24</v>
      </c>
      <c r="R3" s="64">
        <v>-8500</v>
      </c>
    </row>
    <row r="4" spans="1:18" x14ac:dyDescent="0.45">
      <c r="A4" s="19" t="s">
        <v>6</v>
      </c>
      <c r="B4" s="137">
        <v>157.69999999999999</v>
      </c>
      <c r="C4" s="138"/>
      <c r="E4" s="27" t="s">
        <v>64</v>
      </c>
      <c r="F4" s="24" t="s">
        <v>20</v>
      </c>
      <c r="G4" s="12">
        <v>24</v>
      </c>
      <c r="H4" s="88">
        <f>IF(B$20=0,0,G4/B$20)</f>
        <v>0.35820895522388058</v>
      </c>
      <c r="I4" s="58">
        <v>6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-12.5</v>
      </c>
      <c r="Q4" s="77">
        <v>24</v>
      </c>
      <c r="R4" s="64">
        <v>-300</v>
      </c>
    </row>
    <row r="5" spans="1:18" x14ac:dyDescent="0.45">
      <c r="A5" s="19" t="s">
        <v>7</v>
      </c>
      <c r="B5" s="125">
        <f>IF(B$2=0,0,B$4/B$2)</f>
        <v>6.3079999999999998</v>
      </c>
      <c r="C5" s="126"/>
      <c r="E5" s="27" t="s">
        <v>159</v>
      </c>
      <c r="F5" s="24" t="s">
        <v>160</v>
      </c>
      <c r="G5" s="12">
        <v>22</v>
      </c>
      <c r="H5" s="88">
        <f>IF(B$20=0,0,G5/B$20)</f>
        <v>0.32835820895522388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1939.1304347826087</v>
      </c>
      <c r="Q5" s="77">
        <v>23</v>
      </c>
      <c r="R5" s="64">
        <v>44600</v>
      </c>
    </row>
    <row r="6" spans="1:18" x14ac:dyDescent="0.45">
      <c r="A6" s="19" t="s">
        <v>196</v>
      </c>
      <c r="B6" s="129">
        <v>1835.351148842728</v>
      </c>
      <c r="C6" s="130"/>
      <c r="E6" s="27" t="s">
        <v>68</v>
      </c>
      <c r="F6" s="24" t="s">
        <v>12</v>
      </c>
      <c r="G6" s="12">
        <v>21</v>
      </c>
      <c r="H6" s="88">
        <f>IF(B$20=0,0,G6/B$20)</f>
        <v>0.31343283582089554</v>
      </c>
      <c r="I6" s="58">
        <v>5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-122.72727272727273</v>
      </c>
      <c r="Q6" s="77">
        <v>22</v>
      </c>
      <c r="R6" s="64">
        <v>-2700</v>
      </c>
    </row>
    <row r="7" spans="1:18" x14ac:dyDescent="0.45">
      <c r="A7" s="19" t="s">
        <v>1</v>
      </c>
      <c r="B7" s="139">
        <f>IF(B$2=0,0,(B$8*1+B$9*2+B$10*3)/B$2)</f>
        <v>1.92</v>
      </c>
      <c r="C7" s="140"/>
      <c r="E7" s="27" t="s">
        <v>67</v>
      </c>
      <c r="F7" s="24" t="s">
        <v>23</v>
      </c>
      <c r="G7" s="12">
        <v>12</v>
      </c>
      <c r="H7" s="88">
        <f>IF(B$20=0,0,G7/B$20)</f>
        <v>0.17910447761194029</v>
      </c>
      <c r="I7" s="58">
        <v>7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-2120</v>
      </c>
      <c r="Q7" s="78">
        <v>20</v>
      </c>
      <c r="R7" s="65">
        <v>-42400</v>
      </c>
    </row>
    <row r="8" spans="1:18" x14ac:dyDescent="0.45">
      <c r="A8" s="19" t="s">
        <v>2</v>
      </c>
      <c r="B8" s="12">
        <v>9</v>
      </c>
      <c r="C8" s="6">
        <f t="shared" ref="C8:C15" si="1">IF(B$2=0,0,B8/B$2)</f>
        <v>0.36</v>
      </c>
      <c r="E8" s="27" t="s">
        <v>70</v>
      </c>
      <c r="F8" s="24" t="s">
        <v>25</v>
      </c>
      <c r="G8" s="12">
        <v>11</v>
      </c>
      <c r="H8" s="88">
        <f>IF(B$20=0,0,G8/B$20)</f>
        <v>0.16417910447761194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9</v>
      </c>
      <c r="C9" s="6">
        <f t="shared" si="1"/>
        <v>0.36</v>
      </c>
      <c r="E9" s="27" t="s">
        <v>89</v>
      </c>
      <c r="F9" s="24" t="s">
        <v>44</v>
      </c>
      <c r="G9" s="12">
        <v>11</v>
      </c>
      <c r="H9" s="88">
        <f>IF(B$20=0,0,G9/B$20)</f>
        <v>0.16417910447761194</v>
      </c>
      <c r="I9" s="58">
        <v>8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0.28000000000000003</v>
      </c>
      <c r="E10" s="27" t="s">
        <v>69</v>
      </c>
      <c r="F10" s="24" t="s">
        <v>24</v>
      </c>
      <c r="G10" s="12">
        <v>10</v>
      </c>
      <c r="H10" s="88">
        <f>IF(B$20=0,0,G10/B$20)</f>
        <v>0.14925373134328357</v>
      </c>
      <c r="I10" s="58">
        <v>3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1.9375000000000004</v>
      </c>
      <c r="Q10" s="76">
        <v>8</v>
      </c>
      <c r="R10" s="67">
        <v>15.500000000000004</v>
      </c>
    </row>
    <row r="11" spans="1:18" x14ac:dyDescent="0.45">
      <c r="A11" s="20" t="s">
        <v>184</v>
      </c>
      <c r="B11" s="109">
        <f>IF(B8=0,0,C11/B8)</f>
        <v>39.788888888888891</v>
      </c>
      <c r="C11" s="110">
        <v>358.1</v>
      </c>
      <c r="E11" s="27" t="s">
        <v>83</v>
      </c>
      <c r="F11" s="24" t="s">
        <v>38</v>
      </c>
      <c r="G11" s="12">
        <v>5</v>
      </c>
      <c r="H11" s="88">
        <f>IF(B$20=0,0,G11/B$20)</f>
        <v>7.4626865671641784E-2</v>
      </c>
      <c r="I11" s="58">
        <v>3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1.7666666666666668</v>
      </c>
      <c r="Q11" s="77">
        <v>9</v>
      </c>
      <c r="R11" s="68">
        <v>15.900000000000002</v>
      </c>
    </row>
    <row r="12" spans="1:18" x14ac:dyDescent="0.45">
      <c r="A12" s="20" t="s">
        <v>185</v>
      </c>
      <c r="B12" s="109">
        <f>IF(B9=0,0,C12/B9)</f>
        <v>-5.3777777777777764</v>
      </c>
      <c r="C12" s="110">
        <v>-48.399999999999991</v>
      </c>
      <c r="E12" s="27" t="s">
        <v>65</v>
      </c>
      <c r="F12" s="24" t="s">
        <v>21</v>
      </c>
      <c r="G12" s="12">
        <v>4</v>
      </c>
      <c r="H12" s="88">
        <f>IF(B$20=0,0,G12/B$20)</f>
        <v>5.9701492537313432E-2</v>
      </c>
      <c r="I12" s="58">
        <v>6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15.787500000000001</v>
      </c>
      <c r="Q12" s="78">
        <v>8</v>
      </c>
      <c r="R12" s="69">
        <v>126.30000000000001</v>
      </c>
    </row>
    <row r="13" spans="1:18" x14ac:dyDescent="0.45">
      <c r="A13" s="20" t="s">
        <v>186</v>
      </c>
      <c r="B13" s="109">
        <f>IF(B10=0,0,C13/B10)</f>
        <v>-21.714285714285715</v>
      </c>
      <c r="C13" s="110">
        <v>-152</v>
      </c>
      <c r="E13" s="27" t="s">
        <v>71</v>
      </c>
      <c r="F13" s="24" t="s">
        <v>26</v>
      </c>
      <c r="G13" s="12">
        <v>4</v>
      </c>
      <c r="H13" s="88">
        <f>IF(B$20=0,0,G13/B$20)</f>
        <v>5.9701492537313432E-2</v>
      </c>
      <c r="I13" s="58">
        <v>5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4.2322751322751317</v>
      </c>
      <c r="C14" s="126"/>
      <c r="E14" s="27" t="s">
        <v>81</v>
      </c>
      <c r="F14" s="24" t="s">
        <v>36</v>
      </c>
      <c r="G14" s="12">
        <v>3</v>
      </c>
      <c r="H14" s="88">
        <f>IF(B$20=0,0,G14/B$20)</f>
        <v>4.4776119402985072E-2</v>
      </c>
      <c r="I14" s="58">
        <v>4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155</v>
      </c>
      <c r="F15" s="24" t="s">
        <v>156</v>
      </c>
      <c r="G15" s="12">
        <v>3</v>
      </c>
      <c r="H15" s="88">
        <f>IF(B$20=0,0,G15/B$20)</f>
        <v>4.4776119402985072E-2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190</v>
      </c>
      <c r="P15" s="82">
        <f>IF(Q15=0,0,R15/Q15)</f>
        <v>36.075000000000003</v>
      </c>
      <c r="Q15" s="76">
        <v>4</v>
      </c>
      <c r="R15" s="67">
        <v>144.30000000000001</v>
      </c>
    </row>
    <row r="16" spans="1:18" x14ac:dyDescent="0.45">
      <c r="A16" s="22" t="s">
        <v>121</v>
      </c>
      <c r="B16" s="15">
        <v>53</v>
      </c>
      <c r="C16" s="10">
        <f>IF(B$3=0,0,B16/B$3)</f>
        <v>0.25728155339805825</v>
      </c>
      <c r="E16" s="27" t="s">
        <v>86</v>
      </c>
      <c r="F16" s="24" t="s">
        <v>41</v>
      </c>
      <c r="G16" s="12">
        <v>2</v>
      </c>
      <c r="H16" s="88">
        <f>IF(B$20=0,0,G16/B$20)</f>
        <v>2.9850746268656716E-2</v>
      </c>
      <c r="I16" s="58">
        <v>6</v>
      </c>
      <c r="K16" s="74">
        <v>14</v>
      </c>
      <c r="L16" s="119">
        <v>222</v>
      </c>
      <c r="M16" s="117">
        <v>1861.6993429866839</v>
      </c>
      <c r="O16" s="74" t="s">
        <v>163</v>
      </c>
      <c r="P16" s="83">
        <f>IF(Q16=0,0,R16/Q16)</f>
        <v>30.62857142857143</v>
      </c>
      <c r="Q16" s="77">
        <v>7</v>
      </c>
      <c r="R16" s="68">
        <v>214.4</v>
      </c>
    </row>
    <row r="17" spans="1:18" x14ac:dyDescent="0.45">
      <c r="A17" s="19" t="s">
        <v>118</v>
      </c>
      <c r="B17" s="12">
        <v>47</v>
      </c>
      <c r="C17" s="6">
        <f>IF(B$3=0,0,B17/B$3)</f>
        <v>0.22815533980582525</v>
      </c>
      <c r="E17" s="27" t="s">
        <v>91</v>
      </c>
      <c r="F17" s="24" t="s">
        <v>46</v>
      </c>
      <c r="G17" s="12">
        <v>2</v>
      </c>
      <c r="H17" s="88">
        <f>IF(B$20=0,0,G17/B$20)</f>
        <v>2.9850746268656716E-2</v>
      </c>
      <c r="I17" s="58">
        <v>3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5">
      <c r="A18" s="18" t="s">
        <v>123</v>
      </c>
      <c r="B18" s="11">
        <f>B24</f>
        <v>27</v>
      </c>
      <c r="C18" s="5">
        <f>IF(B$16=0,0,B18/B$16)</f>
        <v>0.50943396226415094</v>
      </c>
      <c r="E18" s="27" t="s">
        <v>78</v>
      </c>
      <c r="F18" s="24" t="s">
        <v>33</v>
      </c>
      <c r="G18" s="12">
        <v>1</v>
      </c>
      <c r="H18" s="88">
        <f>IF(B$20=0,0,G18/B$20)</f>
        <v>1.4925373134328358E-2</v>
      </c>
      <c r="I18" s="58">
        <v>6</v>
      </c>
      <c r="K18" s="74">
        <v>16</v>
      </c>
      <c r="L18" s="119">
        <v>164.20000000000002</v>
      </c>
      <c r="M18" s="117">
        <v>1848.4372400471914</v>
      </c>
      <c r="O18" s="74" t="s">
        <v>195</v>
      </c>
      <c r="P18" s="83">
        <f>IF(Q18=0,0,R18/Q18)</f>
        <v>16.600000000000001</v>
      </c>
      <c r="Q18" s="77">
        <v>2</v>
      </c>
      <c r="R18" s="68">
        <v>33.200000000000003</v>
      </c>
    </row>
    <row r="19" spans="1:18" x14ac:dyDescent="0.45">
      <c r="A19" s="18" t="s">
        <v>124</v>
      </c>
      <c r="B19" s="11">
        <f>B25</f>
        <v>26</v>
      </c>
      <c r="C19" s="5">
        <f>IF(B$17=0,0,B19/B$17)</f>
        <v>0.55319148936170215</v>
      </c>
      <c r="E19" s="27" t="s">
        <v>79</v>
      </c>
      <c r="F19" s="24" t="s">
        <v>34</v>
      </c>
      <c r="G19" s="12">
        <v>1</v>
      </c>
      <c r="H19" s="88">
        <f>IF(B$20=0,0,G19/B$20)</f>
        <v>1.4925373134328358E-2</v>
      </c>
      <c r="I19" s="58">
        <v>5</v>
      </c>
      <c r="K19" s="74">
        <v>17</v>
      </c>
      <c r="L19" s="119">
        <v>164.3</v>
      </c>
      <c r="M19" s="117">
        <v>1846.8986166069083</v>
      </c>
      <c r="O19" s="74" t="s">
        <v>192</v>
      </c>
      <c r="P19" s="83">
        <f>IF(Q19=0,0,R19/Q19)</f>
        <v>14.454545454545455</v>
      </c>
      <c r="Q19" s="77">
        <v>11</v>
      </c>
      <c r="R19" s="68">
        <v>159</v>
      </c>
    </row>
    <row r="20" spans="1:18" x14ac:dyDescent="0.45">
      <c r="A20" s="18" t="s">
        <v>10</v>
      </c>
      <c r="B20" s="11">
        <f>B23+B22</f>
        <v>67</v>
      </c>
      <c r="C20" s="5">
        <f>IF(B$3=0,0,B20/B$3)</f>
        <v>0.32524271844660196</v>
      </c>
      <c r="E20" s="27" t="s">
        <v>92</v>
      </c>
      <c r="F20" s="24" t="s">
        <v>47</v>
      </c>
      <c r="G20" s="12">
        <v>1</v>
      </c>
      <c r="H20" s="88">
        <f>IF(B$20=0,0,G20/B$20)</f>
        <v>1.4925373134328358E-2</v>
      </c>
      <c r="I20" s="58">
        <v>1</v>
      </c>
      <c r="K20" s="74">
        <v>18</v>
      </c>
      <c r="L20" s="119">
        <v>188.9</v>
      </c>
      <c r="M20" s="117">
        <v>1849.7792249072668</v>
      </c>
      <c r="O20" s="74" t="s">
        <v>216</v>
      </c>
      <c r="P20" s="83">
        <f>IF(Q20=0,0,R20/Q20)</f>
        <v>-1.8500000000000005</v>
      </c>
      <c r="Q20" s="77">
        <v>8</v>
      </c>
      <c r="R20" s="68">
        <v>-14.800000000000004</v>
      </c>
    </row>
    <row r="21" spans="1:18" x14ac:dyDescent="0.45">
      <c r="A21" s="19" t="s">
        <v>13</v>
      </c>
      <c r="B21" s="12">
        <v>28</v>
      </c>
      <c r="C21" s="6">
        <f>IF(B$3=0,0,B21/B$3)</f>
        <v>0.13592233009708737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4</v>
      </c>
      <c r="K21" s="74">
        <v>19</v>
      </c>
      <c r="L21" s="119">
        <v>174.6</v>
      </c>
      <c r="M21" s="117">
        <v>1845.7365495578231</v>
      </c>
      <c r="O21" s="74" t="s">
        <v>211</v>
      </c>
      <c r="P21" s="83">
        <f>IF(Q21=0,0,R21/Q21)</f>
        <v>-5.4999999999999982</v>
      </c>
      <c r="Q21" s="77">
        <v>7</v>
      </c>
      <c r="R21" s="68">
        <v>-38.499999999999986</v>
      </c>
    </row>
    <row r="22" spans="1:18" x14ac:dyDescent="0.45">
      <c r="A22" s="19" t="s">
        <v>12</v>
      </c>
      <c r="B22" s="12">
        <v>33</v>
      </c>
      <c r="C22" s="6">
        <f>IF(B$20=0,0,B22/B$20)</f>
        <v>0.4925373134328358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189</v>
      </c>
      <c r="P22" s="83">
        <f>IF(Q22=0,0,R22/Q22)</f>
        <v>-9.1444444444444439</v>
      </c>
      <c r="Q22" s="77">
        <v>9</v>
      </c>
      <c r="R22" s="68">
        <v>-82.3</v>
      </c>
    </row>
    <row r="23" spans="1:18" x14ac:dyDescent="0.45">
      <c r="A23" s="19" t="s">
        <v>11</v>
      </c>
      <c r="B23" s="12">
        <v>34</v>
      </c>
      <c r="C23" s="6">
        <f>IF(B$20=0,0,B23/B$20)</f>
        <v>0.5074626865671642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27</v>
      </c>
      <c r="C24" s="6">
        <f>IF(B$20=0,0,B24/B$20)</f>
        <v>0.40298507462686567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106.3</v>
      </c>
      <c r="M24" s="117">
        <v>1829.4799049660398</v>
      </c>
    </row>
    <row r="25" spans="1:18" x14ac:dyDescent="0.45">
      <c r="A25" s="19" t="s">
        <v>181</v>
      </c>
      <c r="B25" s="12">
        <v>26</v>
      </c>
      <c r="C25" s="6">
        <f>IF(B$20=0,0,B25/B$20)</f>
        <v>0.38805970149253732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119.39999999999999</v>
      </c>
      <c r="M25" s="117">
        <v>1830.7670255362436</v>
      </c>
    </row>
    <row r="26" spans="1:18" x14ac:dyDescent="0.45">
      <c r="A26" s="19" t="s">
        <v>182</v>
      </c>
      <c r="B26" s="12">
        <v>14</v>
      </c>
      <c r="C26" s="6">
        <f>IF(B$20=0,0,B26/B$20)</f>
        <v>0.20895522388059701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111.19999999999999</v>
      </c>
      <c r="M26" s="117">
        <v>1828.2124233830261</v>
      </c>
    </row>
    <row r="27" spans="1:18" x14ac:dyDescent="0.45">
      <c r="A27" s="19" t="s">
        <v>5</v>
      </c>
      <c r="B27" s="16">
        <f>IF(B$20=0,0,C27/B$20)</f>
        <v>8859.7014925373132</v>
      </c>
      <c r="C27" s="8">
        <v>593600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5">
      <c r="A28" s="20" t="s">
        <v>165</v>
      </c>
      <c r="B28" s="95">
        <f>IF($B$20-B$19=0,0,C28/($B$20-B$19))</f>
        <v>9490.2439024390242</v>
      </c>
      <c r="C28" s="96">
        <v>389100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7865.3846153846152</v>
      </c>
      <c r="C29" s="96">
        <v>204500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4</v>
      </c>
    </row>
    <row r="30" spans="1:18" x14ac:dyDescent="0.45">
      <c r="A30" s="20" t="s">
        <v>164</v>
      </c>
      <c r="B30" s="95">
        <f>IF(B$21=0,0,C30/B$21)</f>
        <v>-7253.5714285714284</v>
      </c>
      <c r="C30" s="96">
        <v>-203100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6</v>
      </c>
      <c r="C31" s="90">
        <v>1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17</v>
      </c>
      <c r="C32" s="90">
        <v>7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4.8543689320388345E-3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3</v>
      </c>
      <c r="C37" s="98">
        <f t="shared" ref="C37:C49" si="2">IF(B$20=0,0,B37/B$20)</f>
        <v>4.4776119402985072E-2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11</v>
      </c>
      <c r="C38" s="6">
        <f t="shared" si="2"/>
        <v>0.16417910447761194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17</v>
      </c>
      <c r="C39" s="6">
        <f t="shared" si="2"/>
        <v>0.2537313432835821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10</v>
      </c>
      <c r="C40" s="6">
        <f t="shared" si="2"/>
        <v>0.14925373134328357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7</v>
      </c>
      <c r="C41" s="6">
        <f t="shared" si="2"/>
        <v>0.1044776119402985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10</v>
      </c>
      <c r="C42" s="6">
        <f t="shared" si="2"/>
        <v>0.14925373134328357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5</v>
      </c>
      <c r="C43" s="6">
        <f t="shared" si="2"/>
        <v>7.4626865671641784E-2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1.4925373134328358E-2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2"/>
        <v>1.4925373134328358E-2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1</v>
      </c>
      <c r="C47" s="6">
        <f t="shared" si="2"/>
        <v>1.4925373134328358E-2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2"/>
        <v>1.4925373134328358E-2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19982-4C5E-42CE-908D-5BC79E9018F2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9</v>
      </c>
      <c r="C2" s="134"/>
      <c r="E2" s="26" t="s">
        <v>72</v>
      </c>
      <c r="F2" s="23" t="s">
        <v>27</v>
      </c>
      <c r="G2" s="11">
        <v>17</v>
      </c>
      <c r="H2" s="87">
        <f>IF(B$20=0,0,G2/B$20)</f>
        <v>0.80952380952380953</v>
      </c>
      <c r="I2" s="57">
        <v>4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222.22222222222223</v>
      </c>
      <c r="Q2" s="76">
        <v>9</v>
      </c>
      <c r="R2" s="63">
        <v>2000</v>
      </c>
    </row>
    <row r="3" spans="1:18" x14ac:dyDescent="0.45">
      <c r="A3" s="19" t="s">
        <v>8</v>
      </c>
      <c r="B3" s="135">
        <v>77</v>
      </c>
      <c r="C3" s="136"/>
      <c r="E3" s="27" t="s">
        <v>66</v>
      </c>
      <c r="F3" s="24" t="s">
        <v>22</v>
      </c>
      <c r="G3" s="12">
        <v>14</v>
      </c>
      <c r="H3" s="88">
        <f>IF(B$20=0,0,G3/B$20)</f>
        <v>0.66666666666666663</v>
      </c>
      <c r="I3" s="58">
        <v>7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2212.5</v>
      </c>
      <c r="Q3" s="77">
        <v>8</v>
      </c>
      <c r="R3" s="64">
        <v>17700</v>
      </c>
    </row>
    <row r="4" spans="1:18" x14ac:dyDescent="0.45">
      <c r="A4" s="19" t="s">
        <v>6</v>
      </c>
      <c r="B4" s="137">
        <v>-87.900000000000034</v>
      </c>
      <c r="C4" s="138"/>
      <c r="E4" s="27" t="s">
        <v>159</v>
      </c>
      <c r="F4" s="24" t="s">
        <v>160</v>
      </c>
      <c r="G4" s="12">
        <v>9</v>
      </c>
      <c r="H4" s="88">
        <f>IF(B$20=0,0,G4/B$20)</f>
        <v>0.42857142857142855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-1200</v>
      </c>
      <c r="Q4" s="77">
        <v>8</v>
      </c>
      <c r="R4" s="64">
        <v>-9600</v>
      </c>
    </row>
    <row r="5" spans="1:18" x14ac:dyDescent="0.45">
      <c r="A5" s="19" t="s">
        <v>7</v>
      </c>
      <c r="B5" s="125">
        <f>IF(B$2=0,0,B$4/B$2)</f>
        <v>-9.766666666666671</v>
      </c>
      <c r="C5" s="126"/>
      <c r="E5" s="27" t="s">
        <v>64</v>
      </c>
      <c r="F5" s="24" t="s">
        <v>20</v>
      </c>
      <c r="G5" s="12">
        <v>7</v>
      </c>
      <c r="H5" s="88">
        <f>IF(B$20=0,0,G5/B$20)</f>
        <v>0.33333333333333331</v>
      </c>
      <c r="I5" s="58">
        <v>8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-787.5</v>
      </c>
      <c r="Q5" s="77">
        <v>8</v>
      </c>
      <c r="R5" s="64">
        <v>-6300</v>
      </c>
    </row>
    <row r="6" spans="1:18" x14ac:dyDescent="0.45">
      <c r="A6" s="19" t="s">
        <v>196</v>
      </c>
      <c r="B6" s="129">
        <v>1636.255456115799</v>
      </c>
      <c r="C6" s="130"/>
      <c r="E6" s="27" t="s">
        <v>67</v>
      </c>
      <c r="F6" s="24" t="s">
        <v>23</v>
      </c>
      <c r="G6" s="12">
        <v>6</v>
      </c>
      <c r="H6" s="88">
        <f>IF(B$20=0,0,G6/B$20)</f>
        <v>0.2857142857142857</v>
      </c>
      <c r="I6" s="58">
        <v>4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-642.85714285714289</v>
      </c>
      <c r="Q6" s="77">
        <v>7</v>
      </c>
      <c r="R6" s="64">
        <v>-4500</v>
      </c>
    </row>
    <row r="7" spans="1:18" x14ac:dyDescent="0.45">
      <c r="A7" s="19" t="s">
        <v>1</v>
      </c>
      <c r="B7" s="139">
        <f>IF(B$2=0,0,(B$8*1+B$9*2+B$10*3)/B$2)</f>
        <v>2.1111111111111112</v>
      </c>
      <c r="C7" s="140"/>
      <c r="E7" s="27" t="s">
        <v>89</v>
      </c>
      <c r="F7" s="24" t="s">
        <v>44</v>
      </c>
      <c r="G7" s="12">
        <v>5</v>
      </c>
      <c r="H7" s="88">
        <f>IF(B$20=0,0,G7/B$20)</f>
        <v>0.23809523809523808</v>
      </c>
      <c r="I7" s="58">
        <v>4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-2340</v>
      </c>
      <c r="Q7" s="78">
        <v>5</v>
      </c>
      <c r="R7" s="65">
        <v>-11700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0.44444444444444442</v>
      </c>
      <c r="E8" s="27" t="s">
        <v>68</v>
      </c>
      <c r="F8" s="24" t="s">
        <v>12</v>
      </c>
      <c r="G8" s="12">
        <v>4</v>
      </c>
      <c r="H8" s="88">
        <f>IF(B$20=0,0,G8/B$20)</f>
        <v>0.19047619047619047</v>
      </c>
      <c r="I8" s="58">
        <v>9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69</v>
      </c>
      <c r="F9" s="24" t="s">
        <v>24</v>
      </c>
      <c r="G9" s="12">
        <v>3</v>
      </c>
      <c r="H9" s="88">
        <f>IF(B$20=0,0,G9/B$20)</f>
        <v>0.14285714285714285</v>
      </c>
      <c r="I9" s="58">
        <v>4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0.55555555555555558</v>
      </c>
      <c r="E10" s="27" t="s">
        <v>78</v>
      </c>
      <c r="F10" s="24" t="s">
        <v>33</v>
      </c>
      <c r="G10" s="12">
        <v>2</v>
      </c>
      <c r="H10" s="88">
        <f>IF(B$20=0,0,G10/B$20)</f>
        <v>9.5238095238095233E-2</v>
      </c>
      <c r="I10" s="58">
        <v>2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-0.39999999999999858</v>
      </c>
      <c r="Q10" s="76">
        <v>2</v>
      </c>
      <c r="R10" s="67">
        <v>-0.79999999999999716</v>
      </c>
    </row>
    <row r="11" spans="1:18" x14ac:dyDescent="0.45">
      <c r="A11" s="20" t="s">
        <v>184</v>
      </c>
      <c r="B11" s="109">
        <f>IF(B8=0,0,C11/B8)</f>
        <v>32.15</v>
      </c>
      <c r="C11" s="110">
        <v>128.6</v>
      </c>
      <c r="E11" s="27" t="s">
        <v>83</v>
      </c>
      <c r="F11" s="24" t="s">
        <v>38</v>
      </c>
      <c r="G11" s="12">
        <v>2</v>
      </c>
      <c r="H11" s="88">
        <f>IF(B$20=0,0,G11/B$20)</f>
        <v>9.5238095238095233E-2</v>
      </c>
      <c r="I11" s="58">
        <v>2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-17.340000000000007</v>
      </c>
      <c r="Q11" s="77">
        <v>5</v>
      </c>
      <c r="R11" s="68">
        <v>-86.700000000000031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65</v>
      </c>
      <c r="F12" s="24" t="s">
        <v>21</v>
      </c>
      <c r="G12" s="12">
        <v>1</v>
      </c>
      <c r="H12" s="88">
        <f>IF(B$20=0,0,G12/B$20)</f>
        <v>4.7619047619047616E-2</v>
      </c>
      <c r="I12" s="58">
        <v>7</v>
      </c>
      <c r="O12" s="75" t="s">
        <v>153</v>
      </c>
      <c r="P12" s="84">
        <f>IF(Q12=0,0,R12/Q12)</f>
        <v>-0.19999999999999929</v>
      </c>
      <c r="Q12" s="78">
        <v>2</v>
      </c>
      <c r="R12" s="69">
        <v>-0.39999999999999858</v>
      </c>
    </row>
    <row r="13" spans="1:18" x14ac:dyDescent="0.45">
      <c r="A13" s="20" t="s">
        <v>186</v>
      </c>
      <c r="B13" s="109">
        <f>IF(B10=0,0,C13/B10)</f>
        <v>-43.3</v>
      </c>
      <c r="C13" s="110">
        <v>-216.5</v>
      </c>
      <c r="E13" s="27" t="s">
        <v>70</v>
      </c>
      <c r="F13" s="24" t="s">
        <v>25</v>
      </c>
      <c r="G13" s="12">
        <v>1</v>
      </c>
      <c r="H13" s="88">
        <f>IF(B$20=0,0,G13/B$20)</f>
        <v>4.7619047619047616E-2</v>
      </c>
      <c r="I13" s="58">
        <v>7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-3.7166666666666663</v>
      </c>
      <c r="C14" s="126"/>
      <c r="E14" s="27" t="s">
        <v>71</v>
      </c>
      <c r="F14" s="24" t="s">
        <v>26</v>
      </c>
      <c r="G14" s="12">
        <v>1</v>
      </c>
      <c r="H14" s="88">
        <f>IF(B$20=0,0,G14/B$20)</f>
        <v>4.7619047619047616E-2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0.22222222222222221</v>
      </c>
      <c r="E15" s="27" t="s">
        <v>79</v>
      </c>
      <c r="F15" s="24" t="s">
        <v>34</v>
      </c>
      <c r="G15" s="12">
        <v>1</v>
      </c>
      <c r="H15" s="88">
        <f>IF(B$20=0,0,G15/B$20)</f>
        <v>4.7619047619047616E-2</v>
      </c>
      <c r="I15" s="58">
        <v>1</v>
      </c>
      <c r="O15" s="73" t="s">
        <v>216</v>
      </c>
      <c r="P15" s="82">
        <f>IF(Q15=0,0,R15/Q15)</f>
        <v>39.880000000000003</v>
      </c>
      <c r="Q15" s="76">
        <v>5</v>
      </c>
      <c r="R15" s="67">
        <v>199.4</v>
      </c>
    </row>
    <row r="16" spans="1:18" x14ac:dyDescent="0.45">
      <c r="A16" s="22" t="s">
        <v>121</v>
      </c>
      <c r="B16" s="15">
        <v>18</v>
      </c>
      <c r="C16" s="10">
        <f>IF(B$3=0,0,B16/B$3)</f>
        <v>0.23376623376623376</v>
      </c>
      <c r="E16" s="27" t="s">
        <v>81</v>
      </c>
      <c r="F16" s="24" t="s">
        <v>36</v>
      </c>
      <c r="G16" s="12">
        <v>1</v>
      </c>
      <c r="H16" s="88">
        <f>IF(B$20=0,0,G16/B$20)</f>
        <v>4.7619047619047616E-2</v>
      </c>
      <c r="I16" s="58">
        <v>3</v>
      </c>
      <c r="O16" s="74" t="s">
        <v>211</v>
      </c>
      <c r="P16" s="83">
        <f>IF(Q16=0,0,R16/Q16)</f>
        <v>-15.799999999999997</v>
      </c>
      <c r="Q16" s="77">
        <v>2</v>
      </c>
      <c r="R16" s="68">
        <v>-31.599999999999994</v>
      </c>
    </row>
    <row r="17" spans="1:18" x14ac:dyDescent="0.45">
      <c r="A17" s="19" t="s">
        <v>118</v>
      </c>
      <c r="B17" s="12">
        <v>20</v>
      </c>
      <c r="C17" s="6">
        <f>IF(B$3=0,0,B17/B$3)</f>
        <v>0.25974025974025972</v>
      </c>
      <c r="E17" s="27" t="s">
        <v>85</v>
      </c>
      <c r="F17" s="24" t="s">
        <v>40</v>
      </c>
      <c r="G17" s="12">
        <v>1</v>
      </c>
      <c r="H17" s="88">
        <f>IF(B$20=0,0,G17/B$20)</f>
        <v>4.7619047619047616E-2</v>
      </c>
      <c r="I17" s="58">
        <v>1</v>
      </c>
      <c r="O17" s="74" t="s">
        <v>126</v>
      </c>
      <c r="P17" s="83">
        <f>IF(Q17=0,0,R17/Q17)</f>
        <v>-30.628571428571437</v>
      </c>
      <c r="Q17" s="77">
        <v>7</v>
      </c>
      <c r="R17" s="68">
        <v>-214.40000000000006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0.3888888888888889</v>
      </c>
      <c r="E18" s="27" t="s">
        <v>86</v>
      </c>
      <c r="F18" s="24" t="s">
        <v>41</v>
      </c>
      <c r="G18" s="12">
        <v>1</v>
      </c>
      <c r="H18" s="88">
        <f>IF(B$20=0,0,G18/B$20)</f>
        <v>4.7619047619047616E-2</v>
      </c>
      <c r="I18" s="58">
        <v>3</v>
      </c>
      <c r="O18" s="74" t="s">
        <v>192</v>
      </c>
      <c r="P18" s="83">
        <f>IF(Q18=0,0,R18/Q18)</f>
        <v>-40.900000000000006</v>
      </c>
      <c r="Q18" s="77">
        <v>2</v>
      </c>
      <c r="R18" s="68">
        <v>-81.800000000000011</v>
      </c>
    </row>
    <row r="19" spans="1:18" x14ac:dyDescent="0.45">
      <c r="A19" s="18" t="s">
        <v>124</v>
      </c>
      <c r="B19" s="11">
        <f>B25</f>
        <v>8</v>
      </c>
      <c r="C19" s="5">
        <f>IF(B$17=0,0,B19/B$17)</f>
        <v>0.4</v>
      </c>
      <c r="E19" s="27" t="s">
        <v>73</v>
      </c>
      <c r="F19" s="24" t="s">
        <v>28</v>
      </c>
      <c r="G19" s="12">
        <v>0</v>
      </c>
      <c r="H19" s="88">
        <f>IF(B$20=0,0,G19/B$20)</f>
        <v>0</v>
      </c>
      <c r="I19" s="58">
        <v>4</v>
      </c>
      <c r="O19" s="74" t="s">
        <v>189</v>
      </c>
      <c r="P19" s="83">
        <f>IF(Q19=0,0,R19/Q19)</f>
        <v>-67.650000000000006</v>
      </c>
      <c r="Q19" s="77">
        <v>2</v>
      </c>
      <c r="R19" s="68">
        <v>-135.30000000000001</v>
      </c>
    </row>
    <row r="20" spans="1:18" x14ac:dyDescent="0.45">
      <c r="A20" s="18" t="s">
        <v>10</v>
      </c>
      <c r="B20" s="11">
        <f>B23+B22</f>
        <v>21</v>
      </c>
      <c r="C20" s="5">
        <f>IF(B$3=0,0,B20/B$3)</f>
        <v>0.27272727272727271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16</v>
      </c>
      <c r="C21" s="6">
        <f>IF(B$3=0,0,B21/B$3)</f>
        <v>0.20779220779220781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7</v>
      </c>
      <c r="C22" s="6">
        <f>IF(B$20=0,0,B22/B$20)</f>
        <v>0.33333333333333331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14</v>
      </c>
      <c r="C23" s="6">
        <f>IF(B$20=0,0,B23/B$20)</f>
        <v>0.66666666666666663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7</v>
      </c>
      <c r="C24" s="6">
        <f>IF(B$20=0,0,B24/B$20)</f>
        <v>0.33333333333333331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8</v>
      </c>
      <c r="C25" s="6">
        <f>IF(B$20=0,0,B25/B$20)</f>
        <v>0.38095238095238093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6</v>
      </c>
      <c r="C26" s="6">
        <f>IF(B$20=0,0,B26/B$20)</f>
        <v>0.2857142857142857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9561.9047619047615</v>
      </c>
      <c r="C27" s="8">
        <v>200800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9938.461538461539</v>
      </c>
      <c r="C28" s="96">
        <v>129200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8950</v>
      </c>
      <c r="C29" s="96">
        <v>71600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-10887.5</v>
      </c>
      <c r="C30" s="96">
        <v>-174200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7</v>
      </c>
      <c r="C32" s="90">
        <v>2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1.2987012987012988E-2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4.7619047619047616E-2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3</v>
      </c>
      <c r="C38" s="6">
        <f t="shared" si="2"/>
        <v>0.14285714285714285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3</v>
      </c>
      <c r="C39" s="6">
        <f t="shared" si="2"/>
        <v>0.14285714285714285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4</v>
      </c>
      <c r="C40" s="6">
        <f t="shared" si="2"/>
        <v>0.19047619047619047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5</v>
      </c>
      <c r="C41" s="6">
        <f t="shared" si="2"/>
        <v>0.23809523809523808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3</v>
      </c>
      <c r="C42" s="6">
        <f t="shared" si="2"/>
        <v>0.14285714285714285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9.5238095238095233E-2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8EE6D-30F3-4F6F-82EF-D6A2D31845D1}">
  <sheetPr codeName="Sheet1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12</v>
      </c>
      <c r="C2" s="134"/>
      <c r="E2" s="26" t="s">
        <v>72</v>
      </c>
      <c r="F2" s="23" t="s">
        <v>27</v>
      </c>
      <c r="G2" s="11">
        <v>33</v>
      </c>
      <c r="H2" s="87">
        <f>IF(B$20=0,0,G2/B$20)</f>
        <v>0.94285714285714284</v>
      </c>
      <c r="I2" s="57">
        <v>2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158.33333333333334</v>
      </c>
      <c r="Q2" s="76">
        <v>12</v>
      </c>
      <c r="R2" s="63">
        <v>1900</v>
      </c>
    </row>
    <row r="3" spans="1:18" x14ac:dyDescent="0.45">
      <c r="A3" s="19" t="s">
        <v>8</v>
      </c>
      <c r="B3" s="135">
        <v>108</v>
      </c>
      <c r="C3" s="136"/>
      <c r="E3" s="27" t="s">
        <v>66</v>
      </c>
      <c r="F3" s="24" t="s">
        <v>22</v>
      </c>
      <c r="G3" s="12">
        <v>20</v>
      </c>
      <c r="H3" s="88">
        <f>IF(B$20=0,0,G3/B$20)</f>
        <v>0.5714285714285714</v>
      </c>
      <c r="I3" s="58">
        <v>9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-41.666666666666664</v>
      </c>
      <c r="Q3" s="77">
        <v>12</v>
      </c>
      <c r="R3" s="64">
        <v>-500</v>
      </c>
    </row>
    <row r="4" spans="1:18" x14ac:dyDescent="0.45">
      <c r="A4" s="19" t="s">
        <v>6</v>
      </c>
      <c r="B4" s="137">
        <v>69.400000000000006</v>
      </c>
      <c r="C4" s="138"/>
      <c r="E4" s="27" t="s">
        <v>67</v>
      </c>
      <c r="F4" s="24" t="s">
        <v>23</v>
      </c>
      <c r="G4" s="12">
        <v>14</v>
      </c>
      <c r="H4" s="88">
        <f>IF(B$20=0,0,G4/B$20)</f>
        <v>0.4</v>
      </c>
      <c r="I4" s="58">
        <v>2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2375</v>
      </c>
      <c r="Q4" s="77">
        <v>12</v>
      </c>
      <c r="R4" s="64">
        <v>28500</v>
      </c>
    </row>
    <row r="5" spans="1:18" x14ac:dyDescent="0.45">
      <c r="A5" s="19" t="s">
        <v>7</v>
      </c>
      <c r="B5" s="125">
        <f>IF(B$2=0,0,B$4/B$2)</f>
        <v>5.7833333333333341</v>
      </c>
      <c r="C5" s="126"/>
      <c r="E5" s="27" t="s">
        <v>64</v>
      </c>
      <c r="F5" s="24" t="s">
        <v>20</v>
      </c>
      <c r="G5" s="12">
        <v>12</v>
      </c>
      <c r="H5" s="88">
        <f>IF(B$20=0,0,G5/B$20)</f>
        <v>0.34285714285714286</v>
      </c>
      <c r="I5" s="58">
        <v>7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-1858.3333333333333</v>
      </c>
      <c r="Q5" s="77">
        <v>12</v>
      </c>
      <c r="R5" s="64">
        <v>-22300</v>
      </c>
    </row>
    <row r="6" spans="1:18" x14ac:dyDescent="0.45">
      <c r="A6" s="19" t="s">
        <v>196</v>
      </c>
      <c r="B6" s="129">
        <v>1454.8324138941894</v>
      </c>
      <c r="C6" s="130"/>
      <c r="E6" s="27" t="s">
        <v>68</v>
      </c>
      <c r="F6" s="24" t="s">
        <v>12</v>
      </c>
      <c r="G6" s="12">
        <v>11</v>
      </c>
      <c r="H6" s="88">
        <f>IF(B$20=0,0,G6/B$20)</f>
        <v>0.31428571428571428</v>
      </c>
      <c r="I6" s="58">
        <v>4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391.66666666666669</v>
      </c>
      <c r="Q6" s="77">
        <v>12</v>
      </c>
      <c r="R6" s="64">
        <v>4700</v>
      </c>
    </row>
    <row r="7" spans="1:18" x14ac:dyDescent="0.45">
      <c r="A7" s="19" t="s">
        <v>1</v>
      </c>
      <c r="B7" s="139">
        <f>IF(B$2=0,0,(B$8*1+B$9*2+B$10*3)/B$2)</f>
        <v>1.8333333333333333</v>
      </c>
      <c r="C7" s="140"/>
      <c r="E7" s="27" t="s">
        <v>159</v>
      </c>
      <c r="F7" s="24" t="s">
        <v>160</v>
      </c>
      <c r="G7" s="12">
        <v>10</v>
      </c>
      <c r="H7" s="88">
        <f>IF(B$20=0,0,G7/B$20)</f>
        <v>0.2857142857142857</v>
      </c>
      <c r="I7" s="58">
        <v>9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3810</v>
      </c>
      <c r="Q7" s="78">
        <v>10</v>
      </c>
      <c r="R7" s="65">
        <v>38100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0.33333333333333331</v>
      </c>
      <c r="E8" s="27" t="s">
        <v>89</v>
      </c>
      <c r="F8" s="24" t="s">
        <v>44</v>
      </c>
      <c r="G8" s="12">
        <v>7</v>
      </c>
      <c r="H8" s="88">
        <f>IF(B$20=0,0,G8/B$20)</f>
        <v>0.2</v>
      </c>
      <c r="I8" s="58">
        <v>5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0.5</v>
      </c>
      <c r="E9" s="27" t="s">
        <v>70</v>
      </c>
      <c r="F9" s="24" t="s">
        <v>25</v>
      </c>
      <c r="G9" s="12">
        <v>4</v>
      </c>
      <c r="H9" s="88">
        <f>IF(B$20=0,0,G9/B$20)</f>
        <v>0.11428571428571428</v>
      </c>
      <c r="I9" s="58">
        <v>4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0.16666666666666666</v>
      </c>
      <c r="E10" s="27" t="s">
        <v>65</v>
      </c>
      <c r="F10" s="24" t="s">
        <v>21</v>
      </c>
      <c r="G10" s="12">
        <v>3</v>
      </c>
      <c r="H10" s="88">
        <f>IF(B$20=0,0,G10/B$20)</f>
        <v>8.5714285714285715E-2</v>
      </c>
      <c r="I10" s="58">
        <v>4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-2.8250000000000002</v>
      </c>
      <c r="Q10" s="76">
        <v>4</v>
      </c>
      <c r="R10" s="67">
        <v>-11.3</v>
      </c>
    </row>
    <row r="11" spans="1:18" x14ac:dyDescent="0.45">
      <c r="A11" s="20" t="s">
        <v>184</v>
      </c>
      <c r="B11" s="109">
        <f>IF(B8=0,0,C11/B8)</f>
        <v>20.650000000000002</v>
      </c>
      <c r="C11" s="110">
        <v>82.600000000000009</v>
      </c>
      <c r="E11" s="27" t="s">
        <v>83</v>
      </c>
      <c r="F11" s="24" t="s">
        <v>38</v>
      </c>
      <c r="G11" s="12">
        <v>2</v>
      </c>
      <c r="H11" s="88">
        <f>IF(B$20=0,0,G11/B$20)</f>
        <v>5.7142857142857141E-2</v>
      </c>
      <c r="I11" s="58">
        <v>4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7.6000000000000005</v>
      </c>
      <c r="Q11" s="77">
        <v>3</v>
      </c>
      <c r="R11" s="68">
        <v>22.8</v>
      </c>
    </row>
    <row r="12" spans="1:18" x14ac:dyDescent="0.45">
      <c r="A12" s="20" t="s">
        <v>185</v>
      </c>
      <c r="B12" s="109">
        <f>IF(B9=0,0,C12/B9)</f>
        <v>6.833333333333333</v>
      </c>
      <c r="C12" s="110">
        <v>41</v>
      </c>
      <c r="E12" s="27" t="s">
        <v>91</v>
      </c>
      <c r="F12" s="24" t="s">
        <v>46</v>
      </c>
      <c r="G12" s="12">
        <v>2</v>
      </c>
      <c r="H12" s="88">
        <f>IF(B$20=0,0,G12/B$20)</f>
        <v>5.7142857142857141E-2</v>
      </c>
      <c r="I12" s="58">
        <v>1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11.579999999999998</v>
      </c>
      <c r="Q12" s="78">
        <v>5</v>
      </c>
      <c r="R12" s="69">
        <v>57.899999999999991</v>
      </c>
    </row>
    <row r="13" spans="1:18" x14ac:dyDescent="0.45">
      <c r="A13" s="20" t="s">
        <v>186</v>
      </c>
      <c r="B13" s="109">
        <f>IF(B10=0,0,C13/B10)</f>
        <v>-27.1</v>
      </c>
      <c r="C13" s="110">
        <v>-54.2</v>
      </c>
      <c r="E13" s="27" t="s">
        <v>69</v>
      </c>
      <c r="F13" s="24" t="s">
        <v>24</v>
      </c>
      <c r="G13" s="12">
        <v>1</v>
      </c>
      <c r="H13" s="88">
        <f>IF(B$20=0,0,G13/B$20)</f>
        <v>2.8571428571428571E-2</v>
      </c>
      <c r="I13" s="58">
        <v>9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0.12777777777777763</v>
      </c>
      <c r="C14" s="126"/>
      <c r="E14" s="27" t="s">
        <v>71</v>
      </c>
      <c r="F14" s="24" t="s">
        <v>26</v>
      </c>
      <c r="G14" s="12">
        <v>1</v>
      </c>
      <c r="H14" s="88">
        <f>IF(B$20=0,0,G14/B$20)</f>
        <v>2.8571428571428571E-2</v>
      </c>
      <c r="I14" s="58">
        <v>7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79</v>
      </c>
      <c r="F15" s="24" t="s">
        <v>34</v>
      </c>
      <c r="G15" s="12">
        <v>1</v>
      </c>
      <c r="H15" s="88">
        <f>IF(B$20=0,0,G15/B$20)</f>
        <v>2.8571428571428571E-2</v>
      </c>
      <c r="I15" s="58">
        <v>2</v>
      </c>
      <c r="O15" s="73" t="s">
        <v>163</v>
      </c>
      <c r="P15" s="82">
        <f>IF(Q15=0,0,R15/Q15)</f>
        <v>67.650000000000006</v>
      </c>
      <c r="Q15" s="76">
        <v>2</v>
      </c>
      <c r="R15" s="67">
        <v>135.30000000000001</v>
      </c>
    </row>
    <row r="16" spans="1:18" x14ac:dyDescent="0.45">
      <c r="A16" s="22" t="s">
        <v>121</v>
      </c>
      <c r="B16" s="15">
        <v>28</v>
      </c>
      <c r="C16" s="10">
        <f>IF(B$3=0,0,B16/B$3)</f>
        <v>0.25925925925925924</v>
      </c>
      <c r="E16" s="27" t="s">
        <v>86</v>
      </c>
      <c r="F16" s="24" t="s">
        <v>41</v>
      </c>
      <c r="G16" s="12">
        <v>1</v>
      </c>
      <c r="H16" s="88">
        <f>IF(B$20=0,0,G16/B$20)</f>
        <v>2.8571428571428571E-2</v>
      </c>
      <c r="I16" s="58">
        <v>7</v>
      </c>
      <c r="O16" s="74" t="s">
        <v>216</v>
      </c>
      <c r="P16" s="83">
        <f>IF(Q16=0,0,R16/Q16)</f>
        <v>35.5</v>
      </c>
      <c r="Q16" s="77">
        <v>1</v>
      </c>
      <c r="R16" s="68">
        <v>35.5</v>
      </c>
    </row>
    <row r="17" spans="1:18" x14ac:dyDescent="0.45">
      <c r="A17" s="19" t="s">
        <v>118</v>
      </c>
      <c r="B17" s="12">
        <v>38</v>
      </c>
      <c r="C17" s="6">
        <f>IF(B$3=0,0,B17/B$3)</f>
        <v>0.35185185185185186</v>
      </c>
      <c r="E17" s="27" t="s">
        <v>88</v>
      </c>
      <c r="F17" s="24" t="s">
        <v>43</v>
      </c>
      <c r="G17" s="12">
        <v>1</v>
      </c>
      <c r="H17" s="88">
        <f>IF(B$20=0,0,G17/B$20)</f>
        <v>2.8571428571428571E-2</v>
      </c>
      <c r="I17" s="58">
        <v>1</v>
      </c>
      <c r="O17" s="74" t="s">
        <v>190</v>
      </c>
      <c r="P17" s="83">
        <f>IF(Q17=0,0,R17/Q17)</f>
        <v>13.200000000000003</v>
      </c>
      <c r="Q17" s="77">
        <v>2</v>
      </c>
      <c r="R17" s="68">
        <v>26.400000000000006</v>
      </c>
    </row>
    <row r="18" spans="1:18" x14ac:dyDescent="0.45">
      <c r="A18" s="18" t="s">
        <v>123</v>
      </c>
      <c r="B18" s="11">
        <f>B24</f>
        <v>12</v>
      </c>
      <c r="C18" s="5">
        <f>IF(B$16=0,0,B18/B$16)</f>
        <v>0.42857142857142855</v>
      </c>
      <c r="E18" s="27" t="s">
        <v>73</v>
      </c>
      <c r="F18" s="24" t="s">
        <v>28</v>
      </c>
      <c r="G18" s="12">
        <v>0</v>
      </c>
      <c r="H18" s="88">
        <f>IF(B$20=0,0,G18/B$20)</f>
        <v>0</v>
      </c>
      <c r="I18" s="58">
        <v>4</v>
      </c>
      <c r="O18" s="74" t="s">
        <v>126</v>
      </c>
      <c r="P18" s="83">
        <f>IF(Q18=0,0,R18/Q18)</f>
        <v>9.1444444444444439</v>
      </c>
      <c r="Q18" s="77">
        <v>9</v>
      </c>
      <c r="R18" s="68">
        <v>82.3</v>
      </c>
    </row>
    <row r="19" spans="1:18" x14ac:dyDescent="0.45">
      <c r="A19" s="18" t="s">
        <v>124</v>
      </c>
      <c r="B19" s="11">
        <f>B25</f>
        <v>18</v>
      </c>
      <c r="C19" s="5">
        <f>IF(B$17=0,0,B19/B$17)</f>
        <v>0.47368421052631576</v>
      </c>
      <c r="E19" s="27" t="s">
        <v>74</v>
      </c>
      <c r="F19" s="24" t="s">
        <v>29</v>
      </c>
      <c r="G19" s="12">
        <v>0</v>
      </c>
      <c r="H19" s="88">
        <f>IF(B$20=0,0,G19/B$20)</f>
        <v>0</v>
      </c>
      <c r="I19" s="58">
        <v>1</v>
      </c>
      <c r="O19" s="74" t="s">
        <v>211</v>
      </c>
      <c r="P19" s="83">
        <f>IF(Q19=0,0,R19/Q19)</f>
        <v>-1.1499999999999986</v>
      </c>
      <c r="Q19" s="77">
        <v>2</v>
      </c>
      <c r="R19" s="68">
        <v>-2.2999999999999972</v>
      </c>
    </row>
    <row r="20" spans="1:18" x14ac:dyDescent="0.45">
      <c r="A20" s="18" t="s">
        <v>10</v>
      </c>
      <c r="B20" s="11">
        <f>B23+B22</f>
        <v>35</v>
      </c>
      <c r="C20" s="5">
        <f>IF(B$3=0,0,B20/B$3)</f>
        <v>0.32407407407407407</v>
      </c>
      <c r="E20" s="27" t="s">
        <v>75</v>
      </c>
      <c r="F20" s="24" t="s">
        <v>30</v>
      </c>
      <c r="G20" s="12">
        <v>0</v>
      </c>
      <c r="H20" s="88">
        <f>IF(B$20=0,0,G20/B$20)</f>
        <v>0</v>
      </c>
      <c r="I20" s="58">
        <v>3</v>
      </c>
      <c r="O20" s="74" t="s">
        <v>192</v>
      </c>
      <c r="P20" s="83">
        <f>IF(Q20=0,0,R20/Q20)</f>
        <v>-8.625</v>
      </c>
      <c r="Q20" s="77">
        <v>8</v>
      </c>
      <c r="R20" s="68">
        <v>-69</v>
      </c>
    </row>
    <row r="21" spans="1:18" x14ac:dyDescent="0.45">
      <c r="A21" s="19" t="s">
        <v>13</v>
      </c>
      <c r="B21" s="12">
        <v>17</v>
      </c>
      <c r="C21" s="6">
        <f>IF(B$3=0,0,B21/B$3)</f>
        <v>0.15740740740740741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18</v>
      </c>
      <c r="C22" s="6">
        <f>IF(B$20=0,0,B22/B$20)</f>
        <v>0.51428571428571423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</row>
    <row r="23" spans="1:18" x14ac:dyDescent="0.45">
      <c r="A23" s="19" t="s">
        <v>11</v>
      </c>
      <c r="B23" s="12">
        <v>17</v>
      </c>
      <c r="C23" s="6">
        <f>IF(B$20=0,0,B23/B$20)</f>
        <v>0.48571428571428571</v>
      </c>
      <c r="E23" s="27" t="s">
        <v>78</v>
      </c>
      <c r="F23" s="24" t="s">
        <v>33</v>
      </c>
      <c r="G23" s="12">
        <v>0</v>
      </c>
      <c r="H23" s="88">
        <f>IF(B$20=0,0,G23/B$20)</f>
        <v>0</v>
      </c>
      <c r="I23" s="58">
        <v>7</v>
      </c>
    </row>
    <row r="24" spans="1:18" x14ac:dyDescent="0.45">
      <c r="A24" s="19" t="s">
        <v>183</v>
      </c>
      <c r="B24" s="12">
        <v>12</v>
      </c>
      <c r="C24" s="6">
        <f>IF(B$20=0,0,B24/B$20)</f>
        <v>0.34285714285714286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18</v>
      </c>
      <c r="C25" s="6">
        <f>IF(B$20=0,0,B25/B$20)</f>
        <v>0.51428571428571423</v>
      </c>
      <c r="E25" s="27" t="s">
        <v>81</v>
      </c>
      <c r="F25" s="24" t="s">
        <v>36</v>
      </c>
      <c r="G25" s="12">
        <v>0</v>
      </c>
      <c r="H25" s="88">
        <f>IF(B$20=0,0,G25/B$20)</f>
        <v>0</v>
      </c>
      <c r="I25" s="58">
        <v>8</v>
      </c>
    </row>
    <row r="26" spans="1:18" x14ac:dyDescent="0.45">
      <c r="A26" s="19" t="s">
        <v>182</v>
      </c>
      <c r="B26" s="12">
        <v>5</v>
      </c>
      <c r="C26" s="6">
        <f>IF(B$20=0,0,B26/B$20)</f>
        <v>0.14285714285714285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7780</v>
      </c>
      <c r="C27" s="8">
        <v>272300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10111.764705882353</v>
      </c>
      <c r="C28" s="96">
        <v>171900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4</v>
      </c>
    </row>
    <row r="29" spans="1:18" x14ac:dyDescent="0.45">
      <c r="A29" s="20" t="s">
        <v>166</v>
      </c>
      <c r="B29" s="95">
        <f>IF(B$19=0,0,C29/B$19)</f>
        <v>5577.7777777777774</v>
      </c>
      <c r="C29" s="96">
        <v>100400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-7317.6470588235297</v>
      </c>
      <c r="C30" s="96">
        <v>-124400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12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61300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2">IF(B$20=0,0,B37/B$20)</f>
        <v>0.11428571428571428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9</v>
      </c>
      <c r="C38" s="6">
        <f t="shared" si="2"/>
        <v>0.25714285714285712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6</v>
      </c>
      <c r="C39" s="6">
        <f t="shared" si="2"/>
        <v>0.17142857142857143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4</v>
      </c>
      <c r="C40" s="6">
        <f t="shared" si="2"/>
        <v>0.11428571428571428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5.7142857142857141E-2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5.7142857142857141E-2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5.7142857142857141E-2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2.8571428571428571E-2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3</v>
      </c>
      <c r="C45" s="6">
        <f t="shared" si="2"/>
        <v>8.5714285714285715E-2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2</v>
      </c>
      <c r="C46" s="6">
        <f t="shared" si="2"/>
        <v>5.7142857142857141E-2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61932-F086-484A-9207-858207B0267E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6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0.63636363636363635</v>
      </c>
      <c r="I2" s="57">
        <v>7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2116.6666666666665</v>
      </c>
      <c r="Q2" s="76">
        <v>6</v>
      </c>
      <c r="R2" s="63">
        <v>12700</v>
      </c>
    </row>
    <row r="3" spans="1:18" x14ac:dyDescent="0.45">
      <c r="A3" s="19" t="s">
        <v>8</v>
      </c>
      <c r="B3" s="135">
        <v>50</v>
      </c>
      <c r="C3" s="136"/>
      <c r="E3" s="27" t="s">
        <v>159</v>
      </c>
      <c r="F3" s="24" t="s">
        <v>160</v>
      </c>
      <c r="G3" s="12">
        <v>6</v>
      </c>
      <c r="H3" s="88">
        <f>IF(B$20=0,0,G3/B$20)</f>
        <v>0.54545454545454541</v>
      </c>
      <c r="I3" s="58">
        <v>1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-700</v>
      </c>
      <c r="Q3" s="77">
        <v>6</v>
      </c>
      <c r="R3" s="64">
        <v>-4200</v>
      </c>
    </row>
    <row r="4" spans="1:18" x14ac:dyDescent="0.45">
      <c r="A4" s="19" t="s">
        <v>6</v>
      </c>
      <c r="B4" s="137">
        <v>-85.5</v>
      </c>
      <c r="C4" s="138"/>
      <c r="E4" s="27" t="s">
        <v>64</v>
      </c>
      <c r="F4" s="24" t="s">
        <v>20</v>
      </c>
      <c r="G4" s="12">
        <v>5</v>
      </c>
      <c r="H4" s="88">
        <f>IF(B$20=0,0,G4/B$20)</f>
        <v>0.45454545454545453</v>
      </c>
      <c r="I4" s="58">
        <v>2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-1016.6666666666666</v>
      </c>
      <c r="Q4" s="77">
        <v>6</v>
      </c>
      <c r="R4" s="64">
        <v>-6100</v>
      </c>
    </row>
    <row r="5" spans="1:18" x14ac:dyDescent="0.45">
      <c r="A5" s="19" t="s">
        <v>7</v>
      </c>
      <c r="B5" s="125">
        <f>IF(B$2=0,0,B$4/B$2)</f>
        <v>-14.25</v>
      </c>
      <c r="C5" s="126"/>
      <c r="E5" s="27" t="s">
        <v>66</v>
      </c>
      <c r="F5" s="24" t="s">
        <v>22</v>
      </c>
      <c r="G5" s="12">
        <v>4</v>
      </c>
      <c r="H5" s="88">
        <f>IF(B$20=0,0,G5/B$20)</f>
        <v>0.36363636363636365</v>
      </c>
      <c r="I5" s="58">
        <v>11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-5600</v>
      </c>
      <c r="Q5" s="77">
        <v>5</v>
      </c>
      <c r="R5" s="64">
        <v>-28000</v>
      </c>
    </row>
    <row r="6" spans="1:18" x14ac:dyDescent="0.45">
      <c r="A6" s="19" t="s">
        <v>196</v>
      </c>
      <c r="B6" s="129">
        <v>1511.1565284528424</v>
      </c>
      <c r="C6" s="130"/>
      <c r="E6" s="27" t="s">
        <v>69</v>
      </c>
      <c r="F6" s="24" t="s">
        <v>24</v>
      </c>
      <c r="G6" s="12">
        <v>2</v>
      </c>
      <c r="H6" s="88">
        <f>IF(B$20=0,0,G6/B$20)</f>
        <v>0.18181818181818182</v>
      </c>
      <c r="I6" s="58">
        <v>2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-4580</v>
      </c>
      <c r="Q6" s="77">
        <v>5</v>
      </c>
      <c r="R6" s="64">
        <v>-22900</v>
      </c>
    </row>
    <row r="7" spans="1:18" x14ac:dyDescent="0.45">
      <c r="A7" s="19" t="s">
        <v>1</v>
      </c>
      <c r="B7" s="139">
        <f>IF(B$2=0,0,(B$8*1+B$9*2+B$10*3)/B$2)</f>
        <v>2.3333333333333335</v>
      </c>
      <c r="C7" s="140"/>
      <c r="E7" s="27" t="s">
        <v>89</v>
      </c>
      <c r="F7" s="24" t="s">
        <v>44</v>
      </c>
      <c r="G7" s="12">
        <v>2</v>
      </c>
      <c r="H7" s="88">
        <f>IF(B$20=0,0,G7/B$20)</f>
        <v>0.18181818181818182</v>
      </c>
      <c r="I7" s="58">
        <v>6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-3400</v>
      </c>
      <c r="Q7" s="78">
        <v>5</v>
      </c>
      <c r="R7" s="65">
        <v>-17000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67</v>
      </c>
      <c r="F8" s="24" t="s">
        <v>23</v>
      </c>
      <c r="G8" s="12">
        <v>1</v>
      </c>
      <c r="H8" s="88">
        <f>IF(B$20=0,0,G8/B$20)</f>
        <v>9.0909090909090912E-2</v>
      </c>
      <c r="I8" s="58">
        <v>10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5">
      <c r="A9" s="19" t="s">
        <v>3</v>
      </c>
      <c r="B9" s="12">
        <v>4</v>
      </c>
      <c r="C9" s="6">
        <f t="shared" si="1"/>
        <v>0.66666666666666663</v>
      </c>
      <c r="E9" s="27" t="s">
        <v>68</v>
      </c>
      <c r="F9" s="24" t="s">
        <v>12</v>
      </c>
      <c r="G9" s="12">
        <v>1</v>
      </c>
      <c r="H9" s="88">
        <f>IF(B$20=0,0,G9/B$20)</f>
        <v>9.0909090909090912E-2</v>
      </c>
      <c r="I9" s="58">
        <v>11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0.33333333333333331</v>
      </c>
      <c r="E10" s="27" t="s">
        <v>86</v>
      </c>
      <c r="F10" s="24" t="s">
        <v>41</v>
      </c>
      <c r="G10" s="12">
        <v>1</v>
      </c>
      <c r="H10" s="88">
        <f>IF(B$20=0,0,G10/B$20)</f>
        <v>9.0909090909090912E-2</v>
      </c>
      <c r="I10" s="58">
        <v>2</v>
      </c>
      <c r="O10" s="73" t="s">
        <v>151</v>
      </c>
      <c r="P10" s="82">
        <f>IF(Q10=0,0,R10/Q10)</f>
        <v>-15</v>
      </c>
      <c r="Q10" s="76">
        <v>2</v>
      </c>
      <c r="R10" s="67">
        <v>-30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65</v>
      </c>
      <c r="F11" s="24" t="s">
        <v>21</v>
      </c>
      <c r="G11" s="12">
        <v>0</v>
      </c>
      <c r="H11" s="88">
        <f>IF(B$20=0,0,G11/B$20)</f>
        <v>0</v>
      </c>
      <c r="I11" s="58">
        <v>9</v>
      </c>
      <c r="O11" s="74" t="s">
        <v>152</v>
      </c>
      <c r="P11" s="83">
        <f>IF(Q11=0,0,R11/Q11)</f>
        <v>-20.2</v>
      </c>
      <c r="Q11" s="77">
        <v>2</v>
      </c>
      <c r="R11" s="68">
        <v>-40.4</v>
      </c>
    </row>
    <row r="12" spans="1:18" x14ac:dyDescent="0.45">
      <c r="A12" s="20" t="s">
        <v>185</v>
      </c>
      <c r="B12" s="109">
        <f>IF(B9=0,0,C12/B9)</f>
        <v>-3.6999999999999997</v>
      </c>
      <c r="C12" s="110">
        <v>-14.799999999999999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-7.55</v>
      </c>
      <c r="Q12" s="78">
        <v>2</v>
      </c>
      <c r="R12" s="69">
        <v>-15.1</v>
      </c>
    </row>
    <row r="13" spans="1:18" x14ac:dyDescent="0.45">
      <c r="A13" s="20" t="s">
        <v>186</v>
      </c>
      <c r="B13" s="109">
        <f>IF(B10=0,0,C13/B10)</f>
        <v>-35.35</v>
      </c>
      <c r="C13" s="110">
        <v>-70.7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-13.016666666666667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211</v>
      </c>
      <c r="P15" s="82">
        <f>IF(Q15=0,0,R15/Q15)</f>
        <v>-6.5999999999999988</v>
      </c>
      <c r="Q15" s="76">
        <v>3</v>
      </c>
      <c r="R15" s="67">
        <v>-19.799999999999997</v>
      </c>
    </row>
    <row r="16" spans="1:18" x14ac:dyDescent="0.45">
      <c r="A16" s="22" t="s">
        <v>121</v>
      </c>
      <c r="B16" s="15">
        <v>11</v>
      </c>
      <c r="C16" s="10">
        <f>IF(B$3=0,0,B16/B$3)</f>
        <v>0.22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3</v>
      </c>
      <c r="O16" s="74" t="s">
        <v>189</v>
      </c>
      <c r="P16" s="83">
        <f>IF(Q16=0,0,R16/Q16)</f>
        <v>-13.200000000000003</v>
      </c>
      <c r="Q16" s="77">
        <v>2</v>
      </c>
      <c r="R16" s="68">
        <v>-26.400000000000006</v>
      </c>
    </row>
    <row r="17" spans="1:18" x14ac:dyDescent="0.45">
      <c r="A17" s="19" t="s">
        <v>118</v>
      </c>
      <c r="B17" s="12">
        <v>11</v>
      </c>
      <c r="C17" s="6">
        <f>IF(B$3=0,0,B17/B$3)</f>
        <v>0.22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-22</v>
      </c>
      <c r="Q17" s="77">
        <v>3</v>
      </c>
      <c r="R17" s="68">
        <v>-66</v>
      </c>
    </row>
    <row r="18" spans="1:18" x14ac:dyDescent="0.45">
      <c r="A18" s="18" t="s">
        <v>123</v>
      </c>
      <c r="B18" s="11">
        <f>B24</f>
        <v>5</v>
      </c>
      <c r="C18" s="5">
        <f>IF(B$16=0,0,B18/B$16)</f>
        <v>0.45454545454545453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  <c r="O18" s="74" t="s">
        <v>126</v>
      </c>
      <c r="P18" s="83">
        <f>IF(Q18=0,0,R18/Q18)</f>
        <v>-36.075000000000003</v>
      </c>
      <c r="Q18" s="77">
        <v>4</v>
      </c>
      <c r="R18" s="68">
        <v>-144.30000000000001</v>
      </c>
    </row>
    <row r="19" spans="1:18" x14ac:dyDescent="0.45">
      <c r="A19" s="18" t="s">
        <v>124</v>
      </c>
      <c r="B19" s="11">
        <f>B25</f>
        <v>5</v>
      </c>
      <c r="C19" s="5">
        <f>IF(B$17=0,0,B19/B$17)</f>
        <v>0.45454545454545453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7</v>
      </c>
    </row>
    <row r="20" spans="1:18" x14ac:dyDescent="0.45">
      <c r="A20" s="18" t="s">
        <v>10</v>
      </c>
      <c r="B20" s="11">
        <f>B23+B22</f>
        <v>11</v>
      </c>
      <c r="C20" s="5">
        <f>IF(B$3=0,0,B20/B$3)</f>
        <v>0.22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6</v>
      </c>
    </row>
    <row r="21" spans="1:18" x14ac:dyDescent="0.45">
      <c r="A21" s="19" t="s">
        <v>13</v>
      </c>
      <c r="B21" s="12">
        <v>5</v>
      </c>
      <c r="C21" s="6">
        <f>IF(B$3=0,0,B21/B$3)</f>
        <v>0.1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1</v>
      </c>
      <c r="C22" s="6">
        <f>IF(B$20=0,0,B22/B$20)</f>
        <v>9.0909090909090912E-2</v>
      </c>
      <c r="E22" s="27" t="s">
        <v>81</v>
      </c>
      <c r="F22" s="24" t="s">
        <v>36</v>
      </c>
      <c r="G22" s="12">
        <v>0</v>
      </c>
      <c r="H22" s="88">
        <f>IF(B$20=0,0,G22/B$20)</f>
        <v>0</v>
      </c>
      <c r="I22" s="58">
        <v>8</v>
      </c>
    </row>
    <row r="23" spans="1:18" x14ac:dyDescent="0.45">
      <c r="A23" s="19" t="s">
        <v>11</v>
      </c>
      <c r="B23" s="12">
        <v>10</v>
      </c>
      <c r="C23" s="6">
        <f>IF(B$20=0,0,B23/B$20)</f>
        <v>0.90909090909090906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5</v>
      </c>
      <c r="C24" s="6">
        <f>IF(B$20=0,0,B24/B$20)</f>
        <v>0.45454545454545453</v>
      </c>
      <c r="E24" s="27" t="s">
        <v>83</v>
      </c>
      <c r="F24" s="24" t="s">
        <v>38</v>
      </c>
      <c r="G24" s="12">
        <v>0</v>
      </c>
      <c r="H24" s="88">
        <f>IF(B$20=0,0,G24/B$20)</f>
        <v>0</v>
      </c>
      <c r="I24" s="58">
        <v>8</v>
      </c>
    </row>
    <row r="25" spans="1:18" x14ac:dyDescent="0.45">
      <c r="A25" s="19" t="s">
        <v>181</v>
      </c>
      <c r="B25" s="12">
        <v>5</v>
      </c>
      <c r="C25" s="6">
        <f>IF(B$20=0,0,B25/B$20)</f>
        <v>0.45454545454545453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</v>
      </c>
      <c r="C26" s="6">
        <f>IF(B$20=0,0,B26/B$20)</f>
        <v>9.0909090909090912E-2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4</v>
      </c>
    </row>
    <row r="27" spans="1:18" x14ac:dyDescent="0.45">
      <c r="A27" s="19" t="s">
        <v>5</v>
      </c>
      <c r="B27" s="16">
        <f>IF(B$20=0,0,C27/B$20)</f>
        <v>5072.727272727273</v>
      </c>
      <c r="C27" s="8">
        <v>55800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4583.333333333333</v>
      </c>
      <c r="C28" s="96">
        <v>27500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5660</v>
      </c>
      <c r="C29" s="96">
        <v>28300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-3380</v>
      </c>
      <c r="C30" s="96">
        <v>-16900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24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2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38600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4</v>
      </c>
      <c r="C38" s="6">
        <f t="shared" si="2"/>
        <v>0.36363636363636365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4</v>
      </c>
      <c r="C39" s="6">
        <f t="shared" si="2"/>
        <v>0.36363636363636365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3</v>
      </c>
      <c r="C40" s="6">
        <f t="shared" si="2"/>
        <v>0.27272727272727271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8A8F0-FA6C-45C0-A27F-BDE9B1CECFB8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14</v>
      </c>
      <c r="C2" s="134"/>
      <c r="E2" s="26" t="s">
        <v>66</v>
      </c>
      <c r="F2" s="23" t="s">
        <v>22</v>
      </c>
      <c r="G2" s="11">
        <v>38</v>
      </c>
      <c r="H2" s="87">
        <f>IF(B$20=0,0,G2/B$20)</f>
        <v>1.027027027027027</v>
      </c>
      <c r="I2" s="57">
        <v>2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200</v>
      </c>
      <c r="Q2" s="76">
        <v>14</v>
      </c>
      <c r="R2" s="63">
        <v>2800</v>
      </c>
    </row>
    <row r="3" spans="1:18" x14ac:dyDescent="0.45">
      <c r="A3" s="19" t="s">
        <v>8</v>
      </c>
      <c r="B3" s="135">
        <v>105</v>
      </c>
      <c r="C3" s="136"/>
      <c r="E3" s="27" t="s">
        <v>72</v>
      </c>
      <c r="F3" s="24" t="s">
        <v>27</v>
      </c>
      <c r="G3" s="12">
        <v>23</v>
      </c>
      <c r="H3" s="88">
        <f>IF(B$20=0,0,G3/B$20)</f>
        <v>0.6216216216216216</v>
      </c>
      <c r="I3" s="58">
        <v>8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1642.8571428571429</v>
      </c>
      <c r="Q3" s="77">
        <v>14</v>
      </c>
      <c r="R3" s="64">
        <v>23000</v>
      </c>
    </row>
    <row r="4" spans="1:18" x14ac:dyDescent="0.45">
      <c r="A4" s="19" t="s">
        <v>6</v>
      </c>
      <c r="B4" s="137">
        <v>99.300000000000011</v>
      </c>
      <c r="C4" s="138"/>
      <c r="E4" s="27" t="s">
        <v>64</v>
      </c>
      <c r="F4" s="24" t="s">
        <v>20</v>
      </c>
      <c r="G4" s="12">
        <v>16</v>
      </c>
      <c r="H4" s="88">
        <f>IF(B$20=0,0,G4/B$20)</f>
        <v>0.43243243243243246</v>
      </c>
      <c r="I4" s="58">
        <v>4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1121.4285714285713</v>
      </c>
      <c r="Q4" s="77">
        <v>14</v>
      </c>
      <c r="R4" s="64">
        <v>15700</v>
      </c>
    </row>
    <row r="5" spans="1:18" x14ac:dyDescent="0.45">
      <c r="A5" s="19" t="s">
        <v>7</v>
      </c>
      <c r="B5" s="125">
        <f>IF(B$2=0,0,B$4/B$2)</f>
        <v>7.0928571428571434</v>
      </c>
      <c r="C5" s="126"/>
      <c r="E5" s="27" t="s">
        <v>67</v>
      </c>
      <c r="F5" s="24" t="s">
        <v>23</v>
      </c>
      <c r="G5" s="12">
        <v>12</v>
      </c>
      <c r="H5" s="88">
        <f>IF(B$20=0,0,G5/B$20)</f>
        <v>0.32432432432432434</v>
      </c>
      <c r="I5" s="58">
        <v>3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258.33333333333331</v>
      </c>
      <c r="Q5" s="77">
        <v>12</v>
      </c>
      <c r="R5" s="64">
        <v>3100</v>
      </c>
    </row>
    <row r="6" spans="1:18" x14ac:dyDescent="0.45">
      <c r="A6" s="19" t="s">
        <v>196</v>
      </c>
      <c r="B6" s="129">
        <v>1512.415829547685</v>
      </c>
      <c r="C6" s="130"/>
      <c r="E6" s="27" t="s">
        <v>159</v>
      </c>
      <c r="F6" s="24" t="s">
        <v>160</v>
      </c>
      <c r="G6" s="12">
        <v>9</v>
      </c>
      <c r="H6" s="88">
        <f>IF(B$20=0,0,G6/B$20)</f>
        <v>0.24324324324324326</v>
      </c>
      <c r="I6" s="58">
        <v>11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2360</v>
      </c>
      <c r="Q6" s="77">
        <v>10</v>
      </c>
      <c r="R6" s="64">
        <v>23600</v>
      </c>
    </row>
    <row r="7" spans="1:18" x14ac:dyDescent="0.45">
      <c r="A7" s="19" t="s">
        <v>1</v>
      </c>
      <c r="B7" s="139">
        <f>IF(B$2=0,0,(B$8*1+B$9*2+B$10*3)/B$2)</f>
        <v>1.9285714285714286</v>
      </c>
      <c r="C7" s="140"/>
      <c r="E7" s="27" t="s">
        <v>68</v>
      </c>
      <c r="F7" s="24" t="s">
        <v>12</v>
      </c>
      <c r="G7" s="12">
        <v>7</v>
      </c>
      <c r="H7" s="88">
        <f>IF(B$20=0,0,G7/B$20)</f>
        <v>0.1891891891891892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1918.1818181818182</v>
      </c>
      <c r="Q7" s="78">
        <v>11</v>
      </c>
      <c r="R7" s="65">
        <v>21100</v>
      </c>
    </row>
    <row r="8" spans="1:18" x14ac:dyDescent="0.45">
      <c r="A8" s="19" t="s">
        <v>2</v>
      </c>
      <c r="B8" s="12">
        <v>6</v>
      </c>
      <c r="C8" s="6">
        <f t="shared" ref="C8:C15" si="1">IF(B$2=0,0,B8/B$2)</f>
        <v>0.42857142857142855</v>
      </c>
      <c r="E8" s="27" t="s">
        <v>69</v>
      </c>
      <c r="F8" s="24" t="s">
        <v>24</v>
      </c>
      <c r="G8" s="12">
        <v>5</v>
      </c>
      <c r="H8" s="88">
        <f>IF(B$20=0,0,G8/B$20)</f>
        <v>0.13513513513513514</v>
      </c>
      <c r="I8" s="58">
        <v>5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3</v>
      </c>
      <c r="C9" s="6">
        <f t="shared" si="1"/>
        <v>0.21428571428571427</v>
      </c>
      <c r="E9" s="27" t="s">
        <v>89</v>
      </c>
      <c r="F9" s="24" t="s">
        <v>44</v>
      </c>
      <c r="G9" s="12">
        <v>5</v>
      </c>
      <c r="H9" s="88">
        <f>IF(B$20=0,0,G9/B$20)</f>
        <v>0.13513513513513514</v>
      </c>
      <c r="I9" s="58">
        <v>9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0.35714285714285715</v>
      </c>
      <c r="E10" s="27" t="s">
        <v>71</v>
      </c>
      <c r="F10" s="24" t="s">
        <v>26</v>
      </c>
      <c r="G10" s="12">
        <v>3</v>
      </c>
      <c r="H10" s="88">
        <f>IF(B$20=0,0,G10/B$20)</f>
        <v>8.1081081081081086E-2</v>
      </c>
      <c r="I10" s="58">
        <v>2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-7.4</v>
      </c>
      <c r="Q10" s="76">
        <v>4</v>
      </c>
      <c r="R10" s="67">
        <v>-29.6</v>
      </c>
    </row>
    <row r="11" spans="1:18" x14ac:dyDescent="0.45">
      <c r="A11" s="20" t="s">
        <v>184</v>
      </c>
      <c r="B11" s="109">
        <f>IF(B8=0,0,C11/B8)</f>
        <v>36.066666666666663</v>
      </c>
      <c r="C11" s="110">
        <v>216.39999999999998</v>
      </c>
      <c r="E11" s="27" t="s">
        <v>81</v>
      </c>
      <c r="F11" s="24" t="s">
        <v>36</v>
      </c>
      <c r="G11" s="12">
        <v>2</v>
      </c>
      <c r="H11" s="88">
        <f>IF(B$20=0,0,G11/B$20)</f>
        <v>5.4054054054054057E-2</v>
      </c>
      <c r="I11" s="58">
        <v>2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5.7400000000000011</v>
      </c>
      <c r="Q11" s="77">
        <v>5</v>
      </c>
      <c r="R11" s="68">
        <v>28.700000000000006</v>
      </c>
    </row>
    <row r="12" spans="1:18" x14ac:dyDescent="0.45">
      <c r="A12" s="20" t="s">
        <v>185</v>
      </c>
      <c r="B12" s="109">
        <f>IF(B9=0,0,C12/B9)</f>
        <v>8.7999999999999989</v>
      </c>
      <c r="C12" s="110">
        <v>26.4</v>
      </c>
      <c r="E12" s="27" t="s">
        <v>83</v>
      </c>
      <c r="F12" s="24" t="s">
        <v>38</v>
      </c>
      <c r="G12" s="12">
        <v>2</v>
      </c>
      <c r="H12" s="88">
        <f>IF(B$20=0,0,G12/B$20)</f>
        <v>5.4054054054054057E-2</v>
      </c>
      <c r="I12" s="58">
        <v>5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20.04</v>
      </c>
      <c r="Q12" s="78">
        <v>5</v>
      </c>
      <c r="R12" s="69">
        <v>100.2</v>
      </c>
    </row>
    <row r="13" spans="1:18" x14ac:dyDescent="0.45">
      <c r="A13" s="20" t="s">
        <v>186</v>
      </c>
      <c r="B13" s="109">
        <f>IF(B10=0,0,C13/B10)</f>
        <v>-28.7</v>
      </c>
      <c r="C13" s="110">
        <v>-143.5</v>
      </c>
      <c r="E13" s="27" t="s">
        <v>91</v>
      </c>
      <c r="F13" s="24" t="s">
        <v>46</v>
      </c>
      <c r="G13" s="12">
        <v>2</v>
      </c>
      <c r="H13" s="88">
        <f>IF(B$20=0,0,G13/B$20)</f>
        <v>5.4054054054054057E-2</v>
      </c>
      <c r="I13" s="58">
        <v>2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5.3888888888888866</v>
      </c>
      <c r="C14" s="126"/>
      <c r="E14" s="27" t="s">
        <v>65</v>
      </c>
      <c r="F14" s="24" t="s">
        <v>21</v>
      </c>
      <c r="G14" s="12">
        <v>1</v>
      </c>
      <c r="H14" s="88">
        <f>IF(B$20=0,0,G14/B$20)</f>
        <v>2.7027027027027029E-2</v>
      </c>
      <c r="I14" s="58">
        <v>8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7.1428571428571425E-2</v>
      </c>
      <c r="E15" s="27" t="s">
        <v>70</v>
      </c>
      <c r="F15" s="24" t="s">
        <v>25</v>
      </c>
      <c r="G15" s="12">
        <v>1</v>
      </c>
      <c r="H15" s="88">
        <f>IF(B$20=0,0,G15/B$20)</f>
        <v>2.7027027027027029E-2</v>
      </c>
      <c r="I15" s="58">
        <v>8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 t="shared" ref="P15:P23" si="2"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26</v>
      </c>
      <c r="C16" s="10">
        <f>IF(B$3=0,0,B16/B$3)</f>
        <v>0.24761904761904763</v>
      </c>
      <c r="E16" s="27" t="s">
        <v>73</v>
      </c>
      <c r="F16" s="24" t="s">
        <v>28</v>
      </c>
      <c r="G16" s="12">
        <v>1</v>
      </c>
      <c r="H16" s="88">
        <f>IF(B$20=0,0,G16/B$20)</f>
        <v>2.7027027027027029E-2</v>
      </c>
      <c r="I16" s="58">
        <v>1</v>
      </c>
      <c r="K16" s="74">
        <v>14</v>
      </c>
      <c r="L16" s="119">
        <v>99.300000000000011</v>
      </c>
      <c r="M16" s="117">
        <v>1512.415829547685</v>
      </c>
      <c r="O16" s="74" t="s">
        <v>192</v>
      </c>
      <c r="P16" s="83">
        <f t="shared" si="2"/>
        <v>16.2</v>
      </c>
      <c r="Q16" s="77">
        <v>1</v>
      </c>
      <c r="R16" s="68">
        <v>16.2</v>
      </c>
    </row>
    <row r="17" spans="1:18" x14ac:dyDescent="0.45">
      <c r="A17" s="19" t="s">
        <v>118</v>
      </c>
      <c r="B17" s="12">
        <v>27</v>
      </c>
      <c r="C17" s="6">
        <f>IF(B$3=0,0,B17/B$3)</f>
        <v>0.25714285714285712</v>
      </c>
      <c r="E17" s="27" t="s">
        <v>75</v>
      </c>
      <c r="F17" s="24" t="s">
        <v>30</v>
      </c>
      <c r="G17" s="12">
        <v>1</v>
      </c>
      <c r="H17" s="88">
        <f>IF(B$20=0,0,G17/B$20)</f>
        <v>2.7027027027027029E-2</v>
      </c>
      <c r="I17" s="58">
        <v>1</v>
      </c>
      <c r="O17" s="74" t="s">
        <v>221</v>
      </c>
      <c r="P17" s="83">
        <f t="shared" si="2"/>
        <v>16.2</v>
      </c>
      <c r="Q17" s="77">
        <v>1</v>
      </c>
      <c r="R17" s="68">
        <v>16.2</v>
      </c>
    </row>
    <row r="18" spans="1:18" x14ac:dyDescent="0.45">
      <c r="A18" s="18" t="s">
        <v>123</v>
      </c>
      <c r="B18" s="11">
        <f>B24</f>
        <v>16</v>
      </c>
      <c r="C18" s="5">
        <f>IF(B$16=0,0,B18/B$16)</f>
        <v>0.61538461538461542</v>
      </c>
      <c r="E18" s="27" t="s">
        <v>78</v>
      </c>
      <c r="F18" s="24" t="s">
        <v>33</v>
      </c>
      <c r="G18" s="12">
        <v>1</v>
      </c>
      <c r="H18" s="88">
        <f>IF(B$20=0,0,G18/B$20)</f>
        <v>2.7027027027027029E-2</v>
      </c>
      <c r="I18" s="58">
        <v>4</v>
      </c>
      <c r="O18" s="74" t="s">
        <v>216</v>
      </c>
      <c r="P18" s="83">
        <f t="shared" si="2"/>
        <v>15.922222222222224</v>
      </c>
      <c r="Q18" s="77">
        <v>9</v>
      </c>
      <c r="R18" s="68">
        <v>143.30000000000001</v>
      </c>
    </row>
    <row r="19" spans="1:18" x14ac:dyDescent="0.45">
      <c r="A19" s="18" t="s">
        <v>124</v>
      </c>
      <c r="B19" s="11">
        <f>B25</f>
        <v>16</v>
      </c>
      <c r="C19" s="5">
        <f>IF(B$17=0,0,B19/B$17)</f>
        <v>0.59259259259259256</v>
      </c>
      <c r="E19" s="27" t="s">
        <v>86</v>
      </c>
      <c r="F19" s="24" t="s">
        <v>41</v>
      </c>
      <c r="G19" s="12">
        <v>1</v>
      </c>
      <c r="H19" s="88">
        <f>IF(B$20=0,0,G19/B$20)</f>
        <v>2.7027027027027029E-2</v>
      </c>
      <c r="I19" s="58">
        <v>8</v>
      </c>
      <c r="O19" s="74" t="s">
        <v>163</v>
      </c>
      <c r="P19" s="83">
        <f t="shared" si="2"/>
        <v>15.799999999999997</v>
      </c>
      <c r="Q19" s="77">
        <v>2</v>
      </c>
      <c r="R19" s="68">
        <v>31.599999999999994</v>
      </c>
    </row>
    <row r="20" spans="1:18" x14ac:dyDescent="0.45">
      <c r="A20" s="18" t="s">
        <v>10</v>
      </c>
      <c r="B20" s="11">
        <f>B23+B22</f>
        <v>37</v>
      </c>
      <c r="C20" s="5">
        <f>IF(B$3=0,0,B20/B$3)</f>
        <v>0.35238095238095241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O20" s="74" t="s">
        <v>190</v>
      </c>
      <c r="P20" s="83">
        <f t="shared" si="2"/>
        <v>6.5999999999999988</v>
      </c>
      <c r="Q20" s="77">
        <v>3</v>
      </c>
      <c r="R20" s="68">
        <v>19.799999999999997</v>
      </c>
    </row>
    <row r="21" spans="1:18" x14ac:dyDescent="0.45">
      <c r="A21" s="19" t="s">
        <v>13</v>
      </c>
      <c r="B21" s="12">
        <v>17</v>
      </c>
      <c r="C21" s="6">
        <f>IF(B$3=0,0,B21/B$3)</f>
        <v>0.16190476190476191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O21" s="74" t="s">
        <v>126</v>
      </c>
      <c r="P21" s="83">
        <f t="shared" si="2"/>
        <v>5.5</v>
      </c>
      <c r="Q21" s="77">
        <v>7</v>
      </c>
      <c r="R21" s="68">
        <v>38.5</v>
      </c>
    </row>
    <row r="22" spans="1:18" x14ac:dyDescent="0.45">
      <c r="A22" s="19" t="s">
        <v>12</v>
      </c>
      <c r="B22" s="12">
        <v>15</v>
      </c>
      <c r="C22" s="6">
        <f>IF(B$20=0,0,B22/B$20)</f>
        <v>0.40540540540540543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O22" s="74" t="s">
        <v>189</v>
      </c>
      <c r="P22" s="83">
        <f t="shared" si="2"/>
        <v>1.1499999999999986</v>
      </c>
      <c r="Q22" s="77">
        <v>2</v>
      </c>
      <c r="R22" s="68">
        <v>2.2999999999999972</v>
      </c>
    </row>
    <row r="23" spans="1:18" x14ac:dyDescent="0.45">
      <c r="A23" s="19" t="s">
        <v>11</v>
      </c>
      <c r="B23" s="12">
        <v>22</v>
      </c>
      <c r="C23" s="6">
        <f>IF(B$20=0,0,B23/B$20)</f>
        <v>0.59459459459459463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6</v>
      </c>
      <c r="O23" s="74" t="s">
        <v>193</v>
      </c>
      <c r="P23" s="83">
        <f t="shared" si="2"/>
        <v>-7.1999999999999993</v>
      </c>
      <c r="Q23" s="77">
        <v>2</v>
      </c>
      <c r="R23" s="68">
        <v>-14.399999999999999</v>
      </c>
    </row>
    <row r="24" spans="1:18" x14ac:dyDescent="0.45">
      <c r="A24" s="19" t="s">
        <v>183</v>
      </c>
      <c r="B24" s="12">
        <v>16</v>
      </c>
      <c r="C24" s="6">
        <f>IF(B$20=0,0,B24/B$20)</f>
        <v>0.43243243243243246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16</v>
      </c>
      <c r="C25" s="6">
        <f>IF(B$20=0,0,B25/B$20)</f>
        <v>0.43243243243243246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5</v>
      </c>
      <c r="C26" s="6">
        <f>IF(B$20=0,0,B26/B$20)</f>
        <v>0.13513513513513514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7913.5135135135133</v>
      </c>
      <c r="C27" s="8">
        <v>292800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4</v>
      </c>
    </row>
    <row r="28" spans="1:18" x14ac:dyDescent="0.45">
      <c r="A28" s="20" t="s">
        <v>165</v>
      </c>
      <c r="B28" s="95">
        <f>IF($B$20-B$19=0,0,C28/($B$20-B$19))</f>
        <v>8776.1904761904771</v>
      </c>
      <c r="C28" s="96">
        <v>184300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6781.25</v>
      </c>
      <c r="C29" s="96">
        <v>108500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-7394.1176470588234</v>
      </c>
      <c r="C30" s="96">
        <v>-125700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30</v>
      </c>
      <c r="C32" s="90">
        <v>2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9.5238095238095247E-3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2</v>
      </c>
      <c r="C37" s="98">
        <f t="shared" ref="C37:C49" si="3">IF(B$20=0,0,B37/B$20)</f>
        <v>5.4054054054054057E-2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9</v>
      </c>
      <c r="C38" s="6">
        <f t="shared" si="3"/>
        <v>0.24324324324324326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7</v>
      </c>
      <c r="C39" s="6">
        <f t="shared" si="3"/>
        <v>0.1891891891891892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7</v>
      </c>
      <c r="C40" s="6">
        <f t="shared" si="3"/>
        <v>0.1891891891891892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3"/>
        <v>5.4054054054054057E-2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5</v>
      </c>
      <c r="C42" s="6">
        <f t="shared" si="3"/>
        <v>0.13513513513513514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5.4054054054054057E-2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2.7027027027027029E-2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3"/>
        <v>2.7027027027027029E-2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1</v>
      </c>
      <c r="C47" s="6">
        <f t="shared" si="3"/>
        <v>2.7027027027027029E-2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80429-7021-4BBA-AB92-584BFC1C21D0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15</v>
      </c>
      <c r="C2" s="134"/>
      <c r="E2" s="26" t="s">
        <v>66</v>
      </c>
      <c r="F2" s="23" t="s">
        <v>22</v>
      </c>
      <c r="G2" s="11">
        <v>35</v>
      </c>
      <c r="H2" s="87">
        <f>IF(B$20=0,0,G2/B$20)</f>
        <v>0.81395348837209303</v>
      </c>
      <c r="I2" s="57">
        <v>3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480</v>
      </c>
      <c r="Q2" s="76">
        <v>15</v>
      </c>
      <c r="R2" s="63">
        <v>7200</v>
      </c>
    </row>
    <row r="3" spans="1:18" x14ac:dyDescent="0.45">
      <c r="A3" s="19" t="s">
        <v>8</v>
      </c>
      <c r="B3" s="135">
        <v>136</v>
      </c>
      <c r="C3" s="136"/>
      <c r="E3" s="27" t="s">
        <v>72</v>
      </c>
      <c r="F3" s="24" t="s">
        <v>27</v>
      </c>
      <c r="G3" s="12">
        <v>23</v>
      </c>
      <c r="H3" s="88">
        <f>IF(B$20=0,0,G3/B$20)</f>
        <v>0.53488372093023251</v>
      </c>
      <c r="I3" s="58">
        <v>10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-878.57142857142856</v>
      </c>
      <c r="Q3" s="77">
        <v>14</v>
      </c>
      <c r="R3" s="64">
        <v>-12300</v>
      </c>
    </row>
    <row r="4" spans="1:18" x14ac:dyDescent="0.45">
      <c r="A4" s="19" t="s">
        <v>6</v>
      </c>
      <c r="B4" s="137">
        <v>22.500000000000004</v>
      </c>
      <c r="C4" s="138"/>
      <c r="E4" s="27" t="s">
        <v>159</v>
      </c>
      <c r="F4" s="24" t="s">
        <v>160</v>
      </c>
      <c r="G4" s="12">
        <v>22</v>
      </c>
      <c r="H4" s="88">
        <f>IF(B$20=0,0,G4/B$20)</f>
        <v>0.51162790697674421</v>
      </c>
      <c r="I4" s="58">
        <v>2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1328.5714285714287</v>
      </c>
      <c r="Q4" s="77">
        <v>14</v>
      </c>
      <c r="R4" s="64">
        <v>18600</v>
      </c>
    </row>
    <row r="5" spans="1:18" x14ac:dyDescent="0.45">
      <c r="A5" s="19" t="s">
        <v>7</v>
      </c>
      <c r="B5" s="125">
        <f>IF(B$2=0,0,B$4/B$2)</f>
        <v>1.5000000000000002</v>
      </c>
      <c r="C5" s="126"/>
      <c r="E5" s="27" t="s">
        <v>64</v>
      </c>
      <c r="F5" s="24" t="s">
        <v>20</v>
      </c>
      <c r="G5" s="12">
        <v>14</v>
      </c>
      <c r="H5" s="88">
        <f>IF(B$20=0,0,G5/B$20)</f>
        <v>0.32558139534883723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1428.5714285714287</v>
      </c>
      <c r="Q5" s="77">
        <v>14</v>
      </c>
      <c r="R5" s="64">
        <v>20000</v>
      </c>
    </row>
    <row r="6" spans="1:18" x14ac:dyDescent="0.45">
      <c r="A6" s="19" t="s">
        <v>196</v>
      </c>
      <c r="B6" s="129">
        <v>1526.5944319692035</v>
      </c>
      <c r="C6" s="130"/>
      <c r="E6" s="27" t="s">
        <v>68</v>
      </c>
      <c r="F6" s="24" t="s">
        <v>12</v>
      </c>
      <c r="G6" s="12">
        <v>14</v>
      </c>
      <c r="H6" s="88">
        <f>IF(B$20=0,0,G6/B$20)</f>
        <v>0.32558139534883723</v>
      </c>
      <c r="I6" s="58">
        <v>3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592.85714285714289</v>
      </c>
      <c r="Q6" s="77">
        <v>14</v>
      </c>
      <c r="R6" s="64">
        <v>8300</v>
      </c>
    </row>
    <row r="7" spans="1:18" x14ac:dyDescent="0.45">
      <c r="A7" s="19" t="s">
        <v>1</v>
      </c>
      <c r="B7" s="139">
        <f>IF(B$2=0,0,(B$8*1+B$9*2+B$10*3)/B$2)</f>
        <v>1.8666666666666667</v>
      </c>
      <c r="C7" s="140"/>
      <c r="E7" s="27" t="s">
        <v>70</v>
      </c>
      <c r="F7" s="24" t="s">
        <v>25</v>
      </c>
      <c r="G7" s="12">
        <v>8</v>
      </c>
      <c r="H7" s="88">
        <f>IF(B$20=0,0,G7/B$20)</f>
        <v>0.18604651162790697</v>
      </c>
      <c r="I7" s="58">
        <v>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-1146.1538461538462</v>
      </c>
      <c r="Q7" s="78">
        <v>13</v>
      </c>
      <c r="R7" s="65">
        <v>-14900</v>
      </c>
    </row>
    <row r="8" spans="1:18" x14ac:dyDescent="0.45">
      <c r="A8" s="19" t="s">
        <v>2</v>
      </c>
      <c r="B8" s="12">
        <v>5</v>
      </c>
      <c r="C8" s="6">
        <f t="shared" ref="C8:C15" si="1">IF(B$2=0,0,B8/B$2)</f>
        <v>0.33333333333333331</v>
      </c>
      <c r="E8" s="27" t="s">
        <v>67</v>
      </c>
      <c r="F8" s="24" t="s">
        <v>23</v>
      </c>
      <c r="G8" s="12">
        <v>5</v>
      </c>
      <c r="H8" s="88">
        <f>IF(B$20=0,0,G8/B$20)</f>
        <v>0.11627906976744186</v>
      </c>
      <c r="I8" s="58">
        <v>9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0.46666666666666667</v>
      </c>
      <c r="E9" s="27" t="s">
        <v>71</v>
      </c>
      <c r="F9" s="24" t="s">
        <v>26</v>
      </c>
      <c r="G9" s="12">
        <v>5</v>
      </c>
      <c r="H9" s="88">
        <f>IF(B$20=0,0,G9/B$20)</f>
        <v>0.11627906976744186</v>
      </c>
      <c r="I9" s="58">
        <v>1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</v>
      </c>
      <c r="C10" s="7">
        <f t="shared" si="1"/>
        <v>0.2</v>
      </c>
      <c r="E10" s="27" t="s">
        <v>89</v>
      </c>
      <c r="F10" s="24" t="s">
        <v>44</v>
      </c>
      <c r="G10" s="12">
        <v>5</v>
      </c>
      <c r="H10" s="88">
        <f>IF(B$20=0,0,G10/B$20)</f>
        <v>0.11627906976744186</v>
      </c>
      <c r="I10" s="58">
        <v>10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-2.2875000000000001</v>
      </c>
      <c r="Q10" s="76">
        <v>8</v>
      </c>
      <c r="R10" s="67">
        <v>-18.3</v>
      </c>
    </row>
    <row r="11" spans="1:18" x14ac:dyDescent="0.45">
      <c r="A11" s="20" t="s">
        <v>184</v>
      </c>
      <c r="B11" s="109">
        <f>IF(B8=0,0,C11/B8)</f>
        <v>28.1</v>
      </c>
      <c r="C11" s="110">
        <v>140.5</v>
      </c>
      <c r="E11" s="27" t="s">
        <v>69</v>
      </c>
      <c r="F11" s="24" t="s">
        <v>24</v>
      </c>
      <c r="G11" s="12">
        <v>4</v>
      </c>
      <c r="H11" s="88">
        <f>IF(B$20=0,0,G11/B$20)</f>
        <v>9.3023255813953487E-2</v>
      </c>
      <c r="I11" s="58">
        <v>7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2</v>
      </c>
      <c r="Q11" s="77">
        <v>5</v>
      </c>
      <c r="R11" s="68">
        <v>10</v>
      </c>
    </row>
    <row r="12" spans="1:18" x14ac:dyDescent="0.45">
      <c r="A12" s="20" t="s">
        <v>185</v>
      </c>
      <c r="B12" s="109">
        <f>IF(B9=0,0,C12/B9)</f>
        <v>-3.157142857142857</v>
      </c>
      <c r="C12" s="110">
        <v>-22.099999999999998</v>
      </c>
      <c r="E12" s="27" t="s">
        <v>78</v>
      </c>
      <c r="F12" s="24" t="s">
        <v>33</v>
      </c>
      <c r="G12" s="12">
        <v>2</v>
      </c>
      <c r="H12" s="88">
        <f>IF(B$20=0,0,G12/B$20)</f>
        <v>4.6511627906976744E-2</v>
      </c>
      <c r="I12" s="58">
        <v>3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15.4</v>
      </c>
      <c r="Q12" s="78">
        <v>2</v>
      </c>
      <c r="R12" s="69">
        <v>30.8</v>
      </c>
    </row>
    <row r="13" spans="1:18" x14ac:dyDescent="0.45">
      <c r="A13" s="20" t="s">
        <v>186</v>
      </c>
      <c r="B13" s="109">
        <f>IF(B10=0,0,C13/B10)</f>
        <v>-31.966666666666669</v>
      </c>
      <c r="C13" s="110">
        <v>-95.9</v>
      </c>
      <c r="E13" s="27" t="s">
        <v>86</v>
      </c>
      <c r="F13" s="24" t="s">
        <v>41</v>
      </c>
      <c r="G13" s="12">
        <v>2</v>
      </c>
      <c r="H13" s="88">
        <f>IF(B$20=0,0,G13/B$20)</f>
        <v>4.6511627906976744E-2</v>
      </c>
      <c r="I13" s="58">
        <v>4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-2.3412698412698418</v>
      </c>
      <c r="C14" s="126"/>
      <c r="E14" s="27" t="s">
        <v>73</v>
      </c>
      <c r="F14" s="24" t="s">
        <v>28</v>
      </c>
      <c r="G14" s="12">
        <v>1</v>
      </c>
      <c r="H14" s="88">
        <f>IF(B$20=0,0,G14/B$20)</f>
        <v>2.3255813953488372E-2</v>
      </c>
      <c r="I14" s="58">
        <v>2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6.6666666666666666E-2</v>
      </c>
      <c r="E15" s="27" t="s">
        <v>79</v>
      </c>
      <c r="F15" s="24" t="s">
        <v>34</v>
      </c>
      <c r="G15" s="12">
        <v>1</v>
      </c>
      <c r="H15" s="88">
        <f>IF(B$20=0,0,G15/B$20)</f>
        <v>2.3255813953488372E-2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163</v>
      </c>
      <c r="P15" s="82">
        <f>IF(Q15=0,0,R15/Q15)</f>
        <v>40.900000000000006</v>
      </c>
      <c r="Q15" s="76">
        <v>2</v>
      </c>
      <c r="R15" s="67">
        <v>81.800000000000011</v>
      </c>
    </row>
    <row r="16" spans="1:18" x14ac:dyDescent="0.45">
      <c r="A16" s="22" t="s">
        <v>121</v>
      </c>
      <c r="B16" s="15">
        <v>30</v>
      </c>
      <c r="C16" s="10">
        <f>IF(B$3=0,0,B16/B$3)</f>
        <v>0.22058823529411764</v>
      </c>
      <c r="E16" s="27" t="s">
        <v>81</v>
      </c>
      <c r="F16" s="24" t="s">
        <v>36</v>
      </c>
      <c r="G16" s="12">
        <v>1</v>
      </c>
      <c r="H16" s="88">
        <f>IF(B$20=0,0,G16/B$20)</f>
        <v>2.3255813953488372E-2</v>
      </c>
      <c r="I16" s="58">
        <v>7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>IF(Q16=0,0,R16/Q16)</f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36</v>
      </c>
      <c r="C17" s="6">
        <f>IF(B$3=0,0,B17/B$3)</f>
        <v>0.26470588235294118</v>
      </c>
      <c r="E17" s="27" t="s">
        <v>83</v>
      </c>
      <c r="F17" s="24" t="s">
        <v>38</v>
      </c>
      <c r="G17" s="12">
        <v>1</v>
      </c>
      <c r="H17" s="88">
        <f>IF(B$20=0,0,G17/B$20)</f>
        <v>2.3255813953488372E-2</v>
      </c>
      <c r="I17" s="58">
        <v>7</v>
      </c>
      <c r="K17" s="74">
        <v>15</v>
      </c>
      <c r="L17" s="119">
        <v>22.500000000000004</v>
      </c>
      <c r="M17" s="117">
        <v>1526.5944319692035</v>
      </c>
      <c r="O17" s="74" t="s">
        <v>190</v>
      </c>
      <c r="P17" s="83">
        <f>IF(Q17=0,0,R17/Q17)</f>
        <v>22</v>
      </c>
      <c r="Q17" s="77">
        <v>3</v>
      </c>
      <c r="R17" s="68">
        <v>66</v>
      </c>
    </row>
    <row r="18" spans="1:18" x14ac:dyDescent="0.45">
      <c r="A18" s="18" t="s">
        <v>123</v>
      </c>
      <c r="B18" s="11">
        <f>B24</f>
        <v>15</v>
      </c>
      <c r="C18" s="5">
        <f>IF(B$16=0,0,B18/B$16)</f>
        <v>0.5</v>
      </c>
      <c r="E18" s="27" t="s">
        <v>155</v>
      </c>
      <c r="F18" s="24" t="s">
        <v>156</v>
      </c>
      <c r="G18" s="12">
        <v>1</v>
      </c>
      <c r="H18" s="88">
        <f>IF(B$20=0,0,G18/B$20)</f>
        <v>2.3255813953488372E-2</v>
      </c>
      <c r="I18" s="58">
        <v>2</v>
      </c>
      <c r="O18" s="74" t="s">
        <v>221</v>
      </c>
      <c r="P18" s="83">
        <f>IF(Q18=0,0,R18/Q18)</f>
        <v>17</v>
      </c>
      <c r="Q18" s="77">
        <v>1</v>
      </c>
      <c r="R18" s="68">
        <v>17</v>
      </c>
    </row>
    <row r="19" spans="1:18" x14ac:dyDescent="0.45">
      <c r="A19" s="18" t="s">
        <v>124</v>
      </c>
      <c r="B19" s="11">
        <f>B25</f>
        <v>15</v>
      </c>
      <c r="C19" s="5">
        <f>IF(B$17=0,0,B19/B$17)</f>
        <v>0.41666666666666669</v>
      </c>
      <c r="E19" s="27" t="s">
        <v>65</v>
      </c>
      <c r="F19" s="24" t="s">
        <v>21</v>
      </c>
      <c r="G19" s="12">
        <v>0</v>
      </c>
      <c r="H19" s="88">
        <f>IF(B$20=0,0,G19/B$20)</f>
        <v>0</v>
      </c>
      <c r="I19" s="58">
        <v>9</v>
      </c>
      <c r="O19" s="74" t="s">
        <v>189</v>
      </c>
      <c r="P19" s="83">
        <f>IF(Q19=0,0,R19/Q19)</f>
        <v>8.625</v>
      </c>
      <c r="Q19" s="77">
        <v>8</v>
      </c>
      <c r="R19" s="68">
        <v>69</v>
      </c>
    </row>
    <row r="20" spans="1:18" x14ac:dyDescent="0.45">
      <c r="A20" s="18" t="s">
        <v>10</v>
      </c>
      <c r="B20" s="11">
        <f>B23+B22</f>
        <v>43</v>
      </c>
      <c r="C20" s="5">
        <f>IF(B$3=0,0,B20/B$3)</f>
        <v>0.31617647058823528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O20" s="74" t="s">
        <v>195</v>
      </c>
      <c r="P20" s="83">
        <f>IF(Q20=0,0,R20/Q20)</f>
        <v>-8.7333333333333343</v>
      </c>
      <c r="Q20" s="77">
        <v>3</v>
      </c>
      <c r="R20" s="68">
        <v>-26.200000000000003</v>
      </c>
    </row>
    <row r="21" spans="1:18" x14ac:dyDescent="0.45">
      <c r="A21" s="19" t="s">
        <v>13</v>
      </c>
      <c r="B21" s="12">
        <v>21</v>
      </c>
      <c r="C21" s="6">
        <f>IF(B$3=0,0,B21/B$3)</f>
        <v>0.15441176470588236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3</v>
      </c>
      <c r="O21" s="74" t="s">
        <v>126</v>
      </c>
      <c r="P21" s="83">
        <f>IF(Q21=0,0,R21/Q21)</f>
        <v>-14.454545454545455</v>
      </c>
      <c r="Q21" s="77">
        <v>11</v>
      </c>
      <c r="R21" s="68">
        <v>-159</v>
      </c>
    </row>
    <row r="22" spans="1:18" x14ac:dyDescent="0.45">
      <c r="A22" s="19" t="s">
        <v>12</v>
      </c>
      <c r="B22" s="12">
        <v>17</v>
      </c>
      <c r="C22" s="6">
        <f>IF(B$20=0,0,B22/B$20)</f>
        <v>0.39534883720930231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  <c r="O22" s="74" t="s">
        <v>211</v>
      </c>
      <c r="P22" s="83">
        <f>IF(Q22=0,0,R22/Q22)</f>
        <v>-16.2</v>
      </c>
      <c r="Q22" s="77">
        <v>1</v>
      </c>
      <c r="R22" s="68">
        <v>-16.2</v>
      </c>
    </row>
    <row r="23" spans="1:18" x14ac:dyDescent="0.45">
      <c r="A23" s="19" t="s">
        <v>11</v>
      </c>
      <c r="B23" s="12">
        <v>26</v>
      </c>
      <c r="C23" s="6">
        <f>IF(B$20=0,0,B23/B$20)</f>
        <v>0.60465116279069764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15</v>
      </c>
      <c r="C24" s="6">
        <f>IF(B$20=0,0,B24/B$20)</f>
        <v>0.34883720930232559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15</v>
      </c>
      <c r="C25" s="6">
        <f>IF(B$20=0,0,B25/B$20)</f>
        <v>0.34883720930232559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13</v>
      </c>
      <c r="C26" s="6">
        <f>IF(B$20=0,0,B26/B$20)</f>
        <v>0.30232558139534882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6951.1627906976746</v>
      </c>
      <c r="C27" s="8">
        <v>298900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4</v>
      </c>
    </row>
    <row r="28" spans="1:18" x14ac:dyDescent="0.45">
      <c r="A28" s="20" t="s">
        <v>165</v>
      </c>
      <c r="B28" s="95">
        <f>IF($B$20-B$19=0,0,C28/($B$20-B$19))</f>
        <v>8578.5714285714294</v>
      </c>
      <c r="C28" s="96">
        <v>240200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3913.3333333333335</v>
      </c>
      <c r="C29" s="96">
        <v>58700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-6771.4285714285716</v>
      </c>
      <c r="C30" s="96">
        <v>-142200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1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5</v>
      </c>
    </row>
    <row r="32" spans="1:18" x14ac:dyDescent="0.45">
      <c r="A32" s="19" t="s">
        <v>158</v>
      </c>
      <c r="B32" s="12">
        <v>14</v>
      </c>
      <c r="C32" s="90">
        <v>8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67700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2">IF(B$20=0,0,B37/B$20)</f>
        <v>9.3023255813953487E-2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11</v>
      </c>
      <c r="C38" s="6">
        <f t="shared" si="2"/>
        <v>0.2558139534883721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8</v>
      </c>
      <c r="C39" s="6">
        <f t="shared" si="2"/>
        <v>0.18604651162790697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2"/>
        <v>0.13953488372093023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8</v>
      </c>
      <c r="C41" s="6">
        <f t="shared" si="2"/>
        <v>0.18604651162790697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2"/>
        <v>2.3255813953488372E-2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3</v>
      </c>
      <c r="C43" s="6">
        <f t="shared" si="2"/>
        <v>6.9767441860465115E-2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4.6511627906976744E-2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8A4D8-66F1-4065-8671-3A944C93982C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14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0.6</v>
      </c>
      <c r="I2" s="57">
        <v>8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-1221.4285714285713</v>
      </c>
      <c r="Q2" s="76">
        <v>14</v>
      </c>
      <c r="R2" s="63">
        <v>-17100</v>
      </c>
    </row>
    <row r="3" spans="1:18" x14ac:dyDescent="0.45">
      <c r="A3" s="19" t="s">
        <v>8</v>
      </c>
      <c r="B3" s="135">
        <v>111</v>
      </c>
      <c r="C3" s="136"/>
      <c r="E3" s="27" t="s">
        <v>72</v>
      </c>
      <c r="F3" s="24" t="s">
        <v>27</v>
      </c>
      <c r="G3" s="12">
        <v>14</v>
      </c>
      <c r="H3" s="88">
        <f>IF(B$20=0,0,G3/B$20)</f>
        <v>0.56000000000000005</v>
      </c>
      <c r="I3" s="58">
        <v>9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-907.14285714285711</v>
      </c>
      <c r="Q3" s="77">
        <v>14</v>
      </c>
      <c r="R3" s="64">
        <v>-12700</v>
      </c>
    </row>
    <row r="4" spans="1:18" x14ac:dyDescent="0.45">
      <c r="A4" s="19" t="s">
        <v>6</v>
      </c>
      <c r="B4" s="137">
        <v>-95.6</v>
      </c>
      <c r="C4" s="138"/>
      <c r="E4" s="27" t="s">
        <v>64</v>
      </c>
      <c r="F4" s="24" t="s">
        <v>20</v>
      </c>
      <c r="G4" s="12">
        <v>11</v>
      </c>
      <c r="H4" s="88">
        <f>IF(B$20=0,0,G4/B$20)</f>
        <v>0.44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-4335.7142857142853</v>
      </c>
      <c r="Q4" s="77">
        <v>14</v>
      </c>
      <c r="R4" s="64">
        <v>-60700</v>
      </c>
    </row>
    <row r="5" spans="1:18" x14ac:dyDescent="0.45">
      <c r="A5" s="19" t="s">
        <v>7</v>
      </c>
      <c r="B5" s="125">
        <f>IF(B$2=0,0,B$4/B$2)</f>
        <v>-6.8285714285714283</v>
      </c>
      <c r="C5" s="126"/>
      <c r="E5" s="27" t="s">
        <v>159</v>
      </c>
      <c r="F5" s="24" t="s">
        <v>160</v>
      </c>
      <c r="G5" s="12">
        <v>9</v>
      </c>
      <c r="H5" s="88">
        <f>IF(B$20=0,0,G5/B$20)</f>
        <v>0.36</v>
      </c>
      <c r="I5" s="58">
        <v>7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-161.53846153846155</v>
      </c>
      <c r="Q5" s="77">
        <v>13</v>
      </c>
      <c r="R5" s="64">
        <v>-2100</v>
      </c>
    </row>
    <row r="6" spans="1:18" x14ac:dyDescent="0.45">
      <c r="A6" s="19" t="s">
        <v>196</v>
      </c>
      <c r="B6" s="129">
        <v>1488.317150804671</v>
      </c>
      <c r="C6" s="130"/>
      <c r="E6" s="27" t="s">
        <v>68</v>
      </c>
      <c r="F6" s="24" t="s">
        <v>12</v>
      </c>
      <c r="G6" s="12">
        <v>6</v>
      </c>
      <c r="H6" s="88">
        <f>IF(B$20=0,0,G6/B$20)</f>
        <v>0.24</v>
      </c>
      <c r="I6" s="58">
        <v>8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-581.81818181818187</v>
      </c>
      <c r="Q6" s="77">
        <v>11</v>
      </c>
      <c r="R6" s="64">
        <v>-6400</v>
      </c>
    </row>
    <row r="7" spans="1:18" x14ac:dyDescent="0.45">
      <c r="A7" s="19" t="s">
        <v>1</v>
      </c>
      <c r="B7" s="139">
        <f>IF(B$2=0,0,(B$8*1+B$9*2+B$10*3)/B$2)</f>
        <v>2.1428571428571428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0.24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2945.4545454545455</v>
      </c>
      <c r="Q7" s="78">
        <v>11</v>
      </c>
      <c r="R7" s="65">
        <v>32400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0.2857142857142857</v>
      </c>
      <c r="E8" s="27" t="s">
        <v>65</v>
      </c>
      <c r="F8" s="24" t="s">
        <v>21</v>
      </c>
      <c r="G8" s="12">
        <v>4</v>
      </c>
      <c r="H8" s="88">
        <f>IF(B$20=0,0,G8/B$20)</f>
        <v>0.16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4</v>
      </c>
      <c r="C9" s="6">
        <f t="shared" si="1"/>
        <v>0.2857142857142857</v>
      </c>
      <c r="E9" s="27" t="s">
        <v>67</v>
      </c>
      <c r="F9" s="24" t="s">
        <v>23</v>
      </c>
      <c r="G9" s="12">
        <v>3</v>
      </c>
      <c r="H9" s="88">
        <f>IF(B$20=0,0,G9/B$20)</f>
        <v>0.12</v>
      </c>
      <c r="I9" s="58">
        <v>8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6</v>
      </c>
      <c r="C10" s="7">
        <f t="shared" si="1"/>
        <v>0.42857142857142855</v>
      </c>
      <c r="E10" s="27" t="s">
        <v>70</v>
      </c>
      <c r="F10" s="24" t="s">
        <v>25</v>
      </c>
      <c r="G10" s="12">
        <v>3</v>
      </c>
      <c r="H10" s="88">
        <f>IF(B$20=0,0,G10/B$20)</f>
        <v>0.12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-15.66</v>
      </c>
      <c r="Q10" s="76">
        <v>5</v>
      </c>
      <c r="R10" s="67">
        <v>-78.3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0.12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-17.133333333333333</v>
      </c>
      <c r="Q11" s="77">
        <v>3</v>
      </c>
      <c r="R11" s="68">
        <v>-51.4</v>
      </c>
    </row>
    <row r="12" spans="1:18" x14ac:dyDescent="0.45">
      <c r="A12" s="20" t="s">
        <v>185</v>
      </c>
      <c r="B12" s="109">
        <f>IF(B9=0,0,C12/B9)</f>
        <v>-3.6750000000000003</v>
      </c>
      <c r="C12" s="110">
        <v>-14.700000000000001</v>
      </c>
      <c r="E12" s="27" t="s">
        <v>69</v>
      </c>
      <c r="F12" s="24" t="s">
        <v>24</v>
      </c>
      <c r="G12" s="12">
        <v>2</v>
      </c>
      <c r="H12" s="88">
        <f>IF(B$20=0,0,G12/B$20)</f>
        <v>0.08</v>
      </c>
      <c r="I12" s="58">
        <v>8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5">
      <c r="A13" s="20" t="s">
        <v>186</v>
      </c>
      <c r="B13" s="109">
        <f>IF(B10=0,0,C13/B10)</f>
        <v>-39.4</v>
      </c>
      <c r="C13" s="110">
        <v>-236.4</v>
      </c>
      <c r="E13" s="27" t="s">
        <v>71</v>
      </c>
      <c r="F13" s="24" t="s">
        <v>26</v>
      </c>
      <c r="G13" s="12">
        <v>2</v>
      </c>
      <c r="H13" s="88">
        <f>IF(B$20=0,0,G13/B$20)</f>
        <v>0.08</v>
      </c>
      <c r="I13" s="58">
        <v>3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-1.3999999999999986</v>
      </c>
      <c r="C14" s="126"/>
      <c r="E14" s="27" t="s">
        <v>77</v>
      </c>
      <c r="F14" s="24" t="s">
        <v>32</v>
      </c>
      <c r="G14" s="12">
        <v>1</v>
      </c>
      <c r="H14" s="88">
        <f>IF(B$20=0,0,G14/B$20)</f>
        <v>0.04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7.1428571428571425E-2</v>
      </c>
      <c r="E15" s="27" t="s">
        <v>81</v>
      </c>
      <c r="F15" s="24" t="s">
        <v>36</v>
      </c>
      <c r="G15" s="12">
        <v>1</v>
      </c>
      <c r="H15" s="88">
        <f>IF(B$20=0,0,G15/B$20)</f>
        <v>0.04</v>
      </c>
      <c r="I15" s="58">
        <v>5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26</v>
      </c>
      <c r="C16" s="10">
        <f>IF(B$3=0,0,B16/B$3)</f>
        <v>0.23423423423423423</v>
      </c>
      <c r="E16" s="27" t="s">
        <v>85</v>
      </c>
      <c r="F16" s="24" t="s">
        <v>40</v>
      </c>
      <c r="G16" s="12">
        <v>1</v>
      </c>
      <c r="H16" s="88">
        <f>IF(B$20=0,0,G16/B$20)</f>
        <v>0.04</v>
      </c>
      <c r="I16" s="58">
        <v>2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1.85</v>
      </c>
      <c r="Q16" s="77">
        <v>8</v>
      </c>
      <c r="R16" s="68">
        <v>14.8</v>
      </c>
    </row>
    <row r="17" spans="1:18" x14ac:dyDescent="0.45">
      <c r="A17" s="19" t="s">
        <v>118</v>
      </c>
      <c r="B17" s="12">
        <v>23</v>
      </c>
      <c r="C17" s="6">
        <f>IF(B$3=0,0,B17/B$3)</f>
        <v>0.2072072072072072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4</v>
      </c>
      <c r="O17" s="74" t="s">
        <v>211</v>
      </c>
      <c r="P17" s="83">
        <f t="shared" si="2"/>
        <v>-15.922222222222224</v>
      </c>
      <c r="Q17" s="77">
        <v>9</v>
      </c>
      <c r="R17" s="68">
        <v>-143.30000000000001</v>
      </c>
    </row>
    <row r="18" spans="1:18" x14ac:dyDescent="0.45">
      <c r="A18" s="18" t="s">
        <v>123</v>
      </c>
      <c r="B18" s="11">
        <f>B24</f>
        <v>12</v>
      </c>
      <c r="C18" s="5">
        <f>IF(B$16=0,0,B18/B$16)</f>
        <v>0.46153846153846156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0.30434782608695654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5">
      <c r="A20" s="18" t="s">
        <v>10</v>
      </c>
      <c r="B20" s="11">
        <f>B23+B22</f>
        <v>25</v>
      </c>
      <c r="C20" s="5">
        <f>IF(B$3=0,0,B20/B$3)</f>
        <v>0.22522522522522523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O20" s="74" t="s">
        <v>163</v>
      </c>
      <c r="P20" s="83">
        <f t="shared" si="2"/>
        <v>-39.880000000000003</v>
      </c>
      <c r="Q20" s="77">
        <v>5</v>
      </c>
      <c r="R20" s="68">
        <v>-199.4</v>
      </c>
    </row>
    <row r="21" spans="1:18" x14ac:dyDescent="0.45">
      <c r="A21" s="19" t="s">
        <v>13</v>
      </c>
      <c r="B21" s="12">
        <v>24</v>
      </c>
      <c r="C21" s="6">
        <f>IF(B$3=0,0,B21/B$3)</f>
        <v>0.21621621621621623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11</v>
      </c>
      <c r="C22" s="6">
        <f>IF(B$20=0,0,B22/B$20)</f>
        <v>0.44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6</v>
      </c>
    </row>
    <row r="23" spans="1:18" x14ac:dyDescent="0.45">
      <c r="A23" s="19" t="s">
        <v>11</v>
      </c>
      <c r="B23" s="12">
        <v>14</v>
      </c>
      <c r="C23" s="6">
        <f>IF(B$20=0,0,B23/B$20)</f>
        <v>0.56000000000000005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12</v>
      </c>
      <c r="C24" s="6">
        <f>IF(B$20=0,0,B24/B$20)</f>
        <v>0.48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0.28000000000000003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8</v>
      </c>
    </row>
    <row r="26" spans="1:18" x14ac:dyDescent="0.45">
      <c r="A26" s="19" t="s">
        <v>182</v>
      </c>
      <c r="B26" s="12">
        <v>6</v>
      </c>
      <c r="C26" s="6">
        <f>IF(B$20=0,0,B26/B$20)</f>
        <v>0.24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7796</v>
      </c>
      <c r="C27" s="8">
        <v>194900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8922.2222222222226</v>
      </c>
      <c r="C28" s="96">
        <v>160600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-7654.166666666667</v>
      </c>
      <c r="C30" s="96">
        <v>-183700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17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3">IF(B$20=0,0,B37/B$20)</f>
        <v>0.16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5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3"/>
        <v>0.04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3"/>
        <v>0.24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3"/>
        <v>0.12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3</v>
      </c>
      <c r="C42" s="6">
        <f t="shared" si="3"/>
        <v>0.12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0.08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0.04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B7337-B732-481C-BCDC-9DDD0191F648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3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4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5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7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3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4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3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7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6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4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517A7-529C-46FA-98F6-6849C97F6826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64</v>
      </c>
      <c r="F2" s="23" t="s">
        <v>20</v>
      </c>
      <c r="G2" s="11">
        <v>7</v>
      </c>
      <c r="H2" s="87">
        <f>IF(B$20=0,0,G2/B$20)</f>
        <v>0.77777777777777779</v>
      </c>
      <c r="I2" s="57">
        <v>1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-6700</v>
      </c>
      <c r="Q2" s="76">
        <v>4</v>
      </c>
      <c r="R2" s="63">
        <v>-26800</v>
      </c>
    </row>
    <row r="3" spans="1:18" x14ac:dyDescent="0.45">
      <c r="A3" s="19" t="s">
        <v>8</v>
      </c>
      <c r="B3" s="135">
        <v>36</v>
      </c>
      <c r="C3" s="136"/>
      <c r="E3" s="27" t="s">
        <v>67</v>
      </c>
      <c r="F3" s="24" t="s">
        <v>23</v>
      </c>
      <c r="G3" s="12">
        <v>7</v>
      </c>
      <c r="H3" s="88">
        <f>IF(B$20=0,0,G3/B$20)</f>
        <v>0.77777777777777779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1925</v>
      </c>
      <c r="Q3" s="77">
        <v>4</v>
      </c>
      <c r="R3" s="64">
        <v>7700</v>
      </c>
    </row>
    <row r="4" spans="1:18" x14ac:dyDescent="0.45">
      <c r="A4" s="19" t="s">
        <v>6</v>
      </c>
      <c r="B4" s="137">
        <v>-14.699999999999996</v>
      </c>
      <c r="C4" s="138"/>
      <c r="E4" s="27" t="s">
        <v>68</v>
      </c>
      <c r="F4" s="24" t="s">
        <v>12</v>
      </c>
      <c r="G4" s="12">
        <v>7</v>
      </c>
      <c r="H4" s="88">
        <f>IF(B$20=0,0,G4/B$20)</f>
        <v>0.77777777777777779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-1950</v>
      </c>
      <c r="Q4" s="77">
        <v>4</v>
      </c>
      <c r="R4" s="64">
        <v>-7800</v>
      </c>
    </row>
    <row r="5" spans="1:18" x14ac:dyDescent="0.45">
      <c r="A5" s="19" t="s">
        <v>7</v>
      </c>
      <c r="B5" s="125">
        <f>IF(B$2=0,0,B$4/B$2)</f>
        <v>-3.6749999999999989</v>
      </c>
      <c r="C5" s="126"/>
      <c r="E5" s="27" t="s">
        <v>66</v>
      </c>
      <c r="F5" s="24" t="s">
        <v>22</v>
      </c>
      <c r="G5" s="12">
        <v>5</v>
      </c>
      <c r="H5" s="88">
        <f>IF(B$20=0,0,G5/B$20)</f>
        <v>0.55555555555555558</v>
      </c>
      <c r="I5" s="58">
        <v>10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-2375</v>
      </c>
      <c r="Q5" s="77">
        <v>4</v>
      </c>
      <c r="R5" s="64">
        <v>-9500</v>
      </c>
    </row>
    <row r="6" spans="1:18" x14ac:dyDescent="0.45">
      <c r="A6" s="19" t="s">
        <v>196</v>
      </c>
      <c r="B6" s="129">
        <v>1393.6019525837494</v>
      </c>
      <c r="C6" s="130"/>
      <c r="E6" s="27" t="s">
        <v>159</v>
      </c>
      <c r="F6" s="24" t="s">
        <v>160</v>
      </c>
      <c r="G6" s="12">
        <v>4</v>
      </c>
      <c r="H6" s="88">
        <f>IF(B$20=0,0,G6/B$20)</f>
        <v>0.44444444444444442</v>
      </c>
      <c r="I6" s="58">
        <v>3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1300</v>
      </c>
      <c r="Q6" s="77">
        <v>4</v>
      </c>
      <c r="R6" s="64">
        <v>5200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69</v>
      </c>
      <c r="F7" s="24" t="s">
        <v>24</v>
      </c>
      <c r="G7" s="12">
        <v>3</v>
      </c>
      <c r="H7" s="88">
        <f>IF(B$20=0,0,G7/B$20)</f>
        <v>0.33333333333333331</v>
      </c>
      <c r="I7" s="58">
        <v>1</v>
      </c>
      <c r="O7" s="75" t="s">
        <v>133</v>
      </c>
      <c r="P7" s="81">
        <f t="shared" si="0"/>
        <v>4125</v>
      </c>
      <c r="Q7" s="78">
        <v>4</v>
      </c>
      <c r="R7" s="65">
        <v>16500</v>
      </c>
    </row>
    <row r="8" spans="1:18" x14ac:dyDescent="0.45">
      <c r="A8" s="19" t="s">
        <v>2</v>
      </c>
      <c r="B8" s="12">
        <v>2</v>
      </c>
      <c r="C8" s="6">
        <f t="shared" ref="C8:C15" si="1">IF(B$2=0,0,B8/B$2)</f>
        <v>0.5</v>
      </c>
      <c r="E8" s="27" t="s">
        <v>72</v>
      </c>
      <c r="F8" s="24" t="s">
        <v>27</v>
      </c>
      <c r="G8" s="12">
        <v>3</v>
      </c>
      <c r="H8" s="88">
        <f>IF(B$20=0,0,G8/B$20)</f>
        <v>0.33333333333333331</v>
      </c>
      <c r="I8" s="58">
        <v>11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2</v>
      </c>
      <c r="H9" s="88">
        <f>IF(B$20=0,0,G9/B$20)</f>
        <v>0.22222222222222221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70</v>
      </c>
      <c r="F10" s="24" t="s">
        <v>25</v>
      </c>
      <c r="G10" s="12">
        <v>1</v>
      </c>
      <c r="H10" s="88">
        <f>IF(B$20=0,0,G10/B$20)</f>
        <v>0.1111111111111111</v>
      </c>
      <c r="I10" s="58">
        <v>6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21.15</v>
      </c>
      <c r="C11" s="110">
        <v>42.3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8</v>
      </c>
      <c r="O11" s="74" t="s">
        <v>152</v>
      </c>
      <c r="P11" s="83">
        <f>IF(Q11=0,0,R11/Q11)</f>
        <v>18</v>
      </c>
      <c r="Q11" s="77">
        <v>1</v>
      </c>
      <c r="R11" s="68">
        <v>18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4</v>
      </c>
      <c r="O12" s="75" t="s">
        <v>153</v>
      </c>
      <c r="P12" s="84">
        <f>IF(Q12=0,0,R12/Q12)</f>
        <v>-4.2499999999999982</v>
      </c>
      <c r="Q12" s="78">
        <v>2</v>
      </c>
      <c r="R12" s="69">
        <v>-8.4999999999999964</v>
      </c>
    </row>
    <row r="13" spans="1:18" x14ac:dyDescent="0.45">
      <c r="A13" s="20" t="s">
        <v>186</v>
      </c>
      <c r="B13" s="109">
        <f>IF(B10=0,0,C13/B10)</f>
        <v>-28.5</v>
      </c>
      <c r="C13" s="110">
        <v>-57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-2.4500000000000006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192</v>
      </c>
      <c r="P15" s="82">
        <f>IF(Q15=0,0,R15/Q15)</f>
        <v>8.7333333333333307</v>
      </c>
      <c r="Q15" s="76">
        <v>3</v>
      </c>
      <c r="R15" s="67">
        <v>26.199999999999992</v>
      </c>
    </row>
    <row r="16" spans="1:18" x14ac:dyDescent="0.45">
      <c r="A16" s="22" t="s">
        <v>121</v>
      </c>
      <c r="B16" s="15">
        <v>9</v>
      </c>
      <c r="C16" s="10">
        <f>IF(B$3=0,0,B16/B$3)</f>
        <v>0.25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221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5">
      <c r="A17" s="19" t="s">
        <v>118</v>
      </c>
      <c r="B17" s="12">
        <v>2</v>
      </c>
      <c r="C17" s="6">
        <f>IF(B$3=0,0,B17/B$3)</f>
        <v>5.5555555555555552E-2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7</v>
      </c>
      <c r="O17" s="74" t="s">
        <v>126</v>
      </c>
      <c r="P17" s="83">
        <f>IF(Q17=0,0,R17/Q17)</f>
        <v>-16.600000000000001</v>
      </c>
      <c r="Q17" s="77">
        <v>2</v>
      </c>
      <c r="R17" s="68">
        <v>-33.200000000000003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0.77777777777777779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6</v>
      </c>
      <c r="O18" s="74" t="s">
        <v>211</v>
      </c>
      <c r="P18" s="83">
        <f>IF(Q18=0,0,R18/Q18)</f>
        <v>-44.4</v>
      </c>
      <c r="Q18" s="77">
        <v>1</v>
      </c>
      <c r="R18" s="68">
        <v>-44.4</v>
      </c>
    </row>
    <row r="19" spans="1:18" x14ac:dyDescent="0.45">
      <c r="A19" s="18" t="s">
        <v>124</v>
      </c>
      <c r="B19" s="11">
        <f>B25</f>
        <v>1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18" x14ac:dyDescent="0.45">
      <c r="A20" s="18" t="s">
        <v>10</v>
      </c>
      <c r="B20" s="11">
        <f>B23+B22</f>
        <v>9</v>
      </c>
      <c r="C20" s="5">
        <f>IF(B$3=0,0,B20/B$3)</f>
        <v>0.25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8</v>
      </c>
    </row>
    <row r="21" spans="1:18" x14ac:dyDescent="0.45">
      <c r="A21" s="19" t="s">
        <v>13</v>
      </c>
      <c r="B21" s="12">
        <v>5</v>
      </c>
      <c r="C21" s="6">
        <f>IF(B$3=0,0,B21/B$3)</f>
        <v>0.1388888888888889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7</v>
      </c>
      <c r="C22" s="6">
        <f>IF(B$20=0,0,B22/B$20)</f>
        <v>0.77777777777777779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8</v>
      </c>
    </row>
    <row r="23" spans="1:18" x14ac:dyDescent="0.45">
      <c r="A23" s="19" t="s">
        <v>11</v>
      </c>
      <c r="B23" s="12">
        <v>2</v>
      </c>
      <c r="C23" s="6">
        <f>IF(B$20=0,0,B23/B$20)</f>
        <v>0.22222222222222221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7</v>
      </c>
      <c r="C24" s="6">
        <f>IF(B$20=0,0,B24/B$20)</f>
        <v>0.77777777777777779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4</v>
      </c>
    </row>
    <row r="25" spans="1:18" x14ac:dyDescent="0.45">
      <c r="A25" s="19" t="s">
        <v>181</v>
      </c>
      <c r="B25" s="12">
        <v>1</v>
      </c>
      <c r="C25" s="6">
        <f>IF(B$20=0,0,B25/B$20)</f>
        <v>0.1111111111111111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1</v>
      </c>
      <c r="C26" s="6">
        <f>IF(B$20=0,0,B26/B$20)</f>
        <v>0.1111111111111111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9022.2222222222226</v>
      </c>
      <c r="C27" s="8">
        <v>81200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3</v>
      </c>
    </row>
    <row r="28" spans="1:18" x14ac:dyDescent="0.45">
      <c r="A28" s="20" t="s">
        <v>165</v>
      </c>
      <c r="B28" s="95">
        <f>IF($B$20-B$19=0,0,C28/($B$20-B$19))</f>
        <v>9662.5</v>
      </c>
      <c r="C28" s="96">
        <v>77300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11</v>
      </c>
    </row>
    <row r="29" spans="1:18" x14ac:dyDescent="0.45">
      <c r="A29" s="20" t="s">
        <v>166</v>
      </c>
      <c r="B29" s="95">
        <f>IF(B$19=0,0,C29/B$19)</f>
        <v>3900</v>
      </c>
      <c r="C29" s="96">
        <v>3900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-6380</v>
      </c>
      <c r="C30" s="96">
        <v>-31900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15</v>
      </c>
      <c r="C32" s="90">
        <v>15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49300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3</v>
      </c>
      <c r="C39" s="6">
        <f t="shared" si="2"/>
        <v>0.33333333333333331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0.22222222222222221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C95C-7928-41FC-B669-D02C4371DCB5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5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10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9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3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6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8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8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4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72DA5-5989-40D6-9942-FA8A5E8A8D24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99A6B-9880-471F-91AA-7259CCDF848D}">
  <sheetPr codeName="Sheet24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CD64E-D050-4222-9B08-81C57BFA0514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556F9-25F3-42A6-B240-1A513059A042}">
  <sheetPr codeName="Sheet20"/>
  <dimension ref="A1:Q1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5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5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5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2FFD6-E801-46E9-A179-8814EC4B3AF5}">
  <sheetPr codeName="Sheet18"/>
  <dimension ref="A1:Q1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5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5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5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AE0CC-F9A2-4176-BF3D-1C9536E1A718}">
  <sheetPr codeName="Sheet16"/>
  <dimension ref="A1:Q1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F3CDE-2C84-4E21-ACE9-56309F5081DE}">
  <sheetPr codeName="Sheet14"/>
  <dimension ref="A1:Q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5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5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5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3000F-B06E-4780-8A79-81882495F5F0}">
  <sheetPr codeName="Sheet12"/>
  <dimension ref="A1:Q1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5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5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8DCBB-E625-4CB5-B0BB-FCE9D7E0EDCF}">
  <sheetPr codeName="Sheet10"/>
  <dimension ref="A1:Q1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5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5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5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E9CF-D540-4DB5-A3F7-FE1E1F6CD9F2}">
  <sheetPr codeName="Sheet8"/>
  <dimension ref="A1:Q2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5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5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5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5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7BD2B-8A0C-4235-AA36-553BA60DC65B}">
  <sheetPr codeName="Sheet6"/>
  <dimension ref="A1:Q3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5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5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5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5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5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5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2020-10-15T08:51:41Z</dcterms:modified>
</cp:coreProperties>
</file>