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C9525E8F-A209-4D7C-9957-074199AE57D8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852" l="1"/>
  <c r="P19" i="6856"/>
  <c r="P15" i="6866" l="1"/>
  <c r="P21" i="6852"/>
  <c r="P17" i="6854" l="1"/>
  <c r="P18" i="6856"/>
  <c r="P21" i="6860"/>
  <c r="P15" i="6856"/>
  <c r="P19" i="6862" l="1"/>
  <c r="P15" i="6854"/>
  <c r="P17" i="6866" l="1"/>
  <c r="P20" i="6850"/>
  <c r="P21" i="6858" l="1"/>
  <c r="P19" i="6854"/>
  <c r="P15" i="6860" l="1"/>
  <c r="P18" i="6860"/>
  <c r="P18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9" i="6848"/>
  <c r="P19" i="6866"/>
  <c r="P16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4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C19" i="6866" l="1"/>
  <c r="H26" i="6866"/>
  <c r="H31" i="6866"/>
  <c r="H17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2" i="6866"/>
  <c r="H10" i="6866"/>
  <c r="C25" i="6866"/>
  <c r="H4" i="6866"/>
  <c r="C26" i="6866"/>
  <c r="H5" i="6866"/>
  <c r="H15" i="6866"/>
  <c r="H28" i="6866"/>
  <c r="H37" i="6866"/>
  <c r="H20" i="6866"/>
  <c r="B28" i="6866"/>
  <c r="C37" i="6866"/>
  <c r="H48" i="6866"/>
  <c r="H47" i="6866"/>
  <c r="H9" i="6866"/>
  <c r="C22" i="6866"/>
  <c r="H29" i="6866"/>
  <c r="H39" i="6866"/>
  <c r="H49" i="6866"/>
  <c r="H7" i="6866"/>
  <c r="H18" i="6866"/>
  <c r="C20" i="6866"/>
  <c r="H13" i="6866"/>
  <c r="H6" i="6866"/>
  <c r="H2" i="6866"/>
  <c r="H8" i="6866"/>
  <c r="H16" i="6866"/>
  <c r="H24" i="6866"/>
  <c r="H40" i="6866"/>
  <c r="H3" i="6866"/>
  <c r="H21" i="6866"/>
  <c r="H23" i="6866"/>
  <c r="H27" i="6866"/>
  <c r="H30" i="6866"/>
  <c r="H36" i="6866"/>
  <c r="C40" i="6866"/>
  <c r="C44" i="6866"/>
  <c r="C48" i="6866"/>
  <c r="C41" i="6866"/>
  <c r="C45" i="6866"/>
  <c r="C49" i="6866"/>
  <c r="H19" i="6866"/>
  <c r="H11" i="6866"/>
  <c r="C23" i="6866"/>
  <c r="B27" i="6866"/>
  <c r="H32" i="6866"/>
  <c r="H38" i="6866"/>
  <c r="H42" i="6866"/>
  <c r="H46" i="6866"/>
  <c r="H50" i="6866"/>
  <c r="H25" i="6866"/>
  <c r="H12" i="6866"/>
  <c r="H33" i="6866"/>
  <c r="C38" i="6866"/>
  <c r="C42" i="6866"/>
  <c r="C46" i="6866"/>
  <c r="H51" i="6866"/>
  <c r="C39" i="6866"/>
  <c r="C43" i="6866"/>
  <c r="C47" i="6866"/>
  <c r="P19" i="6852" l="1"/>
  <c r="P20" i="6860"/>
  <c r="P16" i="6858"/>
  <c r="P16" i="6860"/>
  <c r="P22" i="6860"/>
  <c r="P18" i="6862"/>
  <c r="P20" i="6858"/>
  <c r="P20" i="6862"/>
  <c r="P17" i="6852"/>
  <c r="P16" i="6852"/>
  <c r="P17" i="6864" l="1"/>
  <c r="P16" i="6862"/>
  <c r="P15" i="6850"/>
  <c r="P17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7" i="6858"/>
  <c r="P15" i="6848"/>
  <c r="P16" i="6848"/>
  <c r="B14" i="6862" l="1"/>
  <c r="B14" i="6864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19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2" i="6860"/>
  <c r="C47" i="6860"/>
  <c r="H13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7" i="6860"/>
  <c r="B28" i="6860"/>
  <c r="H38" i="6860"/>
  <c r="H44" i="6860"/>
  <c r="C49" i="6860"/>
  <c r="C25" i="6860"/>
  <c r="H31" i="6860"/>
  <c r="H10" i="6860"/>
  <c r="H18" i="6860"/>
  <c r="H8" i="6860"/>
  <c r="H7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6" i="6860"/>
  <c r="H41" i="6860"/>
  <c r="H45" i="6860"/>
  <c r="H50" i="6860"/>
  <c r="H15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19" i="6850" l="1"/>
  <c r="P16" i="6850"/>
  <c r="P19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7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6" i="6856"/>
  <c r="B14" i="6858"/>
  <c r="C19" i="6858"/>
  <c r="H4" i="6858"/>
  <c r="H16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1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0" i="6858"/>
  <c r="H25" i="6858"/>
  <c r="H26" i="6858"/>
  <c r="C37" i="6858"/>
  <c r="H44" i="6858"/>
  <c r="H6" i="6858"/>
  <c r="H7" i="6858"/>
  <c r="H18" i="6858"/>
  <c r="H31" i="6858"/>
  <c r="H14" i="6858"/>
  <c r="H3" i="6858"/>
  <c r="H35" i="6858"/>
  <c r="H2" i="6858"/>
  <c r="H17" i="6858"/>
  <c r="B28" i="6858"/>
  <c r="H5" i="6858"/>
  <c r="H15" i="6858"/>
  <c r="H22" i="6858"/>
  <c r="C23" i="6858"/>
  <c r="H30" i="6858"/>
  <c r="H39" i="6858"/>
  <c r="H45" i="6858"/>
  <c r="H52" i="6858"/>
  <c r="H24" i="6858"/>
  <c r="H13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7" i="6856"/>
  <c r="H15" i="6856"/>
  <c r="H21" i="6856"/>
  <c r="C22" i="6856"/>
  <c r="H28" i="6856"/>
  <c r="H34" i="6856"/>
  <c r="C39" i="6856"/>
  <c r="H45" i="6856"/>
  <c r="H50" i="6856"/>
  <c r="H36" i="6856"/>
  <c r="H12" i="6856"/>
  <c r="H37" i="6856"/>
  <c r="C25" i="6856"/>
  <c r="H14" i="6856"/>
  <c r="H4" i="6856"/>
  <c r="H25" i="6856"/>
  <c r="B27" i="6856"/>
  <c r="H35" i="6856"/>
  <c r="C40" i="6856"/>
  <c r="C45" i="6856"/>
  <c r="H5" i="6856"/>
  <c r="H3" i="6856"/>
  <c r="H11" i="6856"/>
  <c r="H42" i="6856"/>
  <c r="H19" i="6856"/>
  <c r="H24" i="6856"/>
  <c r="H17" i="6856"/>
  <c r="H32" i="6856"/>
  <c r="H8" i="6856"/>
  <c r="H16" i="6856"/>
  <c r="H18" i="6856"/>
  <c r="H22" i="6856"/>
  <c r="H13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20" i="6852"/>
  <c r="C35" i="6852"/>
  <c r="B30" i="6852"/>
  <c r="C21" i="6852"/>
  <c r="B20" i="6852"/>
  <c r="H17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1" i="6848"/>
  <c r="P21" i="6850"/>
  <c r="P18" i="6850"/>
  <c r="C35" i="6850"/>
  <c r="B30" i="6850"/>
  <c r="C21" i="6850"/>
  <c r="B20" i="6850"/>
  <c r="H14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2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4" i="6850"/>
  <c r="C19" i="6850"/>
  <c r="B14" i="6848"/>
  <c r="C19" i="6854"/>
  <c r="H31" i="6854"/>
  <c r="H6" i="6854"/>
  <c r="H10" i="6854"/>
  <c r="C20" i="6854"/>
  <c r="H17" i="6854"/>
  <c r="H18" i="6854"/>
  <c r="H37" i="6854"/>
  <c r="C41" i="6854"/>
  <c r="H46" i="6854"/>
  <c r="H52" i="6854"/>
  <c r="H27" i="6854"/>
  <c r="C25" i="6854"/>
  <c r="C37" i="6854"/>
  <c r="H42" i="6854"/>
  <c r="H47" i="6854"/>
  <c r="H21" i="6854"/>
  <c r="H24" i="6854"/>
  <c r="H30" i="6854"/>
  <c r="H32" i="6854"/>
  <c r="H38" i="6854"/>
  <c r="H43" i="6854"/>
  <c r="C47" i="6854"/>
  <c r="C24" i="6854"/>
  <c r="H41" i="6854"/>
  <c r="H23" i="6854"/>
  <c r="H7" i="6854"/>
  <c r="C26" i="6854"/>
  <c r="C43" i="6854"/>
  <c r="H4" i="6854"/>
  <c r="H25" i="6854"/>
  <c r="C22" i="6854"/>
  <c r="H19" i="6854"/>
  <c r="H34" i="6854"/>
  <c r="C39" i="6854"/>
  <c r="H44" i="6854"/>
  <c r="C48" i="6854"/>
  <c r="H3" i="6854"/>
  <c r="H36" i="6854"/>
  <c r="C45" i="6854"/>
  <c r="H2" i="6854"/>
  <c r="H14" i="6854"/>
  <c r="H8" i="6854"/>
  <c r="H26" i="6854"/>
  <c r="H13" i="6854"/>
  <c r="H20" i="6854"/>
  <c r="H39" i="6854"/>
  <c r="H48" i="6854"/>
  <c r="H5" i="6854"/>
  <c r="H12" i="6854"/>
  <c r="H22" i="6854"/>
  <c r="H28" i="6854"/>
  <c r="B27" i="6854"/>
  <c r="H35" i="6854"/>
  <c r="H40" i="6854"/>
  <c r="C44" i="6854"/>
  <c r="H49" i="6854"/>
  <c r="H11" i="6854"/>
  <c r="H16" i="6854"/>
  <c r="H15" i="6854"/>
  <c r="C23" i="6854"/>
  <c r="B28" i="6854"/>
  <c r="C40" i="6854"/>
  <c r="H45" i="6854"/>
  <c r="H50" i="6854"/>
  <c r="C49" i="6854"/>
  <c r="H29" i="6854"/>
  <c r="H9" i="6854"/>
  <c r="H33" i="6854"/>
  <c r="C38" i="6854"/>
  <c r="C42" i="6854"/>
  <c r="C46" i="6854"/>
  <c r="H10" i="6852"/>
  <c r="H37" i="6852"/>
  <c r="H42" i="6852"/>
  <c r="H48" i="6852"/>
  <c r="H19" i="6852"/>
  <c r="H13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18" i="6852"/>
  <c r="C26" i="6852"/>
  <c r="H50" i="6852"/>
  <c r="H30" i="6852"/>
  <c r="H26" i="6852"/>
  <c r="H33" i="6852"/>
  <c r="H7" i="6852"/>
  <c r="H11" i="6852"/>
  <c r="H25" i="6852"/>
  <c r="C22" i="6852"/>
  <c r="H21" i="6852"/>
  <c r="H35" i="6852"/>
  <c r="C39" i="6852"/>
  <c r="C44" i="6852"/>
  <c r="C49" i="6852"/>
  <c r="C24" i="6852"/>
  <c r="H31" i="6852"/>
  <c r="H27" i="6852"/>
  <c r="H40" i="6852"/>
  <c r="H4" i="6852"/>
  <c r="H28" i="6852"/>
  <c r="B27" i="6852"/>
  <c r="H36" i="6852"/>
  <c r="H41" i="6852"/>
  <c r="H46" i="6852"/>
  <c r="H5" i="6852"/>
  <c r="H3" i="6852"/>
  <c r="C41" i="6852"/>
  <c r="H2" i="6852"/>
  <c r="H15" i="6852"/>
  <c r="H45" i="6852"/>
  <c r="H6" i="6852"/>
  <c r="H14" i="6852"/>
  <c r="H22" i="6852"/>
  <c r="H16" i="6852"/>
  <c r="H12" i="6852"/>
  <c r="C23" i="6852"/>
  <c r="B28" i="6852"/>
  <c r="C40" i="6852"/>
  <c r="C45" i="6852"/>
  <c r="H52" i="6852"/>
  <c r="H43" i="6852"/>
  <c r="H47" i="6852"/>
  <c r="H51" i="6852"/>
  <c r="H20" i="6852"/>
  <c r="H8" i="6852"/>
  <c r="H34" i="6852"/>
  <c r="C38" i="6852"/>
  <c r="C42" i="6852"/>
  <c r="C46" i="6852"/>
  <c r="C19" i="6848"/>
  <c r="H15" i="6850"/>
  <c r="H6" i="6850"/>
  <c r="H46" i="6850"/>
  <c r="H11" i="6850"/>
  <c r="H23" i="6850"/>
  <c r="H21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2" i="6850"/>
  <c r="C45" i="6850"/>
  <c r="H28" i="6850"/>
  <c r="H20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3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2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1" i="6848"/>
  <c r="H13" i="6848"/>
  <c r="H34" i="6848"/>
  <c r="H37" i="6848"/>
  <c r="C39" i="6848"/>
  <c r="C43" i="6848"/>
  <c r="C47" i="6848"/>
  <c r="H52" i="6848"/>
  <c r="H20" i="6848"/>
  <c r="H29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30" i="6848"/>
  <c r="H14" i="6848"/>
  <c r="H33" i="6848"/>
  <c r="H17" i="6848"/>
  <c r="H38" i="6848"/>
  <c r="C40" i="6848"/>
  <c r="C44" i="6848"/>
  <c r="C48" i="6848"/>
  <c r="H4" i="6848"/>
  <c r="H24" i="6848"/>
  <c r="C22" i="6848"/>
  <c r="C26" i="6848"/>
  <c r="H39" i="6848"/>
  <c r="H27" i="6848"/>
  <c r="H46" i="6848"/>
  <c r="H50" i="6848"/>
  <c r="H6" i="6848"/>
  <c r="H12" i="6848"/>
  <c r="H28" i="6848"/>
  <c r="H32" i="6848"/>
  <c r="H22" i="6848"/>
  <c r="H25" i="6848"/>
  <c r="C37" i="6848"/>
  <c r="C41" i="6848"/>
  <c r="C45" i="6848"/>
  <c r="C49" i="6848"/>
  <c r="H11" i="6848"/>
  <c r="H16" i="6848"/>
  <c r="H15" i="6848"/>
  <c r="C23" i="6848"/>
  <c r="B27" i="6848"/>
  <c r="H26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<sst xmlns="http://schemas.openxmlformats.org/spreadsheetml/2006/main" count="2950" uniqueCount="243">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</sst>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全体!$K$2:$K$224</c:f>
              <c:numCache>
                <c:formatCode>General</c:formatCod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</c:numCache>
            </c:numRef>
          </c:xVal>
          <c:yVal>
            <c:numRef>
              <c:f>全体!$L$2:$L$224</c:f>
              <c:numCache>
                <c:formatCode>\+0.0;\-0.0;\±0</c:formatCode>
                <c:ptCount val="223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-40.54054054054054</c:v>
                </c:pt>
                <c:pt idx="1">
                  <c:v>41.666666666666664</c:v>
                </c:pt>
                <c:pt idx="2">
                  <c:v>-27.397260273972602</c:v>
                </c:pt>
                <c:pt idx="3">
                  <c:v>9.8039215686274517</c:v>
                </c:pt>
                <c:pt idx="4">
                  <c:v>5.376344086021505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49</c:v>
                </c:pt>
                <c:pt idx="1">
                  <c:v>113</c:v>
                </c:pt>
                <c:pt idx="2">
                  <c:v>104</c:v>
                </c:pt>
                <c:pt idx="3">
                  <c:v>94</c:v>
                </c:pt>
                <c:pt idx="4">
                  <c:v>72</c:v>
                </c:pt>
                <c:pt idx="5">
                  <c:v>52</c:v>
                </c:pt>
                <c:pt idx="6">
                  <c:v>29</c:v>
                </c:pt>
                <c:pt idx="7">
                  <c:v>16</c:v>
                </c:pt>
                <c:pt idx="8">
                  <c:v>11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全体!$K$2:$K$224</c:f>
              <c:numCache>
                <c:formatCode>General</c:formatCod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</c:numCache>
            </c:numRef>
          </c:xVal>
          <c:yVal>
            <c:numRef>
              <c:f>全体!$M$2:$M$224</c:f>
              <c:numCache>
                <c:formatCode>0</c:formatCode>
                <c:ptCount val="223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だいち!$L$2:$L$61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991.52542372881351</c:v>
                </c:pt>
                <c:pt idx="1">
                  <c:v>-891.22807017543857</c:v>
                </c:pt>
                <c:pt idx="2">
                  <c:v>-900</c:v>
                </c:pt>
                <c:pt idx="3">
                  <c:v>303.63636363636363</c:v>
                </c:pt>
                <c:pt idx="4">
                  <c:v>-210</c:v>
                </c:pt>
                <c:pt idx="5">
                  <c:v>-920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35</c:v>
                </c:pt>
                <c:pt idx="3">
                  <c:v>21</c:v>
                </c:pt>
                <c:pt idx="4">
                  <c:v>23</c:v>
                </c:pt>
                <c:pt idx="5">
                  <c:v>18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だいち!$M$2:$M$61</c:f>
              <c:numCache>
                <c:formatCode>0</c:formatCode>
                <c:ptCount val="60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1878.5714285714287</c:v>
                </c:pt>
                <c:pt idx="1">
                  <c:v>-2022.2222222222222</c:v>
                </c:pt>
                <c:pt idx="2">
                  <c:v>503.7037037037037</c:v>
                </c:pt>
                <c:pt idx="3">
                  <c:v>176.92307692307693</c:v>
                </c:pt>
                <c:pt idx="4">
                  <c:v>352.17391304347825</c:v>
                </c:pt>
                <c:pt idx="5">
                  <c:v>-329.41176470588238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6</c:v>
                </c:pt>
                <c:pt idx="1">
                  <c:v>5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れんたろう!$M$2:$M$30</c:f>
              <c:numCache>
                <c:formatCode>0</c:formatCode>
                <c:ptCount val="29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510.71428571428572</c:v>
                </c:pt>
                <c:pt idx="1">
                  <c:v>-478.57142857142856</c:v>
                </c:pt>
                <c:pt idx="2">
                  <c:v>1278.5714285714287</c:v>
                </c:pt>
                <c:pt idx="3">
                  <c:v>214.28571428571428</c:v>
                </c:pt>
                <c:pt idx="4">
                  <c:v>-1346.4285714285713</c:v>
                </c:pt>
                <c:pt idx="5">
                  <c:v>1335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たかの!$M$2:$M$30</c:f>
              <c:numCache>
                <c:formatCode>0</c:formatCode>
                <c:ptCount val="2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-84.615384615384613</c:v>
                </c:pt>
                <c:pt idx="1">
                  <c:v>1561.5384615384614</c:v>
                </c:pt>
                <c:pt idx="2">
                  <c:v>-592.30769230769226</c:v>
                </c:pt>
                <c:pt idx="3">
                  <c:v>-3136.3636363636365</c:v>
                </c:pt>
                <c:pt idx="4">
                  <c:v>-2100</c:v>
                </c:pt>
                <c:pt idx="5">
                  <c:v>-2187.5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まっつん!$M$2:$M$15</c:f>
              <c:numCache>
                <c:formatCode>0</c:formatCode>
                <c:ptCount val="1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-810.71428571428567</c:v>
                </c:pt>
                <c:pt idx="1">
                  <c:v>878.57142857142856</c:v>
                </c:pt>
                <c:pt idx="2">
                  <c:v>2214.2857142857142</c:v>
                </c:pt>
                <c:pt idx="3">
                  <c:v>200</c:v>
                </c:pt>
                <c:pt idx="4">
                  <c:v>557.14285714285711</c:v>
                </c:pt>
                <c:pt idx="5">
                  <c:v>1431.578947368421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いちかわ!$M$2:$M$30</c:f>
              <c:numCache>
                <c:formatCode>0</c:formatCode>
                <c:ptCount val="29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-208.8235294117647</c:v>
                </c:pt>
                <c:pt idx="1">
                  <c:v>2331.25</c:v>
                </c:pt>
                <c:pt idx="2">
                  <c:v>145.45454545454547</c:v>
                </c:pt>
                <c:pt idx="3">
                  <c:v>1220</c:v>
                </c:pt>
                <c:pt idx="4">
                  <c:v>1889.2857142857142</c:v>
                </c:pt>
                <c:pt idx="5">
                  <c:v>-59.090909090909093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24</c:v>
                </c:pt>
                <c:pt idx="3">
                  <c:v>15</c:v>
                </c:pt>
                <c:pt idx="4">
                  <c:v>14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ただ!$M$2:$M$36</c:f>
              <c:numCache>
                <c:formatCode>0</c:formatCode>
                <c:ptCount val="35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-3500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いちかわ2!$B$3:$B$31</c:f>
              <c:numCache>
                <c:formatCode>\+0.0;\-0.0;\±0</c:formatCode>
                <c:ptCount val="2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いちかわ2!$C$3:$C$31</c:f>
              <c:numCache>
                <c:formatCode>\+0.0;\-0.0;\±0</c:formatCode>
                <c:ptCount val="29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  <c:pt idx="11">
                  <c:v>-1.7090909090909088</c:v>
                </c:pt>
                <c:pt idx="12">
                  <c:v>2.6750000000000003</c:v>
                </c:pt>
                <c:pt idx="13">
                  <c:v>5.0615384615384622</c:v>
                </c:pt>
                <c:pt idx="14">
                  <c:v>7.0928571428571434</c:v>
                </c:pt>
                <c:pt idx="15">
                  <c:v>5.0133333333333345</c:v>
                </c:pt>
                <c:pt idx="16">
                  <c:v>5.1875000000000009</c:v>
                </c:pt>
                <c:pt idx="17">
                  <c:v>4.8000000000000007</c:v>
                </c:pt>
                <c:pt idx="18">
                  <c:v>4.6222222222222227</c:v>
                </c:pt>
                <c:pt idx="19">
                  <c:v>6.6736842105263161</c:v>
                </c:pt>
                <c:pt idx="20">
                  <c:v>8.15</c:v>
                </c:pt>
                <c:pt idx="21">
                  <c:v>5.5571428571428569</c:v>
                </c:pt>
                <c:pt idx="22">
                  <c:v>6.2363636363636354</c:v>
                </c:pt>
                <c:pt idx="23">
                  <c:v>6.052173913043478</c:v>
                </c:pt>
                <c:pt idx="24">
                  <c:v>4.5333333333333323</c:v>
                </c:pt>
                <c:pt idx="25">
                  <c:v>3.6159999999999992</c:v>
                </c:pt>
                <c:pt idx="26">
                  <c:v>4.7346153846153838</c:v>
                </c:pt>
                <c:pt idx="27">
                  <c:v>4.6222222222222218</c:v>
                </c:pt>
                <c:pt idx="28">
                  <c:v>3.7999999999999994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600321476937162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いちかわ2!$D$3:$D$31</c:f>
              <c:numCache>
                <c:formatCode>0.00\ "位"</c:formatCode>
                <c:ptCount val="29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1.8823529411764706</c:v>
                </c:pt>
                <c:pt idx="18">
                  <c:v>1.8888888888888888</c:v>
                </c:pt>
                <c:pt idx="19">
                  <c:v>1.8421052631578947</c:v>
                </c:pt>
                <c:pt idx="20">
                  <c:v>1.8</c:v>
                </c:pt>
                <c:pt idx="21">
                  <c:v>1.8571428571428572</c:v>
                </c:pt>
                <c:pt idx="22">
                  <c:v>1.8181818181818181</c:v>
                </c:pt>
                <c:pt idx="23">
                  <c:v>1.826086956521739</c:v>
                </c:pt>
                <c:pt idx="24">
                  <c:v>1.875</c:v>
                </c:pt>
                <c:pt idx="25">
                  <c:v>1.92</c:v>
                </c:pt>
                <c:pt idx="26">
                  <c:v>1.8846153846153846</c:v>
                </c:pt>
                <c:pt idx="27">
                  <c:v>1.8888888888888888</c:v>
                </c:pt>
                <c:pt idx="28">
                  <c:v>1.9285714285714286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495495495495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いちかわ2!$E$3:$E$31</c:f>
              <c:numCache>
                <c:formatCode>0.0%</c:formatCode>
                <c:ptCount val="2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83783783783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いちかわ2!$F$3:$F$31</c:f>
              <c:numCache>
                <c:formatCode>0.0%</c:formatCode>
                <c:ptCount val="2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0.32142857142857145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いちかわ2!$G$3:$G$31</c:f>
              <c:numCache>
                <c:formatCode>0.0%</c:formatCode>
                <c:ptCount val="29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  <c:pt idx="11">
                  <c:v>0.30588235294117649</c:v>
                </c:pt>
                <c:pt idx="12">
                  <c:v>0.31521739130434784</c:v>
                </c:pt>
                <c:pt idx="13">
                  <c:v>0.32653061224489793</c:v>
                </c:pt>
                <c:pt idx="14">
                  <c:v>0.35238095238095241</c:v>
                </c:pt>
                <c:pt idx="15">
                  <c:v>0.35652173913043478</c:v>
                </c:pt>
                <c:pt idx="16">
                  <c:v>0.34959349593495936</c:v>
                </c:pt>
                <c:pt idx="17">
                  <c:v>0.33834586466165412</c:v>
                </c:pt>
                <c:pt idx="18">
                  <c:v>0.33098591549295775</c:v>
                </c:pt>
                <c:pt idx="19">
                  <c:v>0.33774834437086093</c:v>
                </c:pt>
                <c:pt idx="20">
                  <c:v>0.34177215189873417</c:v>
                </c:pt>
                <c:pt idx="21">
                  <c:v>0.32727272727272727</c:v>
                </c:pt>
                <c:pt idx="22">
                  <c:v>0.32571428571428573</c:v>
                </c:pt>
                <c:pt idx="23">
                  <c:v>0.32402234636871508</c:v>
                </c:pt>
                <c:pt idx="24">
                  <c:v>0.31914893617021278</c:v>
                </c:pt>
                <c:pt idx="25">
                  <c:v>0.31282051282051282</c:v>
                </c:pt>
                <c:pt idx="26">
                  <c:v>0.31862745098039214</c:v>
                </c:pt>
                <c:pt idx="27">
                  <c:v>0.32863849765258218</c:v>
                </c:pt>
                <c:pt idx="28">
                  <c:v>0.32126696832579188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99255715045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いちかわ2!$H$3:$H$31</c:f>
              <c:numCache>
                <c:formatCode>0.0%</c:formatCode>
                <c:ptCount val="29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  <c:pt idx="11">
                  <c:v>0.15294117647058825</c:v>
                </c:pt>
                <c:pt idx="12">
                  <c:v>0.16304347826086957</c:v>
                </c:pt>
                <c:pt idx="13">
                  <c:v>0.16326530612244897</c:v>
                </c:pt>
                <c:pt idx="14">
                  <c:v>0.16190476190476191</c:v>
                </c:pt>
                <c:pt idx="15">
                  <c:v>0.16521739130434782</c:v>
                </c:pt>
                <c:pt idx="16">
                  <c:v>0.15447154471544716</c:v>
                </c:pt>
                <c:pt idx="17">
                  <c:v>0.15789473684210525</c:v>
                </c:pt>
                <c:pt idx="18">
                  <c:v>0.15492957746478872</c:v>
                </c:pt>
                <c:pt idx="19">
                  <c:v>0.15231788079470199</c:v>
                </c:pt>
                <c:pt idx="20">
                  <c:v>0.14556962025316456</c:v>
                </c:pt>
                <c:pt idx="21">
                  <c:v>0.14545454545454545</c:v>
                </c:pt>
                <c:pt idx="22">
                  <c:v>0.14285714285714285</c:v>
                </c:pt>
                <c:pt idx="23">
                  <c:v>0.13966480446927373</c:v>
                </c:pt>
                <c:pt idx="24">
                  <c:v>0.14893617021276595</c:v>
                </c:pt>
                <c:pt idx="25">
                  <c:v>0.15384615384615385</c:v>
                </c:pt>
                <c:pt idx="26">
                  <c:v>0.14705882352941177</c:v>
                </c:pt>
                <c:pt idx="27">
                  <c:v>0.14553990610328638</c:v>
                </c:pt>
                <c:pt idx="28">
                  <c:v>0.14479638009049775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995746943115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いちかわ2!$I$3:$I$31</c:f>
              <c:numCache>
                <c:formatCode>0</c:formatCode>
                <c:ptCount val="29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  <c:pt idx="11">
                  <c:v>7150</c:v>
                </c:pt>
                <c:pt idx="12">
                  <c:v>8065.5172413793107</c:v>
                </c:pt>
                <c:pt idx="13">
                  <c:v>8165.625</c:v>
                </c:pt>
                <c:pt idx="14">
                  <c:v>7913.5135135135133</c:v>
                </c:pt>
                <c:pt idx="15">
                  <c:v>7495.1219512195121</c:v>
                </c:pt>
                <c:pt idx="16">
                  <c:v>7474.4186046511632</c:v>
                </c:pt>
                <c:pt idx="17">
                  <c:v>7453.333333333333</c:v>
                </c:pt>
                <c:pt idx="18">
                  <c:v>7531.9148936170213</c:v>
                </c:pt>
                <c:pt idx="19">
                  <c:v>8115.6862745098042</c:v>
                </c:pt>
                <c:pt idx="20">
                  <c:v>8168.5185185185182</c:v>
                </c:pt>
                <c:pt idx="21">
                  <c:v>8168.5185185185182</c:v>
                </c:pt>
                <c:pt idx="22">
                  <c:v>8285.9649122807023</c:v>
                </c:pt>
                <c:pt idx="23">
                  <c:v>8281.0344827586214</c:v>
                </c:pt>
                <c:pt idx="24">
                  <c:v>8231.6666666666661</c:v>
                </c:pt>
                <c:pt idx="25">
                  <c:v>8293.442622950819</c:v>
                </c:pt>
                <c:pt idx="26">
                  <c:v>8015.3846153846152</c:v>
                </c:pt>
                <c:pt idx="27">
                  <c:v>7895.7142857142853</c:v>
                </c:pt>
                <c:pt idx="28">
                  <c:v>7802.8169014084506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49.18625678119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いちかわ2!$J$3:$J$31</c:f>
              <c:numCache>
                <c:formatCode>0</c:formatCode>
                <c:ptCount val="29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  <c:pt idx="11">
                  <c:v>-7953.8461538461543</c:v>
                </c:pt>
                <c:pt idx="12">
                  <c:v>-7500</c:v>
                </c:pt>
                <c:pt idx="13">
                  <c:v>-7356.25</c:v>
                </c:pt>
                <c:pt idx="14">
                  <c:v>-7394.1176470588234</c:v>
                </c:pt>
                <c:pt idx="15">
                  <c:v>-7921.0526315789475</c:v>
                </c:pt>
                <c:pt idx="16">
                  <c:v>-7921.0526315789475</c:v>
                </c:pt>
                <c:pt idx="17">
                  <c:v>-7447.6190476190477</c:v>
                </c:pt>
                <c:pt idx="18">
                  <c:v>-7154.545454545455</c:v>
                </c:pt>
                <c:pt idx="19">
                  <c:v>-7365.217391304348</c:v>
                </c:pt>
                <c:pt idx="20">
                  <c:v>-7365.217391304348</c:v>
                </c:pt>
                <c:pt idx="21">
                  <c:v>-7141.666666666667</c:v>
                </c:pt>
                <c:pt idx="22">
                  <c:v>-7012</c:v>
                </c:pt>
                <c:pt idx="23">
                  <c:v>-7012</c:v>
                </c:pt>
                <c:pt idx="24">
                  <c:v>-6732.1428571428569</c:v>
                </c:pt>
                <c:pt idx="25">
                  <c:v>-6940</c:v>
                </c:pt>
                <c:pt idx="26">
                  <c:v>-6940</c:v>
                </c:pt>
                <c:pt idx="27">
                  <c:v>-7103.2258064516127</c:v>
                </c:pt>
                <c:pt idx="28">
                  <c:v>-6971.875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18.0379746835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いちかわ2!$K$3:$K$31</c:f>
              <c:numCache>
                <c:formatCode>0.0%</c:formatCode>
                <c:ptCount val="2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108108108108108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いちかわ2!$L$3:$L$31</c:f>
              <c:numCache>
                <c:formatCode>0.0%</c:formatCode>
                <c:ptCount val="29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  <c:pt idx="11">
                  <c:v>0.28235294117647058</c:v>
                </c:pt>
                <c:pt idx="12">
                  <c:v>0.2608695652173913</c:v>
                </c:pt>
                <c:pt idx="13">
                  <c:v>0.25510204081632654</c:v>
                </c:pt>
                <c:pt idx="14">
                  <c:v>0.24761904761904763</c:v>
                </c:pt>
                <c:pt idx="15">
                  <c:v>0.23478260869565218</c:v>
                </c:pt>
                <c:pt idx="16">
                  <c:v>0.22764227642276422</c:v>
                </c:pt>
                <c:pt idx="17">
                  <c:v>0.21804511278195488</c:v>
                </c:pt>
                <c:pt idx="18">
                  <c:v>0.22535211267605634</c:v>
                </c:pt>
                <c:pt idx="19">
                  <c:v>0.2185430463576159</c:v>
                </c:pt>
                <c:pt idx="20">
                  <c:v>0.22151898734177214</c:v>
                </c:pt>
                <c:pt idx="21">
                  <c:v>0.21818181818181817</c:v>
                </c:pt>
                <c:pt idx="22">
                  <c:v>0.22285714285714286</c:v>
                </c:pt>
                <c:pt idx="23">
                  <c:v>0.21787709497206703</c:v>
                </c:pt>
                <c:pt idx="24">
                  <c:v>0.21808510638297873</c:v>
                </c:pt>
                <c:pt idx="25">
                  <c:v>0.2153846153846154</c:v>
                </c:pt>
                <c:pt idx="26">
                  <c:v>0.21568627450980393</c:v>
                </c:pt>
                <c:pt idx="27">
                  <c:v>0.20657276995305165</c:v>
                </c:pt>
                <c:pt idx="28">
                  <c:v>0.20361990950226244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766081871345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いちかわ2!$M$3:$M$31</c:f>
              <c:numCache>
                <c:formatCode>0.0%</c:formatCode>
                <c:ptCount val="29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  <c:pt idx="11">
                  <c:v>0.18823529411764706</c:v>
                </c:pt>
                <c:pt idx="12">
                  <c:v>0.19565217391304349</c:v>
                </c:pt>
                <c:pt idx="13">
                  <c:v>0.22448979591836735</c:v>
                </c:pt>
                <c:pt idx="14">
                  <c:v>0.25714285714285712</c:v>
                </c:pt>
                <c:pt idx="15">
                  <c:v>0.25217391304347825</c:v>
                </c:pt>
                <c:pt idx="16">
                  <c:v>0.26016260162601629</c:v>
                </c:pt>
                <c:pt idx="17">
                  <c:v>0.26315789473684209</c:v>
                </c:pt>
                <c:pt idx="18">
                  <c:v>0.25352112676056338</c:v>
                </c:pt>
                <c:pt idx="19">
                  <c:v>0.25827814569536423</c:v>
                </c:pt>
                <c:pt idx="20">
                  <c:v>0.25316455696202533</c:v>
                </c:pt>
                <c:pt idx="21">
                  <c:v>0.24242424242424243</c:v>
                </c:pt>
                <c:pt idx="22">
                  <c:v>0.22857142857142856</c:v>
                </c:pt>
                <c:pt idx="23">
                  <c:v>0.23463687150837989</c:v>
                </c:pt>
                <c:pt idx="24">
                  <c:v>0.23936170212765959</c:v>
                </c:pt>
                <c:pt idx="25">
                  <c:v>0.23589743589743589</c:v>
                </c:pt>
                <c:pt idx="26">
                  <c:v>0.24019607843137256</c:v>
                </c:pt>
                <c:pt idx="27">
                  <c:v>0.23943661971830985</c:v>
                </c:pt>
                <c:pt idx="28">
                  <c:v>0.23981900452488689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79160021265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いちかわ2!$N$3:$N$31</c:f>
              <c:numCache>
                <c:formatCode>0.0%</c:formatCode>
                <c:ptCount val="29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  <c:pt idx="11">
                  <c:v>0.58333333333333337</c:v>
                </c:pt>
                <c:pt idx="12">
                  <c:v>0.58333333333333337</c:v>
                </c:pt>
                <c:pt idx="13">
                  <c:v>0.6</c:v>
                </c:pt>
                <c:pt idx="14">
                  <c:v>0.61538461538461542</c:v>
                </c:pt>
                <c:pt idx="15">
                  <c:v>0.59259259259259256</c:v>
                </c:pt>
                <c:pt idx="16">
                  <c:v>0.6071428571428571</c:v>
                </c:pt>
                <c:pt idx="17">
                  <c:v>0.62068965517241381</c:v>
                </c:pt>
                <c:pt idx="18">
                  <c:v>0.5625</c:v>
                </c:pt>
                <c:pt idx="19">
                  <c:v>0.54545454545454541</c:v>
                </c:pt>
                <c:pt idx="20">
                  <c:v>0.5714285714285714</c:v>
                </c:pt>
                <c:pt idx="21">
                  <c:v>0.55555555555555558</c:v>
                </c:pt>
                <c:pt idx="22">
                  <c:v>0.5641025641025641</c:v>
                </c:pt>
                <c:pt idx="23">
                  <c:v>0.5641025641025641</c:v>
                </c:pt>
                <c:pt idx="24">
                  <c:v>0.56097560975609762</c:v>
                </c:pt>
                <c:pt idx="25">
                  <c:v>0.5714285714285714</c:v>
                </c:pt>
                <c:pt idx="26">
                  <c:v>0.56818181818181823</c:v>
                </c:pt>
                <c:pt idx="27">
                  <c:v>0.56818181818181823</c:v>
                </c:pt>
                <c:pt idx="28">
                  <c:v>0.57777777777777772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09977827050997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いちかわ2!$O$3:$O$31</c:f>
              <c:numCache>
                <c:formatCode>0.0%</c:formatCode>
                <c:ptCount val="29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  <c:pt idx="11">
                  <c:v>0.5625</c:v>
                </c:pt>
                <c:pt idx="12">
                  <c:v>0.55555555555555558</c:v>
                </c:pt>
                <c:pt idx="13">
                  <c:v>0.54545454545454541</c:v>
                </c:pt>
                <c:pt idx="14">
                  <c:v>0.59259259259259256</c:v>
                </c:pt>
                <c:pt idx="15">
                  <c:v>0.62068965517241381</c:v>
                </c:pt>
                <c:pt idx="16">
                  <c:v>0.59375</c:v>
                </c:pt>
                <c:pt idx="17">
                  <c:v>0.5714285714285714</c:v>
                </c:pt>
                <c:pt idx="18">
                  <c:v>0.58333333333333337</c:v>
                </c:pt>
                <c:pt idx="19">
                  <c:v>0.58974358974358976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  <c:pt idx="23">
                  <c:v>0.5714285714285714</c:v>
                </c:pt>
                <c:pt idx="24">
                  <c:v>0.53333333333333333</c:v>
                </c:pt>
                <c:pt idx="25">
                  <c:v>0.52173913043478259</c:v>
                </c:pt>
                <c:pt idx="26">
                  <c:v>0.51020408163265307</c:v>
                </c:pt>
                <c:pt idx="27">
                  <c:v>0.52941176470588236</c:v>
                </c:pt>
                <c:pt idx="28">
                  <c:v>0.50943396226415094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899082568807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いちかわ2!$A$3:$A$31</c:f>
              <c:numCache>
                <c:formatCode>0\ "回"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いちかわ2!$P$3:$P$31</c:f>
              <c:numCache>
                <c:formatCode>0.0%</c:formatCode>
                <c:ptCount val="29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  <c:pt idx="11">
                  <c:v>0.42307692307692307</c:v>
                </c:pt>
                <c:pt idx="12">
                  <c:v>0.44827586206896552</c:v>
                </c:pt>
                <c:pt idx="13">
                  <c:v>0.46875</c:v>
                </c:pt>
                <c:pt idx="14">
                  <c:v>0.40540540540540543</c:v>
                </c:pt>
                <c:pt idx="15">
                  <c:v>0.36585365853658536</c:v>
                </c:pt>
                <c:pt idx="16">
                  <c:v>0.39534883720930231</c:v>
                </c:pt>
                <c:pt idx="17">
                  <c:v>0.37777777777777777</c:v>
                </c:pt>
                <c:pt idx="18">
                  <c:v>0.36170212765957449</c:v>
                </c:pt>
                <c:pt idx="19">
                  <c:v>0.39215686274509803</c:v>
                </c:pt>
                <c:pt idx="20">
                  <c:v>0.3888888888888889</c:v>
                </c:pt>
                <c:pt idx="21">
                  <c:v>0.3888888888888889</c:v>
                </c:pt>
                <c:pt idx="22">
                  <c:v>0.40350877192982454</c:v>
                </c:pt>
                <c:pt idx="23">
                  <c:v>0.39655172413793105</c:v>
                </c:pt>
                <c:pt idx="24">
                  <c:v>0.4</c:v>
                </c:pt>
                <c:pt idx="25">
                  <c:v>0.39344262295081966</c:v>
                </c:pt>
                <c:pt idx="26">
                  <c:v>0.4</c:v>
                </c:pt>
                <c:pt idx="27">
                  <c:v>0.38571428571428573</c:v>
                </c:pt>
                <c:pt idx="28">
                  <c:v>0.38028169014084506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95479204339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8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7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7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7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7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7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7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7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7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7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7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7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7" x14ac:dyDescent="0.45">
      <c r="A28" s="2" t="s">
        <v>242</v>
      </c>
      <c r="B28" s="3">
        <v>44146.711354166669</v>
      </c>
      <c r="C28" s="2" t="s">
        <v>127</v>
      </c>
      <c r="D28" s="2" t="s">
        <v>188</v>
      </c>
      <c r="E28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59</v>
      </c>
      <c r="C2" s="120">
        <v>1842.3339395535957</v>
      </c>
    </row>
    <row r="3" spans="1:3" x14ac:dyDescent="0.45">
      <c r="A3" t="s">
        <v>163</v>
      </c>
      <c r="B3" s="120">
        <v>28</v>
      </c>
      <c r="C3" s="120">
        <v>1653.1699313523677</v>
      </c>
    </row>
    <row r="4" spans="1:3" x14ac:dyDescent="0.45">
      <c r="A4" t="s">
        <v>139</v>
      </c>
      <c r="B4" s="120">
        <v>222</v>
      </c>
      <c r="C4" s="120">
        <v>1594.5463045050694</v>
      </c>
    </row>
    <row r="5" spans="1:3" x14ac:dyDescent="0.45">
      <c r="A5" t="s">
        <v>190</v>
      </c>
      <c r="B5" s="120">
        <v>13</v>
      </c>
      <c r="C5" s="120">
        <v>1524.3778689305989</v>
      </c>
    </row>
    <row r="6" spans="1:3" x14ac:dyDescent="0.45">
      <c r="A6" t="s">
        <v>192</v>
      </c>
      <c r="B6" s="120">
        <v>34</v>
      </c>
      <c r="C6" s="120">
        <v>1517.1288342047803</v>
      </c>
    </row>
    <row r="7" spans="1:3" x14ac:dyDescent="0.45">
      <c r="A7" t="s">
        <v>211</v>
      </c>
      <c r="B7" s="120">
        <v>28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28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0.84757221120257309</v>
      </c>
      <c r="C2" s="142"/>
      <c r="D2" s="141">
        <v>4.9527361429098492E-2</v>
      </c>
      <c r="E2" s="142"/>
      <c r="F2" s="141">
        <v>0.19252801829861488</v>
      </c>
      <c r="G2" s="142"/>
      <c r="H2" s="147"/>
      <c r="I2" s="148"/>
      <c r="J2" s="141">
        <v>1.393098838183196E-2</v>
      </c>
      <c r="K2" s="142"/>
      <c r="L2" s="141">
        <v>1.9667332833248431E-2</v>
      </c>
      <c r="M2" s="142"/>
      <c r="N2" s="141">
        <v>1.8568883770509234E-3</v>
      </c>
      <c r="O2" s="142"/>
      <c r="P2" s="141">
        <v>0.29954707372108352</v>
      </c>
      <c r="Q2" s="142"/>
      <c r="R2" s="141">
        <v>-0.20709058479088524</v>
      </c>
      <c r="S2" s="142"/>
      <c r="T2" s="141">
        <v>0.75543775826635351</v>
      </c>
      <c r="U2" s="142"/>
      <c r="V2" s="141">
        <v>9.419309711853964E-2</v>
      </c>
      <c r="W2" s="142"/>
      <c r="X2" s="141">
        <v>-0.16590764996335194</v>
      </c>
      <c r="Y2" s="142"/>
      <c r="Z2" s="141">
        <v>0.19571174960456794</v>
      </c>
      <c r="AA2" s="142"/>
      <c r="AB2" s="141">
        <v>-8.0511503234436801E-2</v>
      </c>
      <c r="AC2" s="142"/>
      <c r="AD2" s="141">
        <v>0.24738357180710835</v>
      </c>
      <c r="AE2" s="142"/>
      <c r="AF2" s="141">
        <v>0.13987874434371417</v>
      </c>
      <c r="AG2" s="142"/>
      <c r="AH2" s="141">
        <v>0.22072776649608628</v>
      </c>
      <c r="AI2" s="142"/>
      <c r="AJ2" s="141">
        <v>0.91094229395653326</v>
      </c>
      <c r="AK2" s="142"/>
    </row>
    <row r="3" spans="1:37" x14ac:dyDescent="0.45">
      <c r="A3" s="38">
        <v>1</v>
      </c>
      <c r="B3" s="41" t="s">
        <v>139</v>
      </c>
      <c r="C3" s="113">
        <v>74</v>
      </c>
      <c r="D3" s="39" t="s">
        <v>192</v>
      </c>
      <c r="E3" s="40">
        <v>320.7</v>
      </c>
      <c r="F3" s="41" t="s">
        <v>192</v>
      </c>
      <c r="G3" s="60">
        <v>9.4323529411764699</v>
      </c>
      <c r="H3" s="41" t="s">
        <v>126</v>
      </c>
      <c r="I3" s="45">
        <v>1762.2443083165854</v>
      </c>
      <c r="J3" s="41" t="s">
        <v>192</v>
      </c>
      <c r="K3" s="42">
        <v>1.7058823529411764</v>
      </c>
      <c r="L3" s="41" t="s">
        <v>192</v>
      </c>
      <c r="M3" s="43">
        <v>0.5</v>
      </c>
      <c r="N3" s="41" t="s">
        <v>192</v>
      </c>
      <c r="O3" s="43">
        <v>0.20588235294117646</v>
      </c>
      <c r="P3" s="41" t="s">
        <v>192</v>
      </c>
      <c r="Q3" s="44">
        <v>0.34448160535117056</v>
      </c>
      <c r="R3" s="41" t="s">
        <v>190</v>
      </c>
      <c r="S3" s="44">
        <v>0.10377358490566038</v>
      </c>
      <c r="T3" s="41" t="s">
        <v>221</v>
      </c>
      <c r="U3" s="45">
        <v>10925</v>
      </c>
      <c r="V3" s="41" t="s">
        <v>190</v>
      </c>
      <c r="W3" s="45">
        <v>-5827.272727272727</v>
      </c>
      <c r="X3" s="41" t="s">
        <v>193</v>
      </c>
      <c r="Y3" s="43">
        <v>0</v>
      </c>
      <c r="Z3" s="41" t="s">
        <v>189</v>
      </c>
      <c r="AA3" s="44">
        <v>0.27450980392156865</v>
      </c>
      <c r="AB3" s="41" t="s">
        <v>189</v>
      </c>
      <c r="AC3" s="44">
        <v>0.29803921568627451</v>
      </c>
      <c r="AD3" s="41" t="s">
        <v>195</v>
      </c>
      <c r="AE3" s="44">
        <v>0.76923076923076927</v>
      </c>
      <c r="AF3" s="41" t="s">
        <v>211</v>
      </c>
      <c r="AG3" s="44">
        <v>0.50943396226415094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59</v>
      </c>
      <c r="D4" s="47" t="s">
        <v>211</v>
      </c>
      <c r="E4" s="48">
        <v>106.39999999999998</v>
      </c>
      <c r="F4" s="49" t="s">
        <v>211</v>
      </c>
      <c r="G4" s="61">
        <v>3.7999999999999994</v>
      </c>
      <c r="H4" s="49" t="s">
        <v>163</v>
      </c>
      <c r="I4" s="53">
        <v>1638.0732230081205</v>
      </c>
      <c r="J4" s="49" t="s">
        <v>189</v>
      </c>
      <c r="K4" s="50">
        <v>1.8928571428571428</v>
      </c>
      <c r="L4" s="49" t="s">
        <v>195</v>
      </c>
      <c r="M4" s="51">
        <v>0.5</v>
      </c>
      <c r="N4" s="49" t="s">
        <v>189</v>
      </c>
      <c r="O4" s="51">
        <v>0.2857142857142857</v>
      </c>
      <c r="P4" s="49" t="s">
        <v>211</v>
      </c>
      <c r="Q4" s="52">
        <v>0.32126696832579188</v>
      </c>
      <c r="R4" s="49" t="s">
        <v>192</v>
      </c>
      <c r="S4" s="52">
        <v>0.13043478260869565</v>
      </c>
      <c r="T4" s="49" t="s">
        <v>163</v>
      </c>
      <c r="U4" s="53">
        <v>8972.7272727272721</v>
      </c>
      <c r="V4" s="49" t="s">
        <v>126</v>
      </c>
      <c r="W4" s="53">
        <v>-6777.4193548387093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211</v>
      </c>
      <c r="AE4" s="52">
        <v>0.57777777777777772</v>
      </c>
      <c r="AF4" s="49" t="s">
        <v>192</v>
      </c>
      <c r="AG4" s="52">
        <v>0.47435897435897434</v>
      </c>
      <c r="AH4" s="49" t="s">
        <v>189</v>
      </c>
      <c r="AI4" s="52">
        <v>0.48717948717948717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34</v>
      </c>
      <c r="D5" s="47" t="s">
        <v>189</v>
      </c>
      <c r="E5" s="48">
        <v>61.199999999999989</v>
      </c>
      <c r="F5" s="49" t="s">
        <v>189</v>
      </c>
      <c r="G5" s="61">
        <v>2.1857142857142855</v>
      </c>
      <c r="H5" s="49" t="s">
        <v>139</v>
      </c>
      <c r="I5" s="53">
        <v>1599.4046010783363</v>
      </c>
      <c r="J5" s="49" t="s">
        <v>211</v>
      </c>
      <c r="K5" s="50">
        <v>1.9285714285714286</v>
      </c>
      <c r="L5" s="49" t="s">
        <v>211</v>
      </c>
      <c r="M5" s="51">
        <v>0.39285714285714285</v>
      </c>
      <c r="N5" s="49" t="s">
        <v>190</v>
      </c>
      <c r="O5" s="51">
        <v>0.30769230769230771</v>
      </c>
      <c r="P5" s="49" t="s">
        <v>189</v>
      </c>
      <c r="Q5" s="52">
        <v>0.30588235294117649</v>
      </c>
      <c r="R5" s="49" t="s">
        <v>211</v>
      </c>
      <c r="S5" s="52">
        <v>0.14479638009049775</v>
      </c>
      <c r="T5" s="49" t="s">
        <v>195</v>
      </c>
      <c r="U5" s="53">
        <v>8526.3157894736851</v>
      </c>
      <c r="V5" s="49" t="s">
        <v>211</v>
      </c>
      <c r="W5" s="53">
        <v>-6971.875</v>
      </c>
      <c r="X5" s="49" t="s">
        <v>189</v>
      </c>
      <c r="Y5" s="51">
        <v>3.5714285714285712E-2</v>
      </c>
      <c r="Z5" s="49" t="s">
        <v>163</v>
      </c>
      <c r="AA5" s="52">
        <v>0.2530612244897959</v>
      </c>
      <c r="AB5" s="49" t="s">
        <v>221</v>
      </c>
      <c r="AC5" s="52">
        <v>0.27777777777777779</v>
      </c>
      <c r="AD5" s="49" t="s">
        <v>126</v>
      </c>
      <c r="AE5" s="52">
        <v>0.54400000000000004</v>
      </c>
      <c r="AF5" s="49" t="s">
        <v>190</v>
      </c>
      <c r="AG5" s="52">
        <v>0.45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163</v>
      </c>
      <c r="C6" s="114">
        <v>28</v>
      </c>
      <c r="D6" s="47" t="s">
        <v>139</v>
      </c>
      <c r="E6" s="48">
        <v>3.5527136788005009E-14</v>
      </c>
      <c r="F6" s="49" t="s">
        <v>139</v>
      </c>
      <c r="G6" s="61">
        <v>1.6003214769371625E-16</v>
      </c>
      <c r="H6" s="49" t="s">
        <v>192</v>
      </c>
      <c r="I6" s="53">
        <v>1587.2015837819306</v>
      </c>
      <c r="J6" s="49" t="s">
        <v>139</v>
      </c>
      <c r="K6" s="50">
        <v>1.9954954954954955</v>
      </c>
      <c r="L6" s="49" t="s">
        <v>189</v>
      </c>
      <c r="M6" s="51">
        <v>0.39285714285714285</v>
      </c>
      <c r="N6" s="49" t="s">
        <v>211</v>
      </c>
      <c r="O6" s="51">
        <v>0.32142857142857145</v>
      </c>
      <c r="P6" s="49" t="s">
        <v>126</v>
      </c>
      <c r="Q6" s="52">
        <v>0.30181086519114686</v>
      </c>
      <c r="R6" s="49" t="s">
        <v>221</v>
      </c>
      <c r="S6" s="52">
        <v>0.16666666666666666</v>
      </c>
      <c r="T6" s="49" t="s">
        <v>126</v>
      </c>
      <c r="U6" s="53">
        <v>8346.6666666666661</v>
      </c>
      <c r="V6" s="49" t="s">
        <v>195</v>
      </c>
      <c r="W6" s="53">
        <v>-7154.545454545455</v>
      </c>
      <c r="X6" s="49" t="s">
        <v>192</v>
      </c>
      <c r="Y6" s="51">
        <v>5.8823529411764705E-2</v>
      </c>
      <c r="Z6" s="49" t="s">
        <v>126</v>
      </c>
      <c r="AA6" s="52">
        <v>0.25150905432595572</v>
      </c>
      <c r="AB6" s="49" t="s">
        <v>192</v>
      </c>
      <c r="AC6" s="52">
        <v>0.2608695652173913</v>
      </c>
      <c r="AD6" s="49" t="s">
        <v>190</v>
      </c>
      <c r="AE6" s="52">
        <v>0.54166666666666663</v>
      </c>
      <c r="AF6" s="49" t="s">
        <v>195</v>
      </c>
      <c r="AG6" s="52">
        <v>0.44444444444444442</v>
      </c>
      <c r="AH6" s="49" t="s">
        <v>163</v>
      </c>
      <c r="AI6" s="52">
        <v>0.45454545454545453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211</v>
      </c>
      <c r="C7" s="114">
        <v>28</v>
      </c>
      <c r="D7" s="47" t="s">
        <v>221</v>
      </c>
      <c r="E7" s="48">
        <v>-13.5</v>
      </c>
      <c r="F7" s="49" t="s">
        <v>126</v>
      </c>
      <c r="G7" s="61">
        <v>-0.61864406779661085</v>
      </c>
      <c r="H7" s="49" t="s">
        <v>211</v>
      </c>
      <c r="I7" s="53">
        <v>1520.3458986715063</v>
      </c>
      <c r="J7" s="49" t="s">
        <v>195</v>
      </c>
      <c r="K7" s="50">
        <v>2</v>
      </c>
      <c r="L7" s="49" t="s">
        <v>139</v>
      </c>
      <c r="M7" s="51">
        <v>0.33783783783783783</v>
      </c>
      <c r="N7" s="49" t="s">
        <v>139</v>
      </c>
      <c r="O7" s="51">
        <v>0.33333333333333331</v>
      </c>
      <c r="P7" s="49" t="s">
        <v>139</v>
      </c>
      <c r="Q7" s="52">
        <v>0.29399255715045186</v>
      </c>
      <c r="R7" s="49" t="s">
        <v>139</v>
      </c>
      <c r="S7" s="52">
        <v>0.16799574694311536</v>
      </c>
      <c r="T7" s="49" t="s">
        <v>193</v>
      </c>
      <c r="U7" s="53">
        <v>8212.5</v>
      </c>
      <c r="V7" s="49" t="s">
        <v>139</v>
      </c>
      <c r="W7" s="53">
        <v>-7318.0379746835442</v>
      </c>
      <c r="X7" s="49" t="s">
        <v>126</v>
      </c>
      <c r="Y7" s="51">
        <v>6.7796610169491525E-2</v>
      </c>
      <c r="Z7" s="49" t="s">
        <v>139</v>
      </c>
      <c r="AA7" s="52">
        <v>0.23976608187134502</v>
      </c>
      <c r="AB7" s="49" t="s">
        <v>211</v>
      </c>
      <c r="AC7" s="52">
        <v>0.23981900452488689</v>
      </c>
      <c r="AD7" s="49" t="s">
        <v>192</v>
      </c>
      <c r="AE7" s="52">
        <v>0.52238805970149249</v>
      </c>
      <c r="AF7" s="49" t="s">
        <v>139</v>
      </c>
      <c r="AG7" s="52">
        <v>0.42889908256880732</v>
      </c>
      <c r="AH7" s="49" t="s">
        <v>126</v>
      </c>
      <c r="AI7" s="52">
        <v>0.44666666666666666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189</v>
      </c>
      <c r="C8" s="114">
        <v>28</v>
      </c>
      <c r="D8" s="47" t="s">
        <v>126</v>
      </c>
      <c r="E8" s="48">
        <v>-36.500000000000043</v>
      </c>
      <c r="F8" s="49" t="s">
        <v>163</v>
      </c>
      <c r="G8" s="61">
        <v>-2.3964285714285718</v>
      </c>
      <c r="H8" s="49" t="s">
        <v>190</v>
      </c>
      <c r="I8" s="53">
        <v>1513.7987256195274</v>
      </c>
      <c r="J8" s="49" t="s">
        <v>163</v>
      </c>
      <c r="K8" s="50">
        <v>2.0357142857142856</v>
      </c>
      <c r="L8" s="49" t="s">
        <v>163</v>
      </c>
      <c r="M8" s="51">
        <v>0.32142857142857145</v>
      </c>
      <c r="N8" s="49" t="s">
        <v>126</v>
      </c>
      <c r="O8" s="51">
        <v>0.3559322033898305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8049.1862567811932</v>
      </c>
      <c r="V8" s="49" t="s">
        <v>192</v>
      </c>
      <c r="W8" s="53">
        <v>-7448.7179487179483</v>
      </c>
      <c r="X8" s="49" t="s">
        <v>211</v>
      </c>
      <c r="Y8" s="51">
        <v>7.1428571428571425E-2</v>
      </c>
      <c r="Z8" s="49" t="s">
        <v>216</v>
      </c>
      <c r="AA8" s="52">
        <v>0.22857142857142856</v>
      </c>
      <c r="AB8" s="49" t="s">
        <v>139</v>
      </c>
      <c r="AC8" s="52">
        <v>0.23179160021265285</v>
      </c>
      <c r="AD8" s="49" t="s">
        <v>139</v>
      </c>
      <c r="AE8" s="52">
        <v>0.50997782705099781</v>
      </c>
      <c r="AF8" s="49" t="s">
        <v>126</v>
      </c>
      <c r="AG8" s="52">
        <v>0.42727272727272725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195</v>
      </c>
      <c r="E9" s="48">
        <v>-45.7</v>
      </c>
      <c r="F9" s="49" t="s">
        <v>195</v>
      </c>
      <c r="G9" s="61">
        <v>-5.7125000000000004</v>
      </c>
      <c r="H9" s="49" t="s">
        <v>221</v>
      </c>
      <c r="I9" s="53">
        <v>1497.379788</v>
      </c>
      <c r="J9" s="49" t="s">
        <v>126</v>
      </c>
      <c r="K9" s="50">
        <v>2.0847457627118646</v>
      </c>
      <c r="L9" s="49" t="s">
        <v>126</v>
      </c>
      <c r="M9" s="51">
        <v>0.2711864406779661</v>
      </c>
      <c r="N9" s="49" t="s">
        <v>163</v>
      </c>
      <c r="O9" s="51">
        <v>0.35714285714285715</v>
      </c>
      <c r="P9" s="49" t="s">
        <v>163</v>
      </c>
      <c r="Q9" s="52">
        <v>0.26938775510204083</v>
      </c>
      <c r="R9" s="49" t="s">
        <v>189</v>
      </c>
      <c r="S9" s="52">
        <v>0.17254901960784313</v>
      </c>
      <c r="T9" s="49" t="s">
        <v>192</v>
      </c>
      <c r="U9" s="53">
        <v>7923.3009708737864</v>
      </c>
      <c r="V9" s="49" t="s">
        <v>189</v>
      </c>
      <c r="W9" s="53">
        <v>-7518.181818181818</v>
      </c>
      <c r="X9" s="49" t="s">
        <v>190</v>
      </c>
      <c r="Y9" s="51">
        <v>7.6923076923076927E-2</v>
      </c>
      <c r="Z9" s="49" t="s">
        <v>190</v>
      </c>
      <c r="AA9" s="52">
        <v>0.22641509433962265</v>
      </c>
      <c r="AB9" s="49" t="s">
        <v>126</v>
      </c>
      <c r="AC9" s="52">
        <v>0.22132796780684105</v>
      </c>
      <c r="AD9" s="49" t="s">
        <v>189</v>
      </c>
      <c r="AE9" s="52">
        <v>0.47142857142857142</v>
      </c>
      <c r="AF9" s="49" t="s">
        <v>189</v>
      </c>
      <c r="AG9" s="52">
        <v>0.40789473684210525</v>
      </c>
      <c r="AH9" s="49" t="s">
        <v>139</v>
      </c>
      <c r="AI9" s="52">
        <v>0.42495479204339964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13</v>
      </c>
      <c r="D10" s="47" t="s">
        <v>193</v>
      </c>
      <c r="E10" s="48">
        <v>-51.699999999999996</v>
      </c>
      <c r="F10" s="49" t="s">
        <v>221</v>
      </c>
      <c r="G10" s="61">
        <v>-6.75</v>
      </c>
      <c r="H10" s="49" t="s">
        <v>216</v>
      </c>
      <c r="I10" s="53">
        <v>1475.2783888604056</v>
      </c>
      <c r="J10" s="49" t="s">
        <v>190</v>
      </c>
      <c r="K10" s="50">
        <v>2.1538461538461537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126</v>
      </c>
      <c r="S10" s="52">
        <v>0.18712273641851107</v>
      </c>
      <c r="T10" s="49" t="s">
        <v>211</v>
      </c>
      <c r="U10" s="53">
        <v>7802.8169014084506</v>
      </c>
      <c r="V10" s="49" t="s">
        <v>163</v>
      </c>
      <c r="W10" s="53">
        <v>-7832.608695652174</v>
      </c>
      <c r="X10" s="49" t="s">
        <v>139</v>
      </c>
      <c r="Y10" s="51">
        <v>8.1081081081081086E-2</v>
      </c>
      <c r="Z10" s="49" t="s">
        <v>192</v>
      </c>
      <c r="AA10" s="52">
        <v>0.22408026755852842</v>
      </c>
      <c r="AB10" s="49" t="s">
        <v>163</v>
      </c>
      <c r="AC10" s="52">
        <v>0.20816326530612245</v>
      </c>
      <c r="AD10" s="49" t="s">
        <v>163</v>
      </c>
      <c r="AE10" s="52">
        <v>0.45161290322580644</v>
      </c>
      <c r="AF10" s="49" t="s">
        <v>193</v>
      </c>
      <c r="AG10" s="52">
        <v>0.4</v>
      </c>
      <c r="AH10" s="49" t="s">
        <v>192</v>
      </c>
      <c r="AI10" s="52">
        <v>0.40776699029126212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163</v>
      </c>
      <c r="E11" s="48">
        <v>-67.100000000000009</v>
      </c>
      <c r="F11" s="49" t="s">
        <v>190</v>
      </c>
      <c r="G11" s="61">
        <v>-7.1923076923076934</v>
      </c>
      <c r="H11" s="49" t="s">
        <v>189</v>
      </c>
      <c r="I11" s="53">
        <v>1468.6685579009436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195</v>
      </c>
      <c r="O11" s="51">
        <v>0.5</v>
      </c>
      <c r="P11" s="49" t="s">
        <v>190</v>
      </c>
      <c r="Q11" s="52">
        <v>0.22641509433962265</v>
      </c>
      <c r="R11" s="49" t="s">
        <v>163</v>
      </c>
      <c r="S11" s="52">
        <v>0.18775510204081633</v>
      </c>
      <c r="T11" s="49" t="s">
        <v>189</v>
      </c>
      <c r="U11" s="53">
        <v>7446.1538461538457</v>
      </c>
      <c r="V11" s="49" t="s">
        <v>216</v>
      </c>
      <c r="W11" s="53">
        <v>-7886.2068965517237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0.18867924528301888</v>
      </c>
      <c r="AD11" s="49" t="s">
        <v>216</v>
      </c>
      <c r="AE11" s="52">
        <v>0.4375</v>
      </c>
      <c r="AF11" s="49" t="s">
        <v>221</v>
      </c>
      <c r="AG11" s="52">
        <v>0.4</v>
      </c>
      <c r="AH11" s="49" t="s">
        <v>211</v>
      </c>
      <c r="AI11" s="52">
        <v>0.38028169014084506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190</v>
      </c>
      <c r="E12" s="48">
        <v>-93.500000000000014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190</v>
      </c>
      <c r="M12" s="51">
        <v>0.15384615384615385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216</v>
      </c>
      <c r="U12" s="53">
        <v>7183.333333333333</v>
      </c>
      <c r="V12" s="49" t="s">
        <v>193</v>
      </c>
      <c r="W12" s="53">
        <v>-9387.5</v>
      </c>
      <c r="X12" s="49" t="s">
        <v>163</v>
      </c>
      <c r="Y12" s="51">
        <v>0.14285714285714285</v>
      </c>
      <c r="Z12" s="49" t="s">
        <v>211</v>
      </c>
      <c r="AA12" s="52">
        <v>0.20361990950226244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0.37254901960784315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190</v>
      </c>
      <c r="U13" s="53">
        <v>7050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22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222</v>
      </c>
      <c r="C2" s="134"/>
      <c r="E2" s="26" t="s">
        <v>66</v>
      </c>
      <c r="F2" s="23" t="s">
        <v>22</v>
      </c>
      <c r="G2" s="11">
        <v>433</v>
      </c>
      <c r="H2" s="87">
        <f>IF(B$20=0,0,G2/B$20)</f>
        <v>0.78300180831826405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-40.54054054054054</v>
      </c>
      <c r="Q2" s="76">
        <v>222</v>
      </c>
      <c r="R2" s="63">
        <v>-9000</v>
      </c>
    </row>
    <row r="3" spans="1:18" x14ac:dyDescent="0.45">
      <c r="A3" s="19" t="s">
        <v>8</v>
      </c>
      <c r="B3" s="135">
        <v>1881</v>
      </c>
      <c r="C3" s="136"/>
      <c r="E3" s="27" t="s">
        <v>72</v>
      </c>
      <c r="F3" s="24" t="s">
        <v>27</v>
      </c>
      <c r="G3" s="12">
        <v>334</v>
      </c>
      <c r="H3" s="88">
        <f>IF(B$20=0,0,G3/B$20)</f>
        <v>0.60397830018083187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41.666666666666664</v>
      </c>
      <c r="Q3" s="77">
        <v>216</v>
      </c>
      <c r="R3" s="64">
        <v>9000</v>
      </c>
    </row>
    <row r="4" spans="1:18" x14ac:dyDescent="0.45">
      <c r="A4" s="19" t="s">
        <v>6</v>
      </c>
      <c r="B4" s="137">
        <v>3.5527136788005009E-14</v>
      </c>
      <c r="C4" s="138"/>
      <c r="E4" s="27" t="s">
        <v>64</v>
      </c>
      <c r="F4" s="24" t="s">
        <v>20</v>
      </c>
      <c r="G4" s="12">
        <v>221</v>
      </c>
      <c r="H4" s="88">
        <f>IF(B$20=0,0,G4/B$20)</f>
        <v>0.39963833634719709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-27.397260273972602</v>
      </c>
      <c r="Q4" s="77">
        <v>219</v>
      </c>
      <c r="R4" s="64">
        <v>-6000</v>
      </c>
    </row>
    <row r="5" spans="1:18" x14ac:dyDescent="0.45">
      <c r="A5" s="19" t="s">
        <v>7</v>
      </c>
      <c r="B5" s="125">
        <f>IF(B$2=0,0,B$4/B$2)</f>
        <v>1.6003214769371625E-16</v>
      </c>
      <c r="C5" s="126"/>
      <c r="E5" s="27" t="s">
        <v>159</v>
      </c>
      <c r="F5" s="24" t="s">
        <v>160</v>
      </c>
      <c r="G5" s="12">
        <v>208</v>
      </c>
      <c r="H5" s="88">
        <f>IF(B$20=0,0,G5/B$20)</f>
        <v>0.37613019891500904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9.8039215686274517</v>
      </c>
      <c r="Q5" s="77">
        <v>204</v>
      </c>
      <c r="R5" s="64">
        <v>2000</v>
      </c>
    </row>
    <row r="6" spans="1:18" x14ac:dyDescent="0.45">
      <c r="A6" s="19" t="s">
        <v>196</v>
      </c>
      <c r="B6" s="129">
        <v>1599.4046010783363</v>
      </c>
      <c r="C6" s="130"/>
      <c r="E6" s="27" t="s">
        <v>68</v>
      </c>
      <c r="F6" s="24" t="s">
        <v>12</v>
      </c>
      <c r="G6" s="12">
        <v>161</v>
      </c>
      <c r="H6" s="88">
        <f>IF(B$20=0,0,G6/B$20)</f>
        <v>0.29113924050632911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5.376344086021505</v>
      </c>
      <c r="Q6" s="77">
        <v>186</v>
      </c>
      <c r="R6" s="64">
        <v>1000</v>
      </c>
    </row>
    <row r="7" spans="1:18" x14ac:dyDescent="0.45">
      <c r="A7" s="19" t="s">
        <v>1</v>
      </c>
      <c r="B7" s="139">
        <f>IF(B$2=0,0,(B$8*1+B$9*2+B$10*3)/B$2)</f>
        <v>1.9954954954954955</v>
      </c>
      <c r="C7" s="140"/>
      <c r="E7" s="27" t="s">
        <v>67</v>
      </c>
      <c r="F7" s="24" t="s">
        <v>23</v>
      </c>
      <c r="G7" s="12">
        <v>116</v>
      </c>
      <c r="H7" s="88">
        <f>IF(B$20=0,0,G7/B$20)</f>
        <v>0.20976491862567812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20</v>
      </c>
      <c r="Q7" s="78">
        <v>150</v>
      </c>
      <c r="R7" s="65">
        <v>3000</v>
      </c>
    </row>
    <row r="8" spans="1:18" x14ac:dyDescent="0.45">
      <c r="A8" s="19" t="s">
        <v>2</v>
      </c>
      <c r="B8" s="12">
        <v>75</v>
      </c>
      <c r="C8" s="6">
        <f t="shared" ref="C8:C15" si="1">IF(B$2=0,0,B8/B$2)</f>
        <v>0.33783783783783783</v>
      </c>
      <c r="E8" s="27" t="s">
        <v>89</v>
      </c>
      <c r="F8" s="24" t="s">
        <v>44</v>
      </c>
      <c r="G8" s="12">
        <v>77</v>
      </c>
      <c r="H8" s="88">
        <f>IF(B$20=0,0,G8/B$20)</f>
        <v>0.13924050632911392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73</v>
      </c>
      <c r="C9" s="6">
        <f t="shared" si="1"/>
        <v>0.32882882882882886</v>
      </c>
      <c r="E9" s="27" t="s">
        <v>69</v>
      </c>
      <c r="F9" s="24" t="s">
        <v>24</v>
      </c>
      <c r="G9" s="12">
        <v>70</v>
      </c>
      <c r="H9" s="88">
        <f>IF(B$20=0,0,G9/B$20)</f>
        <v>0.12658227848101267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74</v>
      </c>
      <c r="C10" s="7">
        <f t="shared" si="1"/>
        <v>0.33333333333333331</v>
      </c>
      <c r="E10" s="27" t="s">
        <v>70</v>
      </c>
      <c r="F10" s="24" t="s">
        <v>25</v>
      </c>
      <c r="G10" s="12">
        <v>59</v>
      </c>
      <c r="H10" s="88">
        <f>IF(B$20=0,0,G10/B$20)</f>
        <v>0.10669077757685352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2.5013513513513517</v>
      </c>
      <c r="Q10" s="76">
        <v>74</v>
      </c>
      <c r="R10" s="67">
        <v>185.10000000000002</v>
      </c>
    </row>
    <row r="11" spans="1:18" x14ac:dyDescent="0.45">
      <c r="A11" s="20" t="s">
        <v>184</v>
      </c>
      <c r="B11" s="109">
        <f>IF(B8=0,0,C11/B8)</f>
        <v>34.762666666666654</v>
      </c>
      <c r="C11" s="110">
        <v>2607.1999999999989</v>
      </c>
      <c r="E11" s="27" t="s">
        <v>65</v>
      </c>
      <c r="F11" s="24" t="s">
        <v>21</v>
      </c>
      <c r="G11" s="12">
        <v>46</v>
      </c>
      <c r="H11" s="88">
        <f>IF(B$20=0,0,G11/B$20)</f>
        <v>8.3182640144665462E-2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-5.1472972972972961</v>
      </c>
      <c r="Q11" s="77">
        <v>74</v>
      </c>
      <c r="R11" s="68">
        <v>-380.89999999999992</v>
      </c>
    </row>
    <row r="12" spans="1:18" x14ac:dyDescent="0.45">
      <c r="A12" s="20" t="s">
        <v>185</v>
      </c>
      <c r="B12" s="109">
        <f>IF(B9=0,0,C12/B9)</f>
        <v>-0.97397260273972597</v>
      </c>
      <c r="C12" s="110">
        <v>-71.099999999999994</v>
      </c>
      <c r="E12" s="27" t="s">
        <v>71</v>
      </c>
      <c r="F12" s="24" t="s">
        <v>26</v>
      </c>
      <c r="G12" s="12">
        <v>31</v>
      </c>
      <c r="H12" s="88">
        <f>IF(B$20=0,0,G12/B$20)</f>
        <v>5.6057866184448461E-2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2.6459459459459462</v>
      </c>
      <c r="Q12" s="78">
        <v>74</v>
      </c>
      <c r="R12" s="69">
        <v>195.8</v>
      </c>
    </row>
    <row r="13" spans="1:18" x14ac:dyDescent="0.45">
      <c r="A13" s="20" t="s">
        <v>186</v>
      </c>
      <c r="B13" s="109">
        <f>IF(B10=0,0,C13/B10)</f>
        <v>-34.271621621621627</v>
      </c>
      <c r="C13" s="110">
        <v>-2536.1000000000004</v>
      </c>
      <c r="E13" s="27" t="s">
        <v>86</v>
      </c>
      <c r="F13" s="24" t="s">
        <v>41</v>
      </c>
      <c r="G13" s="12">
        <v>31</v>
      </c>
      <c r="H13" s="88">
        <f>IF(B$20=0,0,G13/B$20)</f>
        <v>5.6057866184448461E-2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-0.16097585256490041</v>
      </c>
      <c r="C14" s="126"/>
      <c r="E14" s="27" t="s">
        <v>83</v>
      </c>
      <c r="F14" s="24" t="s">
        <v>38</v>
      </c>
      <c r="G14" s="12">
        <v>24</v>
      </c>
      <c r="H14" s="88">
        <f>IF(B$20=0,0,G14/B$20)</f>
        <v>4.3399638336347197E-2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18</v>
      </c>
      <c r="C15" s="9">
        <f t="shared" si="1"/>
        <v>8.1081081081081086E-2</v>
      </c>
      <c r="E15" s="27" t="s">
        <v>81</v>
      </c>
      <c r="F15" s="24" t="s">
        <v>36</v>
      </c>
      <c r="G15" s="12">
        <v>22</v>
      </c>
      <c r="H15" s="88">
        <f>IF(B$20=0,0,G15/B$20)</f>
        <v>3.9783001808318265E-2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451</v>
      </c>
      <c r="C16" s="10">
        <f>IF(B$3=0,0,B16/B$3)</f>
        <v>0.23976608187134502</v>
      </c>
      <c r="E16" s="27" t="s">
        <v>78</v>
      </c>
      <c r="F16" s="24" t="s">
        <v>33</v>
      </c>
      <c r="G16" s="12">
        <v>15</v>
      </c>
      <c r="H16" s="88">
        <f>IF(B$20=0,0,G16/B$20)</f>
        <v>2.7124773960216998E-2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436</v>
      </c>
      <c r="C17" s="6">
        <f>IF(B$3=0,0,B17/B$3)</f>
        <v>0.23179160021265285</v>
      </c>
      <c r="E17" s="27" t="s">
        <v>91</v>
      </c>
      <c r="F17" s="24" t="s">
        <v>46</v>
      </c>
      <c r="G17" s="12">
        <v>11</v>
      </c>
      <c r="H17" s="88">
        <f>IF(B$20=0,0,G17/B$20)</f>
        <v>1.9891500904159132E-2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190</v>
      </c>
      <c r="P17" s="83">
        <f>IF(Q17=0,0,R17/Q17)</f>
        <v>10.788461538461538</v>
      </c>
      <c r="Q17" s="77">
        <v>26</v>
      </c>
      <c r="R17" s="68">
        <v>280.5</v>
      </c>
    </row>
    <row r="18" spans="1:18" x14ac:dyDescent="0.45">
      <c r="A18" s="18" t="s">
        <v>123</v>
      </c>
      <c r="B18" s="11">
        <f>B24</f>
        <v>230</v>
      </c>
      <c r="C18" s="5">
        <f>IF(B$16=0,0,B18/B$16)</f>
        <v>0.50997782705099781</v>
      </c>
      <c r="E18" s="27" t="s">
        <v>155</v>
      </c>
      <c r="F18" s="24" t="s">
        <v>156</v>
      </c>
      <c r="G18" s="12">
        <v>11</v>
      </c>
      <c r="H18" s="88">
        <f>IF(B$20=0,0,G18/B$20)</f>
        <v>1.9891500904159132E-2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187</v>
      </c>
      <c r="C19" s="5">
        <f>IF(B$17=0,0,B19/B$17)</f>
        <v>0.42889908256880732</v>
      </c>
      <c r="E19" s="27" t="s">
        <v>79</v>
      </c>
      <c r="F19" s="24" t="s">
        <v>34</v>
      </c>
      <c r="G19" s="12">
        <v>9</v>
      </c>
      <c r="H19" s="88">
        <f>IF(B$20=0,0,G19/B$20)</f>
        <v>1.62748643761302E-2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8.568750000000005</v>
      </c>
      <c r="Q19" s="77">
        <v>16</v>
      </c>
      <c r="R19" s="68">
        <v>137.10000000000008</v>
      </c>
    </row>
    <row r="20" spans="1:18" x14ac:dyDescent="0.45">
      <c r="A20" s="18" t="s">
        <v>10</v>
      </c>
      <c r="B20" s="11">
        <f>B23+B22</f>
        <v>553</v>
      </c>
      <c r="C20" s="5">
        <f>IF(B$3=0,0,B20/B$3)</f>
        <v>0.29399255715045186</v>
      </c>
      <c r="E20" s="27" t="s">
        <v>73</v>
      </c>
      <c r="F20" s="24" t="s">
        <v>28</v>
      </c>
      <c r="G20" s="12">
        <v>6</v>
      </c>
      <c r="H20" s="88">
        <f>IF(B$20=0,0,G20/B$20)</f>
        <v>1.0849909584086799E-2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3.5946428571428592</v>
      </c>
      <c r="Q20" s="77">
        <v>56</v>
      </c>
      <c r="R20" s="68">
        <v>201.30000000000013</v>
      </c>
    </row>
    <row r="21" spans="1:18" x14ac:dyDescent="0.45">
      <c r="A21" s="19" t="s">
        <v>13</v>
      </c>
      <c r="B21" s="12">
        <v>316</v>
      </c>
      <c r="C21" s="6">
        <f>IF(B$3=0,0,B21/B$3)</f>
        <v>0.16799574694311536</v>
      </c>
      <c r="E21" s="27" t="s">
        <v>85</v>
      </c>
      <c r="F21" s="24" t="s">
        <v>40</v>
      </c>
      <c r="G21" s="12">
        <v>3</v>
      </c>
      <c r="H21" s="88">
        <f>IF(B$20=0,0,G21/B$20)</f>
        <v>5.4249547920433997E-3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0.92796610169491855</v>
      </c>
      <c r="Q21" s="77">
        <v>118</v>
      </c>
      <c r="R21" s="68">
        <v>109.50000000000038</v>
      </c>
    </row>
    <row r="22" spans="1:18" x14ac:dyDescent="0.45">
      <c r="A22" s="19" t="s">
        <v>12</v>
      </c>
      <c r="B22" s="12">
        <v>235</v>
      </c>
      <c r="C22" s="6">
        <f>IF(B$20=0,0,B22/B$20)</f>
        <v>0.42495479204339964</v>
      </c>
      <c r="E22" s="27" t="s">
        <v>88</v>
      </c>
      <c r="F22" s="24" t="s">
        <v>43</v>
      </c>
      <c r="G22" s="12">
        <v>3</v>
      </c>
      <c r="H22" s="88">
        <f>IF(B$20=0,0,G22/B$20)</f>
        <v>5.4249547920433997E-3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-3.2785714285714276</v>
      </c>
      <c r="Q22" s="77">
        <v>56</v>
      </c>
      <c r="R22" s="68">
        <v>-183.59999999999994</v>
      </c>
    </row>
    <row r="23" spans="1:18" x14ac:dyDescent="0.45">
      <c r="A23" s="19" t="s">
        <v>11</v>
      </c>
      <c r="B23" s="12">
        <v>318</v>
      </c>
      <c r="C23" s="6">
        <f>IF(B$20=0,0,B23/B$20)</f>
        <v>0.57504520795660041</v>
      </c>
      <c r="E23" s="27" t="s">
        <v>75</v>
      </c>
      <c r="F23" s="24" t="s">
        <v>30</v>
      </c>
      <c r="G23" s="12">
        <v>2</v>
      </c>
      <c r="H23" s="88">
        <f>IF(B$20=0,0,G23/B$20)</f>
        <v>3.616636528028933E-3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-5.7000000000000011</v>
      </c>
      <c r="Q23" s="77">
        <v>56</v>
      </c>
      <c r="R23" s="68">
        <v>-319.20000000000005</v>
      </c>
    </row>
    <row r="24" spans="1:18" x14ac:dyDescent="0.45">
      <c r="A24" s="19" t="s">
        <v>183</v>
      </c>
      <c r="B24" s="12">
        <v>230</v>
      </c>
      <c r="C24" s="6">
        <f>IF(B$20=0,0,B24/B$20)</f>
        <v>0.41591320072332733</v>
      </c>
      <c r="E24" s="27" t="s">
        <v>77</v>
      </c>
      <c r="F24" s="24" t="s">
        <v>32</v>
      </c>
      <c r="G24" s="12">
        <v>2</v>
      </c>
      <c r="H24" s="88">
        <f>IF(B$20=0,0,G24/B$20)</f>
        <v>3.616636528028933E-3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-14.148529411764711</v>
      </c>
      <c r="Q24" s="77">
        <v>68</v>
      </c>
      <c r="R24" s="68">
        <v>-962.10000000000036</v>
      </c>
    </row>
    <row r="25" spans="1:18" x14ac:dyDescent="0.45">
      <c r="A25" s="19" t="s">
        <v>181</v>
      </c>
      <c r="B25" s="12">
        <v>187</v>
      </c>
      <c r="C25" s="6">
        <f>IF(B$20=0,0,B25/B$20)</f>
        <v>0.33815551537070526</v>
      </c>
      <c r="E25" s="27" t="s">
        <v>92</v>
      </c>
      <c r="F25" s="24" t="s">
        <v>47</v>
      </c>
      <c r="G25" s="12">
        <v>2</v>
      </c>
      <c r="H25" s="88">
        <f>IF(B$20=0,0,G25/B$20)</f>
        <v>3.616636528028933E-3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136</v>
      </c>
      <c r="C26" s="6">
        <f>IF(B$20=0,0,B26/B$20)</f>
        <v>0.24593128390596744</v>
      </c>
      <c r="E26" s="27" t="s">
        <v>93</v>
      </c>
      <c r="F26" s="24" t="s">
        <v>48</v>
      </c>
      <c r="G26" s="12">
        <v>1</v>
      </c>
      <c r="H26" s="88">
        <f>IF(B$20=0,0,G26/B$20)</f>
        <v>1.8083182640144665E-3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8049.1862567811932</v>
      </c>
      <c r="C27" s="8">
        <v>4451200</v>
      </c>
      <c r="E27" s="27" t="s">
        <v>102</v>
      </c>
      <c r="F27" s="24" t="s">
        <v>57</v>
      </c>
      <c r="G27" s="12">
        <v>1</v>
      </c>
      <c r="H27" s="88">
        <f>IF(B$20=0,0,G27/B$20)</f>
        <v>1.8083182640144665E-3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8720.2185792349719</v>
      </c>
      <c r="C28" s="96">
        <v>3191600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6735.8288770053477</v>
      </c>
      <c r="C29" s="96">
        <v>1259600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-7318.0379746835442</v>
      </c>
      <c r="C30" s="96">
        <v>-2312500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1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2.6581605528973951E-3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49</v>
      </c>
      <c r="C37" s="98">
        <f t="shared" ref="C37:C49" si="2">IF(B$20=0,0,B37/B$20)</f>
        <v>8.8607594936708861E-2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113</v>
      </c>
      <c r="C38" s="6">
        <f t="shared" si="2"/>
        <v>0.20433996383363473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104</v>
      </c>
      <c r="C39" s="6">
        <f t="shared" si="2"/>
        <v>0.18806509945750452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94</v>
      </c>
      <c r="C40" s="6">
        <f t="shared" si="2"/>
        <v>0.16998191681735986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72</v>
      </c>
      <c r="C41" s="6">
        <f t="shared" si="2"/>
        <v>0.1301989150090416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52</v>
      </c>
      <c r="C42" s="6">
        <f t="shared" si="2"/>
        <v>9.403254972875226E-2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29</v>
      </c>
      <c r="C43" s="6">
        <f t="shared" si="2"/>
        <v>5.2441229656419529E-2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16</v>
      </c>
      <c r="C44" s="6">
        <f t="shared" si="2"/>
        <v>2.8933092224231464E-2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11</v>
      </c>
      <c r="C45" s="6">
        <f t="shared" si="2"/>
        <v>1.9891500904159132E-2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1.2658227848101266E-2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3.616636528028933E-3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7.2332730560578659E-3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61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59</v>
      </c>
      <c r="C2" s="134"/>
      <c r="E2" s="26" t="s">
        <v>66</v>
      </c>
      <c r="F2" s="23" t="s">
        <v>22</v>
      </c>
      <c r="G2" s="11">
        <v>112</v>
      </c>
      <c r="H2" s="87">
        <f>IF(B$20=0,0,G2/B$20)</f>
        <v>0.7466666666666667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991.52542372881351</v>
      </c>
      <c r="Q2" s="76">
        <v>59</v>
      </c>
      <c r="R2" s="63">
        <v>58500</v>
      </c>
    </row>
    <row r="3" spans="1:18" x14ac:dyDescent="0.45">
      <c r="A3" s="19" t="s">
        <v>8</v>
      </c>
      <c r="B3" s="135">
        <v>497</v>
      </c>
      <c r="C3" s="136"/>
      <c r="E3" s="27" t="s">
        <v>72</v>
      </c>
      <c r="F3" s="24" t="s">
        <v>27</v>
      </c>
      <c r="G3" s="12">
        <v>90</v>
      </c>
      <c r="H3" s="88">
        <f>IF(B$20=0,0,G3/B$20)</f>
        <v>0.6</v>
      </c>
      <c r="I3" s="58">
        <v>7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-891.22807017543857</v>
      </c>
      <c r="Q3" s="77">
        <v>57</v>
      </c>
      <c r="R3" s="64">
        <v>-50800</v>
      </c>
    </row>
    <row r="4" spans="1:18" x14ac:dyDescent="0.45">
      <c r="A4" s="19" t="s">
        <v>6</v>
      </c>
      <c r="B4" s="137">
        <v>-36.500000000000043</v>
      </c>
      <c r="C4" s="138"/>
      <c r="E4" s="27" t="s">
        <v>64</v>
      </c>
      <c r="F4" s="24" t="s">
        <v>20</v>
      </c>
      <c r="G4" s="12">
        <v>61</v>
      </c>
      <c r="H4" s="88">
        <f>IF(B$20=0,0,G4/B$20)</f>
        <v>0.40666666666666668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-900</v>
      </c>
      <c r="Q4" s="77">
        <v>58</v>
      </c>
      <c r="R4" s="64">
        <v>-52200</v>
      </c>
    </row>
    <row r="5" spans="1:18" x14ac:dyDescent="0.45">
      <c r="A5" s="19" t="s">
        <v>7</v>
      </c>
      <c r="B5" s="125">
        <f>IF(B$2=0,0,B$4/B$2)</f>
        <v>-0.61864406779661085</v>
      </c>
      <c r="C5" s="126"/>
      <c r="E5" s="27" t="s">
        <v>159</v>
      </c>
      <c r="F5" s="24" t="s">
        <v>160</v>
      </c>
      <c r="G5" s="12">
        <v>54</v>
      </c>
      <c r="H5" s="88">
        <f>IF(B$20=0,0,G5/B$20)</f>
        <v>0.36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303.63636363636363</v>
      </c>
      <c r="Q5" s="77">
        <v>55</v>
      </c>
      <c r="R5" s="64">
        <v>16700</v>
      </c>
    </row>
    <row r="6" spans="1:18" x14ac:dyDescent="0.45">
      <c r="A6" s="19" t="s">
        <v>196</v>
      </c>
      <c r="B6" s="129">
        <v>1762.2443083165854</v>
      </c>
      <c r="C6" s="130"/>
      <c r="E6" s="27" t="s">
        <v>68</v>
      </c>
      <c r="F6" s="24" t="s">
        <v>12</v>
      </c>
      <c r="G6" s="12">
        <v>45</v>
      </c>
      <c r="H6" s="88">
        <f>IF(B$20=0,0,G6/B$20)</f>
        <v>0.3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-210</v>
      </c>
      <c r="Q6" s="77">
        <v>50</v>
      </c>
      <c r="R6" s="64">
        <v>-10500</v>
      </c>
    </row>
    <row r="7" spans="1:18" x14ac:dyDescent="0.45">
      <c r="A7" s="19" t="s">
        <v>1</v>
      </c>
      <c r="B7" s="139">
        <f>IF(B$2=0,0,(B$8*1+B$9*2+B$10*3)/B$2)</f>
        <v>2.0847457627118646</v>
      </c>
      <c r="C7" s="140"/>
      <c r="E7" s="27" t="s">
        <v>67</v>
      </c>
      <c r="F7" s="24" t="s">
        <v>23</v>
      </c>
      <c r="G7" s="12">
        <v>32</v>
      </c>
      <c r="H7" s="88">
        <f>IF(B$20=0,0,G7/B$20)</f>
        <v>0.21333333333333335</v>
      </c>
      <c r="I7" s="58">
        <v>5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-920</v>
      </c>
      <c r="Q7" s="78">
        <v>40</v>
      </c>
      <c r="R7" s="65">
        <v>-36800</v>
      </c>
    </row>
    <row r="8" spans="1:18" x14ac:dyDescent="0.45">
      <c r="A8" s="19" t="s">
        <v>2</v>
      </c>
      <c r="B8" s="12">
        <v>16</v>
      </c>
      <c r="C8" s="6">
        <f t="shared" ref="C8:C15" si="1">IF(B$2=0,0,B8/B$2)</f>
        <v>0.2711864406779661</v>
      </c>
      <c r="E8" s="27" t="s">
        <v>69</v>
      </c>
      <c r="F8" s="24" t="s">
        <v>24</v>
      </c>
      <c r="G8" s="12">
        <v>27</v>
      </c>
      <c r="H8" s="88">
        <f>IF(B$20=0,0,G8/B$20)</f>
        <v>0.18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22</v>
      </c>
      <c r="C9" s="6">
        <f t="shared" si="1"/>
        <v>0.3728813559322034</v>
      </c>
      <c r="E9" s="27" t="s">
        <v>70</v>
      </c>
      <c r="F9" s="24" t="s">
        <v>25</v>
      </c>
      <c r="G9" s="12">
        <v>22</v>
      </c>
      <c r="H9" s="88">
        <f>IF(B$20=0,0,G9/B$20)</f>
        <v>0.14666666666666667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21</v>
      </c>
      <c r="C10" s="7">
        <f t="shared" si="1"/>
        <v>0.3559322033898305</v>
      </c>
      <c r="E10" s="27" t="s">
        <v>89</v>
      </c>
      <c r="F10" s="24" t="s">
        <v>44</v>
      </c>
      <c r="G10" s="12">
        <v>21</v>
      </c>
      <c r="H10" s="88">
        <f>IF(B$20=0,0,G10/B$20)</f>
        <v>0.14000000000000001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7.6099999999999977</v>
      </c>
      <c r="Q10" s="76">
        <v>20</v>
      </c>
      <c r="R10" s="67">
        <v>152.19999999999996</v>
      </c>
    </row>
    <row r="11" spans="1:18" x14ac:dyDescent="0.45">
      <c r="A11" s="20" t="s">
        <v>184</v>
      </c>
      <c r="B11" s="109">
        <f>IF(B8=0,0,C11/B8)</f>
        <v>39.768750000000004</v>
      </c>
      <c r="C11" s="110">
        <v>636.30000000000007</v>
      </c>
      <c r="E11" s="27" t="s">
        <v>65</v>
      </c>
      <c r="F11" s="24" t="s">
        <v>21</v>
      </c>
      <c r="G11" s="12">
        <v>13</v>
      </c>
      <c r="H11" s="88">
        <f>IF(B$20=0,0,G11/B$20)</f>
        <v>8.666666666666667E-2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-10.339130434782607</v>
      </c>
      <c r="Q11" s="77">
        <v>23</v>
      </c>
      <c r="R11" s="68">
        <v>-237.79999999999998</v>
      </c>
    </row>
    <row r="12" spans="1:18" x14ac:dyDescent="0.45">
      <c r="A12" s="20" t="s">
        <v>185</v>
      </c>
      <c r="B12" s="109">
        <f>IF(B9=0,0,C12/B9)</f>
        <v>-2.5090909090909088</v>
      </c>
      <c r="C12" s="110">
        <v>-55.199999999999996</v>
      </c>
      <c r="E12" s="27" t="s">
        <v>86</v>
      </c>
      <c r="F12" s="24" t="s">
        <v>41</v>
      </c>
      <c r="G12" s="12">
        <v>9</v>
      </c>
      <c r="H12" s="88">
        <f>IF(B$20=0,0,G12/B$20)</f>
        <v>0.06</v>
      </c>
      <c r="I12" s="58">
        <v>5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3.0687500000000005</v>
      </c>
      <c r="Q12" s="78">
        <v>16</v>
      </c>
      <c r="R12" s="69">
        <v>49.100000000000009</v>
      </c>
    </row>
    <row r="13" spans="1:18" x14ac:dyDescent="0.45">
      <c r="A13" s="20" t="s">
        <v>186</v>
      </c>
      <c r="B13" s="109">
        <f>IF(B10=0,0,C13/B10)</f>
        <v>-29.409523809523812</v>
      </c>
      <c r="C13" s="110">
        <v>-617.6</v>
      </c>
      <c r="E13" s="27" t="s">
        <v>83</v>
      </c>
      <c r="F13" s="24" t="s">
        <v>38</v>
      </c>
      <c r="G13" s="12">
        <v>8</v>
      </c>
      <c r="H13" s="88">
        <f>IF(B$20=0,0,G13/B$20)</f>
        <v>5.3333333333333337E-2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2.6167117604617616</v>
      </c>
      <c r="C14" s="126"/>
      <c r="E14" s="27" t="s">
        <v>155</v>
      </c>
      <c r="F14" s="24" t="s">
        <v>156</v>
      </c>
      <c r="G14" s="12">
        <v>8</v>
      </c>
      <c r="H14" s="88">
        <f>IF(B$20=0,0,G14/B$20)</f>
        <v>5.3333333333333337E-2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6.7796610169491525E-2</v>
      </c>
      <c r="E15" s="27" t="s">
        <v>71</v>
      </c>
      <c r="F15" s="24" t="s">
        <v>26</v>
      </c>
      <c r="G15" s="12">
        <v>7</v>
      </c>
      <c r="H15" s="88">
        <f>IF(B$20=0,0,G15/B$20)</f>
        <v>4.6666666666666669E-2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125</v>
      </c>
      <c r="C16" s="10">
        <f>IF(B$3=0,0,B16/B$3)</f>
        <v>0.25150905432595572</v>
      </c>
      <c r="E16" s="27" t="s">
        <v>81</v>
      </c>
      <c r="F16" s="24" t="s">
        <v>36</v>
      </c>
      <c r="G16" s="12">
        <v>4</v>
      </c>
      <c r="H16" s="88">
        <f>IF(B$20=0,0,G16/B$20)</f>
        <v>2.6666666666666668E-2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>IF(Q16=0,0,R16/Q16)</f>
        <v>11.969999999999999</v>
      </c>
      <c r="Q16" s="77">
        <v>10</v>
      </c>
      <c r="R16" s="68">
        <v>119.69999999999999</v>
      </c>
    </row>
    <row r="17" spans="1:18" x14ac:dyDescent="0.45">
      <c r="A17" s="19" t="s">
        <v>118</v>
      </c>
      <c r="B17" s="12">
        <v>110</v>
      </c>
      <c r="C17" s="6">
        <f>IF(B$3=0,0,B17/B$3)</f>
        <v>0.22132796780684105</v>
      </c>
      <c r="E17" s="27" t="s">
        <v>91</v>
      </c>
      <c r="F17" s="24" t="s">
        <v>46</v>
      </c>
      <c r="G17" s="12">
        <v>4</v>
      </c>
      <c r="H17" s="88">
        <f>IF(B$20=0,0,G17/B$20)</f>
        <v>2.6666666666666668E-2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5">
      <c r="A18" s="18" t="s">
        <v>123</v>
      </c>
      <c r="B18" s="11">
        <f>B24</f>
        <v>68</v>
      </c>
      <c r="C18" s="5">
        <f>IF(B$16=0,0,B18/B$16)</f>
        <v>0.54400000000000004</v>
      </c>
      <c r="E18" s="27" t="s">
        <v>78</v>
      </c>
      <c r="F18" s="24" t="s">
        <v>33</v>
      </c>
      <c r="G18" s="12">
        <v>3</v>
      </c>
      <c r="H18" s="88">
        <f>IF(B$20=0,0,G18/B$20)</f>
        <v>0.02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9.6142857142857157</v>
      </c>
      <c r="Q18" s="77">
        <v>21</v>
      </c>
      <c r="R18" s="68">
        <v>201.90000000000003</v>
      </c>
    </row>
    <row r="19" spans="1:18" x14ac:dyDescent="0.45">
      <c r="A19" s="18" t="s">
        <v>124</v>
      </c>
      <c r="B19" s="11">
        <f>B25</f>
        <v>47</v>
      </c>
      <c r="C19" s="5">
        <f>IF(B$17=0,0,B19/B$17)</f>
        <v>0.42727272727272725</v>
      </c>
      <c r="E19" s="27" t="s">
        <v>73</v>
      </c>
      <c r="F19" s="24" t="s">
        <v>28</v>
      </c>
      <c r="G19" s="12">
        <v>2</v>
      </c>
      <c r="H19" s="88">
        <f>IF(B$20=0,0,G19/B$20)</f>
        <v>1.3333333333333334E-2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5.71875</v>
      </c>
      <c r="Q19" s="77">
        <v>16</v>
      </c>
      <c r="R19" s="68">
        <v>91.5</v>
      </c>
    </row>
    <row r="20" spans="1:18" x14ac:dyDescent="0.45">
      <c r="A20" s="18" t="s">
        <v>10</v>
      </c>
      <c r="B20" s="11">
        <f>B23+B22</f>
        <v>150</v>
      </c>
      <c r="C20" s="5">
        <f>IF(B$3=0,0,B20/B$3)</f>
        <v>0.30181086519114686</v>
      </c>
      <c r="E20" s="27" t="s">
        <v>75</v>
      </c>
      <c r="F20" s="24" t="s">
        <v>30</v>
      </c>
      <c r="G20" s="12">
        <v>1</v>
      </c>
      <c r="H20" s="88">
        <f>IF(B$20=0,0,G20/B$20)</f>
        <v>6.6666666666666671E-3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93</v>
      </c>
      <c r="C21" s="6">
        <f>IF(B$3=0,0,B21/B$3)</f>
        <v>0.18712273641851107</v>
      </c>
      <c r="E21" s="27" t="s">
        <v>79</v>
      </c>
      <c r="F21" s="24" t="s">
        <v>34</v>
      </c>
      <c r="G21" s="12">
        <v>1</v>
      </c>
      <c r="H21" s="88">
        <f>IF(B$20=0,0,G21/B$20)</f>
        <v>6.6666666666666671E-3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-9.9</v>
      </c>
      <c r="Q21" s="77">
        <v>25</v>
      </c>
      <c r="R21" s="68">
        <v>-247.5</v>
      </c>
    </row>
    <row r="22" spans="1:18" x14ac:dyDescent="0.45">
      <c r="A22" s="19" t="s">
        <v>12</v>
      </c>
      <c r="B22" s="12">
        <v>67</v>
      </c>
      <c r="C22" s="6">
        <f>IF(B$20=0,0,B22/B$20)</f>
        <v>0.44666666666666666</v>
      </c>
      <c r="E22" s="27" t="s">
        <v>85</v>
      </c>
      <c r="F22" s="24" t="s">
        <v>40</v>
      </c>
      <c r="G22" s="12">
        <v>1</v>
      </c>
      <c r="H22" s="88">
        <f>IF(B$20=0,0,G22/B$20)</f>
        <v>6.6666666666666671E-3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-16.035714285714288</v>
      </c>
      <c r="Q22" s="77">
        <v>28</v>
      </c>
      <c r="R22" s="68">
        <v>-449.00000000000006</v>
      </c>
    </row>
    <row r="23" spans="1:18" x14ac:dyDescent="0.45">
      <c r="A23" s="19" t="s">
        <v>11</v>
      </c>
      <c r="B23" s="12">
        <v>83</v>
      </c>
      <c r="C23" s="6">
        <f>IF(B$20=0,0,B23/B$20)</f>
        <v>0.55333333333333334</v>
      </c>
      <c r="E23" s="27" t="s">
        <v>92</v>
      </c>
      <c r="F23" s="24" t="s">
        <v>47</v>
      </c>
      <c r="G23" s="12">
        <v>1</v>
      </c>
      <c r="H23" s="88">
        <f>IF(B$20=0,0,G23/B$20)</f>
        <v>6.6666666666666671E-3</v>
      </c>
      <c r="I23" s="58">
        <v>2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68</v>
      </c>
      <c r="C24" s="6">
        <f>IF(B$20=0,0,B24/B$20)</f>
        <v>0.45333333333333331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47</v>
      </c>
      <c r="C25" s="6">
        <f>IF(B$20=0,0,B25/B$20)</f>
        <v>0.31333333333333335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35</v>
      </c>
      <c r="C26" s="6">
        <f>IF(B$20=0,0,B26/B$20)</f>
        <v>0.23333333333333334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8346.6666666666661</v>
      </c>
      <c r="C27" s="8">
        <v>1252000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8772.8155339805817</v>
      </c>
      <c r="C28" s="96">
        <v>903600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7412.7659574468089</v>
      </c>
      <c r="C29" s="96">
        <v>348400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-6777.4193548387093</v>
      </c>
      <c r="C30" s="96">
        <v>-630300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2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8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2.012072434607646E-3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9</v>
      </c>
      <c r="C37" s="98">
        <f t="shared" ref="C37:C49" si="2">IF(B$20=0,0,B37/B$20)</f>
        <v>0.06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27</v>
      </c>
      <c r="C38" s="6">
        <f t="shared" si="2"/>
        <v>0.18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35</v>
      </c>
      <c r="C39" s="6">
        <f t="shared" si="2"/>
        <v>0.23333333333333334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21</v>
      </c>
      <c r="C40" s="6">
        <f t="shared" si="2"/>
        <v>0.14000000000000001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23</v>
      </c>
      <c r="C41" s="6">
        <f t="shared" si="2"/>
        <v>0.15333333333333332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18</v>
      </c>
      <c r="C42" s="6">
        <f t="shared" si="2"/>
        <v>0.12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5.3333333333333337E-2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1.3333333333333334E-2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2.6666666666666668E-2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6.6666666666666671E-3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6.6666666666666671E-3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6.6666666666666671E-3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67</v>
      </c>
      <c r="H2" s="87">
        <f>IF(B$20=0,0,G2/B$20)</f>
        <v>1.0151515151515151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1878.5714285714287</v>
      </c>
      <c r="Q2" s="76">
        <v>28</v>
      </c>
      <c r="R2" s="63">
        <v>52600</v>
      </c>
    </row>
    <row r="3" spans="1:18" x14ac:dyDescent="0.45">
      <c r="A3" s="19" t="s">
        <v>8</v>
      </c>
      <c r="B3" s="135">
        <v>245</v>
      </c>
      <c r="C3" s="136"/>
      <c r="E3" s="27" t="s">
        <v>72</v>
      </c>
      <c r="F3" s="24" t="s">
        <v>27</v>
      </c>
      <c r="G3" s="12">
        <v>35</v>
      </c>
      <c r="H3" s="88">
        <f>IF(B$20=0,0,G3/B$20)</f>
        <v>0.53030303030303028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-2022.2222222222222</v>
      </c>
      <c r="Q3" s="77">
        <v>27</v>
      </c>
      <c r="R3" s="64">
        <v>-54600</v>
      </c>
    </row>
    <row r="4" spans="1:18" x14ac:dyDescent="0.45">
      <c r="A4" s="19" t="s">
        <v>6</v>
      </c>
      <c r="B4" s="137">
        <v>-67.100000000000009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0.42424242424242425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503.7037037037037</v>
      </c>
      <c r="Q4" s="77">
        <v>27</v>
      </c>
      <c r="R4" s="64">
        <v>13600</v>
      </c>
    </row>
    <row r="5" spans="1:18" x14ac:dyDescent="0.45">
      <c r="A5" s="19" t="s">
        <v>7</v>
      </c>
      <c r="B5" s="125">
        <f>IF(B$2=0,0,B$4/B$2)</f>
        <v>-2.3964285714285718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0.40909090909090912</v>
      </c>
      <c r="I5" s="58">
        <v>3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176.92307692307693</v>
      </c>
      <c r="Q5" s="77">
        <v>26</v>
      </c>
      <c r="R5" s="64">
        <v>4600</v>
      </c>
    </row>
    <row r="6" spans="1:18" x14ac:dyDescent="0.45">
      <c r="A6" s="19" t="s">
        <v>196</v>
      </c>
      <c r="B6" s="129">
        <v>1638.0732230081205</v>
      </c>
      <c r="C6" s="130"/>
      <c r="E6" s="27" t="s">
        <v>68</v>
      </c>
      <c r="F6" s="24" t="s">
        <v>12</v>
      </c>
      <c r="G6" s="12">
        <v>23</v>
      </c>
      <c r="H6" s="88">
        <f>IF(B$20=0,0,G6/B$20)</f>
        <v>0.34848484848484851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352.17391304347825</v>
      </c>
      <c r="Q6" s="77">
        <v>23</v>
      </c>
      <c r="R6" s="64">
        <v>8100</v>
      </c>
    </row>
    <row r="7" spans="1:18" x14ac:dyDescent="0.45">
      <c r="A7" s="19" t="s">
        <v>1</v>
      </c>
      <c r="B7" s="139">
        <f>IF(B$2=0,0,(B$8*1+B$9*2+B$10*3)/B$2)</f>
        <v>2.0357142857142856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0.21212121212121213</v>
      </c>
      <c r="I7" s="58">
        <v>6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-329.41176470588238</v>
      </c>
      <c r="Q7" s="78">
        <v>17</v>
      </c>
      <c r="R7" s="65">
        <v>-5600</v>
      </c>
    </row>
    <row r="8" spans="1:18" x14ac:dyDescent="0.45">
      <c r="A8" s="19" t="s">
        <v>2</v>
      </c>
      <c r="B8" s="12">
        <v>9</v>
      </c>
      <c r="C8" s="6">
        <f t="shared" ref="C8:C15" si="1">IF(B$2=0,0,B8/B$2)</f>
        <v>0.32142857142857145</v>
      </c>
      <c r="E8" s="27" t="s">
        <v>89</v>
      </c>
      <c r="F8" s="24" t="s">
        <v>44</v>
      </c>
      <c r="G8" s="12">
        <v>11</v>
      </c>
      <c r="H8" s="88">
        <f>IF(B$20=0,0,G8/B$20)</f>
        <v>0.16666666666666666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0.32142857142857145</v>
      </c>
      <c r="E9" s="27" t="s">
        <v>69</v>
      </c>
      <c r="F9" s="24" t="s">
        <v>24</v>
      </c>
      <c r="G9" s="12">
        <v>6</v>
      </c>
      <c r="H9" s="88">
        <f>IF(B$20=0,0,G9/B$20)</f>
        <v>9.0909090909090912E-2</v>
      </c>
      <c r="I9" s="58">
        <v>7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0.35714285714285715</v>
      </c>
      <c r="E10" s="27" t="s">
        <v>65</v>
      </c>
      <c r="F10" s="24" t="s">
        <v>21</v>
      </c>
      <c r="G10" s="12">
        <v>5</v>
      </c>
      <c r="H10" s="88">
        <f>IF(B$20=0,0,G10/B$20)</f>
        <v>7.575757575757576E-2</v>
      </c>
      <c r="I10" s="58">
        <v>8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-5.416666666666667</v>
      </c>
      <c r="Q10" s="76">
        <v>12</v>
      </c>
      <c r="R10" s="67">
        <v>-65</v>
      </c>
    </row>
    <row r="11" spans="1:18" x14ac:dyDescent="0.45">
      <c r="A11" s="20" t="s">
        <v>184</v>
      </c>
      <c r="B11" s="109">
        <f>IF(B8=0,0,C11/B8)</f>
        <v>37.755555555555553</v>
      </c>
      <c r="C11" s="110">
        <v>339.79999999999995</v>
      </c>
      <c r="E11" s="27" t="s">
        <v>70</v>
      </c>
      <c r="F11" s="24" t="s">
        <v>25</v>
      </c>
      <c r="G11" s="12">
        <v>5</v>
      </c>
      <c r="H11" s="88">
        <f>IF(B$20=0,0,G11/B$20)</f>
        <v>7.575757575757576E-2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1.5124999999999975</v>
      </c>
      <c r="Q11" s="77">
        <v>8</v>
      </c>
      <c r="R11" s="68">
        <v>12.09999999999998</v>
      </c>
    </row>
    <row r="12" spans="1:18" x14ac:dyDescent="0.45">
      <c r="A12" s="20" t="s">
        <v>185</v>
      </c>
      <c r="B12" s="109">
        <f>IF(B9=0,0,C12/B9)</f>
        <v>1.7</v>
      </c>
      <c r="C12" s="110">
        <v>15.299999999999999</v>
      </c>
      <c r="E12" s="27" t="s">
        <v>81</v>
      </c>
      <c r="F12" s="24" t="s">
        <v>36</v>
      </c>
      <c r="G12" s="12">
        <v>5</v>
      </c>
      <c r="H12" s="88">
        <f>IF(B$20=0,0,G12/B$20)</f>
        <v>7.575757575757576E-2</v>
      </c>
      <c r="I12" s="58">
        <v>2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-1.7749999999999999</v>
      </c>
      <c r="Q12" s="78">
        <v>8</v>
      </c>
      <c r="R12" s="69">
        <v>-14.2</v>
      </c>
    </row>
    <row r="13" spans="1:18" x14ac:dyDescent="0.45">
      <c r="A13" s="20" t="s">
        <v>186</v>
      </c>
      <c r="B13" s="109">
        <f>IF(B10=0,0,C13/B10)</f>
        <v>-42.22</v>
      </c>
      <c r="C13" s="110">
        <v>-422.2</v>
      </c>
      <c r="E13" s="27" t="s">
        <v>86</v>
      </c>
      <c r="F13" s="24" t="s">
        <v>41</v>
      </c>
      <c r="G13" s="12">
        <v>5</v>
      </c>
      <c r="H13" s="88">
        <f>IF(B$20=0,0,G13/B$20)</f>
        <v>7.575757575757576E-2</v>
      </c>
      <c r="I13" s="58">
        <v>4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-0.92148148148148101</v>
      </c>
      <c r="C14" s="126"/>
      <c r="E14" s="27" t="s">
        <v>71</v>
      </c>
      <c r="F14" s="24" t="s">
        <v>26</v>
      </c>
      <c r="G14" s="12">
        <v>4</v>
      </c>
      <c r="H14" s="88">
        <f>IF(B$20=0,0,G14/B$20)</f>
        <v>6.0606060606060608E-2</v>
      </c>
      <c r="I14" s="58">
        <v>4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0.14285714285714285</v>
      </c>
      <c r="E15" s="27" t="s">
        <v>83</v>
      </c>
      <c r="F15" s="24" t="s">
        <v>38</v>
      </c>
      <c r="G15" s="12">
        <v>4</v>
      </c>
      <c r="H15" s="88">
        <f>IF(B$20=0,0,G15/B$20)</f>
        <v>6.0606060606060608E-2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190</v>
      </c>
      <c r="P15" s="82">
        <f>IF(Q15=0,0,R15/Q15)</f>
        <v>36.35</v>
      </c>
      <c r="Q15" s="76">
        <v>2</v>
      </c>
      <c r="R15" s="67">
        <v>72.7</v>
      </c>
    </row>
    <row r="16" spans="1:18" x14ac:dyDescent="0.45">
      <c r="A16" s="22" t="s">
        <v>121</v>
      </c>
      <c r="B16" s="15">
        <v>62</v>
      </c>
      <c r="C16" s="10">
        <f>IF(B$3=0,0,B16/B$3)</f>
        <v>0.2530612244897959</v>
      </c>
      <c r="E16" s="27" t="s">
        <v>78</v>
      </c>
      <c r="F16" s="24" t="s">
        <v>33</v>
      </c>
      <c r="G16" s="12">
        <v>3</v>
      </c>
      <c r="H16" s="88">
        <f>IF(B$20=0,0,G16/B$20)</f>
        <v>4.5454545454545456E-2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216</v>
      </c>
      <c r="P16" s="83">
        <f>IF(Q16=0,0,R16/Q16)</f>
        <v>35.614285714285714</v>
      </c>
      <c r="Q16" s="77">
        <v>7</v>
      </c>
      <c r="R16" s="68">
        <v>249.3</v>
      </c>
    </row>
    <row r="17" spans="1:18" x14ac:dyDescent="0.45">
      <c r="A17" s="19" t="s">
        <v>118</v>
      </c>
      <c r="B17" s="12">
        <v>51</v>
      </c>
      <c r="C17" s="6">
        <f>IF(B$3=0,0,B17/B$3)</f>
        <v>0.20816326530612245</v>
      </c>
      <c r="E17" s="27" t="s">
        <v>155</v>
      </c>
      <c r="F17" s="24" t="s">
        <v>156</v>
      </c>
      <c r="G17" s="12">
        <v>2</v>
      </c>
      <c r="H17" s="88">
        <f>IF(B$20=0,0,G17/B$20)</f>
        <v>3.0303030303030304E-2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-0.23333333333333398</v>
      </c>
      <c r="Q17" s="77">
        <v>9</v>
      </c>
      <c r="R17" s="68">
        <v>-2.1000000000000059</v>
      </c>
    </row>
    <row r="18" spans="1:18" x14ac:dyDescent="0.45">
      <c r="A18" s="18" t="s">
        <v>123</v>
      </c>
      <c r="B18" s="11">
        <f>B24</f>
        <v>28</v>
      </c>
      <c r="C18" s="5">
        <f>IF(B$16=0,0,B18/B$16)</f>
        <v>0.45161290322580644</v>
      </c>
      <c r="E18" s="27" t="s">
        <v>73</v>
      </c>
      <c r="F18" s="24" t="s">
        <v>28</v>
      </c>
      <c r="G18" s="12">
        <v>1</v>
      </c>
      <c r="H18" s="88">
        <f>IF(B$20=0,0,G18/B$20)</f>
        <v>1.5151515151515152E-2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-9.6142857142857192</v>
      </c>
      <c r="Q18" s="77">
        <v>21</v>
      </c>
      <c r="R18" s="68">
        <v>-201.90000000000009</v>
      </c>
    </row>
    <row r="19" spans="1:18" x14ac:dyDescent="0.45">
      <c r="A19" s="18" t="s">
        <v>124</v>
      </c>
      <c r="B19" s="11">
        <f>B25</f>
        <v>19</v>
      </c>
      <c r="C19" s="5">
        <f>IF(B$17=0,0,B19/B$17)</f>
        <v>0.37254901960784315</v>
      </c>
      <c r="E19" s="27" t="s">
        <v>79</v>
      </c>
      <c r="F19" s="24" t="s">
        <v>34</v>
      </c>
      <c r="G19" s="12">
        <v>1</v>
      </c>
      <c r="H19" s="88">
        <f>IF(B$20=0,0,G19/B$20)</f>
        <v>1.5151515151515152E-2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192</v>
      </c>
      <c r="P19" s="83">
        <f>IF(Q19=0,0,R19/Q19)</f>
        <v>-14.78571428571429</v>
      </c>
      <c r="Q19" s="77">
        <v>7</v>
      </c>
      <c r="R19" s="68">
        <v>-103.50000000000003</v>
      </c>
    </row>
    <row r="20" spans="1:18" x14ac:dyDescent="0.45">
      <c r="A20" s="18" t="s">
        <v>10</v>
      </c>
      <c r="B20" s="11">
        <f>B23+B22</f>
        <v>66</v>
      </c>
      <c r="C20" s="5">
        <f>IF(B$3=0,0,B20/B$3)</f>
        <v>0.26938775510204083</v>
      </c>
      <c r="E20" s="27" t="s">
        <v>85</v>
      </c>
      <c r="F20" s="24" t="s">
        <v>40</v>
      </c>
      <c r="G20" s="12">
        <v>1</v>
      </c>
      <c r="H20" s="88">
        <f>IF(B$20=0,0,G20/B$20)</f>
        <v>1.5151515151515152E-2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189</v>
      </c>
      <c r="P20" s="83">
        <f>IF(Q20=0,0,R20/Q20)</f>
        <v>-17.012499999999999</v>
      </c>
      <c r="Q20" s="77">
        <v>8</v>
      </c>
      <c r="R20" s="68">
        <v>-136.1</v>
      </c>
    </row>
    <row r="21" spans="1:18" x14ac:dyDescent="0.45">
      <c r="A21" s="19" t="s">
        <v>13</v>
      </c>
      <c r="B21" s="12">
        <v>46</v>
      </c>
      <c r="C21" s="6">
        <f>IF(B$3=0,0,B21/B$3)</f>
        <v>0.18775510204081633</v>
      </c>
      <c r="E21" s="27" t="s">
        <v>88</v>
      </c>
      <c r="F21" s="24" t="s">
        <v>43</v>
      </c>
      <c r="G21" s="12">
        <v>1</v>
      </c>
      <c r="H21" s="88">
        <f>IF(B$20=0,0,G21/B$20)</f>
        <v>1.5151515151515152E-2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30</v>
      </c>
      <c r="C22" s="6">
        <f>IF(B$20=0,0,B22/B$20)</f>
        <v>0.45454545454545453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36</v>
      </c>
      <c r="C23" s="6">
        <f>IF(B$20=0,0,B23/B$20)</f>
        <v>0.54545454545454541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28</v>
      </c>
      <c r="C24" s="6">
        <f>IF(B$20=0,0,B24/B$20)</f>
        <v>0.42424242424242425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19</v>
      </c>
      <c r="C25" s="6">
        <f>IF(B$20=0,0,B25/B$20)</f>
        <v>0.2878787878787879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19</v>
      </c>
      <c r="C26" s="6">
        <f>IF(B$20=0,0,B26/B$20)</f>
        <v>0.2878787878787879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8972.7272727272721</v>
      </c>
      <c r="C27" s="8">
        <v>592200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9091.489361702128</v>
      </c>
      <c r="C28" s="96">
        <v>427300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8678.9473684210534</v>
      </c>
      <c r="C29" s="96">
        <v>164900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-7832.608695652174</v>
      </c>
      <c r="C30" s="96">
        <v>-360300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4.0816326530612249E-3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9.0909090909090912E-2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7.575757575757576E-2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13</v>
      </c>
      <c r="C39" s="6">
        <f t="shared" si="2"/>
        <v>0.19696969696969696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12</v>
      </c>
      <c r="C40" s="6">
        <f t="shared" si="2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13</v>
      </c>
      <c r="C41" s="6">
        <f t="shared" si="2"/>
        <v>0.19696969696969696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10</v>
      </c>
      <c r="C42" s="6">
        <f t="shared" si="2"/>
        <v>0.15151515151515152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3</v>
      </c>
      <c r="C43" s="6">
        <f t="shared" si="2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3.0303030303030304E-2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1.5151515151515152E-2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1.5151515151515152E-2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54</v>
      </c>
      <c r="H2" s="87">
        <f>IF(B$20=0,0,G2/B$20)</f>
        <v>0.69230769230769229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510.71428571428572</v>
      </c>
      <c r="Q2" s="76">
        <v>28</v>
      </c>
      <c r="R2" s="63">
        <v>14300</v>
      </c>
    </row>
    <row r="3" spans="1:18" x14ac:dyDescent="0.45">
      <c r="A3" s="19" t="s">
        <v>8</v>
      </c>
      <c r="B3" s="135">
        <v>255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0.64102564102564108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-478.57142857142856</v>
      </c>
      <c r="Q3" s="77">
        <v>28</v>
      </c>
      <c r="R3" s="64">
        <v>-13400</v>
      </c>
    </row>
    <row r="4" spans="1:18" x14ac:dyDescent="0.45">
      <c r="A4" s="19" t="s">
        <v>6</v>
      </c>
      <c r="B4" s="137">
        <v>61.199999999999989</v>
      </c>
      <c r="C4" s="138"/>
      <c r="E4" s="27" t="s">
        <v>64</v>
      </c>
      <c r="F4" s="24" t="s">
        <v>20</v>
      </c>
      <c r="G4" s="12">
        <v>32</v>
      </c>
      <c r="H4" s="88">
        <f>IF(B$20=0,0,G4/B$20)</f>
        <v>0.41025641025641024</v>
      </c>
      <c r="I4" s="58">
        <v>5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1278.5714285714287</v>
      </c>
      <c r="Q4" s="77">
        <v>28</v>
      </c>
      <c r="R4" s="64">
        <v>35800</v>
      </c>
    </row>
    <row r="5" spans="1:18" x14ac:dyDescent="0.45">
      <c r="A5" s="19" t="s">
        <v>7</v>
      </c>
      <c r="B5" s="125">
        <f>IF(B$2=0,0,B$4/B$2)</f>
        <v>2.1857142857142855</v>
      </c>
      <c r="C5" s="126"/>
      <c r="E5" s="27" t="s">
        <v>68</v>
      </c>
      <c r="F5" s="24" t="s">
        <v>12</v>
      </c>
      <c r="G5" s="12">
        <v>24</v>
      </c>
      <c r="H5" s="88">
        <f>IF(B$20=0,0,G5/B$20)</f>
        <v>0.30769230769230771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214.28571428571428</v>
      </c>
      <c r="Q5" s="77">
        <v>28</v>
      </c>
      <c r="R5" s="64">
        <v>6000</v>
      </c>
    </row>
    <row r="6" spans="1:18" x14ac:dyDescent="0.45">
      <c r="A6" s="19" t="s">
        <v>196</v>
      </c>
      <c r="B6" s="129">
        <v>1468.6685579009436</v>
      </c>
      <c r="C6" s="130"/>
      <c r="E6" s="27" t="s">
        <v>159</v>
      </c>
      <c r="F6" s="24" t="s">
        <v>160</v>
      </c>
      <c r="G6" s="12">
        <v>23</v>
      </c>
      <c r="H6" s="88">
        <f>IF(B$20=0,0,G6/B$20)</f>
        <v>0.29487179487179488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-1346.4285714285713</v>
      </c>
      <c r="Q6" s="77">
        <v>28</v>
      </c>
      <c r="R6" s="64">
        <v>-37700</v>
      </c>
    </row>
    <row r="7" spans="1:18" x14ac:dyDescent="0.45">
      <c r="A7" s="19" t="s">
        <v>1</v>
      </c>
      <c r="B7" s="139">
        <f>IF(B$2=0,0,(B$8*1+B$9*2+B$10*3)/B$2)</f>
        <v>1.8928571428571428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0.25641025641025639</v>
      </c>
      <c r="I7" s="58">
        <v>3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1335</v>
      </c>
      <c r="Q7" s="78">
        <v>20</v>
      </c>
      <c r="R7" s="65">
        <v>26700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0.39285714285714285</v>
      </c>
      <c r="E8" s="27" t="s">
        <v>70</v>
      </c>
      <c r="F8" s="24" t="s">
        <v>25</v>
      </c>
      <c r="G8" s="12">
        <v>9</v>
      </c>
      <c r="H8" s="88">
        <f>IF(B$20=0,0,G8/B$20)</f>
        <v>0.11538461538461539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0.32142857142857145</v>
      </c>
      <c r="E9" s="27" t="s">
        <v>89</v>
      </c>
      <c r="F9" s="24" t="s">
        <v>44</v>
      </c>
      <c r="G9" s="12">
        <v>9</v>
      </c>
      <c r="H9" s="88">
        <f>IF(B$20=0,0,G9/B$20)</f>
        <v>0.11538461538461539</v>
      </c>
      <c r="I9" s="58">
        <v>9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0.2857142857142857</v>
      </c>
      <c r="E10" s="27" t="s">
        <v>69</v>
      </c>
      <c r="F10" s="24" t="s">
        <v>24</v>
      </c>
      <c r="G10" s="12">
        <v>8</v>
      </c>
      <c r="H10" s="88">
        <f>IF(B$20=0,0,G10/B$20)</f>
        <v>0.10256410256410256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12.775</v>
      </c>
      <c r="Q10" s="76">
        <v>8</v>
      </c>
      <c r="R10" s="67">
        <v>102.2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6</v>
      </c>
      <c r="H11" s="88">
        <f>IF(B$20=0,0,G11/B$20)</f>
        <v>7.6923076923076927E-2</v>
      </c>
      <c r="I11" s="58">
        <v>7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-0.32500000000000018</v>
      </c>
      <c r="Q11" s="77">
        <v>8</v>
      </c>
      <c r="R11" s="68">
        <v>-2.6000000000000014</v>
      </c>
    </row>
    <row r="12" spans="1:18" x14ac:dyDescent="0.45">
      <c r="A12" s="20" t="s">
        <v>185</v>
      </c>
      <c r="B12" s="109">
        <f>IF(B9=0,0,C12/B9)</f>
        <v>4.7777777777777777</v>
      </c>
      <c r="C12" s="110">
        <v>43</v>
      </c>
      <c r="E12" s="27" t="s">
        <v>71</v>
      </c>
      <c r="F12" s="24" t="s">
        <v>26</v>
      </c>
      <c r="G12" s="12">
        <v>4</v>
      </c>
      <c r="H12" s="88">
        <f>IF(B$20=0,0,G12/B$20)</f>
        <v>5.128205128205128E-2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-3.2000000000000015</v>
      </c>
      <c r="Q12" s="78">
        <v>12</v>
      </c>
      <c r="R12" s="69">
        <v>-38.40000000000002</v>
      </c>
    </row>
    <row r="13" spans="1:18" x14ac:dyDescent="0.45">
      <c r="A13" s="20" t="s">
        <v>186</v>
      </c>
      <c r="B13" s="109">
        <f>IF(B10=0,0,C13/B10)</f>
        <v>-34.1</v>
      </c>
      <c r="C13" s="110">
        <v>-272.8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5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-0.95589225589225657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3.8461538461538464E-2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3.5714285714285712E-2</v>
      </c>
      <c r="E15" s="27" t="s">
        <v>81</v>
      </c>
      <c r="F15" s="24" t="s">
        <v>36</v>
      </c>
      <c r="G15" s="12">
        <v>3</v>
      </c>
      <c r="H15" s="88">
        <f>IF(B$20=0,0,G15/B$20)</f>
        <v>3.8461538461538464E-2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70</v>
      </c>
      <c r="C16" s="10">
        <f>IF(B$3=0,0,B16/B$3)</f>
        <v>0.27450980392156865</v>
      </c>
      <c r="E16" s="27" t="s">
        <v>78</v>
      </c>
      <c r="F16" s="24" t="s">
        <v>33</v>
      </c>
      <c r="G16" s="12">
        <v>2</v>
      </c>
      <c r="H16" s="88">
        <f>IF(B$20=0,0,G16/B$20)</f>
        <v>2.564102564102564E-2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76</v>
      </c>
      <c r="C17" s="6">
        <f>IF(B$3=0,0,B17/B$3)</f>
        <v>0.29803921568627451</v>
      </c>
      <c r="E17" s="27" t="s">
        <v>86</v>
      </c>
      <c r="F17" s="24" t="s">
        <v>41</v>
      </c>
      <c r="G17" s="12">
        <v>2</v>
      </c>
      <c r="H17" s="88">
        <f>IF(B$20=0,0,G17/B$20)</f>
        <v>2.564102564102564E-2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0.47142857142857142</v>
      </c>
      <c r="E18" s="27" t="s">
        <v>91</v>
      </c>
      <c r="F18" s="24" t="s">
        <v>46</v>
      </c>
      <c r="G18" s="12">
        <v>2</v>
      </c>
      <c r="H18" s="88">
        <f>IF(B$20=0,0,G18/B$20)</f>
        <v>2.564102564102564E-2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9.8999999999999986</v>
      </c>
      <c r="Q18" s="77">
        <v>25</v>
      </c>
      <c r="R18" s="68">
        <v>247.49999999999994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0.40789473684210525</v>
      </c>
      <c r="E19" s="27" t="s">
        <v>88</v>
      </c>
      <c r="F19" s="24" t="s">
        <v>43</v>
      </c>
      <c r="G19" s="12">
        <v>1</v>
      </c>
      <c r="H19" s="88">
        <f>IF(B$20=0,0,G19/B$20)</f>
        <v>1.282051282051282E-2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78</v>
      </c>
      <c r="C20" s="5">
        <f>IF(B$3=0,0,B20/B$3)</f>
        <v>0.30588235294117649</v>
      </c>
      <c r="E20" s="27" t="s">
        <v>93</v>
      </c>
      <c r="F20" s="24" t="s">
        <v>48</v>
      </c>
      <c r="G20" s="12">
        <v>1</v>
      </c>
      <c r="H20" s="88">
        <f>IF(B$20=0,0,G20/B$20)</f>
        <v>1.282051282051282E-2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-17.920000000000005</v>
      </c>
      <c r="Q20" s="77">
        <v>15</v>
      </c>
      <c r="R20" s="68">
        <v>-268.80000000000007</v>
      </c>
    </row>
    <row r="21" spans="1:18" x14ac:dyDescent="0.45">
      <c r="A21" s="19" t="s">
        <v>13</v>
      </c>
      <c r="B21" s="12">
        <v>44</v>
      </c>
      <c r="C21" s="6">
        <f>IF(B$3=0,0,B21/B$3)</f>
        <v>0.17254901960784313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38</v>
      </c>
      <c r="C22" s="6">
        <f>IF(B$20=0,0,B22/B$20)</f>
        <v>0.48717948717948717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40</v>
      </c>
      <c r="C23" s="6">
        <f>IF(B$20=0,0,B23/B$20)</f>
        <v>0.51282051282051277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33</v>
      </c>
      <c r="C24" s="6">
        <f>IF(B$20=0,0,B24/B$20)</f>
        <v>0.42307692307692307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31</v>
      </c>
      <c r="C25" s="6">
        <f>IF(B$20=0,0,B25/B$20)</f>
        <v>0.39743589743589741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0.17948717948717949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7446.1538461538457</v>
      </c>
      <c r="C27" s="8">
        <v>580800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8787.2340425531911</v>
      </c>
      <c r="C28" s="96">
        <v>413000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5412.9032258064517</v>
      </c>
      <c r="C29" s="96">
        <v>167800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-7518.181818181818</v>
      </c>
      <c r="C30" s="96">
        <v>-330800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21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3.9215686274509803E-3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3">IF(B$20=0,0,B37/B$20)</f>
        <v>0.12820512820512819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3"/>
        <v>0.26923076923076922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3"/>
        <v>0.14102564102564102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16</v>
      </c>
      <c r="C40" s="6">
        <f t="shared" si="3"/>
        <v>0.20512820512820512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3"/>
        <v>5.128205128205128E-2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3.8461538461538464E-2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2.564102564102564E-2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3"/>
        <v>5.128205128205128E-2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3"/>
        <v>3.8461538461538464E-2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3"/>
        <v>1.282051282051282E-2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13</v>
      </c>
      <c r="C2" s="134"/>
      <c r="E2" s="26" t="s">
        <v>66</v>
      </c>
      <c r="F2" s="23" t="s">
        <v>22</v>
      </c>
      <c r="G2" s="11">
        <v>20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-84.615384615384613</v>
      </c>
      <c r="Q2" s="76">
        <v>13</v>
      </c>
      <c r="R2" s="63">
        <v>-1100</v>
      </c>
    </row>
    <row r="3" spans="1:18" x14ac:dyDescent="0.45">
      <c r="A3" s="19" t="s">
        <v>8</v>
      </c>
      <c r="B3" s="135">
        <v>106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0.58333333333333337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1561.5384615384614</v>
      </c>
      <c r="Q3" s="77">
        <v>13</v>
      </c>
      <c r="R3" s="64">
        <v>20300</v>
      </c>
    </row>
    <row r="4" spans="1:18" x14ac:dyDescent="0.45">
      <c r="A4" s="19" t="s">
        <v>6</v>
      </c>
      <c r="B4" s="137">
        <v>-93.500000000000014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0.54166666666666663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-592.30769230769226</v>
      </c>
      <c r="Q4" s="77">
        <v>13</v>
      </c>
      <c r="R4" s="64">
        <v>-7700</v>
      </c>
    </row>
    <row r="5" spans="1:18" x14ac:dyDescent="0.45">
      <c r="A5" s="19" t="s">
        <v>7</v>
      </c>
      <c r="B5" s="125">
        <f>IF(B$2=0,0,B$4/B$2)</f>
        <v>-7.1923076923076934</v>
      </c>
      <c r="C5" s="126"/>
      <c r="E5" s="27" t="s">
        <v>159</v>
      </c>
      <c r="F5" s="24" t="s">
        <v>160</v>
      </c>
      <c r="G5" s="12">
        <v>8</v>
      </c>
      <c r="H5" s="88">
        <f>IF(B$20=0,0,G5/B$20)</f>
        <v>0.33333333333333331</v>
      </c>
      <c r="I5" s="58">
        <v>8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-3136.3636363636365</v>
      </c>
      <c r="Q5" s="77">
        <v>11</v>
      </c>
      <c r="R5" s="64">
        <v>-34500</v>
      </c>
    </row>
    <row r="6" spans="1:18" x14ac:dyDescent="0.45">
      <c r="A6" s="19" t="s">
        <v>196</v>
      </c>
      <c r="B6" s="129">
        <v>1513.7987256195274</v>
      </c>
      <c r="C6" s="130"/>
      <c r="E6" s="27" t="s">
        <v>65</v>
      </c>
      <c r="F6" s="24" t="s">
        <v>21</v>
      </c>
      <c r="G6" s="12">
        <v>5</v>
      </c>
      <c r="H6" s="88">
        <f>IF(B$20=0,0,G6/B$20)</f>
        <v>0.20833333333333334</v>
      </c>
      <c r="I6" s="58">
        <v>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-2100</v>
      </c>
      <c r="Q6" s="77">
        <v>10</v>
      </c>
      <c r="R6" s="64">
        <v>-21000</v>
      </c>
    </row>
    <row r="7" spans="1:18" x14ac:dyDescent="0.45">
      <c r="A7" s="19" t="s">
        <v>1</v>
      </c>
      <c r="B7" s="139">
        <f>IF(B$2=0,0,(B$8*1+B$9*2+B$10*3)/B$2)</f>
        <v>2.1538461538461537</v>
      </c>
      <c r="C7" s="140"/>
      <c r="E7" s="27" t="s">
        <v>67</v>
      </c>
      <c r="F7" s="24" t="s">
        <v>23</v>
      </c>
      <c r="G7" s="12">
        <v>5</v>
      </c>
      <c r="H7" s="88">
        <f>IF(B$20=0,0,G7/B$20)</f>
        <v>0.20833333333333334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-2187.5</v>
      </c>
      <c r="Q7" s="78">
        <v>8</v>
      </c>
      <c r="R7" s="65">
        <v>-17500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0.15384615384615385</v>
      </c>
      <c r="E8" s="27" t="s">
        <v>68</v>
      </c>
      <c r="F8" s="24" t="s">
        <v>12</v>
      </c>
      <c r="G8" s="12">
        <v>3</v>
      </c>
      <c r="H8" s="88">
        <f>IF(B$20=0,0,G8/B$20)</f>
        <v>0.125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0.53846153846153844</v>
      </c>
      <c r="E9" s="27" t="s">
        <v>69</v>
      </c>
      <c r="F9" s="24" t="s">
        <v>24</v>
      </c>
      <c r="G9" s="12">
        <v>3</v>
      </c>
      <c r="H9" s="88">
        <f>IF(B$20=0,0,G9/B$20)</f>
        <v>0.125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0.30769230769230771</v>
      </c>
      <c r="E10" s="27" t="s">
        <v>89</v>
      </c>
      <c r="F10" s="24" t="s">
        <v>44</v>
      </c>
      <c r="G10" s="12">
        <v>3</v>
      </c>
      <c r="H10" s="88">
        <f>IF(B$20=0,0,G10/B$20)</f>
        <v>0.125</v>
      </c>
      <c r="I10" s="58">
        <v>8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-27.324999999999999</v>
      </c>
      <c r="Q10" s="76">
        <v>4</v>
      </c>
      <c r="R10" s="67">
        <v>-109.3</v>
      </c>
    </row>
    <row r="11" spans="1:18" x14ac:dyDescent="0.45">
      <c r="A11" s="20" t="s">
        <v>184</v>
      </c>
      <c r="B11" s="109">
        <f>IF(B8=0,0,C11/B8)</f>
        <v>35.9</v>
      </c>
      <c r="C11" s="110">
        <v>71.8</v>
      </c>
      <c r="E11" s="27" t="s">
        <v>86</v>
      </c>
      <c r="F11" s="24" t="s">
        <v>41</v>
      </c>
      <c r="G11" s="12">
        <v>2</v>
      </c>
      <c r="H11" s="88">
        <f>IF(B$20=0,0,G11/B$20)</f>
        <v>8.3333333333333329E-2</v>
      </c>
      <c r="I11" s="58">
        <v>3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-13.933333333333332</v>
      </c>
      <c r="Q11" s="77">
        <v>3</v>
      </c>
      <c r="R11" s="68">
        <v>-41.8</v>
      </c>
    </row>
    <row r="12" spans="1:18" x14ac:dyDescent="0.45">
      <c r="A12" s="20" t="s">
        <v>185</v>
      </c>
      <c r="B12" s="109">
        <f>IF(B9=0,0,C12/B9)</f>
        <v>-2.1857142857142855</v>
      </c>
      <c r="C12" s="110">
        <v>-15.299999999999999</v>
      </c>
      <c r="E12" s="27" t="s">
        <v>79</v>
      </c>
      <c r="F12" s="24" t="s">
        <v>34</v>
      </c>
      <c r="G12" s="12">
        <v>1</v>
      </c>
      <c r="H12" s="88">
        <f>IF(B$20=0,0,G12/B$20)</f>
        <v>4.1666666666666664E-2</v>
      </c>
      <c r="I12" s="58">
        <v>1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9.6000000000000014</v>
      </c>
      <c r="Q12" s="78">
        <v>6</v>
      </c>
      <c r="R12" s="69">
        <v>57.600000000000009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81</v>
      </c>
      <c r="F13" s="24" t="s">
        <v>36</v>
      </c>
      <c r="G13" s="12">
        <v>1</v>
      </c>
      <c r="H13" s="88">
        <f>IF(B$20=0,0,G13/B$20)</f>
        <v>4.1666666666666664E-2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-1.2619047619047616</v>
      </c>
      <c r="C14" s="126"/>
      <c r="E14" s="27" t="s">
        <v>83</v>
      </c>
      <c r="F14" s="24" t="s">
        <v>38</v>
      </c>
      <c r="G14" s="12">
        <v>1</v>
      </c>
      <c r="H14" s="88">
        <f>IF(B$20=0,0,G14/B$20)</f>
        <v>4.1666666666666664E-2</v>
      </c>
      <c r="I14" s="58">
        <v>7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7.6923076923076927E-2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24</v>
      </c>
      <c r="C16" s="10">
        <f>IF(B$3=0,0,B16/B$3)</f>
        <v>0.22641509433962265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-8.0399999999999991</v>
      </c>
      <c r="Q16" s="77">
        <v>5</v>
      </c>
      <c r="R16" s="68">
        <v>-40.199999999999996</v>
      </c>
    </row>
    <row r="17" spans="1:18" x14ac:dyDescent="0.45">
      <c r="A17" s="19" t="s">
        <v>118</v>
      </c>
      <c r="B17" s="12">
        <v>20</v>
      </c>
      <c r="C17" s="6">
        <f>IF(B$3=0,0,B17/B$3)</f>
        <v>0.18867924528301888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O17" s="74" t="s">
        <v>126</v>
      </c>
      <c r="P17" s="83">
        <f>IF(Q17=0,0,R17/Q17)</f>
        <v>-11.970000000000002</v>
      </c>
      <c r="Q17" s="77">
        <v>10</v>
      </c>
      <c r="R17" s="68">
        <v>-119.70000000000002</v>
      </c>
    </row>
    <row r="18" spans="1:18" x14ac:dyDescent="0.45">
      <c r="A18" s="18" t="s">
        <v>123</v>
      </c>
      <c r="B18" s="11">
        <f>B24</f>
        <v>13</v>
      </c>
      <c r="C18" s="5">
        <f>IF(B$16=0,0,B18/B$16)</f>
        <v>0.54166666666666663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9</v>
      </c>
      <c r="C19" s="5">
        <f>IF(B$17=0,0,B19/B$17)</f>
        <v>0.45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O19" s="74" t="s">
        <v>163</v>
      </c>
      <c r="P19" s="83">
        <f>IF(Q19=0,0,R19/Q19)</f>
        <v>-36.35</v>
      </c>
      <c r="Q19" s="77">
        <v>2</v>
      </c>
      <c r="R19" s="68">
        <v>-72.7</v>
      </c>
    </row>
    <row r="20" spans="1:18" x14ac:dyDescent="0.45">
      <c r="A20" s="18" t="s">
        <v>10</v>
      </c>
      <c r="B20" s="11">
        <f>B23+B22</f>
        <v>24</v>
      </c>
      <c r="C20" s="5">
        <f>IF(B$3=0,0,B20/B$3)</f>
        <v>0.22641509433962265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11</v>
      </c>
      <c r="C21" s="6">
        <f>IF(B$3=0,0,B21/B$3)</f>
        <v>0.10377358490566038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21</v>
      </c>
      <c r="C23" s="6">
        <f>IF(B$20=0,0,B23/B$20)</f>
        <v>0.875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13</v>
      </c>
      <c r="C24" s="6">
        <f>IF(B$20=0,0,B24/B$20)</f>
        <v>0.54166666666666663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9</v>
      </c>
      <c r="C25" s="6">
        <f>IF(B$20=0,0,B25/B$20)</f>
        <v>0.375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2</v>
      </c>
      <c r="C26" s="6">
        <f>IF(B$20=0,0,B26/B$20)</f>
        <v>8.3333333333333329E-2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7050</v>
      </c>
      <c r="C27" s="8">
        <v>169200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7140</v>
      </c>
      <c r="C28" s="96">
        <v>107100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6900</v>
      </c>
      <c r="C29" s="96">
        <v>62100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-5827.272727272727</v>
      </c>
      <c r="C30" s="96">
        <v>-64100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4.1666666666666664E-2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7</v>
      </c>
      <c r="C38" s="6">
        <f t="shared" si="2"/>
        <v>0.29166666666666669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0.20833333333333334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8.3333333333333329E-2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57</v>
      </c>
      <c r="H2" s="87">
        <f>IF(B$20=0,0,G2/B$20)</f>
        <v>0.80281690140845074</v>
      </c>
      <c r="I2" s="57">
        <v>5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-810.71428571428567</v>
      </c>
      <c r="Q2" s="76">
        <v>28</v>
      </c>
      <c r="R2" s="63">
        <v>-22700</v>
      </c>
    </row>
    <row r="3" spans="1:18" x14ac:dyDescent="0.45">
      <c r="A3" s="19" t="s">
        <v>8</v>
      </c>
      <c r="B3" s="135">
        <v>221</v>
      </c>
      <c r="C3" s="136"/>
      <c r="E3" s="27" t="s">
        <v>72</v>
      </c>
      <c r="F3" s="24" t="s">
        <v>27</v>
      </c>
      <c r="G3" s="12">
        <v>44</v>
      </c>
      <c r="H3" s="88">
        <f>IF(B$20=0,0,G3/B$20)</f>
        <v>0.61971830985915488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878.57142857142856</v>
      </c>
      <c r="Q3" s="77">
        <v>28</v>
      </c>
      <c r="R3" s="64">
        <v>24600</v>
      </c>
    </row>
    <row r="4" spans="1:18" x14ac:dyDescent="0.45">
      <c r="A4" s="19" t="s">
        <v>6</v>
      </c>
      <c r="B4" s="137">
        <v>106.39999999999998</v>
      </c>
      <c r="C4" s="138"/>
      <c r="E4" s="27" t="s">
        <v>64</v>
      </c>
      <c r="F4" s="24" t="s">
        <v>20</v>
      </c>
      <c r="G4" s="12">
        <v>27</v>
      </c>
      <c r="H4" s="88">
        <f>IF(B$20=0,0,G4/B$20)</f>
        <v>0.38028169014084506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2214.2857142857142</v>
      </c>
      <c r="Q4" s="77">
        <v>28</v>
      </c>
      <c r="R4" s="64">
        <v>62000</v>
      </c>
    </row>
    <row r="5" spans="1:18" x14ac:dyDescent="0.45">
      <c r="A5" s="19" t="s">
        <v>7</v>
      </c>
      <c r="B5" s="125">
        <f>IF(B$2=0,0,B$4/B$2)</f>
        <v>3.7999999999999994</v>
      </c>
      <c r="C5" s="126"/>
      <c r="E5" s="27" t="s">
        <v>67</v>
      </c>
      <c r="F5" s="24" t="s">
        <v>23</v>
      </c>
      <c r="G5" s="12">
        <v>19</v>
      </c>
      <c r="H5" s="88">
        <f>IF(B$20=0,0,G5/B$20)</f>
        <v>0.26760563380281688</v>
      </c>
      <c r="I5" s="58">
        <v>2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200</v>
      </c>
      <c r="Q5" s="77">
        <v>25</v>
      </c>
      <c r="R5" s="64">
        <v>5000</v>
      </c>
    </row>
    <row r="6" spans="1:18" x14ac:dyDescent="0.45">
      <c r="A6" s="19" t="s">
        <v>196</v>
      </c>
      <c r="B6" s="129">
        <v>1520.3458986715063</v>
      </c>
      <c r="C6" s="130"/>
      <c r="E6" s="27" t="s">
        <v>159</v>
      </c>
      <c r="F6" s="24" t="s">
        <v>160</v>
      </c>
      <c r="G6" s="12">
        <v>17</v>
      </c>
      <c r="H6" s="88">
        <f>IF(B$20=0,0,G6/B$20)</f>
        <v>0.23943661971830985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557.14285714285711</v>
      </c>
      <c r="Q6" s="77">
        <v>21</v>
      </c>
      <c r="R6" s="64">
        <v>11700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16</v>
      </c>
      <c r="H7" s="88">
        <f>IF(B$20=0,0,G7/B$20)</f>
        <v>0.22535211267605634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1431.578947368421</v>
      </c>
      <c r="Q7" s="78">
        <v>19</v>
      </c>
      <c r="R7" s="65">
        <v>27200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0.39285714285714285</v>
      </c>
      <c r="E8" s="27" t="s">
        <v>89</v>
      </c>
      <c r="F8" s="24" t="s">
        <v>44</v>
      </c>
      <c r="G8" s="12">
        <v>11</v>
      </c>
      <c r="H8" s="88">
        <f>IF(B$20=0,0,G8/B$20)</f>
        <v>0.15492957746478872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0.2857142857142857</v>
      </c>
      <c r="E9" s="27" t="s">
        <v>69</v>
      </c>
      <c r="F9" s="24" t="s">
        <v>24</v>
      </c>
      <c r="G9" s="12">
        <v>10</v>
      </c>
      <c r="H9" s="88">
        <f>IF(B$20=0,0,G9/B$20)</f>
        <v>0.14084507042253522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0.32142857142857145</v>
      </c>
      <c r="E10" s="27" t="s">
        <v>86</v>
      </c>
      <c r="F10" s="24" t="s">
        <v>41</v>
      </c>
      <c r="G10" s="12">
        <v>7</v>
      </c>
      <c r="H10" s="88">
        <f>IF(B$20=0,0,G10/B$20)</f>
        <v>9.8591549295774641E-2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32.472727272727269</v>
      </c>
      <c r="C11" s="110">
        <v>357.2</v>
      </c>
      <c r="E11" s="27" t="s">
        <v>71</v>
      </c>
      <c r="F11" s="24" t="s">
        <v>26</v>
      </c>
      <c r="G11" s="12">
        <v>6</v>
      </c>
      <c r="H11" s="88">
        <f>IF(B$20=0,0,G11/B$20)</f>
        <v>8.4507042253521125E-2</v>
      </c>
      <c r="I11" s="58">
        <v>1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0.77499999999999969</v>
      </c>
      <c r="C12" s="110">
        <v>6.1999999999999975</v>
      </c>
      <c r="E12" s="27" t="s">
        <v>91</v>
      </c>
      <c r="F12" s="24" t="s">
        <v>46</v>
      </c>
      <c r="G12" s="12">
        <v>5</v>
      </c>
      <c r="H12" s="88">
        <f>IF(B$20=0,0,G12/B$20)</f>
        <v>7.0422535211267609E-2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11.123076923076923</v>
      </c>
      <c r="Q12" s="78">
        <v>13</v>
      </c>
      <c r="R12" s="69">
        <v>144.6</v>
      </c>
    </row>
    <row r="13" spans="1:18" x14ac:dyDescent="0.45">
      <c r="A13" s="20" t="s">
        <v>186</v>
      </c>
      <c r="B13" s="109">
        <f>IF(B10=0,0,C13/B10)</f>
        <v>-28.555555555555557</v>
      </c>
      <c r="C13" s="110">
        <v>-257</v>
      </c>
      <c r="E13" s="27" t="s">
        <v>83</v>
      </c>
      <c r="F13" s="24" t="s">
        <v>38</v>
      </c>
      <c r="G13" s="12">
        <v>4</v>
      </c>
      <c r="H13" s="88">
        <f>IF(B$20=0,0,G13/B$20)</f>
        <v>5.6338028169014086E-2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1.5640572390572369</v>
      </c>
      <c r="C14" s="126"/>
      <c r="E14" s="27" t="s">
        <v>65</v>
      </c>
      <c r="F14" s="24" t="s">
        <v>21</v>
      </c>
      <c r="G14" s="12">
        <v>3</v>
      </c>
      <c r="H14" s="88">
        <f>IF(B$20=0,0,G14/B$20)</f>
        <v>4.2253521126760563E-2</v>
      </c>
      <c r="I14" s="58">
        <v>10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7.1428571428571425E-2</v>
      </c>
      <c r="E15" s="27" t="s">
        <v>70</v>
      </c>
      <c r="F15" s="24" t="s">
        <v>25</v>
      </c>
      <c r="G15" s="12">
        <v>3</v>
      </c>
      <c r="H15" s="88">
        <f>IF(B$20=0,0,G15/B$20)</f>
        <v>4.2253521126760563E-2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45</v>
      </c>
      <c r="C16" s="10">
        <f>IF(B$3=0,0,B16/B$3)</f>
        <v>0.20361990950226244</v>
      </c>
      <c r="E16" s="27" t="s">
        <v>81</v>
      </c>
      <c r="F16" s="24" t="s">
        <v>36</v>
      </c>
      <c r="G16" s="12">
        <v>3</v>
      </c>
      <c r="H16" s="88">
        <f>IF(B$20=0,0,G16/B$20)</f>
        <v>4.2253521126760563E-2</v>
      </c>
      <c r="I16" s="58">
        <v>4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53</v>
      </c>
      <c r="C17" s="6">
        <f>IF(B$3=0,0,B17/B$3)</f>
        <v>0.23981900452488689</v>
      </c>
      <c r="E17" s="27" t="s">
        <v>73</v>
      </c>
      <c r="F17" s="24" t="s">
        <v>28</v>
      </c>
      <c r="G17" s="12">
        <v>2</v>
      </c>
      <c r="H17" s="88">
        <f>IF(B$20=0,0,G17/B$20)</f>
        <v>2.8169014084507043E-2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>IF(Q17=0,0,R17/Q17)</f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26</v>
      </c>
      <c r="C18" s="5">
        <f>IF(B$16=0,0,B18/B$16)</f>
        <v>0.57777777777777772</v>
      </c>
      <c r="E18" s="27" t="s">
        <v>78</v>
      </c>
      <c r="F18" s="24" t="s">
        <v>33</v>
      </c>
      <c r="G18" s="12">
        <v>2</v>
      </c>
      <c r="H18" s="88">
        <f>IF(B$20=0,0,G18/B$20)</f>
        <v>2.8169014084507043E-2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>IF(Q18=0,0,R18/Q18)</f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27</v>
      </c>
      <c r="C19" s="5">
        <f>IF(B$17=0,0,B19/B$17)</f>
        <v>0.50943396226415094</v>
      </c>
      <c r="E19" s="27" t="s">
        <v>75</v>
      </c>
      <c r="F19" s="24" t="s">
        <v>30</v>
      </c>
      <c r="G19" s="12">
        <v>1</v>
      </c>
      <c r="H19" s="88">
        <f>IF(B$20=0,0,G19/B$20)</f>
        <v>1.4084507042253521E-2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>IF(Q19=0,0,R19/Q19)</f>
        <v>8.0399999999999974</v>
      </c>
      <c r="Q19" s="77">
        <v>5</v>
      </c>
      <c r="R19" s="68">
        <v>40.199999999999989</v>
      </c>
    </row>
    <row r="20" spans="1:18" x14ac:dyDescent="0.45">
      <c r="A20" s="18" t="s">
        <v>10</v>
      </c>
      <c r="B20" s="11">
        <f>B23+B22</f>
        <v>71</v>
      </c>
      <c r="C20" s="5">
        <f>IF(B$3=0,0,B20/B$3)</f>
        <v>0.32126696832579188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>IF(Q20=0,0,R20/Q20)</f>
        <v>0.2333333333333335</v>
      </c>
      <c r="Q20" s="77">
        <v>9</v>
      </c>
      <c r="R20" s="68">
        <v>2.1000000000000014</v>
      </c>
    </row>
    <row r="21" spans="1:18" x14ac:dyDescent="0.45">
      <c r="A21" s="19" t="s">
        <v>13</v>
      </c>
      <c r="B21" s="12">
        <v>32</v>
      </c>
      <c r="C21" s="6">
        <f>IF(B$3=0,0,B21/B$3)</f>
        <v>0.14479638009049775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>IF(Q21=0,0,R21/Q21)</f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27</v>
      </c>
      <c r="C22" s="6">
        <f>IF(B$20=0,0,B22/B$20)</f>
        <v>0.38028169014084506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>IF(Q22=0,0,R22/Q22)</f>
        <v>-5.71875</v>
      </c>
      <c r="Q22" s="77">
        <v>16</v>
      </c>
      <c r="R22" s="68">
        <v>-91.5</v>
      </c>
    </row>
    <row r="23" spans="1:18" x14ac:dyDescent="0.45">
      <c r="A23" s="19" t="s">
        <v>11</v>
      </c>
      <c r="B23" s="12">
        <v>44</v>
      </c>
      <c r="C23" s="6">
        <f>IF(B$20=0,0,B23/B$20)</f>
        <v>0.61971830985915488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26</v>
      </c>
      <c r="C24" s="6">
        <f>IF(B$20=0,0,B24/B$20)</f>
        <v>0.36619718309859156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27</v>
      </c>
      <c r="C25" s="6">
        <f>IF(B$20=0,0,B25/B$20)</f>
        <v>0.38028169014084506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18</v>
      </c>
      <c r="C26" s="6">
        <f>IF(B$20=0,0,B26/B$20)</f>
        <v>0.25352112676056338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7802.8169014084506</v>
      </c>
      <c r="C27" s="8">
        <v>554000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8034.090909090909</v>
      </c>
      <c r="C28" s="96">
        <v>353500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7425.9259259259261</v>
      </c>
      <c r="C29" s="96">
        <v>200500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-6971.875</v>
      </c>
      <c r="C30" s="96">
        <v>-223100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4.5248868778280547E-3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2">IF(B$20=0,0,B37/B$20)</f>
        <v>8.4507042253521125E-2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2"/>
        <v>0.25352112676056338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2"/>
        <v>0.14084507042253522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2"/>
        <v>0.14084507042253522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9</v>
      </c>
      <c r="C41" s="6">
        <f t="shared" si="2"/>
        <v>0.12676056338028169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7</v>
      </c>
      <c r="C42" s="6">
        <f t="shared" si="2"/>
        <v>9.8591549295774641E-2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7.0422535211267609E-2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4.2253521126760563E-2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1.4084507042253521E-2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1.4084507042253521E-2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1.4084507042253521E-2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34</v>
      </c>
      <c r="C2" s="134"/>
      <c r="E2" s="26" t="s">
        <v>66</v>
      </c>
      <c r="F2" s="23" t="s">
        <v>22</v>
      </c>
      <c r="G2" s="11">
        <v>79</v>
      </c>
      <c r="H2" s="87">
        <f>IF(B$20=0,0,G2/B$20)</f>
        <v>0.76699029126213591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-208.8235294117647</v>
      </c>
      <c r="Q2" s="76">
        <v>34</v>
      </c>
      <c r="R2" s="63">
        <v>-7100</v>
      </c>
    </row>
    <row r="3" spans="1:18" x14ac:dyDescent="0.45">
      <c r="A3" s="19" t="s">
        <v>8</v>
      </c>
      <c r="B3" s="135">
        <v>299</v>
      </c>
      <c r="C3" s="136"/>
      <c r="E3" s="27" t="s">
        <v>72</v>
      </c>
      <c r="F3" s="24" t="s">
        <v>27</v>
      </c>
      <c r="G3" s="12">
        <v>67</v>
      </c>
      <c r="H3" s="88">
        <f>IF(B$20=0,0,G3/B$20)</f>
        <v>0.65048543689320393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2331.25</v>
      </c>
      <c r="Q3" s="77">
        <v>32</v>
      </c>
      <c r="R3" s="64">
        <v>74600</v>
      </c>
    </row>
    <row r="4" spans="1:18" x14ac:dyDescent="0.45">
      <c r="A4" s="19" t="s">
        <v>6</v>
      </c>
      <c r="B4" s="137">
        <v>320.7</v>
      </c>
      <c r="C4" s="138"/>
      <c r="E4" s="27" t="s">
        <v>159</v>
      </c>
      <c r="F4" s="24" t="s">
        <v>160</v>
      </c>
      <c r="G4" s="12">
        <v>51</v>
      </c>
      <c r="H4" s="88">
        <f>IF(B$20=0,0,G4/B$20)</f>
        <v>0.49514563106796117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145.45454545454547</v>
      </c>
      <c r="Q4" s="77">
        <v>33</v>
      </c>
      <c r="R4" s="64">
        <v>4800</v>
      </c>
    </row>
    <row r="5" spans="1:18" x14ac:dyDescent="0.45">
      <c r="A5" s="19" t="s">
        <v>7</v>
      </c>
      <c r="B5" s="125">
        <f>IF(B$2=0,0,B$4/B$2)</f>
        <v>9.4323529411764699</v>
      </c>
      <c r="C5" s="126"/>
      <c r="E5" s="27" t="s">
        <v>64</v>
      </c>
      <c r="F5" s="24" t="s">
        <v>20</v>
      </c>
      <c r="G5" s="12">
        <v>34</v>
      </c>
      <c r="H5" s="88">
        <f>IF(B$20=0,0,G5/B$20)</f>
        <v>0.3300970873786408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1220</v>
      </c>
      <c r="Q5" s="77">
        <v>30</v>
      </c>
      <c r="R5" s="64">
        <v>36600</v>
      </c>
    </row>
    <row r="6" spans="1:18" x14ac:dyDescent="0.45">
      <c r="A6" s="19" t="s">
        <v>196</v>
      </c>
      <c r="B6" s="129">
        <v>1587.2015837819306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0.27184466019417475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1889.2857142857142</v>
      </c>
      <c r="Q6" s="77">
        <v>28</v>
      </c>
      <c r="R6" s="64">
        <v>52900</v>
      </c>
    </row>
    <row r="7" spans="1:18" x14ac:dyDescent="0.45">
      <c r="A7" s="19" t="s">
        <v>1</v>
      </c>
      <c r="B7" s="139">
        <f>IF(B$2=0,0,(B$8*1+B$9*2+B$10*3)/B$2)</f>
        <v>1.7058823529411764</v>
      </c>
      <c r="C7" s="140"/>
      <c r="E7" s="27" t="s">
        <v>70</v>
      </c>
      <c r="F7" s="24" t="s">
        <v>25</v>
      </c>
      <c r="G7" s="12">
        <v>15</v>
      </c>
      <c r="H7" s="88">
        <f>IF(B$20=0,0,G7/B$20)</f>
        <v>0.14563106796116504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-59.090909090909093</v>
      </c>
      <c r="Q7" s="78">
        <v>22</v>
      </c>
      <c r="R7" s="65">
        <v>-1300</v>
      </c>
    </row>
    <row r="8" spans="1:18" x14ac:dyDescent="0.45">
      <c r="A8" s="19" t="s">
        <v>2</v>
      </c>
      <c r="B8" s="12">
        <v>17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0.13592233009708737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10</v>
      </c>
      <c r="C9" s="6">
        <f t="shared" si="1"/>
        <v>0.29411764705882354</v>
      </c>
      <c r="E9" s="27" t="s">
        <v>89</v>
      </c>
      <c r="F9" s="24" t="s">
        <v>44</v>
      </c>
      <c r="G9" s="12">
        <v>11</v>
      </c>
      <c r="H9" s="88">
        <f>IF(B$20=0,0,G9/B$20)</f>
        <v>0.10679611650485436</v>
      </c>
      <c r="I9" s="58">
        <v>10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0.20588235294117646</v>
      </c>
      <c r="E10" s="27" t="s">
        <v>69</v>
      </c>
      <c r="F10" s="24" t="s">
        <v>24</v>
      </c>
      <c r="G10" s="12">
        <v>8</v>
      </c>
      <c r="H10" s="88">
        <f>IF(B$20=0,0,G10/B$20)</f>
        <v>7.7669902912621352E-2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36.511764705882356</v>
      </c>
      <c r="C11" s="110">
        <v>620.70000000000005</v>
      </c>
      <c r="E11" s="27" t="s">
        <v>71</v>
      </c>
      <c r="F11" s="24" t="s">
        <v>26</v>
      </c>
      <c r="G11" s="12">
        <v>8</v>
      </c>
      <c r="H11" s="88">
        <f>IF(B$20=0,0,G11/B$20)</f>
        <v>7.7669902912621352E-2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-1.2769230769230764</v>
      </c>
      <c r="Q11" s="77">
        <v>13</v>
      </c>
      <c r="R11" s="68">
        <v>-16.599999999999994</v>
      </c>
    </row>
    <row r="12" spans="1:18" x14ac:dyDescent="0.45">
      <c r="A12" s="20" t="s">
        <v>185</v>
      </c>
      <c r="B12" s="109">
        <f>IF(B9=0,0,C12/B9)</f>
        <v>-5.2099999999999991</v>
      </c>
      <c r="C12" s="110">
        <v>-52.099999999999994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4.8543689320388349E-2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10.466666666666667</v>
      </c>
      <c r="Q12" s="78">
        <v>6</v>
      </c>
      <c r="R12" s="69">
        <v>62.8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3.8834951456310676E-2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-1.3708403361344541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2.9126213592233011E-2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5.8823529411764705E-2</v>
      </c>
      <c r="E15" s="27" t="s">
        <v>81</v>
      </c>
      <c r="F15" s="24" t="s">
        <v>36</v>
      </c>
      <c r="G15" s="12">
        <v>3</v>
      </c>
      <c r="H15" s="88">
        <f>IF(B$20=0,0,G15/B$20)</f>
        <v>2.9126213592233011E-2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0.22408026755852842</v>
      </c>
      <c r="E16" s="27" t="s">
        <v>86</v>
      </c>
      <c r="F16" s="24" t="s">
        <v>41</v>
      </c>
      <c r="G16" s="12">
        <v>3</v>
      </c>
      <c r="H16" s="88">
        <f>IF(B$20=0,0,G16/B$20)</f>
        <v>2.9126213592233011E-2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78</v>
      </c>
      <c r="C17" s="6">
        <f>IF(B$3=0,0,B17/B$3)</f>
        <v>0.2608695652173913</v>
      </c>
      <c r="E17" s="27" t="s">
        <v>83</v>
      </c>
      <c r="F17" s="24" t="s">
        <v>38</v>
      </c>
      <c r="G17" s="12">
        <v>2</v>
      </c>
      <c r="H17" s="88">
        <f>IF(B$20=0,0,G17/B$20)</f>
        <v>1.9417475728155338E-2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17.920000000000002</v>
      </c>
      <c r="Q17" s="77">
        <v>15</v>
      </c>
      <c r="R17" s="68">
        <v>268.8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9.7087378640776691E-3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37</v>
      </c>
      <c r="C19" s="5">
        <f>IF(B$17=0,0,B19/B$17)</f>
        <v>0.47435897435897434</v>
      </c>
      <c r="E19" s="27" t="s">
        <v>88</v>
      </c>
      <c r="F19" s="24" t="s">
        <v>43</v>
      </c>
      <c r="G19" s="12">
        <v>1</v>
      </c>
      <c r="H19" s="88">
        <f>IF(B$20=0,0,G19/B$20)</f>
        <v>9.7087378640776691E-3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126</v>
      </c>
      <c r="P19" s="83">
        <f t="shared" si="2"/>
        <v>16.035714285714285</v>
      </c>
      <c r="Q19" s="77">
        <v>28</v>
      </c>
      <c r="R19" s="68">
        <v>448.99999999999994</v>
      </c>
    </row>
    <row r="20" spans="1:18" x14ac:dyDescent="0.45">
      <c r="A20" s="18" t="s">
        <v>10</v>
      </c>
      <c r="B20" s="11">
        <f>B23+B22</f>
        <v>103</v>
      </c>
      <c r="C20" s="5">
        <f>IF(B$3=0,0,B20/B$3)</f>
        <v>0.34448160535117056</v>
      </c>
      <c r="E20" s="27" t="s">
        <v>92</v>
      </c>
      <c r="F20" s="24" t="s">
        <v>47</v>
      </c>
      <c r="G20" s="12">
        <v>1</v>
      </c>
      <c r="H20" s="88">
        <f>IF(B$20=0,0,G20/B$20)</f>
        <v>9.7087378640776691E-3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14.785714285714286</v>
      </c>
      <c r="Q20" s="77">
        <v>7</v>
      </c>
      <c r="R20" s="68">
        <v>103.5</v>
      </c>
    </row>
    <row r="21" spans="1:18" x14ac:dyDescent="0.45">
      <c r="A21" s="19" t="s">
        <v>13</v>
      </c>
      <c r="B21" s="12">
        <v>39</v>
      </c>
      <c r="C21" s="6">
        <f>IF(B$3=0,0,B21/B$3)</f>
        <v>0.13043478260869565</v>
      </c>
      <c r="E21" s="27" t="s">
        <v>102</v>
      </c>
      <c r="F21" s="24" t="s">
        <v>57</v>
      </c>
      <c r="G21" s="12">
        <v>1</v>
      </c>
      <c r="H21" s="88">
        <f>IF(B$20=0,0,G21/B$20)</f>
        <v>9.7087378640776691E-3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42</v>
      </c>
      <c r="C22" s="6">
        <f>IF(B$20=0,0,B22/B$20)</f>
        <v>0.40776699029126212</v>
      </c>
      <c r="E22" s="27" t="s">
        <v>155</v>
      </c>
      <c r="F22" s="24" t="s">
        <v>156</v>
      </c>
      <c r="G22" s="12">
        <v>1</v>
      </c>
      <c r="H22" s="88">
        <f>IF(B$20=0,0,G22/B$20)</f>
        <v>9.7087378640776691E-3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61</v>
      </c>
      <c r="C23" s="6">
        <f>IF(B$20=0,0,B23/B$20)</f>
        <v>0.59223300970873782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0.33980582524271846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37</v>
      </c>
      <c r="C25" s="6">
        <f>IF(B$20=0,0,B25/B$20)</f>
        <v>0.35922330097087379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31</v>
      </c>
      <c r="C26" s="6">
        <f>IF(B$20=0,0,B26/B$20)</f>
        <v>0.30097087378640774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7923.3009708737864</v>
      </c>
      <c r="C27" s="8">
        <v>816100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9462.121212121212</v>
      </c>
      <c r="C28" s="96">
        <v>624500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5178.3783783783783</v>
      </c>
      <c r="C29" s="96">
        <v>191600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38</v>
      </c>
      <c r="C32" s="90">
        <v>38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3">IF(B$20=0,0,B37/B$20)</f>
        <v>9.7087378640776698E-2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23</v>
      </c>
      <c r="C38" s="6">
        <f t="shared" si="3"/>
        <v>0.22330097087378642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24</v>
      </c>
      <c r="C39" s="6">
        <f t="shared" si="3"/>
        <v>0.23300970873786409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15</v>
      </c>
      <c r="C40" s="6">
        <f t="shared" si="3"/>
        <v>0.14563106796116504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14</v>
      </c>
      <c r="C41" s="6">
        <f t="shared" si="3"/>
        <v>0.13592233009708737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3"/>
        <v>2.9126213592233011E-2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3"/>
        <v>7.7669902912621352E-2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1.9417475728155338E-2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9.7087378640776691E-3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9.7087378640776691E-3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3"/>
        <v>1.9417475728155338E-2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6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-3500</v>
      </c>
      <c r="Q5" s="77">
        <v>7</v>
      </c>
      <c r="R5" s="64">
        <v>-24500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6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7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2020-11-11T08:07:04Z</dcterms:modified>
</cp:coreProperties>
</file>