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AI\対局\"/>
    </mc:Choice>
  </mc:AlternateContent>
  <xr:revisionPtr revIDLastSave="0" documentId="13_ncr:1_{5963766E-77AD-4F5A-8279-0764B03F15DC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20" r:id="rId1"/>
    <sheet name="Sheet2" sheetId="21" r:id="rId2"/>
    <sheet name="Sheet3" sheetId="22" r:id="rId3"/>
    <sheet name="Sheet4" sheetId="23" r:id="rId4"/>
    <sheet name="Sheet5" sheetId="24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4" l="1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/>
  <c r="T11" i="24"/>
  <c r="W11" i="24" s="1"/>
  <c r="O11" i="24"/>
  <c r="V11" i="24" s="1"/>
  <c r="J11" i="24"/>
  <c r="U11" i="24" s="1"/>
  <c r="D11" i="24"/>
  <c r="C11" i="24"/>
  <c r="B11" i="24"/>
  <c r="A11" i="24"/>
  <c r="T10" i="24"/>
  <c r="O10" i="24"/>
  <c r="J10" i="24"/>
  <c r="D10" i="24"/>
  <c r="C10" i="24"/>
  <c r="B10" i="24"/>
  <c r="A10" i="24" s="1"/>
  <c r="T9" i="24"/>
  <c r="O9" i="24"/>
  <c r="V9" i="24" s="1"/>
  <c r="J9" i="24"/>
  <c r="D9" i="24"/>
  <c r="C9" i="24"/>
  <c r="B9" i="24"/>
  <c r="A9" i="24"/>
  <c r="D8" i="24"/>
  <c r="D7" i="24"/>
  <c r="C7" i="24"/>
  <c r="C8" i="24" s="1"/>
  <c r="D6" i="24"/>
  <c r="C6" i="24"/>
  <c r="T5" i="24"/>
  <c r="O5" i="24"/>
  <c r="D5" i="24"/>
  <c r="C5" i="24"/>
  <c r="B5" i="24"/>
  <c r="T4" i="24"/>
  <c r="O4" i="24"/>
  <c r="J4" i="24"/>
  <c r="W3" i="24"/>
  <c r="V3" i="24"/>
  <c r="U3" i="24"/>
  <c r="W2" i="24"/>
  <c r="V2" i="24"/>
  <c r="U2" i="24"/>
  <c r="BO1" i="24"/>
  <c r="AT1" i="24"/>
  <c r="Y1" i="24"/>
  <c r="W10" i="24" l="1"/>
  <c r="U10" i="24"/>
  <c r="V10" i="24"/>
  <c r="W9" i="24"/>
  <c r="U9" i="24"/>
  <c r="W4" i="24"/>
  <c r="V4" i="24"/>
  <c r="B6" i="24"/>
  <c r="O6" i="24"/>
  <c r="A5" i="24"/>
  <c r="J5" i="24"/>
  <c r="W5" i="24" s="1"/>
  <c r="T6" i="24"/>
  <c r="U4" i="24"/>
  <c r="V5" i="24" l="1"/>
  <c r="V6" i="24"/>
  <c r="O7" i="24"/>
  <c r="U5" i="24"/>
  <c r="J6" i="24"/>
  <c r="T7" i="24"/>
  <c r="W6" i="24"/>
  <c r="B7" i="24"/>
  <c r="A7" i="24" s="1"/>
  <c r="A6" i="24"/>
  <c r="O8" i="24" l="1"/>
  <c r="W7" i="24"/>
  <c r="T8" i="24"/>
  <c r="U6" i="24"/>
  <c r="J7" i="24"/>
  <c r="B8" i="24"/>
  <c r="A8" i="24" s="1"/>
  <c r="U7" i="24" l="1"/>
  <c r="J8" i="24"/>
  <c r="U8" i="24" s="1"/>
  <c r="V8" i="24"/>
  <c r="V7" i="24"/>
  <c r="W8" i="24" l="1"/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D13" i="23"/>
  <c r="D12" i="23"/>
  <c r="D11" i="23"/>
  <c r="D10" i="23"/>
  <c r="C10" i="23"/>
  <c r="C11" i="23" s="1"/>
  <c r="C12" i="23" s="1"/>
  <c r="C13" i="23" s="1"/>
  <c r="D9" i="23"/>
  <c r="D8" i="23"/>
  <c r="C8" i="23"/>
  <c r="C9" i="23" s="1"/>
  <c r="D7" i="23"/>
  <c r="C7" i="23"/>
  <c r="D6" i="23"/>
  <c r="C6" i="23"/>
  <c r="B6" i="23"/>
  <c r="A6" i="23" s="1"/>
  <c r="D5" i="23"/>
  <c r="C5" i="23"/>
  <c r="B5" i="23"/>
  <c r="A5" i="23" s="1"/>
  <c r="T4" i="23"/>
  <c r="T5" i="23" s="1"/>
  <c r="O4" i="23"/>
  <c r="V4" i="23" s="1"/>
  <c r="J4" i="23"/>
  <c r="U4" i="23" s="1"/>
  <c r="W3" i="23"/>
  <c r="V3" i="23"/>
  <c r="U3" i="23"/>
  <c r="W2" i="23"/>
  <c r="V2" i="23"/>
  <c r="U2" i="23"/>
  <c r="BO1" i="23"/>
  <c r="AT1" i="23"/>
  <c r="Y1" i="23"/>
  <c r="W4" i="23" l="1"/>
  <c r="T6" i="23"/>
  <c r="J5" i="23"/>
  <c r="O5" i="23"/>
  <c r="B7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 s="1"/>
  <c r="T13" i="22"/>
  <c r="W13" i="22" s="1"/>
  <c r="O13" i="22"/>
  <c r="J13" i="22"/>
  <c r="D13" i="22"/>
  <c r="C13" i="22"/>
  <c r="B13" i="22"/>
  <c r="A13" i="22" s="1"/>
  <c r="T12" i="22"/>
  <c r="W12" i="22" s="1"/>
  <c r="O12" i="22"/>
  <c r="J12" i="22"/>
  <c r="D12" i="22"/>
  <c r="C12" i="22"/>
  <c r="B12" i="22"/>
  <c r="A12" i="22" s="1"/>
  <c r="T11" i="22"/>
  <c r="O11" i="22"/>
  <c r="V11" i="22" s="1"/>
  <c r="J11" i="22"/>
  <c r="D11" i="22"/>
  <c r="C11" i="22"/>
  <c r="B11" i="22"/>
  <c r="A11" i="22" s="1"/>
  <c r="T10" i="22"/>
  <c r="O10" i="22"/>
  <c r="J10" i="22"/>
  <c r="D10" i="22"/>
  <c r="C10" i="22"/>
  <c r="B10" i="22"/>
  <c r="A10" i="22"/>
  <c r="T9" i="22"/>
  <c r="O9" i="22"/>
  <c r="J9" i="22"/>
  <c r="D9" i="22"/>
  <c r="C9" i="22"/>
  <c r="B9" i="22"/>
  <c r="A9" i="22" s="1"/>
  <c r="D8" i="22"/>
  <c r="C8" i="22"/>
  <c r="D7" i="22"/>
  <c r="C7" i="22"/>
  <c r="J6" i="22"/>
  <c r="D6" i="22"/>
  <c r="C6" i="22"/>
  <c r="O5" i="22"/>
  <c r="O6" i="22" s="1"/>
  <c r="J5" i="22"/>
  <c r="D5" i="22"/>
  <c r="C5" i="22"/>
  <c r="B5" i="22"/>
  <c r="B6" i="22" s="1"/>
  <c r="A5" i="22"/>
  <c r="T4" i="22"/>
  <c r="O4" i="22"/>
  <c r="J4" i="22"/>
  <c r="W3" i="22"/>
  <c r="V3" i="22"/>
  <c r="U3" i="22"/>
  <c r="W2" i="22"/>
  <c r="V2" i="22"/>
  <c r="U2" i="22"/>
  <c r="BO1" i="22"/>
  <c r="AT1" i="22"/>
  <c r="Y1" i="22"/>
  <c r="J6" i="23" l="1"/>
  <c r="U5" i="23"/>
  <c r="B8" i="23"/>
  <c r="A8" i="23" s="1"/>
  <c r="T7" i="23"/>
  <c r="O6" i="23"/>
  <c r="V5" i="23"/>
  <c r="W5" i="23"/>
  <c r="A7" i="23"/>
  <c r="U13" i="22"/>
  <c r="V13" i="22"/>
  <c r="V12" i="22"/>
  <c r="U12" i="22"/>
  <c r="U11" i="22"/>
  <c r="W11" i="22"/>
  <c r="U10" i="22"/>
  <c r="V10" i="22"/>
  <c r="W10" i="22"/>
  <c r="W9" i="22"/>
  <c r="U9" i="22"/>
  <c r="V9" i="22"/>
  <c r="W4" i="22"/>
  <c r="V4" i="22"/>
  <c r="B7" i="22"/>
  <c r="A7" i="22" s="1"/>
  <c r="O7" i="22"/>
  <c r="U4" i="22"/>
  <c r="J7" i="22"/>
  <c r="T5" i="22"/>
  <c r="A6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T10" i="21"/>
  <c r="W10" i="21" s="1"/>
  <c r="O10" i="21"/>
  <c r="V10" i="21" s="1"/>
  <c r="J10" i="21"/>
  <c r="U10" i="21" s="1"/>
  <c r="D10" i="21"/>
  <c r="C10" i="21"/>
  <c r="B10" i="21"/>
  <c r="A10" i="21"/>
  <c r="T9" i="21"/>
  <c r="W9" i="21" s="1"/>
  <c r="O9" i="21"/>
  <c r="V9" i="21" s="1"/>
  <c r="J9" i="21"/>
  <c r="U9" i="21" s="1"/>
  <c r="D9" i="21"/>
  <c r="C9" i="21"/>
  <c r="B9" i="21"/>
  <c r="A9" i="21" s="1"/>
  <c r="T8" i="21"/>
  <c r="O8" i="21"/>
  <c r="J8" i="21"/>
  <c r="D8" i="21"/>
  <c r="C8" i="21"/>
  <c r="B8" i="21"/>
  <c r="A8" i="21" s="1"/>
  <c r="T7" i="21"/>
  <c r="O7" i="21"/>
  <c r="J7" i="21"/>
  <c r="D7" i="21"/>
  <c r="C7" i="21"/>
  <c r="B7" i="21"/>
  <c r="A7" i="21" s="1"/>
  <c r="T6" i="21"/>
  <c r="O6" i="21"/>
  <c r="J6" i="21"/>
  <c r="D6" i="21"/>
  <c r="C6" i="21"/>
  <c r="B6" i="21"/>
  <c r="A6" i="21"/>
  <c r="T5" i="21"/>
  <c r="O5" i="21"/>
  <c r="D5" i="21"/>
  <c r="C5" i="21"/>
  <c r="B5" i="21"/>
  <c r="A5" i="21" s="1"/>
  <c r="T4" i="21"/>
  <c r="O4" i="2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T10" i="20"/>
  <c r="W10" i="20" s="1"/>
  <c r="O10" i="20"/>
  <c r="V10" i="20" s="1"/>
  <c r="J10" i="20"/>
  <c r="U10" i="20" s="1"/>
  <c r="D10" i="20"/>
  <c r="C10" i="20"/>
  <c r="B10" i="20"/>
  <c r="A10" i="20"/>
  <c r="D9" i="20"/>
  <c r="C9" i="20"/>
  <c r="D8" i="20"/>
  <c r="C8" i="20"/>
  <c r="D7" i="20"/>
  <c r="C7" i="20"/>
  <c r="B6" i="20"/>
  <c r="A6" i="20" s="1"/>
  <c r="T5" i="20"/>
  <c r="D5" i="20"/>
  <c r="D6" i="20" s="1"/>
  <c r="C5" i="20"/>
  <c r="C6" i="20" s="1"/>
  <c r="B5" i="20"/>
  <c r="A5" i="20"/>
  <c r="T4" i="20"/>
  <c r="W4" i="20" s="1"/>
  <c r="O4" i="20"/>
  <c r="J4" i="20"/>
  <c r="W3" i="20"/>
  <c r="V3" i="20"/>
  <c r="U3" i="20"/>
  <c r="W2" i="20"/>
  <c r="V2" i="20"/>
  <c r="U2" i="20"/>
  <c r="BO1" i="20"/>
  <c r="AT1" i="20"/>
  <c r="Y1" i="20"/>
  <c r="V6" i="23" l="1"/>
  <c r="O7" i="23"/>
  <c r="W6" i="23"/>
  <c r="T8" i="23"/>
  <c r="U6" i="23"/>
  <c r="J7" i="23"/>
  <c r="B9" i="23"/>
  <c r="A9" i="23" s="1"/>
  <c r="J8" i="22"/>
  <c r="B8" i="22"/>
  <c r="A8" i="22" s="1"/>
  <c r="W5" i="22"/>
  <c r="T6" i="22"/>
  <c r="V5" i="22"/>
  <c r="O8" i="22"/>
  <c r="U5" i="22"/>
  <c r="V8" i="21"/>
  <c r="W8" i="21"/>
  <c r="U8" i="21"/>
  <c r="V7" i="21"/>
  <c r="W7" i="21"/>
  <c r="U7" i="21"/>
  <c r="W6" i="21"/>
  <c r="U6" i="21"/>
  <c r="V6" i="21"/>
  <c r="V4" i="21"/>
  <c r="W4" i="21"/>
  <c r="U4" i="21"/>
  <c r="U5" i="21"/>
  <c r="W5" i="21"/>
  <c r="V5" i="21"/>
  <c r="U4" i="20"/>
  <c r="V4" i="20"/>
  <c r="W5" i="20"/>
  <c r="J5" i="20"/>
  <c r="T6" i="20"/>
  <c r="O5" i="20"/>
  <c r="B7" i="20"/>
  <c r="A7" i="20" s="1"/>
  <c r="U7" i="23" l="1"/>
  <c r="J8" i="23"/>
  <c r="O8" i="23"/>
  <c r="W8" i="23" s="1"/>
  <c r="V7" i="23"/>
  <c r="T9" i="23"/>
  <c r="B10" i="23"/>
  <c r="A10" i="23" s="1"/>
  <c r="W7" i="23"/>
  <c r="W6" i="22"/>
  <c r="T7" i="22"/>
  <c r="U6" i="22"/>
  <c r="V6" i="22"/>
  <c r="A8" i="20"/>
  <c r="B8" i="20"/>
  <c r="J6" i="20"/>
  <c r="W6" i="20" s="1"/>
  <c r="U5" i="20"/>
  <c r="V5" i="20"/>
  <c r="O6" i="20"/>
  <c r="T7" i="20"/>
  <c r="B11" i="23" l="1"/>
  <c r="A11" i="23"/>
  <c r="V8" i="23"/>
  <c r="O9" i="23"/>
  <c r="T10" i="23"/>
  <c r="U8" i="23"/>
  <c r="J9" i="23"/>
  <c r="W7" i="22"/>
  <c r="T8" i="22"/>
  <c r="U7" i="22"/>
  <c r="V7" i="22"/>
  <c r="T8" i="20"/>
  <c r="U6" i="20"/>
  <c r="J7" i="20"/>
  <c r="V6" i="20"/>
  <c r="O7" i="20"/>
  <c r="W7" i="20" s="1"/>
  <c r="B9" i="20"/>
  <c r="A9" i="20" s="1"/>
  <c r="W9" i="23" l="1"/>
  <c r="T11" i="23"/>
  <c r="A12" i="23"/>
  <c r="B12" i="23"/>
  <c r="J10" i="23"/>
  <c r="U9" i="23"/>
  <c r="O10" i="23"/>
  <c r="V9" i="23"/>
  <c r="W8" i="22"/>
  <c r="V8" i="22"/>
  <c r="U8" i="22"/>
  <c r="T9" i="20"/>
  <c r="U7" i="20"/>
  <c r="J8" i="20"/>
  <c r="O8" i="20"/>
  <c r="V7" i="20"/>
  <c r="V10" i="23" l="1"/>
  <c r="O11" i="23"/>
  <c r="W10" i="23"/>
  <c r="U10" i="23"/>
  <c r="J11" i="23"/>
  <c r="W11" i="23"/>
  <c r="T12" i="23"/>
  <c r="B13" i="23"/>
  <c r="A13" i="23"/>
  <c r="V8" i="20"/>
  <c r="O9" i="20"/>
  <c r="W8" i="20"/>
  <c r="U8" i="20"/>
  <c r="J9" i="20"/>
  <c r="U9" i="20" s="1"/>
  <c r="U11" i="23" l="1"/>
  <c r="J12" i="23"/>
  <c r="O12" i="23"/>
  <c r="V11" i="23"/>
  <c r="T13" i="23"/>
  <c r="W9" i="20"/>
  <c r="V9" i="20"/>
  <c r="V12" i="23" l="1"/>
  <c r="O13" i="23"/>
  <c r="V13" i="23" s="1"/>
  <c r="W12" i="23"/>
  <c r="U12" i="23"/>
  <c r="J13" i="23"/>
  <c r="W13" i="23"/>
  <c r="U13" i="23" l="1"/>
</calcChain>
</file>

<file path=xl/sharedStrings.xml><?xml version="1.0" encoding="utf-8"?>
<sst xmlns="http://schemas.openxmlformats.org/spreadsheetml/2006/main" count="927" uniqueCount="212">
  <si>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</si>
  <si>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</si>
  <si>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</si>
  <si>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</si>
  <si>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</si>
  <si>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</si>
  <si>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</si>
  <si>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</si>
  <si>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</si>
  <si>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</si>
  <si>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</si>
  <si>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</si>
  <si>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</si>
  <si>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</si>
  <si>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</si>
  <si>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</si>
  <si>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</si>
  <si>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</si>
  <si>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</si>
  <si>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</si>
  <si>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</si>
  <si>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</si>
  <si>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</si>
  <si>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</si>
  <si>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</si>
  <si>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</si>
  <si>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</si>
  <si>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</si>
  <si>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</si>
  <si>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</si>
  <si>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</si>
  <si>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</si>
  <si>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</si>
  <si>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</si>
  <si>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</si>
  <si>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</si>
  <si>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</si>
  <si>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</si>
  <si>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</si>
  <si>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</si>
  <si>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</si>
  <si>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</si>
  <si>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</si>
  <si>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</si>
  <si>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</si>
  <si>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</si>
  <si>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</si>
  <si>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</si>
  <si>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</si>
  <si>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</si>
  <si>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</si>
  <si>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</si>
  <si>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</si>
  <si>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</si>
  <si>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</si>
  <si>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</si>
  <si>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</si>
  <si>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</si>
  <si>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</si>
  <si>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</si>
  <si>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</si>
  <si>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</si>
  <si>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</si>
  <si>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</si>
  <si>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</si>
  <si>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</si>
  <si>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</si>
  <si>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</si>
  <si>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</si>
  <si>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</si>
  <si>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</si>
  <si>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</si>
  <si>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</si>
  <si>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</si>
  <si>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</si>
  <si>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</si>
  <si>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</si>
  <si>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</si>
  <si>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</si>
  <si>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</si>
  <si>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</si>
  <si>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</si>
  <si>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</si>
  <si>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</si>
  <si>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</si>
  <si>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</si>
  <si>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</si>
  <si>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</si>
  <si>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</si>
  <si>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</si>
  <si>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</si>
  <si>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</si>
  <si>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</si>
  <si>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</si>
  <si>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</si>
  <si>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</si>
  <si>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</si>
  <si>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</si>
  <si>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</si>
  <si>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</si>
  <si>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</si>
  <si>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</si>
  <si>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</si>
  <si>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</si>
  <si>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</si>
  <si>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</si>
  <si>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</si>
  <si>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</si>
  <si>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</si>
  <si>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</si>
  <si>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</si>
  <si>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</si>
  <si>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</si>
  <si>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</si>
  <si>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</si>
  <si>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</si>
  <si>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</si>
  <si>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</si>
  <si>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</si>
  <si>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</si>
  <si>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</si>
  <si>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</si>
  <si>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</si>
  <si>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</si>
  <si>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</si>
  <si>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</si>
  <si>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</si>
  <si>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</si>
  <si>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</si>
  <si>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</si>
  <si>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</si>
  <si>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</si>
  <si>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</si>
  <si>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</si>
  <si>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</si>
  <si>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</si>
  <si>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</si>
  <si>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</si>
  <si>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</si>
  <si>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</si>
  <si>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</si>
  <si>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</si>
  <si>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</si>
  <si>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</si>
  <si>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</si>
  <si>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</si>
  <si>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</si>
  <si>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</si>
  <si>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</si>
  <si>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</si>
  <si>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</si>
  <si>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</si>
  <si>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</si>
  <si>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</si>
  <si>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</si>
  <si>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</si>
  <si>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</si>
  <si>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</si>
  <si>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</si>
  <si>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</si>
  <si>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</si>
  <si>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</si>
  <si>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</si>
  <si>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</si>
  <si>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</si>
  <si>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</si>
  <si>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</si>
  <si>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</si>
  <si>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</si>
  <si>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</si>
  <si>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</si>
  <si>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</si>
  <si>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</si>
  <si>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</si>
  <si>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</si>
  <si>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</si>
  <si>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</si>
  <si>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</si>
  <si>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</si>
  <si>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</si>
  <si>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</si>
  <si>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</si>
  <si>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</si>
  <si>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</si>
  <si>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</si>
  <si>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</si>
  <si>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</si>
  <si>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</si>
  <si>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</si>
  <si>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</si>
  <si>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</si>
  <si>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</si>
  <si>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</si>
  <si>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Tenari1</t>
  </si>
  <si>
    <t>Tenari1</t>
    <phoneticPr fontId="1"/>
  </si>
  <si>
    <t>Tenari2</t>
  </si>
  <si>
    <t>Tenari2</t>
    <phoneticPr fontId="1"/>
  </si>
  <si>
    <t>Tenari2</t>
    <phoneticPr fontId="1"/>
  </si>
  <si>
    <t>Tenari1</t>
    <phoneticPr fontId="1"/>
  </si>
  <si>
    <t>ロン</t>
  </si>
  <si>
    <t>放銃</t>
  </si>
  <si>
    <t>01</t>
  </si>
  <si>
    <t>*</t>
  </si>
  <si>
    <t>ツモ支払</t>
  </si>
  <si>
    <t>ツモ</t>
  </si>
  <si>
    <t>T</t>
  </si>
  <si>
    <t>N</t>
  </si>
  <si>
    <t>52</t>
  </si>
  <si>
    <t>だいち</t>
    <phoneticPr fontId="1"/>
  </si>
  <si>
    <t>02</t>
  </si>
  <si>
    <t>流局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</si>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</sst>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440DD-08D0-4F00-857D-9D4B40599D18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197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198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Tenari2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だいち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Tenari1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2" t="str">
        <f>$F$1</f>
        <v>Tenari2</v>
      </c>
      <c r="V2" s="63" t="str">
        <f>$K$1</f>
        <v>だいち</v>
      </c>
      <c r="W2" s="16" t="str">
        <f>$P$1</f>
        <v>Tenari1</v>
      </c>
      <c r="Y2" s="59" t="s">
        <v>23</v>
      </c>
      <c r="Z2" s="64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4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4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204</v>
      </c>
      <c r="G4" s="9">
        <v>6000</v>
      </c>
      <c r="H4" s="9">
        <v>1000</v>
      </c>
      <c r="I4" s="48">
        <v>0</v>
      </c>
      <c r="J4" s="21">
        <f>IF(COUNTA($F4,$K4,$P4)&gt;0,J3+SUM(G4:I4),"")</f>
        <v>42000</v>
      </c>
      <c r="K4" s="8" t="s">
        <v>203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203</v>
      </c>
      <c r="Q4" s="9">
        <v>-3000</v>
      </c>
      <c r="R4" s="9">
        <v>-1000</v>
      </c>
      <c r="S4" s="48">
        <v>0</v>
      </c>
      <c r="T4" s="21">
        <f>IF(COUNTA($F4,$K4,$P4)&gt;0,T3+SUM(Q4:S4),"")</f>
        <v>31000</v>
      </c>
      <c r="U4" s="53">
        <f>IF($J4="","",ROUND(($J4-$J$3)/1000,1)+(_xlfn.RANK.AVG($J4,($J4,$O4,$T4),1)-2)*20)</f>
        <v>27</v>
      </c>
      <c r="V4" s="54">
        <f>IF($O4="","",ROUND(($O4-$O$3)/1000,1)+(_xlfn.RANK.AVG($O4,($J4,$O4,$T4),1)-2)*20)</f>
        <v>-3</v>
      </c>
      <c r="W4" s="55">
        <f>IF($T4="","",ROUND(($T4-$T$3)/1000,1)+(_xlfn.RANK.AVG($T4,($J4,$O4,$T4),1)-2)*20)</f>
        <v>-24</v>
      </c>
      <c r="Y4" s="8"/>
      <c r="Z4" s="34"/>
      <c r="AA4" s="26">
        <v>1</v>
      </c>
      <c r="AB4" s="26"/>
      <c r="AC4" s="26">
        <v>3</v>
      </c>
      <c r="AD4" s="30">
        <v>30</v>
      </c>
      <c r="AE4" s="40" t="s">
        <v>201</v>
      </c>
      <c r="AF4" s="41" t="s">
        <v>82</v>
      </c>
      <c r="AG4" s="41" t="s">
        <v>80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/>
      <c r="G5" s="9"/>
      <c r="H5" s="9"/>
      <c r="I5" s="48"/>
      <c r="J5" s="21">
        <f t="shared" ref="J5:J30" si="2">IF(COUNTA($F5,$K5,$P5)&gt;0,J4+SUM(G5:I5),"")</f>
        <v>42000</v>
      </c>
      <c r="K5" s="8" t="s">
        <v>200</v>
      </c>
      <c r="L5" s="9">
        <v>-32000</v>
      </c>
      <c r="M5" s="9">
        <v>-1000</v>
      </c>
      <c r="N5" s="48">
        <v>-1000</v>
      </c>
      <c r="O5" s="21">
        <f t="shared" ref="O5:O30" si="3">IF(COUNTA($F5,$K5,$P5)&gt;0,O4+SUM(L5:N5),"")</f>
        <v>-2000</v>
      </c>
      <c r="P5" s="8" t="s">
        <v>199</v>
      </c>
      <c r="Q5" s="9">
        <v>32000</v>
      </c>
      <c r="R5" s="9">
        <v>1000</v>
      </c>
      <c r="S5" s="48">
        <v>1000</v>
      </c>
      <c r="T5" s="21">
        <f t="shared" ref="T5:T30" si="4">IF(COUNTA($F5,$K5,$P5)&gt;0,T4+SUM(Q5:S5),"")</f>
        <v>65000</v>
      </c>
      <c r="U5" s="53">
        <f>IF($J5="","",ROUND(($J5-$J$3)/1000,1)+(_xlfn.RANK.AVG($J5,($J5,$O5,$T5),1)-2)*20)</f>
        <v>7</v>
      </c>
      <c r="V5" s="54">
        <f>IF($O5="","",ROUND(($O5-$O$3)/1000,1)+(_xlfn.RANK.AVG($O5,($J5,$O5,$T5),1)-2)*20)</f>
        <v>-57</v>
      </c>
      <c r="W5" s="55">
        <f>IF($T5="","",ROUND(($T5-$T$3)/1000,1)+(_xlfn.RANK.AVG($T5,($J5,$O5,$T5),1)-2)*20)</f>
        <v>50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13</v>
      </c>
      <c r="BT5" s="30" t="s">
        <v>202</v>
      </c>
      <c r="BU5" s="40" t="s">
        <v>107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391E3D2B-1A8C-4F34-83AC-E1753DD35A26}">
      <formula1>"ロン,ツモ,放銃,ツモ支払,流局,チョンボ"</formula1>
    </dataValidation>
    <dataValidation type="list" allowBlank="1" showInputMessage="1" showErrorMessage="1" sqref="E4:E30" xr:uid="{850AD87C-1FAD-42C2-BEAA-39599D4E7F2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D2580-578D-482A-A3EF-CD2432B14B33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197</v>
      </c>
      <c r="G1" s="67"/>
      <c r="H1" s="67"/>
      <c r="I1" s="68"/>
      <c r="J1" s="69"/>
      <c r="K1" s="66" t="s">
        <v>194</v>
      </c>
      <c r="L1" s="67"/>
      <c r="M1" s="67"/>
      <c r="N1" s="68"/>
      <c r="O1" s="69"/>
      <c r="P1" s="66" t="s">
        <v>208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Tenari2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Tenari1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だいち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2" t="str">
        <f>$F$1</f>
        <v>Tenari2</v>
      </c>
      <c r="V2" s="63" t="str">
        <f>$K$1</f>
        <v>Tenari1</v>
      </c>
      <c r="W2" s="16" t="str">
        <f>$P$1</f>
        <v>だいち</v>
      </c>
      <c r="Y2" s="59" t="s">
        <v>23</v>
      </c>
      <c r="Z2" s="64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4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4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204</v>
      </c>
      <c r="G4" s="9">
        <v>18000</v>
      </c>
      <c r="H4" s="9"/>
      <c r="I4" s="48">
        <v>0</v>
      </c>
      <c r="J4" s="21">
        <f>IF(COUNTA($F4,$K4,$P4)&gt;0,J3+SUM(G4:I4),"")</f>
        <v>53000</v>
      </c>
      <c r="K4" s="8" t="s">
        <v>203</v>
      </c>
      <c r="L4" s="9">
        <v>-9000</v>
      </c>
      <c r="M4" s="9"/>
      <c r="N4" s="48">
        <v>0</v>
      </c>
      <c r="O4" s="21">
        <f>IF(COUNTA($F4,$K4,$P4)&gt;0,O3+SUM(L4:N4),"")</f>
        <v>26000</v>
      </c>
      <c r="P4" s="8" t="s">
        <v>203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IF($J4="","",ROUND(($J4-$J$3)/1000,1)+(_xlfn.RANK.AVG($J4,($J4,$O4,$T4),1)-2)*20)</f>
        <v>38</v>
      </c>
      <c r="V4" s="54">
        <f>IF($O4="","",ROUND(($O4-$O$3)/1000,1)+(_xlfn.RANK.AVG($O4,($J4,$O4,$T4),1)-2)*20)</f>
        <v>-19</v>
      </c>
      <c r="W4" s="55">
        <f>IF($T4="","",ROUND(($T4-$T$3)/1000,1)+(_xlfn.RANK.AVG($T4,($J4,$O4,$T4),1)-2)*20)</f>
        <v>-19</v>
      </c>
      <c r="Y4" s="8"/>
      <c r="Z4" s="34"/>
      <c r="AA4" s="26">
        <v>1</v>
      </c>
      <c r="AB4" s="26"/>
      <c r="AC4" s="26">
        <v>6</v>
      </c>
      <c r="AD4" s="30" t="s">
        <v>202</v>
      </c>
      <c r="AE4" s="40" t="s">
        <v>201</v>
      </c>
      <c r="AF4" s="41" t="s">
        <v>82</v>
      </c>
      <c r="AG4" s="41" t="s">
        <v>209</v>
      </c>
      <c r="AH4" s="41" t="s">
        <v>86</v>
      </c>
      <c r="AI4" s="41" t="s">
        <v>207</v>
      </c>
      <c r="AJ4" s="41" t="s">
        <v>79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/>
      <c r="G5" s="9"/>
      <c r="H5" s="9"/>
      <c r="I5" s="48"/>
      <c r="J5" s="21">
        <f t="shared" ref="J5:J30" si="2">IF(COUNTA($F5,$K5,$P5)&gt;0,J4+SUM(G5:I5),"")</f>
        <v>53000</v>
      </c>
      <c r="K5" s="8" t="s">
        <v>200</v>
      </c>
      <c r="L5" s="9">
        <v>-8000</v>
      </c>
      <c r="M5" s="9"/>
      <c r="N5" s="48">
        <v>-1000</v>
      </c>
      <c r="O5" s="21">
        <f t="shared" ref="O5:O30" si="3">IF(COUNTA($F5,$K5,$P5)&gt;0,O4+SUM(L5:N5),"")</f>
        <v>17000</v>
      </c>
      <c r="P5" s="8" t="s">
        <v>199</v>
      </c>
      <c r="Q5" s="9">
        <v>8000</v>
      </c>
      <c r="R5" s="9"/>
      <c r="S5" s="48">
        <v>1000</v>
      </c>
      <c r="T5" s="21">
        <f t="shared" ref="T5:T30" si="4">IF(COUNTA($F5,$K5,$P5)&gt;0,T4+SUM(Q5:S5),"")</f>
        <v>35000</v>
      </c>
      <c r="U5" s="53">
        <f>IF($J5="","",ROUND(($J5-$J$3)/1000,1)+(_xlfn.RANK.AVG($J5,($J5,$O5,$T5),1)-2)*20)</f>
        <v>38</v>
      </c>
      <c r="V5" s="54">
        <f>IF($O5="","",ROUND(($O5-$O$3)/1000,1)+(_xlfn.RANK.AVG($O5,($J5,$O5,$T5),1)-2)*20)</f>
        <v>-38</v>
      </c>
      <c r="W5" s="55">
        <f>IF($T5="","",ROUND(($T5-$T$3)/1000,1)+(_xlfn.RANK.AVG($T5,($J5,$O5,$T5),1)-2)*20)</f>
        <v>0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50</v>
      </c>
      <c r="BU5" s="40" t="s">
        <v>209</v>
      </c>
      <c r="BV5" s="41" t="s">
        <v>201</v>
      </c>
      <c r="BW5" s="41" t="s">
        <v>86</v>
      </c>
      <c r="BX5" s="41" t="s">
        <v>80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199</v>
      </c>
      <c r="G6" s="9">
        <v>1300</v>
      </c>
      <c r="H6" s="9"/>
      <c r="I6" s="48">
        <v>0</v>
      </c>
      <c r="J6" s="21">
        <f t="shared" si="2"/>
        <v>54300</v>
      </c>
      <c r="K6" s="8"/>
      <c r="L6" s="9"/>
      <c r="M6" s="9"/>
      <c r="N6" s="48"/>
      <c r="O6" s="21">
        <f t="shared" si="3"/>
        <v>17000</v>
      </c>
      <c r="P6" s="8" t="s">
        <v>200</v>
      </c>
      <c r="Q6" s="9">
        <v>-1300</v>
      </c>
      <c r="R6" s="9"/>
      <c r="S6" s="48">
        <v>0</v>
      </c>
      <c r="T6" s="21">
        <f t="shared" si="4"/>
        <v>33700</v>
      </c>
      <c r="U6" s="53">
        <f>IF($J6="","",ROUND(($J6-$J$3)/1000,1)+(_xlfn.RANK.AVG($J6,($J6,$O6,$T6),1)-2)*20)</f>
        <v>39.299999999999997</v>
      </c>
      <c r="V6" s="54">
        <f>IF($O6="","",ROUND(($O6-$O$3)/1000,1)+(_xlfn.RANK.AVG($O6,($J6,$O6,$T6),1)-2)*20)</f>
        <v>-38</v>
      </c>
      <c r="W6" s="55">
        <f>IF($T6="","",ROUND(($T6-$T$3)/1000,1)+(_xlfn.RANK.AVG($T6,($J6,$O6,$T6),1)-2)*20)</f>
        <v>-1.3</v>
      </c>
      <c r="Y6" s="8"/>
      <c r="Z6" s="34"/>
      <c r="AA6" s="26">
        <v>1</v>
      </c>
      <c r="AB6" s="26"/>
      <c r="AC6" s="26">
        <v>1</v>
      </c>
      <c r="AD6" s="30">
        <v>40</v>
      </c>
      <c r="AE6" s="40" t="s">
        <v>201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203</v>
      </c>
      <c r="G7" s="9">
        <v>-9000</v>
      </c>
      <c r="H7" s="9"/>
      <c r="I7" s="48">
        <v>0</v>
      </c>
      <c r="J7" s="21">
        <f t="shared" si="2"/>
        <v>45300</v>
      </c>
      <c r="K7" s="8" t="s">
        <v>203</v>
      </c>
      <c r="L7" s="9">
        <v>-9000</v>
      </c>
      <c r="M7" s="9">
        <v>-1000</v>
      </c>
      <c r="N7" s="48">
        <v>0</v>
      </c>
      <c r="O7" s="21">
        <f t="shared" si="3"/>
        <v>7000</v>
      </c>
      <c r="P7" s="8" t="s">
        <v>204</v>
      </c>
      <c r="Q7" s="9">
        <v>18000</v>
      </c>
      <c r="R7" s="9">
        <v>1000</v>
      </c>
      <c r="S7" s="48">
        <v>0</v>
      </c>
      <c r="T7" s="21">
        <f t="shared" si="4"/>
        <v>52700</v>
      </c>
      <c r="U7" s="53">
        <f>IF($J7="","",ROUND(($J7-$J$3)/1000,1)+(_xlfn.RANK.AVG($J7,($J7,$O7,$T7),1)-2)*20)</f>
        <v>10.3</v>
      </c>
      <c r="V7" s="54">
        <f>IF($O7="","",ROUND(($O7-$O$3)/1000,1)+(_xlfn.RANK.AVG($O7,($J7,$O7,$T7),1)-2)*20)</f>
        <v>-48</v>
      </c>
      <c r="W7" s="55">
        <f>IF($T7="","",ROUND(($T7-$T$3)/1000,1)+(_xlfn.RANK.AVG($T7,($J7,$O7,$T7),1)-2)*20)</f>
        <v>37.700000000000003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7</v>
      </c>
      <c r="BT7" s="30" t="s">
        <v>202</v>
      </c>
      <c r="BU7" s="40" t="s">
        <v>201</v>
      </c>
      <c r="BV7" s="41" t="s">
        <v>82</v>
      </c>
      <c r="BW7" s="41" t="s">
        <v>209</v>
      </c>
      <c r="BX7" s="41" t="s">
        <v>86</v>
      </c>
      <c r="BY7" s="41" t="s">
        <v>86</v>
      </c>
      <c r="BZ7" s="41" t="s">
        <v>207</v>
      </c>
      <c r="CA7" s="41" t="s">
        <v>207</v>
      </c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191</v>
      </c>
      <c r="F8" s="8" t="s">
        <v>199</v>
      </c>
      <c r="G8" s="9">
        <v>8000</v>
      </c>
      <c r="H8" s="9"/>
      <c r="I8" s="48">
        <v>1000</v>
      </c>
      <c r="J8" s="21">
        <f t="shared" si="2"/>
        <v>54300</v>
      </c>
      <c r="K8" s="8" t="s">
        <v>200</v>
      </c>
      <c r="L8" s="9">
        <v>-8000</v>
      </c>
      <c r="M8" s="9"/>
      <c r="N8" s="48">
        <v>-1000</v>
      </c>
      <c r="O8" s="21">
        <f t="shared" si="3"/>
        <v>-2000</v>
      </c>
      <c r="P8" s="8"/>
      <c r="Q8" s="9"/>
      <c r="R8" s="9"/>
      <c r="S8" s="48"/>
      <c r="T8" s="21">
        <f t="shared" si="4"/>
        <v>52700</v>
      </c>
      <c r="U8" s="53">
        <f>IF($J8="","",ROUND(($J8-$J$3)/1000,1)+(_xlfn.RANK.AVG($J8,($J8,$O8,$T8),1)-2)*20)</f>
        <v>39.299999999999997</v>
      </c>
      <c r="V8" s="54">
        <f>IF($O8="","",ROUND(($O8-$O$3)/1000,1)+(_xlfn.RANK.AVG($O8,($J8,$O8,$T8),1)-2)*20)</f>
        <v>-57</v>
      </c>
      <c r="W8" s="55">
        <f>IF($T8="","",ROUND(($T8-$T$3)/1000,1)+(_xlfn.RANK.AVG($T8,($J8,$O8,$T8),1)-2)*20)</f>
        <v>17.7</v>
      </c>
      <c r="Y8" s="8"/>
      <c r="Z8" s="34"/>
      <c r="AA8" s="26">
        <v>1</v>
      </c>
      <c r="AB8" s="26"/>
      <c r="AC8" s="26">
        <v>4</v>
      </c>
      <c r="AD8" s="30">
        <v>40</v>
      </c>
      <c r="AE8" s="40" t="s">
        <v>201</v>
      </c>
      <c r="AF8" s="41" t="s">
        <v>79</v>
      </c>
      <c r="AG8" s="41" t="s">
        <v>79</v>
      </c>
      <c r="AH8" s="41" t="s">
        <v>207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620D9E3B-316E-4147-B173-8B8F4DD67FE5}">
      <formula1>$U$2:$W$2</formula1>
    </dataValidation>
    <dataValidation type="list" showInputMessage="1" showErrorMessage="1" sqref="K4:K30 P4:P30 F4:F30" xr:uid="{3202ED61-F3C5-4D2B-908C-8E39F344EBD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56CF4-06BA-4A94-B104-C064C136C165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192</v>
      </c>
      <c r="G1" s="67"/>
      <c r="H1" s="67"/>
      <c r="I1" s="68"/>
      <c r="J1" s="69"/>
      <c r="K1" s="66" t="s">
        <v>197</v>
      </c>
      <c r="L1" s="67"/>
      <c r="M1" s="67"/>
      <c r="N1" s="68"/>
      <c r="O1" s="69"/>
      <c r="P1" s="66" t="s">
        <v>198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だいち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Tenari2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Tenari1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2" t="str">
        <f>$F$1</f>
        <v>だいち</v>
      </c>
      <c r="V2" s="63" t="str">
        <f>$K$1</f>
        <v>Tenari2</v>
      </c>
      <c r="W2" s="16" t="str">
        <f>$P$1</f>
        <v>Tenari1</v>
      </c>
      <c r="Y2" s="59" t="s">
        <v>23</v>
      </c>
      <c r="Z2" s="64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4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4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200</v>
      </c>
      <c r="G4" s="9">
        <v>-8000</v>
      </c>
      <c r="H4" s="9"/>
      <c r="I4" s="48">
        <v>0</v>
      </c>
      <c r="J4" s="21">
        <f>IF(COUNTA($F4,$K4,$P4)&gt;0,J3+SUM(G4:I4),"")</f>
        <v>27000</v>
      </c>
      <c r="K4" s="8"/>
      <c r="L4" s="9"/>
      <c r="M4" s="9"/>
      <c r="N4" s="48"/>
      <c r="O4" s="21">
        <f>IF(COUNTA($F4,$K4,$P4)&gt;0,O3+SUM(L4:N4),"")</f>
        <v>35000</v>
      </c>
      <c r="P4" s="8" t="s">
        <v>199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IF($J4="","",ROUND(($J4-$J$3)/1000,1)+(_xlfn.RANK.AVG($J4,($J4,$O4,$T4),1)-2)*20)</f>
        <v>-28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202</v>
      </c>
      <c r="BU4" s="40" t="s">
        <v>201</v>
      </c>
      <c r="BV4" s="41" t="s">
        <v>101</v>
      </c>
      <c r="BW4" s="41" t="s">
        <v>79</v>
      </c>
      <c r="BX4" s="41" t="s">
        <v>79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/>
      <c r="G5" s="9"/>
      <c r="H5" s="9"/>
      <c r="I5" s="48"/>
      <c r="J5" s="21">
        <f t="shared" ref="J5:J30" si="2">IF(COUNTA($F5,$K5,$P5)&gt;0,J4+SUM(G5:I5),"")</f>
        <v>27000</v>
      </c>
      <c r="K5" s="8" t="s">
        <v>199</v>
      </c>
      <c r="L5" s="9">
        <v>3900</v>
      </c>
      <c r="M5" s="9"/>
      <c r="N5" s="48">
        <v>0</v>
      </c>
      <c r="O5" s="21">
        <f t="shared" ref="O5:O30" si="3">IF(COUNTA($F5,$K5,$P5)&gt;0,O4+SUM(L5:N5),"")</f>
        <v>38900</v>
      </c>
      <c r="P5" s="8" t="s">
        <v>200</v>
      </c>
      <c r="Q5" s="9">
        <v>-3900</v>
      </c>
      <c r="R5" s="9"/>
      <c r="S5" s="48">
        <v>0</v>
      </c>
      <c r="T5" s="21">
        <f t="shared" ref="T5:T30" si="4">IF(COUNTA($F5,$K5,$P5)&gt;0,T4+SUM(Q5:S5),"")</f>
        <v>39100</v>
      </c>
      <c r="U5" s="53">
        <f>IF($J5="","",ROUND(($J5-$J$3)/1000,1)+(_xlfn.RANK.AVG($J5,($J5,$O5,$T5),1)-2)*20)</f>
        <v>-28</v>
      </c>
      <c r="V5" s="54">
        <f>IF($O5="","",ROUND(($O5-$O$3)/1000,1)+(_xlfn.RANK.AVG($O5,($J5,$O5,$T5),1)-2)*20)</f>
        <v>3.9</v>
      </c>
      <c r="W5" s="55">
        <f>IF($T5="","",ROUND(($T5-$T$3)/1000,1)+(_xlfn.RANK.AVG($T5,($J5,$O5,$T5),1)-2)*20)</f>
        <v>24.1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2</v>
      </c>
      <c r="AY5" s="30">
        <v>40</v>
      </c>
      <c r="AZ5" s="40" t="s">
        <v>201</v>
      </c>
      <c r="BA5" s="41" t="s">
        <v>80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 t="s">
        <v>200</v>
      </c>
      <c r="G6" s="9">
        <v>-8000</v>
      </c>
      <c r="H6" s="9"/>
      <c r="I6" s="48">
        <v>-1000</v>
      </c>
      <c r="J6" s="21">
        <f t="shared" si="2"/>
        <v>18000</v>
      </c>
      <c r="K6" s="8"/>
      <c r="L6" s="9"/>
      <c r="M6" s="9"/>
      <c r="N6" s="48"/>
      <c r="O6" s="21">
        <f t="shared" si="3"/>
        <v>38900</v>
      </c>
      <c r="P6" s="8" t="s">
        <v>199</v>
      </c>
      <c r="Q6" s="9">
        <v>8000</v>
      </c>
      <c r="R6" s="9"/>
      <c r="S6" s="48">
        <v>1000</v>
      </c>
      <c r="T6" s="21">
        <f t="shared" si="4"/>
        <v>48100</v>
      </c>
      <c r="U6" s="53">
        <f>IF($J6="","",ROUND(($J6-$J$3)/1000,1)+(_xlfn.RANK.AVG($J6,($J6,$O6,$T6),1)-2)*20)</f>
        <v>-37</v>
      </c>
      <c r="V6" s="54">
        <f>IF($O6="","",ROUND(($O6-$O$3)/1000,1)+(_xlfn.RANK.AVG($O6,($J6,$O6,$T6),1)-2)*20)</f>
        <v>3.9</v>
      </c>
      <c r="W6" s="55">
        <f>IF($T6="","",ROUND(($T6-$T$3)/1000,1)+(_xlfn.RANK.AVG($T6,($J6,$O6,$T6),1)-2)*20)</f>
        <v>33.1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40</v>
      </c>
      <c r="BU6" s="40" t="s">
        <v>201</v>
      </c>
      <c r="BV6" s="41" t="s">
        <v>209</v>
      </c>
      <c r="BW6" s="41" t="s">
        <v>79</v>
      </c>
      <c r="BX6" s="41" t="s">
        <v>80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199</v>
      </c>
      <c r="G7" s="9">
        <v>8000</v>
      </c>
      <c r="H7" s="9"/>
      <c r="I7" s="48">
        <v>0</v>
      </c>
      <c r="J7" s="21">
        <f t="shared" si="2"/>
        <v>26000</v>
      </c>
      <c r="K7" s="8" t="s">
        <v>200</v>
      </c>
      <c r="L7" s="9">
        <v>-8000</v>
      </c>
      <c r="M7" s="9"/>
      <c r="N7" s="48">
        <v>0</v>
      </c>
      <c r="O7" s="21">
        <f t="shared" si="3"/>
        <v>30900</v>
      </c>
      <c r="P7" s="8"/>
      <c r="Q7" s="9"/>
      <c r="R7" s="9"/>
      <c r="S7" s="48"/>
      <c r="T7" s="21">
        <f t="shared" si="4"/>
        <v>48100</v>
      </c>
      <c r="U7" s="53">
        <f>IF($J7="","",ROUND(($J7-$J$3)/1000,1)+(_xlfn.RANK.AVG($J7,($J7,$O7,$T7),1)-2)*20)</f>
        <v>-29</v>
      </c>
      <c r="V7" s="54">
        <f>IF($O7="","",ROUND(($O7-$O$3)/1000,1)+(_xlfn.RANK.AVG($O7,($J7,$O7,$T7),1)-2)*20)</f>
        <v>-4.0999999999999996</v>
      </c>
      <c r="W7" s="55">
        <f>IF($T7="","",ROUND(($T7-$T$3)/1000,1)+(_xlfn.RANK.AVG($T7,($J7,$O7,$T7),1)-2)*20)</f>
        <v>33.1</v>
      </c>
      <c r="Y7" s="8"/>
      <c r="Z7" s="34"/>
      <c r="AA7" s="26">
        <v>1</v>
      </c>
      <c r="AB7" s="26"/>
      <c r="AC7" s="26">
        <v>4</v>
      </c>
      <c r="AD7" s="30">
        <v>40</v>
      </c>
      <c r="AE7" s="40" t="s">
        <v>201</v>
      </c>
      <c r="AF7" s="41" t="s">
        <v>209</v>
      </c>
      <c r="AG7" s="41" t="s">
        <v>86</v>
      </c>
      <c r="AH7" s="41" t="s">
        <v>207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210</v>
      </c>
      <c r="G8" s="9">
        <v>-1500</v>
      </c>
      <c r="H8" s="9"/>
      <c r="I8" s="48"/>
      <c r="J8" s="21">
        <f t="shared" si="2"/>
        <v>24500</v>
      </c>
      <c r="K8" s="8" t="s">
        <v>210</v>
      </c>
      <c r="L8" s="9">
        <v>3000</v>
      </c>
      <c r="M8" s="9">
        <v>-1000</v>
      </c>
      <c r="N8" s="48"/>
      <c r="O8" s="21">
        <f t="shared" si="3"/>
        <v>32900</v>
      </c>
      <c r="P8" s="8" t="s">
        <v>210</v>
      </c>
      <c r="Q8" s="9">
        <v>-1500</v>
      </c>
      <c r="R8" s="9"/>
      <c r="S8" s="48"/>
      <c r="T8" s="21">
        <f t="shared" si="4"/>
        <v>46600</v>
      </c>
      <c r="U8" s="53">
        <f>IF($J8="","",ROUND(($J8-$J$3)/1000,1)+(_xlfn.RANK.AVG($J8,($J8,$O8,$T8),1)-2)*20)</f>
        <v>-30.5</v>
      </c>
      <c r="V8" s="54">
        <f>IF($O8="","",ROUND(($O8-$O$3)/1000,1)+(_xlfn.RANK.AVG($O8,($J8,$O8,$T8),1)-2)*20)</f>
        <v>-2.1</v>
      </c>
      <c r="W8" s="55">
        <f>IF($T8="","",ROUND(($T8-$T$3)/1000,1)+(_xlfn.RANK.AVG($T8,($J8,$O8,$T8),1)-2)*20)</f>
        <v>31.6</v>
      </c>
      <c r="Y8" s="8" t="s">
        <v>206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205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206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">
        <v>195</v>
      </c>
      <c r="F9" s="8" t="s">
        <v>203</v>
      </c>
      <c r="G9" s="9">
        <v>-4500</v>
      </c>
      <c r="H9" s="9"/>
      <c r="I9" s="48">
        <v>-500</v>
      </c>
      <c r="J9" s="21">
        <f t="shared" si="2"/>
        <v>19500</v>
      </c>
      <c r="K9" s="8" t="s">
        <v>203</v>
      </c>
      <c r="L9" s="9">
        <v>-7500</v>
      </c>
      <c r="M9" s="9"/>
      <c r="N9" s="48">
        <v>-500</v>
      </c>
      <c r="O9" s="21">
        <f t="shared" si="3"/>
        <v>24900</v>
      </c>
      <c r="P9" s="8" t="s">
        <v>204</v>
      </c>
      <c r="Q9" s="9">
        <v>12000</v>
      </c>
      <c r="R9" s="9">
        <v>1000</v>
      </c>
      <c r="S9" s="48">
        <v>1000</v>
      </c>
      <c r="T9" s="21">
        <f t="shared" si="4"/>
        <v>60600</v>
      </c>
      <c r="U9" s="53">
        <f>IF($J9="","",ROUND(($J9-$J$3)/1000,1)+(_xlfn.RANK.AVG($J9,($J9,$O9,$T9),1)-2)*20)</f>
        <v>-35.5</v>
      </c>
      <c r="V9" s="54">
        <f>IF($O9="","",ROUND(($O9-$O$3)/1000,1)+(_xlfn.RANK.AVG($O9,($J9,$O9,$T9),1)-2)*20)</f>
        <v>-10.1</v>
      </c>
      <c r="W9" s="55">
        <f>IF($T9="","",ROUND(($T9-$T$3)/1000,1)+(_xlfn.RANK.AVG($T9,($J9,$O9,$T9),1)-2)*20)</f>
        <v>45.6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6</v>
      </c>
      <c r="BT9" s="30" t="s">
        <v>202</v>
      </c>
      <c r="BU9" s="40" t="s">
        <v>201</v>
      </c>
      <c r="BV9" s="41" t="s">
        <v>82</v>
      </c>
      <c r="BW9" s="41" t="s">
        <v>83</v>
      </c>
      <c r="BX9" s="41" t="s">
        <v>80</v>
      </c>
      <c r="BY9" s="41" t="s">
        <v>207</v>
      </c>
      <c r="BZ9" s="41" t="s">
        <v>207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203</v>
      </c>
      <c r="G10" s="9">
        <v>-4800</v>
      </c>
      <c r="H10" s="9">
        <v>-1000</v>
      </c>
      <c r="I10" s="48">
        <v>0</v>
      </c>
      <c r="J10" s="21">
        <f t="shared" si="2"/>
        <v>13700</v>
      </c>
      <c r="K10" s="8" t="s">
        <v>203</v>
      </c>
      <c r="L10" s="9">
        <v>-4800</v>
      </c>
      <c r="M10" s="9">
        <v>-1000</v>
      </c>
      <c r="N10" s="48">
        <v>0</v>
      </c>
      <c r="O10" s="21">
        <f t="shared" si="3"/>
        <v>19100</v>
      </c>
      <c r="P10" s="8" t="s">
        <v>204</v>
      </c>
      <c r="Q10" s="9">
        <v>9600</v>
      </c>
      <c r="R10" s="9">
        <v>2000</v>
      </c>
      <c r="S10" s="48">
        <v>0</v>
      </c>
      <c r="T10" s="21">
        <f t="shared" si="4"/>
        <v>72200</v>
      </c>
      <c r="U10" s="53">
        <f>IF($J10="","",ROUND(($J10-$J$3)/1000,1)+(_xlfn.RANK.AVG($J10,($J10,$O10,$T10),1)-2)*20)</f>
        <v>-41.3</v>
      </c>
      <c r="V10" s="54">
        <f>IF($O10="","",ROUND(($O10-$O$3)/1000,1)+(_xlfn.RANK.AVG($O10,($J10,$O10,$T10),1)-2)*20)</f>
        <v>-15.9</v>
      </c>
      <c r="W10" s="55">
        <f>IF($T10="","",ROUND(($T10-$T$3)/1000,1)+(_xlfn.RANK.AVG($T10,($J10,$O10,$T10),1)-2)*20)</f>
        <v>57.2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25</v>
      </c>
      <c r="BU10" s="40" t="s">
        <v>201</v>
      </c>
      <c r="BV10" s="41" t="s">
        <v>82</v>
      </c>
      <c r="BW10" s="41" t="s">
        <v>101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193</v>
      </c>
      <c r="F11" s="8"/>
      <c r="G11" s="9"/>
      <c r="H11" s="9"/>
      <c r="I11" s="48"/>
      <c r="J11" s="21">
        <f t="shared" si="2"/>
        <v>13700</v>
      </c>
      <c r="K11" s="8" t="s">
        <v>200</v>
      </c>
      <c r="L11" s="9">
        <v>-3900</v>
      </c>
      <c r="M11" s="9"/>
      <c r="N11" s="48">
        <v>-1000</v>
      </c>
      <c r="O11" s="21">
        <f t="shared" si="3"/>
        <v>14200</v>
      </c>
      <c r="P11" s="8" t="s">
        <v>199</v>
      </c>
      <c r="Q11" s="9">
        <v>3900</v>
      </c>
      <c r="R11" s="9"/>
      <c r="S11" s="48">
        <v>1000</v>
      </c>
      <c r="T11" s="21">
        <f t="shared" si="4"/>
        <v>77100</v>
      </c>
      <c r="U11" s="53">
        <f>IF($J11="","",ROUND(($J11-$J$3)/1000,1)+(_xlfn.RANK.AVG($J11,($J11,$O11,$T11),1)-2)*20)</f>
        <v>-41.3</v>
      </c>
      <c r="V11" s="54">
        <f>IF($O11="","",ROUND(($O11-$O$3)/1000,1)+(_xlfn.RANK.AVG($O11,($J11,$O11,$T11),1)-2)*20)</f>
        <v>-20.8</v>
      </c>
      <c r="W11" s="55">
        <f>IF($T11="","",ROUND(($T11-$T$3)/1000,1)+(_xlfn.RANK.AVG($T11,($J11,$O11,$T11),1)-2)*20)</f>
        <v>62.1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2</v>
      </c>
      <c r="BT11" s="30">
        <v>40</v>
      </c>
      <c r="BU11" s="40" t="s">
        <v>201</v>
      </c>
      <c r="BV11" s="41" t="s">
        <v>79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2</v>
      </c>
      <c r="D12" s="18">
        <f t="shared" si="1"/>
        <v>0</v>
      </c>
      <c r="E12" s="4" t="s">
        <v>193</v>
      </c>
      <c r="F12" s="8" t="s">
        <v>203</v>
      </c>
      <c r="G12" s="9">
        <v>-5800</v>
      </c>
      <c r="H12" s="9"/>
      <c r="I12" s="48">
        <v>-1000</v>
      </c>
      <c r="J12" s="21">
        <f t="shared" si="2"/>
        <v>6900</v>
      </c>
      <c r="K12" s="8" t="s">
        <v>203</v>
      </c>
      <c r="L12" s="9">
        <v>-5800</v>
      </c>
      <c r="M12" s="9"/>
      <c r="N12" s="48">
        <v>-1000</v>
      </c>
      <c r="O12" s="21">
        <f t="shared" si="3"/>
        <v>7400</v>
      </c>
      <c r="P12" s="8" t="s">
        <v>204</v>
      </c>
      <c r="Q12" s="9">
        <v>11600</v>
      </c>
      <c r="R12" s="9"/>
      <c r="S12" s="48">
        <v>2000</v>
      </c>
      <c r="T12" s="21">
        <f t="shared" si="4"/>
        <v>90700</v>
      </c>
      <c r="U12" s="53">
        <f>IF($J12="","",ROUND(($J12-$J$3)/1000,1)+(_xlfn.RANK.AVG($J12,($J12,$O12,$T12),1)-2)*20)</f>
        <v>-48.1</v>
      </c>
      <c r="V12" s="54">
        <f>IF($O12="","",ROUND(($O12-$O$3)/1000,1)+(_xlfn.RANK.AVG($O12,($J12,$O12,$T12),1)-2)*20)</f>
        <v>-27.6</v>
      </c>
      <c r="W12" s="55">
        <f>IF($T12="","",ROUND(($T12-$T$3)/1000,1)+(_xlfn.RANK.AVG($T12,($J12,$O12,$T12),1)-2)*20)</f>
        <v>75.7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4</v>
      </c>
      <c r="BT12" s="30">
        <v>30</v>
      </c>
      <c r="BU12" s="40" t="s">
        <v>201</v>
      </c>
      <c r="BV12" s="41" t="s">
        <v>82</v>
      </c>
      <c r="BW12" s="41" t="s">
        <v>84</v>
      </c>
      <c r="BX12" s="41" t="s">
        <v>80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3</v>
      </c>
      <c r="D13" s="18">
        <f t="shared" si="1"/>
        <v>0</v>
      </c>
      <c r="E13" s="4" t="s">
        <v>193</v>
      </c>
      <c r="F13" s="8"/>
      <c r="G13" s="9"/>
      <c r="H13" s="9">
        <v>-1000</v>
      </c>
      <c r="I13" s="48"/>
      <c r="J13" s="21">
        <f t="shared" si="2"/>
        <v>5900</v>
      </c>
      <c r="K13" s="8" t="s">
        <v>199</v>
      </c>
      <c r="L13" s="9">
        <v>7700</v>
      </c>
      <c r="M13" s="9">
        <v>1000</v>
      </c>
      <c r="N13" s="48">
        <v>3000</v>
      </c>
      <c r="O13" s="21">
        <f t="shared" si="3"/>
        <v>19100</v>
      </c>
      <c r="P13" s="8" t="s">
        <v>200</v>
      </c>
      <c r="Q13" s="9">
        <v>-7700</v>
      </c>
      <c r="R13" s="9"/>
      <c r="S13" s="48">
        <v>-3000</v>
      </c>
      <c r="T13" s="21">
        <f t="shared" si="4"/>
        <v>80000</v>
      </c>
      <c r="U13" s="53">
        <f>IF($J13="","",ROUND(($J13-$J$3)/1000,1)+(_xlfn.RANK.AVG($J13,($J13,$O13,$T13),1)-2)*20)</f>
        <v>-49.1</v>
      </c>
      <c r="V13" s="54">
        <f>IF($O13="","",ROUND(($O13-$O$3)/1000,1)+(_xlfn.RANK.AVG($O13,($J13,$O13,$T13),1)-2)*20)</f>
        <v>-15.9</v>
      </c>
      <c r="W13" s="55">
        <f>IF($T13="","",ROUND(($T13-$T$3)/1000,1)+(_xlfn.RANK.AVG($T13,($J13,$O13,$T13),1)-2)*20)</f>
        <v>65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4</v>
      </c>
      <c r="AY13" s="30">
        <v>30</v>
      </c>
      <c r="AZ13" s="40" t="s">
        <v>201</v>
      </c>
      <c r="BA13" s="41" t="s">
        <v>209</v>
      </c>
      <c r="BB13" s="41" t="s">
        <v>83</v>
      </c>
      <c r="BC13" s="41" t="s">
        <v>207</v>
      </c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25D8E102-EF03-44F2-8D9F-4B89727A4741}">
      <formula1>"ロン,ツモ,放銃,ツモ支払,流局,チョンボ"</formula1>
    </dataValidation>
    <dataValidation type="list" allowBlank="1" showInputMessage="1" showErrorMessage="1" sqref="E4:E30" xr:uid="{E0E21CA4-98BD-4DDE-B421-EF1794D7422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286B6-B335-492C-A5C9-588F4E02C3F1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194</v>
      </c>
      <c r="G1" s="67"/>
      <c r="H1" s="67"/>
      <c r="I1" s="68"/>
      <c r="J1" s="69"/>
      <c r="K1" s="66" t="s">
        <v>197</v>
      </c>
      <c r="L1" s="67"/>
      <c r="M1" s="67"/>
      <c r="N1" s="68"/>
      <c r="O1" s="69"/>
      <c r="P1" s="66" t="s">
        <v>208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Tenari1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Tenari2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だいち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2" t="str">
        <f>$F$1</f>
        <v>Tenari1</v>
      </c>
      <c r="V2" s="63" t="str">
        <f>$K$1</f>
        <v>Tenari2</v>
      </c>
      <c r="W2" s="16" t="str">
        <f>$P$1</f>
        <v>だいち</v>
      </c>
      <c r="Y2" s="59" t="s">
        <v>23</v>
      </c>
      <c r="Z2" s="64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4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4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200</v>
      </c>
      <c r="L4" s="9">
        <v>-5200</v>
      </c>
      <c r="M4" s="9"/>
      <c r="N4" s="48">
        <v>0</v>
      </c>
      <c r="O4" s="21">
        <f>IF(COUNTA($F4,$K4,$P4)&gt;0,O3+SUM(L4:N4),"")</f>
        <v>29800</v>
      </c>
      <c r="P4" s="8" t="s">
        <v>199</v>
      </c>
      <c r="Q4" s="9">
        <v>5200</v>
      </c>
      <c r="R4" s="9"/>
      <c r="S4" s="48">
        <v>0</v>
      </c>
      <c r="T4" s="21">
        <f>IF(COUNTA($F4,$K4,$P4)&gt;0,T3+SUM(Q4:S4),"")</f>
        <v>40200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-25.2</v>
      </c>
      <c r="W4" s="55">
        <f>IF($T4="","",ROUND(($T4-$T$3)/1000,1)+(_xlfn.RANK.AVG($T4,($J4,$O4,$T4),1)-2)*20)</f>
        <v>25.2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40</v>
      </c>
      <c r="BU4" s="40" t="s">
        <v>201</v>
      </c>
      <c r="BV4" s="41" t="s">
        <v>209</v>
      </c>
      <c r="BW4" s="41" t="s">
        <v>207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199</v>
      </c>
      <c r="G5" s="9">
        <v>5200</v>
      </c>
      <c r="H5" s="9"/>
      <c r="I5" s="48">
        <v>0</v>
      </c>
      <c r="J5" s="21">
        <f t="shared" ref="J5:J30" si="2">IF(COUNTA($F5,$K5,$P5)&gt;0,J4+SUM(G5:I5),"")</f>
        <v>40200</v>
      </c>
      <c r="K5" s="8" t="s">
        <v>200</v>
      </c>
      <c r="L5" s="9">
        <v>-5200</v>
      </c>
      <c r="M5" s="9"/>
      <c r="N5" s="48">
        <v>0</v>
      </c>
      <c r="O5" s="21">
        <f t="shared" ref="O5:O30" si="3">IF(COUNTA($F5,$K5,$P5)&gt;0,O4+SUM(L5:N5),"")</f>
        <v>24600</v>
      </c>
      <c r="P5" s="8"/>
      <c r="Q5" s="9"/>
      <c r="R5" s="9"/>
      <c r="S5" s="48"/>
      <c r="T5" s="21">
        <f t="shared" ref="T5:T30" si="4">IF(COUNTA($F5,$K5,$P5)&gt;0,T4+SUM(Q5:S5),"")</f>
        <v>40200</v>
      </c>
      <c r="U5" s="53">
        <f>IF($J5="","",ROUND(($J5-$J$3)/1000,1)+(_xlfn.RANK.AVG($J5,($J5,$O5,$T5),1)-2)*20)</f>
        <v>15.2</v>
      </c>
      <c r="V5" s="54">
        <f>IF($O5="","",ROUND(($O5-$O$3)/1000,1)+(_xlfn.RANK.AVG($O5,($J5,$O5,$T5),1)-2)*20)</f>
        <v>-30.4</v>
      </c>
      <c r="W5" s="55">
        <f>IF($T5="","",ROUND(($T5-$T$3)/1000,1)+(_xlfn.RANK.AVG($T5,($J5,$O5,$T5),1)-2)*20)</f>
        <v>15.2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201</v>
      </c>
      <c r="AF5" s="41" t="s">
        <v>209</v>
      </c>
      <c r="AG5" s="41" t="s">
        <v>86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203</v>
      </c>
      <c r="G6" s="9">
        <v>-12000</v>
      </c>
      <c r="H6" s="9"/>
      <c r="I6" s="48">
        <v>0</v>
      </c>
      <c r="J6" s="21">
        <f t="shared" si="2"/>
        <v>28200</v>
      </c>
      <c r="K6" s="8" t="s">
        <v>203</v>
      </c>
      <c r="L6" s="9">
        <v>-12000</v>
      </c>
      <c r="M6" s="9"/>
      <c r="N6" s="48">
        <v>0</v>
      </c>
      <c r="O6" s="21">
        <f t="shared" si="3"/>
        <v>12600</v>
      </c>
      <c r="P6" s="8" t="s">
        <v>204</v>
      </c>
      <c r="Q6" s="9">
        <v>24000</v>
      </c>
      <c r="R6" s="9"/>
      <c r="S6" s="48">
        <v>0</v>
      </c>
      <c r="T6" s="21">
        <f t="shared" si="4"/>
        <v>64200</v>
      </c>
      <c r="U6" s="53">
        <f>IF($J6="","",ROUND(($J6-$J$3)/1000,1)+(_xlfn.RANK.AVG($J6,($J6,$O6,$T6),1)-2)*20)</f>
        <v>-6.8</v>
      </c>
      <c r="V6" s="54">
        <f>IF($O6="","",ROUND(($O6-$O$3)/1000,1)+(_xlfn.RANK.AVG($O6,($J6,$O6,$T6),1)-2)*20)</f>
        <v>-42.4</v>
      </c>
      <c r="W6" s="55">
        <f>IF($T6="","",ROUND(($T6-$T$3)/1000,1)+(_xlfn.RANK.AVG($T6,($J6,$O6,$T6),1)-2)*20)</f>
        <v>49.2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8</v>
      </c>
      <c r="BT6" s="30" t="s">
        <v>202</v>
      </c>
      <c r="BU6" s="40" t="s">
        <v>82</v>
      </c>
      <c r="BV6" s="41" t="s">
        <v>84</v>
      </c>
      <c r="BW6" s="41" t="s">
        <v>104</v>
      </c>
      <c r="BX6" s="41" t="s">
        <v>79</v>
      </c>
      <c r="BY6" s="41" t="s">
        <v>79</v>
      </c>
      <c r="BZ6" s="41" t="s">
        <v>207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203</v>
      </c>
      <c r="G7" s="9">
        <v>-3900</v>
      </c>
      <c r="H7" s="9">
        <v>-1000</v>
      </c>
      <c r="I7" s="48">
        <v>-500</v>
      </c>
      <c r="J7" s="21">
        <f t="shared" si="2"/>
        <v>22800</v>
      </c>
      <c r="K7" s="8" t="s">
        <v>203</v>
      </c>
      <c r="L7" s="9">
        <v>-3900</v>
      </c>
      <c r="M7" s="9">
        <v>-1000</v>
      </c>
      <c r="N7" s="48">
        <v>-500</v>
      </c>
      <c r="O7" s="21">
        <f t="shared" si="3"/>
        <v>7200</v>
      </c>
      <c r="P7" s="8" t="s">
        <v>204</v>
      </c>
      <c r="Q7" s="9">
        <v>7800</v>
      </c>
      <c r="R7" s="9">
        <v>2000</v>
      </c>
      <c r="S7" s="48">
        <v>1000</v>
      </c>
      <c r="T7" s="21">
        <f t="shared" si="4"/>
        <v>75000</v>
      </c>
      <c r="U7" s="53">
        <f>IF($J7="","",ROUND(($J7-$J$3)/1000,1)+(_xlfn.RANK.AVG($J7,($J7,$O7,$T7),1)-2)*20)</f>
        <v>-12.2</v>
      </c>
      <c r="V7" s="54">
        <f>IF($O7="","",ROUND(($O7-$O$3)/1000,1)+(_xlfn.RANK.AVG($O7,($J7,$O7,$T7),1)-2)*20)</f>
        <v>-47.8</v>
      </c>
      <c r="W7" s="55">
        <f>IF($T7="","",ROUND(($T7-$T$3)/1000,1)+(_xlfn.RANK.AVG($T7,($J7,$O7,$T7),1)-2)*20)</f>
        <v>60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4</v>
      </c>
      <c r="BT7" s="30">
        <v>20</v>
      </c>
      <c r="BU7" s="40" t="s">
        <v>82</v>
      </c>
      <c r="BV7" s="41" t="s">
        <v>83</v>
      </c>
      <c r="BW7" s="41" t="s">
        <v>79</v>
      </c>
      <c r="BX7" s="41" t="s">
        <v>80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191</v>
      </c>
      <c r="F8" s="8" t="s">
        <v>199</v>
      </c>
      <c r="G8" s="9">
        <v>5200</v>
      </c>
      <c r="H8" s="9">
        <v>1000</v>
      </c>
      <c r="I8" s="48">
        <v>2000</v>
      </c>
      <c r="J8" s="21">
        <f t="shared" si="2"/>
        <v>31000</v>
      </c>
      <c r="K8" s="8" t="s">
        <v>200</v>
      </c>
      <c r="L8" s="9">
        <v>-5200</v>
      </c>
      <c r="M8" s="9">
        <v>-1000</v>
      </c>
      <c r="N8" s="48">
        <v>-2000</v>
      </c>
      <c r="O8" s="21">
        <f t="shared" si="3"/>
        <v>-1000</v>
      </c>
      <c r="P8" s="8"/>
      <c r="Q8" s="9"/>
      <c r="R8" s="9"/>
      <c r="S8" s="48"/>
      <c r="T8" s="21">
        <f t="shared" si="4"/>
        <v>75000</v>
      </c>
      <c r="U8" s="53">
        <f>IF($J8="","",ROUND(($J8-$J$3)/1000,1)+(_xlfn.RANK.AVG($J8,($J8,$O8,$T8),1)-2)*20)</f>
        <v>-4</v>
      </c>
      <c r="V8" s="54">
        <f>IF($O8="","",ROUND(($O8-$O$3)/1000,1)+(_xlfn.RANK.AVG($O8,($J8,$O8,$T8),1)-2)*20)</f>
        <v>-56</v>
      </c>
      <c r="W8" s="55">
        <f>IF($T8="","",ROUND(($T8-$T$3)/1000,1)+(_xlfn.RANK.AVG($T8,($J8,$O8,$T8),1)-2)*20)</f>
        <v>60</v>
      </c>
      <c r="Y8" s="8"/>
      <c r="Z8" s="34"/>
      <c r="AA8" s="26">
        <v>1</v>
      </c>
      <c r="AB8" s="26"/>
      <c r="AC8" s="26">
        <v>3</v>
      </c>
      <c r="AD8" s="30">
        <v>40</v>
      </c>
      <c r="AE8" s="40" t="s">
        <v>201</v>
      </c>
      <c r="AF8" s="41" t="s">
        <v>79</v>
      </c>
      <c r="AG8" s="41" t="s">
        <v>86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5FA29B1C-99ED-47E7-8CE4-04E025B57D7D}">
      <formula1>$U$2:$W$2</formula1>
    </dataValidation>
    <dataValidation type="list" showInputMessage="1" showErrorMessage="1" sqref="K4:K30 P4:P30 F4:F30" xr:uid="{DBBF0F91-DDD5-438A-9747-DF20601BEBB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765E5-5E6F-4322-9097-CD84FFB4D7F0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194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Tenari1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だいち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Tenari2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2" t="str">
        <f>$F$1</f>
        <v>Tenari1</v>
      </c>
      <c r="V2" s="63" t="str">
        <f>$K$1</f>
        <v>だいち</v>
      </c>
      <c r="W2" s="16" t="str">
        <f>$P$1</f>
        <v>Tenari2</v>
      </c>
      <c r="Y2" s="59" t="s">
        <v>23</v>
      </c>
      <c r="Z2" s="64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4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4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211</v>
      </c>
      <c r="G4" s="9">
        <v>-3000</v>
      </c>
      <c r="H4" s="9"/>
      <c r="I4" s="48"/>
      <c r="J4" s="21">
        <f>IF(COUNTA($F4,$K4,$P4)&gt;0,J3+SUM(G4:I4),"")</f>
        <v>32000</v>
      </c>
      <c r="K4" s="8" t="s">
        <v>211</v>
      </c>
      <c r="L4" s="9">
        <v>1500</v>
      </c>
      <c r="M4" s="9">
        <v>-1000</v>
      </c>
      <c r="N4" s="48"/>
      <c r="O4" s="21">
        <f>IF(COUNTA($F4,$K4,$P4)&gt;0,O3+SUM(L4:N4),"")</f>
        <v>35500</v>
      </c>
      <c r="P4" s="8" t="s">
        <v>211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IF($J4="","",ROUND(($J4-$J$3)/1000,1)+(_xlfn.RANK.AVG($J4,($J4,$O4,$T4),1)-2)*20)</f>
        <v>-23</v>
      </c>
      <c r="V4" s="54">
        <f>IF($O4="","",ROUND(($O4-$O$3)/1000,1)+(_xlfn.RANK.AVG($O4,($J4,$O4,$T4),1)-2)*20)</f>
        <v>0.5</v>
      </c>
      <c r="W4" s="55">
        <f>IF($T4="","",ROUND(($T4-$T$3)/1000,1)+(_xlfn.RANK.AVG($T4,($J4,$O4,$T4),1)-2)*20)</f>
        <v>21.5</v>
      </c>
      <c r="Y4" s="8" t="s">
        <v>206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205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205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191</v>
      </c>
      <c r="F5" s="8" t="s">
        <v>211</v>
      </c>
      <c r="G5" s="9">
        <v>1500</v>
      </c>
      <c r="H5" s="9">
        <v>-1000</v>
      </c>
      <c r="I5" s="48"/>
      <c r="J5" s="21">
        <f t="shared" ref="J5:J30" si="2">IF(COUNTA($F5,$K5,$P5)&gt;0,J4+SUM(G5:I5),"")</f>
        <v>32500</v>
      </c>
      <c r="K5" s="8" t="s">
        <v>211</v>
      </c>
      <c r="L5" s="9">
        <v>1500</v>
      </c>
      <c r="M5" s="9">
        <v>-1000</v>
      </c>
      <c r="N5" s="48"/>
      <c r="O5" s="21">
        <f t="shared" ref="O5:O30" si="3">IF(COUNTA($F5,$K5,$P5)&gt;0,O4+SUM(L5:N5),"")</f>
        <v>36000</v>
      </c>
      <c r="P5" s="8" t="s">
        <v>211</v>
      </c>
      <c r="Q5" s="9">
        <v>-3000</v>
      </c>
      <c r="R5" s="9"/>
      <c r="S5" s="48"/>
      <c r="T5" s="21">
        <f t="shared" ref="T5:T30" si="4">IF(COUNTA($F5,$K5,$P5)&gt;0,T4+SUM(Q5:S5),"")</f>
        <v>33500</v>
      </c>
      <c r="U5" s="53">
        <f>IF($J5="","",ROUND(($J5-$J$3)/1000,1)+(_xlfn.RANK.AVG($J5,($J5,$O5,$T5),1)-2)*20)</f>
        <v>-22.5</v>
      </c>
      <c r="V5" s="54">
        <f>IF($O5="","",ROUND(($O5-$O$3)/1000,1)+(_xlfn.RANK.AVG($O5,($J5,$O5,$T5),1)-2)*20)</f>
        <v>21</v>
      </c>
      <c r="W5" s="55">
        <f>IF($T5="","",ROUND(($T5-$T$3)/1000,1)+(_xlfn.RANK.AVG($T5,($J5,$O5,$T5),1)-2)*20)</f>
        <v>-1.5</v>
      </c>
      <c r="Y5" s="8" t="s">
        <v>205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205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206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3</v>
      </c>
      <c r="E6" s="4" t="s">
        <v>191</v>
      </c>
      <c r="F6" s="8" t="s">
        <v>204</v>
      </c>
      <c r="G6" s="9">
        <v>5300</v>
      </c>
      <c r="H6" s="9">
        <v>4000</v>
      </c>
      <c r="I6" s="48">
        <v>2000</v>
      </c>
      <c r="J6" s="21">
        <f t="shared" si="2"/>
        <v>43800</v>
      </c>
      <c r="K6" s="8" t="s">
        <v>203</v>
      </c>
      <c r="L6" s="9">
        <v>-3300</v>
      </c>
      <c r="M6" s="9"/>
      <c r="N6" s="48">
        <v>-1000</v>
      </c>
      <c r="O6" s="21">
        <f t="shared" si="3"/>
        <v>31700</v>
      </c>
      <c r="P6" s="8" t="s">
        <v>203</v>
      </c>
      <c r="Q6" s="9">
        <v>-2000</v>
      </c>
      <c r="R6" s="9">
        <v>-1000</v>
      </c>
      <c r="S6" s="48">
        <v>-1000</v>
      </c>
      <c r="T6" s="21">
        <f t="shared" si="4"/>
        <v>29500</v>
      </c>
      <c r="U6" s="53">
        <f>IF($J6="","",ROUND(($J6-$J$3)/1000,1)+(_xlfn.RANK.AVG($J6,($J6,$O6,$T6),1)-2)*20)</f>
        <v>28.8</v>
      </c>
      <c r="V6" s="54">
        <f>IF($O6="","",ROUND(($O6-$O$3)/1000,1)+(_xlfn.RANK.AVG($O6,($J6,$O6,$T6),1)-2)*20)</f>
        <v>-3.3</v>
      </c>
      <c r="W6" s="55">
        <f>IF($T6="","",ROUND(($T6-$T$3)/1000,1)+(_xlfn.RANK.AVG($T6,($J6,$O6,$T6),1)-2)*20)</f>
        <v>-25.5</v>
      </c>
      <c r="Y6" s="8"/>
      <c r="Z6" s="34"/>
      <c r="AA6" s="26">
        <v>1</v>
      </c>
      <c r="AB6" s="26"/>
      <c r="AC6" s="26">
        <v>3</v>
      </c>
      <c r="AD6" s="30">
        <v>40</v>
      </c>
      <c r="AE6" s="40" t="s">
        <v>201</v>
      </c>
      <c r="AF6" s="41" t="s">
        <v>82</v>
      </c>
      <c r="AG6" s="41" t="s">
        <v>209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200</v>
      </c>
      <c r="G7" s="9">
        <v>-5200</v>
      </c>
      <c r="H7" s="9"/>
      <c r="I7" s="48">
        <v>0</v>
      </c>
      <c r="J7" s="21">
        <f t="shared" si="2"/>
        <v>38600</v>
      </c>
      <c r="K7" s="8" t="s">
        <v>199</v>
      </c>
      <c r="L7" s="9">
        <v>5200</v>
      </c>
      <c r="M7" s="9"/>
      <c r="N7" s="48">
        <v>0</v>
      </c>
      <c r="O7" s="21">
        <f t="shared" si="3"/>
        <v>36900</v>
      </c>
      <c r="P7" s="8"/>
      <c r="Q7" s="9"/>
      <c r="R7" s="9"/>
      <c r="S7" s="48"/>
      <c r="T7" s="21">
        <f t="shared" si="4"/>
        <v>29500</v>
      </c>
      <c r="U7" s="53">
        <f>IF($J7="","",ROUND(($J7-$J$3)/1000,1)+(_xlfn.RANK.AVG($J7,($J7,$O7,$T7),1)-2)*20)</f>
        <v>23.6</v>
      </c>
      <c r="V7" s="54">
        <f>IF($O7="","",ROUND(($O7-$O$3)/1000,1)+(_xlfn.RANK.AVG($O7,($J7,$O7,$T7),1)-2)*20)</f>
        <v>1.9</v>
      </c>
      <c r="W7" s="55">
        <f>IF($T7="","",ROUND(($T7-$T$3)/1000,1)+(_xlfn.RANK.AVG($T7,($J7,$O7,$T7),1)-2)*20)</f>
        <v>-25.5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40</v>
      </c>
      <c r="AZ7" s="40" t="s">
        <v>201</v>
      </c>
      <c r="BA7" s="41" t="s">
        <v>79</v>
      </c>
      <c r="BB7" s="41" t="s">
        <v>80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200</v>
      </c>
      <c r="G8" s="9">
        <v>-16000</v>
      </c>
      <c r="H8" s="9"/>
      <c r="I8" s="48">
        <v>0</v>
      </c>
      <c r="J8" s="21">
        <f t="shared" si="2"/>
        <v>22600</v>
      </c>
      <c r="K8" s="8"/>
      <c r="L8" s="9"/>
      <c r="M8" s="9"/>
      <c r="N8" s="48"/>
      <c r="O8" s="21">
        <f t="shared" si="3"/>
        <v>36900</v>
      </c>
      <c r="P8" s="8" t="s">
        <v>199</v>
      </c>
      <c r="Q8" s="9">
        <v>16000</v>
      </c>
      <c r="R8" s="9"/>
      <c r="S8" s="48">
        <v>0</v>
      </c>
      <c r="T8" s="21">
        <f t="shared" si="4"/>
        <v>45500</v>
      </c>
      <c r="U8" s="53">
        <f>IF($J8="","",ROUND(($J8-$J$3)/1000,1)+(_xlfn.RANK.AVG($J8,($J8,$O8,$T8),1)-2)*20)</f>
        <v>-32.4</v>
      </c>
      <c r="V8" s="54">
        <f>IF($O8="","",ROUND(($O8-$O$3)/1000,1)+(_xlfn.RANK.AVG($O8,($J8,$O8,$T8),1)-2)*20)</f>
        <v>1.9</v>
      </c>
      <c r="W8" s="55">
        <f>IF($T8="","",ROUND(($T8-$T$3)/1000,1)+(_xlfn.RANK.AVG($T8,($J8,$O8,$T8),1)-2)*20)</f>
        <v>30.5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8</v>
      </c>
      <c r="BT8" s="30" t="s">
        <v>202</v>
      </c>
      <c r="BU8" s="40" t="s">
        <v>201</v>
      </c>
      <c r="BV8" s="41" t="s">
        <v>209</v>
      </c>
      <c r="BW8" s="41" t="s">
        <v>104</v>
      </c>
      <c r="BX8" s="41" t="s">
        <v>84</v>
      </c>
      <c r="BY8" s="41" t="s">
        <v>207</v>
      </c>
      <c r="BZ8" s="41" t="s">
        <v>80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200</v>
      </c>
      <c r="G9" s="9">
        <v>-7700</v>
      </c>
      <c r="H9" s="9">
        <v>-1000</v>
      </c>
      <c r="I9" s="48">
        <v>0</v>
      </c>
      <c r="J9" s="21">
        <f t="shared" si="2"/>
        <v>13900</v>
      </c>
      <c r="K9" s="8"/>
      <c r="L9" s="9"/>
      <c r="M9" s="9"/>
      <c r="N9" s="48"/>
      <c r="O9" s="21">
        <f t="shared" si="3"/>
        <v>36900</v>
      </c>
      <c r="P9" s="8" t="s">
        <v>199</v>
      </c>
      <c r="Q9" s="9">
        <v>7700</v>
      </c>
      <c r="R9" s="9">
        <v>1000</v>
      </c>
      <c r="S9" s="48">
        <v>0</v>
      </c>
      <c r="T9" s="21">
        <f t="shared" si="4"/>
        <v>54200</v>
      </c>
      <c r="U9" s="53">
        <f>IF($J9="","",ROUND(($J9-$J$3)/1000,1)+(_xlfn.RANK.AVG($J9,($J9,$O9,$T9),1)-2)*20)</f>
        <v>-41.1</v>
      </c>
      <c r="V9" s="54">
        <f>IF($O9="","",ROUND(($O9-$O$3)/1000,1)+(_xlfn.RANK.AVG($O9,($J9,$O9,$T9),1)-2)*20)</f>
        <v>1.9</v>
      </c>
      <c r="W9" s="55">
        <f>IF($T9="","",ROUND(($T9-$T$3)/1000,1)+(_xlfn.RANK.AVG($T9,($J9,$O9,$T9),1)-2)*20)</f>
        <v>39.200000000000003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30</v>
      </c>
      <c r="BU9" s="40" t="s">
        <v>201</v>
      </c>
      <c r="BV9" s="41" t="s">
        <v>83</v>
      </c>
      <c r="BW9" s="41" t="s">
        <v>207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203</v>
      </c>
      <c r="G10" s="9">
        <v>-1500</v>
      </c>
      <c r="H10" s="9">
        <v>-1000</v>
      </c>
      <c r="I10" s="48">
        <v>0</v>
      </c>
      <c r="J10" s="21">
        <f t="shared" si="2"/>
        <v>11400</v>
      </c>
      <c r="K10" s="8" t="s">
        <v>204</v>
      </c>
      <c r="L10" s="9">
        <v>4000</v>
      </c>
      <c r="M10" s="9">
        <v>2000</v>
      </c>
      <c r="N10" s="48">
        <v>0</v>
      </c>
      <c r="O10" s="21">
        <f t="shared" si="3"/>
        <v>42900</v>
      </c>
      <c r="P10" s="8" t="s">
        <v>203</v>
      </c>
      <c r="Q10" s="9">
        <v>-2500</v>
      </c>
      <c r="R10" s="9">
        <v>-1000</v>
      </c>
      <c r="S10" s="48">
        <v>0</v>
      </c>
      <c r="T10" s="21">
        <f t="shared" si="4"/>
        <v>50700</v>
      </c>
      <c r="U10" s="53">
        <f>IF($J10="","",ROUND(($J10-$J$3)/1000,1)+(_xlfn.RANK.AVG($J10,($J10,$O10,$T10),1)-2)*20)</f>
        <v>-43.6</v>
      </c>
      <c r="V10" s="54">
        <f>IF($O10="","",ROUND(($O10-$O$3)/1000,1)+(_xlfn.RANK.AVG($O10,($J10,$O10,$T10),1)-2)*20)</f>
        <v>7.9</v>
      </c>
      <c r="W10" s="55">
        <f>IF($T10="","",ROUND(($T10-$T$3)/1000,1)+(_xlfn.RANK.AVG($T10,($J10,$O10,$T10),1)-2)*20)</f>
        <v>35.700000000000003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3</v>
      </c>
      <c r="AY10" s="30">
        <v>30</v>
      </c>
      <c r="AZ10" s="40" t="s">
        <v>201</v>
      </c>
      <c r="BA10" s="41" t="s">
        <v>80</v>
      </c>
      <c r="BB10" s="41" t="s">
        <v>80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9925860D-2E56-48BA-83E5-3ED8DA3F600F}">
      <formula1>"ロン,ツモ,放銃,ツモ支払,流局,チョンボ"</formula1>
    </dataValidation>
    <dataValidation type="list" allowBlank="1" showInputMessage="1" showErrorMessage="1" sqref="E4:E30" xr:uid="{E92F298E-1DE7-451F-A6AA-61C8F23B99A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2019-06-10T14:03:39Z</dcterms:modified>
</cp:coreProperties>
</file>