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AI\対局\"/>
    </mc:Choice>
  </mc:AlternateContent>
  <xr:revisionPtr revIDLastSave="0" documentId="13_ncr:1_{699BACAF-8D2F-46E4-AB75-290899755AAD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3" l="1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D15" i="23"/>
  <c r="C15" i="23"/>
  <c r="D14" i="23"/>
  <c r="C13" i="23"/>
  <c r="C14" i="23" s="1"/>
  <c r="D12" i="23"/>
  <c r="D13" i="23" s="1"/>
  <c r="C12" i="23"/>
  <c r="D11" i="23"/>
  <c r="D10" i="23"/>
  <c r="D9" i="23"/>
  <c r="C9" i="23"/>
  <c r="C10" i="23" s="1"/>
  <c r="C11" i="23" s="1"/>
  <c r="D8" i="23"/>
  <c r="D7" i="23"/>
  <c r="C7" i="23"/>
  <c r="C8" i="23" s="1"/>
  <c r="D6" i="23"/>
  <c r="C6" i="23"/>
  <c r="T5" i="23"/>
  <c r="O5" i="23"/>
  <c r="D5" i="23"/>
  <c r="C5" i="23"/>
  <c r="B5" i="23"/>
  <c r="B6" i="23" s="1"/>
  <c r="T4" i="23"/>
  <c r="O4" i="23"/>
  <c r="J4" i="23"/>
  <c r="W3" i="23"/>
  <c r="V3" i="23"/>
  <c r="U3" i="23"/>
  <c r="W2" i="23"/>
  <c r="V2" i="23"/>
  <c r="U2" i="23"/>
  <c r="BO1" i="23"/>
  <c r="AT1" i="23"/>
  <c r="Y1" i="23"/>
  <c r="V4" i="23" l="1"/>
  <c r="U4" i="23"/>
  <c r="W4" i="23"/>
  <c r="B7" i="23"/>
  <c r="O6" i="23"/>
  <c r="A5" i="23"/>
  <c r="A6" i="23" s="1"/>
  <c r="J5" i="23"/>
  <c r="T6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 s="1"/>
  <c r="T15" i="22"/>
  <c r="O15" i="22"/>
  <c r="J15" i="22"/>
  <c r="D15" i="22"/>
  <c r="C15" i="22"/>
  <c r="B15" i="22"/>
  <c r="A15" i="22" s="1"/>
  <c r="T14" i="22"/>
  <c r="O14" i="22"/>
  <c r="J14" i="22"/>
  <c r="D14" i="22"/>
  <c r="C14" i="22"/>
  <c r="B14" i="22"/>
  <c r="A14" i="22"/>
  <c r="T13" i="22"/>
  <c r="O13" i="22"/>
  <c r="J13" i="22"/>
  <c r="D13" i="22"/>
  <c r="C13" i="22"/>
  <c r="B13" i="22"/>
  <c r="A13" i="22" s="1"/>
  <c r="T12" i="22"/>
  <c r="O12" i="22"/>
  <c r="J12" i="22"/>
  <c r="D12" i="22"/>
  <c r="C12" i="22"/>
  <c r="B12" i="22"/>
  <c r="A12" i="22" s="1"/>
  <c r="D11" i="22"/>
  <c r="D10" i="22"/>
  <c r="C10" i="22"/>
  <c r="C11" i="22" s="1"/>
  <c r="D9" i="22"/>
  <c r="C9" i="22"/>
  <c r="D8" i="22"/>
  <c r="C8" i="22"/>
  <c r="D7" i="22"/>
  <c r="D6" i="22"/>
  <c r="C6" i="22"/>
  <c r="C7" i="22" s="1"/>
  <c r="D5" i="22"/>
  <c r="C5" i="22"/>
  <c r="B5" i="22"/>
  <c r="B6" i="22" s="1"/>
  <c r="A5" i="22"/>
  <c r="T4" i="22"/>
  <c r="O4" i="22"/>
  <c r="O5" i="22" s="1"/>
  <c r="J4" i="22"/>
  <c r="W3" i="22"/>
  <c r="V3" i="22"/>
  <c r="U3" i="22"/>
  <c r="W2" i="22"/>
  <c r="V2" i="22"/>
  <c r="U2" i="22"/>
  <c r="BO1" i="22"/>
  <c r="AT1" i="22"/>
  <c r="Y1" i="22"/>
  <c r="A7" i="23" l="1"/>
  <c r="J6" i="23"/>
  <c r="U5" i="23"/>
  <c r="B8" i="23"/>
  <c r="V6" i="23"/>
  <c r="O7" i="23"/>
  <c r="V5" i="23"/>
  <c r="T7" i="23"/>
  <c r="W5" i="23"/>
  <c r="U15" i="22"/>
  <c r="V15" i="22"/>
  <c r="W15" i="22"/>
  <c r="V14" i="22"/>
  <c r="U14" i="22"/>
  <c r="W14" i="22"/>
  <c r="W13" i="22"/>
  <c r="U13" i="22"/>
  <c r="V13" i="22"/>
  <c r="V12" i="22"/>
  <c r="W12" i="22"/>
  <c r="U12" i="22"/>
  <c r="W4" i="22"/>
  <c r="V4" i="22"/>
  <c r="A6" i="22"/>
  <c r="B7" i="22"/>
  <c r="A7" i="22" s="1"/>
  <c r="O6" i="22"/>
  <c r="J5" i="22"/>
  <c r="U4" i="22"/>
  <c r="T5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 s="1"/>
  <c r="T11" i="21"/>
  <c r="O11" i="21"/>
  <c r="J11" i="21"/>
  <c r="U11" i="21" s="1"/>
  <c r="D11" i="21"/>
  <c r="C11" i="21"/>
  <c r="B11" i="21"/>
  <c r="A11" i="21" s="1"/>
  <c r="T10" i="21"/>
  <c r="O10" i="21"/>
  <c r="J10" i="21"/>
  <c r="D10" i="21"/>
  <c r="C10" i="21"/>
  <c r="B10" i="21"/>
  <c r="A10" i="21"/>
  <c r="D9" i="21"/>
  <c r="C9" i="21"/>
  <c r="D8" i="21"/>
  <c r="D7" i="21"/>
  <c r="D6" i="21"/>
  <c r="C6" i="21"/>
  <c r="C7" i="21" s="1"/>
  <c r="C8" i="21" s="1"/>
  <c r="O5" i="21"/>
  <c r="O6" i="21" s="1"/>
  <c r="J5" i="21"/>
  <c r="D5" i="21"/>
  <c r="C5" i="21"/>
  <c r="B5" i="21"/>
  <c r="B6" i="21" s="1"/>
  <c r="T4" i="21"/>
  <c r="O4" i="21"/>
  <c r="J4" i="2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D13" i="20"/>
  <c r="C13" i="20"/>
  <c r="D12" i="20"/>
  <c r="D11" i="20"/>
  <c r="C11" i="20"/>
  <c r="C12" i="20" s="1"/>
  <c r="D10" i="20"/>
  <c r="C10" i="20"/>
  <c r="D9" i="20"/>
  <c r="C9" i="20"/>
  <c r="D8" i="20"/>
  <c r="C8" i="20"/>
  <c r="D7" i="20"/>
  <c r="D6" i="20"/>
  <c r="T5" i="20"/>
  <c r="D5" i="20"/>
  <c r="C5" i="20"/>
  <c r="C6" i="20" s="1"/>
  <c r="C7" i="20" s="1"/>
  <c r="B5" i="20"/>
  <c r="B6" i="20" s="1"/>
  <c r="A5" i="20"/>
  <c r="T4" i="20"/>
  <c r="O4" i="20"/>
  <c r="O5" i="20" s="1"/>
  <c r="J4" i="20"/>
  <c r="W3" i="20"/>
  <c r="V3" i="20"/>
  <c r="U3" i="20"/>
  <c r="W2" i="20"/>
  <c r="V2" i="20"/>
  <c r="U2" i="20"/>
  <c r="BO1" i="20"/>
  <c r="AT1" i="20"/>
  <c r="Y1" i="20"/>
  <c r="B9" i="23" l="1"/>
  <c r="V7" i="23"/>
  <c r="O8" i="23"/>
  <c r="T8" i="23"/>
  <c r="U6" i="23"/>
  <c r="J7" i="23"/>
  <c r="W7" i="23" s="1"/>
  <c r="W6" i="23"/>
  <c r="A8" i="23"/>
  <c r="A9" i="23" s="1"/>
  <c r="O7" i="22"/>
  <c r="W5" i="22"/>
  <c r="T6" i="22"/>
  <c r="U5" i="22"/>
  <c r="J6" i="22"/>
  <c r="B8" i="22"/>
  <c r="A8" i="22" s="1"/>
  <c r="V5" i="22"/>
  <c r="V11" i="21"/>
  <c r="W11" i="21"/>
  <c r="V10" i="21"/>
  <c r="U10" i="21"/>
  <c r="W10" i="21"/>
  <c r="A5" i="21"/>
  <c r="V4" i="21"/>
  <c r="W4" i="21"/>
  <c r="B7" i="21"/>
  <c r="O7" i="21"/>
  <c r="U4" i="21"/>
  <c r="T5" i="21"/>
  <c r="U5" i="21" s="1"/>
  <c r="A6" i="21"/>
  <c r="A7" i="21" s="1"/>
  <c r="J6" i="21"/>
  <c r="U4" i="20"/>
  <c r="W4" i="20"/>
  <c r="V4" i="20"/>
  <c r="O6" i="20"/>
  <c r="A6" i="20"/>
  <c r="B7" i="20"/>
  <c r="A7" i="20" s="1"/>
  <c r="J5" i="20"/>
  <c r="T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O13" i="19"/>
  <c r="J13" i="19"/>
  <c r="D13" i="19"/>
  <c r="C13" i="19"/>
  <c r="B13" i="19"/>
  <c r="A13" i="19" s="1"/>
  <c r="T12" i="19"/>
  <c r="W12" i="19" s="1"/>
  <c r="O12" i="19"/>
  <c r="J12" i="19"/>
  <c r="D12" i="19"/>
  <c r="C12" i="19"/>
  <c r="B12" i="19"/>
  <c r="A12" i="19"/>
  <c r="T11" i="19"/>
  <c r="O11" i="19"/>
  <c r="V11" i="19" s="1"/>
  <c r="J11" i="19"/>
  <c r="U11" i="19" s="1"/>
  <c r="D11" i="19"/>
  <c r="C11" i="19"/>
  <c r="B11" i="19"/>
  <c r="A11" i="19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/>
  <c r="T8" i="19"/>
  <c r="O8" i="19"/>
  <c r="J8" i="19"/>
  <c r="D8" i="19"/>
  <c r="C8" i="19"/>
  <c r="B8" i="19"/>
  <c r="A8" i="19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B10" i="23" l="1"/>
  <c r="A10" i="23" s="1"/>
  <c r="U7" i="23"/>
  <c r="J8" i="23"/>
  <c r="V8" i="23" s="1"/>
  <c r="O9" i="23"/>
  <c r="T9" i="23"/>
  <c r="W6" i="22"/>
  <c r="T7" i="22"/>
  <c r="B9" i="22"/>
  <c r="A9" i="22" s="1"/>
  <c r="U6" i="22"/>
  <c r="J7" i="22"/>
  <c r="O8" i="22"/>
  <c r="V7" i="22"/>
  <c r="V6" i="22"/>
  <c r="J7" i="21"/>
  <c r="O8" i="21"/>
  <c r="T6" i="21"/>
  <c r="W5" i="21"/>
  <c r="V5" i="21"/>
  <c r="B8" i="21"/>
  <c r="A8" i="21" s="1"/>
  <c r="T7" i="20"/>
  <c r="U5" i="20"/>
  <c r="J6" i="20"/>
  <c r="V5" i="20"/>
  <c r="V6" i="20"/>
  <c r="O7" i="20"/>
  <c r="B8" i="20"/>
  <c r="W5" i="20"/>
  <c r="U13" i="19"/>
  <c r="W13" i="19"/>
  <c r="V13" i="19"/>
  <c r="V12" i="19"/>
  <c r="U12" i="19"/>
  <c r="W11" i="19"/>
  <c r="U10" i="19"/>
  <c r="V10" i="19"/>
  <c r="W10" i="19"/>
  <c r="U9" i="19"/>
  <c r="W9" i="19"/>
  <c r="V9" i="19"/>
  <c r="U8" i="19"/>
  <c r="V8" i="19"/>
  <c r="W8" i="19"/>
  <c r="U7" i="19"/>
  <c r="V7" i="19"/>
  <c r="W7" i="19"/>
  <c r="V6" i="19"/>
  <c r="U6" i="19"/>
  <c r="W6" i="19"/>
  <c r="U4" i="19"/>
  <c r="V4" i="19"/>
  <c r="W4" i="19"/>
  <c r="J5" i="19"/>
  <c r="O5" i="19"/>
  <c r="V5" i="19" s="1"/>
  <c r="W8" i="23" l="1"/>
  <c r="O10" i="23"/>
  <c r="B11" i="23"/>
  <c r="T10" i="23"/>
  <c r="U8" i="23"/>
  <c r="J9" i="23"/>
  <c r="W9" i="23" s="1"/>
  <c r="B10" i="22"/>
  <c r="A10" i="22" s="1"/>
  <c r="U7" i="22"/>
  <c r="J8" i="22"/>
  <c r="W7" i="22"/>
  <c r="T8" i="22"/>
  <c r="O9" i="22"/>
  <c r="W6" i="21"/>
  <c r="T7" i="21"/>
  <c r="B9" i="21"/>
  <c r="A9" i="21" s="1"/>
  <c r="O9" i="21"/>
  <c r="U6" i="21"/>
  <c r="V6" i="21"/>
  <c r="J8" i="21"/>
  <c r="B9" i="20"/>
  <c r="A9" i="20"/>
  <c r="U6" i="20"/>
  <c r="J7" i="20"/>
  <c r="V7" i="20" s="1"/>
  <c r="O8" i="20"/>
  <c r="W7" i="20"/>
  <c r="T8" i="20"/>
  <c r="A8" i="20"/>
  <c r="W6" i="20"/>
  <c r="W5" i="19"/>
  <c r="U5" i="19"/>
  <c r="V9" i="23" l="1"/>
  <c r="B12" i="23"/>
  <c r="T11" i="23"/>
  <c r="W10" i="23"/>
  <c r="V10" i="23"/>
  <c r="O11" i="23"/>
  <c r="J10" i="23"/>
  <c r="U9" i="23"/>
  <c r="A11" i="23"/>
  <c r="A12" i="23" s="1"/>
  <c r="O10" i="22"/>
  <c r="U8" i="22"/>
  <c r="J9" i="22"/>
  <c r="V8" i="22"/>
  <c r="W8" i="22"/>
  <c r="T9" i="22"/>
  <c r="B11" i="22"/>
  <c r="A11" i="22" s="1"/>
  <c r="J9" i="21"/>
  <c r="T8" i="21"/>
  <c r="U8" i="21" s="1"/>
  <c r="W7" i="21"/>
  <c r="V7" i="21"/>
  <c r="U7" i="21"/>
  <c r="V8" i="21"/>
  <c r="T9" i="20"/>
  <c r="U7" i="20"/>
  <c r="J8" i="20"/>
  <c r="O9" i="20"/>
  <c r="B10" i="20"/>
  <c r="A10" i="20" s="1"/>
  <c r="B13" i="23" l="1"/>
  <c r="A13" i="23" s="1"/>
  <c r="U10" i="23"/>
  <c r="J11" i="23"/>
  <c r="V11" i="23" s="1"/>
  <c r="T12" i="23"/>
  <c r="O12" i="23"/>
  <c r="U9" i="22"/>
  <c r="J10" i="22"/>
  <c r="W9" i="22"/>
  <c r="T10" i="22"/>
  <c r="V10" i="22" s="1"/>
  <c r="V9" i="22"/>
  <c r="O11" i="22"/>
  <c r="W8" i="21"/>
  <c r="T9" i="21"/>
  <c r="W9" i="21" s="1"/>
  <c r="V9" i="21"/>
  <c r="O10" i="20"/>
  <c r="U8" i="20"/>
  <c r="J9" i="20"/>
  <c r="B11" i="20"/>
  <c r="A11" i="20" s="1"/>
  <c r="W9" i="20"/>
  <c r="T10" i="20"/>
  <c r="V8" i="20"/>
  <c r="W8" i="20"/>
  <c r="O13" i="23" l="1"/>
  <c r="T13" i="23"/>
  <c r="W12" i="23"/>
  <c r="U11" i="23"/>
  <c r="J12" i="23"/>
  <c r="W11" i="23"/>
  <c r="A14" i="23"/>
  <c r="B14" i="23"/>
  <c r="U10" i="22"/>
  <c r="J11" i="22"/>
  <c r="W10" i="22"/>
  <c r="T11" i="22"/>
  <c r="U9" i="21"/>
  <c r="T11" i="20"/>
  <c r="U9" i="20"/>
  <c r="J10" i="20"/>
  <c r="V9" i="20"/>
  <c r="B12" i="20"/>
  <c r="A12" i="20"/>
  <c r="V10" i="20"/>
  <c r="O11" i="20"/>
  <c r="W13" i="23" l="1"/>
  <c r="T14" i="23"/>
  <c r="U12" i="23"/>
  <c r="J13" i="23"/>
  <c r="V12" i="23"/>
  <c r="B15" i="23"/>
  <c r="A15" i="23"/>
  <c r="V13" i="23"/>
  <c r="O14" i="23"/>
  <c r="U11" i="22"/>
  <c r="W11" i="22"/>
  <c r="V11" i="22"/>
  <c r="U10" i="20"/>
  <c r="J11" i="20"/>
  <c r="B13" i="20"/>
  <c r="A13" i="20" s="1"/>
  <c r="T12" i="20"/>
  <c r="O12" i="20"/>
  <c r="W10" i="20"/>
  <c r="J14" i="23" l="1"/>
  <c r="U13" i="23"/>
  <c r="T15" i="23"/>
  <c r="W14" i="23"/>
  <c r="V14" i="23"/>
  <c r="O15" i="23"/>
  <c r="U11" i="20"/>
  <c r="J12" i="20"/>
  <c r="V11" i="20"/>
  <c r="W12" i="20"/>
  <c r="T13" i="20"/>
  <c r="V12" i="20"/>
  <c r="O13" i="20"/>
  <c r="W11" i="20"/>
  <c r="U14" i="23" l="1"/>
  <c r="J15" i="23"/>
  <c r="U15" i="23" s="1"/>
  <c r="U12" i="20"/>
  <c r="J13" i="20"/>
  <c r="U13" i="20" s="1"/>
  <c r="V15" i="23" l="1"/>
  <c r="W15" i="23"/>
  <c r="W13" i="20"/>
  <c r="V13" i="20"/>
</calcChain>
</file>

<file path=xl/sharedStrings.xml><?xml version="1.0" encoding="utf-8"?>
<sst xmlns="http://schemas.openxmlformats.org/spreadsheetml/2006/main" count="1025" uniqueCount="210">
  <si>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</si>
  <si>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</si>
  <si>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</si>
  <si>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</si>
  <si>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</si>
  <si>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</si>
  <si>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</si>
  <si>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</si>
  <si>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</si>
  <si>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</si>
  <si>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</si>
  <si>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</si>
  <si>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</si>
  <si>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</si>
  <si>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</si>
  <si>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</si>
  <si>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</si>
  <si>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</si>
  <si>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</si>
  <si>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</si>
  <si>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</si>
  <si>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</si>
  <si>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</si>
  <si>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</si>
  <si>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</si>
  <si>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</si>
  <si>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</si>
  <si>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</si>
  <si>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</si>
  <si>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</si>
  <si>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</si>
  <si>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</si>
  <si>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</si>
  <si>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</si>
  <si>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</si>
  <si>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</si>
  <si>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</si>
  <si>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</si>
  <si>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</si>
  <si>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</si>
  <si>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</si>
  <si>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</si>
  <si>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</si>
  <si>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</si>
  <si>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</si>
  <si>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</si>
  <si>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</si>
  <si>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</si>
  <si>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</si>
  <si>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</si>
  <si>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</si>
  <si>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</si>
  <si>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</si>
  <si>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</si>
  <si>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</si>
  <si>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</si>
  <si>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</si>
  <si>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</si>
  <si>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</si>
  <si>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</si>
  <si>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</si>
  <si>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</si>
  <si>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</si>
  <si>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</si>
  <si>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</si>
  <si>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</si>
  <si>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</si>
  <si>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</si>
  <si>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</si>
  <si>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</si>
  <si>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</si>
  <si>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</si>
  <si>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</si>
  <si>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</si>
  <si>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</si>
  <si>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</si>
  <si>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</si>
  <si>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</si>
  <si>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</si>
  <si>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</si>
  <si>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</si>
  <si>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</si>
  <si>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</si>
  <si>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</si>
  <si>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</si>
  <si>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</si>
  <si>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</si>
  <si>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</si>
  <si>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</si>
  <si>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</si>
  <si>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</si>
  <si>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</si>
  <si>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</si>
  <si>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</si>
  <si>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</si>
  <si>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</si>
  <si>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</si>
  <si>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</si>
  <si>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</si>
  <si>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</si>
  <si>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</si>
  <si>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</si>
  <si>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</si>
  <si>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</si>
  <si>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</si>
  <si>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</si>
  <si>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</si>
  <si>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</si>
  <si>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</si>
  <si>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</si>
  <si>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</si>
  <si>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</si>
  <si>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</si>
  <si>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</si>
  <si>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</si>
  <si>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</si>
  <si>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</si>
  <si>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</si>
  <si>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</si>
  <si>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</si>
  <si>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</si>
  <si>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</si>
  <si>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</si>
  <si>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</si>
  <si>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</si>
  <si>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</si>
  <si>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</si>
  <si>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</si>
  <si>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</si>
  <si>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</si>
  <si>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</si>
  <si>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</si>
  <si>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</si>
  <si>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</si>
  <si>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</si>
  <si>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</si>
  <si>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</si>
  <si>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</si>
  <si>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</si>
  <si>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</si>
  <si>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</si>
  <si>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</si>
  <si>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</si>
  <si>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</si>
  <si>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</si>
  <si>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</si>
  <si>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</si>
  <si>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</si>
  <si>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</si>
  <si>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</si>
  <si>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</si>
  <si>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</si>
  <si>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</si>
  <si>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</si>
  <si>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</si>
  <si>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</si>
  <si>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</si>
  <si>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</si>
  <si>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</si>
  <si>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</si>
  <si>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</si>
  <si>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</si>
  <si>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</si>
  <si>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</si>
  <si>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</si>
  <si>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</si>
  <si>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</si>
  <si>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</si>
  <si>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</si>
  <si>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</si>
  <si>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</si>
  <si>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</si>
  <si>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</si>
  <si>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</si>
  <si>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</si>
  <si>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</si>
  <si>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</si>
  <si>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</si>
  <si>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</si>
  <si>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</si>
  <si>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</si>
  <si>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</si>
  <si>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</si>
  <si>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</si>
  <si>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</si>
  <si>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</si>
  <si>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</si>
  <si>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</si>
  <si>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</si>
  <si>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</si>
  <si>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</si>
  <si>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Tenari1</t>
  </si>
  <si>
    <t>Tenari1</t>
    <phoneticPr fontId="1"/>
  </si>
  <si>
    <t>Tenari2</t>
  </si>
  <si>
    <t>Tenari2</t>
    <phoneticPr fontId="1"/>
  </si>
  <si>
    <t>だいち</t>
  </si>
  <si>
    <t>だいち</t>
    <phoneticPr fontId="1"/>
  </si>
  <si>
    <t>ロン</t>
  </si>
  <si>
    <t>放銃</t>
  </si>
  <si>
    <t>01</t>
  </si>
  <si>
    <t>52</t>
  </si>
  <si>
    <t>ツモ</t>
  </si>
  <si>
    <t>ツモ支払</t>
  </si>
  <si>
    <t>02</t>
  </si>
  <si>
    <t>*</t>
  </si>
  <si>
    <t>T</t>
  </si>
  <si>
    <t>N</t>
  </si>
  <si>
    <t>流局</t>
    <phoneticPr fontId="1"/>
  </si>
  <si>
    <t>だいち</t>
    <phoneticPr fontId="1"/>
  </si>
  <si>
    <t>Tenari1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</si>
</sst>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194</v>
      </c>
      <c r="G1" s="79"/>
      <c r="H1" s="79"/>
      <c r="I1" s="80"/>
      <c r="J1" s="81"/>
      <c r="K1" s="78" t="s">
        <v>192</v>
      </c>
      <c r="L1" s="79"/>
      <c r="M1" s="79"/>
      <c r="N1" s="80"/>
      <c r="O1" s="81"/>
      <c r="P1" s="78" t="s">
        <v>196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Tenari2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Tenari1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Tenari2</v>
      </c>
      <c r="V2" s="64" t="str">
        <f>$K$1</f>
        <v>Tenari1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197</v>
      </c>
      <c r="G4" s="9">
        <v>3900</v>
      </c>
      <c r="H4" s="9"/>
      <c r="I4" s="48">
        <v>0</v>
      </c>
      <c r="J4" s="21">
        <f>IF(COUNTA($F4,$K4,$P4)&gt;0,J3+SUM(G4:I4),"")</f>
        <v>38900</v>
      </c>
      <c r="K4" s="8" t="s">
        <v>198</v>
      </c>
      <c r="L4" s="9">
        <v>-3900</v>
      </c>
      <c r="M4" s="9"/>
      <c r="N4" s="48">
        <v>0</v>
      </c>
      <c r="O4" s="21">
        <f>IF(COUNTA($F4,$K4,$P4)&gt;0,O3+SUM(L4:N4),"")</f>
        <v>31100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23.9</v>
      </c>
      <c r="V4" s="54">
        <f>IF($O4="","",ROUND(($O4-$O$3)/1000,1)+(_xlfn.RANK.AVG($O4,($J4,$O4,$T4),1)-2)*20)</f>
        <v>-23.9</v>
      </c>
      <c r="W4" s="55">
        <f>IF($T4="","",ROUND(($T4-$T$3)/1000,1)+(_xlfn.RANK.AVG($T4,($J4,$O4,$T4),1)-2)*20)</f>
        <v>0</v>
      </c>
      <c r="Y4" s="8"/>
      <c r="Z4" s="34"/>
      <c r="AA4" s="26">
        <v>1</v>
      </c>
      <c r="AB4" s="26"/>
      <c r="AC4" s="26">
        <v>2</v>
      </c>
      <c r="AD4" s="30">
        <v>40</v>
      </c>
      <c r="AE4" s="40" t="s">
        <v>199</v>
      </c>
      <c r="AF4" s="41" t="s">
        <v>80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197</v>
      </c>
      <c r="G5" s="9">
        <v>12000</v>
      </c>
      <c r="H5" s="9">
        <v>1000</v>
      </c>
      <c r="I5" s="48">
        <v>1000</v>
      </c>
      <c r="J5" s="21">
        <f t="shared" ref="J5:J30" si="2">IF(COUNTA($F5,$K5,$P5)&gt;0,J4+SUM(G5:I5),"")</f>
        <v>52900</v>
      </c>
      <c r="K5" s="8" t="s">
        <v>198</v>
      </c>
      <c r="L5" s="9">
        <v>-12000</v>
      </c>
      <c r="M5" s="9">
        <v>-1000</v>
      </c>
      <c r="N5" s="48">
        <v>-1000</v>
      </c>
      <c r="O5" s="21">
        <f t="shared" ref="O5:O30" si="3">IF(COUNTA($F5,$K5,$P5)&gt;0,O4+SUM(L5:N5),"")</f>
        <v>17100</v>
      </c>
      <c r="P5" s="8"/>
      <c r="Q5" s="9"/>
      <c r="R5" s="9"/>
      <c r="S5" s="48"/>
      <c r="T5" s="21">
        <f t="shared" ref="T5:T30" si="4">IF(COUNTA($F5,$K5,$P5)&gt;0,T4+SUM(Q5:S5),"")</f>
        <v>35000</v>
      </c>
      <c r="U5" s="53">
        <f>IF($J5="","",ROUND(($J5-$J$3)/1000,1)+(_xlfn.RANK.AVG($J5,($J5,$O5,$T5),1)-2)*20)</f>
        <v>37.9</v>
      </c>
      <c r="V5" s="54">
        <f>IF($O5="","",ROUND(($O5-$O$3)/1000,1)+(_xlfn.RANK.AVG($O5,($J5,$O5,$T5),1)-2)*20)</f>
        <v>-37.9</v>
      </c>
      <c r="W5" s="55">
        <f>IF($T5="","",ROUND(($T5-$T$3)/1000,1)+(_xlfn.RANK.AVG($T5,($J5,$O5,$T5),1)-2)*20)</f>
        <v>0</v>
      </c>
      <c r="Y5" s="8"/>
      <c r="Z5" s="34"/>
      <c r="AA5" s="26">
        <v>1</v>
      </c>
      <c r="AB5" s="26"/>
      <c r="AC5" s="26">
        <v>4</v>
      </c>
      <c r="AD5" s="30">
        <v>40</v>
      </c>
      <c r="AE5" s="40" t="s">
        <v>199</v>
      </c>
      <c r="AF5" s="41" t="s">
        <v>85</v>
      </c>
      <c r="AG5" s="41" t="s">
        <v>200</v>
      </c>
      <c r="AH5" s="41" t="s">
        <v>80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193</v>
      </c>
      <c r="F6" s="8" t="s">
        <v>201</v>
      </c>
      <c r="G6" s="9">
        <v>6000</v>
      </c>
      <c r="H6" s="9">
        <v>1000</v>
      </c>
      <c r="I6" s="48">
        <v>2000</v>
      </c>
      <c r="J6" s="21">
        <f t="shared" si="2"/>
        <v>61900</v>
      </c>
      <c r="K6" s="8" t="s">
        <v>202</v>
      </c>
      <c r="L6" s="9">
        <v>-3000</v>
      </c>
      <c r="M6" s="9">
        <v>-1000</v>
      </c>
      <c r="N6" s="48">
        <v>-1000</v>
      </c>
      <c r="O6" s="21">
        <f t="shared" si="3"/>
        <v>12100</v>
      </c>
      <c r="P6" s="8" t="s">
        <v>202</v>
      </c>
      <c r="Q6" s="9">
        <v>-3000</v>
      </c>
      <c r="R6" s="9"/>
      <c r="S6" s="48">
        <v>-1000</v>
      </c>
      <c r="T6" s="21">
        <f t="shared" si="4"/>
        <v>31000</v>
      </c>
      <c r="U6" s="53">
        <f>IF($J6="","",ROUND(($J6-$J$3)/1000,1)+(_xlfn.RANK.AVG($J6,($J6,$O6,$T6),1)-2)*20)</f>
        <v>46.9</v>
      </c>
      <c r="V6" s="54">
        <f>IF($O6="","",ROUND(($O6-$O$3)/1000,1)+(_xlfn.RANK.AVG($O6,($J6,$O6,$T6),1)-2)*20)</f>
        <v>-42.9</v>
      </c>
      <c r="W6" s="55">
        <f>IF($T6="","",ROUND(($T6-$T$3)/1000,1)+(_xlfn.RANK.AVG($T6,($J6,$O6,$T6),1)-2)*20)</f>
        <v>-4</v>
      </c>
      <c r="Y6" s="8"/>
      <c r="Z6" s="34"/>
      <c r="AA6" s="26">
        <v>1</v>
      </c>
      <c r="AB6" s="26"/>
      <c r="AC6" s="26">
        <v>3</v>
      </c>
      <c r="AD6" s="30">
        <v>30</v>
      </c>
      <c r="AE6" s="40" t="s">
        <v>199</v>
      </c>
      <c r="AF6" s="41" t="s">
        <v>82</v>
      </c>
      <c r="AG6" s="41" t="s">
        <v>203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193</v>
      </c>
      <c r="F7" s="8" t="s">
        <v>198</v>
      </c>
      <c r="G7" s="9">
        <v>-5200</v>
      </c>
      <c r="H7" s="9">
        <v>-1000</v>
      </c>
      <c r="I7" s="48">
        <v>-3000</v>
      </c>
      <c r="J7" s="21">
        <f t="shared" si="2"/>
        <v>52700</v>
      </c>
      <c r="K7" s="8" t="s">
        <v>197</v>
      </c>
      <c r="L7" s="9">
        <v>5200</v>
      </c>
      <c r="M7" s="9">
        <v>2000</v>
      </c>
      <c r="N7" s="48">
        <v>3000</v>
      </c>
      <c r="O7" s="21">
        <f t="shared" si="3"/>
        <v>22300</v>
      </c>
      <c r="P7" s="8"/>
      <c r="Q7" s="9"/>
      <c r="R7" s="9">
        <v>-1000</v>
      </c>
      <c r="S7" s="48"/>
      <c r="T7" s="21">
        <f t="shared" si="4"/>
        <v>30000</v>
      </c>
      <c r="U7" s="53">
        <f>IF($J7="","",ROUND(($J7-$J$3)/1000,1)+(_xlfn.RANK.AVG($J7,($J7,$O7,$T7),1)-2)*20)</f>
        <v>37.700000000000003</v>
      </c>
      <c r="V7" s="54">
        <f>IF($O7="","",ROUND(($O7-$O$3)/1000,1)+(_xlfn.RANK.AVG($O7,($J7,$O7,$T7),1)-2)*20)</f>
        <v>-32.700000000000003</v>
      </c>
      <c r="W7" s="55">
        <f>IF($T7="","",ROUND(($T7-$T$3)/1000,1)+(_xlfn.RANK.AVG($T7,($J7,$O7,$T7),1)-2)*20)</f>
        <v>-5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40</v>
      </c>
      <c r="AZ7" s="40" t="s">
        <v>199</v>
      </c>
      <c r="BA7" s="41" t="s">
        <v>200</v>
      </c>
      <c r="BB7" s="41" t="s">
        <v>86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202</v>
      </c>
      <c r="G8" s="9">
        <v>-800</v>
      </c>
      <c r="H8" s="9">
        <v>-1000</v>
      </c>
      <c r="I8" s="48">
        <v>0</v>
      </c>
      <c r="J8" s="21">
        <f t="shared" si="2"/>
        <v>50900</v>
      </c>
      <c r="K8" s="8" t="s">
        <v>202</v>
      </c>
      <c r="L8" s="9">
        <v>-1300</v>
      </c>
      <c r="M8" s="9"/>
      <c r="N8" s="48">
        <v>0</v>
      </c>
      <c r="O8" s="21">
        <f t="shared" si="3"/>
        <v>21000</v>
      </c>
      <c r="P8" s="8" t="s">
        <v>201</v>
      </c>
      <c r="Q8" s="9">
        <v>2100</v>
      </c>
      <c r="R8" s="9">
        <v>1000</v>
      </c>
      <c r="S8" s="48">
        <v>0</v>
      </c>
      <c r="T8" s="21">
        <f t="shared" si="4"/>
        <v>33100</v>
      </c>
      <c r="U8" s="53">
        <f>IF($J8="","",ROUND(($J8-$J$3)/1000,1)+(_xlfn.RANK.AVG($J8,($J8,$O8,$T8),1)-2)*20)</f>
        <v>35.9</v>
      </c>
      <c r="V8" s="54">
        <f>IF($O8="","",ROUND(($O8-$O$3)/1000,1)+(_xlfn.RANK.AVG($O8,($J8,$O8,$T8),1)-2)*20)</f>
        <v>-34</v>
      </c>
      <c r="W8" s="55">
        <f>IF($T8="","",ROUND(($T8-$T$3)/1000,1)+(_xlfn.RANK.AVG($T8,($J8,$O8,$T8),1)-2)*20)</f>
        <v>-1.9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2</v>
      </c>
      <c r="BT8" s="30">
        <v>30</v>
      </c>
      <c r="BU8" s="40" t="s">
        <v>82</v>
      </c>
      <c r="BV8" s="41" t="s">
        <v>79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197</v>
      </c>
      <c r="G9" s="9">
        <v>12000</v>
      </c>
      <c r="H9" s="9">
        <v>2000</v>
      </c>
      <c r="I9" s="48">
        <v>0</v>
      </c>
      <c r="J9" s="21">
        <f t="shared" si="2"/>
        <v>64900</v>
      </c>
      <c r="K9" s="8" t="s">
        <v>198</v>
      </c>
      <c r="L9" s="9">
        <v>-12000</v>
      </c>
      <c r="M9" s="9">
        <v>-1000</v>
      </c>
      <c r="N9" s="48">
        <v>0</v>
      </c>
      <c r="O9" s="21">
        <f t="shared" si="3"/>
        <v>8000</v>
      </c>
      <c r="P9" s="8"/>
      <c r="Q9" s="9"/>
      <c r="R9" s="9">
        <v>-1000</v>
      </c>
      <c r="S9" s="48"/>
      <c r="T9" s="21">
        <f t="shared" si="4"/>
        <v>32100</v>
      </c>
      <c r="U9" s="53">
        <f>IF($J9="","",ROUND(($J9-$J$3)/1000,1)+(_xlfn.RANK.AVG($J9,($J9,$O9,$T9),1)-2)*20)</f>
        <v>49.9</v>
      </c>
      <c r="V9" s="54">
        <f>IF($O9="","",ROUND(($O9-$O$3)/1000,1)+(_xlfn.RANK.AVG($O9,($J9,$O9,$T9),1)-2)*20)</f>
        <v>-47</v>
      </c>
      <c r="W9" s="55">
        <f>IF($T9="","",ROUND(($T9-$T$3)/1000,1)+(_xlfn.RANK.AVG($T9,($J9,$O9,$T9),1)-2)*20)</f>
        <v>-2.9</v>
      </c>
      <c r="Y9" s="8"/>
      <c r="Z9" s="34"/>
      <c r="AA9" s="26">
        <v>1</v>
      </c>
      <c r="AB9" s="26"/>
      <c r="AC9" s="26">
        <v>6</v>
      </c>
      <c r="AD9" s="30" t="s">
        <v>204</v>
      </c>
      <c r="AE9" s="40" t="s">
        <v>199</v>
      </c>
      <c r="AF9" s="41" t="s">
        <v>203</v>
      </c>
      <c r="AG9" s="41" t="s">
        <v>200</v>
      </c>
      <c r="AH9" s="41" t="s">
        <v>200</v>
      </c>
      <c r="AI9" s="41" t="s">
        <v>79</v>
      </c>
      <c r="AJ9" s="41" t="s">
        <v>83</v>
      </c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202</v>
      </c>
      <c r="G10" s="9">
        <v>-4800</v>
      </c>
      <c r="H10" s="9"/>
      <c r="I10" s="48">
        <v>0</v>
      </c>
      <c r="J10" s="21">
        <f t="shared" si="2"/>
        <v>60100</v>
      </c>
      <c r="K10" s="8" t="s">
        <v>201</v>
      </c>
      <c r="L10" s="9">
        <v>7700</v>
      </c>
      <c r="M10" s="9"/>
      <c r="N10" s="48">
        <v>0</v>
      </c>
      <c r="O10" s="21">
        <f t="shared" si="3"/>
        <v>15700</v>
      </c>
      <c r="P10" s="8" t="s">
        <v>202</v>
      </c>
      <c r="Q10" s="9">
        <v>-2900</v>
      </c>
      <c r="R10" s="9"/>
      <c r="S10" s="48">
        <v>0</v>
      </c>
      <c r="T10" s="21">
        <f t="shared" si="4"/>
        <v>29200</v>
      </c>
      <c r="U10" s="53">
        <f>IF($J10="","",ROUND(($J10-$J$3)/1000,1)+(_xlfn.RANK.AVG($J10,($J10,$O10,$T10),1)-2)*20)</f>
        <v>45.1</v>
      </c>
      <c r="V10" s="54">
        <f>IF($O10="","",ROUND(($O10-$O$3)/1000,1)+(_xlfn.RANK.AVG($O10,($J10,$O10,$T10),1)-2)*20)</f>
        <v>-39.299999999999997</v>
      </c>
      <c r="W10" s="55">
        <f>IF($T10="","",ROUND(($T10-$T$3)/1000,1)+(_xlfn.RANK.AVG($T10,($J10,$O10,$T10),1)-2)*20)</f>
        <v>-5.8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4</v>
      </c>
      <c r="AY10" s="30">
        <v>30</v>
      </c>
      <c r="AZ10" s="40" t="s">
        <v>199</v>
      </c>
      <c r="BA10" s="41" t="s">
        <v>82</v>
      </c>
      <c r="BB10" s="41" t="s">
        <v>200</v>
      </c>
      <c r="BC10" s="41" t="s">
        <v>79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191</v>
      </c>
      <c r="F11" s="8"/>
      <c r="G11" s="9"/>
      <c r="H11" s="9">
        <v>-1000</v>
      </c>
      <c r="I11" s="48"/>
      <c r="J11" s="21">
        <f t="shared" si="2"/>
        <v>59100</v>
      </c>
      <c r="K11" s="8" t="s">
        <v>197</v>
      </c>
      <c r="L11" s="9">
        <v>2900</v>
      </c>
      <c r="M11" s="9">
        <v>1000</v>
      </c>
      <c r="N11" s="48">
        <v>0</v>
      </c>
      <c r="O11" s="21">
        <f t="shared" si="3"/>
        <v>19600</v>
      </c>
      <c r="P11" s="8" t="s">
        <v>198</v>
      </c>
      <c r="Q11" s="9">
        <v>-2900</v>
      </c>
      <c r="R11" s="9"/>
      <c r="S11" s="48">
        <v>0</v>
      </c>
      <c r="T11" s="21">
        <f t="shared" si="4"/>
        <v>26300</v>
      </c>
      <c r="U11" s="53">
        <f>IF($J11="","",ROUND(($J11-$J$3)/1000,1)+(_xlfn.RANK.AVG($J11,($J11,$O11,$T11),1)-2)*20)</f>
        <v>44.1</v>
      </c>
      <c r="V11" s="54">
        <f>IF($O11="","",ROUND(($O11-$O$3)/1000,1)+(_xlfn.RANK.AVG($O11,($J11,$O11,$T11),1)-2)*20)</f>
        <v>-35.4</v>
      </c>
      <c r="W11" s="55">
        <f>IF($T11="","",ROUND(($T11-$T$3)/1000,1)+(_xlfn.RANK.AVG($T11,($J11,$O11,$T11),1)-2)*20)</f>
        <v>-8.6999999999999993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2</v>
      </c>
      <c r="AY11" s="30">
        <v>30</v>
      </c>
      <c r="AZ11" s="40" t="s">
        <v>199</v>
      </c>
      <c r="BA11" s="41" t="s">
        <v>83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191</v>
      </c>
      <c r="F12" s="8" t="s">
        <v>197</v>
      </c>
      <c r="G12" s="9">
        <v>12000</v>
      </c>
      <c r="H12" s="9">
        <v>1000</v>
      </c>
      <c r="I12" s="48">
        <v>1000</v>
      </c>
      <c r="J12" s="21">
        <f t="shared" si="2"/>
        <v>73100</v>
      </c>
      <c r="K12" s="8"/>
      <c r="L12" s="9"/>
      <c r="M12" s="9">
        <v>-1000</v>
      </c>
      <c r="N12" s="48"/>
      <c r="O12" s="21">
        <f t="shared" si="3"/>
        <v>18600</v>
      </c>
      <c r="P12" s="8" t="s">
        <v>198</v>
      </c>
      <c r="Q12" s="9">
        <v>-12000</v>
      </c>
      <c r="R12" s="9"/>
      <c r="S12" s="48">
        <v>-1000</v>
      </c>
      <c r="T12" s="21">
        <f t="shared" si="4"/>
        <v>13300</v>
      </c>
      <c r="U12" s="53">
        <f>IF($J12="","",ROUND(($J12-$J$3)/1000,1)+(_xlfn.RANK.AVG($J12,($J12,$O12,$T12),1)-2)*20)</f>
        <v>58.1</v>
      </c>
      <c r="V12" s="54">
        <f>IF($O12="","",ROUND(($O12-$O$3)/1000,1)+(_xlfn.RANK.AVG($O12,($J12,$O12,$T12),1)-2)*20)</f>
        <v>-16.399999999999999</v>
      </c>
      <c r="W12" s="55">
        <f>IF($T12="","",ROUND(($T12-$T$3)/1000,1)+(_xlfn.RANK.AVG($T12,($J12,$O12,$T12),1)-2)*20)</f>
        <v>-41.7</v>
      </c>
      <c r="Y12" s="8"/>
      <c r="Z12" s="34"/>
      <c r="AA12" s="26">
        <v>1</v>
      </c>
      <c r="AB12" s="26"/>
      <c r="AC12" s="26">
        <v>7</v>
      </c>
      <c r="AD12" s="30" t="s">
        <v>204</v>
      </c>
      <c r="AE12" s="40" t="s">
        <v>199</v>
      </c>
      <c r="AF12" s="41" t="s">
        <v>83</v>
      </c>
      <c r="AG12" s="41" t="s">
        <v>92</v>
      </c>
      <c r="AH12" s="41" t="s">
        <v>79</v>
      </c>
      <c r="AI12" s="41" t="s">
        <v>80</v>
      </c>
      <c r="AJ12" s="41" t="s">
        <v>80</v>
      </c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195</v>
      </c>
      <c r="F13" s="8" t="s">
        <v>202</v>
      </c>
      <c r="G13" s="9">
        <v>-800</v>
      </c>
      <c r="H13" s="9"/>
      <c r="I13" s="48">
        <v>0</v>
      </c>
      <c r="J13" s="21">
        <f t="shared" si="2"/>
        <v>72300</v>
      </c>
      <c r="K13" s="8" t="s">
        <v>201</v>
      </c>
      <c r="L13" s="9">
        <v>2100</v>
      </c>
      <c r="M13" s="9"/>
      <c r="N13" s="48">
        <v>0</v>
      </c>
      <c r="O13" s="21">
        <f t="shared" si="3"/>
        <v>20700</v>
      </c>
      <c r="P13" s="8" t="s">
        <v>202</v>
      </c>
      <c r="Q13" s="9">
        <v>-1300</v>
      </c>
      <c r="R13" s="9"/>
      <c r="S13" s="48">
        <v>0</v>
      </c>
      <c r="T13" s="21">
        <f t="shared" si="4"/>
        <v>12000</v>
      </c>
      <c r="U13" s="53">
        <f>IF($J13="","",ROUND(($J13-$J$3)/1000,1)+(_xlfn.RANK.AVG($J13,($J13,$O13,$T13),1)-2)*20)</f>
        <v>57.3</v>
      </c>
      <c r="V13" s="54">
        <f>IF($O13="","",ROUND(($O13-$O$3)/1000,1)+(_xlfn.RANK.AVG($O13,($J13,$O13,$T13),1)-2)*20)</f>
        <v>-14.3</v>
      </c>
      <c r="W13" s="55">
        <f>IF($T13="","",ROUND(($T13-$T$3)/1000,1)+(_xlfn.RANK.AVG($T13,($J13,$O13,$T13),1)-2)*20)</f>
        <v>-43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2</v>
      </c>
      <c r="AY13" s="30">
        <v>30</v>
      </c>
      <c r="AZ13" s="40" t="s">
        <v>199</v>
      </c>
      <c r="BA13" s="41" t="s">
        <v>82</v>
      </c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11819BF7-A29E-4D34-A840-3ABD04EC60DE}">
      <formula1>"Tenari2,だいち,Tenari1,"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5392C-D6D0-49AF-B6C3-1EDD838DEAE6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192</v>
      </c>
      <c r="G1" s="79"/>
      <c r="H1" s="79"/>
      <c r="I1" s="80"/>
      <c r="J1" s="81"/>
      <c r="K1" s="78" t="s">
        <v>194</v>
      </c>
      <c r="L1" s="79"/>
      <c r="M1" s="79"/>
      <c r="N1" s="80"/>
      <c r="O1" s="81"/>
      <c r="P1" s="78" t="s">
        <v>196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Tenari1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Tenari2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Tenari1</v>
      </c>
      <c r="V2" s="70" t="str">
        <f>$K$1</f>
        <v>Tenari2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207</v>
      </c>
      <c r="G4" s="9">
        <v>1500</v>
      </c>
      <c r="H4" s="9">
        <v>-1000</v>
      </c>
      <c r="I4" s="48"/>
      <c r="J4" s="21">
        <f>IF(COUNTA($F4,$K4,$P4)&gt;0,J3+SUM(G4:I4),"")</f>
        <v>35500</v>
      </c>
      <c r="K4" s="8" t="s">
        <v>207</v>
      </c>
      <c r="L4" s="9">
        <v>-3000</v>
      </c>
      <c r="M4" s="9"/>
      <c r="N4" s="48"/>
      <c r="O4" s="21">
        <f>IF(COUNTA($F4,$K4,$P4)&gt;0,O3+SUM(L4:N4),"")</f>
        <v>32000</v>
      </c>
      <c r="P4" s="8" t="s">
        <v>207</v>
      </c>
      <c r="Q4" s="9">
        <v>1500</v>
      </c>
      <c r="R4" s="9">
        <v>-1000</v>
      </c>
      <c r="S4" s="48"/>
      <c r="T4" s="21">
        <f>IF(COUNTA($F4,$K4,$P4)&gt;0,T3+SUM(Q4:S4),"")</f>
        <v>35500</v>
      </c>
      <c r="U4" s="53">
        <f>IF($J4="","",ROUND(($J4-$J$3)/1000,1)+(_xlfn.RANK.AVG($J4,($J4,$O4,$T4),1)-2)*20)</f>
        <v>10.5</v>
      </c>
      <c r="V4" s="54">
        <f>IF($O4="","",ROUND(($O4-$O$3)/1000,1)+(_xlfn.RANK.AVG($O4,($J4,$O4,$T4),1)-2)*20)</f>
        <v>-23</v>
      </c>
      <c r="W4" s="55">
        <f>IF($T4="","",ROUND(($T4-$T$3)/1000,1)+(_xlfn.RANK.AVG($T4,($J4,$O4,$T4),1)-2)*20)</f>
        <v>10.5</v>
      </c>
      <c r="Y4" s="8" t="s">
        <v>205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206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205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2</v>
      </c>
      <c r="E5" s="4" t="s">
        <v>191</v>
      </c>
      <c r="F5" s="8" t="s">
        <v>198</v>
      </c>
      <c r="G5" s="9">
        <v>-8000</v>
      </c>
      <c r="H5" s="9"/>
      <c r="I5" s="48">
        <v>-1000</v>
      </c>
      <c r="J5" s="21">
        <f t="shared" ref="J5:J30" si="2">IF(COUNTA($F5,$K5,$P5)&gt;0,J4+SUM(G5:I5),"")</f>
        <v>26500</v>
      </c>
      <c r="K5" s="8" t="s">
        <v>197</v>
      </c>
      <c r="L5" s="9">
        <v>8000</v>
      </c>
      <c r="M5" s="9">
        <v>3000</v>
      </c>
      <c r="N5" s="48">
        <v>1000</v>
      </c>
      <c r="O5" s="21">
        <f t="shared" ref="O5:O30" si="3">IF(COUNTA($F5,$K5,$P5)&gt;0,O4+SUM(L5:N5),"")</f>
        <v>44000</v>
      </c>
      <c r="P5" s="8"/>
      <c r="Q5" s="9"/>
      <c r="R5" s="9">
        <v>-1000</v>
      </c>
      <c r="S5" s="48"/>
      <c r="T5" s="21">
        <f t="shared" ref="T5:T30" si="4">IF(COUNTA($F5,$K5,$P5)&gt;0,T4+SUM(Q5:S5),"")</f>
        <v>34500</v>
      </c>
      <c r="U5" s="53">
        <f>IF($J5="","",ROUND(($J5-$J$3)/1000,1)+(_xlfn.RANK.AVG($J5,($J5,$O5,$T5),1)-2)*20)</f>
        <v>-28.5</v>
      </c>
      <c r="V5" s="54">
        <f>IF($O5="","",ROUND(($O5-$O$3)/1000,1)+(_xlfn.RANK.AVG($O5,($J5,$O5,$T5),1)-2)*20)</f>
        <v>29</v>
      </c>
      <c r="W5" s="55">
        <f>IF($T5="","",ROUND(($T5-$T$3)/1000,1)+(_xlfn.RANK.AVG($T5,($J5,$O5,$T5),1)-2)*20)</f>
        <v>-0.5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40</v>
      </c>
      <c r="AZ5" s="40" t="s">
        <v>199</v>
      </c>
      <c r="BA5" s="41" t="s">
        <v>80</v>
      </c>
      <c r="BB5" s="41" t="s">
        <v>200</v>
      </c>
      <c r="BC5" s="41" t="s">
        <v>200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198</v>
      </c>
      <c r="G6" s="9">
        <v>-18000</v>
      </c>
      <c r="H6" s="9">
        <v>-1000</v>
      </c>
      <c r="I6" s="48">
        <v>0</v>
      </c>
      <c r="J6" s="21">
        <f t="shared" si="2"/>
        <v>7500</v>
      </c>
      <c r="K6" s="8" t="s">
        <v>197</v>
      </c>
      <c r="L6" s="9">
        <v>18000</v>
      </c>
      <c r="M6" s="9">
        <v>1000</v>
      </c>
      <c r="N6" s="48">
        <v>0</v>
      </c>
      <c r="O6" s="21">
        <f t="shared" si="3"/>
        <v>63000</v>
      </c>
      <c r="P6" s="8"/>
      <c r="Q6" s="9"/>
      <c r="R6" s="9"/>
      <c r="S6" s="48"/>
      <c r="T6" s="21">
        <f t="shared" si="4"/>
        <v>34500</v>
      </c>
      <c r="U6" s="53">
        <f>IF($J6="","",ROUND(($J6-$J$3)/1000,1)+(_xlfn.RANK.AVG($J6,($J6,$O6,$T6),1)-2)*20)</f>
        <v>-47.5</v>
      </c>
      <c r="V6" s="54">
        <f>IF($O6="","",ROUND(($O6-$O$3)/1000,1)+(_xlfn.RANK.AVG($O6,($J6,$O6,$T6),1)-2)*20)</f>
        <v>48</v>
      </c>
      <c r="W6" s="55">
        <f>IF($T6="","",ROUND(($T6-$T$3)/1000,1)+(_xlfn.RANK.AVG($T6,($J6,$O6,$T6),1)-2)*20)</f>
        <v>-0.5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6</v>
      </c>
      <c r="AY6" s="30" t="s">
        <v>204</v>
      </c>
      <c r="AZ6" s="40" t="s">
        <v>199</v>
      </c>
      <c r="BA6" s="41" t="s">
        <v>83</v>
      </c>
      <c r="BB6" s="41" t="s">
        <v>200</v>
      </c>
      <c r="BC6" s="41" t="s">
        <v>79</v>
      </c>
      <c r="BD6" s="41" t="s">
        <v>79</v>
      </c>
      <c r="BE6" s="41" t="s">
        <v>80</v>
      </c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193</v>
      </c>
      <c r="F7" s="8"/>
      <c r="G7" s="9"/>
      <c r="H7" s="9"/>
      <c r="I7" s="48"/>
      <c r="J7" s="21">
        <f t="shared" si="2"/>
        <v>7500</v>
      </c>
      <c r="K7" s="8" t="s">
        <v>197</v>
      </c>
      <c r="L7" s="9">
        <v>18000</v>
      </c>
      <c r="M7" s="9"/>
      <c r="N7" s="48">
        <v>1000</v>
      </c>
      <c r="O7" s="21">
        <f t="shared" si="3"/>
        <v>82000</v>
      </c>
      <c r="P7" s="8" t="s">
        <v>198</v>
      </c>
      <c r="Q7" s="9">
        <v>-18000</v>
      </c>
      <c r="R7" s="9"/>
      <c r="S7" s="48">
        <v>-1000</v>
      </c>
      <c r="T7" s="21">
        <f t="shared" si="4"/>
        <v>15500</v>
      </c>
      <c r="U7" s="53">
        <f>IF($J7="","",ROUND(($J7-$J$3)/1000,1)+(_xlfn.RANK.AVG($J7,($J7,$O7,$T7),1)-2)*20)</f>
        <v>-47.5</v>
      </c>
      <c r="V7" s="54">
        <f>IF($O7="","",ROUND(($O7-$O$3)/1000,1)+(_xlfn.RANK.AVG($O7,($J7,$O7,$T7),1)-2)*20)</f>
        <v>67</v>
      </c>
      <c r="W7" s="55">
        <f>IF($T7="","",ROUND(($T7-$T$3)/1000,1)+(_xlfn.RANK.AVG($T7,($J7,$O7,$T7),1)-2)*20)</f>
        <v>-19.5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6</v>
      </c>
      <c r="AY7" s="30" t="s">
        <v>204</v>
      </c>
      <c r="AZ7" s="40" t="s">
        <v>199</v>
      </c>
      <c r="BA7" s="41" t="s">
        <v>83</v>
      </c>
      <c r="BB7" s="41" t="s">
        <v>92</v>
      </c>
      <c r="BC7" s="41" t="s">
        <v>79</v>
      </c>
      <c r="BD7" s="41" t="s">
        <v>200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">
        <v>193</v>
      </c>
      <c r="F8" s="8" t="s">
        <v>197</v>
      </c>
      <c r="G8" s="9">
        <v>5200</v>
      </c>
      <c r="H8" s="9">
        <v>1000</v>
      </c>
      <c r="I8" s="48">
        <v>2000</v>
      </c>
      <c r="J8" s="21">
        <f t="shared" si="2"/>
        <v>15700</v>
      </c>
      <c r="K8" s="8"/>
      <c r="L8" s="9"/>
      <c r="M8" s="9"/>
      <c r="N8" s="48"/>
      <c r="O8" s="21">
        <f t="shared" si="3"/>
        <v>82000</v>
      </c>
      <c r="P8" s="8" t="s">
        <v>198</v>
      </c>
      <c r="Q8" s="9">
        <v>-5200</v>
      </c>
      <c r="R8" s="9">
        <v>-1000</v>
      </c>
      <c r="S8" s="48">
        <v>-2000</v>
      </c>
      <c r="T8" s="21">
        <f t="shared" si="4"/>
        <v>7300</v>
      </c>
      <c r="U8" s="53">
        <f>IF($J8="","",ROUND(($J8-$J$3)/1000,1)+(_xlfn.RANK.AVG($J8,($J8,$O8,$T8),1)-2)*20)</f>
        <v>-19.3</v>
      </c>
      <c r="V8" s="54">
        <f>IF($O8="","",ROUND(($O8-$O$3)/1000,1)+(_xlfn.RANK.AVG($O8,($J8,$O8,$T8),1)-2)*20)</f>
        <v>67</v>
      </c>
      <c r="W8" s="55">
        <f>IF($T8="","",ROUND(($T8-$T$3)/1000,1)+(_xlfn.RANK.AVG($T8,($J8,$O8,$T8),1)-2)*20)</f>
        <v>-47.7</v>
      </c>
      <c r="Y8" s="8"/>
      <c r="Z8" s="34"/>
      <c r="AA8" s="26">
        <v>1</v>
      </c>
      <c r="AB8" s="26"/>
      <c r="AC8" s="26">
        <v>3</v>
      </c>
      <c r="AD8" s="30">
        <v>40</v>
      </c>
      <c r="AE8" s="40" t="s">
        <v>199</v>
      </c>
      <c r="AF8" s="41" t="s">
        <v>80</v>
      </c>
      <c r="AG8" s="41" t="s">
        <v>80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201</v>
      </c>
      <c r="G9" s="9">
        <v>12000</v>
      </c>
      <c r="H9" s="9">
        <v>1000</v>
      </c>
      <c r="I9" s="48">
        <v>0</v>
      </c>
      <c r="J9" s="21">
        <f t="shared" si="2"/>
        <v>28700</v>
      </c>
      <c r="K9" s="8" t="s">
        <v>202</v>
      </c>
      <c r="L9" s="9">
        <v>-4500</v>
      </c>
      <c r="M9" s="9"/>
      <c r="N9" s="48">
        <v>0</v>
      </c>
      <c r="O9" s="21">
        <f t="shared" si="3"/>
        <v>77500</v>
      </c>
      <c r="P9" s="8" t="s">
        <v>202</v>
      </c>
      <c r="Q9" s="9">
        <v>-7500</v>
      </c>
      <c r="R9" s="9">
        <v>-1000</v>
      </c>
      <c r="S9" s="48">
        <v>0</v>
      </c>
      <c r="T9" s="21">
        <f t="shared" si="4"/>
        <v>-1200</v>
      </c>
      <c r="U9" s="53">
        <f>IF($J9="","",ROUND(($J9-$J$3)/1000,1)+(_xlfn.RANK.AVG($J9,($J9,$O9,$T9),1)-2)*20)</f>
        <v>-6.3</v>
      </c>
      <c r="V9" s="54">
        <f>IF($O9="","",ROUND(($O9-$O$3)/1000,1)+(_xlfn.RANK.AVG($O9,($J9,$O9,$T9),1)-2)*20)</f>
        <v>62.5</v>
      </c>
      <c r="W9" s="55">
        <f>IF($T9="","",ROUND(($T9-$T$3)/1000,1)+(_xlfn.RANK.AVG($T9,($J9,$O9,$T9),1)-2)*20)</f>
        <v>-56.2</v>
      </c>
      <c r="Y9" s="8"/>
      <c r="Z9" s="34"/>
      <c r="AA9" s="26">
        <v>1</v>
      </c>
      <c r="AB9" s="26"/>
      <c r="AC9" s="26">
        <v>7</v>
      </c>
      <c r="AD9" s="30" t="s">
        <v>204</v>
      </c>
      <c r="AE9" s="40" t="s">
        <v>199</v>
      </c>
      <c r="AF9" s="41" t="s">
        <v>82</v>
      </c>
      <c r="AG9" s="41" t="s">
        <v>203</v>
      </c>
      <c r="AH9" s="41" t="s">
        <v>83</v>
      </c>
      <c r="AI9" s="41" t="s">
        <v>79</v>
      </c>
      <c r="AJ9" s="41" t="s">
        <v>79</v>
      </c>
      <c r="AK9" s="41" t="s">
        <v>200</v>
      </c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655E0C37-8F71-4DF1-BB8A-CC9467C39715}">
      <formula1>"ロン,ツモ,放銃,ツモ支払,流局,チョンボ"</formula1>
    </dataValidation>
    <dataValidation type="list" allowBlank="1" showInputMessage="1" showErrorMessage="1" sqref="E4:E30" xr:uid="{95635FC0-D6CE-4920-84B9-27CE15F918E1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56F6D-D19C-4A06-B58D-BF16243C19D9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194</v>
      </c>
      <c r="G1" s="79"/>
      <c r="H1" s="79"/>
      <c r="I1" s="80"/>
      <c r="J1" s="81"/>
      <c r="K1" s="78" t="s">
        <v>208</v>
      </c>
      <c r="L1" s="79"/>
      <c r="M1" s="79"/>
      <c r="N1" s="80"/>
      <c r="O1" s="81"/>
      <c r="P1" s="78" t="s">
        <v>209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Tenari2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だいち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Tenari1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Tenari2</v>
      </c>
      <c r="V2" s="70" t="str">
        <f>$K$1</f>
        <v>だいち</v>
      </c>
      <c r="W2" s="16" t="str">
        <f>$P$1</f>
        <v>Tenari1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202</v>
      </c>
      <c r="G4" s="9">
        <v>-5000</v>
      </c>
      <c r="H4" s="9"/>
      <c r="I4" s="48">
        <v>0</v>
      </c>
      <c r="J4" s="21">
        <f>IF(COUNTA($F4,$K4,$P4)&gt;0,J3+SUM(G4:I4),"")</f>
        <v>30000</v>
      </c>
      <c r="K4" s="8" t="s">
        <v>201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 t="s">
        <v>202</v>
      </c>
      <c r="Q4" s="9">
        <v>-3000</v>
      </c>
      <c r="R4" s="9"/>
      <c r="S4" s="48">
        <v>0</v>
      </c>
      <c r="T4" s="21">
        <f>IF(COUNTA($F4,$K4,$P4)&gt;0,T3+SUM(Q4:S4),"")</f>
        <v>32000</v>
      </c>
      <c r="U4" s="53">
        <f>IF($J4="","",ROUND(($J4-$J$3)/1000,1)+(_xlfn.RANK.AVG($J4,($J4,$O4,$T4),1)-2)*20)</f>
        <v>-25</v>
      </c>
      <c r="V4" s="54">
        <f>IF($O4="","",ROUND(($O4-$O$3)/1000,1)+(_xlfn.RANK.AVG($O4,($J4,$O4,$T4),1)-2)*20)</f>
        <v>28</v>
      </c>
      <c r="W4" s="55">
        <f>IF($T4="","",ROUND(($T4-$T$3)/1000,1)+(_xlfn.RANK.AVG($T4,($J4,$O4,$T4),1)-2)*20)</f>
        <v>-3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5</v>
      </c>
      <c r="AY4" s="30" t="s">
        <v>204</v>
      </c>
      <c r="AZ4" s="40" t="s">
        <v>199</v>
      </c>
      <c r="BA4" s="41" t="s">
        <v>82</v>
      </c>
      <c r="BB4" s="41" t="s">
        <v>80</v>
      </c>
      <c r="BC4" s="41" t="s">
        <v>96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198</v>
      </c>
      <c r="G5" s="9">
        <v>-12000</v>
      </c>
      <c r="H5" s="9"/>
      <c r="I5" s="48">
        <v>0</v>
      </c>
      <c r="J5" s="21">
        <f t="shared" ref="J5:J30" si="2">IF(COUNTA($F5,$K5,$P5)&gt;0,J4+SUM(G5:I5),"")</f>
        <v>18000</v>
      </c>
      <c r="K5" s="8" t="s">
        <v>197</v>
      </c>
      <c r="L5" s="9">
        <v>12000</v>
      </c>
      <c r="M5" s="9"/>
      <c r="N5" s="48">
        <v>0</v>
      </c>
      <c r="O5" s="21">
        <f t="shared" ref="O5:O30" si="3">IF(COUNTA($F5,$K5,$P5)&gt;0,O4+SUM(L5:N5),"")</f>
        <v>55000</v>
      </c>
      <c r="P5" s="8"/>
      <c r="Q5" s="9"/>
      <c r="R5" s="9"/>
      <c r="S5" s="48"/>
      <c r="T5" s="21">
        <f t="shared" ref="T5:T30" si="4">IF(COUNTA($F5,$K5,$P5)&gt;0,T4+SUM(Q5:S5),"")</f>
        <v>32000</v>
      </c>
      <c r="U5" s="53">
        <f>IF($J5="","",ROUND(($J5-$J$3)/1000,1)+(_xlfn.RANK.AVG($J5,($J5,$O5,$T5),1)-2)*20)</f>
        <v>-37</v>
      </c>
      <c r="V5" s="54">
        <f>IF($O5="","",ROUND(($O5-$O$3)/1000,1)+(_xlfn.RANK.AVG($O5,($J5,$O5,$T5),1)-2)*20)</f>
        <v>40</v>
      </c>
      <c r="W5" s="55">
        <f>IF($T5="","",ROUND(($T5-$T$3)/1000,1)+(_xlfn.RANK.AVG($T5,($J5,$O5,$T5),1)-2)*20)</f>
        <v>-3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204</v>
      </c>
      <c r="AZ5" s="40" t="s">
        <v>199</v>
      </c>
      <c r="BA5" s="41" t="s">
        <v>203</v>
      </c>
      <c r="BB5" s="41" t="s">
        <v>83</v>
      </c>
      <c r="BC5" s="41" t="s">
        <v>80</v>
      </c>
      <c r="BD5" s="41" t="s">
        <v>200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195</v>
      </c>
      <c r="F6" s="8" t="s">
        <v>202</v>
      </c>
      <c r="G6" s="9">
        <v>-6000</v>
      </c>
      <c r="H6" s="9"/>
      <c r="I6" s="48">
        <v>-500</v>
      </c>
      <c r="J6" s="21">
        <f t="shared" si="2"/>
        <v>11500</v>
      </c>
      <c r="K6" s="8" t="s">
        <v>201</v>
      </c>
      <c r="L6" s="9">
        <v>12000</v>
      </c>
      <c r="M6" s="9">
        <v>1000</v>
      </c>
      <c r="N6" s="48">
        <v>1000</v>
      </c>
      <c r="O6" s="21">
        <f t="shared" si="3"/>
        <v>69000</v>
      </c>
      <c r="P6" s="8" t="s">
        <v>202</v>
      </c>
      <c r="Q6" s="9">
        <v>-6000</v>
      </c>
      <c r="R6" s="9">
        <v>-1000</v>
      </c>
      <c r="S6" s="48">
        <v>-500</v>
      </c>
      <c r="T6" s="21">
        <f t="shared" si="4"/>
        <v>24500</v>
      </c>
      <c r="U6" s="53">
        <f>IF($J6="","",ROUND(($J6-$J$3)/1000,1)+(_xlfn.RANK.AVG($J6,($J6,$O6,$T6),1)-2)*20)</f>
        <v>-43.5</v>
      </c>
      <c r="V6" s="54">
        <f>IF($O6="","",ROUND(($O6-$O$3)/1000,1)+(_xlfn.RANK.AVG($O6,($J6,$O6,$T6),1)-2)*20)</f>
        <v>54</v>
      </c>
      <c r="W6" s="55">
        <f>IF($T6="","",ROUND(($T6-$T$3)/1000,1)+(_xlfn.RANK.AVG($T6,($J6,$O6,$T6),1)-2)*20)</f>
        <v>-10.5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5</v>
      </c>
      <c r="AY6" s="30" t="s">
        <v>204</v>
      </c>
      <c r="AZ6" s="40" t="s">
        <v>199</v>
      </c>
      <c r="BA6" s="41" t="s">
        <v>82</v>
      </c>
      <c r="BB6" s="41" t="s">
        <v>83</v>
      </c>
      <c r="BC6" s="41" t="s">
        <v>79</v>
      </c>
      <c r="BD6" s="41" t="s">
        <v>200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195</v>
      </c>
      <c r="F7" s="8"/>
      <c r="G7" s="9"/>
      <c r="H7" s="9"/>
      <c r="I7" s="48"/>
      <c r="J7" s="21">
        <f t="shared" si="2"/>
        <v>11500</v>
      </c>
      <c r="K7" s="8" t="s">
        <v>198</v>
      </c>
      <c r="L7" s="9">
        <v>-8000</v>
      </c>
      <c r="M7" s="9"/>
      <c r="N7" s="48">
        <v>-2000</v>
      </c>
      <c r="O7" s="21">
        <f t="shared" si="3"/>
        <v>59000</v>
      </c>
      <c r="P7" s="8" t="s">
        <v>197</v>
      </c>
      <c r="Q7" s="9">
        <v>8000</v>
      </c>
      <c r="R7" s="9"/>
      <c r="S7" s="48">
        <v>2000</v>
      </c>
      <c r="T7" s="21">
        <f t="shared" si="4"/>
        <v>34500</v>
      </c>
      <c r="U7" s="53">
        <f>IF($J7="","",ROUND(($J7-$J$3)/1000,1)+(_xlfn.RANK.AVG($J7,($J7,$O7,$T7),1)-2)*20)</f>
        <v>-43.5</v>
      </c>
      <c r="V7" s="54">
        <f>IF($O7="","",ROUND(($O7-$O$3)/1000,1)+(_xlfn.RANK.AVG($O7,($J7,$O7,$T7),1)-2)*20)</f>
        <v>44</v>
      </c>
      <c r="W7" s="55">
        <f>IF($T7="","",ROUND(($T7-$T$3)/1000,1)+(_xlfn.RANK.AVG($T7,($J7,$O7,$T7),1)-2)*20)</f>
        <v>-0.5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40</v>
      </c>
      <c r="BU7" s="40" t="s">
        <v>199</v>
      </c>
      <c r="BV7" s="41" t="s">
        <v>203</v>
      </c>
      <c r="BW7" s="41" t="s">
        <v>80</v>
      </c>
      <c r="BX7" s="41" t="s">
        <v>86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198</v>
      </c>
      <c r="G8" s="9">
        <v>-2600</v>
      </c>
      <c r="H8" s="9">
        <v>-1000</v>
      </c>
      <c r="I8" s="48">
        <v>0</v>
      </c>
      <c r="J8" s="21">
        <f t="shared" si="2"/>
        <v>7900</v>
      </c>
      <c r="K8" s="8" t="s">
        <v>197</v>
      </c>
      <c r="L8" s="9">
        <v>2600</v>
      </c>
      <c r="M8" s="9">
        <v>2000</v>
      </c>
      <c r="N8" s="48">
        <v>0</v>
      </c>
      <c r="O8" s="21">
        <f t="shared" si="3"/>
        <v>63600</v>
      </c>
      <c r="P8" s="8"/>
      <c r="Q8" s="9"/>
      <c r="R8" s="9">
        <v>-1000</v>
      </c>
      <c r="S8" s="48"/>
      <c r="T8" s="21">
        <f t="shared" si="4"/>
        <v>33500</v>
      </c>
      <c r="U8" s="53">
        <f>IF($J8="","",ROUND(($J8-$J$3)/1000,1)+(_xlfn.RANK.AVG($J8,($J8,$O8,$T8),1)-2)*20)</f>
        <v>-47.1</v>
      </c>
      <c r="V8" s="54">
        <f>IF($O8="","",ROUND(($O8-$O$3)/1000,1)+(_xlfn.RANK.AVG($O8,($J8,$O8,$T8),1)-2)*20)</f>
        <v>48.6</v>
      </c>
      <c r="W8" s="55">
        <f>IF($T8="","",ROUND(($T8-$T$3)/1000,1)+(_xlfn.RANK.AVG($T8,($J8,$O8,$T8),1)-2)*20)</f>
        <v>-1.5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2</v>
      </c>
      <c r="AY8" s="30">
        <v>40</v>
      </c>
      <c r="AZ8" s="40" t="s">
        <v>199</v>
      </c>
      <c r="BA8" s="41" t="s">
        <v>85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193</v>
      </c>
      <c r="F9" s="8"/>
      <c r="G9" s="9"/>
      <c r="H9" s="9"/>
      <c r="I9" s="48"/>
      <c r="J9" s="21">
        <f t="shared" si="2"/>
        <v>7900</v>
      </c>
      <c r="K9" s="8" t="s">
        <v>197</v>
      </c>
      <c r="L9" s="9">
        <v>3900</v>
      </c>
      <c r="M9" s="9">
        <v>1000</v>
      </c>
      <c r="N9" s="48">
        <v>0</v>
      </c>
      <c r="O9" s="21">
        <f t="shared" si="3"/>
        <v>68500</v>
      </c>
      <c r="P9" s="8" t="s">
        <v>198</v>
      </c>
      <c r="Q9" s="9">
        <v>-3900</v>
      </c>
      <c r="R9" s="9">
        <v>-1000</v>
      </c>
      <c r="S9" s="48">
        <v>0</v>
      </c>
      <c r="T9" s="21">
        <f t="shared" si="4"/>
        <v>28600</v>
      </c>
      <c r="U9" s="53">
        <f>IF($J9="","",ROUND(($J9-$J$3)/1000,1)+(_xlfn.RANK.AVG($J9,($J9,$O9,$T9),1)-2)*20)</f>
        <v>-47.1</v>
      </c>
      <c r="V9" s="54">
        <f>IF($O9="","",ROUND(($O9-$O$3)/1000,1)+(_xlfn.RANK.AVG($O9,($J9,$O9,$T9),1)-2)*20)</f>
        <v>53.5</v>
      </c>
      <c r="W9" s="55">
        <f>IF($T9="","",ROUND(($T9-$T$3)/1000,1)+(_xlfn.RANK.AVG($T9,($J9,$O9,$T9),1)-2)*20)</f>
        <v>-6.4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3</v>
      </c>
      <c r="AY9" s="30">
        <v>30</v>
      </c>
      <c r="AZ9" s="40" t="s">
        <v>199</v>
      </c>
      <c r="BA9" s="41" t="s">
        <v>83</v>
      </c>
      <c r="BB9" s="41" t="s">
        <v>200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198</v>
      </c>
      <c r="G10" s="9">
        <v>-1500</v>
      </c>
      <c r="H10" s="9">
        <v>-1000</v>
      </c>
      <c r="I10" s="48">
        <v>0</v>
      </c>
      <c r="J10" s="21">
        <f t="shared" si="2"/>
        <v>5400</v>
      </c>
      <c r="K10" s="8" t="s">
        <v>197</v>
      </c>
      <c r="L10" s="9">
        <v>1500</v>
      </c>
      <c r="M10" s="9">
        <v>1000</v>
      </c>
      <c r="N10" s="48">
        <v>0</v>
      </c>
      <c r="O10" s="21">
        <f t="shared" si="3"/>
        <v>71000</v>
      </c>
      <c r="P10" s="8"/>
      <c r="Q10" s="9"/>
      <c r="R10" s="9"/>
      <c r="S10" s="48"/>
      <c r="T10" s="21">
        <f t="shared" si="4"/>
        <v>28600</v>
      </c>
      <c r="U10" s="53">
        <f>IF($J10="","",ROUND(($J10-$J$3)/1000,1)+(_xlfn.RANK.AVG($J10,($J10,$O10,$T10),1)-2)*20)</f>
        <v>-49.6</v>
      </c>
      <c r="V10" s="54">
        <f>IF($O10="","",ROUND(($O10-$O$3)/1000,1)+(_xlfn.RANK.AVG($O10,($J10,$O10,$T10),1)-2)*20)</f>
        <v>56</v>
      </c>
      <c r="W10" s="55">
        <f>IF($T10="","",ROUND(($T10-$T$3)/1000,1)+(_xlfn.RANK.AVG($T10,($J10,$O10,$T10),1)-2)*20)</f>
        <v>-6.4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1</v>
      </c>
      <c r="AY10" s="30">
        <v>30</v>
      </c>
      <c r="AZ10" s="40" t="s">
        <v>86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195</v>
      </c>
      <c r="F11" s="8" t="s">
        <v>198</v>
      </c>
      <c r="G11" s="9">
        <v>-5800</v>
      </c>
      <c r="H11" s="9"/>
      <c r="I11" s="48">
        <v>-1000</v>
      </c>
      <c r="J11" s="21">
        <f t="shared" si="2"/>
        <v>-1400</v>
      </c>
      <c r="K11" s="8" t="s">
        <v>197</v>
      </c>
      <c r="L11" s="9">
        <v>5800</v>
      </c>
      <c r="M11" s="9"/>
      <c r="N11" s="48">
        <v>1000</v>
      </c>
      <c r="O11" s="21">
        <f t="shared" si="3"/>
        <v>77800</v>
      </c>
      <c r="P11" s="8"/>
      <c r="Q11" s="9"/>
      <c r="R11" s="9"/>
      <c r="S11" s="48"/>
      <c r="T11" s="21">
        <f t="shared" si="4"/>
        <v>28600</v>
      </c>
      <c r="U11" s="53">
        <f>IF($J11="","",ROUND(($J11-$J$3)/1000,1)+(_xlfn.RANK.AVG($J11,($J11,$O11,$T11),1)-2)*20)</f>
        <v>-56.4</v>
      </c>
      <c r="V11" s="54">
        <f>IF($O11="","",ROUND(($O11-$O$3)/1000,1)+(_xlfn.RANK.AVG($O11,($J11,$O11,$T11),1)-2)*20)</f>
        <v>62.8</v>
      </c>
      <c r="W11" s="55">
        <f>IF($T11="","",ROUND(($T11-$T$3)/1000,1)+(_xlfn.RANK.AVG($T11,($J11,$O11,$T11),1)-2)*20)</f>
        <v>-6.4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3</v>
      </c>
      <c r="AY11" s="30">
        <v>30</v>
      </c>
      <c r="AZ11" s="40" t="s">
        <v>199</v>
      </c>
      <c r="BA11" s="41" t="s">
        <v>83</v>
      </c>
      <c r="BB11" s="41" t="s">
        <v>203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E26B95A3-EB5C-4154-B1F2-37A9908C27FF}">
      <formula1>$U$2:$W$2</formula1>
    </dataValidation>
    <dataValidation type="list" showInputMessage="1" showErrorMessage="1" sqref="K4:K30 P4:P30 F4:F30" xr:uid="{7A60DAEC-E534-43AB-A971-A3840B0305A4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71100-67A9-4F6E-A201-F228341A8D3A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191</v>
      </c>
      <c r="G1" s="79"/>
      <c r="H1" s="79"/>
      <c r="I1" s="80"/>
      <c r="J1" s="81"/>
      <c r="K1" s="78" t="s">
        <v>196</v>
      </c>
      <c r="L1" s="79"/>
      <c r="M1" s="79"/>
      <c r="N1" s="80"/>
      <c r="O1" s="81"/>
      <c r="P1" s="78" t="s">
        <v>193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Tenari1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だいち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Tenari2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Tenari1</v>
      </c>
      <c r="V2" s="75" t="str">
        <f>$K$1</f>
        <v>だいち</v>
      </c>
      <c r="W2" s="16" t="str">
        <f>$P$1</f>
        <v>Tenari2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201</v>
      </c>
      <c r="G4" s="9">
        <v>11600</v>
      </c>
      <c r="H4" s="9"/>
      <c r="I4" s="48">
        <v>0</v>
      </c>
      <c r="J4" s="21">
        <f>IF(COUNTA($F4,$K4,$P4)&gt;0,J3+SUM(G4:I4),"")</f>
        <v>46600</v>
      </c>
      <c r="K4" s="8" t="s">
        <v>202</v>
      </c>
      <c r="L4" s="9">
        <v>-5800</v>
      </c>
      <c r="M4" s="9"/>
      <c r="N4" s="48">
        <v>0</v>
      </c>
      <c r="O4" s="21">
        <f>IF(COUNTA($F4,$K4,$P4)&gt;0,O3+SUM(L4:N4),"")</f>
        <v>29200</v>
      </c>
      <c r="P4" s="8" t="s">
        <v>202</v>
      </c>
      <c r="Q4" s="9">
        <v>-5800</v>
      </c>
      <c r="R4" s="9"/>
      <c r="S4" s="48">
        <v>0</v>
      </c>
      <c r="T4" s="21">
        <f>IF(COUNTA($F4,$K4,$P4)&gt;0,T3+SUM(Q4:S4),"")</f>
        <v>29200</v>
      </c>
      <c r="U4" s="53">
        <f>IF($J4="","",ROUND(($J4-$J$3)/1000,1)+(_xlfn.RANK.AVG($J4,($J4,$O4,$T4),1)-2)*20)</f>
        <v>31.6</v>
      </c>
      <c r="V4" s="54">
        <f>IF($O4="","",ROUND(($O4-$O$3)/1000,1)+(_xlfn.RANK.AVG($O4,($J4,$O4,$T4),1)-2)*20)</f>
        <v>-15.8</v>
      </c>
      <c r="W4" s="55">
        <f>IF($T4="","",ROUND(($T4-$T$3)/1000,1)+(_xlfn.RANK.AVG($T4,($J4,$O4,$T4),1)-2)*20)</f>
        <v>-15.8</v>
      </c>
      <c r="Y4" s="8"/>
      <c r="Z4" s="34"/>
      <c r="AA4" s="26">
        <v>1</v>
      </c>
      <c r="AB4" s="26"/>
      <c r="AC4" s="26">
        <v>4</v>
      </c>
      <c r="AD4" s="30">
        <v>30</v>
      </c>
      <c r="AE4" s="40" t="s">
        <v>199</v>
      </c>
      <c r="AF4" s="41" t="s">
        <v>82</v>
      </c>
      <c r="AG4" s="41" t="s">
        <v>200</v>
      </c>
      <c r="AH4" s="41" t="s">
        <v>80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198</v>
      </c>
      <c r="G5" s="9">
        <v>-5200</v>
      </c>
      <c r="H5" s="9">
        <v>-1000</v>
      </c>
      <c r="I5" s="48">
        <v>-1000</v>
      </c>
      <c r="J5" s="21">
        <f t="shared" ref="J5:J30" si="2">IF(COUNTA($F5,$K5,$P5)&gt;0,J4+SUM(G5:I5),"")</f>
        <v>39400</v>
      </c>
      <c r="K5" s="8" t="s">
        <v>197</v>
      </c>
      <c r="L5" s="9">
        <v>5200</v>
      </c>
      <c r="M5" s="9">
        <v>1000</v>
      </c>
      <c r="N5" s="48">
        <v>1000</v>
      </c>
      <c r="O5" s="21">
        <f t="shared" ref="O5:O30" si="3">IF(COUNTA($F5,$K5,$P5)&gt;0,O4+SUM(L5:N5),"")</f>
        <v>36400</v>
      </c>
      <c r="P5" s="8"/>
      <c r="Q5" s="9"/>
      <c r="R5" s="9"/>
      <c r="S5" s="48"/>
      <c r="T5" s="21">
        <f t="shared" ref="T5:T30" si="4">IF(COUNTA($F5,$K5,$P5)&gt;0,T4+SUM(Q5:S5),"")</f>
        <v>29200</v>
      </c>
      <c r="U5" s="53">
        <f>IF($J5="","",ROUND(($J5-$J$3)/1000,1)+(_xlfn.RANK.AVG($J5,($J5,$O5,$T5),1)-2)*20)</f>
        <v>24.4</v>
      </c>
      <c r="V5" s="54">
        <f>IF($O5="","",ROUND(($O5-$O$3)/1000,1)+(_xlfn.RANK.AVG($O5,($J5,$O5,$T5),1)-2)*20)</f>
        <v>1.4</v>
      </c>
      <c r="W5" s="55">
        <f>IF($T5="","",ROUND(($T5-$T$3)/1000,1)+(_xlfn.RANK.AVG($T5,($J5,$O5,$T5),1)-2)*20)</f>
        <v>-25.8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3</v>
      </c>
      <c r="AY5" s="30">
        <v>40</v>
      </c>
      <c r="AZ5" s="40" t="s">
        <v>199</v>
      </c>
      <c r="BA5" s="41" t="s">
        <v>79</v>
      </c>
      <c r="BB5" s="41" t="s">
        <v>200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/>
      <c r="G6" s="9"/>
      <c r="H6" s="9"/>
      <c r="I6" s="48"/>
      <c r="J6" s="21">
        <f t="shared" si="2"/>
        <v>39400</v>
      </c>
      <c r="K6" s="8" t="s">
        <v>197</v>
      </c>
      <c r="L6" s="9">
        <v>12000</v>
      </c>
      <c r="M6" s="9"/>
      <c r="N6" s="48">
        <v>0</v>
      </c>
      <c r="O6" s="21">
        <f t="shared" si="3"/>
        <v>48400</v>
      </c>
      <c r="P6" s="8" t="s">
        <v>198</v>
      </c>
      <c r="Q6" s="9">
        <v>-12000</v>
      </c>
      <c r="R6" s="9"/>
      <c r="S6" s="48">
        <v>0</v>
      </c>
      <c r="T6" s="21">
        <f t="shared" si="4"/>
        <v>17200</v>
      </c>
      <c r="U6" s="53">
        <f>IF($J6="","",ROUND(($J6-$J$3)/1000,1)+(_xlfn.RANK.AVG($J6,($J6,$O6,$T6),1)-2)*20)</f>
        <v>4.4000000000000004</v>
      </c>
      <c r="V6" s="54">
        <f>IF($O6="","",ROUND(($O6-$O$3)/1000,1)+(_xlfn.RANK.AVG($O6,($J6,$O6,$T6),1)-2)*20)</f>
        <v>33.4</v>
      </c>
      <c r="W6" s="55">
        <f>IF($T6="","",ROUND(($T6-$T$3)/1000,1)+(_xlfn.RANK.AVG($T6,($J6,$O6,$T6),1)-2)*20)</f>
        <v>-37.799999999999997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70</v>
      </c>
      <c r="AZ6" s="40" t="s">
        <v>199</v>
      </c>
      <c r="BA6" s="41" t="s">
        <v>203</v>
      </c>
      <c r="BB6" s="41" t="s">
        <v>79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195</v>
      </c>
      <c r="F7" s="8" t="s">
        <v>198</v>
      </c>
      <c r="G7" s="9">
        <v>-12000</v>
      </c>
      <c r="H7" s="9"/>
      <c r="I7" s="48">
        <v>-1000</v>
      </c>
      <c r="J7" s="21">
        <f t="shared" si="2"/>
        <v>26400</v>
      </c>
      <c r="K7" s="8" t="s">
        <v>197</v>
      </c>
      <c r="L7" s="9">
        <v>12000</v>
      </c>
      <c r="M7" s="9"/>
      <c r="N7" s="48">
        <v>1000</v>
      </c>
      <c r="O7" s="21">
        <f t="shared" si="3"/>
        <v>61400</v>
      </c>
      <c r="P7" s="8"/>
      <c r="Q7" s="9"/>
      <c r="R7" s="9"/>
      <c r="S7" s="48"/>
      <c r="T7" s="21">
        <f t="shared" si="4"/>
        <v>17200</v>
      </c>
      <c r="U7" s="53">
        <f>IF($J7="","",ROUND(($J7-$J$3)/1000,1)+(_xlfn.RANK.AVG($J7,($J7,$O7,$T7),1)-2)*20)</f>
        <v>-8.6</v>
      </c>
      <c r="V7" s="54">
        <f>IF($O7="","",ROUND(($O7-$O$3)/1000,1)+(_xlfn.RANK.AVG($O7,($J7,$O7,$T7),1)-2)*20)</f>
        <v>46.4</v>
      </c>
      <c r="W7" s="55">
        <f>IF($T7="","",ROUND(($T7-$T$3)/1000,1)+(_xlfn.RANK.AVG($T7,($J7,$O7,$T7),1)-2)*20)</f>
        <v>-37.799999999999997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5</v>
      </c>
      <c r="AY7" s="30" t="s">
        <v>204</v>
      </c>
      <c r="AZ7" s="40" t="s">
        <v>199</v>
      </c>
      <c r="BA7" s="41" t="s">
        <v>83</v>
      </c>
      <c r="BB7" s="41" t="s">
        <v>79</v>
      </c>
      <c r="BC7" s="41" t="s">
        <v>80</v>
      </c>
      <c r="BD7" s="41" t="s">
        <v>200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">
        <v>195</v>
      </c>
      <c r="F8" s="8" t="s">
        <v>198</v>
      </c>
      <c r="G8" s="9">
        <v>-6400</v>
      </c>
      <c r="H8" s="9">
        <v>-1000</v>
      </c>
      <c r="I8" s="48">
        <v>-2000</v>
      </c>
      <c r="J8" s="21">
        <f t="shared" si="2"/>
        <v>17000</v>
      </c>
      <c r="K8" s="8"/>
      <c r="L8" s="9"/>
      <c r="M8" s="9"/>
      <c r="N8" s="48"/>
      <c r="O8" s="21">
        <f t="shared" si="3"/>
        <v>61400</v>
      </c>
      <c r="P8" s="8" t="s">
        <v>197</v>
      </c>
      <c r="Q8" s="9">
        <v>6400</v>
      </c>
      <c r="R8" s="9">
        <v>1000</v>
      </c>
      <c r="S8" s="48">
        <v>2000</v>
      </c>
      <c r="T8" s="21">
        <f t="shared" si="4"/>
        <v>26600</v>
      </c>
      <c r="U8" s="53">
        <f>IF($J8="","",ROUND(($J8-$J$3)/1000,1)+(_xlfn.RANK.AVG($J8,($J8,$O8,$T8),1)-2)*20)</f>
        <v>-38</v>
      </c>
      <c r="V8" s="54">
        <f>IF($O8="","",ROUND(($O8-$O$3)/1000,1)+(_xlfn.RANK.AVG($O8,($J8,$O8,$T8),1)-2)*20)</f>
        <v>46.4</v>
      </c>
      <c r="W8" s="55">
        <f>IF($T8="","",ROUND(($T8-$T$3)/1000,1)+(_xlfn.RANK.AVG($T8,($J8,$O8,$T8),1)-2)*20)</f>
        <v>-8.4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3</v>
      </c>
      <c r="BT8" s="30">
        <v>50</v>
      </c>
      <c r="BU8" s="40" t="s">
        <v>199</v>
      </c>
      <c r="BV8" s="41" t="s">
        <v>203</v>
      </c>
      <c r="BW8" s="41" t="s">
        <v>79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193</v>
      </c>
      <c r="F9" s="8"/>
      <c r="G9" s="9"/>
      <c r="H9" s="9">
        <v>-1000</v>
      </c>
      <c r="I9" s="48"/>
      <c r="J9" s="21">
        <f t="shared" si="2"/>
        <v>16000</v>
      </c>
      <c r="K9" s="8" t="s">
        <v>198</v>
      </c>
      <c r="L9" s="9">
        <v>-3900</v>
      </c>
      <c r="M9" s="9"/>
      <c r="N9" s="48">
        <v>0</v>
      </c>
      <c r="O9" s="21">
        <f t="shared" si="3"/>
        <v>57500</v>
      </c>
      <c r="P9" s="8" t="s">
        <v>197</v>
      </c>
      <c r="Q9" s="9">
        <v>3900</v>
      </c>
      <c r="R9" s="9">
        <v>1000</v>
      </c>
      <c r="S9" s="48">
        <v>0</v>
      </c>
      <c r="T9" s="21">
        <f t="shared" si="4"/>
        <v>31500</v>
      </c>
      <c r="U9" s="53">
        <f>IF($J9="","",ROUND(($J9-$J$3)/1000,1)+(_xlfn.RANK.AVG($J9,($J9,$O9,$T9),1)-2)*20)</f>
        <v>-39</v>
      </c>
      <c r="V9" s="54">
        <f>IF($O9="","",ROUND(($O9-$O$3)/1000,1)+(_xlfn.RANK.AVG($O9,($J9,$O9,$T9),1)-2)*20)</f>
        <v>42.5</v>
      </c>
      <c r="W9" s="55">
        <f>IF($T9="","",ROUND(($T9-$T$3)/1000,1)+(_xlfn.RANK.AVG($T9,($J9,$O9,$T9),1)-2)*20)</f>
        <v>-3.5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2</v>
      </c>
      <c r="BT9" s="30">
        <v>40</v>
      </c>
      <c r="BU9" s="40" t="s">
        <v>199</v>
      </c>
      <c r="BV9" s="41" t="s">
        <v>200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">
        <v>193</v>
      </c>
      <c r="F10" s="8"/>
      <c r="G10" s="9"/>
      <c r="H10" s="9">
        <v>-1000</v>
      </c>
      <c r="I10" s="48"/>
      <c r="J10" s="21">
        <f t="shared" si="2"/>
        <v>15000</v>
      </c>
      <c r="K10" s="8" t="s">
        <v>198</v>
      </c>
      <c r="L10" s="9">
        <v>-7700</v>
      </c>
      <c r="M10" s="9"/>
      <c r="N10" s="48">
        <v>-1000</v>
      </c>
      <c r="O10" s="21">
        <f t="shared" si="3"/>
        <v>48800</v>
      </c>
      <c r="P10" s="8" t="s">
        <v>197</v>
      </c>
      <c r="Q10" s="9">
        <v>7700</v>
      </c>
      <c r="R10" s="9">
        <v>1000</v>
      </c>
      <c r="S10" s="48">
        <v>1000</v>
      </c>
      <c r="T10" s="21">
        <f t="shared" si="4"/>
        <v>41200</v>
      </c>
      <c r="U10" s="53">
        <f>IF($J10="","",ROUND(($J10-$J$3)/1000,1)+(_xlfn.RANK.AVG($J10,($J10,$O10,$T10),1)-2)*20)</f>
        <v>-40</v>
      </c>
      <c r="V10" s="54">
        <f>IF($O10="","",ROUND(($O10-$O$3)/1000,1)+(_xlfn.RANK.AVG($O10,($J10,$O10,$T10),1)-2)*20)</f>
        <v>33.799999999999997</v>
      </c>
      <c r="W10" s="55">
        <f>IF($T10="","",ROUND(($T10-$T$3)/1000,1)+(_xlfn.RANK.AVG($T10,($J10,$O10,$T10),1)-2)*20)</f>
        <v>6.2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3</v>
      </c>
      <c r="BT10" s="30">
        <v>40</v>
      </c>
      <c r="BU10" s="40" t="s">
        <v>199</v>
      </c>
      <c r="BV10" s="41" t="s">
        <v>203</v>
      </c>
      <c r="BW10" s="41" t="s">
        <v>80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2</v>
      </c>
      <c r="D11" s="18">
        <f t="shared" si="1"/>
        <v>0</v>
      </c>
      <c r="E11" s="4" t="s">
        <v>193</v>
      </c>
      <c r="F11" s="8" t="s">
        <v>201</v>
      </c>
      <c r="G11" s="9">
        <v>5300</v>
      </c>
      <c r="H11" s="9"/>
      <c r="I11" s="48">
        <v>2000</v>
      </c>
      <c r="J11" s="21">
        <f t="shared" si="2"/>
        <v>22300</v>
      </c>
      <c r="K11" s="8" t="s">
        <v>202</v>
      </c>
      <c r="L11" s="9">
        <v>-2000</v>
      </c>
      <c r="M11" s="9"/>
      <c r="N11" s="48">
        <v>-1000</v>
      </c>
      <c r="O11" s="21">
        <f t="shared" si="3"/>
        <v>45800</v>
      </c>
      <c r="P11" s="8" t="s">
        <v>202</v>
      </c>
      <c r="Q11" s="9">
        <v>-3300</v>
      </c>
      <c r="R11" s="9"/>
      <c r="S11" s="48">
        <v>-1000</v>
      </c>
      <c r="T11" s="21">
        <f t="shared" si="4"/>
        <v>36900</v>
      </c>
      <c r="U11" s="53">
        <f>IF($J11="","",ROUND(($J11-$J$3)/1000,1)+(_xlfn.RANK.AVG($J11,($J11,$O11,$T11),1)-2)*20)</f>
        <v>-32.700000000000003</v>
      </c>
      <c r="V11" s="54">
        <f>IF($O11="","",ROUND(($O11-$O$3)/1000,1)+(_xlfn.RANK.AVG($O11,($J11,$O11,$T11),1)-2)*20)</f>
        <v>30.8</v>
      </c>
      <c r="W11" s="55">
        <f>IF($T11="","",ROUND(($T11-$T$3)/1000,1)+(_xlfn.RANK.AVG($T11,($J11,$O11,$T11),1)-2)*20)</f>
        <v>1.9</v>
      </c>
      <c r="Y11" s="8"/>
      <c r="Z11" s="34"/>
      <c r="AA11" s="26">
        <v>1</v>
      </c>
      <c r="AB11" s="26"/>
      <c r="AC11" s="26">
        <v>4</v>
      </c>
      <c r="AD11" s="30">
        <v>20</v>
      </c>
      <c r="AE11" s="40" t="s">
        <v>199</v>
      </c>
      <c r="AF11" s="41" t="s">
        <v>82</v>
      </c>
      <c r="AG11" s="41" t="s">
        <v>83</v>
      </c>
      <c r="AH11" s="41" t="s">
        <v>200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">
        <v>191</v>
      </c>
      <c r="F12" s="8" t="s">
        <v>207</v>
      </c>
      <c r="G12" s="9">
        <v>-1500</v>
      </c>
      <c r="H12" s="9"/>
      <c r="I12" s="48"/>
      <c r="J12" s="21">
        <f t="shared" si="2"/>
        <v>20800</v>
      </c>
      <c r="K12" s="8" t="s">
        <v>207</v>
      </c>
      <c r="L12" s="9">
        <v>3000</v>
      </c>
      <c r="M12" s="9"/>
      <c r="N12" s="48"/>
      <c r="O12" s="21">
        <f t="shared" si="3"/>
        <v>48800</v>
      </c>
      <c r="P12" s="8" t="s">
        <v>207</v>
      </c>
      <c r="Q12" s="9">
        <v>-1500</v>
      </c>
      <c r="R12" s="9"/>
      <c r="S12" s="48"/>
      <c r="T12" s="21">
        <f t="shared" si="4"/>
        <v>35400</v>
      </c>
      <c r="U12" s="53">
        <f>IF($J12="","",ROUND(($J12-$J$3)/1000,1)+(_xlfn.RANK.AVG($J12,($J12,$O12,$T12),1)-2)*20)</f>
        <v>-34.200000000000003</v>
      </c>
      <c r="V12" s="54">
        <f>IF($O12="","",ROUND(($O12-$O$3)/1000,1)+(_xlfn.RANK.AVG($O12,($J12,$O12,$T12),1)-2)*20)</f>
        <v>33.799999999999997</v>
      </c>
      <c r="W12" s="55">
        <f>IF($T12="","",ROUND(($T12-$T$3)/1000,1)+(_xlfn.RANK.AVG($T12,($J12,$O12,$T12),1)-2)*20)</f>
        <v>0.4</v>
      </c>
      <c r="Y12" s="8" t="s">
        <v>206</v>
      </c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205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206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0</v>
      </c>
      <c r="E13" s="4" t="s">
        <v>195</v>
      </c>
      <c r="F13" s="8"/>
      <c r="G13" s="9"/>
      <c r="H13" s="9"/>
      <c r="I13" s="48"/>
      <c r="J13" s="21">
        <f t="shared" si="2"/>
        <v>20800</v>
      </c>
      <c r="K13" s="8" t="s">
        <v>197</v>
      </c>
      <c r="L13" s="9">
        <v>5800</v>
      </c>
      <c r="M13" s="9"/>
      <c r="N13" s="48">
        <v>1000</v>
      </c>
      <c r="O13" s="21">
        <f t="shared" si="3"/>
        <v>55600</v>
      </c>
      <c r="P13" s="8" t="s">
        <v>198</v>
      </c>
      <c r="Q13" s="9">
        <v>-5800</v>
      </c>
      <c r="R13" s="9"/>
      <c r="S13" s="48">
        <v>-1000</v>
      </c>
      <c r="T13" s="21">
        <f t="shared" si="4"/>
        <v>28600</v>
      </c>
      <c r="U13" s="53">
        <f>IF($J13="","",ROUND(($J13-$J$3)/1000,1)+(_xlfn.RANK.AVG($J13,($J13,$O13,$T13),1)-2)*20)</f>
        <v>-34.200000000000003</v>
      </c>
      <c r="V13" s="54">
        <f>IF($O13="","",ROUND(($O13-$O$3)/1000,1)+(_xlfn.RANK.AVG($O13,($J13,$O13,$T13),1)-2)*20)</f>
        <v>40.6</v>
      </c>
      <c r="W13" s="55">
        <f>IF($T13="","",ROUND(($T13-$T$3)/1000,1)+(_xlfn.RANK.AVG($T13,($J13,$O13,$T13),1)-2)*20)</f>
        <v>-6.4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3</v>
      </c>
      <c r="AY13" s="30">
        <v>30</v>
      </c>
      <c r="AZ13" s="40" t="s">
        <v>86</v>
      </c>
      <c r="BA13" s="41" t="s">
        <v>200</v>
      </c>
      <c r="BB13" s="41" t="s">
        <v>79</v>
      </c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2</v>
      </c>
      <c r="D14" s="18">
        <f t="shared" si="1"/>
        <v>0</v>
      </c>
      <c r="E14" s="4" t="s">
        <v>195</v>
      </c>
      <c r="F14" s="8" t="s">
        <v>202</v>
      </c>
      <c r="G14" s="9">
        <v>-6000</v>
      </c>
      <c r="H14" s="9">
        <v>-1000</v>
      </c>
      <c r="I14" s="48">
        <v>-1000</v>
      </c>
      <c r="J14" s="21">
        <f t="shared" si="2"/>
        <v>12800</v>
      </c>
      <c r="K14" s="8" t="s">
        <v>202</v>
      </c>
      <c r="L14" s="9">
        <v>-10000</v>
      </c>
      <c r="M14" s="9"/>
      <c r="N14" s="48">
        <v>-1000</v>
      </c>
      <c r="O14" s="21">
        <f t="shared" si="3"/>
        <v>44600</v>
      </c>
      <c r="P14" s="8" t="s">
        <v>201</v>
      </c>
      <c r="Q14" s="9">
        <v>16000</v>
      </c>
      <c r="R14" s="9">
        <v>1000</v>
      </c>
      <c r="S14" s="48">
        <v>2000</v>
      </c>
      <c r="T14" s="21">
        <f t="shared" si="4"/>
        <v>47600</v>
      </c>
      <c r="U14" s="53">
        <f>IF($J14="","",ROUND(($J14-$J$3)/1000,1)+(_xlfn.RANK.AVG($J14,($J14,$O14,$T14),1)-2)*20)</f>
        <v>-42.2</v>
      </c>
      <c r="V14" s="54">
        <f>IF($O14="","",ROUND(($O14-$O$3)/1000,1)+(_xlfn.RANK.AVG($O14,($J14,$O14,$T14),1)-2)*20)</f>
        <v>9.6</v>
      </c>
      <c r="W14" s="55">
        <f>IF($T14="","",ROUND(($T14-$T$3)/1000,1)+(_xlfn.RANK.AVG($T14,($J14,$O14,$T14),1)-2)*20)</f>
        <v>32.6</v>
      </c>
      <c r="Y14" s="8"/>
      <c r="Z14" s="34"/>
      <c r="AA14" s="26">
        <v>1</v>
      </c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>
        <v>10</v>
      </c>
      <c r="BT14" s="30" t="s">
        <v>204</v>
      </c>
      <c r="BU14" s="40" t="s">
        <v>199</v>
      </c>
      <c r="BV14" s="41" t="s">
        <v>82</v>
      </c>
      <c r="BW14" s="41" t="s">
        <v>203</v>
      </c>
      <c r="BX14" s="41" t="s">
        <v>79</v>
      </c>
      <c r="BY14" s="41" t="s">
        <v>80</v>
      </c>
      <c r="BZ14" s="41" t="s">
        <v>104</v>
      </c>
      <c r="CA14" s="41" t="s">
        <v>86</v>
      </c>
      <c r="CB14" s="41" t="s">
        <v>86</v>
      </c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">
        <v>193</v>
      </c>
      <c r="F15" s="8" t="s">
        <v>202</v>
      </c>
      <c r="G15" s="9">
        <v>-6000</v>
      </c>
      <c r="H15" s="9"/>
      <c r="I15" s="48">
        <v>0</v>
      </c>
      <c r="J15" s="21">
        <f t="shared" si="2"/>
        <v>6800</v>
      </c>
      <c r="K15" s="8" t="s">
        <v>202</v>
      </c>
      <c r="L15" s="9">
        <v>-6000</v>
      </c>
      <c r="M15" s="9">
        <v>-1000</v>
      </c>
      <c r="N15" s="48">
        <v>0</v>
      </c>
      <c r="O15" s="21">
        <f t="shared" si="3"/>
        <v>37600</v>
      </c>
      <c r="P15" s="8" t="s">
        <v>201</v>
      </c>
      <c r="Q15" s="9">
        <v>12000</v>
      </c>
      <c r="R15" s="9">
        <v>1000</v>
      </c>
      <c r="S15" s="48">
        <v>0</v>
      </c>
      <c r="T15" s="21">
        <f t="shared" si="4"/>
        <v>60600</v>
      </c>
      <c r="U15" s="53">
        <f>IF($J15="","",ROUND(($J15-$J$3)/1000,1)+(_xlfn.RANK.AVG($J15,($J15,$O15,$T15),1)-2)*20)</f>
        <v>-48.2</v>
      </c>
      <c r="V15" s="54">
        <f>IF($O15="","",ROUND(($O15-$O$3)/1000,1)+(_xlfn.RANK.AVG($O15,($J15,$O15,$T15),1)-2)*20)</f>
        <v>2.6</v>
      </c>
      <c r="W15" s="55">
        <f>IF($T15="","",ROUND(($T15-$T$3)/1000,1)+(_xlfn.RANK.AVG($T15,($J15,$O15,$T15),1)-2)*20)</f>
        <v>45.6</v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>
        <v>1</v>
      </c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>
        <v>1</v>
      </c>
      <c r="BR15" s="26"/>
      <c r="BS15" s="26">
        <v>5</v>
      </c>
      <c r="BT15" s="30" t="s">
        <v>204</v>
      </c>
      <c r="BU15" s="40" t="s">
        <v>199</v>
      </c>
      <c r="BV15" s="41" t="s">
        <v>82</v>
      </c>
      <c r="BW15" s="41" t="s">
        <v>203</v>
      </c>
      <c r="BX15" s="41" t="s">
        <v>84</v>
      </c>
      <c r="BY15" s="41" t="s">
        <v>200</v>
      </c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showInputMessage="1" showErrorMessage="1" sqref="K4:K30 P4:P30 F4:F30" xr:uid="{FDB0A650-A70D-4A7E-ABCD-ECA4CDD44702}">
      <formula1>"ロン,ツモ,放銃,ツモ支払,流局,チョンボ"</formula1>
    </dataValidation>
    <dataValidation type="list" allowBlank="1" showInputMessage="1" showErrorMessage="1" sqref="E4:E30" xr:uid="{B8AF8A77-F7F5-4841-B6CE-EA590E78D261}">
      <formula1>$U$2:$W$2</formula1>
    </dataValidation>
    <dataValidation type="list" allowBlank="1" showInputMessage="1" sqref="F1:T1" xr:uid="{376DE96D-DD4D-49B1-88EA-6C998A5FC237}">
      <formula1>"Tenari2,だいち,Tenari1,"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8EF7C-CC4F-4C30-B66E-4AB2AA8C77A7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193</v>
      </c>
      <c r="G1" s="79"/>
      <c r="H1" s="79"/>
      <c r="I1" s="80"/>
      <c r="J1" s="81"/>
      <c r="K1" s="78" t="s">
        <v>196</v>
      </c>
      <c r="L1" s="79"/>
      <c r="M1" s="79"/>
      <c r="N1" s="80"/>
      <c r="O1" s="81"/>
      <c r="P1" s="78" t="s">
        <v>191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Tenari2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だいち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Tenari1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Tenari2</v>
      </c>
      <c r="V2" s="75" t="str">
        <f>$K$1</f>
        <v>だいち</v>
      </c>
      <c r="W2" s="16" t="str">
        <f>$P$1</f>
        <v>Tenari1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198</v>
      </c>
      <c r="G4" s="9">
        <v>-2000</v>
      </c>
      <c r="H4" s="9"/>
      <c r="I4" s="48">
        <v>0</v>
      </c>
      <c r="J4" s="21">
        <f>IF(COUNTA($F4,$K4,$P4)&gt;0,J3+SUM(G4:I4),"")</f>
        <v>33000</v>
      </c>
      <c r="K4" s="8" t="s">
        <v>197</v>
      </c>
      <c r="L4" s="9">
        <v>2000</v>
      </c>
      <c r="M4" s="9"/>
      <c r="N4" s="48">
        <v>0</v>
      </c>
      <c r="O4" s="21">
        <f>IF(COUNTA($F4,$K4,$P4)&gt;0,O3+SUM(L4:N4),"")</f>
        <v>37000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-22</v>
      </c>
      <c r="V4" s="54">
        <f>IF($O4="","",ROUND(($O4-$O$3)/1000,1)+(_xlfn.RANK.AVG($O4,($J4,$O4,$T4),1)-2)*20)</f>
        <v>22</v>
      </c>
      <c r="W4" s="55">
        <f>IF($T4="","",ROUND(($T4-$T$3)/1000,1)+(_xlfn.RANK.AVG($T4,($J4,$O4,$T4),1)-2)*20)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2</v>
      </c>
      <c r="AY4" s="30">
        <v>30</v>
      </c>
      <c r="AZ4" s="40" t="s">
        <v>86</v>
      </c>
      <c r="BA4" s="41" t="s">
        <v>200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/>
      <c r="G5" s="9"/>
      <c r="H5" s="9">
        <v>-1000</v>
      </c>
      <c r="I5" s="48"/>
      <c r="J5" s="21">
        <f t="shared" ref="J5:J30" si="2">IF(COUNTA($F5,$K5,$P5)&gt;0,J4+SUM(G5:I5),"")</f>
        <v>32000</v>
      </c>
      <c r="K5" s="8" t="s">
        <v>198</v>
      </c>
      <c r="L5" s="9">
        <v>-3200</v>
      </c>
      <c r="M5" s="9"/>
      <c r="N5" s="48">
        <v>0</v>
      </c>
      <c r="O5" s="21">
        <f t="shared" ref="O5:O30" si="3">IF(COUNTA($F5,$K5,$P5)&gt;0,O4+SUM(L5:N5),"")</f>
        <v>33800</v>
      </c>
      <c r="P5" s="8" t="s">
        <v>197</v>
      </c>
      <c r="Q5" s="9">
        <v>3200</v>
      </c>
      <c r="R5" s="9">
        <v>1000</v>
      </c>
      <c r="S5" s="48">
        <v>0</v>
      </c>
      <c r="T5" s="21">
        <f t="shared" ref="T5:T30" si="4">IF(COUNTA($F5,$K5,$P5)&gt;0,T4+SUM(Q5:S5),"")</f>
        <v>39200</v>
      </c>
      <c r="U5" s="53">
        <f>IF($J5="","",ROUND(($J5-$J$3)/1000,1)+(_xlfn.RANK.AVG($J5,($J5,$O5,$T5),1)-2)*20)</f>
        <v>-23</v>
      </c>
      <c r="V5" s="54">
        <f>IF($O5="","",ROUND(($O5-$O$3)/1000,1)+(_xlfn.RANK.AVG($O5,($J5,$O5,$T5),1)-2)*20)</f>
        <v>-1.2</v>
      </c>
      <c r="W5" s="55">
        <f>IF($T5="","",ROUND(($T5-$T$3)/1000,1)+(_xlfn.RANK.AVG($T5,($J5,$O5,$T5),1)-2)*20)</f>
        <v>24.2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25</v>
      </c>
      <c r="BU5" s="40" t="s">
        <v>199</v>
      </c>
      <c r="BV5" s="41" t="s">
        <v>101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207</v>
      </c>
      <c r="G6" s="9">
        <v>1500</v>
      </c>
      <c r="H6" s="9">
        <v>-1000</v>
      </c>
      <c r="I6" s="48"/>
      <c r="J6" s="21">
        <f t="shared" si="2"/>
        <v>32500</v>
      </c>
      <c r="K6" s="8" t="s">
        <v>207</v>
      </c>
      <c r="L6" s="9">
        <v>1500</v>
      </c>
      <c r="M6" s="9"/>
      <c r="N6" s="48"/>
      <c r="O6" s="21">
        <f t="shared" si="3"/>
        <v>35300</v>
      </c>
      <c r="P6" s="8" t="s">
        <v>207</v>
      </c>
      <c r="Q6" s="9">
        <v>-3000</v>
      </c>
      <c r="R6" s="9"/>
      <c r="S6" s="48"/>
      <c r="T6" s="21">
        <f t="shared" si="4"/>
        <v>36200</v>
      </c>
      <c r="U6" s="53">
        <f>IF($J6="","",ROUND(($J6-$J$3)/1000,1)+(_xlfn.RANK.AVG($J6,($J6,$O6,$T6),1)-2)*20)</f>
        <v>-22.5</v>
      </c>
      <c r="V6" s="54">
        <f>IF($O6="","",ROUND(($O6-$O$3)/1000,1)+(_xlfn.RANK.AVG($O6,($J6,$O6,$T6),1)-2)*20)</f>
        <v>0.3</v>
      </c>
      <c r="W6" s="55">
        <f>IF($T6="","",ROUND(($T6-$T$3)/1000,1)+(_xlfn.RANK.AVG($T6,($J6,$O6,$T6),1)-2)*20)</f>
        <v>21.2</v>
      </c>
      <c r="Y6" s="8" t="s">
        <v>205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205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206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1</v>
      </c>
      <c r="D7" s="18">
        <f t="shared" si="1"/>
        <v>1</v>
      </c>
      <c r="E7" s="4" t="s">
        <v>193</v>
      </c>
      <c r="F7" s="8"/>
      <c r="G7" s="9"/>
      <c r="H7" s="9">
        <v>-1000</v>
      </c>
      <c r="I7" s="48"/>
      <c r="J7" s="21">
        <f t="shared" si="2"/>
        <v>31500</v>
      </c>
      <c r="K7" s="8" t="s">
        <v>198</v>
      </c>
      <c r="L7" s="9">
        <v>-8000</v>
      </c>
      <c r="M7" s="9"/>
      <c r="N7" s="48">
        <v>-1000</v>
      </c>
      <c r="O7" s="21">
        <f t="shared" si="3"/>
        <v>26300</v>
      </c>
      <c r="P7" s="8" t="s">
        <v>197</v>
      </c>
      <c r="Q7" s="9">
        <v>8000</v>
      </c>
      <c r="R7" s="9">
        <v>2000</v>
      </c>
      <c r="S7" s="48">
        <v>1000</v>
      </c>
      <c r="T7" s="21">
        <f t="shared" si="4"/>
        <v>47200</v>
      </c>
      <c r="U7" s="53">
        <f>IF($J7="","",ROUND(($J7-$J$3)/1000,1)+(_xlfn.RANK.AVG($J7,($J7,$O7,$T7),1)-2)*20)</f>
        <v>-3.5</v>
      </c>
      <c r="V7" s="54">
        <f>IF($O7="","",ROUND(($O7-$O$3)/1000,1)+(_xlfn.RANK.AVG($O7,($J7,$O7,$T7),1)-2)*20)</f>
        <v>-28.7</v>
      </c>
      <c r="W7" s="55">
        <f>IF($T7="","",ROUND(($T7-$T$3)/1000,1)+(_xlfn.RANK.AVG($T7,($J7,$O7,$T7),1)-2)*20)</f>
        <v>32.200000000000003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40</v>
      </c>
      <c r="BU7" s="40" t="s">
        <v>199</v>
      </c>
      <c r="BV7" s="41" t="s">
        <v>203</v>
      </c>
      <c r="BW7" s="41" t="s">
        <v>85</v>
      </c>
      <c r="BX7" s="41" t="s">
        <v>79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201</v>
      </c>
      <c r="G8" s="9">
        <v>8000</v>
      </c>
      <c r="H8" s="9">
        <v>2000</v>
      </c>
      <c r="I8" s="48">
        <v>0</v>
      </c>
      <c r="J8" s="21">
        <f t="shared" si="2"/>
        <v>41500</v>
      </c>
      <c r="K8" s="8" t="s">
        <v>202</v>
      </c>
      <c r="L8" s="9">
        <v>-5000</v>
      </c>
      <c r="M8" s="9">
        <v>-1000</v>
      </c>
      <c r="N8" s="48">
        <v>0</v>
      </c>
      <c r="O8" s="21">
        <f t="shared" si="3"/>
        <v>20300</v>
      </c>
      <c r="P8" s="8" t="s">
        <v>202</v>
      </c>
      <c r="Q8" s="9">
        <v>-3000</v>
      </c>
      <c r="R8" s="9">
        <v>-1000</v>
      </c>
      <c r="S8" s="48">
        <v>0</v>
      </c>
      <c r="T8" s="21">
        <f t="shared" si="4"/>
        <v>43200</v>
      </c>
      <c r="U8" s="53">
        <f>IF($J8="","",ROUND(($J8-$J$3)/1000,1)+(_xlfn.RANK.AVG($J8,($J8,$O8,$T8),1)-2)*20)</f>
        <v>6.5</v>
      </c>
      <c r="V8" s="54">
        <f>IF($O8="","",ROUND(($O8-$O$3)/1000,1)+(_xlfn.RANK.AVG($O8,($J8,$O8,$T8),1)-2)*20)</f>
        <v>-34.700000000000003</v>
      </c>
      <c r="W8" s="55">
        <f>IF($T8="","",ROUND(($T8-$T$3)/1000,1)+(_xlfn.RANK.AVG($T8,($J8,$O8,$T8),1)-2)*20)</f>
        <v>28.2</v>
      </c>
      <c r="Y8" s="8"/>
      <c r="Z8" s="34"/>
      <c r="AA8" s="26">
        <v>1</v>
      </c>
      <c r="AB8" s="26"/>
      <c r="AC8" s="26">
        <v>5</v>
      </c>
      <c r="AD8" s="30" t="s">
        <v>204</v>
      </c>
      <c r="AE8" s="40" t="s">
        <v>199</v>
      </c>
      <c r="AF8" s="41" t="s">
        <v>82</v>
      </c>
      <c r="AG8" s="41" t="s">
        <v>83</v>
      </c>
      <c r="AH8" s="41" t="s">
        <v>85</v>
      </c>
      <c r="AI8" s="41" t="s">
        <v>84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202</v>
      </c>
      <c r="G9" s="9">
        <v>-3000</v>
      </c>
      <c r="H9" s="9">
        <v>-1000</v>
      </c>
      <c r="I9" s="48">
        <v>0</v>
      </c>
      <c r="J9" s="21">
        <f t="shared" si="2"/>
        <v>37500</v>
      </c>
      <c r="K9" s="8" t="s">
        <v>201</v>
      </c>
      <c r="L9" s="9">
        <v>8000</v>
      </c>
      <c r="M9" s="9">
        <v>1000</v>
      </c>
      <c r="N9" s="48">
        <v>0</v>
      </c>
      <c r="O9" s="21">
        <f t="shared" si="3"/>
        <v>29300</v>
      </c>
      <c r="P9" s="8" t="s">
        <v>202</v>
      </c>
      <c r="Q9" s="9">
        <v>-5000</v>
      </c>
      <c r="R9" s="9"/>
      <c r="S9" s="48">
        <v>0</v>
      </c>
      <c r="T9" s="21">
        <f t="shared" si="4"/>
        <v>38200</v>
      </c>
      <c r="U9" s="53">
        <f>IF($J9="","",ROUND(($J9-$J$3)/1000,1)+(_xlfn.RANK.AVG($J9,($J9,$O9,$T9),1)-2)*20)</f>
        <v>2.5</v>
      </c>
      <c r="V9" s="54">
        <f>IF($O9="","",ROUND(($O9-$O$3)/1000,1)+(_xlfn.RANK.AVG($O9,($J9,$O9,$T9),1)-2)*20)</f>
        <v>-25.7</v>
      </c>
      <c r="W9" s="55">
        <f>IF($T9="","",ROUND(($T9-$T$3)/1000,1)+(_xlfn.RANK.AVG($T9,($J9,$O9,$T9),1)-2)*20)</f>
        <v>23.2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5</v>
      </c>
      <c r="AY9" s="30" t="s">
        <v>204</v>
      </c>
      <c r="AZ9" s="40" t="s">
        <v>199</v>
      </c>
      <c r="BA9" s="41" t="s">
        <v>82</v>
      </c>
      <c r="BB9" s="41" t="s">
        <v>79</v>
      </c>
      <c r="BC9" s="41" t="s">
        <v>80</v>
      </c>
      <c r="BD9" s="41" t="s">
        <v>200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E20F1F45-BA28-40AE-A404-52513BF37874}">
      <formula1>"Tenari2,だいち,Tenari1,"</formula1>
    </dataValidation>
    <dataValidation type="list" allowBlank="1" showInputMessage="1" showErrorMessage="1" sqref="E4:E30" xr:uid="{1AD1A019-32F1-45F0-9124-2613DF046AE0}">
      <formula1>$U$2:$W$2</formula1>
    </dataValidation>
    <dataValidation type="list" showInputMessage="1" showErrorMessage="1" sqref="K4:K30 P4:P30 F4:F30" xr:uid="{FB451C89-1359-4129-8557-79F174D691D2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2019-06-11T11:04:33Z</dcterms:modified>
</cp:coreProperties>
</file>