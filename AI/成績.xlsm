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AI\"/>
    </mc:Choice>
  </mc:AlternateContent>
  <xr:revisionPtr revIDLastSave="0" documentId="13_ncr:1_{CE05CCBD-A29C-4BCE-A64A-A6EF3120025F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Tenari2" sheetId="5507" r:id="rId7"/>
    <sheet name="だいち" sheetId="5509" r:id="rId8"/>
    <sheet name="Tenari1" sheetId="5511" r:id="rId9"/>
    <sheet name="Tenari12" sheetId="5512" state="hidden" r:id="rId10"/>
    <sheet name="だいち2" sheetId="5510" state="hidden" r:id="rId11"/>
    <sheet name="Tenari22" sheetId="5508" state="hidden" r:id="rId12"/>
    <sheet name="全体2" sheetId="5506" state="hidden" r:id="rId13"/>
    <sheet name="通算スコア" sheetId="3331" state="hidden" r:id="rId14"/>
    <sheet name="平均スコア" sheetId="3493" state="hidden" r:id="rId15"/>
    <sheet name="平均順位" sheetId="3183" state="hidden" r:id="rId16"/>
    <sheet name="トップ率" sheetId="3185" state="hidden" r:id="rId17"/>
    <sheet name="ラス率" sheetId="4886" state="hidden" r:id="rId18"/>
    <sheet name="アガリ率" sheetId="3189" state="hidden" r:id="rId19"/>
    <sheet name="放銃率" sheetId="3190" state="hidden" r:id="rId20"/>
    <sheet name="平均アガリ点" sheetId="3520" state="hidden" r:id="rId21"/>
    <sheet name="平均放銃点" sheetId="3521" state="hidden" r:id="rId22"/>
    <sheet name="ふっとび率" sheetId="3522" state="hidden" r:id="rId23"/>
    <sheet name="ふっとばし率" sheetId="3523" state="hidden" r:id="rId24"/>
    <sheet name="リーチ率" sheetId="3524" state="hidden" r:id="rId25"/>
    <sheet name="副露率" sheetId="3525" state="hidden" r:id="rId26"/>
    <sheet name="リーチ成功率" sheetId="4841" state="hidden" r:id="rId27"/>
    <sheet name="副露成功率" sheetId="3527" state="hidden" r:id="rId28"/>
    <sheet name="ツモ率" sheetId="3528" state="hidden" r:id="rId29"/>
  </sheets>
  <definedNames>
    <definedName name="アガリ数" localSheetId="8">Tenari1!$B$17</definedName>
    <definedName name="アガリ数" localSheetId="6">Tenari2!$B$17</definedName>
    <definedName name="アガリ数" localSheetId="7">だいち!$B$17</definedName>
    <definedName name="アガリ数" localSheetId="5">全体!$B$17</definedName>
    <definedName name="アガリ数">Template1!$B$17</definedName>
    <definedName name="アガリ率" localSheetId="8">Tenari1!$C$17</definedName>
    <definedName name="アガリ率" localSheetId="6">Tenari2!$C$17</definedName>
    <definedName name="アガリ率" localSheetId="7">だいち!$C$17</definedName>
    <definedName name="アガリ率" localSheetId="5">全体!$C$17</definedName>
    <definedName name="アガリ率">Template1!$C$17</definedName>
    <definedName name="チョンボ数" localSheetId="8">Tenari1!$B$27</definedName>
    <definedName name="チョンボ数" localSheetId="6">Tenari2!$B$27</definedName>
    <definedName name="チョンボ数" localSheetId="7">だいち!$B$27</definedName>
    <definedName name="チョンボ数" localSheetId="5">全体!$B$27</definedName>
    <definedName name="チョンボ数">Template1!$B$27</definedName>
    <definedName name="チョンボ率" localSheetId="8">Tenari1!$C$27</definedName>
    <definedName name="チョンボ率" localSheetId="6">Tenari2!$C$27</definedName>
    <definedName name="チョンボ率" localSheetId="7">だいち!$C$27</definedName>
    <definedName name="チョンボ率" localSheetId="5">全体!$C$27</definedName>
    <definedName name="チョンボ率">Template1!$C$27</definedName>
    <definedName name="ツモ数" localSheetId="8">Tenari1!$B$18</definedName>
    <definedName name="ツモ数" localSheetId="6">Tenari2!$B$18</definedName>
    <definedName name="ツモ数" localSheetId="7">だいち!$B$18</definedName>
    <definedName name="ツモ数" localSheetId="5">全体!$B$18</definedName>
    <definedName name="ツモ数">Template1!$B$18</definedName>
    <definedName name="ツモ率" localSheetId="8">Tenari1!$C$18</definedName>
    <definedName name="ツモ率" localSheetId="6">Tenari2!$C$18</definedName>
    <definedName name="ツモ率" localSheetId="7">だいち!$C$18</definedName>
    <definedName name="ツモ率" localSheetId="5">全体!$C$18</definedName>
    <definedName name="ツモ率">Template1!$C$18</definedName>
    <definedName name="トップ数" localSheetId="8">Tenari1!$B$7</definedName>
    <definedName name="トップ数" localSheetId="6">Tenari2!$B$7</definedName>
    <definedName name="トップ数" localSheetId="7">だいち!$B$7</definedName>
    <definedName name="トップ数" localSheetId="5">全体!$B$7</definedName>
    <definedName name="トップ数">Template1!$B$7</definedName>
    <definedName name="トップ率" localSheetId="8">Tenari1!$C$7</definedName>
    <definedName name="トップ率" localSheetId="6">Tenari2!$C$7</definedName>
    <definedName name="トップ率" localSheetId="7">だいち!$C$7</definedName>
    <definedName name="トップ率" localSheetId="5">全体!$C$7</definedName>
    <definedName name="トップ率">Template1!$C$7</definedName>
    <definedName name="ふっとばし数" localSheetId="8">Tenari1!$B$11</definedName>
    <definedName name="ふっとばし数" localSheetId="6">Tenari2!$B$11</definedName>
    <definedName name="ふっとばし数" localSheetId="7">だいち!$B$11</definedName>
    <definedName name="ふっとばし数" localSheetId="5">全体!$B$11</definedName>
    <definedName name="ふっとばし数">Template1!$B$11</definedName>
    <definedName name="ふっとばし率" localSheetId="8">Tenari1!$C$11</definedName>
    <definedName name="ふっとばし率" localSheetId="6">Tenari2!$C$11</definedName>
    <definedName name="ふっとばし率" localSheetId="7">だいち!$C$11</definedName>
    <definedName name="ふっとばし率" localSheetId="5">全体!$C$11</definedName>
    <definedName name="ふっとばし率">Template1!$C$11</definedName>
    <definedName name="ふっとび数" localSheetId="8">Tenari1!$B$10</definedName>
    <definedName name="ふっとび数" localSheetId="6">Tenari2!$B$10</definedName>
    <definedName name="ふっとび数" localSheetId="7">だいち!$B$10</definedName>
    <definedName name="ふっとび数" localSheetId="5">全体!$B$10</definedName>
    <definedName name="ふっとび数">Template1!$B$10</definedName>
    <definedName name="ふっとび率" localSheetId="8">Tenari1!$C$10</definedName>
    <definedName name="ふっとび率" localSheetId="6">Tenari2!$C$10</definedName>
    <definedName name="ふっとび率" localSheetId="7">だいち!$C$10</definedName>
    <definedName name="ふっとび率" localSheetId="5">全体!$C$10</definedName>
    <definedName name="ふっとび率">Template1!$C$10</definedName>
    <definedName name="ラス数" localSheetId="8">Tenari1!$B$9</definedName>
    <definedName name="ラス数" localSheetId="6">Tenari2!$B$9</definedName>
    <definedName name="ラス数" localSheetId="7">だいち!$B$9</definedName>
    <definedName name="ラス数" localSheetId="5">全体!$B$9</definedName>
    <definedName name="ラス数">Template1!$B$9</definedName>
    <definedName name="ラス率" localSheetId="8">Tenari1!$C$9</definedName>
    <definedName name="ラス率" localSheetId="6">Tenari2!$C$9</definedName>
    <definedName name="ラス率" localSheetId="7">だいち!$C$9</definedName>
    <definedName name="ラス率" localSheetId="5">全体!$C$9</definedName>
    <definedName name="ラス率">Template1!$C$9</definedName>
    <definedName name="リーチ数" localSheetId="8">Tenari1!$B$13</definedName>
    <definedName name="リーチ数" localSheetId="6">Tenari2!$B$13</definedName>
    <definedName name="リーチ数" localSheetId="7">だいち!$B$13</definedName>
    <definedName name="リーチ数" localSheetId="5">全体!$B$13</definedName>
    <definedName name="リーチ数">Template1!$B$13</definedName>
    <definedName name="リーチ成功数" localSheetId="8">Tenari1!$B$15</definedName>
    <definedName name="リーチ成功数" localSheetId="6">Tenari2!$B$15</definedName>
    <definedName name="リーチ成功数" localSheetId="7">だいち!$B$15</definedName>
    <definedName name="リーチ成功数" localSheetId="5">全体!$B$15</definedName>
    <definedName name="リーチ成功数">Template1!$B$15</definedName>
    <definedName name="リーチ成功率" localSheetId="8">Tenari1!$C$15</definedName>
    <definedName name="リーチ成功率" localSheetId="6">Tenari2!$C$15</definedName>
    <definedName name="リーチ成功率" localSheetId="7">だいち!$C$15</definedName>
    <definedName name="リーチ成功率" localSheetId="5">全体!$C$15</definedName>
    <definedName name="リーチ成功率">Template1!$C$15</definedName>
    <definedName name="リーチ率" localSheetId="8">Tenari1!$C$13</definedName>
    <definedName name="リーチ率" localSheetId="6">Tenari2!$C$13</definedName>
    <definedName name="リーチ率" localSheetId="7">だいち!$C$13</definedName>
    <definedName name="リーチ率" localSheetId="5">全体!$C$13</definedName>
    <definedName name="リーチ率">Template1!$C$13</definedName>
    <definedName name="ロン数" localSheetId="8">Tenari1!$B$19</definedName>
    <definedName name="ロン数" localSheetId="6">Tenari2!$B$19</definedName>
    <definedName name="ロン数" localSheetId="7">だいち!$B$19</definedName>
    <definedName name="ロン数" localSheetId="5">全体!$B$19</definedName>
    <definedName name="ロン数">Template1!$B$19</definedName>
    <definedName name="ロン率" localSheetId="8">Tenari1!$C$19</definedName>
    <definedName name="ロン率" localSheetId="6">Tenari2!$C$19</definedName>
    <definedName name="ロン率" localSheetId="7">だいち!$C$19</definedName>
    <definedName name="ロン率" localSheetId="5">全体!$C$19</definedName>
    <definedName name="ロン率">Template1!$C$19</definedName>
    <definedName name="逆転数" localSheetId="8">Tenari1!$B$12</definedName>
    <definedName name="逆転数" localSheetId="6">Tenari2!$B$12</definedName>
    <definedName name="逆転数" localSheetId="7">だいち!$B$12</definedName>
    <definedName name="逆転数" localSheetId="5">全体!$B$12</definedName>
    <definedName name="逆転数">Template1!$B$12</definedName>
    <definedName name="逆転率" localSheetId="8">Tenari1!$C$12</definedName>
    <definedName name="逆転率" localSheetId="6">Tenari2!$C$12</definedName>
    <definedName name="逆転率" localSheetId="7">だいち!$C$12</definedName>
    <definedName name="逆転率" localSheetId="5">全体!$C$12</definedName>
    <definedName name="逆転率">Template1!$C$12</definedName>
    <definedName name="最大ドラ数" localSheetId="8">Tenari1!$B$25</definedName>
    <definedName name="最大ドラ数" localSheetId="6">Tenari2!$B$25</definedName>
    <definedName name="最大ドラ数" localSheetId="7">だいち!$B$25</definedName>
    <definedName name="最大ドラ数" localSheetId="5">全体!$B$25</definedName>
    <definedName name="最大ドラ数">Template1!$B$25</definedName>
    <definedName name="最大点数" localSheetId="8">Tenari1!$B$26</definedName>
    <definedName name="最大点数" localSheetId="6">Tenari2!$B$26</definedName>
    <definedName name="最大点数" localSheetId="7">だいち!$B$26</definedName>
    <definedName name="最大点数" localSheetId="5">全体!$B$26</definedName>
    <definedName name="最大点数">Template1!$B$26</definedName>
    <definedName name="総局数" localSheetId="8">Tenari1!$B$3</definedName>
    <definedName name="総局数" localSheetId="6">Tenari2!$B$3</definedName>
    <definedName name="総局数" localSheetId="7">だいち!$B$3</definedName>
    <definedName name="総局数" localSheetId="5">全体!$B$3</definedName>
    <definedName name="総局数">Template1!$B$3</definedName>
    <definedName name="対戦数" localSheetId="8">Tenari1!$B$2</definedName>
    <definedName name="対戦数" localSheetId="6">Tenari2!$B$2</definedName>
    <definedName name="対戦数" localSheetId="7">だいち!$B$2</definedName>
    <definedName name="対戦数" localSheetId="5">全体!$B$2</definedName>
    <definedName name="対戦数">Template1!$B$2</definedName>
    <definedName name="通算スコア" localSheetId="8">Tenari1!$B$4</definedName>
    <definedName name="通算スコア" localSheetId="6">Tenari2!$B$4</definedName>
    <definedName name="通算スコア" localSheetId="7">だいち!$B$4</definedName>
    <definedName name="通算スコア" localSheetId="5">全体!$B$4</definedName>
    <definedName name="通算スコア">Template1!$B$4</definedName>
    <definedName name="副露数" localSheetId="8">Tenari1!$B$14</definedName>
    <definedName name="副露数" localSheetId="6">Tenari2!$B$14</definedName>
    <definedName name="副露数" localSheetId="7">だいち!$B$14</definedName>
    <definedName name="副露数" localSheetId="5">全体!$B$14</definedName>
    <definedName name="副露数">Template1!$B$14</definedName>
    <definedName name="副露成功数" localSheetId="8">Tenari1!$B$16</definedName>
    <definedName name="副露成功数" localSheetId="6">Tenari2!$B$16</definedName>
    <definedName name="副露成功数" localSheetId="7">だいち!$B$16</definedName>
    <definedName name="副露成功数" localSheetId="5">全体!$B$16</definedName>
    <definedName name="副露成功数">Template1!$B$16</definedName>
    <definedName name="副露成功率" localSheetId="8">Tenari1!$C$16</definedName>
    <definedName name="副露成功率" localSheetId="6">Tenari2!$C$16</definedName>
    <definedName name="副露成功率" localSheetId="7">だいち!$C$16</definedName>
    <definedName name="副露成功率" localSheetId="5">全体!$C$16</definedName>
    <definedName name="副露成功率">Template1!$C$16</definedName>
    <definedName name="副露率" localSheetId="8">Tenari1!$C$14</definedName>
    <definedName name="副露率" localSheetId="6">Tenari2!$C$14</definedName>
    <definedName name="副露率" localSheetId="7">だいち!$C$14</definedName>
    <definedName name="副露率" localSheetId="5">全体!$C$14</definedName>
    <definedName name="副露率">Template1!$C$14</definedName>
    <definedName name="平均アガリ点" localSheetId="8">Tenari1!$B$23</definedName>
    <definedName name="平均アガリ点" localSheetId="6">Tenari2!$B$23</definedName>
    <definedName name="平均アガリ点" localSheetId="7">だいち!$B$23</definedName>
    <definedName name="平均アガリ点" localSheetId="5">全体!$B$23</definedName>
    <definedName name="平均アガリ点">Template1!$B$23</definedName>
    <definedName name="平均スコア" localSheetId="8">Tenari1!$B$5</definedName>
    <definedName name="平均スコア" localSheetId="6">Tenari2!$B$5</definedName>
    <definedName name="平均スコア" localSheetId="7">だいち!$B$5</definedName>
    <definedName name="平均スコア" localSheetId="5">全体!$B$5</definedName>
    <definedName name="平均スコア">Template1!$B$5</definedName>
    <definedName name="平均順位" localSheetId="8">Tenari1!$B$6</definedName>
    <definedName name="平均順位" localSheetId="6">Tenari2!$B$6</definedName>
    <definedName name="平均順位" localSheetId="7">だいち!$B$6</definedName>
    <definedName name="平均順位" localSheetId="5">全体!$B$6</definedName>
    <definedName name="平均順位">Template1!$B$6</definedName>
    <definedName name="平均放銃点" localSheetId="8">Tenari1!$B$24</definedName>
    <definedName name="平均放銃点" localSheetId="6">Tenari2!$B$24</definedName>
    <definedName name="平均放銃点" localSheetId="7">だいち!$B$24</definedName>
    <definedName name="平均放銃点" localSheetId="5">全体!$B$24</definedName>
    <definedName name="平均放銃点">Template1!$B$24</definedName>
    <definedName name="放銃数" localSheetId="8">Tenari1!$B$20</definedName>
    <definedName name="放銃数" localSheetId="6">Tenari2!$B$20</definedName>
    <definedName name="放銃数" localSheetId="7">だいち!$B$20</definedName>
    <definedName name="放銃数" localSheetId="5">全体!$B$20</definedName>
    <definedName name="放銃数">Template1!$B$20</definedName>
    <definedName name="放銃率" localSheetId="8">Tenari1!$C$20</definedName>
    <definedName name="放銃率" localSheetId="6">Tenari2!$C$20</definedName>
    <definedName name="放銃率" localSheetId="7">だいち!$C$20</definedName>
    <definedName name="放銃率" localSheetId="5">全体!$C$20</definedName>
    <definedName name="放銃率">Template1!$C$20</definedName>
    <definedName name="連続アガリ" localSheetId="8">Tenari1!$B$21</definedName>
    <definedName name="連続アガリ" localSheetId="6">Tenari2!$B$21</definedName>
    <definedName name="連続アガリ" localSheetId="7">だいち!$B$21</definedName>
    <definedName name="連続アガリ" localSheetId="5">全体!$B$21</definedName>
    <definedName name="連続アガリ">Template1!$B$21</definedName>
    <definedName name="連続無放銃" localSheetId="8">Tenari1!$B$22</definedName>
    <definedName name="連続無放銃" localSheetId="6">Tenari2!$B$22</definedName>
    <definedName name="連続無放銃" localSheetId="7">だいち!$B$22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5511" l="1"/>
  <c r="O16" i="5511"/>
  <c r="C27" i="5511"/>
  <c r="B24" i="5511"/>
  <c r="C20" i="5511"/>
  <c r="B17" i="5511"/>
  <c r="H52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16" i="5509"/>
  <c r="O15" i="5509"/>
  <c r="C27" i="5509"/>
  <c r="B24" i="5509"/>
  <c r="C20" i="5509"/>
  <c r="B17" i="5509"/>
  <c r="H4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17" i="5505"/>
  <c r="O16" i="5507"/>
  <c r="O15" i="5507"/>
  <c r="C27" i="5507"/>
  <c r="B24" i="5507"/>
  <c r="C20" i="5507"/>
  <c r="B17" i="5507"/>
  <c r="H4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6" i="5505"/>
  <c r="O15" i="5505"/>
  <c r="C27" i="5505"/>
  <c r="B24" i="5505"/>
  <c r="C20" i="5505"/>
  <c r="B17" i="5505"/>
  <c r="H50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52" i="5509" l="1"/>
  <c r="H5" i="5509"/>
  <c r="H3" i="5509"/>
  <c r="H2" i="5509"/>
  <c r="H20" i="5509"/>
  <c r="H11" i="5509"/>
  <c r="H18" i="5509"/>
  <c r="C18" i="5509"/>
  <c r="H33" i="5509"/>
  <c r="H15" i="5509"/>
  <c r="H49" i="5509"/>
  <c r="H8" i="5511"/>
  <c r="H18" i="5511"/>
  <c r="C17" i="5511"/>
  <c r="H2" i="5511"/>
  <c r="C18" i="5511"/>
  <c r="H12" i="5511"/>
  <c r="H5" i="5511"/>
  <c r="H3" i="5511"/>
  <c r="H15" i="5511"/>
  <c r="H37" i="5509"/>
  <c r="H6" i="5509"/>
  <c r="C17" i="5509"/>
  <c r="H27" i="5509"/>
  <c r="H41" i="5509"/>
  <c r="B23" i="5509"/>
  <c r="H29" i="5509"/>
  <c r="H45" i="5509"/>
  <c r="H21" i="5505"/>
  <c r="H3" i="5505"/>
  <c r="H19" i="5505"/>
  <c r="H2" i="5505"/>
  <c r="H11" i="5505"/>
  <c r="H5" i="5505"/>
  <c r="H37" i="5507"/>
  <c r="C17" i="5507"/>
  <c r="H49" i="5507"/>
  <c r="H3" i="5507"/>
  <c r="H2" i="5507"/>
  <c r="H18" i="5507"/>
  <c r="H27" i="5507"/>
  <c r="H10" i="5507"/>
  <c r="C18" i="5507"/>
  <c r="H52" i="5507"/>
  <c r="H5" i="5507"/>
  <c r="H15" i="5507"/>
  <c r="H33" i="5507"/>
  <c r="H20" i="5511"/>
  <c r="B23" i="5511"/>
  <c r="H21" i="5511"/>
  <c r="H28" i="5511"/>
  <c r="H31" i="5511"/>
  <c r="H34" i="5511"/>
  <c r="H38" i="5511"/>
  <c r="H42" i="5511"/>
  <c r="H46" i="5511"/>
  <c r="H50" i="5511"/>
  <c r="H26" i="5511"/>
  <c r="H9" i="5511"/>
  <c r="H17" i="5511"/>
  <c r="H19" i="5511"/>
  <c r="C19" i="5511"/>
  <c r="H24" i="5511"/>
  <c r="H14" i="5511"/>
  <c r="H35" i="5511"/>
  <c r="H39" i="5511"/>
  <c r="H43" i="5511"/>
  <c r="H47" i="5511"/>
  <c r="H51" i="5511"/>
  <c r="H23" i="5511"/>
  <c r="H7" i="5511"/>
  <c r="H6" i="5511"/>
  <c r="H13" i="5511"/>
  <c r="H16" i="5511"/>
  <c r="H11" i="5511"/>
  <c r="H22" i="5511"/>
  <c r="H25" i="5511"/>
  <c r="H10" i="5511"/>
  <c r="H29" i="5511"/>
  <c r="H32" i="5511"/>
  <c r="H36" i="5511"/>
  <c r="H40" i="5511"/>
  <c r="H44" i="5511"/>
  <c r="H48" i="5511"/>
  <c r="H4" i="5511"/>
  <c r="H27" i="5511"/>
  <c r="H30" i="5511"/>
  <c r="H33" i="5511"/>
  <c r="H37" i="5511"/>
  <c r="H41" i="5511"/>
  <c r="H45" i="5511"/>
  <c r="H49" i="5511"/>
  <c r="H15" i="5505"/>
  <c r="H40" i="5505"/>
  <c r="H25" i="5505"/>
  <c r="H12" i="5505"/>
  <c r="H45" i="5505"/>
  <c r="H13" i="5505"/>
  <c r="H18" i="5505"/>
  <c r="H14" i="5505"/>
  <c r="H30" i="5505"/>
  <c r="H51" i="5505"/>
  <c r="H6" i="5505"/>
  <c r="H8" i="5505"/>
  <c r="C18" i="5505"/>
  <c r="H10" i="5505"/>
  <c r="H35" i="5505"/>
  <c r="H22" i="5509"/>
  <c r="H28" i="5509"/>
  <c r="H34" i="5509"/>
  <c r="H42" i="5509"/>
  <c r="H46" i="5509"/>
  <c r="H9" i="5509"/>
  <c r="H17" i="5509"/>
  <c r="H19" i="5509"/>
  <c r="C19" i="5509"/>
  <c r="H23" i="5509"/>
  <c r="H31" i="5509"/>
  <c r="H35" i="5509"/>
  <c r="H39" i="5509"/>
  <c r="H43" i="5509"/>
  <c r="H47" i="5509"/>
  <c r="H51" i="5509"/>
  <c r="H21" i="5509"/>
  <c r="H25" i="5509"/>
  <c r="H30" i="5509"/>
  <c r="H38" i="5509"/>
  <c r="H50" i="5509"/>
  <c r="H7" i="5509"/>
  <c r="H8" i="5509"/>
  <c r="H12" i="5509"/>
  <c r="H16" i="5509"/>
  <c r="H13" i="5509"/>
  <c r="H14" i="5509"/>
  <c r="H24" i="5509"/>
  <c r="H26" i="5509"/>
  <c r="H10" i="5509"/>
  <c r="H32" i="5509"/>
  <c r="H36" i="5509"/>
  <c r="H40" i="5509"/>
  <c r="H44" i="5509"/>
  <c r="H48" i="5509"/>
  <c r="H8" i="5507"/>
  <c r="H14" i="5507"/>
  <c r="H41" i="5507"/>
  <c r="B23" i="5507"/>
  <c r="H29" i="5507"/>
  <c r="H45" i="5507"/>
  <c r="H21" i="5507"/>
  <c r="H23" i="5507"/>
  <c r="H26" i="5507"/>
  <c r="H28" i="5507"/>
  <c r="H30" i="5507"/>
  <c r="H34" i="5507"/>
  <c r="H38" i="5507"/>
  <c r="H42" i="5507"/>
  <c r="H46" i="5507"/>
  <c r="H50" i="5507"/>
  <c r="H7" i="5507"/>
  <c r="H17" i="5507"/>
  <c r="H19" i="5507"/>
  <c r="C19" i="5507"/>
  <c r="H24" i="5507"/>
  <c r="H31" i="5507"/>
  <c r="H35" i="5507"/>
  <c r="H39" i="5507"/>
  <c r="H43" i="5507"/>
  <c r="H47" i="5507"/>
  <c r="H51" i="5507"/>
  <c r="H6" i="5507"/>
  <c r="H9" i="5507"/>
  <c r="H13" i="5507"/>
  <c r="H16" i="5507"/>
  <c r="H20" i="5507"/>
  <c r="H22" i="5507"/>
  <c r="H25" i="5507"/>
  <c r="H11" i="5507"/>
  <c r="H12" i="5507"/>
  <c r="H32" i="5507"/>
  <c r="H36" i="5507"/>
  <c r="H40" i="5507"/>
  <c r="H44" i="5507"/>
  <c r="H48" i="5507"/>
  <c r="H33" i="5505"/>
  <c r="H39" i="5505"/>
  <c r="H44" i="5505"/>
  <c r="H49" i="5505"/>
  <c r="H26" i="5505"/>
  <c r="H17" i="5505"/>
  <c r="H41" i="5505"/>
  <c r="H47" i="5505"/>
  <c r="H4" i="5505"/>
  <c r="H7" i="5505"/>
  <c r="C19" i="5505"/>
  <c r="H28" i="5505"/>
  <c r="H36" i="5505"/>
  <c r="H9" i="5505"/>
  <c r="H20" i="5505"/>
  <c r="H22" i="5505"/>
  <c r="C17" i="5505"/>
  <c r="H16" i="5505"/>
  <c r="B23" i="5505"/>
  <c r="H32" i="5505"/>
  <c r="H37" i="5505"/>
  <c r="H43" i="5505"/>
  <c r="H48" i="5505"/>
  <c r="H52" i="5505"/>
  <c r="H23" i="5505"/>
  <c r="H24" i="5505"/>
  <c r="H27" i="5505"/>
  <c r="H29" i="5505"/>
  <c r="H31" i="5505"/>
  <c r="H34" i="5505"/>
  <c r="H38" i="5505"/>
  <c r="H42" i="5505"/>
  <c r="H46" i="550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2" i="2228" l="1"/>
  <c r="H51" i="2228"/>
  <c r="H5" i="2228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<sst xmlns="http://schemas.openxmlformats.org/spreadsheetml/2006/main" count="1058" uniqueCount="183">
  <si>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</si>
  <si>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</si>
  <si>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</si>
  <si>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</si>
  <si>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</si>
  <si>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</si>
  <si>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</si>
  <si>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</si>
  <si>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</si>
  <si>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</si>
  <si>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</si>
  <si>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</si>
  <si>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</si>
  <si>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</si>
  <si>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</si>
  <si>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</si>
  <si>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</si>
  <si>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</si>
  <si>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</si>
  <si>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</si>
  <si>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</si>
  <si>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</si>
  <si>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</si>
  <si>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</si>
  <si>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</si>
  <si>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</si>
  <si>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</si>
  <si>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</si>
  <si>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</si>
  <si>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</si>
  <si>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</si>
  <si>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</si>
  <si>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</si>
  <si>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</si>
  <si>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</si>
  <si>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</si>
  <si>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</si>
  <si>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</si>
  <si>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</si>
  <si>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</si>
  <si>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</si>
  <si>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</si>
  <si>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</si>
  <si>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</si>
  <si>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</si>
  <si>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</si>
  <si>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</si>
  <si>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</si>
  <si>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</si>
  <si>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</si>
  <si>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</si>
  <si>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</si>
  <si>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</si>
  <si>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</si>
  <si>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</si>
  <si>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</si>
  <si>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</si>
  <si>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</si>
  <si>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</si>
  <si>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</si>
  <si>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</si>
  <si>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</si>
  <si>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</si>
  <si>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</si>
  <si>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</si>
  <si>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</si>
  <si>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</si>
  <si>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</si>
  <si>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</si>
  <si>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</si>
  <si>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</si>
  <si>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</si>
  <si>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</si>
  <si>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</si>
  <si>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</si>
  <si>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</si>
  <si>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</si>
  <si>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</si>
  <si>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</si>
  <si>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</si>
  <si>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</si>
  <si>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</si>
  <si>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</si>
  <si>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</si>
  <si>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</si>
  <si>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</si>
  <si>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</si>
  <si>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</si>
  <si>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</si>
  <si>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</si>
  <si>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</si>
  <si>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</si>
  <si>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</si>
  <si>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</si>
  <si>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</si>
  <si>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</si>
  <si>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</si>
  <si>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</si>
  <si>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</si>
  <si>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</si>
  <si>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</si>
  <si>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</si>
  <si>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</si>
  <si>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</si>
  <si>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</si>
  <si>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</si>
  <si>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</si>
  <si>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</si>
  <si>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</si>
  <si>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</si>
  <si>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</si>
  <si>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</si>
  <si>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</si>
  <si>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</si>
  <si>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</si>
  <si>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</si>
  <si>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</si>
  <si>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</si>
  <si>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</si>
  <si>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</si>
  <si>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</si>
  <si>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</si>
  <si>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</si>
  <si>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</si>
  <si>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</si>
  <si>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</si>
  <si>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</si>
  <si>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</si>
  <si>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</si>
  <si>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</si>
  <si>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</si>
  <si>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</si>
  <si>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</si>
  <si>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</si>
  <si>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</si>
  <si>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</si>
  <si>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</si>
  <si>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</si>
  <si>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</si>
  <si>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</si>
  <si>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</si>
  <si>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</si>
  <si>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</si>
  <si>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</si>
  <si>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</si>
  <si>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</si>
  <si>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</si>
  <si>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</si>
  <si>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</si>
  <si>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</si>
  <si>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</si>
  <si>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</si>
  <si>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</si>
  <si>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</si>
  <si>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</si>
  <si>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</si>
  <si>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</si>
  <si>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</si>
  <si>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</si>
  <si>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</si>
  <si>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</si>
  <si>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</si>
  <si>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</si>
  <si>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</si>
  <si>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</si>
  <si>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</si>
  <si>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Sheet3</t>
  </si>
  <si>
    <t>Sheet4</t>
  </si>
  <si>
    <t>Sheet5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</si>
  <si>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</si>
  <si>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</si>
  <si>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</si>
  <si>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</si>
  <si>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</si>
  <si>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</si>
  <si>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</si>
  <si>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</si>
  <si>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2019-06-10.xlsm</t>
  </si>
  <si>
    <t>Tenari1</t>
  </si>
  <si>
    <t>Tenari2</t>
  </si>
  <si>
    <t>2019-06-11.xlsm</t>
  </si>
  <si>
    <t>2019-06-15.xlsm</t>
  </si>
  <si>
    <t>2019-07-27.xlsm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</si>
</sst>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5.xml"/><Relationship Id="rId26" Type="http://schemas.openxmlformats.org/officeDocument/2006/relationships/chartsheet" Target="chartsheets/sheet13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8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hartsheet" Target="chartsheets/sheet12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chartsheet" Target="chartsheets/sheet7.xml"/><Relationship Id="rId29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1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hartsheet" Target="chartsheets/sheet10.xml"/><Relationship Id="rId28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6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hartsheet" Target="chartsheets/sheet9.xml"/><Relationship Id="rId27" Type="http://schemas.openxmlformats.org/officeDocument/2006/relationships/chartsheet" Target="chartsheets/sheet14.xml"/><Relationship Id="rId30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全体!$L$2:$L$41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7</c:v>
                </c:pt>
                <c:pt idx="2">
                  <c:v>-50</c:v>
                </c:pt>
                <c:pt idx="3">
                  <c:v>0</c:v>
                </c:pt>
                <c:pt idx="4">
                  <c:v>39.299999999999997</c:v>
                </c:pt>
                <c:pt idx="5">
                  <c:v>-17.700000000000003</c:v>
                </c:pt>
                <c:pt idx="6">
                  <c:v>-3.5527136788005009E-15</c:v>
                </c:pt>
                <c:pt idx="7">
                  <c:v>-49.100000000000009</c:v>
                </c:pt>
                <c:pt idx="8">
                  <c:v>-65.000000000000014</c:v>
                </c:pt>
                <c:pt idx="9">
                  <c:v>-1.4210854715202004E-14</c:v>
                </c:pt>
                <c:pt idx="10">
                  <c:v>-4.0000000000000142</c:v>
                </c:pt>
                <c:pt idx="11">
                  <c:v>-60.000000000000014</c:v>
                </c:pt>
                <c:pt idx="12">
                  <c:v>-1.4210854715202004E-14</c:v>
                </c:pt>
                <c:pt idx="13">
                  <c:v>-43.600000000000016</c:v>
                </c:pt>
                <c:pt idx="14">
                  <c:v>-35.700000000000017</c:v>
                </c:pt>
                <c:pt idx="15">
                  <c:v>-1.4210854715202004E-14</c:v>
                </c:pt>
                <c:pt idx="16">
                  <c:v>57.299999999999983</c:v>
                </c:pt>
                <c:pt idx="17">
                  <c:v>42.999999999999986</c:v>
                </c:pt>
                <c:pt idx="18">
                  <c:v>-1.4210854715202004E-14</c:v>
                </c:pt>
                <c:pt idx="19">
                  <c:v>-6.300000000000014</c:v>
                </c:pt>
                <c:pt idx="20">
                  <c:v>56.199999999999989</c:v>
                </c:pt>
                <c:pt idx="21">
                  <c:v>-1.4210854715202004E-14</c:v>
                </c:pt>
                <c:pt idx="22">
                  <c:v>-56.400000000000013</c:v>
                </c:pt>
                <c:pt idx="23">
                  <c:v>6.3999999999999844</c:v>
                </c:pt>
                <c:pt idx="24">
                  <c:v>-1.5987211554602254E-14</c:v>
                </c:pt>
                <c:pt idx="25">
                  <c:v>-48.200000000000017</c:v>
                </c:pt>
                <c:pt idx="26">
                  <c:v>-45.600000000000016</c:v>
                </c:pt>
                <c:pt idx="27">
                  <c:v>-1.4210854715202004E-14</c:v>
                </c:pt>
                <c:pt idx="28">
                  <c:v>2.4999999999999858</c:v>
                </c:pt>
                <c:pt idx="29">
                  <c:v>-23.200000000000014</c:v>
                </c:pt>
                <c:pt idx="30">
                  <c:v>-1.4210854715202004E-14</c:v>
                </c:pt>
                <c:pt idx="31">
                  <c:v>1.5999999999999859</c:v>
                </c:pt>
                <c:pt idx="32">
                  <c:v>-35.20000000000001</c:v>
                </c:pt>
                <c:pt idx="33">
                  <c:v>-7.1054273576010019E-15</c:v>
                </c:pt>
                <c:pt idx="34">
                  <c:v>34.899999999999991</c:v>
                </c:pt>
                <c:pt idx="35">
                  <c:v>-9.0000000000000071</c:v>
                </c:pt>
                <c:pt idx="36">
                  <c:v>-7.1054273576010019E-15</c:v>
                </c:pt>
                <c:pt idx="37">
                  <c:v>50.099999999999994</c:v>
                </c:pt>
                <c:pt idx="38">
                  <c:v>1.7999999999999972</c:v>
                </c:pt>
                <c:pt idx="39">
                  <c:v>-2.886579864025407E-15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4-4A4A-ACAD-3EA760227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-76.92307692307692</c:v>
                </c:pt>
                <c:pt idx="1">
                  <c:v>83.333333333333329</c:v>
                </c:pt>
                <c:pt idx="2">
                  <c:v>-27.777777777777779</c:v>
                </c:pt>
                <c:pt idx="3">
                  <c:v>0</c:v>
                </c:pt>
                <c:pt idx="4">
                  <c:v>37.037037037037038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B-4A2A-8C2B-97EFA6040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Tenari2!$L$1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Tenari2!$K$2:$K$15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Tenari2!$L$2:$L$15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7</c:v>
                </c:pt>
                <c:pt idx="2">
                  <c:v>46.3</c:v>
                </c:pt>
                <c:pt idx="3">
                  <c:v>30.4</c:v>
                </c:pt>
                <c:pt idx="4">
                  <c:v>-25.6</c:v>
                </c:pt>
                <c:pt idx="5">
                  <c:v>10.100000000000001</c:v>
                </c:pt>
                <c:pt idx="6">
                  <c:v>67.400000000000006</c:v>
                </c:pt>
                <c:pt idx="7">
                  <c:v>129.9</c:v>
                </c:pt>
                <c:pt idx="8">
                  <c:v>73.5</c:v>
                </c:pt>
                <c:pt idx="9">
                  <c:v>119.1</c:v>
                </c:pt>
                <c:pt idx="10">
                  <c:v>121.6</c:v>
                </c:pt>
                <c:pt idx="11">
                  <c:v>84.8</c:v>
                </c:pt>
                <c:pt idx="12">
                  <c:v>119.69999999999999</c:v>
                </c:pt>
                <c:pt idx="13">
                  <c:v>169.79999999999998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03-462B-8B0E-B143C50D6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Tenari2!$O$1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Tenari2!$N$2:$N$7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Tenari2!$O$2:$O$7</c:f>
              <c:numCache>
                <c:formatCode>\+0;\-0;\±0</c:formatCode>
                <c:ptCount val="6"/>
                <c:pt idx="0">
                  <c:v>2869.2307692307691</c:v>
                </c:pt>
                <c:pt idx="1">
                  <c:v>1725</c:v>
                </c:pt>
                <c:pt idx="2">
                  <c:v>-525</c:v>
                </c:pt>
                <c:pt idx="3">
                  <c:v>2066.6666666666665</c:v>
                </c:pt>
                <c:pt idx="4">
                  <c:v>2033.3333333333333</c:v>
                </c:pt>
                <c:pt idx="5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AA-486D-8BCD-4C7444AD2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だいち!$L$2:$L$15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-57</c:v>
                </c:pt>
                <c:pt idx="2">
                  <c:v>-39.299999999999997</c:v>
                </c:pt>
                <c:pt idx="3">
                  <c:v>-88.4</c:v>
                </c:pt>
                <c:pt idx="4">
                  <c:v>-28.400000000000006</c:v>
                </c:pt>
                <c:pt idx="5">
                  <c:v>-20.500000000000007</c:v>
                </c:pt>
                <c:pt idx="6">
                  <c:v>-63.500000000000007</c:v>
                </c:pt>
                <c:pt idx="7">
                  <c:v>-119.70000000000002</c:v>
                </c:pt>
                <c:pt idx="8">
                  <c:v>-56.90000000000002</c:v>
                </c:pt>
                <c:pt idx="9">
                  <c:v>-54.300000000000018</c:v>
                </c:pt>
                <c:pt idx="10">
                  <c:v>-80.000000000000014</c:v>
                </c:pt>
                <c:pt idx="11">
                  <c:v>-78.40000000000002</c:v>
                </c:pt>
                <c:pt idx="12">
                  <c:v>-122.30000000000001</c:v>
                </c:pt>
                <c:pt idx="13">
                  <c:v>-170.60000000000002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5-4A79-9606-1BD890990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-3376.9230769230771</c:v>
                </c:pt>
                <c:pt idx="1">
                  <c:v>-400</c:v>
                </c:pt>
                <c:pt idx="2">
                  <c:v>2916.6666666666665</c:v>
                </c:pt>
                <c:pt idx="3">
                  <c:v>-2722.2222222222222</c:v>
                </c:pt>
                <c:pt idx="4">
                  <c:v>-1900</c:v>
                </c:pt>
                <c:pt idx="5">
                  <c:v>-1912.5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15-41A9-9F00-A2E5D591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Tenari1!$L$1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  <c:pt idx="11">
                  <c:v>-6.4000000000000057</c:v>
                </c:pt>
                <c:pt idx="12">
                  <c:v>2.5999999999999943</c:v>
                </c:pt>
                <c:pt idx="13">
                  <c:v>0.79999999999999427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7-4D29-8AA9-2241FA145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Tenari1!$O$1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Tenari1!$N$2:$N$7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Tenari1!$O$2:$O$7</c:f>
              <c:numCache>
                <c:formatCode>\+0;\-0;\±0</c:formatCode>
                <c:ptCount val="6"/>
                <c:pt idx="0">
                  <c:v>276.92307692307691</c:v>
                </c:pt>
                <c:pt idx="1">
                  <c:v>-1075</c:v>
                </c:pt>
                <c:pt idx="2">
                  <c:v>-2475</c:v>
                </c:pt>
                <c:pt idx="3">
                  <c:v>655.55555555555554</c:v>
                </c:pt>
                <c:pt idx="4">
                  <c:v>-22.222222222222221</c:v>
                </c:pt>
                <c:pt idx="5">
                  <c:v>1762.5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91-4411-B923-4357EA9C1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Tenari12!$B$1:$B$2</c:f>
              <c:strCache>
                <c:ptCount val="2"/>
                <c:pt idx="0">
                  <c:v>Tenari1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Tenari12!$B$3:$B$16</c:f>
              <c:numCache>
                <c:formatCode>\+0.0;\-0.0;\±0</c:formatCode>
                <c:ptCount val="14"/>
                <c:pt idx="0">
                  <c:v>0</c:v>
                </c:pt>
                <c:pt idx="1">
                  <c:v>50</c:v>
                </c:pt>
                <c:pt idx="2">
                  <c:v>-7</c:v>
                </c:pt>
                <c:pt idx="3">
                  <c:v>58</c:v>
                </c:pt>
                <c:pt idx="4">
                  <c:v>54</c:v>
                </c:pt>
                <c:pt idx="5">
                  <c:v>10.399999999999999</c:v>
                </c:pt>
                <c:pt idx="6">
                  <c:v>-3.9000000000000021</c:v>
                </c:pt>
                <c:pt idx="7">
                  <c:v>-10.200000000000003</c:v>
                </c:pt>
                <c:pt idx="8">
                  <c:v>-16.600000000000001</c:v>
                </c:pt>
                <c:pt idx="9">
                  <c:v>-64.800000000000011</c:v>
                </c:pt>
                <c:pt idx="10">
                  <c:v>-41.600000000000009</c:v>
                </c:pt>
                <c:pt idx="11">
                  <c:v>-6.4000000000000057</c:v>
                </c:pt>
                <c:pt idx="12">
                  <c:v>2.5999999999999943</c:v>
                </c:pt>
                <c:pt idx="13">
                  <c:v>0.79999999999999427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86579864025407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Tenari12!$C$1:$C$2</c:f>
              <c:strCache>
                <c:ptCount val="2"/>
                <c:pt idx="0">
                  <c:v>Tenari1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Tenari12!$C$3:$C$16</c:f>
              <c:numCache>
                <c:formatCode>\+0.0;\-0.0;\±0</c:formatCode>
                <c:ptCount val="14"/>
                <c:pt idx="1">
                  <c:v>50</c:v>
                </c:pt>
                <c:pt idx="2">
                  <c:v>-3.5</c:v>
                </c:pt>
                <c:pt idx="3">
                  <c:v>19.333333333333332</c:v>
                </c:pt>
                <c:pt idx="4">
                  <c:v>13.5</c:v>
                </c:pt>
                <c:pt idx="5">
                  <c:v>2.0799999999999996</c:v>
                </c:pt>
                <c:pt idx="6">
                  <c:v>-0.65000000000000036</c:v>
                </c:pt>
                <c:pt idx="7">
                  <c:v>-1.4571428571428575</c:v>
                </c:pt>
                <c:pt idx="8">
                  <c:v>-2.0750000000000002</c:v>
                </c:pt>
                <c:pt idx="9">
                  <c:v>-7.2000000000000011</c:v>
                </c:pt>
                <c:pt idx="10">
                  <c:v>-4.160000000000001</c:v>
                </c:pt>
                <c:pt idx="11">
                  <c:v>-0.58181818181818235</c:v>
                </c:pt>
                <c:pt idx="12">
                  <c:v>0.2166666666666662</c:v>
                </c:pt>
                <c:pt idx="13">
                  <c:v>6.1538461538461098E-2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40148683083437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Tenari12!$D$1:$D$2</c:f>
              <c:strCache>
                <c:ptCount val="2"/>
                <c:pt idx="0">
                  <c:v>Tenari1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Tenari12!$D$3:$D$16</c:f>
              <c:numCache>
                <c:formatCode>0.00\ "位"</c:formatCode>
                <c:ptCount val="14"/>
                <c:pt idx="1">
                  <c:v>1</c:v>
                </c:pt>
                <c:pt idx="2">
                  <c:v>2</c:v>
                </c:pt>
                <c:pt idx="3">
                  <c:v>1.6666666666666667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2.1111111111111112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1.9230769230769231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Tenari12!$E$1:$E$2</c:f>
              <c:strCache>
                <c:ptCount val="2"/>
                <c:pt idx="0">
                  <c:v>Tenari1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Tenari12!$E$3:$E$16</c:f>
              <c:numCache>
                <c:formatCode>0.0%</c:formatCode>
                <c:ptCount val="14"/>
                <c:pt idx="1">
                  <c:v>1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Tenari12!$F$1:$F$2</c:f>
              <c:strCache>
                <c:ptCount val="2"/>
                <c:pt idx="0">
                  <c:v>Tenari1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Tenari12!$F$3:$F$16</c:f>
              <c:numCache>
                <c:formatCode>0.0%</c:formatCode>
                <c:ptCount val="1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Tenari12!$G$1:$G$2</c:f>
              <c:strCache>
                <c:ptCount val="2"/>
                <c:pt idx="0">
                  <c:v>Tenari1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Tenari12!$G$3:$G$16</c:f>
              <c:numCache>
                <c:formatCode>0.0%</c:formatCode>
                <c:ptCount val="14"/>
                <c:pt idx="1">
                  <c:v>0.5</c:v>
                </c:pt>
                <c:pt idx="2">
                  <c:v>0.14285714285714285</c:v>
                </c:pt>
                <c:pt idx="3">
                  <c:v>0.41176470588235292</c:v>
                </c:pt>
                <c:pt idx="4">
                  <c:v>0.40909090909090912</c:v>
                </c:pt>
                <c:pt idx="5">
                  <c:v>0.34482758620689657</c:v>
                </c:pt>
                <c:pt idx="6">
                  <c:v>0.35897435897435898</c:v>
                </c:pt>
                <c:pt idx="7">
                  <c:v>0.35555555555555557</c:v>
                </c:pt>
                <c:pt idx="8">
                  <c:v>0.32075471698113206</c:v>
                </c:pt>
                <c:pt idx="9">
                  <c:v>0.29230769230769232</c:v>
                </c:pt>
                <c:pt idx="10">
                  <c:v>0.29577464788732394</c:v>
                </c:pt>
                <c:pt idx="11">
                  <c:v>0.29487179487179488</c:v>
                </c:pt>
                <c:pt idx="12">
                  <c:v>0.29545454545454547</c:v>
                </c:pt>
                <c:pt idx="13">
                  <c:v>0.29591836734693877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7210884353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Tenari12!$H$1:$H$2</c:f>
              <c:strCache>
                <c:ptCount val="2"/>
                <c:pt idx="0">
                  <c:v>Tenari1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Tenari12!$H$3:$H$16</c:f>
              <c:numCache>
                <c:formatCode>0.0%</c:formatCode>
                <c:ptCount val="14"/>
                <c:pt idx="1">
                  <c:v>0</c:v>
                </c:pt>
                <c:pt idx="2">
                  <c:v>0.2857142857142857</c:v>
                </c:pt>
                <c:pt idx="3">
                  <c:v>0.23529411764705882</c:v>
                </c:pt>
                <c:pt idx="4">
                  <c:v>0.18181818181818182</c:v>
                </c:pt>
                <c:pt idx="5">
                  <c:v>0.2413793103448276</c:v>
                </c:pt>
                <c:pt idx="6">
                  <c:v>0.25641025641025639</c:v>
                </c:pt>
                <c:pt idx="7">
                  <c:v>0.26666666666666666</c:v>
                </c:pt>
                <c:pt idx="8">
                  <c:v>0.24528301886792453</c:v>
                </c:pt>
                <c:pt idx="9">
                  <c:v>0.24615384615384617</c:v>
                </c:pt>
                <c:pt idx="10">
                  <c:v>0.22535211267605634</c:v>
                </c:pt>
                <c:pt idx="11">
                  <c:v>0.20512820512820512</c:v>
                </c:pt>
                <c:pt idx="12">
                  <c:v>0.22727272727272727</c:v>
                </c:pt>
                <c:pt idx="13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4285714285714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Tenari12!$I$1:$I$2</c:f>
              <c:strCache>
                <c:ptCount val="2"/>
                <c:pt idx="0">
                  <c:v>Tenari1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Tenari12!$I$3:$I$16</c:f>
              <c:numCache>
                <c:formatCode>0</c:formatCode>
                <c:ptCount val="14"/>
                <c:pt idx="1">
                  <c:v>32000</c:v>
                </c:pt>
                <c:pt idx="2">
                  <c:v>32000</c:v>
                </c:pt>
                <c:pt idx="3">
                  <c:v>12157.142857142857</c:v>
                </c:pt>
                <c:pt idx="4">
                  <c:v>10611.111111111111</c:v>
                </c:pt>
                <c:pt idx="5">
                  <c:v>10080</c:v>
                </c:pt>
                <c:pt idx="6">
                  <c:v>8478.5714285714294</c:v>
                </c:pt>
                <c:pt idx="7">
                  <c:v>8493.75</c:v>
                </c:pt>
                <c:pt idx="8">
                  <c:v>8464.7058823529405</c:v>
                </c:pt>
                <c:pt idx="9">
                  <c:v>8463.1578947368416</c:v>
                </c:pt>
                <c:pt idx="10">
                  <c:v>8190.4761904761908</c:v>
                </c:pt>
                <c:pt idx="11">
                  <c:v>8226.0869565217399</c:v>
                </c:pt>
                <c:pt idx="12">
                  <c:v>8342.3076923076915</c:v>
                </c:pt>
                <c:pt idx="13">
                  <c:v>7768.9655172413795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751.68539325842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Tenari12!$J$1:$J$2</c:f>
              <c:strCache>
                <c:ptCount val="2"/>
                <c:pt idx="0">
                  <c:v>Tenari1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Tenari12!$J$3:$J$16</c:f>
              <c:numCache>
                <c:formatCode>0</c:formatCode>
                <c:ptCount val="14"/>
                <c:pt idx="1">
                  <c:v>0</c:v>
                </c:pt>
                <c:pt idx="2">
                  <c:v>-8000</c:v>
                </c:pt>
                <c:pt idx="3">
                  <c:v>-6900</c:v>
                </c:pt>
                <c:pt idx="4">
                  <c:v>-6900</c:v>
                </c:pt>
                <c:pt idx="5">
                  <c:v>-8071.4285714285716</c:v>
                </c:pt>
                <c:pt idx="6">
                  <c:v>-8440</c:v>
                </c:pt>
                <c:pt idx="7">
                  <c:v>-9200</c:v>
                </c:pt>
                <c:pt idx="8">
                  <c:v>-8792.3076923076915</c:v>
                </c:pt>
                <c:pt idx="9">
                  <c:v>-8618.75</c:v>
                </c:pt>
                <c:pt idx="10">
                  <c:v>-8618.75</c:v>
                </c:pt>
                <c:pt idx="11">
                  <c:v>-8618.75</c:v>
                </c:pt>
                <c:pt idx="12">
                  <c:v>-7730</c:v>
                </c:pt>
                <c:pt idx="13">
                  <c:v>-7468.181818181818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092.0634920634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Tenari12!$K$1:$K$2</c:f>
              <c:strCache>
                <c:ptCount val="2"/>
                <c:pt idx="0">
                  <c:v>Tenari1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Tenari12!$K$3:$K$16</c:f>
              <c:numCache>
                <c:formatCode>0.0%</c:formatCode>
                <c:ptCount val="1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820512820512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Tenari12!$L$1:$L$2</c:f>
              <c:strCache>
                <c:ptCount val="2"/>
                <c:pt idx="0">
                  <c:v>Tenari1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Tenari12!$L$3:$L$16</c:f>
              <c:numCache>
                <c:formatCode>0.0%</c:formatCode>
                <c:ptCount val="14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820512820512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Tenari12!$M$1:$M$2</c:f>
              <c:strCache>
                <c:ptCount val="2"/>
                <c:pt idx="0">
                  <c:v>Tenari1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Tenari12!$M$3:$M$16</c:f>
              <c:numCache>
                <c:formatCode>0.0%</c:formatCode>
                <c:ptCount val="14"/>
                <c:pt idx="1">
                  <c:v>1</c:v>
                </c:pt>
                <c:pt idx="2">
                  <c:v>0.42857142857142855</c:v>
                </c:pt>
                <c:pt idx="3">
                  <c:v>0.52941176470588236</c:v>
                </c:pt>
                <c:pt idx="4">
                  <c:v>0.54545454545454541</c:v>
                </c:pt>
                <c:pt idx="5">
                  <c:v>0.55172413793103448</c:v>
                </c:pt>
                <c:pt idx="6">
                  <c:v>0.61538461538461542</c:v>
                </c:pt>
                <c:pt idx="7">
                  <c:v>0.62222222222222223</c:v>
                </c:pt>
                <c:pt idx="8">
                  <c:v>0.60377358490566035</c:v>
                </c:pt>
                <c:pt idx="9">
                  <c:v>0.6</c:v>
                </c:pt>
                <c:pt idx="10">
                  <c:v>0.59154929577464788</c:v>
                </c:pt>
                <c:pt idx="11">
                  <c:v>0.60256410256410253</c:v>
                </c:pt>
                <c:pt idx="12">
                  <c:v>0.61363636363636365</c:v>
                </c:pt>
                <c:pt idx="13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9795918367346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Tenari12!$N$1:$N$2</c:f>
              <c:strCache>
                <c:ptCount val="2"/>
                <c:pt idx="0">
                  <c:v>Tenari1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Tenari12!$N$3:$N$16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4.0816326530612242E-2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5.442176870748299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Tenari12!$O$1:$O$2</c:f>
              <c:strCache>
                <c:ptCount val="2"/>
                <c:pt idx="0">
                  <c:v>Tenari1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Tenari12!$O$3:$O$16</c:f>
              <c:numCache>
                <c:formatCode>0.0%</c:formatCode>
                <c:ptCount val="14"/>
                <c:pt idx="1">
                  <c:v>0.5</c:v>
                </c:pt>
                <c:pt idx="2">
                  <c:v>0.33333333333333331</c:v>
                </c:pt>
                <c:pt idx="3">
                  <c:v>0.77777777777777779</c:v>
                </c:pt>
                <c:pt idx="4">
                  <c:v>0.75</c:v>
                </c:pt>
                <c:pt idx="5">
                  <c:v>0.625</c:v>
                </c:pt>
                <c:pt idx="6">
                  <c:v>0.58333333333333337</c:v>
                </c:pt>
                <c:pt idx="7">
                  <c:v>0.5714285714285714</c:v>
                </c:pt>
                <c:pt idx="8">
                  <c:v>0.53125</c:v>
                </c:pt>
                <c:pt idx="9">
                  <c:v>0.48717948717948717</c:v>
                </c:pt>
                <c:pt idx="10">
                  <c:v>0.5</c:v>
                </c:pt>
                <c:pt idx="11">
                  <c:v>0.48936170212765956</c:v>
                </c:pt>
                <c:pt idx="12">
                  <c:v>0.48148148148148145</c:v>
                </c:pt>
                <c:pt idx="13">
                  <c:v>0.48214285714285715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2083333333333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Tenari12!$P$1:$P$2</c:f>
              <c:strCache>
                <c:ptCount val="2"/>
                <c:pt idx="0">
                  <c:v>Tenari1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Tenari12!$P$3:$P$16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Tenari12!$Q$1:$Q$2</c:f>
              <c:strCache>
                <c:ptCount val="2"/>
                <c:pt idx="0">
                  <c:v>Tenari1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Tenari12!$A$3:$A$16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Tenari12!$Q$3:$Q$16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0.4</c:v>
                </c:pt>
                <c:pt idx="6">
                  <c:v>0.42857142857142855</c:v>
                </c:pt>
                <c:pt idx="7">
                  <c:v>0.4375</c:v>
                </c:pt>
                <c:pt idx="8">
                  <c:v>0.41176470588235292</c:v>
                </c:pt>
                <c:pt idx="9">
                  <c:v>0.47368421052631576</c:v>
                </c:pt>
                <c:pt idx="10">
                  <c:v>0.42857142857142855</c:v>
                </c:pt>
                <c:pt idx="11">
                  <c:v>0.39130434782608697</c:v>
                </c:pt>
                <c:pt idx="12">
                  <c:v>0.34615384615384615</c:v>
                </c:pt>
                <c:pt idx="13">
                  <c:v>0.34482758620689657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2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165</v>
      </c>
      <c r="F1" s="12" t="s">
        <v>116</v>
      </c>
      <c r="G1" s="26" t="s">
        <v>117</v>
      </c>
      <c r="H1" s="130" t="s">
        <v>118</v>
      </c>
      <c r="I1" s="100" t="s">
        <v>152</v>
      </c>
      <c r="K1" s="2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157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130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131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132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133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134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135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162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138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163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164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153</v>
      </c>
      <c r="O14" s="34" t="s">
        <v>154</v>
      </c>
      <c r="P14" s="117" t="s">
        <v>155</v>
      </c>
      <c r="Q14" s="105" t="s">
        <v>156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140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150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141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169</v>
      </c>
      <c r="F50" s="60" t="s">
        <v>170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173</v>
      </c>
      <c r="F51" s="137" t="s">
        <v>174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G5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7" x14ac:dyDescent="0.4">
      <c r="A1" s="29">
        <v>32874</v>
      </c>
      <c r="B1" s="29">
        <v>2958465</v>
      </c>
    </row>
    <row r="2" spans="1:7" x14ac:dyDescent="0.4">
      <c r="A2" s="30" t="s">
        <v>177</v>
      </c>
      <c r="B2" s="31">
        <v>43627.737962962965</v>
      </c>
      <c r="C2" s="30" t="s">
        <v>128</v>
      </c>
      <c r="D2" s="30" t="s">
        <v>129</v>
      </c>
      <c r="E2" s="30" t="s">
        <v>166</v>
      </c>
      <c r="F2" s="30" t="s">
        <v>167</v>
      </c>
      <c r="G2" s="30" t="s">
        <v>168</v>
      </c>
    </row>
    <row r="3" spans="1:7" x14ac:dyDescent="0.4">
      <c r="A3" s="30" t="s">
        <v>180</v>
      </c>
      <c r="B3" s="31">
        <v>43635.038402777776</v>
      </c>
      <c r="C3" s="30" t="s">
        <v>128</v>
      </c>
      <c r="D3" s="30" t="s">
        <v>129</v>
      </c>
      <c r="E3" s="30" t="s">
        <v>166</v>
      </c>
      <c r="F3" s="30" t="s">
        <v>167</v>
      </c>
      <c r="G3" s="30" t="s">
        <v>168</v>
      </c>
    </row>
    <row r="4" spans="1:7" x14ac:dyDescent="0.4">
      <c r="A4" s="30" t="s">
        <v>181</v>
      </c>
      <c r="B4" s="31">
        <v>43644.048113425924</v>
      </c>
      <c r="C4" s="30" t="s">
        <v>128</v>
      </c>
      <c r="D4" s="30" t="s">
        <v>129</v>
      </c>
    </row>
    <row r="5" spans="1:7" x14ac:dyDescent="0.4">
      <c r="A5" s="30" t="s">
        <v>182</v>
      </c>
      <c r="B5" s="31">
        <v>43673.061724537038</v>
      </c>
      <c r="C5" s="30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39</v>
      </c>
    </row>
    <row r="2" spans="1:2" x14ac:dyDescent="0.4">
      <c r="A2" t="s">
        <v>179</v>
      </c>
      <c r="B2">
        <v>13</v>
      </c>
    </row>
    <row r="3" spans="1:2" x14ac:dyDescent="0.4">
      <c r="A3" t="s">
        <v>127</v>
      </c>
      <c r="B3">
        <v>13</v>
      </c>
    </row>
    <row r="4" spans="1:2" x14ac:dyDescent="0.4">
      <c r="A4" t="s">
        <v>178</v>
      </c>
      <c r="B4">
        <v>13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160</v>
      </c>
      <c r="K1" s="159"/>
      <c r="L1" s="158" t="s">
        <v>147</v>
      </c>
      <c r="M1" s="159"/>
      <c r="N1" s="158" t="s">
        <v>148</v>
      </c>
      <c r="O1" s="159"/>
      <c r="P1" s="158" t="s">
        <v>5</v>
      </c>
      <c r="Q1" s="159"/>
      <c r="R1" s="158" t="s">
        <v>17</v>
      </c>
      <c r="S1" s="159"/>
      <c r="T1" s="158" t="s">
        <v>18</v>
      </c>
      <c r="U1" s="159"/>
      <c r="V1" s="158" t="s">
        <v>139</v>
      </c>
      <c r="W1" s="159"/>
      <c r="X1" s="158" t="s">
        <v>123</v>
      </c>
      <c r="Y1" s="159"/>
      <c r="Z1" s="158" t="s">
        <v>120</v>
      </c>
      <c r="AA1" s="159"/>
      <c r="AB1" s="158" t="s">
        <v>126</v>
      </c>
      <c r="AC1" s="159"/>
      <c r="AD1" s="158" t="s">
        <v>149</v>
      </c>
      <c r="AE1" s="159"/>
      <c r="AF1" s="158" t="s">
        <v>142</v>
      </c>
      <c r="AG1" s="159"/>
      <c r="AH1" s="158" t="s">
        <v>151</v>
      </c>
      <c r="AI1" s="159"/>
    </row>
    <row r="2" spans="1:35" x14ac:dyDescent="0.4">
      <c r="A2" s="72" t="s">
        <v>159</v>
      </c>
      <c r="B2" s="160"/>
      <c r="C2" s="161"/>
      <c r="D2" s="160"/>
      <c r="E2" s="161"/>
      <c r="F2" s="162">
        <v>0.98274163984714313</v>
      </c>
      <c r="G2" s="163"/>
      <c r="H2" s="162">
        <v>0.99292410878804893</v>
      </c>
      <c r="I2" s="163"/>
      <c r="J2" s="162">
        <v>0.86805352434443561</v>
      </c>
      <c r="K2" s="163"/>
      <c r="L2" s="162">
        <v>0.98120310107634523</v>
      </c>
      <c r="M2" s="163"/>
      <c r="N2" s="162">
        <v>0.86398293337447352</v>
      </c>
      <c r="O2" s="163"/>
      <c r="P2" s="162">
        <v>0.99632050336547462</v>
      </c>
      <c r="Q2" s="163"/>
      <c r="R2" s="162">
        <v>0.94454732015536735</v>
      </c>
      <c r="S2" s="163"/>
      <c r="T2" s="162">
        <v>4.0705909699622076E-3</v>
      </c>
      <c r="U2" s="163"/>
      <c r="V2" s="162">
        <v>-4.0705909699622076E-3</v>
      </c>
      <c r="W2" s="163"/>
      <c r="X2" s="162">
        <v>0.71359989439560478</v>
      </c>
      <c r="Y2" s="163"/>
      <c r="Z2" s="162">
        <v>-0.65772532451609178</v>
      </c>
      <c r="AA2" s="163"/>
      <c r="AB2" s="162">
        <v>0.84520305555592745</v>
      </c>
      <c r="AC2" s="163"/>
      <c r="AD2" s="162">
        <v>-0.70074500013516039</v>
      </c>
      <c r="AE2" s="163"/>
      <c r="AF2" s="162">
        <v>-0.82198139563206774</v>
      </c>
      <c r="AG2" s="163"/>
      <c r="AH2" s="162">
        <v>-0.10584006510122529</v>
      </c>
      <c r="AI2" s="163"/>
    </row>
    <row r="3" spans="1:35" x14ac:dyDescent="0.4">
      <c r="A3" s="74">
        <v>1</v>
      </c>
      <c r="B3" s="75" t="s">
        <v>179</v>
      </c>
      <c r="C3" s="76">
        <v>169.79999999999998</v>
      </c>
      <c r="D3" s="77" t="s">
        <v>179</v>
      </c>
      <c r="E3" s="96">
        <v>13.06153846153846</v>
      </c>
      <c r="F3" s="77" t="s">
        <v>179</v>
      </c>
      <c r="G3" s="78">
        <v>1.6923076923076923</v>
      </c>
      <c r="H3" s="77" t="s">
        <v>179</v>
      </c>
      <c r="I3" s="79">
        <v>0.53846153846153844</v>
      </c>
      <c r="J3" s="77" t="s">
        <v>179</v>
      </c>
      <c r="K3" s="79">
        <v>0.23076923076923078</v>
      </c>
      <c r="L3" s="77" t="s">
        <v>179</v>
      </c>
      <c r="M3" s="80">
        <v>0.33673469387755101</v>
      </c>
      <c r="N3" s="77" t="s">
        <v>179</v>
      </c>
      <c r="O3" s="80">
        <v>0.19387755102040816</v>
      </c>
      <c r="P3" s="77" t="s">
        <v>179</v>
      </c>
      <c r="Q3" s="81">
        <v>8154.545454545455</v>
      </c>
      <c r="R3" s="77" t="s">
        <v>179</v>
      </c>
      <c r="S3" s="81">
        <v>-5700</v>
      </c>
      <c r="T3" s="77" t="s">
        <v>178</v>
      </c>
      <c r="U3" s="79">
        <v>7.6923076923076927E-2</v>
      </c>
      <c r="V3" s="77" t="s">
        <v>179</v>
      </c>
      <c r="W3" s="79">
        <v>0.15384615384615385</v>
      </c>
      <c r="X3" s="77" t="s">
        <v>178</v>
      </c>
      <c r="Y3" s="80">
        <v>0.5714285714285714</v>
      </c>
      <c r="Z3" s="77" t="s">
        <v>127</v>
      </c>
      <c r="AA3" s="80">
        <v>7.1428571428571425E-2</v>
      </c>
      <c r="AB3" s="77" t="s">
        <v>179</v>
      </c>
      <c r="AC3" s="80">
        <v>0.58823529411764708</v>
      </c>
      <c r="AD3" s="77" t="s">
        <v>127</v>
      </c>
      <c r="AE3" s="80">
        <v>0.8571428571428571</v>
      </c>
      <c r="AF3" s="77" t="s">
        <v>178</v>
      </c>
      <c r="AG3" s="80">
        <v>0.34482758620689657</v>
      </c>
      <c r="AH3" s="77" t="s">
        <v>178</v>
      </c>
      <c r="AI3" s="91">
        <v>80000</v>
      </c>
    </row>
    <row r="4" spans="1:35" x14ac:dyDescent="0.4">
      <c r="A4" s="82">
        <v>2</v>
      </c>
      <c r="B4" s="83" t="s">
        <v>178</v>
      </c>
      <c r="C4" s="84">
        <v>0.79999999999999427</v>
      </c>
      <c r="D4" s="85" t="s">
        <v>178</v>
      </c>
      <c r="E4" s="97">
        <v>6.1538461538461098E-2</v>
      </c>
      <c r="F4" s="85" t="s">
        <v>178</v>
      </c>
      <c r="G4" s="86">
        <v>1.9230769230769231</v>
      </c>
      <c r="H4" s="85" t="s">
        <v>143</v>
      </c>
      <c r="I4" s="87">
        <v>0.33333333333333331</v>
      </c>
      <c r="J4" s="85" t="s">
        <v>178</v>
      </c>
      <c r="K4" s="87">
        <v>0.23076923076923078</v>
      </c>
      <c r="L4" s="85" t="s">
        <v>143</v>
      </c>
      <c r="M4" s="88">
        <v>0.30272108843537415</v>
      </c>
      <c r="N4" s="85" t="s">
        <v>143</v>
      </c>
      <c r="O4" s="88">
        <v>0.21428571428571427</v>
      </c>
      <c r="P4" s="85" t="s">
        <v>178</v>
      </c>
      <c r="Q4" s="89">
        <v>7768.9655172413795</v>
      </c>
      <c r="R4" s="85" t="s">
        <v>143</v>
      </c>
      <c r="S4" s="89">
        <v>-7092.063492063492</v>
      </c>
      <c r="T4" s="85" t="s">
        <v>143</v>
      </c>
      <c r="U4" s="87">
        <v>0.12820512820512819</v>
      </c>
      <c r="V4" s="85" t="s">
        <v>127</v>
      </c>
      <c r="W4" s="87">
        <v>0.15384615384615385</v>
      </c>
      <c r="X4" s="85" t="s">
        <v>179</v>
      </c>
      <c r="Y4" s="88">
        <v>0.52040816326530615</v>
      </c>
      <c r="Z4" s="85" t="s">
        <v>143</v>
      </c>
      <c r="AA4" s="88">
        <v>5.4421768707482991E-2</v>
      </c>
      <c r="AB4" s="85" t="s">
        <v>143</v>
      </c>
      <c r="AC4" s="88">
        <v>0.52083333333333337</v>
      </c>
      <c r="AD4" s="85" t="s">
        <v>143</v>
      </c>
      <c r="AE4" s="88">
        <v>0.6875</v>
      </c>
      <c r="AF4" s="85" t="s">
        <v>127</v>
      </c>
      <c r="AG4" s="88">
        <v>0.33333333333333331</v>
      </c>
      <c r="AH4" s="85" t="s">
        <v>143</v>
      </c>
      <c r="AI4" s="92">
        <v>80000</v>
      </c>
    </row>
    <row r="5" spans="1:35" x14ac:dyDescent="0.4">
      <c r="A5" s="82">
        <v>3</v>
      </c>
      <c r="B5" s="83" t="s">
        <v>143</v>
      </c>
      <c r="C5" s="84">
        <v>-2.886579864025407E-15</v>
      </c>
      <c r="D5" s="85" t="s">
        <v>143</v>
      </c>
      <c r="E5" s="97">
        <v>-7.4014868308343765E-17</v>
      </c>
      <c r="F5" s="85" t="s">
        <v>143</v>
      </c>
      <c r="G5" s="86">
        <v>2</v>
      </c>
      <c r="H5" s="85" t="s">
        <v>178</v>
      </c>
      <c r="I5" s="87">
        <v>0.30769230769230771</v>
      </c>
      <c r="J5" s="85" t="s">
        <v>143</v>
      </c>
      <c r="K5" s="87">
        <v>0.33333333333333331</v>
      </c>
      <c r="L5" s="85" t="s">
        <v>178</v>
      </c>
      <c r="M5" s="88">
        <v>0.29591836734693877</v>
      </c>
      <c r="N5" s="85" t="s">
        <v>127</v>
      </c>
      <c r="O5" s="88">
        <v>0.22448979591836735</v>
      </c>
      <c r="P5" s="85" t="s">
        <v>143</v>
      </c>
      <c r="Q5" s="89">
        <v>7751.6853932584272</v>
      </c>
      <c r="R5" s="85" t="s">
        <v>178</v>
      </c>
      <c r="S5" s="89">
        <v>-7468.181818181818</v>
      </c>
      <c r="T5" s="85" t="s">
        <v>179</v>
      </c>
      <c r="U5" s="87">
        <v>0.15384615384615385</v>
      </c>
      <c r="V5" s="85" t="s">
        <v>143</v>
      </c>
      <c r="W5" s="87">
        <v>0.12820512820512819</v>
      </c>
      <c r="X5" s="85" t="s">
        <v>143</v>
      </c>
      <c r="Y5" s="88">
        <v>0.48979591836734693</v>
      </c>
      <c r="Z5" s="85" t="s">
        <v>179</v>
      </c>
      <c r="AA5" s="88">
        <v>5.1020408163265307E-2</v>
      </c>
      <c r="AB5" s="85" t="s">
        <v>127</v>
      </c>
      <c r="AC5" s="88">
        <v>0.48648648648648651</v>
      </c>
      <c r="AD5" s="85" t="s">
        <v>179</v>
      </c>
      <c r="AE5" s="88">
        <v>0.6</v>
      </c>
      <c r="AF5" s="85" t="s">
        <v>143</v>
      </c>
      <c r="AG5" s="88">
        <v>0.29213483146067415</v>
      </c>
      <c r="AH5" s="85" t="s">
        <v>127</v>
      </c>
      <c r="AI5" s="92">
        <v>77800</v>
      </c>
    </row>
    <row r="6" spans="1:35" x14ac:dyDescent="0.4">
      <c r="A6" s="82">
        <v>4</v>
      </c>
      <c r="B6" s="83" t="s">
        <v>127</v>
      </c>
      <c r="C6" s="84">
        <v>-170.60000000000002</v>
      </c>
      <c r="D6" s="85" t="s">
        <v>127</v>
      </c>
      <c r="E6" s="97">
        <v>-13.123076923076924</v>
      </c>
      <c r="F6" s="85" t="s">
        <v>127</v>
      </c>
      <c r="G6" s="86">
        <v>2.3846153846153846</v>
      </c>
      <c r="H6" s="85" t="s">
        <v>127</v>
      </c>
      <c r="I6" s="87">
        <v>0.15384615384615385</v>
      </c>
      <c r="J6" s="85" t="s">
        <v>127</v>
      </c>
      <c r="K6" s="87">
        <v>0.53846153846153844</v>
      </c>
      <c r="L6" s="85" t="s">
        <v>127</v>
      </c>
      <c r="M6" s="88">
        <v>0.27551020408163263</v>
      </c>
      <c r="N6" s="85" t="s">
        <v>178</v>
      </c>
      <c r="O6" s="88">
        <v>0.22448979591836735</v>
      </c>
      <c r="P6" s="85" t="s">
        <v>127</v>
      </c>
      <c r="Q6" s="89">
        <v>7240.7407407407409</v>
      </c>
      <c r="R6" s="85" t="s">
        <v>127</v>
      </c>
      <c r="S6" s="89">
        <v>-7918.181818181818</v>
      </c>
      <c r="T6" s="85" t="s">
        <v>127</v>
      </c>
      <c r="U6" s="87">
        <v>0.15384615384615385</v>
      </c>
      <c r="V6" s="85" t="s">
        <v>178</v>
      </c>
      <c r="W6" s="87">
        <v>7.6923076923076927E-2</v>
      </c>
      <c r="X6" s="85" t="s">
        <v>127</v>
      </c>
      <c r="Y6" s="88">
        <v>0.37755102040816324</v>
      </c>
      <c r="Z6" s="85" t="s">
        <v>178</v>
      </c>
      <c r="AA6" s="88">
        <v>4.0816326530612242E-2</v>
      </c>
      <c r="AB6" s="85" t="s">
        <v>178</v>
      </c>
      <c r="AC6" s="88">
        <v>0.48214285714285715</v>
      </c>
      <c r="AD6" s="85" t="s">
        <v>178</v>
      </c>
      <c r="AE6" s="88">
        <v>0.5</v>
      </c>
      <c r="AF6" s="85" t="s">
        <v>179</v>
      </c>
      <c r="AG6" s="88">
        <v>0.21212121212121213</v>
      </c>
      <c r="AH6" s="85" t="s">
        <v>179</v>
      </c>
      <c r="AI6" s="92">
        <v>77500</v>
      </c>
    </row>
  </sheetData>
  <sortState xmlns:xlrd2="http://schemas.microsoft.com/office/spreadsheetml/2017/richdata2" ref="AH3:AI24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DD81-FF62-466C-A1AD-4AA606626455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143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39</v>
      </c>
      <c r="C2" s="151"/>
      <c r="E2" s="62" t="s">
        <v>65</v>
      </c>
      <c r="F2" s="59" t="s">
        <v>21</v>
      </c>
      <c r="G2" s="46">
        <v>74</v>
      </c>
      <c r="H2" s="132">
        <f>IF(B$17=0,0,G2/B$17)</f>
        <v>0.8314606741573034</v>
      </c>
      <c r="I2" s="93">
        <v>3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-76.92307692307692</v>
      </c>
      <c r="P2" s="118">
        <v>39</v>
      </c>
      <c r="Q2" s="102">
        <v>-3000</v>
      </c>
    </row>
    <row r="3" spans="1:17" x14ac:dyDescent="0.4">
      <c r="A3" s="55" t="s">
        <v>8</v>
      </c>
      <c r="B3" s="152">
        <v>294</v>
      </c>
      <c r="C3" s="153"/>
      <c r="E3" s="63" t="s">
        <v>67</v>
      </c>
      <c r="F3" s="60" t="s">
        <v>23</v>
      </c>
      <c r="G3" s="47">
        <v>49</v>
      </c>
      <c r="H3" s="133">
        <f>IF(B$17=0,0,G3/B$17)</f>
        <v>0.550561797752809</v>
      </c>
      <c r="I3" s="94">
        <v>3</v>
      </c>
      <c r="K3" s="38">
        <v>1</v>
      </c>
      <c r="L3" s="99">
        <v>7</v>
      </c>
      <c r="N3" s="115" t="s">
        <v>131</v>
      </c>
      <c r="O3" s="122">
        <f t="shared" si="0"/>
        <v>83.333333333333329</v>
      </c>
      <c r="P3" s="119">
        <v>36</v>
      </c>
      <c r="Q3" s="103">
        <v>3000</v>
      </c>
    </row>
    <row r="4" spans="1:17" x14ac:dyDescent="0.4">
      <c r="A4" s="55" t="s">
        <v>6</v>
      </c>
      <c r="B4" s="154">
        <v>-2.886579864025407E-15</v>
      </c>
      <c r="C4" s="155"/>
      <c r="E4" s="63" t="s">
        <v>173</v>
      </c>
      <c r="F4" s="60" t="s">
        <v>174</v>
      </c>
      <c r="G4" s="47">
        <v>40</v>
      </c>
      <c r="H4" s="133">
        <f>IF(B$17=0,0,G4/B$17)</f>
        <v>0.449438202247191</v>
      </c>
      <c r="I4" s="94">
        <v>3</v>
      </c>
      <c r="K4" s="38">
        <v>2</v>
      </c>
      <c r="L4" s="99">
        <v>-50</v>
      </c>
      <c r="N4" s="115" t="s">
        <v>132</v>
      </c>
      <c r="O4" s="122">
        <f t="shared" si="0"/>
        <v>-27.777777777777779</v>
      </c>
      <c r="P4" s="119">
        <v>36</v>
      </c>
      <c r="Q4" s="103">
        <v>-1000</v>
      </c>
    </row>
    <row r="5" spans="1:17" x14ac:dyDescent="0.4">
      <c r="A5" s="55" t="s">
        <v>7</v>
      </c>
      <c r="B5" s="156">
        <f>IF(B$2=0,0,B$4/B$2)</f>
        <v>-7.4014868308343765E-17</v>
      </c>
      <c r="C5" s="157"/>
      <c r="E5" s="63" t="s">
        <v>68</v>
      </c>
      <c r="F5" s="60" t="s">
        <v>24</v>
      </c>
      <c r="G5" s="47">
        <v>31</v>
      </c>
      <c r="H5" s="133">
        <f>IF(B$17=0,0,G5/B$17)</f>
        <v>0.34831460674157305</v>
      </c>
      <c r="I5" s="94">
        <v>3</v>
      </c>
      <c r="K5" s="38">
        <v>3</v>
      </c>
      <c r="L5" s="99">
        <v>0</v>
      </c>
      <c r="N5" s="115" t="s">
        <v>133</v>
      </c>
      <c r="O5" s="122">
        <f t="shared" si="0"/>
        <v>0</v>
      </c>
      <c r="P5" s="119">
        <v>27</v>
      </c>
      <c r="Q5" s="103">
        <v>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66</v>
      </c>
      <c r="F6" s="60" t="s">
        <v>22</v>
      </c>
      <c r="G6" s="47">
        <v>25</v>
      </c>
      <c r="H6" s="133">
        <f>IF(B$17=0,0,G6/B$17)</f>
        <v>0.2808988764044944</v>
      </c>
      <c r="I6" s="94">
        <v>2</v>
      </c>
      <c r="K6" s="38">
        <v>4</v>
      </c>
      <c r="L6" s="99">
        <v>39.299999999999997</v>
      </c>
      <c r="N6" s="115" t="s">
        <v>134</v>
      </c>
      <c r="O6" s="122">
        <f t="shared" si="0"/>
        <v>37.037037037037038</v>
      </c>
      <c r="P6" s="119">
        <v>27</v>
      </c>
      <c r="Q6" s="103">
        <v>1000</v>
      </c>
    </row>
    <row r="7" spans="1:17" x14ac:dyDescent="0.4">
      <c r="A7" s="55" t="s">
        <v>2</v>
      </c>
      <c r="B7" s="47">
        <v>13</v>
      </c>
      <c r="C7" s="39">
        <f>IF(B$2=0,0,B7/B$2)</f>
        <v>0.33333333333333331</v>
      </c>
      <c r="E7" s="63" t="s">
        <v>73</v>
      </c>
      <c r="F7" s="60" t="s">
        <v>28</v>
      </c>
      <c r="G7" s="47">
        <v>24</v>
      </c>
      <c r="H7" s="133">
        <f>IF(B$17=0,0,G7/B$17)</f>
        <v>0.2696629213483146</v>
      </c>
      <c r="I7" s="94">
        <v>2</v>
      </c>
      <c r="K7" s="38">
        <v>5</v>
      </c>
      <c r="L7" s="99">
        <v>-17.700000000000003</v>
      </c>
      <c r="N7" s="116" t="s">
        <v>135</v>
      </c>
      <c r="O7" s="123">
        <f t="shared" si="0"/>
        <v>0</v>
      </c>
      <c r="P7" s="120">
        <v>24</v>
      </c>
      <c r="Q7" s="104">
        <v>0</v>
      </c>
    </row>
    <row r="8" spans="1:17" x14ac:dyDescent="0.4">
      <c r="A8" s="55" t="s">
        <v>3</v>
      </c>
      <c r="B8" s="47">
        <v>13</v>
      </c>
      <c r="C8" s="39">
        <f>IF(B$2=0,0,B8/B$2)</f>
        <v>0.33333333333333331</v>
      </c>
      <c r="E8" s="63" t="s">
        <v>69</v>
      </c>
      <c r="F8" s="60" t="s">
        <v>12</v>
      </c>
      <c r="G8" s="47">
        <v>22</v>
      </c>
      <c r="H8" s="133">
        <f>IF(B$17=0,0,G8/B$17)</f>
        <v>0.24719101123595505</v>
      </c>
      <c r="I8" s="94">
        <v>3</v>
      </c>
      <c r="K8" s="38">
        <v>6</v>
      </c>
      <c r="L8" s="99">
        <v>-3.5527136788005009E-15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70</v>
      </c>
      <c r="F9" s="60" t="s">
        <v>25</v>
      </c>
      <c r="G9" s="47">
        <v>19</v>
      </c>
      <c r="H9" s="133">
        <f>IF(B$17=0,0,G9/B$17)</f>
        <v>0.21348314606741572</v>
      </c>
      <c r="I9" s="94">
        <v>3</v>
      </c>
      <c r="K9" s="38">
        <v>7</v>
      </c>
      <c r="L9" s="99">
        <v>-49.100000000000009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5</v>
      </c>
      <c r="C10" s="40">
        <f>IF(B$2=0,0,B10/B$2)</f>
        <v>0.12820512820512819</v>
      </c>
      <c r="E10" s="63" t="s">
        <v>87</v>
      </c>
      <c r="F10" s="60" t="s">
        <v>42</v>
      </c>
      <c r="G10" s="47">
        <v>7</v>
      </c>
      <c r="H10" s="133">
        <f>IF(B$17=0,0,G10/B$17)</f>
        <v>7.8651685393258425E-2</v>
      </c>
      <c r="I10" s="94">
        <v>3</v>
      </c>
      <c r="K10" s="38">
        <v>8</v>
      </c>
      <c r="L10" s="99">
        <v>-65.000000000000014</v>
      </c>
      <c r="N10" s="114" t="s">
        <v>162</v>
      </c>
      <c r="O10" s="124">
        <f>IF(P10=0,0,Q10/P10)</f>
        <v>-1.1461538461538461</v>
      </c>
      <c r="P10" s="118">
        <v>13</v>
      </c>
      <c r="Q10" s="106">
        <v>-14.899999999999999</v>
      </c>
    </row>
    <row r="11" spans="1:17" x14ac:dyDescent="0.4">
      <c r="A11" s="56" t="s">
        <v>138</v>
      </c>
      <c r="B11" s="48">
        <v>5</v>
      </c>
      <c r="C11" s="40">
        <f>IF(B$2=0,0,B11/B$2)</f>
        <v>0.12820512820512819</v>
      </c>
      <c r="E11" s="63" t="s">
        <v>71</v>
      </c>
      <c r="F11" s="60" t="s">
        <v>26</v>
      </c>
      <c r="G11" s="47">
        <v>5</v>
      </c>
      <c r="H11" s="133">
        <f>IF(B$17=0,0,G11/B$17)</f>
        <v>5.6179775280898875E-2</v>
      </c>
      <c r="I11" s="94">
        <v>2</v>
      </c>
      <c r="K11" s="38">
        <v>9</v>
      </c>
      <c r="L11" s="99">
        <v>-1.4210854715202004E-14</v>
      </c>
      <c r="N11" s="115" t="s">
        <v>163</v>
      </c>
      <c r="O11" s="125">
        <f>IF(P11=0,0,Q11/P11)</f>
        <v>-16.853846153846156</v>
      </c>
      <c r="P11" s="119">
        <v>13</v>
      </c>
      <c r="Q11" s="107">
        <v>-219.10000000000002</v>
      </c>
    </row>
    <row r="12" spans="1:17" x14ac:dyDescent="0.4">
      <c r="A12" s="57" t="s">
        <v>158</v>
      </c>
      <c r="B12" s="49">
        <v>3</v>
      </c>
      <c r="C12" s="42">
        <f>IF(B$2=0,0,B12/B$2)</f>
        <v>7.6923076923076927E-2</v>
      </c>
      <c r="E12" s="63" t="s">
        <v>90</v>
      </c>
      <c r="F12" s="60" t="s">
        <v>45</v>
      </c>
      <c r="G12" s="47">
        <v>5</v>
      </c>
      <c r="H12" s="133">
        <f>IF(B$17=0,0,G12/B$17)</f>
        <v>5.6179775280898875E-2</v>
      </c>
      <c r="I12" s="94">
        <v>3</v>
      </c>
      <c r="K12" s="38">
        <v>10</v>
      </c>
      <c r="L12" s="99">
        <v>-4.0000000000000142</v>
      </c>
      <c r="N12" s="116" t="s">
        <v>164</v>
      </c>
      <c r="O12" s="126">
        <f>IF(P12=0,0,Q12/P12)</f>
        <v>17.999999999999996</v>
      </c>
      <c r="P12" s="120">
        <v>13</v>
      </c>
      <c r="Q12" s="108">
        <v>233.99999999999994</v>
      </c>
    </row>
    <row r="13" spans="1:17" x14ac:dyDescent="0.4">
      <c r="A13" s="58" t="s">
        <v>122</v>
      </c>
      <c r="B13" s="50">
        <v>144</v>
      </c>
      <c r="C13" s="44">
        <f>IF(B$3=0,0,B13/B$3)</f>
        <v>0.48979591836734693</v>
      </c>
      <c r="E13" s="63" t="s">
        <v>72</v>
      </c>
      <c r="F13" s="60" t="s">
        <v>27</v>
      </c>
      <c r="G13" s="47">
        <v>4</v>
      </c>
      <c r="H13" s="133">
        <f>IF(B$17=0,0,G13/B$17)</f>
        <v>4.49438202247191E-2</v>
      </c>
      <c r="I13" s="94">
        <v>2</v>
      </c>
      <c r="K13" s="38">
        <v>11</v>
      </c>
      <c r="L13" s="99">
        <v>-60.000000000000014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</v>
      </c>
      <c r="C14" s="39">
        <f>IF(B$3=0,0,B14/B$3)</f>
        <v>5.4421768707482991E-2</v>
      </c>
      <c r="E14" s="63" t="s">
        <v>80</v>
      </c>
      <c r="F14" s="60" t="s">
        <v>35</v>
      </c>
      <c r="G14" s="47">
        <v>3</v>
      </c>
      <c r="H14" s="133">
        <f>IF(B$17=0,0,G14/B$17)</f>
        <v>3.3707865168539325E-2</v>
      </c>
      <c r="I14" s="94">
        <v>3</v>
      </c>
      <c r="K14" s="38">
        <v>12</v>
      </c>
      <c r="L14" s="99">
        <v>-1.4210854715202004E-14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75</v>
      </c>
      <c r="C15" s="37">
        <f>IF(B$13=0,0,B15/B$13)</f>
        <v>0.52083333333333337</v>
      </c>
      <c r="E15" s="63" t="s">
        <v>79</v>
      </c>
      <c r="F15" s="60" t="s">
        <v>34</v>
      </c>
      <c r="G15" s="47">
        <v>2</v>
      </c>
      <c r="H15" s="133">
        <f>IF(B$17=0,0,G15/B$17)</f>
        <v>2.247191011235955E-2</v>
      </c>
      <c r="I15" s="94">
        <v>2</v>
      </c>
      <c r="K15" s="38">
        <v>13</v>
      </c>
      <c r="L15" s="99">
        <v>-43.600000000000016</v>
      </c>
      <c r="N15" s="114" t="s">
        <v>127</v>
      </c>
      <c r="O15" s="124">
        <f>IF(P15=0,0,Q15/P15)</f>
        <v>19.684615384615388</v>
      </c>
      <c r="P15" s="118">
        <v>26</v>
      </c>
      <c r="Q15" s="106">
        <v>511.80000000000007</v>
      </c>
    </row>
    <row r="16" spans="1:17" x14ac:dyDescent="0.4">
      <c r="A16" s="54" t="s">
        <v>125</v>
      </c>
      <c r="B16" s="46">
        <v>11</v>
      </c>
      <c r="C16" s="37">
        <f>IF(B$14=0,0,B16/B$14)</f>
        <v>0.6875</v>
      </c>
      <c r="E16" s="63" t="s">
        <v>82</v>
      </c>
      <c r="F16" s="60" t="s">
        <v>37</v>
      </c>
      <c r="G16" s="47">
        <v>1</v>
      </c>
      <c r="H16" s="133">
        <f>IF(B$17=0,0,G16/B$17)</f>
        <v>1.1235955056179775E-2</v>
      </c>
      <c r="I16" s="94">
        <v>2</v>
      </c>
      <c r="K16" s="38">
        <v>14</v>
      </c>
      <c r="L16" s="99">
        <v>-35.700000000000017</v>
      </c>
      <c r="N16" s="115" t="s">
        <v>178</v>
      </c>
      <c r="O16" s="125">
        <f>IF(P16=0,0,Q16/P16)</f>
        <v>-9.2307692307692701E-2</v>
      </c>
      <c r="P16" s="119">
        <v>26</v>
      </c>
      <c r="Q16" s="107">
        <v>-2.4000000000000101</v>
      </c>
    </row>
    <row r="17" spans="1:17" x14ac:dyDescent="0.4">
      <c r="A17" s="54" t="s">
        <v>10</v>
      </c>
      <c r="B17" s="46">
        <f>B19+B18</f>
        <v>89</v>
      </c>
      <c r="C17" s="37">
        <f>IF(B$3=0,0,B17/B$3)</f>
        <v>0.30272108843537415</v>
      </c>
      <c r="E17" s="63" t="s">
        <v>93</v>
      </c>
      <c r="F17" s="60" t="s">
        <v>48</v>
      </c>
      <c r="G17" s="47">
        <v>1</v>
      </c>
      <c r="H17" s="133">
        <f>IF(B$17=0,0,G17/B$17)</f>
        <v>1.1235955056179775E-2</v>
      </c>
      <c r="I17" s="94">
        <v>2</v>
      </c>
      <c r="K17" s="38">
        <v>15</v>
      </c>
      <c r="L17" s="99">
        <v>-1.4210854715202004E-14</v>
      </c>
      <c r="N17" s="115" t="s">
        <v>179</v>
      </c>
      <c r="O17" s="125">
        <f>IF(P17=0,0,Q17/P17)</f>
        <v>-19.592307692307692</v>
      </c>
      <c r="P17" s="119">
        <v>26</v>
      </c>
      <c r="Q17" s="107">
        <v>-509.4</v>
      </c>
    </row>
    <row r="18" spans="1:17" x14ac:dyDescent="0.4">
      <c r="A18" s="55" t="s">
        <v>12</v>
      </c>
      <c r="B18" s="47">
        <v>26</v>
      </c>
      <c r="C18" s="39">
        <f>IF(B$17=0,0,B18/B$17)</f>
        <v>0.29213483146067415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57.299999999999983</v>
      </c>
    </row>
    <row r="19" spans="1:17" x14ac:dyDescent="0.4">
      <c r="A19" s="55" t="s">
        <v>11</v>
      </c>
      <c r="B19" s="47">
        <v>63</v>
      </c>
      <c r="C19" s="39">
        <f>IF(B$17=0,0,B19/B$17)</f>
        <v>0.7078651685393258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42.999999999999986</v>
      </c>
    </row>
    <row r="20" spans="1:17" x14ac:dyDescent="0.4">
      <c r="A20" s="55" t="s">
        <v>13</v>
      </c>
      <c r="B20" s="47">
        <v>63</v>
      </c>
      <c r="C20" s="39">
        <f>IF(B$3=0,0,B20/B$3)</f>
        <v>0.21428571428571427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-1.4210854715202004E-14</v>
      </c>
    </row>
    <row r="21" spans="1:17" x14ac:dyDescent="0.4">
      <c r="A21" s="55" t="s">
        <v>171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-6.300000000000014</v>
      </c>
    </row>
    <row r="22" spans="1:17" x14ac:dyDescent="0.4">
      <c r="A22" s="55" t="s">
        <v>172</v>
      </c>
      <c r="B22" s="47">
        <v>18</v>
      </c>
      <c r="C22" s="135">
        <v>0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56.199999999999989</v>
      </c>
    </row>
    <row r="23" spans="1:17" x14ac:dyDescent="0.4">
      <c r="A23" s="55" t="s">
        <v>5</v>
      </c>
      <c r="B23" s="51">
        <f>IF(B$17=0,0,C23/B$17)</f>
        <v>7751.6853932584272</v>
      </c>
      <c r="C23" s="41">
        <v>689900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-1.4210854715202004E-14</v>
      </c>
    </row>
    <row r="24" spans="1:17" x14ac:dyDescent="0.4">
      <c r="A24" s="57" t="s">
        <v>14</v>
      </c>
      <c r="B24" s="52">
        <f>IF(B$20=0,0,C24/B$20)</f>
        <v>-7092.063492063492</v>
      </c>
      <c r="C24" s="45">
        <v>-446800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-56.400000000000013</v>
      </c>
    </row>
    <row r="25" spans="1:17" x14ac:dyDescent="0.4">
      <c r="A25" s="90" t="s">
        <v>140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6.3999999999999844</v>
      </c>
    </row>
    <row r="26" spans="1:17" x14ac:dyDescent="0.4">
      <c r="A26" s="58" t="s">
        <v>150</v>
      </c>
      <c r="B26" s="142">
        <v>80000</v>
      </c>
      <c r="C26" s="143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-1.5987211554602254E-14</v>
      </c>
    </row>
    <row r="27" spans="1:17" x14ac:dyDescent="0.4">
      <c r="A27" s="57" t="s">
        <v>141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-48.200000000000017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-45.600000000000016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-1.4210854715202004E-14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2.4999999999999858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-23.200000000000014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-1.4210854715202004E-14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1.5999999999999859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-35.20000000000001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-7.1054273576010019E-15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34.899999999999991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-9.0000000000000071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-7.1054273576010019E-15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50.099999999999994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1.7999999999999972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-2.886579864025407E-15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7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2AECF-E109-48F9-86E3-41CBF3CDBF71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179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13</v>
      </c>
      <c r="C2" s="151"/>
      <c r="E2" s="62" t="s">
        <v>65</v>
      </c>
      <c r="F2" s="59" t="s">
        <v>21</v>
      </c>
      <c r="G2" s="46">
        <v>30</v>
      </c>
      <c r="H2" s="132">
        <f>IF(B$17=0,0,G2/B$17)</f>
        <v>0.90909090909090906</v>
      </c>
      <c r="I2" s="93">
        <v>1</v>
      </c>
      <c r="K2" s="36">
        <v>0</v>
      </c>
      <c r="L2" s="98">
        <v>0</v>
      </c>
      <c r="N2" s="114" t="s">
        <v>130</v>
      </c>
      <c r="O2" s="121">
        <f t="shared" ref="O2:O7" si="0">IF(P2=0,0,Q2/P2)</f>
        <v>2869.2307692307691</v>
      </c>
      <c r="P2" s="118">
        <v>13</v>
      </c>
      <c r="Q2" s="102">
        <v>37300</v>
      </c>
    </row>
    <row r="3" spans="1:17" x14ac:dyDescent="0.4">
      <c r="A3" s="55" t="s">
        <v>8</v>
      </c>
      <c r="B3" s="152">
        <v>98</v>
      </c>
      <c r="C3" s="153"/>
      <c r="E3" s="63" t="s">
        <v>67</v>
      </c>
      <c r="F3" s="60" t="s">
        <v>23</v>
      </c>
      <c r="G3" s="47">
        <v>18</v>
      </c>
      <c r="H3" s="133">
        <f>IF(B$17=0,0,G3/B$17)</f>
        <v>0.54545454545454541</v>
      </c>
      <c r="I3" s="94">
        <v>4</v>
      </c>
      <c r="K3" s="38">
        <v>1</v>
      </c>
      <c r="L3" s="99">
        <v>7</v>
      </c>
      <c r="N3" s="115" t="s">
        <v>131</v>
      </c>
      <c r="O3" s="122">
        <f t="shared" si="0"/>
        <v>1725</v>
      </c>
      <c r="P3" s="119">
        <v>12</v>
      </c>
      <c r="Q3" s="103">
        <v>20700</v>
      </c>
    </row>
    <row r="4" spans="1:17" x14ac:dyDescent="0.4">
      <c r="A4" s="55" t="s">
        <v>6</v>
      </c>
      <c r="B4" s="154">
        <v>169.79999999999998</v>
      </c>
      <c r="C4" s="155"/>
      <c r="E4" s="63" t="s">
        <v>173</v>
      </c>
      <c r="F4" s="60" t="s">
        <v>174</v>
      </c>
      <c r="G4" s="47">
        <v>16</v>
      </c>
      <c r="H4" s="133">
        <f>IF(B$17=0,0,G4/B$17)</f>
        <v>0.48484848484848486</v>
      </c>
      <c r="I4" s="94">
        <v>2</v>
      </c>
      <c r="K4" s="38">
        <v>2</v>
      </c>
      <c r="L4" s="99">
        <v>46.3</v>
      </c>
      <c r="N4" s="115" t="s">
        <v>132</v>
      </c>
      <c r="O4" s="122">
        <f t="shared" si="0"/>
        <v>-525</v>
      </c>
      <c r="P4" s="119">
        <v>12</v>
      </c>
      <c r="Q4" s="103">
        <v>-6300</v>
      </c>
    </row>
    <row r="5" spans="1:17" x14ac:dyDescent="0.4">
      <c r="A5" s="55" t="s">
        <v>7</v>
      </c>
      <c r="B5" s="156">
        <f>IF(B$2=0,0,B$4/B$2)</f>
        <v>13.06153846153846</v>
      </c>
      <c r="C5" s="157"/>
      <c r="E5" s="63" t="s">
        <v>68</v>
      </c>
      <c r="F5" s="60" t="s">
        <v>24</v>
      </c>
      <c r="G5" s="47">
        <v>12</v>
      </c>
      <c r="H5" s="133">
        <f>IF(B$17=0,0,G5/B$17)</f>
        <v>0.36363636363636365</v>
      </c>
      <c r="I5" s="94">
        <v>2</v>
      </c>
      <c r="K5" s="38">
        <v>3</v>
      </c>
      <c r="L5" s="99">
        <v>30.4</v>
      </c>
      <c r="N5" s="115" t="s">
        <v>133</v>
      </c>
      <c r="O5" s="122">
        <f t="shared" si="0"/>
        <v>2066.6666666666665</v>
      </c>
      <c r="P5" s="119">
        <v>9</v>
      </c>
      <c r="Q5" s="103">
        <v>18600</v>
      </c>
    </row>
    <row r="6" spans="1:17" x14ac:dyDescent="0.4">
      <c r="A6" s="55" t="s">
        <v>1</v>
      </c>
      <c r="B6" s="146">
        <f>IF(B$2=0,0,(B$7*1+B$8*2+B$9*3)/B$2)</f>
        <v>1.6923076923076923</v>
      </c>
      <c r="C6" s="147"/>
      <c r="E6" s="63" t="s">
        <v>66</v>
      </c>
      <c r="F6" s="60" t="s">
        <v>22</v>
      </c>
      <c r="G6" s="47">
        <v>10</v>
      </c>
      <c r="H6" s="133">
        <f>IF(B$17=0,0,G6/B$17)</f>
        <v>0.30303030303030304</v>
      </c>
      <c r="I6" s="94">
        <v>1</v>
      </c>
      <c r="K6" s="38">
        <v>4</v>
      </c>
      <c r="L6" s="99">
        <v>-25.6</v>
      </c>
      <c r="N6" s="115" t="s">
        <v>134</v>
      </c>
      <c r="O6" s="122">
        <f t="shared" si="0"/>
        <v>2033.3333333333333</v>
      </c>
      <c r="P6" s="119">
        <v>9</v>
      </c>
      <c r="Q6" s="103">
        <v>18300</v>
      </c>
    </row>
    <row r="7" spans="1:17" x14ac:dyDescent="0.4">
      <c r="A7" s="55" t="s">
        <v>2</v>
      </c>
      <c r="B7" s="47">
        <v>7</v>
      </c>
      <c r="C7" s="39">
        <f>IF(B$2=0,0,B7/B$2)</f>
        <v>0.53846153846153844</v>
      </c>
      <c r="E7" s="63" t="s">
        <v>70</v>
      </c>
      <c r="F7" s="60" t="s">
        <v>25</v>
      </c>
      <c r="G7" s="47">
        <v>8</v>
      </c>
      <c r="H7" s="133">
        <f>IF(B$17=0,0,G7/B$17)</f>
        <v>0.24242424242424243</v>
      </c>
      <c r="I7" s="94">
        <v>1</v>
      </c>
      <c r="K7" s="38">
        <v>5</v>
      </c>
      <c r="L7" s="99">
        <v>10.100000000000001</v>
      </c>
      <c r="N7" s="116" t="s">
        <v>135</v>
      </c>
      <c r="O7" s="123">
        <f t="shared" si="0"/>
        <v>150</v>
      </c>
      <c r="P7" s="120">
        <v>8</v>
      </c>
      <c r="Q7" s="104">
        <v>1200</v>
      </c>
    </row>
    <row r="8" spans="1:17" x14ac:dyDescent="0.4">
      <c r="A8" s="55" t="s">
        <v>3</v>
      </c>
      <c r="B8" s="47">
        <v>3</v>
      </c>
      <c r="C8" s="39">
        <f>IF(B$2=0,0,B8/B$2)</f>
        <v>0.23076923076923078</v>
      </c>
      <c r="E8" s="63" t="s">
        <v>73</v>
      </c>
      <c r="F8" s="60" t="s">
        <v>28</v>
      </c>
      <c r="G8" s="47">
        <v>7</v>
      </c>
      <c r="H8" s="133">
        <f>IF(B$17=0,0,G8/B$17)</f>
        <v>0.21212121212121213</v>
      </c>
      <c r="I8" s="94">
        <v>3</v>
      </c>
      <c r="K8" s="38">
        <v>6</v>
      </c>
      <c r="L8" s="99">
        <v>67.400000000000006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0.23076923076923078</v>
      </c>
      <c r="E9" s="63" t="s">
        <v>69</v>
      </c>
      <c r="F9" s="60" t="s">
        <v>12</v>
      </c>
      <c r="G9" s="47">
        <v>6</v>
      </c>
      <c r="H9" s="133">
        <f>IF(B$17=0,0,G9/B$17)</f>
        <v>0.18181818181818182</v>
      </c>
      <c r="I9" s="94">
        <v>4</v>
      </c>
      <c r="K9" s="38">
        <v>7</v>
      </c>
      <c r="L9" s="99">
        <v>129.9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0.15384615384615385</v>
      </c>
      <c r="E10" s="63" t="s">
        <v>71</v>
      </c>
      <c r="F10" s="60" t="s">
        <v>26</v>
      </c>
      <c r="G10" s="47">
        <v>3</v>
      </c>
      <c r="H10" s="133">
        <f>IF(B$17=0,0,G10/B$17)</f>
        <v>9.0909090909090912E-2</v>
      </c>
      <c r="I10" s="94">
        <v>1</v>
      </c>
      <c r="K10" s="38">
        <v>8</v>
      </c>
      <c r="L10" s="99">
        <v>73.5</v>
      </c>
      <c r="N10" s="114" t="s">
        <v>162</v>
      </c>
      <c r="O10" s="124">
        <f>IF(P10=0,0,Q10/P10)</f>
        <v>19.24285714285714</v>
      </c>
      <c r="P10" s="118">
        <v>7</v>
      </c>
      <c r="Q10" s="106">
        <v>134.69999999999999</v>
      </c>
    </row>
    <row r="11" spans="1:17" x14ac:dyDescent="0.4">
      <c r="A11" s="56" t="s">
        <v>138</v>
      </c>
      <c r="B11" s="48">
        <v>2</v>
      </c>
      <c r="C11" s="40">
        <f>IF(B$2=0,0,B11/B$2)</f>
        <v>0.15384615384615385</v>
      </c>
      <c r="E11" s="63" t="s">
        <v>87</v>
      </c>
      <c r="F11" s="60" t="s">
        <v>42</v>
      </c>
      <c r="G11" s="47">
        <v>3</v>
      </c>
      <c r="H11" s="133">
        <f>IF(B$17=0,0,G11/B$17)</f>
        <v>9.0909090909090912E-2</v>
      </c>
      <c r="I11" s="94">
        <v>2</v>
      </c>
      <c r="K11" s="38">
        <v>9</v>
      </c>
      <c r="L11" s="99">
        <v>119.1</v>
      </c>
      <c r="N11" s="115" t="s">
        <v>163</v>
      </c>
      <c r="O11" s="125">
        <f>IF(P11=0,0,Q11/P11)</f>
        <v>-11.55</v>
      </c>
      <c r="P11" s="119">
        <v>4</v>
      </c>
      <c r="Q11" s="107">
        <v>-46.2</v>
      </c>
    </row>
    <row r="12" spans="1:17" x14ac:dyDescent="0.4">
      <c r="A12" s="57" t="s">
        <v>158</v>
      </c>
      <c r="B12" s="49">
        <v>1</v>
      </c>
      <c r="C12" s="42">
        <f>IF(B$2=0,0,B12/B$2)</f>
        <v>7.6923076923076927E-2</v>
      </c>
      <c r="E12" s="63" t="s">
        <v>90</v>
      </c>
      <c r="F12" s="60" t="s">
        <v>45</v>
      </c>
      <c r="G12" s="47">
        <v>3</v>
      </c>
      <c r="H12" s="133">
        <f>IF(B$17=0,0,G12/B$17)</f>
        <v>9.0909090909090912E-2</v>
      </c>
      <c r="I12" s="94">
        <v>1</v>
      </c>
      <c r="K12" s="38">
        <v>10</v>
      </c>
      <c r="L12" s="99">
        <v>121.6</v>
      </c>
      <c r="N12" s="116" t="s">
        <v>164</v>
      </c>
      <c r="O12" s="126">
        <f>IF(P12=0,0,Q12/P12)</f>
        <v>40.650000000000006</v>
      </c>
      <c r="P12" s="120">
        <v>2</v>
      </c>
      <c r="Q12" s="108">
        <v>81.300000000000011</v>
      </c>
    </row>
    <row r="13" spans="1:17" x14ac:dyDescent="0.4">
      <c r="A13" s="58" t="s">
        <v>122</v>
      </c>
      <c r="B13" s="50">
        <v>51</v>
      </c>
      <c r="C13" s="44">
        <f>IF(B$3=0,0,B13/B$3)</f>
        <v>0.52040816326530615</v>
      </c>
      <c r="E13" s="63" t="s">
        <v>72</v>
      </c>
      <c r="F13" s="60" t="s">
        <v>27</v>
      </c>
      <c r="G13" s="47">
        <v>2</v>
      </c>
      <c r="H13" s="133">
        <f>IF(B$17=0,0,G13/B$17)</f>
        <v>6.0606060606060608E-2</v>
      </c>
      <c r="I13" s="94">
        <v>1</v>
      </c>
      <c r="K13" s="38">
        <v>11</v>
      </c>
      <c r="L13" s="99">
        <v>84.8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5.1020408163265307E-2</v>
      </c>
      <c r="E14" s="63" t="s">
        <v>79</v>
      </c>
      <c r="F14" s="60" t="s">
        <v>34</v>
      </c>
      <c r="G14" s="47">
        <v>2</v>
      </c>
      <c r="H14" s="133">
        <f>IF(B$17=0,0,G14/B$17)</f>
        <v>6.0606060606060608E-2</v>
      </c>
      <c r="I14" s="94">
        <v>1</v>
      </c>
      <c r="K14" s="38">
        <v>12</v>
      </c>
      <c r="L14" s="99">
        <v>119.69999999999999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30</v>
      </c>
      <c r="C15" s="37">
        <f>IF(B$13=0,0,B15/B$13)</f>
        <v>0.58823529411764708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K15" s="38">
        <v>13</v>
      </c>
      <c r="L15" s="99">
        <v>169.79999999999998</v>
      </c>
      <c r="N15" s="114" t="s">
        <v>127</v>
      </c>
      <c r="O15" s="124">
        <f>IF(P15=0,0,Q15/P15)</f>
        <v>26.184615384615384</v>
      </c>
      <c r="P15" s="118">
        <v>13</v>
      </c>
      <c r="Q15" s="106">
        <v>340.4</v>
      </c>
    </row>
    <row r="16" spans="1:17" x14ac:dyDescent="0.4">
      <c r="A16" s="54" t="s">
        <v>125</v>
      </c>
      <c r="B16" s="46">
        <v>3</v>
      </c>
      <c r="C16" s="37">
        <f>IF(B$14=0,0,B16/B$14)</f>
        <v>0.6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178</v>
      </c>
      <c r="O16" s="125">
        <f>IF(P16=0,0,Q16/P16)</f>
        <v>13.000000000000004</v>
      </c>
      <c r="P16" s="119">
        <v>13</v>
      </c>
      <c r="Q16" s="107">
        <v>169.00000000000006</v>
      </c>
    </row>
    <row r="17" spans="1:9" x14ac:dyDescent="0.4">
      <c r="A17" s="54" t="s">
        <v>10</v>
      </c>
      <c r="B17" s="46">
        <f>B19+B18</f>
        <v>33</v>
      </c>
      <c r="C17" s="37">
        <f>IF(B$3=0,0,B17/B$3)</f>
        <v>0.33673469387755101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7</v>
      </c>
      <c r="C18" s="39">
        <f>IF(B$17=0,0,B18/B$17)</f>
        <v>0.21212121212121213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26</v>
      </c>
      <c r="C19" s="39">
        <f>IF(B$17=0,0,B19/B$17)</f>
        <v>0.78787878787878785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19</v>
      </c>
      <c r="C20" s="39">
        <f>IF(B$3=0,0,B20/B$3)</f>
        <v>0.19387755102040816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4</v>
      </c>
    </row>
    <row r="21" spans="1:9" x14ac:dyDescent="0.4">
      <c r="A21" s="55" t="s">
        <v>171</v>
      </c>
      <c r="B21" s="47">
        <v>3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13</v>
      </c>
      <c r="C22" s="135">
        <v>5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8154.545454545455</v>
      </c>
      <c r="C23" s="41">
        <v>269100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-5700</v>
      </c>
      <c r="C24" s="45">
        <v>-108300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77500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434EC-1593-4F43-A579-D3F90985D63D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13</v>
      </c>
      <c r="C2" s="151"/>
      <c r="E2" s="62" t="s">
        <v>65</v>
      </c>
      <c r="F2" s="59" t="s">
        <v>21</v>
      </c>
      <c r="G2" s="46">
        <v>18</v>
      </c>
      <c r="H2" s="132">
        <f>IF(B$17=0,0,G2/B$17)</f>
        <v>0.66666666666666663</v>
      </c>
      <c r="I2" s="93">
        <v>4</v>
      </c>
      <c r="K2" s="36">
        <v>0</v>
      </c>
      <c r="L2" s="98">
        <v>0</v>
      </c>
      <c r="N2" s="114" t="s">
        <v>130</v>
      </c>
      <c r="O2" s="121">
        <f t="shared" ref="O2:O7" si="0">IF(P2=0,0,Q2/P2)</f>
        <v>-3376.9230769230771</v>
      </c>
      <c r="P2" s="118">
        <v>13</v>
      </c>
      <c r="Q2" s="102">
        <v>-43900</v>
      </c>
    </row>
    <row r="3" spans="1:17" x14ac:dyDescent="0.4">
      <c r="A3" s="55" t="s">
        <v>8</v>
      </c>
      <c r="B3" s="152">
        <v>98</v>
      </c>
      <c r="C3" s="153"/>
      <c r="E3" s="63" t="s">
        <v>67</v>
      </c>
      <c r="F3" s="60" t="s">
        <v>23</v>
      </c>
      <c r="G3" s="47">
        <v>15</v>
      </c>
      <c r="H3" s="133">
        <f>IF(B$17=0,0,G3/B$17)</f>
        <v>0.55555555555555558</v>
      </c>
      <c r="I3" s="94">
        <v>1</v>
      </c>
      <c r="K3" s="38">
        <v>1</v>
      </c>
      <c r="L3" s="99">
        <v>-57</v>
      </c>
      <c r="N3" s="115" t="s">
        <v>131</v>
      </c>
      <c r="O3" s="122">
        <f t="shared" si="0"/>
        <v>-400</v>
      </c>
      <c r="P3" s="119">
        <v>12</v>
      </c>
      <c r="Q3" s="103">
        <v>-4800</v>
      </c>
    </row>
    <row r="4" spans="1:17" x14ac:dyDescent="0.4">
      <c r="A4" s="55" t="s">
        <v>6</v>
      </c>
      <c r="B4" s="154">
        <v>-170.60000000000002</v>
      </c>
      <c r="C4" s="155"/>
      <c r="E4" s="63" t="s">
        <v>173</v>
      </c>
      <c r="F4" s="60" t="s">
        <v>174</v>
      </c>
      <c r="G4" s="47">
        <v>14</v>
      </c>
      <c r="H4" s="133">
        <f>IF(B$17=0,0,G4/B$17)</f>
        <v>0.51851851851851849</v>
      </c>
      <c r="I4" s="94">
        <v>1</v>
      </c>
      <c r="K4" s="38">
        <v>2</v>
      </c>
      <c r="L4" s="99">
        <v>-39.299999999999997</v>
      </c>
      <c r="N4" s="115" t="s">
        <v>132</v>
      </c>
      <c r="O4" s="122">
        <f t="shared" si="0"/>
        <v>2916.6666666666665</v>
      </c>
      <c r="P4" s="119">
        <v>12</v>
      </c>
      <c r="Q4" s="103">
        <v>35000</v>
      </c>
    </row>
    <row r="5" spans="1:17" x14ac:dyDescent="0.4">
      <c r="A5" s="55" t="s">
        <v>7</v>
      </c>
      <c r="B5" s="156">
        <f>IF(B$2=0,0,B$4/B$2)</f>
        <v>-13.123076923076924</v>
      </c>
      <c r="C5" s="157"/>
      <c r="E5" s="63" t="s">
        <v>73</v>
      </c>
      <c r="F5" s="60" t="s">
        <v>28</v>
      </c>
      <c r="G5" s="47">
        <v>11</v>
      </c>
      <c r="H5" s="133">
        <f>IF(B$17=0,0,G5/B$17)</f>
        <v>0.40740740740740738</v>
      </c>
      <c r="I5" s="94">
        <v>1</v>
      </c>
      <c r="K5" s="38">
        <v>3</v>
      </c>
      <c r="L5" s="99">
        <v>-88.4</v>
      </c>
      <c r="N5" s="115" t="s">
        <v>133</v>
      </c>
      <c r="O5" s="122">
        <f t="shared" si="0"/>
        <v>-2722.2222222222222</v>
      </c>
      <c r="P5" s="119">
        <v>9</v>
      </c>
      <c r="Q5" s="103">
        <v>-24500</v>
      </c>
    </row>
    <row r="6" spans="1:17" x14ac:dyDescent="0.4">
      <c r="A6" s="55" t="s">
        <v>1</v>
      </c>
      <c r="B6" s="146">
        <f>IF(B$2=0,0,(B$7*1+B$8*2+B$9*3)/B$2)</f>
        <v>2.3846153846153846</v>
      </c>
      <c r="C6" s="147"/>
      <c r="E6" s="63" t="s">
        <v>68</v>
      </c>
      <c r="F6" s="60" t="s">
        <v>24</v>
      </c>
      <c r="G6" s="47">
        <v>10</v>
      </c>
      <c r="H6" s="133">
        <f>IF(B$17=0,0,G6/B$17)</f>
        <v>0.37037037037037035</v>
      </c>
      <c r="I6" s="94">
        <v>1</v>
      </c>
      <c r="K6" s="38">
        <v>4</v>
      </c>
      <c r="L6" s="99">
        <v>-28.400000000000006</v>
      </c>
      <c r="N6" s="115" t="s">
        <v>134</v>
      </c>
      <c r="O6" s="122">
        <f t="shared" si="0"/>
        <v>-1900</v>
      </c>
      <c r="P6" s="119">
        <v>9</v>
      </c>
      <c r="Q6" s="103">
        <v>-17100</v>
      </c>
    </row>
    <row r="7" spans="1:17" x14ac:dyDescent="0.4">
      <c r="A7" s="55" t="s">
        <v>2</v>
      </c>
      <c r="B7" s="47">
        <v>2</v>
      </c>
      <c r="C7" s="39">
        <f>IF(B$2=0,0,B7/B$2)</f>
        <v>0.15384615384615385</v>
      </c>
      <c r="E7" s="63" t="s">
        <v>66</v>
      </c>
      <c r="F7" s="60" t="s">
        <v>22</v>
      </c>
      <c r="G7" s="47">
        <v>7</v>
      </c>
      <c r="H7" s="133">
        <f>IF(B$17=0,0,G7/B$17)</f>
        <v>0.25925925925925924</v>
      </c>
      <c r="I7" s="94">
        <v>4</v>
      </c>
      <c r="K7" s="38">
        <v>5</v>
      </c>
      <c r="L7" s="99">
        <v>-20.500000000000007</v>
      </c>
      <c r="N7" s="116" t="s">
        <v>135</v>
      </c>
      <c r="O7" s="123">
        <f t="shared" si="0"/>
        <v>-1912.5</v>
      </c>
      <c r="P7" s="120">
        <v>8</v>
      </c>
      <c r="Q7" s="104">
        <v>-15300</v>
      </c>
    </row>
    <row r="8" spans="1:17" x14ac:dyDescent="0.4">
      <c r="A8" s="55" t="s">
        <v>3</v>
      </c>
      <c r="B8" s="47">
        <v>4</v>
      </c>
      <c r="C8" s="39">
        <f>IF(B$2=0,0,B8/B$2)</f>
        <v>0.30769230769230771</v>
      </c>
      <c r="E8" s="63" t="s">
        <v>69</v>
      </c>
      <c r="F8" s="60" t="s">
        <v>12</v>
      </c>
      <c r="G8" s="47">
        <v>7</v>
      </c>
      <c r="H8" s="133">
        <f>IF(B$17=0,0,G8/B$17)</f>
        <v>0.25925925925925924</v>
      </c>
      <c r="I8" s="94">
        <v>2</v>
      </c>
      <c r="K8" s="38">
        <v>6</v>
      </c>
      <c r="L8" s="99">
        <v>-63.500000000000007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0.53846153846153844</v>
      </c>
      <c r="E9" s="63" t="s">
        <v>70</v>
      </c>
      <c r="F9" s="60" t="s">
        <v>25</v>
      </c>
      <c r="G9" s="47">
        <v>6</v>
      </c>
      <c r="H9" s="133">
        <f>IF(B$17=0,0,G9/B$17)</f>
        <v>0.22222222222222221</v>
      </c>
      <c r="I9" s="94">
        <v>2</v>
      </c>
      <c r="K9" s="38">
        <v>7</v>
      </c>
      <c r="L9" s="99">
        <v>-119.70000000000002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2</v>
      </c>
      <c r="C10" s="40">
        <f>IF(B$2=0,0,B10/B$2)</f>
        <v>0.15384615384615385</v>
      </c>
      <c r="E10" s="63" t="s">
        <v>90</v>
      </c>
      <c r="F10" s="60" t="s">
        <v>45</v>
      </c>
      <c r="G10" s="47">
        <v>2</v>
      </c>
      <c r="H10" s="133">
        <f>IF(B$17=0,0,G10/B$17)</f>
        <v>7.407407407407407E-2</v>
      </c>
      <c r="I10" s="94">
        <v>2</v>
      </c>
      <c r="K10" s="38">
        <v>8</v>
      </c>
      <c r="L10" s="99">
        <v>-56.90000000000002</v>
      </c>
      <c r="N10" s="114" t="s">
        <v>162</v>
      </c>
      <c r="O10" s="124">
        <f>IF(P10=0,0,Q10/P10)</f>
        <v>-23.75</v>
      </c>
      <c r="P10" s="118">
        <v>2</v>
      </c>
      <c r="Q10" s="106">
        <v>-47.5</v>
      </c>
    </row>
    <row r="11" spans="1:17" x14ac:dyDescent="0.4">
      <c r="A11" s="56" t="s">
        <v>138</v>
      </c>
      <c r="B11" s="48">
        <v>2</v>
      </c>
      <c r="C11" s="40">
        <f>IF(B$2=0,0,B11/B$2)</f>
        <v>0.15384615384615385</v>
      </c>
      <c r="E11" s="63" t="s">
        <v>71</v>
      </c>
      <c r="F11" s="60" t="s">
        <v>26</v>
      </c>
      <c r="G11" s="47">
        <v>1</v>
      </c>
      <c r="H11" s="133">
        <f>IF(B$17=0,0,G11/B$17)</f>
        <v>3.7037037037037035E-2</v>
      </c>
      <c r="I11" s="94">
        <v>3</v>
      </c>
      <c r="K11" s="38">
        <v>9</v>
      </c>
      <c r="L11" s="99">
        <v>-54.300000000000018</v>
      </c>
      <c r="N11" s="115" t="s">
        <v>163</v>
      </c>
      <c r="O11" s="125">
        <f>IF(P11=0,0,Q11/P11)</f>
        <v>-14.514285714285714</v>
      </c>
      <c r="P11" s="119">
        <v>7</v>
      </c>
      <c r="Q11" s="107">
        <v>-101.6</v>
      </c>
    </row>
    <row r="12" spans="1:17" x14ac:dyDescent="0.4">
      <c r="A12" s="57" t="s">
        <v>158</v>
      </c>
      <c r="B12" s="49">
        <v>0</v>
      </c>
      <c r="C12" s="42">
        <f>IF(B$2=0,0,B12/B$2)</f>
        <v>0</v>
      </c>
      <c r="E12" s="63" t="s">
        <v>72</v>
      </c>
      <c r="F12" s="60" t="s">
        <v>27</v>
      </c>
      <c r="G12" s="47">
        <v>1</v>
      </c>
      <c r="H12" s="133">
        <f>IF(B$17=0,0,G12/B$17)</f>
        <v>3.7037037037037035E-2</v>
      </c>
      <c r="I12" s="94">
        <v>3</v>
      </c>
      <c r="K12" s="38">
        <v>10</v>
      </c>
      <c r="L12" s="99">
        <v>-80.000000000000014</v>
      </c>
      <c r="N12" s="116" t="s">
        <v>164</v>
      </c>
      <c r="O12" s="126">
        <f>IF(P12=0,0,Q12/P12)</f>
        <v>-5.375</v>
      </c>
      <c r="P12" s="120">
        <v>4</v>
      </c>
      <c r="Q12" s="108">
        <v>-21.5</v>
      </c>
    </row>
    <row r="13" spans="1:17" x14ac:dyDescent="0.4">
      <c r="A13" s="58" t="s">
        <v>122</v>
      </c>
      <c r="B13" s="50">
        <v>37</v>
      </c>
      <c r="C13" s="44">
        <f>IF(B$3=0,0,B13/B$3)</f>
        <v>0.37755102040816324</v>
      </c>
      <c r="E13" s="63" t="s">
        <v>80</v>
      </c>
      <c r="F13" s="60" t="s">
        <v>35</v>
      </c>
      <c r="G13" s="47">
        <v>1</v>
      </c>
      <c r="H13" s="133">
        <f>IF(B$17=0,0,G13/B$17)</f>
        <v>3.7037037037037035E-2</v>
      </c>
      <c r="I13" s="94">
        <v>2</v>
      </c>
      <c r="K13" s="38">
        <v>11</v>
      </c>
      <c r="L13" s="99">
        <v>-78.40000000000002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</v>
      </c>
      <c r="C14" s="39">
        <f>IF(B$3=0,0,B14/B$3)</f>
        <v>7.1428571428571425E-2</v>
      </c>
      <c r="E14" s="63" t="s">
        <v>82</v>
      </c>
      <c r="F14" s="60" t="s">
        <v>37</v>
      </c>
      <c r="G14" s="47">
        <v>1</v>
      </c>
      <c r="H14" s="133">
        <f>IF(B$17=0,0,G14/B$17)</f>
        <v>3.7037037037037035E-2</v>
      </c>
      <c r="I14" s="94">
        <v>1</v>
      </c>
      <c r="K14" s="38">
        <v>12</v>
      </c>
      <c r="L14" s="99">
        <v>-122.30000000000001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18</v>
      </c>
      <c r="C15" s="37">
        <f>IF(B$13=0,0,B15/B$13)</f>
        <v>0.48648648648648651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K15" s="38">
        <v>13</v>
      </c>
      <c r="L15" s="99">
        <v>-170.60000000000002</v>
      </c>
      <c r="N15" s="114" t="s">
        <v>178</v>
      </c>
      <c r="O15" s="124">
        <f>IF(P15=0,0,Q15/P15)</f>
        <v>-13.184615384615382</v>
      </c>
      <c r="P15" s="118">
        <v>13</v>
      </c>
      <c r="Q15" s="106">
        <v>-171.39999999999998</v>
      </c>
    </row>
    <row r="16" spans="1:17" x14ac:dyDescent="0.4">
      <c r="A16" s="54" t="s">
        <v>125</v>
      </c>
      <c r="B16" s="46">
        <v>6</v>
      </c>
      <c r="C16" s="37">
        <f>IF(B$14=0,0,B16/B$14)</f>
        <v>0.8571428571428571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-26.184615384615384</v>
      </c>
      <c r="P16" s="119">
        <v>13</v>
      </c>
      <c r="Q16" s="107">
        <v>-340.4</v>
      </c>
    </row>
    <row r="17" spans="1:9" x14ac:dyDescent="0.4">
      <c r="A17" s="54" t="s">
        <v>10</v>
      </c>
      <c r="B17" s="46">
        <f>B19+B18</f>
        <v>27</v>
      </c>
      <c r="C17" s="37">
        <f>IF(B$3=0,0,B17/B$3)</f>
        <v>0.27551020408163263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9</v>
      </c>
      <c r="C18" s="39">
        <f>IF(B$17=0,0,B18/B$17)</f>
        <v>0.33333333333333331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18</v>
      </c>
      <c r="C19" s="39">
        <f>IF(B$17=0,0,B19/B$17)</f>
        <v>0.66666666666666663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22</v>
      </c>
      <c r="C20" s="39">
        <f>IF(B$3=0,0,B20/B$3)</f>
        <v>0.22448979591836735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4</v>
      </c>
      <c r="C21" s="135">
        <v>1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26</v>
      </c>
      <c r="C22" s="135">
        <v>1</v>
      </c>
      <c r="E22" s="63" t="s">
        <v>83</v>
      </c>
      <c r="F22" s="60" t="s">
        <v>38</v>
      </c>
      <c r="G22" s="47">
        <v>0</v>
      </c>
      <c r="H22" s="133">
        <f>IF(B$17=0,0,G22/B$17)</f>
        <v>0</v>
      </c>
      <c r="I22" s="94">
        <v>1</v>
      </c>
    </row>
    <row r="23" spans="1:9" x14ac:dyDescent="0.4">
      <c r="A23" s="55" t="s">
        <v>5</v>
      </c>
      <c r="B23" s="51">
        <f>IF(B$17=0,0,C23/B$17)</f>
        <v>7240.7407407407409</v>
      </c>
      <c r="C23" s="41">
        <v>195500</v>
      </c>
      <c r="E23" s="63" t="s">
        <v>84</v>
      </c>
      <c r="F23" s="60" t="s">
        <v>39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-7918.181818181818</v>
      </c>
      <c r="C24" s="45">
        <v>-174200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77800</v>
      </c>
      <c r="C26" s="143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3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9547C-EA6A-4794-869C-5BE3F7AE631B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178</v>
      </c>
      <c r="C1" s="149"/>
      <c r="E1" s="129" t="s">
        <v>165</v>
      </c>
      <c r="F1" s="141" t="s">
        <v>116</v>
      </c>
      <c r="G1" s="140" t="s">
        <v>117</v>
      </c>
      <c r="H1" s="130" t="s">
        <v>118</v>
      </c>
      <c r="I1" s="141" t="s">
        <v>152</v>
      </c>
      <c r="K1" s="34" t="s">
        <v>20</v>
      </c>
      <c r="L1" s="35" t="s">
        <v>121</v>
      </c>
      <c r="M1" s="131"/>
      <c r="N1" s="113" t="s">
        <v>136</v>
      </c>
      <c r="O1" s="34" t="s">
        <v>137</v>
      </c>
      <c r="P1" s="117" t="s">
        <v>117</v>
      </c>
      <c r="Q1" s="101" t="s">
        <v>156</v>
      </c>
    </row>
    <row r="2" spans="1:17" x14ac:dyDescent="0.4">
      <c r="A2" s="54" t="s">
        <v>9</v>
      </c>
      <c r="B2" s="150">
        <v>13</v>
      </c>
      <c r="C2" s="151"/>
      <c r="E2" s="62" t="s">
        <v>65</v>
      </c>
      <c r="F2" s="59" t="s">
        <v>21</v>
      </c>
      <c r="G2" s="46">
        <v>26</v>
      </c>
      <c r="H2" s="132">
        <f>IF(B$17=0,0,G2/B$17)</f>
        <v>0.89655172413793105</v>
      </c>
      <c r="I2" s="93">
        <v>2</v>
      </c>
      <c r="K2" s="36">
        <v>0</v>
      </c>
      <c r="L2" s="98">
        <v>0</v>
      </c>
      <c r="N2" s="114" t="s">
        <v>130</v>
      </c>
      <c r="O2" s="121">
        <f t="shared" ref="O2:O7" si="0">IF(P2=0,0,Q2/P2)</f>
        <v>276.92307692307691</v>
      </c>
      <c r="P2" s="118">
        <v>13</v>
      </c>
      <c r="Q2" s="102">
        <v>3600</v>
      </c>
    </row>
    <row r="3" spans="1:17" x14ac:dyDescent="0.4">
      <c r="A3" s="55" t="s">
        <v>8</v>
      </c>
      <c r="B3" s="152">
        <v>98</v>
      </c>
      <c r="C3" s="153"/>
      <c r="E3" s="63" t="s">
        <v>67</v>
      </c>
      <c r="F3" s="60" t="s">
        <v>23</v>
      </c>
      <c r="G3" s="47">
        <v>16</v>
      </c>
      <c r="H3" s="133">
        <f>IF(B$17=0,0,G3/B$17)</f>
        <v>0.55172413793103448</v>
      </c>
      <c r="I3" s="94">
        <v>2</v>
      </c>
      <c r="K3" s="38">
        <v>1</v>
      </c>
      <c r="L3" s="99">
        <v>50</v>
      </c>
      <c r="N3" s="115" t="s">
        <v>131</v>
      </c>
      <c r="O3" s="122">
        <f t="shared" si="0"/>
        <v>-1075</v>
      </c>
      <c r="P3" s="119">
        <v>12</v>
      </c>
      <c r="Q3" s="103">
        <v>-12900</v>
      </c>
    </row>
    <row r="4" spans="1:17" x14ac:dyDescent="0.4">
      <c r="A4" s="55" t="s">
        <v>6</v>
      </c>
      <c r="B4" s="154">
        <v>0.79999999999999427</v>
      </c>
      <c r="C4" s="155"/>
      <c r="E4" s="63" t="s">
        <v>173</v>
      </c>
      <c r="F4" s="60" t="s">
        <v>174</v>
      </c>
      <c r="G4" s="47">
        <v>10</v>
      </c>
      <c r="H4" s="133">
        <f>IF(B$17=0,0,G4/B$17)</f>
        <v>0.34482758620689657</v>
      </c>
      <c r="I4" s="94">
        <v>4</v>
      </c>
      <c r="K4" s="38">
        <v>2</v>
      </c>
      <c r="L4" s="99">
        <v>-7</v>
      </c>
      <c r="N4" s="115" t="s">
        <v>132</v>
      </c>
      <c r="O4" s="122">
        <f t="shared" si="0"/>
        <v>-2475</v>
      </c>
      <c r="P4" s="119">
        <v>12</v>
      </c>
      <c r="Q4" s="103">
        <v>-29700</v>
      </c>
    </row>
    <row r="5" spans="1:17" x14ac:dyDescent="0.4">
      <c r="A5" s="55" t="s">
        <v>7</v>
      </c>
      <c r="B5" s="156">
        <f>IF(B$2=0,0,B$4/B$2)</f>
        <v>6.1538461538461098E-2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4</v>
      </c>
      <c r="K5" s="38">
        <v>3</v>
      </c>
      <c r="L5" s="99">
        <v>58</v>
      </c>
      <c r="N5" s="115" t="s">
        <v>133</v>
      </c>
      <c r="O5" s="122">
        <f t="shared" si="0"/>
        <v>655.55555555555554</v>
      </c>
      <c r="P5" s="119">
        <v>9</v>
      </c>
      <c r="Q5" s="103">
        <v>5900</v>
      </c>
    </row>
    <row r="6" spans="1:17" x14ac:dyDescent="0.4">
      <c r="A6" s="55" t="s">
        <v>1</v>
      </c>
      <c r="B6" s="146">
        <f>IF(B$2=0,0,(B$7*1+B$8*2+B$9*3)/B$2)</f>
        <v>1.9230769230769231</v>
      </c>
      <c r="C6" s="147"/>
      <c r="E6" s="63" t="s">
        <v>69</v>
      </c>
      <c r="F6" s="60" t="s">
        <v>12</v>
      </c>
      <c r="G6" s="47">
        <v>9</v>
      </c>
      <c r="H6" s="133">
        <f>IF(B$17=0,0,G6/B$17)</f>
        <v>0.31034482758620691</v>
      </c>
      <c r="I6" s="94">
        <v>1</v>
      </c>
      <c r="K6" s="38">
        <v>4</v>
      </c>
      <c r="L6" s="99">
        <v>54</v>
      </c>
      <c r="N6" s="115" t="s">
        <v>134</v>
      </c>
      <c r="O6" s="122">
        <f t="shared" si="0"/>
        <v>-22.222222222222221</v>
      </c>
      <c r="P6" s="119">
        <v>9</v>
      </c>
      <c r="Q6" s="103">
        <v>-200</v>
      </c>
    </row>
    <row r="7" spans="1:17" x14ac:dyDescent="0.4">
      <c r="A7" s="55" t="s">
        <v>2</v>
      </c>
      <c r="B7" s="47">
        <v>4</v>
      </c>
      <c r="C7" s="39">
        <f>IF(B$2=0,0,B7/B$2)</f>
        <v>0.30769230769230771</v>
      </c>
      <c r="E7" s="63" t="s">
        <v>66</v>
      </c>
      <c r="F7" s="60" t="s">
        <v>22</v>
      </c>
      <c r="G7" s="47">
        <v>8</v>
      </c>
      <c r="H7" s="133">
        <f>IF(B$17=0,0,G7/B$17)</f>
        <v>0.27586206896551724</v>
      </c>
      <c r="I7" s="94">
        <v>3</v>
      </c>
      <c r="K7" s="38">
        <v>5</v>
      </c>
      <c r="L7" s="99">
        <v>10.399999999999999</v>
      </c>
      <c r="N7" s="116" t="s">
        <v>135</v>
      </c>
      <c r="O7" s="123">
        <f t="shared" si="0"/>
        <v>1762.5</v>
      </c>
      <c r="P7" s="120">
        <v>8</v>
      </c>
      <c r="Q7" s="104">
        <v>14100</v>
      </c>
    </row>
    <row r="8" spans="1:17" x14ac:dyDescent="0.4">
      <c r="A8" s="55" t="s">
        <v>3</v>
      </c>
      <c r="B8" s="47">
        <v>6</v>
      </c>
      <c r="C8" s="39">
        <f>IF(B$2=0,0,B8/B$2)</f>
        <v>0.46153846153846156</v>
      </c>
      <c r="E8" s="63" t="s">
        <v>73</v>
      </c>
      <c r="F8" s="60" t="s">
        <v>28</v>
      </c>
      <c r="G8" s="47">
        <v>6</v>
      </c>
      <c r="H8" s="133">
        <f>IF(B$17=0,0,G8/B$17)</f>
        <v>0.20689655172413793</v>
      </c>
      <c r="I8" s="94">
        <v>4</v>
      </c>
      <c r="K8" s="38">
        <v>6</v>
      </c>
      <c r="L8" s="99">
        <v>-3.9000000000000021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ref="C9" si="1">IF(B$2=0,0,B9/B$2)</f>
        <v>0.23076923076923078</v>
      </c>
      <c r="E9" s="63" t="s">
        <v>70</v>
      </c>
      <c r="F9" s="60" t="s">
        <v>25</v>
      </c>
      <c r="G9" s="47">
        <v>5</v>
      </c>
      <c r="H9" s="133">
        <f>IF(B$17=0,0,G9/B$17)</f>
        <v>0.17241379310344829</v>
      </c>
      <c r="I9" s="94">
        <v>4</v>
      </c>
      <c r="K9" s="38">
        <v>7</v>
      </c>
      <c r="L9" s="99">
        <v>-10.200000000000003</v>
      </c>
      <c r="N9" s="113" t="s">
        <v>161</v>
      </c>
      <c r="O9" s="34" t="s">
        <v>121</v>
      </c>
      <c r="P9" s="117" t="s">
        <v>117</v>
      </c>
      <c r="Q9" s="105" t="s">
        <v>156</v>
      </c>
    </row>
    <row r="10" spans="1:17" x14ac:dyDescent="0.4">
      <c r="A10" s="56" t="s">
        <v>19</v>
      </c>
      <c r="B10" s="48">
        <v>1</v>
      </c>
      <c r="C10" s="40">
        <f>IF(B$2=0,0,B10/B$2)</f>
        <v>7.6923076923076927E-2</v>
      </c>
      <c r="E10" s="63" t="s">
        <v>87</v>
      </c>
      <c r="F10" s="60" t="s">
        <v>42</v>
      </c>
      <c r="G10" s="47">
        <v>4</v>
      </c>
      <c r="H10" s="133">
        <f>IF(B$17=0,0,G10/B$17)</f>
        <v>0.13793103448275862</v>
      </c>
      <c r="I10" s="94">
        <v>1</v>
      </c>
      <c r="K10" s="38">
        <v>8</v>
      </c>
      <c r="L10" s="99">
        <v>-16.600000000000001</v>
      </c>
      <c r="N10" s="114" t="s">
        <v>162</v>
      </c>
      <c r="O10" s="124">
        <f>IF(P10=0,0,Q10/P10)</f>
        <v>-25.524999999999999</v>
      </c>
      <c r="P10" s="118">
        <v>4</v>
      </c>
      <c r="Q10" s="106">
        <v>-102.1</v>
      </c>
    </row>
    <row r="11" spans="1:17" x14ac:dyDescent="0.4">
      <c r="A11" s="56" t="s">
        <v>138</v>
      </c>
      <c r="B11" s="48">
        <v>1</v>
      </c>
      <c r="C11" s="40">
        <f>IF(B$2=0,0,B11/B$2)</f>
        <v>7.6923076923076927E-2</v>
      </c>
      <c r="E11" s="63" t="s">
        <v>80</v>
      </c>
      <c r="F11" s="60" t="s">
        <v>35</v>
      </c>
      <c r="G11" s="47">
        <v>2</v>
      </c>
      <c r="H11" s="133">
        <f>IF(B$17=0,0,G11/B$17)</f>
        <v>6.8965517241379309E-2</v>
      </c>
      <c r="I11" s="94">
        <v>1</v>
      </c>
      <c r="K11" s="38">
        <v>9</v>
      </c>
      <c r="L11" s="99">
        <v>-64.800000000000011</v>
      </c>
      <c r="N11" s="115" t="s">
        <v>163</v>
      </c>
      <c r="O11" s="125">
        <f>IF(P11=0,0,Q11/P11)</f>
        <v>-35.65</v>
      </c>
      <c r="P11" s="119">
        <v>2</v>
      </c>
      <c r="Q11" s="107">
        <v>-71.3</v>
      </c>
    </row>
    <row r="12" spans="1:17" x14ac:dyDescent="0.4">
      <c r="A12" s="57" t="s">
        <v>158</v>
      </c>
      <c r="B12" s="49">
        <v>2</v>
      </c>
      <c r="C12" s="42">
        <f>IF(B$2=0,0,B12/B$2)</f>
        <v>0.15384615384615385</v>
      </c>
      <c r="E12" s="63" t="s">
        <v>71</v>
      </c>
      <c r="F12" s="60" t="s">
        <v>26</v>
      </c>
      <c r="G12" s="47">
        <v>1</v>
      </c>
      <c r="H12" s="133">
        <f>IF(B$17=0,0,G12/B$17)</f>
        <v>3.4482758620689655E-2</v>
      </c>
      <c r="I12" s="94">
        <v>4</v>
      </c>
      <c r="K12" s="38">
        <v>10</v>
      </c>
      <c r="L12" s="99">
        <v>-41.600000000000009</v>
      </c>
      <c r="N12" s="116" t="s">
        <v>164</v>
      </c>
      <c r="O12" s="126">
        <f>IF(P12=0,0,Q12/P12)</f>
        <v>24.885714285714283</v>
      </c>
      <c r="P12" s="120">
        <v>7</v>
      </c>
      <c r="Q12" s="108">
        <v>174.2</v>
      </c>
    </row>
    <row r="13" spans="1:17" x14ac:dyDescent="0.4">
      <c r="A13" s="58" t="s">
        <v>122</v>
      </c>
      <c r="B13" s="50">
        <v>56</v>
      </c>
      <c r="C13" s="44">
        <f>IF(B$3=0,0,B13/B$3)</f>
        <v>0.5714285714285714</v>
      </c>
      <c r="E13" s="63" t="s">
        <v>72</v>
      </c>
      <c r="F13" s="60" t="s">
        <v>27</v>
      </c>
      <c r="G13" s="47">
        <v>1</v>
      </c>
      <c r="H13" s="133">
        <f>IF(B$17=0,0,G13/B$17)</f>
        <v>3.4482758620689655E-2</v>
      </c>
      <c r="I13" s="94">
        <v>4</v>
      </c>
      <c r="K13" s="38">
        <v>11</v>
      </c>
      <c r="L13" s="99">
        <v>-6.4000000000000057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4.0816326530612242E-2</v>
      </c>
      <c r="E14" s="63" t="s">
        <v>93</v>
      </c>
      <c r="F14" s="60" t="s">
        <v>48</v>
      </c>
      <c r="G14" s="47">
        <v>1</v>
      </c>
      <c r="H14" s="133">
        <f>IF(B$17=0,0,G14/B$17)</f>
        <v>3.4482758620689655E-2</v>
      </c>
      <c r="I14" s="94">
        <v>1</v>
      </c>
      <c r="K14" s="38">
        <v>12</v>
      </c>
      <c r="L14" s="99">
        <v>2.5999999999999943</v>
      </c>
      <c r="N14" s="113" t="s">
        <v>153</v>
      </c>
      <c r="O14" s="34" t="s">
        <v>121</v>
      </c>
      <c r="P14" s="117" t="s">
        <v>117</v>
      </c>
      <c r="Q14" s="105" t="s">
        <v>156</v>
      </c>
    </row>
    <row r="15" spans="1:17" x14ac:dyDescent="0.4">
      <c r="A15" s="54" t="s">
        <v>124</v>
      </c>
      <c r="B15" s="46">
        <v>27</v>
      </c>
      <c r="C15" s="37">
        <f>IF(B$13=0,0,B15/B$13)</f>
        <v>0.48214285714285715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1</v>
      </c>
      <c r="K15" s="38">
        <v>13</v>
      </c>
      <c r="L15" s="99">
        <v>0.79999999999999427</v>
      </c>
      <c r="N15" s="114" t="s">
        <v>127</v>
      </c>
      <c r="O15" s="124">
        <f>IF(P15=0,0,Q15/P15)</f>
        <v>13.184615384615386</v>
      </c>
      <c r="P15" s="118">
        <v>13</v>
      </c>
      <c r="Q15" s="106">
        <v>171.4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1</v>
      </c>
      <c r="N16" s="115" t="s">
        <v>179</v>
      </c>
      <c r="O16" s="125">
        <f>IF(P16=0,0,Q16/P16)</f>
        <v>-13</v>
      </c>
      <c r="P16" s="119">
        <v>13</v>
      </c>
      <c r="Q16" s="107">
        <v>-169</v>
      </c>
    </row>
    <row r="17" spans="1:9" x14ac:dyDescent="0.4">
      <c r="A17" s="54" t="s">
        <v>10</v>
      </c>
      <c r="B17" s="46">
        <f>B19+B18</f>
        <v>29</v>
      </c>
      <c r="C17" s="37">
        <f>IF(B$3=0,0,B17/B$3)</f>
        <v>0.29591836734693877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1</v>
      </c>
    </row>
    <row r="18" spans="1:9" x14ac:dyDescent="0.4">
      <c r="A18" s="55" t="s">
        <v>12</v>
      </c>
      <c r="B18" s="47">
        <v>10</v>
      </c>
      <c r="C18" s="39">
        <f>IF(B$17=0,0,B18/B$17)</f>
        <v>0.34482758620689657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19</v>
      </c>
      <c r="C19" s="39">
        <f>IF(B$17=0,0,B19/B$17)</f>
        <v>0.65517241379310343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1</v>
      </c>
    </row>
    <row r="20" spans="1:9" x14ac:dyDescent="0.4">
      <c r="A20" s="55" t="s">
        <v>13</v>
      </c>
      <c r="B20" s="47">
        <v>22</v>
      </c>
      <c r="C20" s="39">
        <f>IF(B$3=0,0,B20/B$3)</f>
        <v>0.22448979591836735</v>
      </c>
      <c r="E20" s="63" t="s">
        <v>79</v>
      </c>
      <c r="F20" s="60" t="s">
        <v>34</v>
      </c>
      <c r="G20" s="47">
        <v>0</v>
      </c>
      <c r="H20" s="133">
        <f>IF(B$17=0,0,G20/B$17)</f>
        <v>0</v>
      </c>
      <c r="I20" s="94">
        <v>3</v>
      </c>
    </row>
    <row r="21" spans="1:9" x14ac:dyDescent="0.4">
      <c r="A21" s="55" t="s">
        <v>171</v>
      </c>
      <c r="B21" s="47">
        <v>4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9" x14ac:dyDescent="0.4">
      <c r="A22" s="55" t="s">
        <v>172</v>
      </c>
      <c r="B22" s="47">
        <v>21</v>
      </c>
      <c r="C22" s="135">
        <v>0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3</v>
      </c>
    </row>
    <row r="23" spans="1:9" x14ac:dyDescent="0.4">
      <c r="A23" s="55" t="s">
        <v>5</v>
      </c>
      <c r="B23" s="51">
        <f>IF(B$17=0,0,C23/B$17)</f>
        <v>7768.9655172413795</v>
      </c>
      <c r="C23" s="41">
        <v>225300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9" x14ac:dyDescent="0.4">
      <c r="A24" s="57" t="s">
        <v>14</v>
      </c>
      <c r="B24" s="52">
        <f>IF(B$20=0,0,C24/B$20)</f>
        <v>-7468.181818181818</v>
      </c>
      <c r="C24" s="45">
        <v>-164300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</v>
      </c>
    </row>
    <row r="25" spans="1:9" x14ac:dyDescent="0.4">
      <c r="A25" s="90" t="s">
        <v>140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1</v>
      </c>
    </row>
    <row r="26" spans="1:9" x14ac:dyDescent="0.4">
      <c r="A26" s="58" t="s">
        <v>150</v>
      </c>
      <c r="B26" s="142">
        <v>80000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1</v>
      </c>
    </row>
    <row r="27" spans="1:9" x14ac:dyDescent="0.4">
      <c r="A27" s="57" t="s">
        <v>141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1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1</v>
      </c>
    </row>
    <row r="29" spans="1:9" x14ac:dyDescent="0.4">
      <c r="E29" s="63" t="s">
        <v>90</v>
      </c>
      <c r="F29" s="60" t="s">
        <v>45</v>
      </c>
      <c r="G29" s="47">
        <v>0</v>
      </c>
      <c r="H29" s="133">
        <f>IF(B$17=0,0,G29/B$17)</f>
        <v>0</v>
      </c>
      <c r="I29" s="94">
        <v>4</v>
      </c>
    </row>
    <row r="30" spans="1:9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1</v>
      </c>
    </row>
    <row r="31" spans="1:9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169</v>
      </c>
      <c r="F51" s="137" t="s">
        <v>170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175</v>
      </c>
      <c r="F52" s="61" t="s">
        <v>176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A476-73E7-4331-B941-FFE28FF4F986}">
  <sheetPr codeName="Sheet12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</v>
      </c>
      <c r="C4" s="66">
        <v>50</v>
      </c>
      <c r="D4" s="71">
        <v>1</v>
      </c>
      <c r="E4" s="67">
        <v>1</v>
      </c>
      <c r="F4" s="67">
        <v>0</v>
      </c>
      <c r="G4" s="67">
        <v>0.5</v>
      </c>
      <c r="H4" s="67">
        <v>0</v>
      </c>
      <c r="I4" s="68">
        <v>32000</v>
      </c>
      <c r="J4" s="68">
        <v>0</v>
      </c>
      <c r="K4" s="67">
        <v>0</v>
      </c>
      <c r="L4" s="67">
        <v>1</v>
      </c>
      <c r="M4" s="67">
        <v>1</v>
      </c>
      <c r="N4" s="67">
        <v>0</v>
      </c>
      <c r="O4" s="67">
        <v>0.5</v>
      </c>
      <c r="P4" s="67">
        <v>0</v>
      </c>
      <c r="Q4" s="67">
        <v>0</v>
      </c>
    </row>
    <row r="5" spans="1:17" x14ac:dyDescent="0.4">
      <c r="A5" s="69">
        <v>2</v>
      </c>
      <c r="B5" s="66">
        <v>-7</v>
      </c>
      <c r="C5" s="66">
        <v>-3.5</v>
      </c>
      <c r="D5" s="71">
        <v>2</v>
      </c>
      <c r="E5" s="67">
        <v>0.5</v>
      </c>
      <c r="F5" s="67">
        <v>0.5</v>
      </c>
      <c r="G5" s="67">
        <v>0.14285714285714285</v>
      </c>
      <c r="H5" s="67">
        <v>0.2857142857142857</v>
      </c>
      <c r="I5" s="68">
        <v>32000</v>
      </c>
      <c r="J5" s="68">
        <v>-8000</v>
      </c>
      <c r="K5" s="67">
        <v>0.5</v>
      </c>
      <c r="L5" s="67">
        <v>0.5</v>
      </c>
      <c r="M5" s="67">
        <v>0.42857142857142855</v>
      </c>
      <c r="N5" s="67">
        <v>0</v>
      </c>
      <c r="O5" s="67">
        <v>0.33333333333333331</v>
      </c>
      <c r="P5" s="67">
        <v>0</v>
      </c>
      <c r="Q5" s="67">
        <v>0</v>
      </c>
    </row>
    <row r="6" spans="1:17" x14ac:dyDescent="0.4">
      <c r="A6" s="69">
        <v>3</v>
      </c>
      <c r="B6" s="66">
        <v>58</v>
      </c>
      <c r="C6" s="66">
        <v>19.333333333333332</v>
      </c>
      <c r="D6" s="71">
        <v>1.6666666666666667</v>
      </c>
      <c r="E6" s="67">
        <v>0.66666666666666663</v>
      </c>
      <c r="F6" s="67">
        <v>0.33333333333333331</v>
      </c>
      <c r="G6" s="67">
        <v>0.41176470588235292</v>
      </c>
      <c r="H6" s="67">
        <v>0.23529411764705882</v>
      </c>
      <c r="I6" s="68">
        <v>12157.142857142857</v>
      </c>
      <c r="J6" s="68">
        <v>-6900</v>
      </c>
      <c r="K6" s="67">
        <v>0.33333333333333331</v>
      </c>
      <c r="L6" s="67">
        <v>0.33333333333333331</v>
      </c>
      <c r="M6" s="67">
        <v>0.52941176470588236</v>
      </c>
      <c r="N6" s="67">
        <v>0</v>
      </c>
      <c r="O6" s="67">
        <v>0.77777777777777779</v>
      </c>
      <c r="P6" s="67">
        <v>0</v>
      </c>
      <c r="Q6" s="67">
        <v>0.42857142857142855</v>
      </c>
    </row>
    <row r="7" spans="1:17" x14ac:dyDescent="0.4">
      <c r="A7" s="69">
        <v>4</v>
      </c>
      <c r="B7" s="66">
        <v>54</v>
      </c>
      <c r="C7" s="66">
        <v>13.5</v>
      </c>
      <c r="D7" s="71">
        <v>1.75</v>
      </c>
      <c r="E7" s="67">
        <v>0.5</v>
      </c>
      <c r="F7" s="67">
        <v>0.25</v>
      </c>
      <c r="G7" s="67">
        <v>0.40909090909090912</v>
      </c>
      <c r="H7" s="67">
        <v>0.18181818181818182</v>
      </c>
      <c r="I7" s="68">
        <v>10611.111111111111</v>
      </c>
      <c r="J7" s="68">
        <v>-6900</v>
      </c>
      <c r="K7" s="67">
        <v>0.25</v>
      </c>
      <c r="L7" s="67">
        <v>0.25</v>
      </c>
      <c r="M7" s="67">
        <v>0.54545454545454541</v>
      </c>
      <c r="N7" s="67">
        <v>0</v>
      </c>
      <c r="O7" s="67">
        <v>0.75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10.399999999999999</v>
      </c>
      <c r="C8" s="66">
        <v>2.0799999999999996</v>
      </c>
      <c r="D8" s="71">
        <v>2</v>
      </c>
      <c r="E8" s="67">
        <v>0.4</v>
      </c>
      <c r="F8" s="67">
        <v>0.4</v>
      </c>
      <c r="G8" s="67">
        <v>0.34482758620689657</v>
      </c>
      <c r="H8" s="67">
        <v>0.2413793103448276</v>
      </c>
      <c r="I8" s="68">
        <v>10080</v>
      </c>
      <c r="J8" s="68">
        <v>-8071.4285714285716</v>
      </c>
      <c r="K8" s="67">
        <v>0.2</v>
      </c>
      <c r="L8" s="67">
        <v>0.2</v>
      </c>
      <c r="M8" s="67">
        <v>0.55172413793103448</v>
      </c>
      <c r="N8" s="67">
        <v>0</v>
      </c>
      <c r="O8" s="67">
        <v>0.625</v>
      </c>
      <c r="P8" s="67">
        <v>0</v>
      </c>
      <c r="Q8" s="67">
        <v>0.4</v>
      </c>
    </row>
    <row r="9" spans="1:17" x14ac:dyDescent="0.4">
      <c r="A9" s="69">
        <v>6</v>
      </c>
      <c r="B9" s="66">
        <v>-3.9000000000000021</v>
      </c>
      <c r="C9" s="66">
        <v>-0.65000000000000036</v>
      </c>
      <c r="D9" s="71">
        <v>2</v>
      </c>
      <c r="E9" s="67">
        <v>0.33333333333333331</v>
      </c>
      <c r="F9" s="67">
        <v>0.33333333333333331</v>
      </c>
      <c r="G9" s="67">
        <v>0.35897435897435898</v>
      </c>
      <c r="H9" s="67">
        <v>0.25641025641025639</v>
      </c>
      <c r="I9" s="68">
        <v>8478.5714285714294</v>
      </c>
      <c r="J9" s="68">
        <v>-8440</v>
      </c>
      <c r="K9" s="67">
        <v>0.16666666666666666</v>
      </c>
      <c r="L9" s="67">
        <v>0.16666666666666666</v>
      </c>
      <c r="M9" s="67">
        <v>0.61538461538461542</v>
      </c>
      <c r="N9" s="67">
        <v>0</v>
      </c>
      <c r="O9" s="67">
        <v>0.58333333333333337</v>
      </c>
      <c r="P9" s="67">
        <v>0</v>
      </c>
      <c r="Q9" s="67">
        <v>0.42857142857142855</v>
      </c>
    </row>
    <row r="10" spans="1:17" x14ac:dyDescent="0.4">
      <c r="A10" s="69">
        <v>7</v>
      </c>
      <c r="B10" s="66">
        <v>-10.200000000000003</v>
      </c>
      <c r="C10" s="66">
        <v>-1.4571428571428575</v>
      </c>
      <c r="D10" s="71">
        <v>2</v>
      </c>
      <c r="E10" s="67">
        <v>0.2857142857142857</v>
      </c>
      <c r="F10" s="67">
        <v>0.2857142857142857</v>
      </c>
      <c r="G10" s="67">
        <v>0.35555555555555557</v>
      </c>
      <c r="H10" s="67">
        <v>0.26666666666666666</v>
      </c>
      <c r="I10" s="68">
        <v>8493.75</v>
      </c>
      <c r="J10" s="68">
        <v>-9200</v>
      </c>
      <c r="K10" s="67">
        <v>0.14285714285714285</v>
      </c>
      <c r="L10" s="67">
        <v>0.14285714285714285</v>
      </c>
      <c r="M10" s="67">
        <v>0.62222222222222223</v>
      </c>
      <c r="N10" s="67">
        <v>0</v>
      </c>
      <c r="O10" s="67">
        <v>0.5714285714285714</v>
      </c>
      <c r="P10" s="67">
        <v>0</v>
      </c>
      <c r="Q10" s="67">
        <v>0.4375</v>
      </c>
    </row>
    <row r="11" spans="1:17" x14ac:dyDescent="0.4">
      <c r="A11" s="69">
        <v>8</v>
      </c>
      <c r="B11" s="66">
        <v>-16.600000000000001</v>
      </c>
      <c r="C11" s="66">
        <v>-2.0750000000000002</v>
      </c>
      <c r="D11" s="71">
        <v>2</v>
      </c>
      <c r="E11" s="67">
        <v>0.25</v>
      </c>
      <c r="F11" s="67">
        <v>0.25</v>
      </c>
      <c r="G11" s="67">
        <v>0.32075471698113206</v>
      </c>
      <c r="H11" s="67">
        <v>0.24528301886792453</v>
      </c>
      <c r="I11" s="68">
        <v>8464.7058823529405</v>
      </c>
      <c r="J11" s="68">
        <v>-8792.3076923076915</v>
      </c>
      <c r="K11" s="67">
        <v>0.125</v>
      </c>
      <c r="L11" s="67">
        <v>0.125</v>
      </c>
      <c r="M11" s="67">
        <v>0.60377358490566035</v>
      </c>
      <c r="N11" s="67">
        <v>0</v>
      </c>
      <c r="O11" s="67">
        <v>0.53125</v>
      </c>
      <c r="P11" s="67">
        <v>0</v>
      </c>
      <c r="Q11" s="67">
        <v>0.41176470588235292</v>
      </c>
    </row>
    <row r="12" spans="1:17" x14ac:dyDescent="0.4">
      <c r="A12" s="69">
        <v>9</v>
      </c>
      <c r="B12" s="66">
        <v>-64.800000000000011</v>
      </c>
      <c r="C12" s="66">
        <v>-7.2000000000000011</v>
      </c>
      <c r="D12" s="71">
        <v>2.1111111111111112</v>
      </c>
      <c r="E12" s="67">
        <v>0.22222222222222221</v>
      </c>
      <c r="F12" s="67">
        <v>0.33333333333333331</v>
      </c>
      <c r="G12" s="67">
        <v>0.29230769230769232</v>
      </c>
      <c r="H12" s="67">
        <v>0.24615384615384617</v>
      </c>
      <c r="I12" s="68">
        <v>8463.1578947368416</v>
      </c>
      <c r="J12" s="68">
        <v>-8618.75</v>
      </c>
      <c r="K12" s="67">
        <v>0.1111111111111111</v>
      </c>
      <c r="L12" s="67">
        <v>0.1111111111111111</v>
      </c>
      <c r="M12" s="67">
        <v>0.6</v>
      </c>
      <c r="N12" s="67">
        <v>0</v>
      </c>
      <c r="O12" s="67">
        <v>0.48717948717948717</v>
      </c>
      <c r="P12" s="67">
        <v>0</v>
      </c>
      <c r="Q12" s="67">
        <v>0.47368421052631576</v>
      </c>
    </row>
    <row r="13" spans="1:17" x14ac:dyDescent="0.4">
      <c r="A13" s="69">
        <v>10</v>
      </c>
      <c r="B13" s="66">
        <v>-41.600000000000009</v>
      </c>
      <c r="C13" s="66">
        <v>-4.160000000000001</v>
      </c>
      <c r="D13" s="71">
        <v>2</v>
      </c>
      <c r="E13" s="67">
        <v>0.3</v>
      </c>
      <c r="F13" s="67">
        <v>0.3</v>
      </c>
      <c r="G13" s="67">
        <v>0.29577464788732394</v>
      </c>
      <c r="H13" s="67">
        <v>0.22535211267605634</v>
      </c>
      <c r="I13" s="68">
        <v>8190.4761904761908</v>
      </c>
      <c r="J13" s="68">
        <v>-8618.75</v>
      </c>
      <c r="K13" s="67">
        <v>0.1</v>
      </c>
      <c r="L13" s="67">
        <v>0.1</v>
      </c>
      <c r="M13" s="67">
        <v>0.59154929577464788</v>
      </c>
      <c r="N13" s="67">
        <v>0</v>
      </c>
      <c r="O13" s="67">
        <v>0.5</v>
      </c>
      <c r="P13" s="67">
        <v>0</v>
      </c>
      <c r="Q13" s="67">
        <v>0.42857142857142855</v>
      </c>
    </row>
    <row r="14" spans="1:17" x14ac:dyDescent="0.4">
      <c r="A14" s="69">
        <v>11</v>
      </c>
      <c r="B14" s="66">
        <v>-6.4000000000000057</v>
      </c>
      <c r="C14" s="66">
        <v>-0.58181818181818235</v>
      </c>
      <c r="D14" s="71">
        <v>1.9090909090909092</v>
      </c>
      <c r="E14" s="67">
        <v>0.36363636363636365</v>
      </c>
      <c r="F14" s="67">
        <v>0.27272727272727271</v>
      </c>
      <c r="G14" s="67">
        <v>0.29487179487179488</v>
      </c>
      <c r="H14" s="67">
        <v>0.20512820512820512</v>
      </c>
      <c r="I14" s="68">
        <v>8226.0869565217399</v>
      </c>
      <c r="J14" s="68">
        <v>-8618.75</v>
      </c>
      <c r="K14" s="67">
        <v>9.0909090909090912E-2</v>
      </c>
      <c r="L14" s="67">
        <v>9.0909090909090912E-2</v>
      </c>
      <c r="M14" s="67">
        <v>0.60256410256410253</v>
      </c>
      <c r="N14" s="67">
        <v>0</v>
      </c>
      <c r="O14" s="67">
        <v>0.48936170212765956</v>
      </c>
      <c r="P14" s="67">
        <v>0</v>
      </c>
      <c r="Q14" s="67">
        <v>0.39130434782608697</v>
      </c>
    </row>
    <row r="15" spans="1:17" x14ac:dyDescent="0.4">
      <c r="A15" s="69">
        <v>12</v>
      </c>
      <c r="B15" s="66">
        <v>2.5999999999999943</v>
      </c>
      <c r="C15" s="66">
        <v>0.2166666666666662</v>
      </c>
      <c r="D15" s="71">
        <v>1.9166666666666667</v>
      </c>
      <c r="E15" s="67">
        <v>0.33333333333333331</v>
      </c>
      <c r="F15" s="67">
        <v>0.25</v>
      </c>
      <c r="G15" s="67">
        <v>0.29545454545454547</v>
      </c>
      <c r="H15" s="67">
        <v>0.22727272727272727</v>
      </c>
      <c r="I15" s="68">
        <v>8342.3076923076915</v>
      </c>
      <c r="J15" s="68">
        <v>-7730</v>
      </c>
      <c r="K15" s="67">
        <v>8.3333333333333329E-2</v>
      </c>
      <c r="L15" s="67">
        <v>8.3333333333333329E-2</v>
      </c>
      <c r="M15" s="67">
        <v>0.61363636363636365</v>
      </c>
      <c r="N15" s="67">
        <v>0</v>
      </c>
      <c r="O15" s="67">
        <v>0.48148148148148145</v>
      </c>
      <c r="P15" s="67">
        <v>0</v>
      </c>
      <c r="Q15" s="67">
        <v>0.34615384615384615</v>
      </c>
    </row>
    <row r="16" spans="1:17" x14ac:dyDescent="0.4">
      <c r="A16" s="69">
        <v>13</v>
      </c>
      <c r="B16" s="66">
        <v>0.79999999999999427</v>
      </c>
      <c r="C16" s="66">
        <v>6.1538461538461098E-2</v>
      </c>
      <c r="D16" s="71">
        <v>1.9230769230769231</v>
      </c>
      <c r="E16" s="67">
        <v>0.30769230769230771</v>
      </c>
      <c r="F16" s="67">
        <v>0.23076923076923078</v>
      </c>
      <c r="G16" s="67">
        <v>0.29591836734693877</v>
      </c>
      <c r="H16" s="67">
        <v>0.22448979591836735</v>
      </c>
      <c r="I16" s="68">
        <v>7768.9655172413795</v>
      </c>
      <c r="J16" s="68">
        <v>-7468.181818181818</v>
      </c>
      <c r="K16" s="67">
        <v>7.6923076923076927E-2</v>
      </c>
      <c r="L16" s="67">
        <v>7.6923076923076927E-2</v>
      </c>
      <c r="M16" s="67">
        <v>0.5714285714285714</v>
      </c>
      <c r="N16" s="67">
        <v>4.0816326530612242E-2</v>
      </c>
      <c r="O16" s="67">
        <v>0.48214285714285715</v>
      </c>
      <c r="P16" s="67">
        <v>0.5</v>
      </c>
      <c r="Q16" s="67">
        <v>0.34482758620689657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99AB-B93B-4BD3-9DB2-D4C5622C161C}">
  <sheetPr codeName="Sheet10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</v>
      </c>
      <c r="C4" s="66">
        <v>-57</v>
      </c>
      <c r="D4" s="71">
        <v>3</v>
      </c>
      <c r="E4" s="67">
        <v>0</v>
      </c>
      <c r="F4" s="67">
        <v>1</v>
      </c>
      <c r="G4" s="67">
        <v>0</v>
      </c>
      <c r="H4" s="67">
        <v>0.5</v>
      </c>
      <c r="I4" s="68">
        <v>0</v>
      </c>
      <c r="J4" s="68">
        <v>-32000</v>
      </c>
      <c r="K4" s="67">
        <v>1</v>
      </c>
      <c r="L4" s="67">
        <v>0</v>
      </c>
      <c r="M4" s="67">
        <v>0.5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-39.299999999999997</v>
      </c>
      <c r="C5" s="66">
        <v>-19.649999999999999</v>
      </c>
      <c r="D5" s="71">
        <v>2.5</v>
      </c>
      <c r="E5" s="67">
        <v>0</v>
      </c>
      <c r="F5" s="67">
        <v>0.5</v>
      </c>
      <c r="G5" s="67">
        <v>0.2857142857142857</v>
      </c>
      <c r="H5" s="67">
        <v>0.2857142857142857</v>
      </c>
      <c r="I5" s="68">
        <v>13000</v>
      </c>
      <c r="J5" s="68">
        <v>-16650</v>
      </c>
      <c r="K5" s="67">
        <v>0.5</v>
      </c>
      <c r="L5" s="67">
        <v>0</v>
      </c>
      <c r="M5" s="67">
        <v>0.42857142857142855</v>
      </c>
      <c r="N5" s="67">
        <v>0</v>
      </c>
      <c r="O5" s="67">
        <v>0.66666666666666663</v>
      </c>
      <c r="P5" s="67">
        <v>0</v>
      </c>
      <c r="Q5" s="67">
        <v>0.5</v>
      </c>
    </row>
    <row r="6" spans="1:17" x14ac:dyDescent="0.4">
      <c r="A6" s="69">
        <v>3</v>
      </c>
      <c r="B6" s="66">
        <v>-88.4</v>
      </c>
      <c r="C6" s="66">
        <v>-29.466666666666669</v>
      </c>
      <c r="D6" s="71">
        <v>2.6666666666666665</v>
      </c>
      <c r="E6" s="67">
        <v>0</v>
      </c>
      <c r="F6" s="67">
        <v>0.66666666666666663</v>
      </c>
      <c r="G6" s="67">
        <v>0.17647058823529413</v>
      </c>
      <c r="H6" s="67">
        <v>0.23529411764705882</v>
      </c>
      <c r="I6" s="68">
        <v>11333.333333333334</v>
      </c>
      <c r="J6" s="68">
        <v>-12325</v>
      </c>
      <c r="K6" s="67">
        <v>0.33333333333333331</v>
      </c>
      <c r="L6" s="67">
        <v>0</v>
      </c>
      <c r="M6" s="67">
        <v>0.35294117647058826</v>
      </c>
      <c r="N6" s="67">
        <v>0</v>
      </c>
      <c r="O6" s="67">
        <v>0.5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-28.400000000000006</v>
      </c>
      <c r="C7" s="66">
        <v>-7.1000000000000014</v>
      </c>
      <c r="D7" s="71">
        <v>2.25</v>
      </c>
      <c r="E7" s="67">
        <v>0.25</v>
      </c>
      <c r="F7" s="67">
        <v>0.5</v>
      </c>
      <c r="G7" s="67">
        <v>0.27272727272727271</v>
      </c>
      <c r="H7" s="67">
        <v>0.18181818181818182</v>
      </c>
      <c r="I7" s="68">
        <v>11833.333333333334</v>
      </c>
      <c r="J7" s="68">
        <v>-12325</v>
      </c>
      <c r="K7" s="67">
        <v>0.25</v>
      </c>
      <c r="L7" s="67">
        <v>0.25</v>
      </c>
      <c r="M7" s="67">
        <v>0.31818181818181818</v>
      </c>
      <c r="N7" s="67">
        <v>0</v>
      </c>
      <c r="O7" s="67">
        <v>0.5714285714285714</v>
      </c>
      <c r="P7" s="67">
        <v>0</v>
      </c>
      <c r="Q7" s="67">
        <v>0.5</v>
      </c>
    </row>
    <row r="8" spans="1:17" x14ac:dyDescent="0.4">
      <c r="A8" s="69">
        <v>5</v>
      </c>
      <c r="B8" s="66">
        <v>-20.500000000000007</v>
      </c>
      <c r="C8" s="66">
        <v>-4.1000000000000014</v>
      </c>
      <c r="D8" s="71">
        <v>2.2000000000000002</v>
      </c>
      <c r="E8" s="67">
        <v>0.2</v>
      </c>
      <c r="F8" s="67">
        <v>0.4</v>
      </c>
      <c r="G8" s="67">
        <v>0.27586206896551724</v>
      </c>
      <c r="H8" s="67">
        <v>0.13793103448275862</v>
      </c>
      <c r="I8" s="68">
        <v>10025</v>
      </c>
      <c r="J8" s="68">
        <v>-12325</v>
      </c>
      <c r="K8" s="67">
        <v>0.2</v>
      </c>
      <c r="L8" s="67">
        <v>0.2</v>
      </c>
      <c r="M8" s="67">
        <v>0.37931034482758619</v>
      </c>
      <c r="N8" s="67">
        <v>0</v>
      </c>
      <c r="O8" s="67">
        <v>0.54545454545454541</v>
      </c>
      <c r="P8" s="67">
        <v>0</v>
      </c>
      <c r="Q8" s="67">
        <v>0.5</v>
      </c>
    </row>
    <row r="9" spans="1:17" x14ac:dyDescent="0.4">
      <c r="A9" s="69">
        <v>6</v>
      </c>
      <c r="B9" s="66">
        <v>-63.500000000000007</v>
      </c>
      <c r="C9" s="66">
        <v>-10.583333333333334</v>
      </c>
      <c r="D9" s="71">
        <v>2.3333333333333335</v>
      </c>
      <c r="E9" s="67">
        <v>0.16666666666666666</v>
      </c>
      <c r="F9" s="67">
        <v>0.5</v>
      </c>
      <c r="G9" s="67">
        <v>0.23076923076923078</v>
      </c>
      <c r="H9" s="67">
        <v>0.15384615384615385</v>
      </c>
      <c r="I9" s="68">
        <v>9144.4444444444453</v>
      </c>
      <c r="J9" s="68">
        <v>-10700</v>
      </c>
      <c r="K9" s="67">
        <v>0.16666666666666666</v>
      </c>
      <c r="L9" s="67">
        <v>0.16666666666666666</v>
      </c>
      <c r="M9" s="67">
        <v>0.33333333333333331</v>
      </c>
      <c r="N9" s="67">
        <v>0</v>
      </c>
      <c r="O9" s="67">
        <v>0.46153846153846156</v>
      </c>
      <c r="P9" s="67">
        <v>0</v>
      </c>
      <c r="Q9" s="67">
        <v>0.55555555555555558</v>
      </c>
    </row>
    <row r="10" spans="1:17" x14ac:dyDescent="0.4">
      <c r="A10" s="69">
        <v>7</v>
      </c>
      <c r="B10" s="66">
        <v>-119.70000000000002</v>
      </c>
      <c r="C10" s="66">
        <v>-17.100000000000001</v>
      </c>
      <c r="D10" s="71">
        <v>2.4285714285714284</v>
      </c>
      <c r="E10" s="67">
        <v>0.14285714285714285</v>
      </c>
      <c r="F10" s="67">
        <v>0.5714285714285714</v>
      </c>
      <c r="G10" s="67">
        <v>0.2</v>
      </c>
      <c r="H10" s="67">
        <v>0.17777777777777778</v>
      </c>
      <c r="I10" s="68">
        <v>9144.4444444444453</v>
      </c>
      <c r="J10" s="68">
        <v>-10925</v>
      </c>
      <c r="K10" s="67">
        <v>0.2857142857142857</v>
      </c>
      <c r="L10" s="67">
        <v>0.14285714285714285</v>
      </c>
      <c r="M10" s="67">
        <v>0.37777777777777777</v>
      </c>
      <c r="N10" s="67">
        <v>2.2222222222222223E-2</v>
      </c>
      <c r="O10" s="67">
        <v>0.35294117647058826</v>
      </c>
      <c r="P10" s="67">
        <v>0</v>
      </c>
      <c r="Q10" s="67">
        <v>0.55555555555555558</v>
      </c>
    </row>
    <row r="11" spans="1:17" x14ac:dyDescent="0.4">
      <c r="A11" s="69">
        <v>8</v>
      </c>
      <c r="B11" s="66">
        <v>-56.90000000000002</v>
      </c>
      <c r="C11" s="66">
        <v>-7.1125000000000025</v>
      </c>
      <c r="D11" s="71">
        <v>2.25</v>
      </c>
      <c r="E11" s="67">
        <v>0.25</v>
      </c>
      <c r="F11" s="67">
        <v>0.5</v>
      </c>
      <c r="G11" s="67">
        <v>0.30188679245283018</v>
      </c>
      <c r="H11" s="67">
        <v>0.16981132075471697</v>
      </c>
      <c r="I11" s="68">
        <v>8006.25</v>
      </c>
      <c r="J11" s="68">
        <v>-10600</v>
      </c>
      <c r="K11" s="67">
        <v>0.25</v>
      </c>
      <c r="L11" s="67">
        <v>0.25</v>
      </c>
      <c r="M11" s="67">
        <v>0.43396226415094341</v>
      </c>
      <c r="N11" s="67">
        <v>3.7735849056603772E-2</v>
      </c>
      <c r="O11" s="67">
        <v>0.52173913043478259</v>
      </c>
      <c r="P11" s="67">
        <v>0.5</v>
      </c>
      <c r="Q11" s="67">
        <v>0.4375</v>
      </c>
    </row>
    <row r="12" spans="1:17" x14ac:dyDescent="0.4">
      <c r="A12" s="69">
        <v>9</v>
      </c>
      <c r="B12" s="66">
        <v>-54.300000000000018</v>
      </c>
      <c r="C12" s="66">
        <v>-6.033333333333335</v>
      </c>
      <c r="D12" s="71">
        <v>2.2222222222222223</v>
      </c>
      <c r="E12" s="67">
        <v>0.22222222222222221</v>
      </c>
      <c r="F12" s="67">
        <v>0.44444444444444442</v>
      </c>
      <c r="G12" s="67">
        <v>0.30769230769230771</v>
      </c>
      <c r="H12" s="67">
        <v>0.16923076923076924</v>
      </c>
      <c r="I12" s="68">
        <v>8155</v>
      </c>
      <c r="J12" s="68">
        <v>-9727.2727272727279</v>
      </c>
      <c r="K12" s="67">
        <v>0.22222222222222221</v>
      </c>
      <c r="L12" s="67">
        <v>0.22222222222222221</v>
      </c>
      <c r="M12" s="67">
        <v>0.41538461538461541</v>
      </c>
      <c r="N12" s="67">
        <v>4.6153846153846156E-2</v>
      </c>
      <c r="O12" s="67">
        <v>0.55555555555555558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-80.000000000000014</v>
      </c>
      <c r="C13" s="66">
        <v>-8.0000000000000018</v>
      </c>
      <c r="D13" s="71">
        <v>2.2999999999999998</v>
      </c>
      <c r="E13" s="67">
        <v>0.2</v>
      </c>
      <c r="F13" s="67">
        <v>0.5</v>
      </c>
      <c r="G13" s="67">
        <v>0.30985915492957744</v>
      </c>
      <c r="H13" s="67">
        <v>0.18309859154929578</v>
      </c>
      <c r="I13" s="68">
        <v>7868.181818181818</v>
      </c>
      <c r="J13" s="68">
        <v>-9092.3076923076915</v>
      </c>
      <c r="K13" s="67">
        <v>0.2</v>
      </c>
      <c r="L13" s="67">
        <v>0.2</v>
      </c>
      <c r="M13" s="67">
        <v>0.40845070422535212</v>
      </c>
      <c r="N13" s="67">
        <v>5.6338028169014086E-2</v>
      </c>
      <c r="O13" s="67">
        <v>0.55172413793103448</v>
      </c>
      <c r="P13" s="67">
        <v>0.75</v>
      </c>
      <c r="Q13" s="67">
        <v>0.36363636363636365</v>
      </c>
    </row>
    <row r="14" spans="1:17" x14ac:dyDescent="0.4">
      <c r="A14" s="69">
        <v>11</v>
      </c>
      <c r="B14" s="66">
        <v>-78.40000000000002</v>
      </c>
      <c r="C14" s="66">
        <v>-7.1272727272727288</v>
      </c>
      <c r="D14" s="71">
        <v>2.2727272727272729</v>
      </c>
      <c r="E14" s="67">
        <v>0.18181818181818182</v>
      </c>
      <c r="F14" s="67">
        <v>0.45454545454545453</v>
      </c>
      <c r="G14" s="67">
        <v>0.32051282051282054</v>
      </c>
      <c r="H14" s="67">
        <v>0.19230769230769232</v>
      </c>
      <c r="I14" s="68">
        <v>7508</v>
      </c>
      <c r="J14" s="68">
        <v>-8813.3333333333339</v>
      </c>
      <c r="K14" s="67">
        <v>0.18181818181818182</v>
      </c>
      <c r="L14" s="67">
        <v>0.18181818181818182</v>
      </c>
      <c r="M14" s="67">
        <v>0.38461538461538464</v>
      </c>
      <c r="N14" s="67">
        <v>7.6923076923076927E-2</v>
      </c>
      <c r="O14" s="67">
        <v>0.56666666666666665</v>
      </c>
      <c r="P14" s="67">
        <v>0.83333333333333337</v>
      </c>
      <c r="Q14" s="67">
        <v>0.36</v>
      </c>
    </row>
    <row r="15" spans="1:17" x14ac:dyDescent="0.4">
      <c r="A15" s="69">
        <v>12</v>
      </c>
      <c r="B15" s="66">
        <v>-122.30000000000001</v>
      </c>
      <c r="C15" s="66">
        <v>-10.191666666666668</v>
      </c>
      <c r="D15" s="71">
        <v>2.3333333333333335</v>
      </c>
      <c r="E15" s="67">
        <v>0.16666666666666666</v>
      </c>
      <c r="F15" s="67">
        <v>0.5</v>
      </c>
      <c r="G15" s="67">
        <v>0.29545454545454547</v>
      </c>
      <c r="H15" s="67">
        <v>0.20454545454545456</v>
      </c>
      <c r="I15" s="68">
        <v>7369.2307692307695</v>
      </c>
      <c r="J15" s="68">
        <v>-8750</v>
      </c>
      <c r="K15" s="67">
        <v>0.16666666666666666</v>
      </c>
      <c r="L15" s="67">
        <v>0.16666666666666666</v>
      </c>
      <c r="M15" s="67">
        <v>0.375</v>
      </c>
      <c r="N15" s="67">
        <v>6.8181818181818177E-2</v>
      </c>
      <c r="O15" s="67">
        <v>0.54545454545454541</v>
      </c>
      <c r="P15" s="67">
        <v>0.83333333333333337</v>
      </c>
      <c r="Q15" s="67">
        <v>0.34615384615384615</v>
      </c>
    </row>
    <row r="16" spans="1:17" x14ac:dyDescent="0.4">
      <c r="A16" s="69">
        <v>13</v>
      </c>
      <c r="B16" s="66">
        <v>-170.60000000000002</v>
      </c>
      <c r="C16" s="66">
        <v>-13.123076923076924</v>
      </c>
      <c r="D16" s="71">
        <v>2.3846153846153846</v>
      </c>
      <c r="E16" s="67">
        <v>0.15384615384615385</v>
      </c>
      <c r="F16" s="67">
        <v>0.53846153846153844</v>
      </c>
      <c r="G16" s="67">
        <v>0.27551020408163263</v>
      </c>
      <c r="H16" s="67">
        <v>0.22448979591836735</v>
      </c>
      <c r="I16" s="68">
        <v>7240.7407407407409</v>
      </c>
      <c r="J16" s="68">
        <v>-7918.181818181818</v>
      </c>
      <c r="K16" s="67">
        <v>0.15384615384615385</v>
      </c>
      <c r="L16" s="67">
        <v>0.15384615384615385</v>
      </c>
      <c r="M16" s="67">
        <v>0.37755102040816324</v>
      </c>
      <c r="N16" s="67">
        <v>7.1428571428571425E-2</v>
      </c>
      <c r="O16" s="67">
        <v>0.48648648648648651</v>
      </c>
      <c r="P16" s="67">
        <v>0.8571428571428571</v>
      </c>
      <c r="Q16" s="67">
        <v>0.33333333333333331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84559-C55D-4C4D-B6AE-A140F2C71BFB}">
  <sheetPr codeName="Sheet8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</v>
      </c>
      <c r="C4" s="66">
        <v>7</v>
      </c>
      <c r="D4" s="71">
        <v>2</v>
      </c>
      <c r="E4" s="67">
        <v>0</v>
      </c>
      <c r="F4" s="67">
        <v>0</v>
      </c>
      <c r="G4" s="67">
        <v>0.5</v>
      </c>
      <c r="H4" s="67">
        <v>0</v>
      </c>
      <c r="I4" s="68">
        <v>6000</v>
      </c>
      <c r="J4" s="68">
        <v>0</v>
      </c>
      <c r="K4" s="67">
        <v>0</v>
      </c>
      <c r="L4" s="67">
        <v>0</v>
      </c>
      <c r="M4" s="67">
        <v>0.5</v>
      </c>
      <c r="N4" s="67">
        <v>0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46.3</v>
      </c>
      <c r="C5" s="66">
        <v>23.15</v>
      </c>
      <c r="D5" s="71">
        <v>1.5</v>
      </c>
      <c r="E5" s="67">
        <v>0.5</v>
      </c>
      <c r="F5" s="67">
        <v>0</v>
      </c>
      <c r="G5" s="67">
        <v>0.5714285714285714</v>
      </c>
      <c r="H5" s="67">
        <v>0</v>
      </c>
      <c r="I5" s="68">
        <v>8325</v>
      </c>
      <c r="J5" s="68">
        <v>0</v>
      </c>
      <c r="K5" s="67">
        <v>0</v>
      </c>
      <c r="L5" s="67">
        <v>0.5</v>
      </c>
      <c r="M5" s="67">
        <v>0.5714285714285714</v>
      </c>
      <c r="N5" s="67">
        <v>0</v>
      </c>
      <c r="O5" s="67">
        <v>1</v>
      </c>
      <c r="P5" s="67">
        <v>0</v>
      </c>
      <c r="Q5" s="67">
        <v>0.5</v>
      </c>
    </row>
    <row r="6" spans="1:17" x14ac:dyDescent="0.4">
      <c r="A6" s="69">
        <v>3</v>
      </c>
      <c r="B6" s="66">
        <v>30.4</v>
      </c>
      <c r="C6" s="66">
        <v>10.133333333333333</v>
      </c>
      <c r="D6" s="71">
        <v>1.6666666666666667</v>
      </c>
      <c r="E6" s="67">
        <v>0.33333333333333331</v>
      </c>
      <c r="F6" s="67">
        <v>0</v>
      </c>
      <c r="G6" s="67">
        <v>0.35294117647058826</v>
      </c>
      <c r="H6" s="67">
        <v>0.11764705882352941</v>
      </c>
      <c r="I6" s="68">
        <v>7483.333333333333</v>
      </c>
      <c r="J6" s="68">
        <v>-5950</v>
      </c>
      <c r="K6" s="67">
        <v>0</v>
      </c>
      <c r="L6" s="67">
        <v>0.33333333333333331</v>
      </c>
      <c r="M6" s="67">
        <v>0.47058823529411764</v>
      </c>
      <c r="N6" s="67">
        <v>0</v>
      </c>
      <c r="O6" s="67">
        <v>0.75</v>
      </c>
      <c r="P6" s="67">
        <v>0</v>
      </c>
      <c r="Q6" s="67">
        <v>0.33333333333333331</v>
      </c>
    </row>
    <row r="7" spans="1:17" x14ac:dyDescent="0.4">
      <c r="A7" s="69">
        <v>4</v>
      </c>
      <c r="B7" s="66">
        <v>-25.6</v>
      </c>
      <c r="C7" s="66">
        <v>-6.4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0.22727272727272727</v>
      </c>
      <c r="I7" s="68">
        <v>7483.333333333333</v>
      </c>
      <c r="J7" s="68">
        <v>-5500</v>
      </c>
      <c r="K7" s="67">
        <v>0.25</v>
      </c>
      <c r="L7" s="67">
        <v>0.25</v>
      </c>
      <c r="M7" s="67">
        <v>0.45454545454545453</v>
      </c>
      <c r="N7" s="67">
        <v>0</v>
      </c>
      <c r="O7" s="67">
        <v>0.6</v>
      </c>
      <c r="P7" s="67">
        <v>0</v>
      </c>
      <c r="Q7" s="67">
        <v>0.33333333333333331</v>
      </c>
    </row>
    <row r="8" spans="1:17" x14ac:dyDescent="0.4">
      <c r="A8" s="69">
        <v>5</v>
      </c>
      <c r="B8" s="66">
        <v>10.100000000000001</v>
      </c>
      <c r="C8" s="66">
        <v>2.0200000000000005</v>
      </c>
      <c r="D8" s="71">
        <v>1.8</v>
      </c>
      <c r="E8" s="67">
        <v>0.4</v>
      </c>
      <c r="F8" s="67">
        <v>0.2</v>
      </c>
      <c r="G8" s="67">
        <v>0.27586206896551724</v>
      </c>
      <c r="H8" s="67">
        <v>0.17241379310344829</v>
      </c>
      <c r="I8" s="68">
        <v>8575</v>
      </c>
      <c r="J8" s="68">
        <v>-5500</v>
      </c>
      <c r="K8" s="67">
        <v>0.2</v>
      </c>
      <c r="L8" s="67">
        <v>0.2</v>
      </c>
      <c r="M8" s="67">
        <v>0.48275862068965519</v>
      </c>
      <c r="N8" s="67">
        <v>0</v>
      </c>
      <c r="O8" s="67">
        <v>0.5714285714285714</v>
      </c>
      <c r="P8" s="67">
        <v>0</v>
      </c>
      <c r="Q8" s="67">
        <v>0.25</v>
      </c>
    </row>
    <row r="9" spans="1:17" x14ac:dyDescent="0.4">
      <c r="A9" s="69">
        <v>6</v>
      </c>
      <c r="B9" s="66">
        <v>67.400000000000006</v>
      </c>
      <c r="C9" s="66">
        <v>11.233333333333334</v>
      </c>
      <c r="D9" s="71">
        <v>1.6666666666666667</v>
      </c>
      <c r="E9" s="67">
        <v>0.5</v>
      </c>
      <c r="F9" s="67">
        <v>0.16666666666666666</v>
      </c>
      <c r="G9" s="67">
        <v>0.33333333333333331</v>
      </c>
      <c r="H9" s="67">
        <v>0.15384615384615385</v>
      </c>
      <c r="I9" s="68">
        <v>8807.6923076923085</v>
      </c>
      <c r="J9" s="68">
        <v>-5450</v>
      </c>
      <c r="K9" s="67">
        <v>0.16666666666666666</v>
      </c>
      <c r="L9" s="67">
        <v>0.16666666666666666</v>
      </c>
      <c r="M9" s="67">
        <v>0.5641025641025641</v>
      </c>
      <c r="N9" s="67">
        <v>0</v>
      </c>
      <c r="O9" s="67">
        <v>0.59090909090909094</v>
      </c>
      <c r="P9" s="67">
        <v>0</v>
      </c>
      <c r="Q9" s="67">
        <v>0.23076923076923078</v>
      </c>
    </row>
    <row r="10" spans="1:17" x14ac:dyDescent="0.4">
      <c r="A10" s="69">
        <v>7</v>
      </c>
      <c r="B10" s="66">
        <v>129.9</v>
      </c>
      <c r="C10" s="66">
        <v>18.557142857142857</v>
      </c>
      <c r="D10" s="71">
        <v>1.5714285714285714</v>
      </c>
      <c r="E10" s="67">
        <v>0.5714285714285714</v>
      </c>
      <c r="F10" s="67">
        <v>0.14285714285714285</v>
      </c>
      <c r="G10" s="67">
        <v>0.35555555555555557</v>
      </c>
      <c r="H10" s="67">
        <v>0.13333333333333333</v>
      </c>
      <c r="I10" s="68">
        <v>9906.25</v>
      </c>
      <c r="J10" s="68">
        <v>-5450</v>
      </c>
      <c r="K10" s="67">
        <v>0.14285714285714285</v>
      </c>
      <c r="L10" s="67">
        <v>0.2857142857142857</v>
      </c>
      <c r="M10" s="67">
        <v>0.55555555555555558</v>
      </c>
      <c r="N10" s="67">
        <v>0</v>
      </c>
      <c r="O10" s="67">
        <v>0.64</v>
      </c>
      <c r="P10" s="67">
        <v>0</v>
      </c>
      <c r="Q10" s="67">
        <v>0.1875</v>
      </c>
    </row>
    <row r="11" spans="1:17" x14ac:dyDescent="0.4">
      <c r="A11" s="69">
        <v>8</v>
      </c>
      <c r="B11" s="66">
        <v>73.5</v>
      </c>
      <c r="C11" s="66">
        <v>9.1875</v>
      </c>
      <c r="D11" s="71">
        <v>1.75</v>
      </c>
      <c r="E11" s="67">
        <v>0.5</v>
      </c>
      <c r="F11" s="67">
        <v>0.25</v>
      </c>
      <c r="G11" s="67">
        <v>0.30188679245283018</v>
      </c>
      <c r="H11" s="67">
        <v>0.18867924528301888</v>
      </c>
      <c r="I11" s="68">
        <v>9906.25</v>
      </c>
      <c r="J11" s="68">
        <v>-5460</v>
      </c>
      <c r="K11" s="67">
        <v>0.25</v>
      </c>
      <c r="L11" s="67">
        <v>0.25</v>
      </c>
      <c r="M11" s="67">
        <v>0.50943396226415094</v>
      </c>
      <c r="N11" s="67">
        <v>0</v>
      </c>
      <c r="O11" s="67">
        <v>0.59259259259259256</v>
      </c>
      <c r="P11" s="67">
        <v>0</v>
      </c>
      <c r="Q11" s="67">
        <v>0.1875</v>
      </c>
    </row>
    <row r="12" spans="1:17" x14ac:dyDescent="0.4">
      <c r="A12" s="69">
        <v>9</v>
      </c>
      <c r="B12" s="66">
        <v>119.1</v>
      </c>
      <c r="C12" s="66">
        <v>13.233333333333333</v>
      </c>
      <c r="D12" s="71">
        <v>1.6666666666666667</v>
      </c>
      <c r="E12" s="67">
        <v>0.55555555555555558</v>
      </c>
      <c r="F12" s="67">
        <v>0.22222222222222221</v>
      </c>
      <c r="G12" s="67">
        <v>0.32307692307692309</v>
      </c>
      <c r="H12" s="67">
        <v>0.18461538461538463</v>
      </c>
      <c r="I12" s="68">
        <v>9738.0952380952385</v>
      </c>
      <c r="J12" s="68">
        <v>-6033.333333333333</v>
      </c>
      <c r="K12" s="67">
        <v>0.22222222222222221</v>
      </c>
      <c r="L12" s="67">
        <v>0.22222222222222221</v>
      </c>
      <c r="M12" s="67">
        <v>0.49230769230769234</v>
      </c>
      <c r="N12" s="67">
        <v>0</v>
      </c>
      <c r="O12" s="67">
        <v>0.65625</v>
      </c>
      <c r="P12" s="67">
        <v>0</v>
      </c>
      <c r="Q12" s="67">
        <v>0.23809523809523808</v>
      </c>
    </row>
    <row r="13" spans="1:17" x14ac:dyDescent="0.4">
      <c r="A13" s="69">
        <v>10</v>
      </c>
      <c r="B13" s="66">
        <v>121.6</v>
      </c>
      <c r="C13" s="66">
        <v>12.16</v>
      </c>
      <c r="D13" s="71">
        <v>1.7</v>
      </c>
      <c r="E13" s="67">
        <v>0.5</v>
      </c>
      <c r="F13" s="67">
        <v>0.2</v>
      </c>
      <c r="G13" s="67">
        <v>0.30985915492957744</v>
      </c>
      <c r="H13" s="67">
        <v>0.18309859154929578</v>
      </c>
      <c r="I13" s="68">
        <v>9659.0909090909099</v>
      </c>
      <c r="J13" s="68">
        <v>-5723.0769230769229</v>
      </c>
      <c r="K13" s="67">
        <v>0.2</v>
      </c>
      <c r="L13" s="67">
        <v>0.2</v>
      </c>
      <c r="M13" s="67">
        <v>0.52112676056338025</v>
      </c>
      <c r="N13" s="67">
        <v>0</v>
      </c>
      <c r="O13" s="67">
        <v>0.59459459459459463</v>
      </c>
      <c r="P13" s="67">
        <v>0</v>
      </c>
      <c r="Q13" s="67">
        <v>0.27272727272727271</v>
      </c>
    </row>
    <row r="14" spans="1:17" x14ac:dyDescent="0.4">
      <c r="A14" s="69">
        <v>11</v>
      </c>
      <c r="B14" s="66">
        <v>84.8</v>
      </c>
      <c r="C14" s="66">
        <v>7.709090909090909</v>
      </c>
      <c r="D14" s="71">
        <v>1.8181818181818181</v>
      </c>
      <c r="E14" s="67">
        <v>0.45454545454545453</v>
      </c>
      <c r="F14" s="67">
        <v>0.27272727272727271</v>
      </c>
      <c r="G14" s="67">
        <v>0.29487179487179488</v>
      </c>
      <c r="H14" s="67">
        <v>0.20512820512820512</v>
      </c>
      <c r="I14" s="68">
        <v>9326.0869565217399</v>
      </c>
      <c r="J14" s="68">
        <v>-5637.5</v>
      </c>
      <c r="K14" s="67">
        <v>0.18181818181818182</v>
      </c>
      <c r="L14" s="67">
        <v>0.18181818181818182</v>
      </c>
      <c r="M14" s="67">
        <v>0.52564102564102566</v>
      </c>
      <c r="N14" s="67">
        <v>0</v>
      </c>
      <c r="O14" s="67">
        <v>0.56097560975609762</v>
      </c>
      <c r="P14" s="67">
        <v>0</v>
      </c>
      <c r="Q14" s="67">
        <v>0.2608695652173913</v>
      </c>
    </row>
    <row r="15" spans="1:17" x14ac:dyDescent="0.4">
      <c r="A15" s="69">
        <v>12</v>
      </c>
      <c r="B15" s="66">
        <v>119.69999999999999</v>
      </c>
      <c r="C15" s="66">
        <v>9.9749999999999996</v>
      </c>
      <c r="D15" s="71">
        <v>1.75</v>
      </c>
      <c r="E15" s="67">
        <v>0.5</v>
      </c>
      <c r="F15" s="67">
        <v>0.25</v>
      </c>
      <c r="G15" s="67">
        <v>0.31818181818181818</v>
      </c>
      <c r="H15" s="67">
        <v>0.20454545454545456</v>
      </c>
      <c r="I15" s="68">
        <v>8592.8571428571431</v>
      </c>
      <c r="J15" s="68">
        <v>-5883.333333333333</v>
      </c>
      <c r="K15" s="67">
        <v>0.16666666666666666</v>
      </c>
      <c r="L15" s="67">
        <v>0.16666666666666666</v>
      </c>
      <c r="M15" s="67">
        <v>0.54545454545454541</v>
      </c>
      <c r="N15" s="67">
        <v>0</v>
      </c>
      <c r="O15" s="67">
        <v>0.58333333333333337</v>
      </c>
      <c r="P15" s="67">
        <v>0</v>
      </c>
      <c r="Q15" s="67">
        <v>0.21428571428571427</v>
      </c>
    </row>
    <row r="16" spans="1:17" x14ac:dyDescent="0.4">
      <c r="A16" s="69">
        <v>13</v>
      </c>
      <c r="B16" s="66">
        <v>169.79999999999998</v>
      </c>
      <c r="C16" s="66">
        <v>13.06153846153846</v>
      </c>
      <c r="D16" s="71">
        <v>1.6923076923076923</v>
      </c>
      <c r="E16" s="67">
        <v>0.53846153846153844</v>
      </c>
      <c r="F16" s="67">
        <v>0.23076923076923078</v>
      </c>
      <c r="G16" s="67">
        <v>0.33673469387755101</v>
      </c>
      <c r="H16" s="67">
        <v>0.19387755102040816</v>
      </c>
      <c r="I16" s="68">
        <v>8154.545454545455</v>
      </c>
      <c r="J16" s="68">
        <v>-5700</v>
      </c>
      <c r="K16" s="67">
        <v>0.15384615384615385</v>
      </c>
      <c r="L16" s="67">
        <v>0.15384615384615385</v>
      </c>
      <c r="M16" s="67">
        <v>0.52040816326530615</v>
      </c>
      <c r="N16" s="67">
        <v>5.1020408163265307E-2</v>
      </c>
      <c r="O16" s="67">
        <v>0.58823529411764708</v>
      </c>
      <c r="P16" s="67">
        <v>0.6</v>
      </c>
      <c r="Q16" s="67">
        <v>0.21212121212121213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96374-1D20-46FC-9C73-439C778EAFE2}">
  <sheetPr codeName="Sheet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143</v>
      </c>
      <c r="B1" s="70" t="s">
        <v>143</v>
      </c>
      <c r="C1" s="70" t="s">
        <v>143</v>
      </c>
      <c r="D1" s="71" t="s">
        <v>143</v>
      </c>
      <c r="E1" s="70" t="s">
        <v>143</v>
      </c>
      <c r="F1" s="70" t="s">
        <v>143</v>
      </c>
      <c r="G1" s="70" t="s">
        <v>143</v>
      </c>
      <c r="H1" s="70" t="s">
        <v>143</v>
      </c>
      <c r="I1" s="70" t="s">
        <v>143</v>
      </c>
      <c r="J1" s="70" t="s">
        <v>143</v>
      </c>
      <c r="K1" s="70" t="s">
        <v>143</v>
      </c>
      <c r="L1" s="70" t="s">
        <v>143</v>
      </c>
      <c r="M1" s="70" t="s">
        <v>143</v>
      </c>
      <c r="N1" s="70" t="s">
        <v>143</v>
      </c>
      <c r="O1" s="70" t="s">
        <v>143</v>
      </c>
      <c r="P1" s="70" t="s">
        <v>143</v>
      </c>
      <c r="Q1" s="70" t="s">
        <v>143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160</v>
      </c>
      <c r="G2" s="70" t="s">
        <v>145</v>
      </c>
      <c r="H2" s="70" t="s">
        <v>144</v>
      </c>
      <c r="I2" s="70" t="s">
        <v>5</v>
      </c>
      <c r="J2" s="70" t="s">
        <v>17</v>
      </c>
      <c r="K2" s="70" t="s">
        <v>18</v>
      </c>
      <c r="L2" s="70" t="s">
        <v>139</v>
      </c>
      <c r="M2" s="70" t="s">
        <v>123</v>
      </c>
      <c r="N2" s="70" t="s">
        <v>120</v>
      </c>
      <c r="O2" s="70" t="s">
        <v>126</v>
      </c>
      <c r="P2" s="70" t="s">
        <v>146</v>
      </c>
      <c r="Q2" s="70" t="s">
        <v>142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0.16666666666666666</v>
      </c>
      <c r="I4" s="68">
        <v>19000</v>
      </c>
      <c r="J4" s="68">
        <v>-32000</v>
      </c>
      <c r="K4" s="67">
        <v>0.33333333333333331</v>
      </c>
      <c r="L4" s="67">
        <v>0.33333333333333331</v>
      </c>
      <c r="M4" s="67">
        <v>0.66666666666666663</v>
      </c>
      <c r="N4" s="67">
        <v>0</v>
      </c>
      <c r="O4" s="67">
        <v>0.5</v>
      </c>
      <c r="P4" s="67">
        <v>0</v>
      </c>
      <c r="Q4" s="67">
        <v>0.5</v>
      </c>
    </row>
    <row r="5" spans="1:17" x14ac:dyDescent="0.4">
      <c r="A5" s="69">
        <v>2</v>
      </c>
      <c r="B5" s="66">
        <v>-3.5527136788005009E-15</v>
      </c>
      <c r="C5" s="66">
        <v>-5.9211894646675012E-16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0.19047619047619047</v>
      </c>
      <c r="I5" s="68">
        <v>13042.857142857143</v>
      </c>
      <c r="J5" s="68">
        <v>-12325</v>
      </c>
      <c r="K5" s="67">
        <v>0.33333333333333331</v>
      </c>
      <c r="L5" s="67">
        <v>0.33333333333333331</v>
      </c>
      <c r="M5" s="67">
        <v>0.47619047619047616</v>
      </c>
      <c r="N5" s="67">
        <v>0</v>
      </c>
      <c r="O5" s="67">
        <v>0.7</v>
      </c>
      <c r="P5" s="67">
        <v>0</v>
      </c>
      <c r="Q5" s="67">
        <v>0.42857142857142855</v>
      </c>
    </row>
    <row r="6" spans="1:17" x14ac:dyDescent="0.4">
      <c r="A6" s="69">
        <v>3</v>
      </c>
      <c r="B6" s="66">
        <v>-1.4210854715202004E-14</v>
      </c>
      <c r="C6" s="66">
        <v>-1.578983857244667E-15</v>
      </c>
      <c r="D6" s="71">
        <v>2</v>
      </c>
      <c r="E6" s="67">
        <v>0.33333333333333331</v>
      </c>
      <c r="F6" s="67">
        <v>0.33333333333333331</v>
      </c>
      <c r="G6" s="67">
        <v>0.31372549019607843</v>
      </c>
      <c r="H6" s="67">
        <v>0.19607843137254902</v>
      </c>
      <c r="I6" s="68">
        <v>10250</v>
      </c>
      <c r="J6" s="68">
        <v>-8880</v>
      </c>
      <c r="K6" s="67">
        <v>0.22222222222222221</v>
      </c>
      <c r="L6" s="67">
        <v>0.22222222222222221</v>
      </c>
      <c r="M6" s="67">
        <v>0.45098039215686275</v>
      </c>
      <c r="N6" s="67">
        <v>0</v>
      </c>
      <c r="O6" s="67">
        <v>0.69565217391304346</v>
      </c>
      <c r="P6" s="67">
        <v>0</v>
      </c>
      <c r="Q6" s="67">
        <v>0.375</v>
      </c>
    </row>
    <row r="7" spans="1:17" x14ac:dyDescent="0.4">
      <c r="A7" s="69">
        <v>4</v>
      </c>
      <c r="B7" s="66">
        <v>-1.4210854715202004E-14</v>
      </c>
      <c r="C7" s="66">
        <v>-1.1842378929335002E-15</v>
      </c>
      <c r="D7" s="71">
        <v>2</v>
      </c>
      <c r="E7" s="67">
        <v>0.33333333333333331</v>
      </c>
      <c r="F7" s="67">
        <v>0.33333333333333331</v>
      </c>
      <c r="G7" s="67">
        <v>0.31818181818181818</v>
      </c>
      <c r="H7" s="67">
        <v>0.19696969696969696</v>
      </c>
      <c r="I7" s="68">
        <v>10066.666666666666</v>
      </c>
      <c r="J7" s="68">
        <v>-8030.7692307692305</v>
      </c>
      <c r="K7" s="67">
        <v>0.25</v>
      </c>
      <c r="L7" s="67">
        <v>0.25</v>
      </c>
      <c r="M7" s="67">
        <v>0.43939393939393939</v>
      </c>
      <c r="N7" s="67">
        <v>0</v>
      </c>
      <c r="O7" s="67">
        <v>0.65517241379310343</v>
      </c>
      <c r="P7" s="67">
        <v>0</v>
      </c>
      <c r="Q7" s="67">
        <v>0.38095238095238093</v>
      </c>
    </row>
    <row r="8" spans="1:17" x14ac:dyDescent="0.4">
      <c r="A8" s="69">
        <v>5</v>
      </c>
      <c r="B8" s="66">
        <v>-1.4210854715202004E-14</v>
      </c>
      <c r="C8" s="66">
        <v>-9.4739031434680023E-16</v>
      </c>
      <c r="D8" s="71">
        <v>2</v>
      </c>
      <c r="E8" s="67">
        <v>0.33333333333333331</v>
      </c>
      <c r="F8" s="67">
        <v>0.33333333333333331</v>
      </c>
      <c r="G8" s="67">
        <v>0.2988505747126437</v>
      </c>
      <c r="H8" s="67">
        <v>0.18390804597701149</v>
      </c>
      <c r="I8" s="68">
        <v>9600</v>
      </c>
      <c r="J8" s="68">
        <v>-8331.25</v>
      </c>
      <c r="K8" s="67">
        <v>0.2</v>
      </c>
      <c r="L8" s="67">
        <v>0.2</v>
      </c>
      <c r="M8" s="67">
        <v>0.47126436781609193</v>
      </c>
      <c r="N8" s="67">
        <v>0</v>
      </c>
      <c r="O8" s="67">
        <v>0.58536585365853655</v>
      </c>
      <c r="P8" s="67">
        <v>0</v>
      </c>
      <c r="Q8" s="67">
        <v>0.38461538461538464</v>
      </c>
    </row>
    <row r="9" spans="1:17" x14ac:dyDescent="0.4">
      <c r="A9" s="69">
        <v>6</v>
      </c>
      <c r="B9" s="66">
        <v>-1.4210854715202004E-14</v>
      </c>
      <c r="C9" s="66">
        <v>-7.894919286223335E-16</v>
      </c>
      <c r="D9" s="71">
        <v>2</v>
      </c>
      <c r="E9" s="67">
        <v>0.33333333333333331</v>
      </c>
      <c r="F9" s="67">
        <v>0.33333333333333331</v>
      </c>
      <c r="G9" s="67">
        <v>0.30769230769230771</v>
      </c>
      <c r="H9" s="67">
        <v>0.18803418803418803</v>
      </c>
      <c r="I9" s="68">
        <v>8763.8888888888887</v>
      </c>
      <c r="J9" s="68">
        <v>-8240.9090909090901</v>
      </c>
      <c r="K9" s="67">
        <v>0.16666666666666666</v>
      </c>
      <c r="L9" s="67">
        <v>0.16666666666666666</v>
      </c>
      <c r="M9" s="67">
        <v>0.50427350427350426</v>
      </c>
      <c r="N9" s="67">
        <v>0</v>
      </c>
      <c r="O9" s="67">
        <v>0.55932203389830504</v>
      </c>
      <c r="P9" s="67">
        <v>0</v>
      </c>
      <c r="Q9" s="67">
        <v>0.3888888888888889</v>
      </c>
    </row>
    <row r="10" spans="1:17" x14ac:dyDescent="0.4">
      <c r="A10" s="69">
        <v>7</v>
      </c>
      <c r="B10" s="66">
        <v>-1.4210854715202004E-14</v>
      </c>
      <c r="C10" s="66">
        <v>-6.7670736739057157E-16</v>
      </c>
      <c r="D10" s="71">
        <v>2</v>
      </c>
      <c r="E10" s="67">
        <v>0.33333333333333331</v>
      </c>
      <c r="F10" s="67">
        <v>0.33333333333333331</v>
      </c>
      <c r="G10" s="67">
        <v>0.3037037037037037</v>
      </c>
      <c r="H10" s="67">
        <v>0.19259259259259259</v>
      </c>
      <c r="I10" s="68">
        <v>9187.8048780487807</v>
      </c>
      <c r="J10" s="68">
        <v>-8865.3846153846152</v>
      </c>
      <c r="K10" s="67">
        <v>0.19047619047619047</v>
      </c>
      <c r="L10" s="67">
        <v>0.19047619047619047</v>
      </c>
      <c r="M10" s="67">
        <v>0.51851851851851849</v>
      </c>
      <c r="N10" s="67">
        <v>7.4074074074074077E-3</v>
      </c>
      <c r="O10" s="67">
        <v>0.54285714285714282</v>
      </c>
      <c r="P10" s="67">
        <v>0</v>
      </c>
      <c r="Q10" s="67">
        <v>0.36585365853658536</v>
      </c>
    </row>
    <row r="11" spans="1:17" x14ac:dyDescent="0.4">
      <c r="A11" s="69">
        <v>8</v>
      </c>
      <c r="B11" s="66">
        <v>-1.5987211554602254E-14</v>
      </c>
      <c r="C11" s="66">
        <v>-6.6613381477509392E-16</v>
      </c>
      <c r="D11" s="71">
        <v>2</v>
      </c>
      <c r="E11" s="67">
        <v>0.33333333333333331</v>
      </c>
      <c r="F11" s="67">
        <v>0.33333333333333331</v>
      </c>
      <c r="G11" s="67">
        <v>0.3081761006289308</v>
      </c>
      <c r="H11" s="67">
        <v>0.20125786163522014</v>
      </c>
      <c r="I11" s="68">
        <v>8785.7142857142862</v>
      </c>
      <c r="J11" s="68">
        <v>-8259.375</v>
      </c>
      <c r="K11" s="67">
        <v>0.20833333333333334</v>
      </c>
      <c r="L11" s="67">
        <v>0.20833333333333334</v>
      </c>
      <c r="M11" s="67">
        <v>0.51572327044025157</v>
      </c>
      <c r="N11" s="67">
        <v>1.2578616352201259E-2</v>
      </c>
      <c r="O11" s="67">
        <v>0.54878048780487809</v>
      </c>
      <c r="P11" s="67">
        <v>0.5</v>
      </c>
      <c r="Q11" s="67">
        <v>0.34693877551020408</v>
      </c>
    </row>
    <row r="12" spans="1:17" x14ac:dyDescent="0.4">
      <c r="A12" s="69">
        <v>9</v>
      </c>
      <c r="B12" s="66">
        <v>-1.4210854715202004E-14</v>
      </c>
      <c r="C12" s="66">
        <v>-5.26327952414889E-16</v>
      </c>
      <c r="D12" s="71">
        <v>2</v>
      </c>
      <c r="E12" s="67">
        <v>0.33333333333333331</v>
      </c>
      <c r="F12" s="67">
        <v>0.33333333333333331</v>
      </c>
      <c r="G12" s="67">
        <v>0.30769230769230771</v>
      </c>
      <c r="H12" s="67">
        <v>0.2</v>
      </c>
      <c r="I12" s="68">
        <v>8806.6666666666661</v>
      </c>
      <c r="J12" s="68">
        <v>-8135.8974358974356</v>
      </c>
      <c r="K12" s="67">
        <v>0.18518518518518517</v>
      </c>
      <c r="L12" s="67">
        <v>0.18518518518518517</v>
      </c>
      <c r="M12" s="67">
        <v>0.50256410256410255</v>
      </c>
      <c r="N12" s="67">
        <v>1.5384615384615385E-2</v>
      </c>
      <c r="O12" s="67">
        <v>0.56122448979591832</v>
      </c>
      <c r="P12" s="67">
        <v>0.66666666666666663</v>
      </c>
      <c r="Q12" s="67">
        <v>0.35</v>
      </c>
    </row>
    <row r="13" spans="1:17" x14ac:dyDescent="0.4">
      <c r="A13" s="69">
        <v>10</v>
      </c>
      <c r="B13" s="66">
        <v>-1.4210854715202004E-14</v>
      </c>
      <c r="C13" s="66">
        <v>-4.7369515717340012E-16</v>
      </c>
      <c r="D13" s="71">
        <v>2</v>
      </c>
      <c r="E13" s="67">
        <v>0.33333333333333331</v>
      </c>
      <c r="F13" s="67">
        <v>0.33333333333333331</v>
      </c>
      <c r="G13" s="67">
        <v>0.30516431924882631</v>
      </c>
      <c r="H13" s="67">
        <v>0.19718309859154928</v>
      </c>
      <c r="I13" s="68">
        <v>8578.461538461539</v>
      </c>
      <c r="J13" s="68">
        <v>-7869.0476190476193</v>
      </c>
      <c r="K13" s="67">
        <v>0.16666666666666666</v>
      </c>
      <c r="L13" s="67">
        <v>0.16666666666666666</v>
      </c>
      <c r="M13" s="67">
        <v>0.50704225352112675</v>
      </c>
      <c r="N13" s="67">
        <v>1.8779342723004695E-2</v>
      </c>
      <c r="O13" s="67">
        <v>0.54629629629629628</v>
      </c>
      <c r="P13" s="67">
        <v>0.75</v>
      </c>
      <c r="Q13" s="67">
        <v>0.35384615384615387</v>
      </c>
    </row>
    <row r="14" spans="1:17" x14ac:dyDescent="0.4">
      <c r="A14" s="69">
        <v>11</v>
      </c>
      <c r="B14" s="66">
        <v>-7.1054273576010019E-15</v>
      </c>
      <c r="C14" s="66">
        <v>-2.153159805333637E-16</v>
      </c>
      <c r="D14" s="71">
        <v>2</v>
      </c>
      <c r="E14" s="67">
        <v>0.33333333333333331</v>
      </c>
      <c r="F14" s="67">
        <v>0.33333333333333331</v>
      </c>
      <c r="G14" s="67">
        <v>0.3034188034188034</v>
      </c>
      <c r="H14" s="67">
        <v>0.20085470085470086</v>
      </c>
      <c r="I14" s="68">
        <v>8329.577464788732</v>
      </c>
      <c r="J14" s="68">
        <v>-7665.9574468085102</v>
      </c>
      <c r="K14" s="67">
        <v>0.15151515151515152</v>
      </c>
      <c r="L14" s="67">
        <v>0.15151515151515152</v>
      </c>
      <c r="M14" s="67">
        <v>0.50427350427350426</v>
      </c>
      <c r="N14" s="67">
        <v>2.564102564102564E-2</v>
      </c>
      <c r="O14" s="67">
        <v>0.53389830508474578</v>
      </c>
      <c r="P14" s="67">
        <v>0.83333333333333337</v>
      </c>
      <c r="Q14" s="67">
        <v>0.3380281690140845</v>
      </c>
    </row>
    <row r="15" spans="1:17" x14ac:dyDescent="0.4">
      <c r="A15" s="69">
        <v>12</v>
      </c>
      <c r="B15" s="66">
        <v>-7.1054273576010019E-15</v>
      </c>
      <c r="C15" s="66">
        <v>-1.9737298215558337E-16</v>
      </c>
      <c r="D15" s="71">
        <v>2</v>
      </c>
      <c r="E15" s="67">
        <v>0.33333333333333331</v>
      </c>
      <c r="F15" s="67">
        <v>0.33333333333333331</v>
      </c>
      <c r="G15" s="67">
        <v>0.30303030303030304</v>
      </c>
      <c r="H15" s="67">
        <v>0.21212121212121213</v>
      </c>
      <c r="I15" s="68">
        <v>8113.75</v>
      </c>
      <c r="J15" s="68">
        <v>-7464.2857142857147</v>
      </c>
      <c r="K15" s="67">
        <v>0.1388888888888889</v>
      </c>
      <c r="L15" s="67">
        <v>0.1388888888888889</v>
      </c>
      <c r="M15" s="67">
        <v>0.51136363636363635</v>
      </c>
      <c r="N15" s="67">
        <v>2.2727272727272728E-2</v>
      </c>
      <c r="O15" s="67">
        <v>0.53333333333333333</v>
      </c>
      <c r="P15" s="67">
        <v>0.83333333333333337</v>
      </c>
      <c r="Q15" s="67">
        <v>0.3</v>
      </c>
    </row>
    <row r="16" spans="1:17" x14ac:dyDescent="0.4">
      <c r="A16" s="69">
        <v>13</v>
      </c>
      <c r="B16" s="66">
        <v>-2.886579864025407E-15</v>
      </c>
      <c r="C16" s="66">
        <v>-7.4014868308343765E-17</v>
      </c>
      <c r="D16" s="71">
        <v>2</v>
      </c>
      <c r="E16" s="67">
        <v>0.33333333333333331</v>
      </c>
      <c r="F16" s="67">
        <v>0.33333333333333331</v>
      </c>
      <c r="G16" s="67">
        <v>0.30272108843537415</v>
      </c>
      <c r="H16" s="67">
        <v>0.21428571428571427</v>
      </c>
      <c r="I16" s="68">
        <v>7751.6853932584272</v>
      </c>
      <c r="J16" s="68">
        <v>-7092.063492063492</v>
      </c>
      <c r="K16" s="67">
        <v>0.12820512820512819</v>
      </c>
      <c r="L16" s="67">
        <v>0.12820512820512819</v>
      </c>
      <c r="M16" s="67">
        <v>0.48979591836734693</v>
      </c>
      <c r="N16" s="67">
        <v>5.4421768707482991E-2</v>
      </c>
      <c r="O16" s="67">
        <v>0.52083333333333337</v>
      </c>
      <c r="P16" s="67">
        <v>0.6875</v>
      </c>
      <c r="Q16" s="67">
        <v>0.29213483146067415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195</vt:i4>
      </vt:variant>
    </vt:vector>
  </HeadingPairs>
  <TitlesOfParts>
    <vt:vector size="224" baseType="lpstr">
      <vt:lpstr>Template1</vt:lpstr>
      <vt:lpstr>Cache</vt:lpstr>
      <vt:lpstr>Template2</vt:lpstr>
      <vt:lpstr>Players</vt:lpstr>
      <vt:lpstr>ランキング</vt:lpstr>
      <vt:lpstr>全体</vt:lpstr>
      <vt:lpstr>Tenari2</vt:lpstr>
      <vt:lpstr>だいち</vt:lpstr>
      <vt:lpstr>Tenari1</vt:lpstr>
      <vt:lpstr>Tenari12</vt:lpstr>
      <vt:lpstr>だいち2</vt:lpstr>
      <vt:lpstr>Tenari22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Tenari1!アガリ数</vt:lpstr>
      <vt:lpstr>Tenari2!アガリ数</vt:lpstr>
      <vt:lpstr>だいち!アガリ数</vt:lpstr>
      <vt:lpstr>全体!アガリ数</vt:lpstr>
      <vt:lpstr>アガリ数</vt:lpstr>
      <vt:lpstr>Tenari1!アガリ率</vt:lpstr>
      <vt:lpstr>Tenari2!アガリ率</vt:lpstr>
      <vt:lpstr>だいち!アガリ率</vt:lpstr>
      <vt:lpstr>全体!アガリ率</vt:lpstr>
      <vt:lpstr>アガリ率</vt:lpstr>
      <vt:lpstr>Tenari1!チョンボ数</vt:lpstr>
      <vt:lpstr>Tenari2!チョンボ数</vt:lpstr>
      <vt:lpstr>だいち!チョンボ数</vt:lpstr>
      <vt:lpstr>全体!チョンボ数</vt:lpstr>
      <vt:lpstr>チョンボ数</vt:lpstr>
      <vt:lpstr>Tenari1!チョンボ率</vt:lpstr>
      <vt:lpstr>Tenari2!チョンボ率</vt:lpstr>
      <vt:lpstr>だいち!チョンボ率</vt:lpstr>
      <vt:lpstr>全体!チョンボ率</vt:lpstr>
      <vt:lpstr>チョンボ率</vt:lpstr>
      <vt:lpstr>Tenari1!ツモ数</vt:lpstr>
      <vt:lpstr>Tenari2!ツモ数</vt:lpstr>
      <vt:lpstr>だいち!ツモ数</vt:lpstr>
      <vt:lpstr>全体!ツモ数</vt:lpstr>
      <vt:lpstr>ツモ数</vt:lpstr>
      <vt:lpstr>Tenari1!ツモ率</vt:lpstr>
      <vt:lpstr>Tenari2!ツモ率</vt:lpstr>
      <vt:lpstr>だいち!ツモ率</vt:lpstr>
      <vt:lpstr>全体!ツモ率</vt:lpstr>
      <vt:lpstr>ツモ率</vt:lpstr>
      <vt:lpstr>Tenari1!トップ数</vt:lpstr>
      <vt:lpstr>Tenari2!トップ数</vt:lpstr>
      <vt:lpstr>だいち!トップ数</vt:lpstr>
      <vt:lpstr>全体!トップ数</vt:lpstr>
      <vt:lpstr>トップ数</vt:lpstr>
      <vt:lpstr>Tenari1!トップ率</vt:lpstr>
      <vt:lpstr>Tenari2!トップ率</vt:lpstr>
      <vt:lpstr>だいち!トップ率</vt:lpstr>
      <vt:lpstr>全体!トップ率</vt:lpstr>
      <vt:lpstr>トップ率</vt:lpstr>
      <vt:lpstr>Tenari1!ふっとばし数</vt:lpstr>
      <vt:lpstr>Tenari2!ふっとばし数</vt:lpstr>
      <vt:lpstr>だいち!ふっとばし数</vt:lpstr>
      <vt:lpstr>全体!ふっとばし数</vt:lpstr>
      <vt:lpstr>ふっとばし数</vt:lpstr>
      <vt:lpstr>Tenari1!ふっとばし率</vt:lpstr>
      <vt:lpstr>Tenari2!ふっとばし率</vt:lpstr>
      <vt:lpstr>だいち!ふっとばし率</vt:lpstr>
      <vt:lpstr>全体!ふっとばし率</vt:lpstr>
      <vt:lpstr>ふっとばし率</vt:lpstr>
      <vt:lpstr>Tenari1!ふっとび数</vt:lpstr>
      <vt:lpstr>Tenari2!ふっとび数</vt:lpstr>
      <vt:lpstr>だいち!ふっとび数</vt:lpstr>
      <vt:lpstr>全体!ふっとび数</vt:lpstr>
      <vt:lpstr>ふっとび数</vt:lpstr>
      <vt:lpstr>Tenari1!ふっとび率</vt:lpstr>
      <vt:lpstr>Tenari2!ふっとび率</vt:lpstr>
      <vt:lpstr>だいち!ふっとび率</vt:lpstr>
      <vt:lpstr>全体!ふっとび率</vt:lpstr>
      <vt:lpstr>ふっとび率</vt:lpstr>
      <vt:lpstr>Tenari1!ラス数</vt:lpstr>
      <vt:lpstr>Tenari2!ラス数</vt:lpstr>
      <vt:lpstr>だいち!ラス数</vt:lpstr>
      <vt:lpstr>全体!ラス数</vt:lpstr>
      <vt:lpstr>ラス数</vt:lpstr>
      <vt:lpstr>Tenari1!ラス率</vt:lpstr>
      <vt:lpstr>Tenari2!ラス率</vt:lpstr>
      <vt:lpstr>だいち!ラス率</vt:lpstr>
      <vt:lpstr>全体!ラス率</vt:lpstr>
      <vt:lpstr>ラス率</vt:lpstr>
      <vt:lpstr>Tenari1!リーチ数</vt:lpstr>
      <vt:lpstr>Tenari2!リーチ数</vt:lpstr>
      <vt:lpstr>だいち!リーチ数</vt:lpstr>
      <vt:lpstr>全体!リーチ数</vt:lpstr>
      <vt:lpstr>リーチ数</vt:lpstr>
      <vt:lpstr>Tenari1!リーチ成功数</vt:lpstr>
      <vt:lpstr>Tenari2!リーチ成功数</vt:lpstr>
      <vt:lpstr>だいち!リーチ成功数</vt:lpstr>
      <vt:lpstr>全体!リーチ成功数</vt:lpstr>
      <vt:lpstr>リーチ成功数</vt:lpstr>
      <vt:lpstr>Tenari1!リーチ成功率</vt:lpstr>
      <vt:lpstr>Tenari2!リーチ成功率</vt:lpstr>
      <vt:lpstr>だいち!リーチ成功率</vt:lpstr>
      <vt:lpstr>全体!リーチ成功率</vt:lpstr>
      <vt:lpstr>リーチ成功率</vt:lpstr>
      <vt:lpstr>Tenari1!リーチ率</vt:lpstr>
      <vt:lpstr>Tenari2!リーチ率</vt:lpstr>
      <vt:lpstr>だいち!リーチ率</vt:lpstr>
      <vt:lpstr>全体!リーチ率</vt:lpstr>
      <vt:lpstr>リーチ率</vt:lpstr>
      <vt:lpstr>Tenari1!ロン数</vt:lpstr>
      <vt:lpstr>Tenari2!ロン数</vt:lpstr>
      <vt:lpstr>だいち!ロン数</vt:lpstr>
      <vt:lpstr>全体!ロン数</vt:lpstr>
      <vt:lpstr>ロン数</vt:lpstr>
      <vt:lpstr>Tenari1!ロン率</vt:lpstr>
      <vt:lpstr>Tenari2!ロン率</vt:lpstr>
      <vt:lpstr>だいち!ロン率</vt:lpstr>
      <vt:lpstr>全体!ロン率</vt:lpstr>
      <vt:lpstr>ロン率</vt:lpstr>
      <vt:lpstr>Tenari1!逆転数</vt:lpstr>
      <vt:lpstr>Tenari2!逆転数</vt:lpstr>
      <vt:lpstr>だいち!逆転数</vt:lpstr>
      <vt:lpstr>全体!逆転数</vt:lpstr>
      <vt:lpstr>逆転数</vt:lpstr>
      <vt:lpstr>Tenari1!逆転率</vt:lpstr>
      <vt:lpstr>Tenari2!逆転率</vt:lpstr>
      <vt:lpstr>だいち!逆転率</vt:lpstr>
      <vt:lpstr>全体!逆転率</vt:lpstr>
      <vt:lpstr>逆転率</vt:lpstr>
      <vt:lpstr>Tenari1!最大ドラ数</vt:lpstr>
      <vt:lpstr>Tenari2!最大ドラ数</vt:lpstr>
      <vt:lpstr>だいち!最大ドラ数</vt:lpstr>
      <vt:lpstr>全体!最大ドラ数</vt:lpstr>
      <vt:lpstr>最大ドラ数</vt:lpstr>
      <vt:lpstr>Tenari1!最大点数</vt:lpstr>
      <vt:lpstr>Tenari2!最大点数</vt:lpstr>
      <vt:lpstr>だいち!最大点数</vt:lpstr>
      <vt:lpstr>全体!最大点数</vt:lpstr>
      <vt:lpstr>最大点数</vt:lpstr>
      <vt:lpstr>Tenari1!総局数</vt:lpstr>
      <vt:lpstr>Tenari2!総局数</vt:lpstr>
      <vt:lpstr>だいち!総局数</vt:lpstr>
      <vt:lpstr>全体!総局数</vt:lpstr>
      <vt:lpstr>総局数</vt:lpstr>
      <vt:lpstr>Tenari1!対戦数</vt:lpstr>
      <vt:lpstr>Tenari2!対戦数</vt:lpstr>
      <vt:lpstr>だいち!対戦数</vt:lpstr>
      <vt:lpstr>全体!対戦数</vt:lpstr>
      <vt:lpstr>対戦数</vt:lpstr>
      <vt:lpstr>Tenari1!通算スコア</vt:lpstr>
      <vt:lpstr>Tenari2!通算スコア</vt:lpstr>
      <vt:lpstr>だいち!通算スコア</vt:lpstr>
      <vt:lpstr>全体!通算スコア</vt:lpstr>
      <vt:lpstr>通算スコア</vt:lpstr>
      <vt:lpstr>Tenari1!副露数</vt:lpstr>
      <vt:lpstr>Tenari2!副露数</vt:lpstr>
      <vt:lpstr>だいち!副露数</vt:lpstr>
      <vt:lpstr>全体!副露数</vt:lpstr>
      <vt:lpstr>副露数</vt:lpstr>
      <vt:lpstr>Tenari1!副露成功数</vt:lpstr>
      <vt:lpstr>Tenari2!副露成功数</vt:lpstr>
      <vt:lpstr>だいち!副露成功数</vt:lpstr>
      <vt:lpstr>全体!副露成功数</vt:lpstr>
      <vt:lpstr>副露成功数</vt:lpstr>
      <vt:lpstr>Tenari1!副露成功率</vt:lpstr>
      <vt:lpstr>Tenari2!副露成功率</vt:lpstr>
      <vt:lpstr>だいち!副露成功率</vt:lpstr>
      <vt:lpstr>全体!副露成功率</vt:lpstr>
      <vt:lpstr>副露成功率</vt:lpstr>
      <vt:lpstr>Tenari1!副露率</vt:lpstr>
      <vt:lpstr>Tenari2!副露率</vt:lpstr>
      <vt:lpstr>だいち!副露率</vt:lpstr>
      <vt:lpstr>全体!副露率</vt:lpstr>
      <vt:lpstr>副露率</vt:lpstr>
      <vt:lpstr>Tenari1!平均アガリ点</vt:lpstr>
      <vt:lpstr>Tenari2!平均アガリ点</vt:lpstr>
      <vt:lpstr>だいち!平均アガリ点</vt:lpstr>
      <vt:lpstr>全体!平均アガリ点</vt:lpstr>
      <vt:lpstr>平均アガリ点</vt:lpstr>
      <vt:lpstr>Tenari1!平均スコア</vt:lpstr>
      <vt:lpstr>Tenari2!平均スコア</vt:lpstr>
      <vt:lpstr>だいち!平均スコア</vt:lpstr>
      <vt:lpstr>全体!平均スコア</vt:lpstr>
      <vt:lpstr>平均スコア</vt:lpstr>
      <vt:lpstr>Tenari1!平均順位</vt:lpstr>
      <vt:lpstr>Tenari2!平均順位</vt:lpstr>
      <vt:lpstr>だいち!平均順位</vt:lpstr>
      <vt:lpstr>全体!平均順位</vt:lpstr>
      <vt:lpstr>平均順位</vt:lpstr>
      <vt:lpstr>Tenari1!平均放銃点</vt:lpstr>
      <vt:lpstr>Tenari2!平均放銃点</vt:lpstr>
      <vt:lpstr>だいち!平均放銃点</vt:lpstr>
      <vt:lpstr>全体!平均放銃点</vt:lpstr>
      <vt:lpstr>平均放銃点</vt:lpstr>
      <vt:lpstr>Tenari1!放銃数</vt:lpstr>
      <vt:lpstr>Tenari2!放銃数</vt:lpstr>
      <vt:lpstr>だいち!放銃数</vt:lpstr>
      <vt:lpstr>全体!放銃数</vt:lpstr>
      <vt:lpstr>放銃数</vt:lpstr>
      <vt:lpstr>Tenari1!放銃率</vt:lpstr>
      <vt:lpstr>Tenari2!放銃率</vt:lpstr>
      <vt:lpstr>だいち!放銃率</vt:lpstr>
      <vt:lpstr>全体!放銃率</vt:lpstr>
      <vt:lpstr>放銃率</vt:lpstr>
      <vt:lpstr>Tenari1!連続アガリ</vt:lpstr>
      <vt:lpstr>Tenari2!連続アガリ</vt:lpstr>
      <vt:lpstr>だいち!連続アガリ</vt:lpstr>
      <vt:lpstr>全体!連続アガリ</vt:lpstr>
      <vt:lpstr>連続アガリ</vt:lpstr>
      <vt:lpstr>Tenari1!連続無放銃</vt:lpstr>
      <vt:lpstr>Tenari2!連続無放銃</vt:lpstr>
      <vt:lpstr>だいち!連続無放銃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2019-07-27T01:11:42Z</dcterms:modified>
</cp:coreProperties>
</file>