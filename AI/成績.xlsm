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AI\"/>
    </mc:Choice>
  </mc:AlternateContent>
  <xr:revisionPtr revIDLastSave="0" documentId="13_ncr:1_{3351694E-7328-4871-9A18-41EA30312108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479" r:id="rId6"/>
    <sheet name="Tenari2" sheetId="5481" r:id="rId7"/>
    <sheet name="だいち" sheetId="5483" r:id="rId8"/>
    <sheet name="Tenari1" sheetId="5485" r:id="rId9"/>
    <sheet name="Tenari12" sheetId="5486" state="hidden" r:id="rId10"/>
    <sheet name="だいち2" sheetId="5484" state="hidden" r:id="rId11"/>
    <sheet name="Tenari22" sheetId="5482" state="hidden" r:id="rId12"/>
    <sheet name="全体2" sheetId="5480" state="hidden" r:id="rId13"/>
    <sheet name="通算スコア" sheetId="3331" state="hidden" r:id="rId14"/>
    <sheet name="平均スコア" sheetId="3493" state="hidden" r:id="rId15"/>
    <sheet name="平均順位" sheetId="3183" state="hidden" r:id="rId16"/>
    <sheet name="トップ率" sheetId="3185" state="hidden" r:id="rId17"/>
    <sheet name="ラス率" sheetId="4886" state="hidden" r:id="rId18"/>
    <sheet name="アガリ率" sheetId="3189" state="hidden" r:id="rId19"/>
    <sheet name="放銃率" sheetId="3190" state="hidden" r:id="rId20"/>
    <sheet name="平均アガリ点" sheetId="3520" state="hidden" r:id="rId21"/>
    <sheet name="平均放銃点" sheetId="3521" state="hidden" r:id="rId22"/>
    <sheet name="ふっとび率" sheetId="3522" state="hidden" r:id="rId23"/>
    <sheet name="ふっとばし率" sheetId="3523" state="hidden" r:id="rId24"/>
    <sheet name="リーチ率" sheetId="3524" state="hidden" r:id="rId25"/>
    <sheet name="副露率" sheetId="3525" state="hidden" r:id="rId26"/>
    <sheet name="リーチ成功率" sheetId="4841" state="hidden" r:id="rId27"/>
    <sheet name="副露成功率" sheetId="3527" state="hidden" r:id="rId28"/>
    <sheet name="ツモ率" sheetId="3528" state="hidden" r:id="rId29"/>
  </sheets>
  <definedNames>
    <definedName name="アガリ数" localSheetId="8">Tenari1!$B$17</definedName>
    <definedName name="アガリ数" localSheetId="6">Tenari2!$B$17</definedName>
    <definedName name="アガリ数" localSheetId="7">だいち!$B$17</definedName>
    <definedName name="アガリ数" localSheetId="5">全体!$B$17</definedName>
    <definedName name="アガリ数">Template1!$B$17</definedName>
    <definedName name="アガリ率" localSheetId="8">Tenari1!$C$17</definedName>
    <definedName name="アガリ率" localSheetId="6">Tenari2!$C$17</definedName>
    <definedName name="アガリ率" localSheetId="7">だいち!$C$17</definedName>
    <definedName name="アガリ率" localSheetId="5">全体!$C$17</definedName>
    <definedName name="アガリ率">Template1!$C$17</definedName>
    <definedName name="チョンボ数" localSheetId="8">Tenari1!$B$27</definedName>
    <definedName name="チョンボ数" localSheetId="6">Tenari2!$B$27</definedName>
    <definedName name="チョンボ数" localSheetId="7">だいち!$B$27</definedName>
    <definedName name="チョンボ数" localSheetId="5">全体!$B$27</definedName>
    <definedName name="チョンボ数">Template1!$B$27</definedName>
    <definedName name="チョンボ率" localSheetId="8">Tenari1!$C$27</definedName>
    <definedName name="チョンボ率" localSheetId="6">Tenari2!$C$27</definedName>
    <definedName name="チョンボ率" localSheetId="7">だいち!$C$27</definedName>
    <definedName name="チョンボ率" localSheetId="5">全体!$C$27</definedName>
    <definedName name="チョンボ率">Template1!$C$27</definedName>
    <definedName name="ツモ数" localSheetId="8">Tenari1!$B$18</definedName>
    <definedName name="ツモ数" localSheetId="6">Tenari2!$B$18</definedName>
    <definedName name="ツモ数" localSheetId="7">だいち!$B$18</definedName>
    <definedName name="ツモ数" localSheetId="5">全体!$B$18</definedName>
    <definedName name="ツモ数">Template1!$B$18</definedName>
    <definedName name="ツモ率" localSheetId="8">Tenari1!$C$18</definedName>
    <definedName name="ツモ率" localSheetId="6">Tenari2!$C$18</definedName>
    <definedName name="ツモ率" localSheetId="7">だいち!$C$18</definedName>
    <definedName name="ツモ率" localSheetId="5">全体!$C$18</definedName>
    <definedName name="ツモ率">Template1!$C$18</definedName>
    <definedName name="トップ数" localSheetId="8">Tenari1!$B$7</definedName>
    <definedName name="トップ数" localSheetId="6">Tenari2!$B$7</definedName>
    <definedName name="トップ数" localSheetId="7">だいち!$B$7</definedName>
    <definedName name="トップ数" localSheetId="5">全体!$B$7</definedName>
    <definedName name="トップ数">Template1!$B$7</definedName>
    <definedName name="トップ率" localSheetId="8">Tenari1!$C$7</definedName>
    <definedName name="トップ率" localSheetId="6">Tenari2!$C$7</definedName>
    <definedName name="トップ率" localSheetId="7">だいち!$C$7</definedName>
    <definedName name="トップ率" localSheetId="5">全体!$C$7</definedName>
    <definedName name="トップ率">Template1!$C$7</definedName>
    <definedName name="ふっとばし数" localSheetId="8">Tenari1!$B$11</definedName>
    <definedName name="ふっとばし数" localSheetId="6">Tenari2!$B$11</definedName>
    <definedName name="ふっとばし数" localSheetId="7">だいち!$B$11</definedName>
    <definedName name="ふっとばし数" localSheetId="5">全体!$B$11</definedName>
    <definedName name="ふっとばし数">Template1!$B$11</definedName>
    <definedName name="ふっとばし率" localSheetId="8">Tenari1!$C$11</definedName>
    <definedName name="ふっとばし率" localSheetId="6">Tenari2!$C$11</definedName>
    <definedName name="ふっとばし率" localSheetId="7">だいち!$C$11</definedName>
    <definedName name="ふっとばし率" localSheetId="5">全体!$C$11</definedName>
    <definedName name="ふっとばし率">Template1!$C$11</definedName>
    <definedName name="ふっとび数" localSheetId="8">Tenari1!$B$10</definedName>
    <definedName name="ふっとび数" localSheetId="6">Tenari2!$B$10</definedName>
    <definedName name="ふっとび数" localSheetId="7">だいち!$B$10</definedName>
    <definedName name="ふっとび数" localSheetId="5">全体!$B$10</definedName>
    <definedName name="ふっとび数">Template1!$B$10</definedName>
    <definedName name="ふっとび率" localSheetId="8">Tenari1!$C$10</definedName>
    <definedName name="ふっとび率" localSheetId="6">Tenari2!$C$10</definedName>
    <definedName name="ふっとび率" localSheetId="7">だいち!$C$10</definedName>
    <definedName name="ふっとび率" localSheetId="5">全体!$C$10</definedName>
    <definedName name="ふっとび率">Template1!$C$10</definedName>
    <definedName name="ラス数" localSheetId="8">Tenari1!$B$9</definedName>
    <definedName name="ラス数" localSheetId="6">Tenari2!$B$9</definedName>
    <definedName name="ラス数" localSheetId="7">だいち!$B$9</definedName>
    <definedName name="ラス数" localSheetId="5">全体!$B$9</definedName>
    <definedName name="ラス数">Template1!$B$9</definedName>
    <definedName name="ラス率" localSheetId="8">Tenari1!$C$9</definedName>
    <definedName name="ラス率" localSheetId="6">Tenari2!$C$9</definedName>
    <definedName name="ラス率" localSheetId="7">だいち!$C$9</definedName>
    <definedName name="ラス率" localSheetId="5">全体!$C$9</definedName>
    <definedName name="ラス率">Template1!$C$9</definedName>
    <definedName name="リーチ数" localSheetId="8">Tenari1!$B$13</definedName>
    <definedName name="リーチ数" localSheetId="6">Tenari2!$B$13</definedName>
    <definedName name="リーチ数" localSheetId="7">だいち!$B$13</definedName>
    <definedName name="リーチ数" localSheetId="5">全体!$B$13</definedName>
    <definedName name="リーチ数">Template1!$B$13</definedName>
    <definedName name="リーチ成功数" localSheetId="8">Tenari1!$B$15</definedName>
    <definedName name="リーチ成功数" localSheetId="6">Tenari2!$B$15</definedName>
    <definedName name="リーチ成功数" localSheetId="7">だいち!$B$15</definedName>
    <definedName name="リーチ成功数" localSheetId="5">全体!$B$15</definedName>
    <definedName name="リーチ成功数">Template1!$B$15</definedName>
    <definedName name="リーチ成功率" localSheetId="8">Tenari1!$C$15</definedName>
    <definedName name="リーチ成功率" localSheetId="6">Tenari2!$C$15</definedName>
    <definedName name="リーチ成功率" localSheetId="7">だいち!$C$15</definedName>
    <definedName name="リーチ成功率" localSheetId="5">全体!$C$15</definedName>
    <definedName name="リーチ成功率">Template1!$C$15</definedName>
    <definedName name="リーチ率" localSheetId="8">Tenari1!$C$13</definedName>
    <definedName name="リーチ率" localSheetId="6">Tenari2!$C$13</definedName>
    <definedName name="リーチ率" localSheetId="7">だいち!$C$13</definedName>
    <definedName name="リーチ率" localSheetId="5">全体!$C$13</definedName>
    <definedName name="リーチ率">Template1!$C$13</definedName>
    <definedName name="ロン数" localSheetId="8">Tenari1!$B$19</definedName>
    <definedName name="ロン数" localSheetId="6">Tenari2!$B$19</definedName>
    <definedName name="ロン数" localSheetId="7">だいち!$B$19</definedName>
    <definedName name="ロン数" localSheetId="5">全体!$B$19</definedName>
    <definedName name="ロン数">Template1!$B$19</definedName>
    <definedName name="ロン率" localSheetId="8">Tenari1!$C$19</definedName>
    <definedName name="ロン率" localSheetId="6">Tenari2!$C$19</definedName>
    <definedName name="ロン率" localSheetId="7">だいち!$C$19</definedName>
    <definedName name="ロン率" localSheetId="5">全体!$C$19</definedName>
    <definedName name="ロン率">Template1!$C$19</definedName>
    <definedName name="逆転数" localSheetId="8">Tenari1!$B$12</definedName>
    <definedName name="逆転数" localSheetId="6">Tenari2!$B$12</definedName>
    <definedName name="逆転数" localSheetId="7">だいち!$B$12</definedName>
    <definedName name="逆転数" localSheetId="5">全体!$B$12</definedName>
    <definedName name="逆転数">Template1!$B$12</definedName>
    <definedName name="逆転率" localSheetId="8">Tenari1!$C$12</definedName>
    <definedName name="逆転率" localSheetId="6">Tenari2!$C$12</definedName>
    <definedName name="逆転率" localSheetId="7">だいち!$C$12</definedName>
    <definedName name="逆転率" localSheetId="5">全体!$C$12</definedName>
    <definedName name="逆転率">Template1!$C$12</definedName>
    <definedName name="最大ドラ数" localSheetId="8">Tenari1!$B$25</definedName>
    <definedName name="最大ドラ数" localSheetId="6">Tenari2!$B$25</definedName>
    <definedName name="最大ドラ数" localSheetId="7">だいち!$B$25</definedName>
    <definedName name="最大ドラ数" localSheetId="5">全体!$B$25</definedName>
    <definedName name="最大ドラ数">Template1!$B$25</definedName>
    <definedName name="最大点数" localSheetId="8">Tenari1!$B$26</definedName>
    <definedName name="最大点数" localSheetId="6">Tenari2!$B$26</definedName>
    <definedName name="最大点数" localSheetId="7">だいち!$B$26</definedName>
    <definedName name="最大点数" localSheetId="5">全体!$B$26</definedName>
    <definedName name="最大点数">Template1!$B$26</definedName>
    <definedName name="総局数" localSheetId="8">Tenari1!$B$3</definedName>
    <definedName name="総局数" localSheetId="6">Tenari2!$B$3</definedName>
    <definedName name="総局数" localSheetId="7">だいち!$B$3</definedName>
    <definedName name="総局数" localSheetId="5">全体!$B$3</definedName>
    <definedName name="総局数">Template1!$B$3</definedName>
    <definedName name="対戦数" localSheetId="8">Tenari1!$B$2</definedName>
    <definedName name="対戦数" localSheetId="6">Tenari2!$B$2</definedName>
    <definedName name="対戦数" localSheetId="7">だいち!$B$2</definedName>
    <definedName name="対戦数" localSheetId="5">全体!$B$2</definedName>
    <definedName name="対戦数">Template1!$B$2</definedName>
    <definedName name="通算スコア" localSheetId="8">Tenari1!$B$4</definedName>
    <definedName name="通算スコア" localSheetId="6">Tenari2!$B$4</definedName>
    <definedName name="通算スコア" localSheetId="7">だいち!$B$4</definedName>
    <definedName name="通算スコア" localSheetId="5">全体!$B$4</definedName>
    <definedName name="通算スコア">Template1!$B$4</definedName>
    <definedName name="副露数" localSheetId="8">Tenari1!$B$14</definedName>
    <definedName name="副露数" localSheetId="6">Tenari2!$B$14</definedName>
    <definedName name="副露数" localSheetId="7">だいち!$B$14</definedName>
    <definedName name="副露数" localSheetId="5">全体!$B$14</definedName>
    <definedName name="副露数">Template1!$B$14</definedName>
    <definedName name="副露成功数" localSheetId="8">Tenari1!$B$16</definedName>
    <definedName name="副露成功数" localSheetId="6">Tenari2!$B$16</definedName>
    <definedName name="副露成功数" localSheetId="7">だいち!$B$16</definedName>
    <definedName name="副露成功数" localSheetId="5">全体!$B$16</definedName>
    <definedName name="副露成功数">Template1!$B$16</definedName>
    <definedName name="副露成功率" localSheetId="8">Tenari1!$C$16</definedName>
    <definedName name="副露成功率" localSheetId="6">Tenari2!$C$16</definedName>
    <definedName name="副露成功率" localSheetId="7">だいち!$C$16</definedName>
    <definedName name="副露成功率" localSheetId="5">全体!$C$16</definedName>
    <definedName name="副露成功率">Template1!$C$16</definedName>
    <definedName name="副露率" localSheetId="8">Tenari1!$C$14</definedName>
    <definedName name="副露率" localSheetId="6">Tenari2!$C$14</definedName>
    <definedName name="副露率" localSheetId="7">だいち!$C$14</definedName>
    <definedName name="副露率" localSheetId="5">全体!$C$14</definedName>
    <definedName name="副露率">Template1!$C$14</definedName>
    <definedName name="平均アガリ点" localSheetId="8">Tenari1!$B$23</definedName>
    <definedName name="平均アガリ点" localSheetId="6">Tenari2!$B$23</definedName>
    <definedName name="平均アガリ点" localSheetId="7">だいち!$B$23</definedName>
    <definedName name="平均アガリ点" localSheetId="5">全体!$B$23</definedName>
    <definedName name="平均アガリ点">Template1!$B$23</definedName>
    <definedName name="平均スコア" localSheetId="8">Tenari1!$B$5</definedName>
    <definedName name="平均スコア" localSheetId="6">Tenari2!$B$5</definedName>
    <definedName name="平均スコア" localSheetId="7">だいち!$B$5</definedName>
    <definedName name="平均スコア" localSheetId="5">全体!$B$5</definedName>
    <definedName name="平均スコア">Template1!$B$5</definedName>
    <definedName name="平均順位" localSheetId="8">Tenari1!$B$6</definedName>
    <definedName name="平均順位" localSheetId="6">Tenari2!$B$6</definedName>
    <definedName name="平均順位" localSheetId="7">だいち!$B$6</definedName>
    <definedName name="平均順位" localSheetId="5">全体!$B$6</definedName>
    <definedName name="平均順位">Template1!$B$6</definedName>
    <definedName name="平均放銃点" localSheetId="8">Tenari1!$B$24</definedName>
    <definedName name="平均放銃点" localSheetId="6">Tenari2!$B$24</definedName>
    <definedName name="平均放銃点" localSheetId="7">だいち!$B$24</definedName>
    <definedName name="平均放銃点" localSheetId="5">全体!$B$24</definedName>
    <definedName name="平均放銃点">Template1!$B$24</definedName>
    <definedName name="放銃数" localSheetId="8">Tenari1!$B$20</definedName>
    <definedName name="放銃数" localSheetId="6">Tenari2!$B$20</definedName>
    <definedName name="放銃数" localSheetId="7">だいち!$B$20</definedName>
    <definedName name="放銃数" localSheetId="5">全体!$B$20</definedName>
    <definedName name="放銃数">Template1!$B$20</definedName>
    <definedName name="放銃率" localSheetId="8">Tenari1!$C$20</definedName>
    <definedName name="放銃率" localSheetId="6">Tenari2!$C$20</definedName>
    <definedName name="放銃率" localSheetId="7">だいち!$C$20</definedName>
    <definedName name="放銃率" localSheetId="5">全体!$C$20</definedName>
    <definedName name="放銃率">Template1!$C$20</definedName>
    <definedName name="連続アガリ" localSheetId="8">Tenari1!$B$21</definedName>
    <definedName name="連続アガリ" localSheetId="6">Tenari2!$B$21</definedName>
    <definedName name="連続アガリ" localSheetId="7">だいち!$B$21</definedName>
    <definedName name="連続アガリ" localSheetId="5">全体!$B$21</definedName>
    <definedName name="連続アガリ">Template1!$B$21</definedName>
    <definedName name="連続無放銃" localSheetId="8">Tenari1!$B$22</definedName>
    <definedName name="連続無放銃" localSheetId="6">Tenari2!$B$22</definedName>
    <definedName name="連続無放銃" localSheetId="7">だいち!$B$22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5" i="5485" l="1"/>
  <c r="O16" i="5485"/>
  <c r="C27" i="5485"/>
  <c r="B24" i="5485"/>
  <c r="C20" i="5485"/>
  <c r="B17" i="5485"/>
  <c r="H51" i="5485" s="1"/>
  <c r="C16" i="5485"/>
  <c r="C15" i="5485"/>
  <c r="C14" i="5485"/>
  <c r="C13" i="5485"/>
  <c r="O12" i="5485"/>
  <c r="C12" i="5485"/>
  <c r="O11" i="5485"/>
  <c r="C11" i="5485"/>
  <c r="O10" i="5485"/>
  <c r="C10" i="5485"/>
  <c r="C9" i="5485"/>
  <c r="C8" i="5485"/>
  <c r="O7" i="5485"/>
  <c r="C7" i="5485"/>
  <c r="O6" i="5485"/>
  <c r="B6" i="5485"/>
  <c r="O5" i="5485"/>
  <c r="B5" i="5485"/>
  <c r="O4" i="5485"/>
  <c r="O3" i="5485"/>
  <c r="O2" i="5485"/>
  <c r="O15" i="5483"/>
  <c r="O16" i="5483"/>
  <c r="C27" i="5483"/>
  <c r="B24" i="5483"/>
  <c r="C20" i="5483"/>
  <c r="B17" i="5483"/>
  <c r="H52" i="5483" s="1"/>
  <c r="C16" i="5483"/>
  <c r="C15" i="5483"/>
  <c r="C14" i="5483"/>
  <c r="C13" i="5483"/>
  <c r="O12" i="5483"/>
  <c r="C12" i="5483"/>
  <c r="O11" i="5483"/>
  <c r="C11" i="5483"/>
  <c r="O10" i="5483"/>
  <c r="C10" i="5483"/>
  <c r="C9" i="5483"/>
  <c r="C8" i="5483"/>
  <c r="O7" i="5483"/>
  <c r="C7" i="5483"/>
  <c r="O6" i="5483"/>
  <c r="B6" i="5483"/>
  <c r="O5" i="5483"/>
  <c r="B5" i="5483"/>
  <c r="O4" i="5483"/>
  <c r="O3" i="5483"/>
  <c r="O2" i="5483"/>
  <c r="O16" i="5479"/>
  <c r="O16" i="5481"/>
  <c r="O15" i="5481"/>
  <c r="C27" i="5481"/>
  <c r="B24" i="5481"/>
  <c r="C20" i="5481"/>
  <c r="B17" i="5481"/>
  <c r="H52" i="5481" s="1"/>
  <c r="C16" i="5481"/>
  <c r="C15" i="5481"/>
  <c r="C14" i="5481"/>
  <c r="C13" i="5481"/>
  <c r="O12" i="5481"/>
  <c r="C12" i="5481"/>
  <c r="O11" i="5481"/>
  <c r="C11" i="5481"/>
  <c r="O10" i="5481"/>
  <c r="C10" i="5481"/>
  <c r="C9" i="5481"/>
  <c r="H9" i="5481"/>
  <c r="C8" i="5481"/>
  <c r="O7" i="5481"/>
  <c r="C7" i="5481"/>
  <c r="O6" i="5481"/>
  <c r="B6" i="5481"/>
  <c r="O5" i="5481"/>
  <c r="B5" i="5481"/>
  <c r="O4" i="5481"/>
  <c r="O3" i="5481"/>
  <c r="O2" i="5481"/>
  <c r="O17" i="5479"/>
  <c r="O15" i="5479"/>
  <c r="C27" i="5479"/>
  <c r="B24" i="5479"/>
  <c r="C20" i="5479"/>
  <c r="B17" i="5479"/>
  <c r="H51" i="5479" s="1"/>
  <c r="C16" i="5479"/>
  <c r="C15" i="5479"/>
  <c r="C14" i="5479"/>
  <c r="C13" i="5479"/>
  <c r="O12" i="5479"/>
  <c r="C12" i="5479"/>
  <c r="O11" i="5479"/>
  <c r="C11" i="5479"/>
  <c r="O10" i="5479"/>
  <c r="C10" i="5479"/>
  <c r="C9" i="5479"/>
  <c r="C8" i="5479"/>
  <c r="O7" i="5479"/>
  <c r="C7" i="5479"/>
  <c r="O6" i="5479"/>
  <c r="B6" i="5479"/>
  <c r="O5" i="5479"/>
  <c r="B5" i="5479"/>
  <c r="O4" i="5479"/>
  <c r="O3" i="5479"/>
  <c r="O2" i="5479"/>
  <c r="C17" i="5485" l="1"/>
  <c r="H49" i="5485"/>
  <c r="H2" i="5485"/>
  <c r="H7" i="5485"/>
  <c r="H11" i="5485"/>
  <c r="B23" i="5485"/>
  <c r="H41" i="5485"/>
  <c r="H10" i="5485"/>
  <c r="H18" i="5485"/>
  <c r="H20" i="5485"/>
  <c r="H3" i="5485"/>
  <c r="H16" i="5485"/>
  <c r="H22" i="5485"/>
  <c r="H33" i="5485"/>
  <c r="H6" i="5481"/>
  <c r="H16" i="5481"/>
  <c r="C18" i="5481"/>
  <c r="H4" i="5481"/>
  <c r="H13" i="5481"/>
  <c r="H2" i="5481"/>
  <c r="H10" i="5481"/>
  <c r="H18" i="5481"/>
  <c r="H2" i="5479"/>
  <c r="C17" i="5483"/>
  <c r="H7" i="5483"/>
  <c r="H6" i="5483"/>
  <c r="H2" i="5483"/>
  <c r="H10" i="5483"/>
  <c r="H18" i="5479"/>
  <c r="H16" i="5479"/>
  <c r="C17" i="5481"/>
  <c r="C18" i="5479"/>
  <c r="H33" i="5479"/>
  <c r="H5" i="5479"/>
  <c r="H14" i="5479"/>
  <c r="H3" i="5479"/>
  <c r="H20" i="5479"/>
  <c r="B23" i="5479"/>
  <c r="C19" i="5485"/>
  <c r="H25" i="5485"/>
  <c r="H27" i="5485"/>
  <c r="H32" i="5485"/>
  <c r="H40" i="5485"/>
  <c r="H48" i="5485"/>
  <c r="H29" i="5485"/>
  <c r="H36" i="5485"/>
  <c r="H44" i="5485"/>
  <c r="H9" i="5485"/>
  <c r="H5" i="5485"/>
  <c r="H4" i="5485"/>
  <c r="H13" i="5485"/>
  <c r="H15" i="5485"/>
  <c r="H6" i="5485"/>
  <c r="H14" i="5485"/>
  <c r="H17" i="5485"/>
  <c r="H19" i="5485"/>
  <c r="C18" i="5485"/>
  <c r="H24" i="5485"/>
  <c r="H8" i="5485"/>
  <c r="H30" i="5485"/>
  <c r="H37" i="5485"/>
  <c r="H45" i="5485"/>
  <c r="H52" i="5485"/>
  <c r="H21" i="5485"/>
  <c r="H23" i="5485"/>
  <c r="H26" i="5485"/>
  <c r="H28" i="5485"/>
  <c r="H31" i="5485"/>
  <c r="H34" i="5485"/>
  <c r="H38" i="5485"/>
  <c r="H42" i="5485"/>
  <c r="H46" i="5485"/>
  <c r="H50" i="5485"/>
  <c r="H12" i="5485"/>
  <c r="H35" i="5485"/>
  <c r="H39" i="5485"/>
  <c r="H43" i="5485"/>
  <c r="H47" i="5485"/>
  <c r="H41" i="5479"/>
  <c r="H49" i="5479"/>
  <c r="H20" i="5483"/>
  <c r="H25" i="5483"/>
  <c r="H28" i="5483"/>
  <c r="H34" i="5483"/>
  <c r="H38" i="5483"/>
  <c r="H42" i="5483"/>
  <c r="H46" i="5483"/>
  <c r="H9" i="5483"/>
  <c r="H23" i="5483"/>
  <c r="H21" i="5483"/>
  <c r="H24" i="5483"/>
  <c r="H11" i="5483"/>
  <c r="H32" i="5483"/>
  <c r="H36" i="5483"/>
  <c r="H40" i="5483"/>
  <c r="H48" i="5483"/>
  <c r="H4" i="5483"/>
  <c r="H22" i="5483"/>
  <c r="H30" i="5483"/>
  <c r="H50" i="5483"/>
  <c r="H15" i="5483"/>
  <c r="H17" i="5483"/>
  <c r="C19" i="5483"/>
  <c r="H31" i="5483"/>
  <c r="H35" i="5483"/>
  <c r="H39" i="5483"/>
  <c r="H43" i="5483"/>
  <c r="H47" i="5483"/>
  <c r="H51" i="5483"/>
  <c r="H5" i="5483"/>
  <c r="H8" i="5483"/>
  <c r="H12" i="5483"/>
  <c r="H14" i="5483"/>
  <c r="H19" i="5483"/>
  <c r="H26" i="5483"/>
  <c r="H44" i="5483"/>
  <c r="H3" i="5483"/>
  <c r="H13" i="5483"/>
  <c r="H16" i="5483"/>
  <c r="H18" i="5483"/>
  <c r="C18" i="5483"/>
  <c r="B23" i="5483"/>
  <c r="H27" i="5483"/>
  <c r="H29" i="5483"/>
  <c r="H33" i="5483"/>
  <c r="H37" i="5483"/>
  <c r="H41" i="5483"/>
  <c r="H45" i="5483"/>
  <c r="H49" i="5483"/>
  <c r="H20" i="5481"/>
  <c r="H28" i="5481"/>
  <c r="H46" i="5481"/>
  <c r="H8" i="5481"/>
  <c r="H15" i="5481"/>
  <c r="H17" i="5481"/>
  <c r="C19" i="5481"/>
  <c r="H23" i="5481"/>
  <c r="H31" i="5481"/>
  <c r="H35" i="5481"/>
  <c r="H39" i="5481"/>
  <c r="H43" i="5481"/>
  <c r="H47" i="5481"/>
  <c r="H51" i="5481"/>
  <c r="H22" i="5481"/>
  <c r="H25" i="5481"/>
  <c r="H30" i="5481"/>
  <c r="H34" i="5481"/>
  <c r="H38" i="5481"/>
  <c r="H42" i="5481"/>
  <c r="H50" i="5481"/>
  <c r="H5" i="5481"/>
  <c r="H7" i="5481"/>
  <c r="H12" i="5481"/>
  <c r="H14" i="5481"/>
  <c r="H19" i="5481"/>
  <c r="H21" i="5481"/>
  <c r="H24" i="5481"/>
  <c r="H26" i="5481"/>
  <c r="H11" i="5481"/>
  <c r="H32" i="5481"/>
  <c r="H36" i="5481"/>
  <c r="H40" i="5481"/>
  <c r="H44" i="5481"/>
  <c r="H48" i="5481"/>
  <c r="H3" i="5481"/>
  <c r="B23" i="5481"/>
  <c r="H27" i="5481"/>
  <c r="H29" i="5481"/>
  <c r="H33" i="5481"/>
  <c r="H37" i="5481"/>
  <c r="H41" i="5481"/>
  <c r="H45" i="5481"/>
  <c r="H49" i="5481"/>
  <c r="H10" i="5479"/>
  <c r="H8" i="5479"/>
  <c r="H21" i="5479"/>
  <c r="H26" i="5479"/>
  <c r="H28" i="5479"/>
  <c r="H32" i="5479"/>
  <c r="H40" i="5479"/>
  <c r="H48" i="5479"/>
  <c r="H23" i="5479"/>
  <c r="H12" i="5479"/>
  <c r="H36" i="5479"/>
  <c r="H44" i="5479"/>
  <c r="H4" i="5479"/>
  <c r="H6" i="5479"/>
  <c r="H7" i="5479"/>
  <c r="H15" i="5479"/>
  <c r="C17" i="5479"/>
  <c r="H11" i="5479"/>
  <c r="H30" i="5479"/>
  <c r="H37" i="5479"/>
  <c r="H45" i="5479"/>
  <c r="H52" i="5479"/>
  <c r="H22" i="5479"/>
  <c r="H24" i="5479"/>
  <c r="H27" i="5479"/>
  <c r="H29" i="5479"/>
  <c r="H31" i="5479"/>
  <c r="H34" i="5479"/>
  <c r="H38" i="5479"/>
  <c r="H42" i="5479"/>
  <c r="H46" i="5479"/>
  <c r="H50" i="5479"/>
  <c r="H9" i="5479"/>
  <c r="H17" i="5479"/>
  <c r="H19" i="5479"/>
  <c r="C19" i="5479"/>
  <c r="H25" i="5479"/>
  <c r="H13" i="5479"/>
  <c r="H35" i="5479"/>
  <c r="H39" i="5479"/>
  <c r="H43" i="5479"/>
  <c r="H47" i="5479"/>
  <c r="H52" i="2228"/>
  <c r="H51" i="2228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<sst xmlns="http://schemas.openxmlformats.org/spreadsheetml/2006/main" count="1047" uniqueCount="180">
  <si>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</si>
  <si>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</si>
  <si>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</si>
  <si>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</si>
  <si>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</si>
  <si>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</si>
  <si>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</si>
  <si>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</si>
  <si>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</si>
  <si>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</si>
  <si>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</si>
  <si>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</si>
  <si>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</si>
  <si>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</si>
  <si>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</si>
  <si>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</si>
  <si>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</si>
  <si>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</si>
  <si>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</si>
  <si>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</si>
  <si>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</si>
  <si>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</si>
  <si>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</si>
  <si>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</si>
  <si>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</si>
  <si>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</si>
  <si>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</si>
  <si>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</si>
  <si>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</si>
  <si>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</si>
  <si>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</si>
  <si>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</si>
  <si>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</si>
  <si>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</si>
  <si>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</si>
  <si>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</si>
  <si>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</si>
  <si>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</si>
  <si>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</si>
  <si>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</si>
  <si>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</si>
  <si>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</si>
  <si>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</si>
  <si>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</si>
  <si>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</si>
  <si>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</si>
  <si>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</si>
  <si>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</si>
  <si>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</si>
  <si>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</si>
  <si>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</si>
  <si>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</si>
  <si>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</si>
  <si>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</si>
  <si>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</si>
  <si>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</si>
  <si>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</si>
  <si>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</si>
  <si>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</si>
  <si>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</si>
  <si>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</si>
  <si>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</si>
  <si>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</si>
  <si>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</si>
  <si>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</si>
  <si>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</si>
  <si>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</si>
  <si>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</si>
  <si>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</si>
  <si>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</si>
  <si>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</si>
  <si>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</si>
  <si>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</si>
  <si>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</si>
  <si>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</si>
  <si>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</si>
  <si>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</si>
  <si>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</si>
  <si>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</si>
  <si>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</si>
  <si>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</si>
  <si>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</si>
  <si>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</si>
  <si>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</si>
  <si>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</si>
  <si>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</si>
  <si>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</si>
  <si>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</si>
  <si>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</si>
  <si>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</si>
  <si>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</si>
  <si>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</si>
  <si>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</si>
  <si>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</si>
  <si>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</si>
  <si>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</si>
  <si>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</si>
  <si>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</si>
  <si>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</si>
  <si>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</si>
  <si>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</si>
  <si>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</si>
  <si>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</si>
  <si>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</si>
  <si>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</si>
  <si>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</si>
  <si>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</si>
  <si>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</si>
  <si>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</si>
  <si>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</si>
  <si>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</si>
  <si>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</si>
  <si>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</si>
  <si>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</si>
  <si>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</si>
  <si>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</si>
  <si>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</si>
  <si>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</si>
  <si>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</si>
  <si>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</si>
  <si>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</si>
  <si>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</si>
  <si>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</si>
  <si>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</si>
  <si>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</si>
  <si>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</si>
  <si>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</si>
  <si>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</si>
  <si>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</si>
  <si>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</si>
  <si>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</si>
  <si>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</si>
  <si>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</si>
  <si>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</si>
  <si>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</si>
  <si>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</si>
  <si>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</si>
  <si>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</si>
  <si>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</si>
  <si>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</si>
  <si>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</si>
  <si>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</si>
  <si>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</si>
  <si>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</si>
  <si>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</si>
  <si>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</si>
  <si>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</si>
  <si>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</si>
  <si>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</si>
  <si>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</si>
  <si>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</si>
  <si>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</si>
  <si>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</si>
  <si>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</si>
  <si>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</si>
  <si>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</si>
  <si>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</si>
  <si>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</si>
  <si>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</si>
  <si>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</si>
  <si>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</si>
  <si>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</si>
  <si>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</si>
  <si>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</si>
  <si>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</si>
  <si>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</si>
  <si>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Sheet3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</si>
  <si>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</si>
  <si>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</si>
  <si>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</si>
  <si>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</si>
  <si>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</si>
  <si>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</si>
  <si>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</si>
  <si>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</si>
  <si>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2019-06-10.xlsm</t>
  </si>
  <si>
    <t>Tenari1</t>
  </si>
  <si>
    <t>Tenari2</t>
  </si>
  <si>
    <t>Sheet4</t>
  </si>
  <si>
    <t>Sheet5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</si>
</sst>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4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4" fontId="0" fillId="0" borderId="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hartsheet" Target="chartsheets/sheet5.xml"/><Relationship Id="rId26" Type="http://schemas.openxmlformats.org/officeDocument/2006/relationships/chartsheet" Target="chartsheets/sheet13.xml"/><Relationship Id="rId3" Type="http://schemas.openxmlformats.org/officeDocument/2006/relationships/worksheet" Target="worksheets/sheet3.xml"/><Relationship Id="rId21" Type="http://schemas.openxmlformats.org/officeDocument/2006/relationships/chartsheet" Target="chartsheets/sheet8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hartsheet" Target="chartsheets/sheet4.xml"/><Relationship Id="rId25" Type="http://schemas.openxmlformats.org/officeDocument/2006/relationships/chartsheet" Target="chartsheets/sheet12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chartsheet" Target="chartsheets/sheet3.xml"/><Relationship Id="rId20" Type="http://schemas.openxmlformats.org/officeDocument/2006/relationships/chartsheet" Target="chartsheets/sheet7.xml"/><Relationship Id="rId29" Type="http://schemas.openxmlformats.org/officeDocument/2006/relationships/chartsheet" Target="chart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hartsheet" Target="chartsheets/sheet11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hartsheet" Target="chartsheets/sheet2.xml"/><Relationship Id="rId23" Type="http://schemas.openxmlformats.org/officeDocument/2006/relationships/chartsheet" Target="chartsheets/sheet10.xml"/><Relationship Id="rId28" Type="http://schemas.openxmlformats.org/officeDocument/2006/relationships/chartsheet" Target="chartsheets/sheet15.xml"/><Relationship Id="rId10" Type="http://schemas.openxmlformats.org/officeDocument/2006/relationships/worksheet" Target="worksheets/sheet10.xml"/><Relationship Id="rId19" Type="http://schemas.openxmlformats.org/officeDocument/2006/relationships/chartsheet" Target="chartsheets/sheet6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hartsheet" Target="chartsheets/sheet1.xml"/><Relationship Id="rId22" Type="http://schemas.openxmlformats.org/officeDocument/2006/relationships/chartsheet" Target="chartsheets/sheet9.xml"/><Relationship Id="rId27" Type="http://schemas.openxmlformats.org/officeDocument/2006/relationships/chartsheet" Target="chartsheets/sheet14.xml"/><Relationship Id="rId30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全体!$L$2:$L$17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7</c:v>
                </c:pt>
                <c:pt idx="2">
                  <c:v>-50</c:v>
                </c:pt>
                <c:pt idx="3">
                  <c:v>0</c:v>
                </c:pt>
                <c:pt idx="4">
                  <c:v>39.299999999999997</c:v>
                </c:pt>
                <c:pt idx="5">
                  <c:v>-17.700000000000003</c:v>
                </c:pt>
                <c:pt idx="6">
                  <c:v>-3.5527136788005009E-15</c:v>
                </c:pt>
                <c:pt idx="7">
                  <c:v>-49.100000000000009</c:v>
                </c:pt>
                <c:pt idx="8">
                  <c:v>-65.000000000000014</c:v>
                </c:pt>
                <c:pt idx="9">
                  <c:v>-1.4210854715202004E-14</c:v>
                </c:pt>
                <c:pt idx="10">
                  <c:v>-4.0000000000000142</c:v>
                </c:pt>
                <c:pt idx="11">
                  <c:v>-60.000000000000014</c:v>
                </c:pt>
                <c:pt idx="12">
                  <c:v>-1.4210854715202004E-14</c:v>
                </c:pt>
                <c:pt idx="13">
                  <c:v>-43.600000000000016</c:v>
                </c:pt>
                <c:pt idx="14">
                  <c:v>-35.700000000000017</c:v>
                </c:pt>
                <c:pt idx="15">
                  <c:v>-1.4210854715202004E-14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A5-4E24-ACA4-61D71DC65F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-66.666666666666671</c:v>
                </c:pt>
                <c:pt idx="1">
                  <c:v>83.333333333333329</c:v>
                </c:pt>
                <c:pt idx="2">
                  <c:v>0</c:v>
                </c:pt>
                <c:pt idx="3">
                  <c:v>-166.66666666666666</c:v>
                </c:pt>
                <c:pt idx="4">
                  <c:v>166.66666666666666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C7-4182-901F-C7663ADA9C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Tenari2!$L$1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Tenari2!$K$2:$K$7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Tenari2!$L$2:$L$7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7</c:v>
                </c:pt>
                <c:pt idx="2">
                  <c:v>46.3</c:v>
                </c:pt>
                <c:pt idx="3">
                  <c:v>30.4</c:v>
                </c:pt>
                <c:pt idx="4">
                  <c:v>-25.6</c:v>
                </c:pt>
                <c:pt idx="5">
                  <c:v>10.100000000000001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49-4E0A-A89B-9265104371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Tenari2!$O$1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Tenari2!$N$2:$N$7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Tenari2!$O$2:$O$7</c:f>
              <c:numCache>
                <c:formatCode>\+0;\-0;\±0</c:formatCode>
                <c:ptCount val="6"/>
                <c:pt idx="0">
                  <c:v>4260</c:v>
                </c:pt>
                <c:pt idx="1">
                  <c:v>-1750</c:v>
                </c:pt>
                <c:pt idx="2">
                  <c:v>-8400</c:v>
                </c:pt>
                <c:pt idx="3">
                  <c:v>9000</c:v>
                </c:pt>
                <c:pt idx="4">
                  <c:v>350</c:v>
                </c:pt>
                <c:pt idx="5">
                  <c:v>-4650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89-4FE1-8D0F-FCD77A991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だいち!$L$2:$L$7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-57</c:v>
                </c:pt>
                <c:pt idx="2">
                  <c:v>-39.299999999999997</c:v>
                </c:pt>
                <c:pt idx="3">
                  <c:v>-88.4</c:v>
                </c:pt>
                <c:pt idx="4">
                  <c:v>-28.400000000000006</c:v>
                </c:pt>
                <c:pt idx="5">
                  <c:v>-20.500000000000007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4F-4901-ACBD-5BF0E2B551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-7860</c:v>
                </c:pt>
                <c:pt idx="1">
                  <c:v>-3525</c:v>
                </c:pt>
                <c:pt idx="2">
                  <c:v>16750</c:v>
                </c:pt>
                <c:pt idx="3">
                  <c:v>-750</c:v>
                </c:pt>
                <c:pt idx="4">
                  <c:v>-2500</c:v>
                </c:pt>
                <c:pt idx="5">
                  <c:v>-3800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74-433F-BA40-B58BE6EEF4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Tenari1!$L$1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Tenari1!$K$2:$K$7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Tenari1!$L$2:$L$7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50</c:v>
                </c:pt>
                <c:pt idx="2">
                  <c:v>-7</c:v>
                </c:pt>
                <c:pt idx="3">
                  <c:v>58</c:v>
                </c:pt>
                <c:pt idx="4">
                  <c:v>54</c:v>
                </c:pt>
                <c:pt idx="5">
                  <c:v>10.399999999999999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22-4C4D-9814-D8CC0C247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Tenari1!$O$1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Tenari1!$N$2:$N$7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Tenari1!$O$2:$O$7</c:f>
              <c:numCache>
                <c:formatCode>\+0;\-0;\±0</c:formatCode>
                <c:ptCount val="6"/>
                <c:pt idx="0">
                  <c:v>3400</c:v>
                </c:pt>
                <c:pt idx="1">
                  <c:v>5525</c:v>
                </c:pt>
                <c:pt idx="2">
                  <c:v>-8350</c:v>
                </c:pt>
                <c:pt idx="3">
                  <c:v>-8750</c:v>
                </c:pt>
                <c:pt idx="4">
                  <c:v>2650</c:v>
                </c:pt>
                <c:pt idx="5">
                  <c:v>8450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C1-4997-B5D1-94DB6038CE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Tenari12!$B$1:$B$2</c:f>
              <c:strCache>
                <c:ptCount val="2"/>
                <c:pt idx="0">
                  <c:v>Tenari1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Tenari12!$A$3:$A$8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Tenari12!$B$3:$B$8</c:f>
              <c:numCache>
                <c:formatCode>\+0.0;\-0.0;\±0</c:formatCode>
                <c:ptCount val="6"/>
                <c:pt idx="0">
                  <c:v>0</c:v>
                </c:pt>
                <c:pt idx="1">
                  <c:v>50</c:v>
                </c:pt>
                <c:pt idx="2">
                  <c:v>-7</c:v>
                </c:pt>
                <c:pt idx="3">
                  <c:v>58</c:v>
                </c:pt>
                <c:pt idx="4">
                  <c:v>54</c:v>
                </c:pt>
                <c:pt idx="5">
                  <c:v>10.399999999999999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4210854715202004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Tenari12!$C$1:$C$2</c:f>
              <c:strCache>
                <c:ptCount val="2"/>
                <c:pt idx="0">
                  <c:v>Tenari1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Tenari12!$A$3:$A$8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Tenari12!$C$3:$C$8</c:f>
              <c:numCache>
                <c:formatCode>\+0.0;\-0.0;\±0</c:formatCode>
                <c:ptCount val="6"/>
                <c:pt idx="1">
                  <c:v>50</c:v>
                </c:pt>
                <c:pt idx="2">
                  <c:v>-3.5</c:v>
                </c:pt>
                <c:pt idx="3">
                  <c:v>19.333333333333332</c:v>
                </c:pt>
                <c:pt idx="4">
                  <c:v>13.5</c:v>
                </c:pt>
                <c:pt idx="5">
                  <c:v>2.0799999999999996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9.4739031434680023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Tenari12!$D$1:$D$2</c:f>
              <c:strCache>
                <c:ptCount val="2"/>
                <c:pt idx="0">
                  <c:v>Tenari1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Tenari12!$A$3:$A$8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Tenari12!$D$3:$D$8</c:f>
              <c:numCache>
                <c:formatCode>0.00\ "位"</c:formatCode>
                <c:ptCount val="6"/>
                <c:pt idx="1">
                  <c:v>1</c:v>
                </c:pt>
                <c:pt idx="2">
                  <c:v>2</c:v>
                </c:pt>
                <c:pt idx="3">
                  <c:v>1.6666666666666667</c:v>
                </c:pt>
                <c:pt idx="4">
                  <c:v>1.75</c:v>
                </c:pt>
                <c:pt idx="5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Tenari12!$E$1:$E$2</c:f>
              <c:strCache>
                <c:ptCount val="2"/>
                <c:pt idx="0">
                  <c:v>Tenari1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Tenari12!$A$3:$A$8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Tenari12!$E$3:$E$8</c:f>
              <c:numCache>
                <c:formatCode>0.0%</c:formatCode>
                <c:ptCount val="6"/>
                <c:pt idx="1">
                  <c:v>1</c:v>
                </c:pt>
                <c:pt idx="2">
                  <c:v>0.5</c:v>
                </c:pt>
                <c:pt idx="3">
                  <c:v>0.66666666666666663</c:v>
                </c:pt>
                <c:pt idx="4">
                  <c:v>0.5</c:v>
                </c:pt>
                <c:pt idx="5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Tenari12!$F$1:$F$2</c:f>
              <c:strCache>
                <c:ptCount val="2"/>
                <c:pt idx="0">
                  <c:v>Tenari1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Tenari12!$A$3:$A$8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Tenari12!$F$3:$F$8</c:f>
              <c:numCache>
                <c:formatCode>0.0%</c:formatCode>
                <c:ptCount val="6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Tenari12!$G$1:$G$2</c:f>
              <c:strCache>
                <c:ptCount val="2"/>
                <c:pt idx="0">
                  <c:v>Tenari1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Tenari12!$A$3:$A$8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Tenari12!$G$3:$G$8</c:f>
              <c:numCache>
                <c:formatCode>0.0%</c:formatCode>
                <c:ptCount val="6"/>
                <c:pt idx="1">
                  <c:v>0.5</c:v>
                </c:pt>
                <c:pt idx="2">
                  <c:v>0.14285714285714285</c:v>
                </c:pt>
                <c:pt idx="3">
                  <c:v>0.41176470588235292</c:v>
                </c:pt>
                <c:pt idx="4">
                  <c:v>0.40909090909090912</c:v>
                </c:pt>
                <c:pt idx="5">
                  <c:v>0.34482758620689657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8850574712643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Tenari12!$H$1:$H$2</c:f>
              <c:strCache>
                <c:ptCount val="2"/>
                <c:pt idx="0">
                  <c:v>Tenari1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Tenari12!$A$3:$A$8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Tenari12!$H$3:$H$8</c:f>
              <c:numCache>
                <c:formatCode>0.0%</c:formatCode>
                <c:ptCount val="6"/>
                <c:pt idx="1">
                  <c:v>0</c:v>
                </c:pt>
                <c:pt idx="2">
                  <c:v>0.2857142857142857</c:v>
                </c:pt>
                <c:pt idx="3">
                  <c:v>0.23529411764705882</c:v>
                </c:pt>
                <c:pt idx="4">
                  <c:v>0.18181818181818182</c:v>
                </c:pt>
                <c:pt idx="5">
                  <c:v>0.2413793103448276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839080459770114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Tenari12!$I$1:$I$2</c:f>
              <c:strCache>
                <c:ptCount val="2"/>
                <c:pt idx="0">
                  <c:v>Tenari1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Tenari12!$A$3:$A$8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Tenari12!$I$3:$I$8</c:f>
              <c:numCache>
                <c:formatCode>0</c:formatCode>
                <c:ptCount val="6"/>
                <c:pt idx="1">
                  <c:v>32000</c:v>
                </c:pt>
                <c:pt idx="2">
                  <c:v>32000</c:v>
                </c:pt>
                <c:pt idx="3">
                  <c:v>12157.142857142857</c:v>
                </c:pt>
                <c:pt idx="4">
                  <c:v>10611.111111111111</c:v>
                </c:pt>
                <c:pt idx="5">
                  <c:v>10080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600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Tenari12!$J$1:$J$2</c:f>
              <c:strCache>
                <c:ptCount val="2"/>
                <c:pt idx="0">
                  <c:v>Tenari1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Tenari12!$A$3:$A$8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Tenari12!$J$3:$J$8</c:f>
              <c:numCache>
                <c:formatCode>0</c:formatCode>
                <c:ptCount val="6"/>
                <c:pt idx="1">
                  <c:v>0</c:v>
                </c:pt>
                <c:pt idx="2">
                  <c:v>-8000</c:v>
                </c:pt>
                <c:pt idx="3">
                  <c:v>-6900</c:v>
                </c:pt>
                <c:pt idx="4">
                  <c:v>-6900</c:v>
                </c:pt>
                <c:pt idx="5">
                  <c:v>-8071.4285714285716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331.2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Tenari12!$K$1:$K$2</c:f>
              <c:strCache>
                <c:ptCount val="2"/>
                <c:pt idx="0">
                  <c:v>Tenari1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Tenari12!$A$3:$A$8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Tenari12!$K$3:$K$8</c:f>
              <c:numCache>
                <c:formatCode>0.0%</c:formatCode>
                <c:ptCount val="6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Tenari12!$L$1:$L$2</c:f>
              <c:strCache>
                <c:ptCount val="2"/>
                <c:pt idx="0">
                  <c:v>Tenari1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Tenari12!$A$3:$A$8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Tenari12!$L$3:$L$8</c:f>
              <c:numCache>
                <c:formatCode>0.0%</c:formatCode>
                <c:ptCount val="6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Tenari12!$M$1:$M$2</c:f>
              <c:strCache>
                <c:ptCount val="2"/>
                <c:pt idx="0">
                  <c:v>Tenari1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Tenari12!$A$3:$A$8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Tenari12!$M$3:$M$8</c:f>
              <c:numCache>
                <c:formatCode>0.0%</c:formatCode>
                <c:ptCount val="6"/>
                <c:pt idx="1">
                  <c:v>1</c:v>
                </c:pt>
                <c:pt idx="2">
                  <c:v>0.42857142857142855</c:v>
                </c:pt>
                <c:pt idx="3">
                  <c:v>0.52941176470588236</c:v>
                </c:pt>
                <c:pt idx="4">
                  <c:v>0.54545454545454541</c:v>
                </c:pt>
                <c:pt idx="5">
                  <c:v>0.55172413793103448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712643678160919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Tenari12!$N$1:$N$2</c:f>
              <c:strCache>
                <c:ptCount val="2"/>
                <c:pt idx="0">
                  <c:v>Tenari1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Tenari12!$A$3:$A$8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Tenari12!$N$3:$N$8</c:f>
              <c:numCache>
                <c:formatCode>0.0%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Tenari12!$O$1:$O$2</c:f>
              <c:strCache>
                <c:ptCount val="2"/>
                <c:pt idx="0">
                  <c:v>Tenari1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Tenari12!$A$3:$A$8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Tenari12!$O$3:$O$8</c:f>
              <c:numCache>
                <c:formatCode>0.0%</c:formatCode>
                <c:ptCount val="6"/>
                <c:pt idx="1">
                  <c:v>0.5</c:v>
                </c:pt>
                <c:pt idx="2">
                  <c:v>0.33333333333333331</c:v>
                </c:pt>
                <c:pt idx="3">
                  <c:v>0.77777777777777779</c:v>
                </c:pt>
                <c:pt idx="4">
                  <c:v>0.75</c:v>
                </c:pt>
                <c:pt idx="5">
                  <c:v>0.625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853658536585365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Tenari12!$P$1:$P$2</c:f>
              <c:strCache>
                <c:ptCount val="2"/>
                <c:pt idx="0">
                  <c:v>Tenari1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Tenari12!$A$3:$A$8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Tenari12!$P$3:$P$8</c:f>
              <c:numCache>
                <c:formatCode>0.0%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Tenari12!$Q$1:$Q$2</c:f>
              <c:strCache>
                <c:ptCount val="2"/>
                <c:pt idx="0">
                  <c:v>Tenari1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Tenari12!$A$3:$A$8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Tenari12!$Q$3:$Q$8</c:f>
              <c:numCache>
                <c:formatCode>0.0%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0.42857142857142855</c:v>
                </c:pt>
                <c:pt idx="4">
                  <c:v>0.33333333333333331</c:v>
                </c:pt>
                <c:pt idx="5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846153846153846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8"/>
      <c r="C1" s="149"/>
      <c r="E1" s="129" t="s">
        <v>165</v>
      </c>
      <c r="F1" s="12" t="s">
        <v>116</v>
      </c>
      <c r="G1" s="26" t="s">
        <v>117</v>
      </c>
      <c r="H1" s="130" t="s">
        <v>118</v>
      </c>
      <c r="I1" s="100" t="s">
        <v>152</v>
      </c>
      <c r="K1" s="2" t="s">
        <v>20</v>
      </c>
      <c r="L1" s="35" t="s">
        <v>121</v>
      </c>
      <c r="M1" s="131"/>
      <c r="N1" s="113" t="s">
        <v>136</v>
      </c>
      <c r="O1" s="34" t="s">
        <v>137</v>
      </c>
      <c r="P1" s="117" t="s">
        <v>117</v>
      </c>
      <c r="Q1" s="101" t="s">
        <v>157</v>
      </c>
    </row>
    <row r="2" spans="1:17" x14ac:dyDescent="0.4">
      <c r="A2" s="21" t="s">
        <v>9</v>
      </c>
      <c r="B2" s="150">
        <v>0</v>
      </c>
      <c r="C2" s="151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130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52">
        <v>0</v>
      </c>
      <c r="C3" s="153"/>
      <c r="E3" s="63" t="s">
        <v>66</v>
      </c>
      <c r="F3" s="28" t="s">
        <v>22</v>
      </c>
      <c r="G3" s="15">
        <v>0</v>
      </c>
      <c r="H3" s="133">
        <f t="shared" ref="H3:H50" si="1">IF(B$17=0,0,G3/B$17)</f>
        <v>0</v>
      </c>
      <c r="I3" s="94"/>
      <c r="N3" s="115" t="s">
        <v>131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4">
        <v>0</v>
      </c>
      <c r="C4" s="155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132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6">
        <f>IF(B$2=0,0,B$4/B$2)</f>
        <v>0</v>
      </c>
      <c r="C5" s="157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133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6">
        <f>IF(B$2=0,0,(B$7*1+B$8*2+B$9*3)/B$2)</f>
        <v>0</v>
      </c>
      <c r="C6" s="147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134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135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161</v>
      </c>
      <c r="O9" s="34" t="s">
        <v>121</v>
      </c>
      <c r="P9" s="117" t="s">
        <v>117</v>
      </c>
      <c r="Q9" s="105" t="s">
        <v>156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162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138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163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158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164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153</v>
      </c>
      <c r="O14" s="34" t="s">
        <v>154</v>
      </c>
      <c r="P14" s="117" t="s">
        <v>155</v>
      </c>
      <c r="Q14" s="105" t="s">
        <v>156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169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170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140</v>
      </c>
      <c r="B25" s="144">
        <v>0</v>
      </c>
      <c r="C25" s="145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150</v>
      </c>
      <c r="B26" s="142">
        <v>0</v>
      </c>
      <c r="C26" s="143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141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167</v>
      </c>
      <c r="F50" s="60" t="s">
        <v>168</v>
      </c>
      <c r="G50" s="47">
        <v>0</v>
      </c>
      <c r="H50" s="133">
        <f t="shared" si="1"/>
        <v>0</v>
      </c>
      <c r="I50" s="94"/>
    </row>
    <row r="51" spans="5:9" x14ac:dyDescent="0.4">
      <c r="E51" s="136" t="s">
        <v>171</v>
      </c>
      <c r="F51" s="137" t="s">
        <v>172</v>
      </c>
      <c r="G51" s="48">
        <v>0</v>
      </c>
      <c r="H51" s="138">
        <f t="shared" ref="H51" si="3">IF(B$17=0,0,G51/B$17)</f>
        <v>0</v>
      </c>
      <c r="I51" s="139"/>
    </row>
    <row r="52" spans="5:9" x14ac:dyDescent="0.4">
      <c r="E52" s="64" t="s">
        <v>173</v>
      </c>
      <c r="F52" s="61" t="s">
        <v>174</v>
      </c>
      <c r="G52" s="49">
        <v>0</v>
      </c>
      <c r="H52" s="134">
        <f>IF(B$17=0,0,G52/B$17)</f>
        <v>0</v>
      </c>
      <c r="I52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G2"/>
  <sheetViews>
    <sheetView workbookViewId="0"/>
  </sheetViews>
  <sheetFormatPr defaultColWidth="9" defaultRowHeight="18.75" x14ac:dyDescent="0.4"/>
  <cols>
    <col min="1" max="1" width="19.25" style="30" customWidth="1"/>
    <col min="2" max="2" width="19.25" style="31" customWidth="1"/>
    <col min="3" max="16384" width="9" style="30"/>
  </cols>
  <sheetData>
    <row r="1" spans="1:7" x14ac:dyDescent="0.4">
      <c r="A1" s="29">
        <v>32874</v>
      </c>
      <c r="B1" s="29">
        <v>2958465</v>
      </c>
    </row>
    <row r="2" spans="1:7" x14ac:dyDescent="0.4">
      <c r="A2" s="30" t="s">
        <v>175</v>
      </c>
      <c r="B2" s="31">
        <v>43626.960868055554</v>
      </c>
      <c r="C2" s="30" t="s">
        <v>128</v>
      </c>
      <c r="D2" s="30" t="s">
        <v>129</v>
      </c>
      <c r="E2" s="30" t="s">
        <v>166</v>
      </c>
      <c r="F2" s="30" t="s">
        <v>178</v>
      </c>
      <c r="G2" s="30" t="s">
        <v>179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160</v>
      </c>
      <c r="G2" s="70" t="s">
        <v>145</v>
      </c>
      <c r="H2" s="70" t="s">
        <v>144</v>
      </c>
      <c r="I2" s="70" t="s">
        <v>5</v>
      </c>
      <c r="J2" s="70" t="s">
        <v>17</v>
      </c>
      <c r="K2" s="70" t="s">
        <v>18</v>
      </c>
      <c r="L2" s="70" t="s">
        <v>139</v>
      </c>
      <c r="M2" s="70" t="s">
        <v>123</v>
      </c>
      <c r="N2" s="70" t="s">
        <v>120</v>
      </c>
      <c r="O2" s="70" t="s">
        <v>126</v>
      </c>
      <c r="P2" s="70" t="s">
        <v>146</v>
      </c>
      <c r="Q2" s="70" t="s">
        <v>142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4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143</v>
      </c>
      <c r="B1">
        <v>15</v>
      </c>
    </row>
    <row r="2" spans="1:2" x14ac:dyDescent="0.4">
      <c r="A2" t="s">
        <v>177</v>
      </c>
      <c r="B2">
        <v>5</v>
      </c>
    </row>
    <row r="3" spans="1:2" x14ac:dyDescent="0.4">
      <c r="A3" t="s">
        <v>127</v>
      </c>
      <c r="B3">
        <v>5</v>
      </c>
    </row>
    <row r="4" spans="1:2" x14ac:dyDescent="0.4">
      <c r="A4" t="s">
        <v>176</v>
      </c>
      <c r="B4">
        <v>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6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60" t="s">
        <v>6</v>
      </c>
      <c r="C1" s="161"/>
      <c r="D1" s="160" t="s">
        <v>7</v>
      </c>
      <c r="E1" s="161"/>
      <c r="F1" s="160" t="s">
        <v>16</v>
      </c>
      <c r="G1" s="161"/>
      <c r="H1" s="160" t="s">
        <v>15</v>
      </c>
      <c r="I1" s="161"/>
      <c r="J1" s="160" t="s">
        <v>160</v>
      </c>
      <c r="K1" s="161"/>
      <c r="L1" s="160" t="s">
        <v>147</v>
      </c>
      <c r="M1" s="161"/>
      <c r="N1" s="160" t="s">
        <v>148</v>
      </c>
      <c r="O1" s="161"/>
      <c r="P1" s="160" t="s">
        <v>5</v>
      </c>
      <c r="Q1" s="161"/>
      <c r="R1" s="160" t="s">
        <v>17</v>
      </c>
      <c r="S1" s="161"/>
      <c r="T1" s="160" t="s">
        <v>18</v>
      </c>
      <c r="U1" s="161"/>
      <c r="V1" s="160" t="s">
        <v>139</v>
      </c>
      <c r="W1" s="161"/>
      <c r="X1" s="160" t="s">
        <v>123</v>
      </c>
      <c r="Y1" s="161"/>
      <c r="Z1" s="160" t="s">
        <v>120</v>
      </c>
      <c r="AA1" s="161"/>
      <c r="AB1" s="160" t="s">
        <v>126</v>
      </c>
      <c r="AC1" s="161"/>
      <c r="AD1" s="160" t="s">
        <v>149</v>
      </c>
      <c r="AE1" s="161"/>
      <c r="AF1" s="160" t="s">
        <v>142</v>
      </c>
      <c r="AG1" s="161"/>
      <c r="AH1" s="160" t="s">
        <v>151</v>
      </c>
      <c r="AI1" s="161"/>
    </row>
    <row r="2" spans="1:35" x14ac:dyDescent="0.4">
      <c r="A2" s="72" t="s">
        <v>159</v>
      </c>
      <c r="B2" s="162"/>
      <c r="C2" s="163"/>
      <c r="D2" s="162"/>
      <c r="E2" s="163"/>
      <c r="F2" s="158" t="e">
        <v>#DIV/0!</v>
      </c>
      <c r="G2" s="159"/>
      <c r="H2" s="158" t="e">
        <v>#DIV/0!</v>
      </c>
      <c r="I2" s="159"/>
      <c r="J2" s="158" t="e">
        <v>#DIV/0!</v>
      </c>
      <c r="K2" s="159"/>
      <c r="L2" s="158" t="e">
        <v>#DIV/0!</v>
      </c>
      <c r="M2" s="159"/>
      <c r="N2" s="158" t="e">
        <v>#DIV/0!</v>
      </c>
      <c r="O2" s="159"/>
      <c r="P2" s="158" t="e">
        <v>#DIV/0!</v>
      </c>
      <c r="Q2" s="159"/>
      <c r="R2" s="158" t="e">
        <v>#DIV/0!</v>
      </c>
      <c r="S2" s="159"/>
      <c r="T2" s="158" t="e">
        <v>#DIV/0!</v>
      </c>
      <c r="U2" s="159"/>
      <c r="V2" s="158" t="e">
        <v>#DIV/0!</v>
      </c>
      <c r="W2" s="159"/>
      <c r="X2" s="158" t="e">
        <v>#DIV/0!</v>
      </c>
      <c r="Y2" s="159"/>
      <c r="Z2" s="158" t="e">
        <v>#DIV/0!</v>
      </c>
      <c r="AA2" s="159"/>
      <c r="AB2" s="158" t="e">
        <v>#DIV/0!</v>
      </c>
      <c r="AC2" s="159"/>
      <c r="AD2" s="158" t="e">
        <v>#DIV/0!</v>
      </c>
      <c r="AE2" s="159"/>
      <c r="AF2" s="158" t="e">
        <v>#DIV/0!</v>
      </c>
      <c r="AG2" s="159"/>
      <c r="AH2" s="158" t="e">
        <v>#DIV/0!</v>
      </c>
      <c r="AI2" s="159"/>
    </row>
    <row r="3" spans="1:35" x14ac:dyDescent="0.4">
      <c r="A3" s="74">
        <v>1</v>
      </c>
      <c r="B3" s="75" t="s">
        <v>176</v>
      </c>
      <c r="C3" s="76">
        <v>10.399999999999999</v>
      </c>
      <c r="D3" s="77" t="s">
        <v>176</v>
      </c>
      <c r="E3" s="96">
        <v>2.0799999999999996</v>
      </c>
      <c r="F3" s="77" t="s">
        <v>177</v>
      </c>
      <c r="G3" s="78">
        <v>1.8</v>
      </c>
      <c r="H3" s="77" t="s">
        <v>177</v>
      </c>
      <c r="I3" s="79">
        <v>0.4</v>
      </c>
      <c r="J3" s="77" t="s">
        <v>177</v>
      </c>
      <c r="K3" s="79">
        <v>0.2</v>
      </c>
      <c r="L3" s="77" t="s">
        <v>176</v>
      </c>
      <c r="M3" s="80">
        <v>0.34482758620689657</v>
      </c>
      <c r="N3" s="77" t="s">
        <v>127</v>
      </c>
      <c r="O3" s="80">
        <v>0.13793103448275862</v>
      </c>
      <c r="P3" s="77" t="s">
        <v>176</v>
      </c>
      <c r="Q3" s="81">
        <v>10080</v>
      </c>
      <c r="R3" s="77" t="s">
        <v>177</v>
      </c>
      <c r="S3" s="81">
        <v>-5500</v>
      </c>
      <c r="T3" s="77" t="s">
        <v>143</v>
      </c>
      <c r="U3" s="79">
        <v>0.2</v>
      </c>
      <c r="V3" s="77" t="s">
        <v>143</v>
      </c>
      <c r="W3" s="79">
        <v>0.2</v>
      </c>
      <c r="X3" s="77" t="s">
        <v>176</v>
      </c>
      <c r="Y3" s="80">
        <v>0.55172413793103448</v>
      </c>
      <c r="Z3" s="77" t="s">
        <v>143</v>
      </c>
      <c r="AA3" s="80">
        <v>0</v>
      </c>
      <c r="AB3" s="77" t="s">
        <v>176</v>
      </c>
      <c r="AC3" s="80">
        <v>0.625</v>
      </c>
      <c r="AD3" s="77" t="s">
        <v>143</v>
      </c>
      <c r="AE3" s="80">
        <v>0</v>
      </c>
      <c r="AF3" s="77" t="s">
        <v>127</v>
      </c>
      <c r="AG3" s="80">
        <v>0.5</v>
      </c>
      <c r="AH3" s="77" t="s">
        <v>143</v>
      </c>
      <c r="AI3" s="91">
        <v>80000</v>
      </c>
    </row>
    <row r="4" spans="1:35" x14ac:dyDescent="0.4">
      <c r="A4" s="82">
        <v>2</v>
      </c>
      <c r="B4" s="83" t="s">
        <v>177</v>
      </c>
      <c r="C4" s="84">
        <v>10.100000000000001</v>
      </c>
      <c r="D4" s="85" t="s">
        <v>177</v>
      </c>
      <c r="E4" s="97">
        <v>2.0200000000000005</v>
      </c>
      <c r="F4" s="85" t="s">
        <v>143</v>
      </c>
      <c r="G4" s="86">
        <v>2</v>
      </c>
      <c r="H4" s="85" t="s">
        <v>176</v>
      </c>
      <c r="I4" s="87">
        <v>0.4</v>
      </c>
      <c r="J4" s="85" t="s">
        <v>143</v>
      </c>
      <c r="K4" s="87">
        <v>0.33333333333333331</v>
      </c>
      <c r="L4" s="85" t="s">
        <v>143</v>
      </c>
      <c r="M4" s="88">
        <v>0.2988505747126437</v>
      </c>
      <c r="N4" s="85" t="s">
        <v>177</v>
      </c>
      <c r="O4" s="88">
        <v>0.17241379310344829</v>
      </c>
      <c r="P4" s="85" t="s">
        <v>127</v>
      </c>
      <c r="Q4" s="89">
        <v>10025</v>
      </c>
      <c r="R4" s="85" t="s">
        <v>176</v>
      </c>
      <c r="S4" s="89">
        <v>-8071.4285714285716</v>
      </c>
      <c r="T4" s="85" t="s">
        <v>177</v>
      </c>
      <c r="U4" s="87">
        <v>0.2</v>
      </c>
      <c r="V4" s="85" t="s">
        <v>177</v>
      </c>
      <c r="W4" s="87">
        <v>0.2</v>
      </c>
      <c r="X4" s="85" t="s">
        <v>177</v>
      </c>
      <c r="Y4" s="88">
        <v>0.48275862068965519</v>
      </c>
      <c r="Z4" s="85" t="s">
        <v>177</v>
      </c>
      <c r="AA4" s="88">
        <v>0</v>
      </c>
      <c r="AB4" s="85" t="s">
        <v>143</v>
      </c>
      <c r="AC4" s="88">
        <v>0.58536585365853655</v>
      </c>
      <c r="AD4" s="85" t="s">
        <v>177</v>
      </c>
      <c r="AE4" s="88">
        <v>0</v>
      </c>
      <c r="AF4" s="85" t="s">
        <v>176</v>
      </c>
      <c r="AG4" s="88">
        <v>0.4</v>
      </c>
      <c r="AH4" s="85" t="s">
        <v>176</v>
      </c>
      <c r="AI4" s="92">
        <v>80000</v>
      </c>
    </row>
    <row r="5" spans="1:35" x14ac:dyDescent="0.4">
      <c r="A5" s="82">
        <v>3</v>
      </c>
      <c r="B5" s="83" t="s">
        <v>143</v>
      </c>
      <c r="C5" s="84">
        <v>-1.4210854715202004E-14</v>
      </c>
      <c r="D5" s="85" t="s">
        <v>143</v>
      </c>
      <c r="E5" s="97">
        <v>-9.4739031434680023E-16</v>
      </c>
      <c r="F5" s="85" t="s">
        <v>176</v>
      </c>
      <c r="G5" s="86">
        <v>2</v>
      </c>
      <c r="H5" s="85" t="s">
        <v>143</v>
      </c>
      <c r="I5" s="87">
        <v>0.33333333333333331</v>
      </c>
      <c r="J5" s="85" t="s">
        <v>127</v>
      </c>
      <c r="K5" s="87">
        <v>0.4</v>
      </c>
      <c r="L5" s="85" t="s">
        <v>177</v>
      </c>
      <c r="M5" s="88">
        <v>0.27586206896551724</v>
      </c>
      <c r="N5" s="85" t="s">
        <v>143</v>
      </c>
      <c r="O5" s="88">
        <v>0.18390804597701149</v>
      </c>
      <c r="P5" s="85" t="s">
        <v>143</v>
      </c>
      <c r="Q5" s="89">
        <v>9600</v>
      </c>
      <c r="R5" s="85" t="s">
        <v>143</v>
      </c>
      <c r="S5" s="89">
        <v>-8331.25</v>
      </c>
      <c r="T5" s="85" t="s">
        <v>127</v>
      </c>
      <c r="U5" s="87">
        <v>0.2</v>
      </c>
      <c r="V5" s="85" t="s">
        <v>127</v>
      </c>
      <c r="W5" s="87">
        <v>0.2</v>
      </c>
      <c r="X5" s="85" t="s">
        <v>143</v>
      </c>
      <c r="Y5" s="88">
        <v>0.47126436781609193</v>
      </c>
      <c r="Z5" s="85" t="s">
        <v>127</v>
      </c>
      <c r="AA5" s="88">
        <v>0</v>
      </c>
      <c r="AB5" s="85" t="s">
        <v>177</v>
      </c>
      <c r="AC5" s="88">
        <v>0.5714285714285714</v>
      </c>
      <c r="AD5" s="85" t="s">
        <v>127</v>
      </c>
      <c r="AE5" s="88">
        <v>0</v>
      </c>
      <c r="AF5" s="85" t="s">
        <v>143</v>
      </c>
      <c r="AG5" s="88">
        <v>0.38461538461538464</v>
      </c>
      <c r="AH5" s="85" t="s">
        <v>127</v>
      </c>
      <c r="AI5" s="92">
        <v>75000</v>
      </c>
    </row>
    <row r="6" spans="1:35" x14ac:dyDescent="0.4">
      <c r="A6" s="82">
        <v>4</v>
      </c>
      <c r="B6" s="83" t="s">
        <v>127</v>
      </c>
      <c r="C6" s="84">
        <v>-20.500000000000007</v>
      </c>
      <c r="D6" s="85" t="s">
        <v>127</v>
      </c>
      <c r="E6" s="97">
        <v>-4.1000000000000014</v>
      </c>
      <c r="F6" s="85" t="s">
        <v>127</v>
      </c>
      <c r="G6" s="86">
        <v>2.2000000000000002</v>
      </c>
      <c r="H6" s="85" t="s">
        <v>127</v>
      </c>
      <c r="I6" s="87">
        <v>0.2</v>
      </c>
      <c r="J6" s="85" t="s">
        <v>176</v>
      </c>
      <c r="K6" s="87">
        <v>0.4</v>
      </c>
      <c r="L6" s="85" t="s">
        <v>127</v>
      </c>
      <c r="M6" s="88">
        <v>0.27586206896551724</v>
      </c>
      <c r="N6" s="85" t="s">
        <v>176</v>
      </c>
      <c r="O6" s="88">
        <v>0.2413793103448276</v>
      </c>
      <c r="P6" s="85" t="s">
        <v>177</v>
      </c>
      <c r="Q6" s="89">
        <v>8575</v>
      </c>
      <c r="R6" s="85" t="s">
        <v>127</v>
      </c>
      <c r="S6" s="89">
        <v>-12325</v>
      </c>
      <c r="T6" s="85" t="s">
        <v>176</v>
      </c>
      <c r="U6" s="87">
        <v>0.2</v>
      </c>
      <c r="V6" s="85" t="s">
        <v>176</v>
      </c>
      <c r="W6" s="87">
        <v>0.2</v>
      </c>
      <c r="X6" s="85" t="s">
        <v>127</v>
      </c>
      <c r="Y6" s="88">
        <v>0.37931034482758619</v>
      </c>
      <c r="Z6" s="85" t="s">
        <v>176</v>
      </c>
      <c r="AA6" s="88">
        <v>0</v>
      </c>
      <c r="AB6" s="85" t="s">
        <v>127</v>
      </c>
      <c r="AC6" s="88">
        <v>0.54545454545454541</v>
      </c>
      <c r="AD6" s="85" t="s">
        <v>176</v>
      </c>
      <c r="AE6" s="88">
        <v>0</v>
      </c>
      <c r="AF6" s="85" t="s">
        <v>177</v>
      </c>
      <c r="AG6" s="88">
        <v>0.25</v>
      </c>
      <c r="AH6" s="85" t="s">
        <v>177</v>
      </c>
      <c r="AI6" s="92">
        <v>54300</v>
      </c>
    </row>
  </sheetData>
  <sortState ref="AH3:AI27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3D66C0-A739-4E96-A2D7-7B742AC3F2CD}">
  <sheetPr codeName="Sheet4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143</v>
      </c>
      <c r="C1" s="149"/>
      <c r="E1" s="129" t="s">
        <v>165</v>
      </c>
      <c r="F1" s="141" t="s">
        <v>116</v>
      </c>
      <c r="G1" s="140" t="s">
        <v>117</v>
      </c>
      <c r="H1" s="130" t="s">
        <v>118</v>
      </c>
      <c r="I1" s="141" t="s">
        <v>152</v>
      </c>
      <c r="K1" s="34" t="s">
        <v>20</v>
      </c>
      <c r="L1" s="35" t="s">
        <v>121</v>
      </c>
      <c r="M1" s="131"/>
      <c r="N1" s="113" t="s">
        <v>136</v>
      </c>
      <c r="O1" s="34" t="s">
        <v>137</v>
      </c>
      <c r="P1" s="117" t="s">
        <v>117</v>
      </c>
      <c r="Q1" s="101" t="s">
        <v>156</v>
      </c>
    </row>
    <row r="2" spans="1:17" x14ac:dyDescent="0.4">
      <c r="A2" s="54" t="s">
        <v>9</v>
      </c>
      <c r="B2" s="150">
        <v>15</v>
      </c>
      <c r="C2" s="151"/>
      <c r="E2" s="62" t="s">
        <v>65</v>
      </c>
      <c r="F2" s="59" t="s">
        <v>21</v>
      </c>
      <c r="G2" s="46">
        <v>23</v>
      </c>
      <c r="H2" s="132">
        <f>IF(B$17=0,0,G2/B$17)</f>
        <v>0.88461538461538458</v>
      </c>
      <c r="I2" s="93">
        <v>3</v>
      </c>
      <c r="K2" s="36">
        <v>0</v>
      </c>
      <c r="L2" s="98">
        <v>0</v>
      </c>
      <c r="N2" s="114" t="s">
        <v>130</v>
      </c>
      <c r="O2" s="121">
        <f t="shared" ref="O2:O7" si="0">IF(P2=0,0,Q2/P2)</f>
        <v>-66.666666666666671</v>
      </c>
      <c r="P2" s="118">
        <v>15</v>
      </c>
      <c r="Q2" s="102">
        <v>-1000</v>
      </c>
    </row>
    <row r="3" spans="1:17" x14ac:dyDescent="0.4">
      <c r="A3" s="55" t="s">
        <v>8</v>
      </c>
      <c r="B3" s="152">
        <v>87</v>
      </c>
      <c r="C3" s="153"/>
      <c r="E3" s="63" t="s">
        <v>67</v>
      </c>
      <c r="F3" s="60" t="s">
        <v>23</v>
      </c>
      <c r="G3" s="47">
        <v>13</v>
      </c>
      <c r="H3" s="133">
        <f>IF(B$17=0,0,G3/B$17)</f>
        <v>0.5</v>
      </c>
      <c r="I3" s="94">
        <v>1</v>
      </c>
      <c r="K3" s="38">
        <v>1</v>
      </c>
      <c r="L3" s="99">
        <v>7</v>
      </c>
      <c r="N3" s="115" t="s">
        <v>131</v>
      </c>
      <c r="O3" s="122">
        <f t="shared" si="0"/>
        <v>83.333333333333329</v>
      </c>
      <c r="P3" s="119">
        <v>12</v>
      </c>
      <c r="Q3" s="103">
        <v>1000</v>
      </c>
    </row>
    <row r="4" spans="1:17" x14ac:dyDescent="0.4">
      <c r="A4" s="55" t="s">
        <v>6</v>
      </c>
      <c r="B4" s="154">
        <v>-1.4210854715202004E-14</v>
      </c>
      <c r="C4" s="155"/>
      <c r="E4" s="63" t="s">
        <v>171</v>
      </c>
      <c r="F4" s="60" t="s">
        <v>172</v>
      </c>
      <c r="G4" s="47">
        <v>12</v>
      </c>
      <c r="H4" s="133">
        <f>IF(B$17=0,0,G4/B$17)</f>
        <v>0.46153846153846156</v>
      </c>
      <c r="I4" s="94">
        <v>3</v>
      </c>
      <c r="K4" s="38">
        <v>2</v>
      </c>
      <c r="L4" s="99">
        <v>-50</v>
      </c>
      <c r="N4" s="115" t="s">
        <v>132</v>
      </c>
      <c r="O4" s="122">
        <f t="shared" si="0"/>
        <v>0</v>
      </c>
      <c r="P4" s="119">
        <v>12</v>
      </c>
      <c r="Q4" s="103">
        <v>0</v>
      </c>
    </row>
    <row r="5" spans="1:17" x14ac:dyDescent="0.4">
      <c r="A5" s="55" t="s">
        <v>7</v>
      </c>
      <c r="B5" s="156">
        <f>IF(B$2=0,0,B$4/B$2)</f>
        <v>-9.4739031434680023E-16</v>
      </c>
      <c r="C5" s="157"/>
      <c r="E5" s="63" t="s">
        <v>68</v>
      </c>
      <c r="F5" s="60" t="s">
        <v>24</v>
      </c>
      <c r="G5" s="47">
        <v>11</v>
      </c>
      <c r="H5" s="133">
        <f>IF(B$17=0,0,G5/B$17)</f>
        <v>0.42307692307692307</v>
      </c>
      <c r="I5" s="94">
        <v>2</v>
      </c>
      <c r="K5" s="38">
        <v>3</v>
      </c>
      <c r="L5" s="99">
        <v>0</v>
      </c>
      <c r="N5" s="115" t="s">
        <v>133</v>
      </c>
      <c r="O5" s="122">
        <f t="shared" si="0"/>
        <v>-166.66666666666666</v>
      </c>
      <c r="P5" s="119">
        <v>6</v>
      </c>
      <c r="Q5" s="103">
        <v>-1000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66</v>
      </c>
      <c r="F6" s="60" t="s">
        <v>22</v>
      </c>
      <c r="G6" s="47">
        <v>10</v>
      </c>
      <c r="H6" s="133">
        <f>IF(B$17=0,0,G6/B$17)</f>
        <v>0.38461538461538464</v>
      </c>
      <c r="I6" s="94">
        <v>2</v>
      </c>
      <c r="K6" s="38">
        <v>4</v>
      </c>
      <c r="L6" s="99">
        <v>39.299999999999997</v>
      </c>
      <c r="N6" s="115" t="s">
        <v>134</v>
      </c>
      <c r="O6" s="122">
        <f t="shared" si="0"/>
        <v>166.66666666666666</v>
      </c>
      <c r="P6" s="119">
        <v>6</v>
      </c>
      <c r="Q6" s="103">
        <v>1000</v>
      </c>
    </row>
    <row r="7" spans="1:17" x14ac:dyDescent="0.4">
      <c r="A7" s="55" t="s">
        <v>2</v>
      </c>
      <c r="B7" s="47">
        <v>5</v>
      </c>
      <c r="C7" s="39">
        <f>IF(B$2=0,0,B7/B$2)</f>
        <v>0.33333333333333331</v>
      </c>
      <c r="E7" s="63" t="s">
        <v>69</v>
      </c>
      <c r="F7" s="60" t="s">
        <v>12</v>
      </c>
      <c r="G7" s="47">
        <v>9</v>
      </c>
      <c r="H7" s="133">
        <f>IF(B$17=0,0,G7/B$17)</f>
        <v>0.34615384615384615</v>
      </c>
      <c r="I7" s="94">
        <v>3</v>
      </c>
      <c r="K7" s="38">
        <v>5</v>
      </c>
      <c r="L7" s="99">
        <v>-17.700000000000003</v>
      </c>
      <c r="N7" s="116" t="s">
        <v>135</v>
      </c>
      <c r="O7" s="123">
        <f t="shared" si="0"/>
        <v>0</v>
      </c>
      <c r="P7" s="120">
        <v>6</v>
      </c>
      <c r="Q7" s="104">
        <v>0</v>
      </c>
    </row>
    <row r="8" spans="1:17" x14ac:dyDescent="0.4">
      <c r="A8" s="55" t="s">
        <v>3</v>
      </c>
      <c r="B8" s="47">
        <v>5</v>
      </c>
      <c r="C8" s="39">
        <f>IF(B$2=0,0,B8/B$2)</f>
        <v>0.33333333333333331</v>
      </c>
      <c r="E8" s="63" t="s">
        <v>73</v>
      </c>
      <c r="F8" s="60" t="s">
        <v>28</v>
      </c>
      <c r="G8" s="47">
        <v>7</v>
      </c>
      <c r="H8" s="133">
        <f>IF(B$17=0,0,G8/B$17)</f>
        <v>0.26923076923076922</v>
      </c>
      <c r="I8" s="94">
        <v>2</v>
      </c>
      <c r="K8" s="38">
        <v>6</v>
      </c>
      <c r="L8" s="99">
        <v>-3.5527136788005009E-15</v>
      </c>
      <c r="N8" s="43"/>
      <c r="O8" s="127"/>
      <c r="P8" s="111"/>
      <c r="Q8" s="109"/>
    </row>
    <row r="9" spans="1:17" x14ac:dyDescent="0.4">
      <c r="A9" s="56" t="s">
        <v>4</v>
      </c>
      <c r="B9" s="48">
        <v>5</v>
      </c>
      <c r="C9" s="40">
        <f t="shared" ref="C9" si="1">IF(B$2=0,0,B9/B$2)</f>
        <v>0.33333333333333331</v>
      </c>
      <c r="E9" s="63" t="s">
        <v>70</v>
      </c>
      <c r="F9" s="60" t="s">
        <v>25</v>
      </c>
      <c r="G9" s="47">
        <v>4</v>
      </c>
      <c r="H9" s="133">
        <f>IF(B$17=0,0,G9/B$17)</f>
        <v>0.15384615384615385</v>
      </c>
      <c r="I9" s="94">
        <v>2</v>
      </c>
      <c r="K9" s="38">
        <v>7</v>
      </c>
      <c r="L9" s="99">
        <v>-49.100000000000009</v>
      </c>
      <c r="N9" s="113" t="s">
        <v>161</v>
      </c>
      <c r="O9" s="34" t="s">
        <v>121</v>
      </c>
      <c r="P9" s="117" t="s">
        <v>117</v>
      </c>
      <c r="Q9" s="105" t="s">
        <v>156</v>
      </c>
    </row>
    <row r="10" spans="1:17" x14ac:dyDescent="0.4">
      <c r="A10" s="56" t="s">
        <v>19</v>
      </c>
      <c r="B10" s="48">
        <v>3</v>
      </c>
      <c r="C10" s="40">
        <f>IF(B$2=0,0,B10/B$2)</f>
        <v>0.2</v>
      </c>
      <c r="E10" s="63" t="s">
        <v>71</v>
      </c>
      <c r="F10" s="60" t="s">
        <v>26</v>
      </c>
      <c r="G10" s="47">
        <v>3</v>
      </c>
      <c r="H10" s="133">
        <f>IF(B$17=0,0,G10/B$17)</f>
        <v>0.11538461538461539</v>
      </c>
      <c r="I10" s="94">
        <v>3</v>
      </c>
      <c r="K10" s="38">
        <v>8</v>
      </c>
      <c r="L10" s="99">
        <v>-65.000000000000014</v>
      </c>
      <c r="N10" s="114" t="s">
        <v>162</v>
      </c>
      <c r="O10" s="124">
        <f>IF(P10=0,0,Q10/P10)</f>
        <v>-10.080000000000002</v>
      </c>
      <c r="P10" s="118">
        <v>5</v>
      </c>
      <c r="Q10" s="106">
        <v>-50.400000000000006</v>
      </c>
    </row>
    <row r="11" spans="1:17" x14ac:dyDescent="0.4">
      <c r="A11" s="56" t="s">
        <v>138</v>
      </c>
      <c r="B11" s="48">
        <v>3</v>
      </c>
      <c r="C11" s="40">
        <f>IF(B$2=0,0,B11/B$2)</f>
        <v>0.2</v>
      </c>
      <c r="E11" s="63" t="s">
        <v>87</v>
      </c>
      <c r="F11" s="60" t="s">
        <v>42</v>
      </c>
      <c r="G11" s="47">
        <v>2</v>
      </c>
      <c r="H11" s="133">
        <f>IF(B$17=0,0,G11/B$17)</f>
        <v>7.6923076923076927E-2</v>
      </c>
      <c r="I11" s="94">
        <v>2</v>
      </c>
      <c r="K11" s="38">
        <v>9</v>
      </c>
      <c r="L11" s="99">
        <v>-1.4210854715202004E-14</v>
      </c>
      <c r="N11" s="115" t="s">
        <v>163</v>
      </c>
      <c r="O11" s="125">
        <f>IF(P11=0,0,Q11/P11)</f>
        <v>-35.6</v>
      </c>
      <c r="P11" s="119">
        <v>5</v>
      </c>
      <c r="Q11" s="107">
        <v>-178</v>
      </c>
    </row>
    <row r="12" spans="1:17" x14ac:dyDescent="0.4">
      <c r="A12" s="57" t="s">
        <v>158</v>
      </c>
      <c r="B12" s="49">
        <v>2</v>
      </c>
      <c r="C12" s="42">
        <f>IF(B$2=0,0,B12/B$2)</f>
        <v>0.13333333333333333</v>
      </c>
      <c r="E12" s="63" t="s">
        <v>90</v>
      </c>
      <c r="F12" s="60" t="s">
        <v>45</v>
      </c>
      <c r="G12" s="47">
        <v>2</v>
      </c>
      <c r="H12" s="133">
        <f>IF(B$17=0,0,G12/B$17)</f>
        <v>7.6923076923076927E-2</v>
      </c>
      <c r="I12" s="94">
        <v>3</v>
      </c>
      <c r="K12" s="38">
        <v>10</v>
      </c>
      <c r="L12" s="99">
        <v>-4.0000000000000142</v>
      </c>
      <c r="N12" s="116" t="s">
        <v>164</v>
      </c>
      <c r="O12" s="126">
        <f>IF(P12=0,0,Q12/P12)</f>
        <v>45.679999999999993</v>
      </c>
      <c r="P12" s="120">
        <v>5</v>
      </c>
      <c r="Q12" s="108">
        <v>228.39999999999998</v>
      </c>
    </row>
    <row r="13" spans="1:17" x14ac:dyDescent="0.4">
      <c r="A13" s="58" t="s">
        <v>122</v>
      </c>
      <c r="B13" s="50">
        <v>41</v>
      </c>
      <c r="C13" s="44">
        <f>IF(B$3=0,0,B13/B$3)</f>
        <v>0.47126436781609193</v>
      </c>
      <c r="E13" s="63" t="s">
        <v>93</v>
      </c>
      <c r="F13" s="60" t="s">
        <v>48</v>
      </c>
      <c r="G13" s="47">
        <v>1</v>
      </c>
      <c r="H13" s="133">
        <f>IF(B$17=0,0,G13/B$17)</f>
        <v>3.8461538461538464E-2</v>
      </c>
      <c r="I13" s="94">
        <v>2</v>
      </c>
      <c r="K13" s="38">
        <v>11</v>
      </c>
      <c r="L13" s="99">
        <v>-60.000000000000014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0</v>
      </c>
      <c r="C14" s="39">
        <f>IF(B$3=0,0,B14/B$3)</f>
        <v>0</v>
      </c>
      <c r="E14" s="63" t="s">
        <v>72</v>
      </c>
      <c r="F14" s="60" t="s">
        <v>27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-1.4210854715202004E-14</v>
      </c>
      <c r="N14" s="113" t="s">
        <v>153</v>
      </c>
      <c r="O14" s="34" t="s">
        <v>121</v>
      </c>
      <c r="P14" s="117" t="s">
        <v>117</v>
      </c>
      <c r="Q14" s="105" t="s">
        <v>156</v>
      </c>
    </row>
    <row r="15" spans="1:17" x14ac:dyDescent="0.4">
      <c r="A15" s="54" t="s">
        <v>124</v>
      </c>
      <c r="B15" s="46">
        <v>24</v>
      </c>
      <c r="C15" s="37">
        <f>IF(B$13=0,0,B15/B$13)</f>
        <v>0.58536585365853655</v>
      </c>
      <c r="E15" s="63" t="s">
        <v>74</v>
      </c>
      <c r="F15" s="60" t="s">
        <v>29</v>
      </c>
      <c r="G15" s="47">
        <v>0</v>
      </c>
      <c r="H15" s="133">
        <f>IF(B$17=0,0,G15/B$17)</f>
        <v>0</v>
      </c>
      <c r="I15" s="94">
        <v>1</v>
      </c>
      <c r="K15" s="38">
        <v>13</v>
      </c>
      <c r="L15" s="99">
        <v>-43.600000000000016</v>
      </c>
      <c r="N15" s="114" t="s">
        <v>127</v>
      </c>
      <c r="O15" s="124">
        <f>IF(P15=0,0,Q15/P15)</f>
        <v>6.1500000000000048</v>
      </c>
      <c r="P15" s="118">
        <v>10</v>
      </c>
      <c r="Q15" s="106">
        <v>61.50000000000005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75</v>
      </c>
      <c r="F16" s="60" t="s">
        <v>30</v>
      </c>
      <c r="G16" s="47">
        <v>0</v>
      </c>
      <c r="H16" s="133">
        <f>IF(B$17=0,0,G16/B$17)</f>
        <v>0</v>
      </c>
      <c r="I16" s="94">
        <v>1</v>
      </c>
      <c r="K16" s="38">
        <v>14</v>
      </c>
      <c r="L16" s="99">
        <v>-35.700000000000017</v>
      </c>
      <c r="N16" s="115" t="s">
        <v>177</v>
      </c>
      <c r="O16" s="125">
        <f>IF(P16=0,0,Q16/P16)</f>
        <v>-3.0299999999999967</v>
      </c>
      <c r="P16" s="119">
        <v>10</v>
      </c>
      <c r="Q16" s="107">
        <v>-30.299999999999969</v>
      </c>
    </row>
    <row r="17" spans="1:17" x14ac:dyDescent="0.4">
      <c r="A17" s="54" t="s">
        <v>10</v>
      </c>
      <c r="B17" s="46">
        <f>B19+B18</f>
        <v>26</v>
      </c>
      <c r="C17" s="37">
        <f>IF(B$3=0,0,B17/B$3)</f>
        <v>0.2988505747126437</v>
      </c>
      <c r="E17" s="63" t="s">
        <v>76</v>
      </c>
      <c r="F17" s="60" t="s">
        <v>31</v>
      </c>
      <c r="G17" s="47">
        <v>0</v>
      </c>
      <c r="H17" s="133">
        <f>IF(B$17=0,0,G17/B$17)</f>
        <v>0</v>
      </c>
      <c r="I17" s="94">
        <v>1</v>
      </c>
      <c r="K17" s="38">
        <v>15</v>
      </c>
      <c r="L17" s="99">
        <v>-1.4210854715202004E-14</v>
      </c>
      <c r="N17" s="115" t="s">
        <v>176</v>
      </c>
      <c r="O17" s="125">
        <f>IF(P17=0,0,Q17/P17)</f>
        <v>-3.1199999999999997</v>
      </c>
      <c r="P17" s="119">
        <v>10</v>
      </c>
      <c r="Q17" s="107">
        <v>-31.199999999999996</v>
      </c>
    </row>
    <row r="18" spans="1:17" x14ac:dyDescent="0.4">
      <c r="A18" s="55" t="s">
        <v>12</v>
      </c>
      <c r="B18" s="47">
        <v>10</v>
      </c>
      <c r="C18" s="39">
        <f>IF(B$17=0,0,B18/B$17)</f>
        <v>0.38461538461538464</v>
      </c>
      <c r="E18" s="63" t="s">
        <v>77</v>
      </c>
      <c r="F18" s="60" t="s">
        <v>32</v>
      </c>
      <c r="G18" s="47">
        <v>0</v>
      </c>
      <c r="H18" s="133">
        <f>IF(B$17=0,0,G18/B$17)</f>
        <v>0</v>
      </c>
      <c r="I18" s="94">
        <v>1</v>
      </c>
    </row>
    <row r="19" spans="1:17" x14ac:dyDescent="0.4">
      <c r="A19" s="55" t="s">
        <v>11</v>
      </c>
      <c r="B19" s="47">
        <v>16</v>
      </c>
      <c r="C19" s="39">
        <f>IF(B$17=0,0,B19/B$17)</f>
        <v>0.61538461538461542</v>
      </c>
      <c r="E19" s="63" t="s">
        <v>78</v>
      </c>
      <c r="F19" s="60" t="s">
        <v>33</v>
      </c>
      <c r="G19" s="47">
        <v>0</v>
      </c>
      <c r="H19" s="133">
        <f>IF(B$17=0,0,G19/B$17)</f>
        <v>0</v>
      </c>
      <c r="I19" s="94">
        <v>1</v>
      </c>
    </row>
    <row r="20" spans="1:17" x14ac:dyDescent="0.4">
      <c r="A20" s="55" t="s">
        <v>13</v>
      </c>
      <c r="B20" s="47">
        <v>16</v>
      </c>
      <c r="C20" s="39">
        <f>IF(B$3=0,0,B20/B$3)</f>
        <v>0.18390804597701149</v>
      </c>
      <c r="E20" s="63" t="s">
        <v>79</v>
      </c>
      <c r="F20" s="60" t="s">
        <v>34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169</v>
      </c>
      <c r="B21" s="47">
        <v>4</v>
      </c>
      <c r="C21" s="135">
        <v>0</v>
      </c>
      <c r="E21" s="63" t="s">
        <v>80</v>
      </c>
      <c r="F21" s="60" t="s">
        <v>35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170</v>
      </c>
      <c r="B22" s="47">
        <v>15</v>
      </c>
      <c r="C22" s="135">
        <v>15</v>
      </c>
      <c r="E22" s="63" t="s">
        <v>81</v>
      </c>
      <c r="F22" s="60" t="s">
        <v>36</v>
      </c>
      <c r="G22" s="47">
        <v>0</v>
      </c>
      <c r="H22" s="133">
        <f>IF(B$17=0,0,G22/B$17)</f>
        <v>0</v>
      </c>
      <c r="I22" s="94">
        <v>1</v>
      </c>
    </row>
    <row r="23" spans="1:17" x14ac:dyDescent="0.4">
      <c r="A23" s="55" t="s">
        <v>5</v>
      </c>
      <c r="B23" s="51">
        <f>IF(B$17=0,0,C23/B$17)</f>
        <v>9600</v>
      </c>
      <c r="C23" s="41">
        <v>249600</v>
      </c>
      <c r="E23" s="63" t="s">
        <v>82</v>
      </c>
      <c r="F23" s="60" t="s">
        <v>37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-8331.25</v>
      </c>
      <c r="C24" s="45">
        <v>-133300</v>
      </c>
      <c r="E24" s="63" t="s">
        <v>83</v>
      </c>
      <c r="F24" s="60" t="s">
        <v>38</v>
      </c>
      <c r="G24" s="47">
        <v>0</v>
      </c>
      <c r="H24" s="133">
        <f>IF(B$17=0,0,G24/B$17)</f>
        <v>0</v>
      </c>
      <c r="I24" s="94">
        <v>1</v>
      </c>
    </row>
    <row r="25" spans="1:17" x14ac:dyDescent="0.4">
      <c r="A25" s="90" t="s">
        <v>140</v>
      </c>
      <c r="B25" s="144">
        <v>3</v>
      </c>
      <c r="C25" s="145"/>
      <c r="E25" s="63" t="s">
        <v>84</v>
      </c>
      <c r="F25" s="60" t="s">
        <v>39</v>
      </c>
      <c r="G25" s="47">
        <v>0</v>
      </c>
      <c r="H25" s="133">
        <f>IF(B$17=0,0,G25/B$17)</f>
        <v>0</v>
      </c>
      <c r="I25" s="94">
        <v>1</v>
      </c>
    </row>
    <row r="26" spans="1:17" x14ac:dyDescent="0.4">
      <c r="A26" s="58" t="s">
        <v>150</v>
      </c>
      <c r="B26" s="142">
        <v>80000</v>
      </c>
      <c r="C26" s="143"/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1</v>
      </c>
    </row>
    <row r="27" spans="1:17" x14ac:dyDescent="0.4">
      <c r="A27" s="57" t="s">
        <v>141</v>
      </c>
      <c r="B27" s="65">
        <v>0</v>
      </c>
      <c r="C27" s="42">
        <f>IF(B$3=0,0,B27/B$3)</f>
        <v>0</v>
      </c>
      <c r="E27" s="63" t="s">
        <v>86</v>
      </c>
      <c r="F27" s="60" t="s">
        <v>41</v>
      </c>
      <c r="G27" s="47">
        <v>0</v>
      </c>
      <c r="H27" s="133">
        <f>IF(B$17=0,0,G27/B$17)</f>
        <v>0</v>
      </c>
      <c r="I27" s="94">
        <v>1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1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1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1</v>
      </c>
    </row>
    <row r="31" spans="1:17" x14ac:dyDescent="0.4">
      <c r="E31" s="63" t="s">
        <v>92</v>
      </c>
      <c r="F31" s="60" t="s">
        <v>47</v>
      </c>
      <c r="G31" s="47">
        <v>0</v>
      </c>
      <c r="H31" s="133">
        <f>IF(B$17=0,0,G31/B$17)</f>
        <v>0</v>
      </c>
      <c r="I31" s="94">
        <v>1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167</v>
      </c>
      <c r="F51" s="137" t="s">
        <v>168</v>
      </c>
      <c r="G51" s="48">
        <v>0</v>
      </c>
      <c r="H51" s="138">
        <f>IF(B$17=0,0,G51/B$17)</f>
        <v>0</v>
      </c>
      <c r="I51" s="139">
        <v>1</v>
      </c>
    </row>
    <row r="52" spans="5:9" x14ac:dyDescent="0.4">
      <c r="E52" s="64" t="s">
        <v>173</v>
      </c>
      <c r="F52" s="61" t="s">
        <v>174</v>
      </c>
      <c r="G52" s="49">
        <v>0</v>
      </c>
      <c r="H52" s="134">
        <f>IF(B$17=0,0,G52/B$17)</f>
        <v>0</v>
      </c>
      <c r="I52" s="95">
        <v>1</v>
      </c>
    </row>
  </sheetData>
  <sortState ref="N15:Q17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F0856-2965-4060-BD15-6E8F1D76AD2A}">
  <sheetPr codeName="Sheet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177</v>
      </c>
      <c r="C1" s="149"/>
      <c r="E1" s="129" t="s">
        <v>165</v>
      </c>
      <c r="F1" s="141" t="s">
        <v>116</v>
      </c>
      <c r="G1" s="140" t="s">
        <v>117</v>
      </c>
      <c r="H1" s="130" t="s">
        <v>118</v>
      </c>
      <c r="I1" s="141" t="s">
        <v>152</v>
      </c>
      <c r="K1" s="34" t="s">
        <v>20</v>
      </c>
      <c r="L1" s="35" t="s">
        <v>121</v>
      </c>
      <c r="M1" s="131"/>
      <c r="N1" s="113" t="s">
        <v>136</v>
      </c>
      <c r="O1" s="34" t="s">
        <v>137</v>
      </c>
      <c r="P1" s="117" t="s">
        <v>117</v>
      </c>
      <c r="Q1" s="101" t="s">
        <v>156</v>
      </c>
    </row>
    <row r="2" spans="1:17" x14ac:dyDescent="0.4">
      <c r="A2" s="54" t="s">
        <v>9</v>
      </c>
      <c r="B2" s="150">
        <v>5</v>
      </c>
      <c r="C2" s="151"/>
      <c r="E2" s="62" t="s">
        <v>65</v>
      </c>
      <c r="F2" s="59" t="s">
        <v>21</v>
      </c>
      <c r="G2" s="46">
        <v>8</v>
      </c>
      <c r="H2" s="132">
        <f>IF(B$17=0,0,G2/B$17)</f>
        <v>1</v>
      </c>
      <c r="I2" s="93">
        <v>1</v>
      </c>
      <c r="K2" s="36">
        <v>0</v>
      </c>
      <c r="L2" s="98">
        <v>0</v>
      </c>
      <c r="N2" s="114" t="s">
        <v>130</v>
      </c>
      <c r="O2" s="121">
        <f t="shared" ref="O2:O7" si="0">IF(P2=0,0,Q2/P2)</f>
        <v>4260</v>
      </c>
      <c r="P2" s="118">
        <v>5</v>
      </c>
      <c r="Q2" s="102">
        <v>21300</v>
      </c>
    </row>
    <row r="3" spans="1:17" x14ac:dyDescent="0.4">
      <c r="A3" s="55" t="s">
        <v>8</v>
      </c>
      <c r="B3" s="152">
        <v>29</v>
      </c>
      <c r="C3" s="153"/>
      <c r="E3" s="63" t="s">
        <v>171</v>
      </c>
      <c r="F3" s="60" t="s">
        <v>172</v>
      </c>
      <c r="G3" s="47">
        <v>5</v>
      </c>
      <c r="H3" s="133">
        <f>IF(B$17=0,0,G3/B$17)</f>
        <v>0.625</v>
      </c>
      <c r="I3" s="94">
        <v>1</v>
      </c>
      <c r="K3" s="38">
        <v>1</v>
      </c>
      <c r="L3" s="99">
        <v>7</v>
      </c>
      <c r="N3" s="115" t="s">
        <v>131</v>
      </c>
      <c r="O3" s="122">
        <f t="shared" si="0"/>
        <v>-1750</v>
      </c>
      <c r="P3" s="119">
        <v>4</v>
      </c>
      <c r="Q3" s="103">
        <v>-7000</v>
      </c>
    </row>
    <row r="4" spans="1:17" x14ac:dyDescent="0.4">
      <c r="A4" s="55" t="s">
        <v>6</v>
      </c>
      <c r="B4" s="154">
        <v>10.100000000000001</v>
      </c>
      <c r="C4" s="155"/>
      <c r="E4" s="63" t="s">
        <v>67</v>
      </c>
      <c r="F4" s="60" t="s">
        <v>23</v>
      </c>
      <c r="G4" s="47">
        <v>4</v>
      </c>
      <c r="H4" s="133">
        <f>IF(B$17=0,0,G4/B$17)</f>
        <v>0.5</v>
      </c>
      <c r="I4" s="94">
        <v>1</v>
      </c>
      <c r="K4" s="38">
        <v>2</v>
      </c>
      <c r="L4" s="99">
        <v>46.3</v>
      </c>
      <c r="N4" s="115" t="s">
        <v>132</v>
      </c>
      <c r="O4" s="122">
        <f t="shared" si="0"/>
        <v>-8400</v>
      </c>
      <c r="P4" s="119">
        <v>4</v>
      </c>
      <c r="Q4" s="103">
        <v>-33600</v>
      </c>
    </row>
    <row r="5" spans="1:17" x14ac:dyDescent="0.4">
      <c r="A5" s="55" t="s">
        <v>7</v>
      </c>
      <c r="B5" s="156">
        <f>IF(B$2=0,0,B$4/B$2)</f>
        <v>2.0200000000000005</v>
      </c>
      <c r="C5" s="157"/>
      <c r="E5" s="63" t="s">
        <v>66</v>
      </c>
      <c r="F5" s="60" t="s">
        <v>22</v>
      </c>
      <c r="G5" s="47">
        <v>3</v>
      </c>
      <c r="H5" s="133">
        <f>IF(B$17=0,0,G5/B$17)</f>
        <v>0.375</v>
      </c>
      <c r="I5" s="94">
        <v>3</v>
      </c>
      <c r="K5" s="38">
        <v>3</v>
      </c>
      <c r="L5" s="99">
        <v>30.4</v>
      </c>
      <c r="N5" s="115" t="s">
        <v>133</v>
      </c>
      <c r="O5" s="122">
        <f t="shared" si="0"/>
        <v>9000</v>
      </c>
      <c r="P5" s="119">
        <v>2</v>
      </c>
      <c r="Q5" s="103">
        <v>18000</v>
      </c>
    </row>
    <row r="6" spans="1:17" x14ac:dyDescent="0.4">
      <c r="A6" s="55" t="s">
        <v>1</v>
      </c>
      <c r="B6" s="146">
        <f>IF(B$2=0,0,(B$7*1+B$8*2+B$9*3)/B$2)</f>
        <v>1.8</v>
      </c>
      <c r="C6" s="147"/>
      <c r="E6" s="63" t="s">
        <v>68</v>
      </c>
      <c r="F6" s="60" t="s">
        <v>24</v>
      </c>
      <c r="G6" s="47">
        <v>3</v>
      </c>
      <c r="H6" s="133">
        <f>IF(B$17=0,0,G6/B$17)</f>
        <v>0.375</v>
      </c>
      <c r="I6" s="94">
        <v>3</v>
      </c>
      <c r="K6" s="38">
        <v>4</v>
      </c>
      <c r="L6" s="99">
        <v>-25.6</v>
      </c>
      <c r="N6" s="115" t="s">
        <v>134</v>
      </c>
      <c r="O6" s="122">
        <f t="shared" si="0"/>
        <v>350</v>
      </c>
      <c r="P6" s="119">
        <v>2</v>
      </c>
      <c r="Q6" s="103">
        <v>700</v>
      </c>
    </row>
    <row r="7" spans="1:17" x14ac:dyDescent="0.4">
      <c r="A7" s="55" t="s">
        <v>2</v>
      </c>
      <c r="B7" s="47">
        <v>2</v>
      </c>
      <c r="C7" s="39">
        <f>IF(B$2=0,0,B7/B$2)</f>
        <v>0.4</v>
      </c>
      <c r="E7" s="63" t="s">
        <v>69</v>
      </c>
      <c r="F7" s="60" t="s">
        <v>12</v>
      </c>
      <c r="G7" s="47">
        <v>2</v>
      </c>
      <c r="H7" s="133">
        <f>IF(B$17=0,0,G7/B$17)</f>
        <v>0.25</v>
      </c>
      <c r="I7" s="94">
        <v>4</v>
      </c>
      <c r="K7" s="38">
        <v>5</v>
      </c>
      <c r="L7" s="99">
        <v>10.100000000000001</v>
      </c>
      <c r="N7" s="116" t="s">
        <v>135</v>
      </c>
      <c r="O7" s="123">
        <f t="shared" si="0"/>
        <v>-4650</v>
      </c>
      <c r="P7" s="120">
        <v>2</v>
      </c>
      <c r="Q7" s="104">
        <v>-9300</v>
      </c>
    </row>
    <row r="8" spans="1:17" x14ac:dyDescent="0.4">
      <c r="A8" s="55" t="s">
        <v>3</v>
      </c>
      <c r="B8" s="47">
        <v>2</v>
      </c>
      <c r="C8" s="39">
        <f>IF(B$2=0,0,B8/B$2)</f>
        <v>0.4</v>
      </c>
      <c r="E8" s="63" t="s">
        <v>70</v>
      </c>
      <c r="F8" s="60" t="s">
        <v>25</v>
      </c>
      <c r="G8" s="47">
        <v>2</v>
      </c>
      <c r="H8" s="133">
        <f>IF(B$17=0,0,G8/B$17)</f>
        <v>0.25</v>
      </c>
      <c r="I8" s="94">
        <v>1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0.2</v>
      </c>
      <c r="E9" s="63" t="s">
        <v>71</v>
      </c>
      <c r="F9" s="60" t="s">
        <v>26</v>
      </c>
      <c r="G9" s="47">
        <v>1</v>
      </c>
      <c r="H9" s="133">
        <f>IF(B$17=0,0,G9/B$17)</f>
        <v>0.125</v>
      </c>
      <c r="I9" s="94">
        <v>1</v>
      </c>
      <c r="N9" s="113" t="s">
        <v>161</v>
      </c>
      <c r="O9" s="34" t="s">
        <v>121</v>
      </c>
      <c r="P9" s="117" t="s">
        <v>117</v>
      </c>
      <c r="Q9" s="105" t="s">
        <v>156</v>
      </c>
    </row>
    <row r="10" spans="1:17" x14ac:dyDescent="0.4">
      <c r="A10" s="56" t="s">
        <v>19</v>
      </c>
      <c r="B10" s="48">
        <v>1</v>
      </c>
      <c r="C10" s="40">
        <f>IF(B$2=0,0,B10/B$2)</f>
        <v>0.2</v>
      </c>
      <c r="E10" s="63" t="s">
        <v>73</v>
      </c>
      <c r="F10" s="60" t="s">
        <v>28</v>
      </c>
      <c r="G10" s="47">
        <v>1</v>
      </c>
      <c r="H10" s="133">
        <f>IF(B$17=0,0,G10/B$17)</f>
        <v>0.125</v>
      </c>
      <c r="I10" s="94">
        <v>4</v>
      </c>
      <c r="N10" s="114" t="s">
        <v>162</v>
      </c>
      <c r="O10" s="124">
        <f>IF(P10=0,0,Q10/P10)</f>
        <v>23.15</v>
      </c>
      <c r="P10" s="118">
        <v>2</v>
      </c>
      <c r="Q10" s="106">
        <v>46.3</v>
      </c>
    </row>
    <row r="11" spans="1:17" x14ac:dyDescent="0.4">
      <c r="A11" s="56" t="s">
        <v>138</v>
      </c>
      <c r="B11" s="48">
        <v>1</v>
      </c>
      <c r="C11" s="40">
        <f>IF(B$2=0,0,B11/B$2)</f>
        <v>0.2</v>
      </c>
      <c r="E11" s="63" t="s">
        <v>90</v>
      </c>
      <c r="F11" s="60" t="s">
        <v>45</v>
      </c>
      <c r="G11" s="47">
        <v>1</v>
      </c>
      <c r="H11" s="133">
        <f>IF(B$17=0,0,G11/B$17)</f>
        <v>0.125</v>
      </c>
      <c r="I11" s="94">
        <v>1</v>
      </c>
      <c r="N11" s="115" t="s">
        <v>163</v>
      </c>
      <c r="O11" s="125">
        <f>IF(P11=0,0,Q11/P11)</f>
        <v>-35.950000000000003</v>
      </c>
      <c r="P11" s="119">
        <v>2</v>
      </c>
      <c r="Q11" s="107">
        <v>-71.900000000000006</v>
      </c>
    </row>
    <row r="12" spans="1:17" x14ac:dyDescent="0.4">
      <c r="A12" s="57" t="s">
        <v>158</v>
      </c>
      <c r="B12" s="49">
        <v>1</v>
      </c>
      <c r="C12" s="42">
        <f>IF(B$2=0,0,B12/B$2)</f>
        <v>0.2</v>
      </c>
      <c r="E12" s="63" t="s">
        <v>72</v>
      </c>
      <c r="F12" s="60" t="s">
        <v>27</v>
      </c>
      <c r="G12" s="47">
        <v>0</v>
      </c>
      <c r="H12" s="133">
        <f>IF(B$17=0,0,G12/B$17)</f>
        <v>0</v>
      </c>
      <c r="I12" s="94">
        <v>1</v>
      </c>
      <c r="N12" s="116" t="s">
        <v>164</v>
      </c>
      <c r="O12" s="126">
        <f>IF(P12=0,0,Q12/P12)</f>
        <v>35.700000000000003</v>
      </c>
      <c r="P12" s="120">
        <v>1</v>
      </c>
      <c r="Q12" s="108">
        <v>35.700000000000003</v>
      </c>
    </row>
    <row r="13" spans="1:17" x14ac:dyDescent="0.4">
      <c r="A13" s="58" t="s">
        <v>122</v>
      </c>
      <c r="B13" s="50">
        <v>14</v>
      </c>
      <c r="C13" s="44">
        <f>IF(B$3=0,0,B13/B$3)</f>
        <v>0.48275862068965519</v>
      </c>
      <c r="E13" s="63" t="s">
        <v>74</v>
      </c>
      <c r="F13" s="60" t="s">
        <v>29</v>
      </c>
      <c r="G13" s="47">
        <v>0</v>
      </c>
      <c r="H13" s="133">
        <f>IF(B$17=0,0,G13/B$17)</f>
        <v>0</v>
      </c>
      <c r="I13" s="94">
        <v>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0</v>
      </c>
      <c r="C14" s="39">
        <f>IF(B$3=0,0,B14/B$3)</f>
        <v>0</v>
      </c>
      <c r="E14" s="63" t="s">
        <v>75</v>
      </c>
      <c r="F14" s="60" t="s">
        <v>30</v>
      </c>
      <c r="G14" s="47">
        <v>0</v>
      </c>
      <c r="H14" s="133">
        <f>IF(B$17=0,0,G14/B$17)</f>
        <v>0</v>
      </c>
      <c r="I14" s="94">
        <v>1</v>
      </c>
      <c r="N14" s="113" t="s">
        <v>153</v>
      </c>
      <c r="O14" s="34" t="s">
        <v>121</v>
      </c>
      <c r="P14" s="117" t="s">
        <v>117</v>
      </c>
      <c r="Q14" s="105" t="s">
        <v>156</v>
      </c>
    </row>
    <row r="15" spans="1:17" x14ac:dyDescent="0.4">
      <c r="A15" s="54" t="s">
        <v>124</v>
      </c>
      <c r="B15" s="46">
        <v>8</v>
      </c>
      <c r="C15" s="37">
        <f>IF(B$13=0,0,B15/B$13)</f>
        <v>0.5714285714285714</v>
      </c>
      <c r="E15" s="63" t="s">
        <v>76</v>
      </c>
      <c r="F15" s="60" t="s">
        <v>31</v>
      </c>
      <c r="G15" s="47">
        <v>0</v>
      </c>
      <c r="H15" s="133">
        <f>IF(B$17=0,0,G15/B$17)</f>
        <v>0</v>
      </c>
      <c r="I15" s="94">
        <v>1</v>
      </c>
      <c r="N15" s="114" t="s">
        <v>127</v>
      </c>
      <c r="O15" s="124">
        <f>IF(P15=0,0,Q15/P15)</f>
        <v>6.1199999999999974</v>
      </c>
      <c r="P15" s="118">
        <v>5</v>
      </c>
      <c r="Q15" s="106">
        <v>30.599999999999987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77</v>
      </c>
      <c r="F16" s="60" t="s">
        <v>32</v>
      </c>
      <c r="G16" s="47">
        <v>0</v>
      </c>
      <c r="H16" s="133">
        <f>IF(B$17=0,0,G16/B$17)</f>
        <v>0</v>
      </c>
      <c r="I16" s="94">
        <v>1</v>
      </c>
      <c r="N16" s="115" t="s">
        <v>176</v>
      </c>
      <c r="O16" s="125">
        <f>IF(P16=0,0,Q16/P16)</f>
        <v>-5.9999999999998013E-2</v>
      </c>
      <c r="P16" s="119">
        <v>5</v>
      </c>
      <c r="Q16" s="107">
        <v>-0.29999999999999005</v>
      </c>
    </row>
    <row r="17" spans="1:9" x14ac:dyDescent="0.4">
      <c r="A17" s="54" t="s">
        <v>10</v>
      </c>
      <c r="B17" s="46">
        <f>B19+B18</f>
        <v>8</v>
      </c>
      <c r="C17" s="37">
        <f>IF(B$3=0,0,B17/B$3)</f>
        <v>0.27586206896551724</v>
      </c>
      <c r="E17" s="63" t="s">
        <v>78</v>
      </c>
      <c r="F17" s="60" t="s">
        <v>33</v>
      </c>
      <c r="G17" s="47">
        <v>0</v>
      </c>
      <c r="H17" s="133">
        <f>IF(B$17=0,0,G17/B$17)</f>
        <v>0</v>
      </c>
      <c r="I17" s="94">
        <v>1</v>
      </c>
    </row>
    <row r="18" spans="1:9" x14ac:dyDescent="0.4">
      <c r="A18" s="55" t="s">
        <v>12</v>
      </c>
      <c r="B18" s="47">
        <v>2</v>
      </c>
      <c r="C18" s="39">
        <f>IF(B$17=0,0,B18/B$17)</f>
        <v>0.25</v>
      </c>
      <c r="E18" s="63" t="s">
        <v>79</v>
      </c>
      <c r="F18" s="60" t="s">
        <v>34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6</v>
      </c>
      <c r="C19" s="39">
        <f>IF(B$17=0,0,B19/B$17)</f>
        <v>0.75</v>
      </c>
      <c r="E19" s="63" t="s">
        <v>80</v>
      </c>
      <c r="F19" s="60" t="s">
        <v>35</v>
      </c>
      <c r="G19" s="47">
        <v>0</v>
      </c>
      <c r="H19" s="133">
        <f>IF(B$17=0,0,G19/B$17)</f>
        <v>0</v>
      </c>
      <c r="I19" s="94">
        <v>1</v>
      </c>
    </row>
    <row r="20" spans="1:9" x14ac:dyDescent="0.4">
      <c r="A20" s="55" t="s">
        <v>13</v>
      </c>
      <c r="B20" s="47">
        <v>5</v>
      </c>
      <c r="C20" s="39">
        <f>IF(B$3=0,0,B20/B$3)</f>
        <v>0.17241379310344829</v>
      </c>
      <c r="E20" s="63" t="s">
        <v>81</v>
      </c>
      <c r="F20" s="60" t="s">
        <v>36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169</v>
      </c>
      <c r="B21" s="47">
        <v>2</v>
      </c>
      <c r="C21" s="135">
        <v>0</v>
      </c>
      <c r="E21" s="63" t="s">
        <v>82</v>
      </c>
      <c r="F21" s="60" t="s">
        <v>37</v>
      </c>
      <c r="G21" s="47">
        <v>0</v>
      </c>
      <c r="H21" s="133">
        <f>IF(B$17=0,0,G21/B$17)</f>
        <v>0</v>
      </c>
      <c r="I21" s="94">
        <v>1</v>
      </c>
    </row>
    <row r="22" spans="1:9" x14ac:dyDescent="0.4">
      <c r="A22" s="55" t="s">
        <v>170</v>
      </c>
      <c r="B22" s="47">
        <v>10</v>
      </c>
      <c r="C22" s="135">
        <v>7</v>
      </c>
      <c r="E22" s="63" t="s">
        <v>83</v>
      </c>
      <c r="F22" s="60" t="s">
        <v>38</v>
      </c>
      <c r="G22" s="47">
        <v>0</v>
      </c>
      <c r="H22" s="133">
        <f>IF(B$17=0,0,G22/B$17)</f>
        <v>0</v>
      </c>
      <c r="I22" s="94">
        <v>1</v>
      </c>
    </row>
    <row r="23" spans="1:9" x14ac:dyDescent="0.4">
      <c r="A23" s="55" t="s">
        <v>5</v>
      </c>
      <c r="B23" s="51">
        <f>IF(B$17=0,0,C23/B$17)</f>
        <v>8575</v>
      </c>
      <c r="C23" s="41">
        <v>68600</v>
      </c>
      <c r="E23" s="63" t="s">
        <v>84</v>
      </c>
      <c r="F23" s="60" t="s">
        <v>39</v>
      </c>
      <c r="G23" s="47">
        <v>0</v>
      </c>
      <c r="H23" s="133">
        <f>IF(B$17=0,0,G23/B$17)</f>
        <v>0</v>
      </c>
      <c r="I23" s="94">
        <v>1</v>
      </c>
    </row>
    <row r="24" spans="1:9" x14ac:dyDescent="0.4">
      <c r="A24" s="57" t="s">
        <v>14</v>
      </c>
      <c r="B24" s="52">
        <f>IF(B$20=0,0,C24/B$20)</f>
        <v>-5500</v>
      </c>
      <c r="C24" s="45">
        <v>-27500</v>
      </c>
      <c r="E24" s="63" t="s">
        <v>85</v>
      </c>
      <c r="F24" s="60" t="s">
        <v>40</v>
      </c>
      <c r="G24" s="47">
        <v>0</v>
      </c>
      <c r="H24" s="133">
        <f>IF(B$17=0,0,G24/B$17)</f>
        <v>0</v>
      </c>
      <c r="I24" s="94">
        <v>1</v>
      </c>
    </row>
    <row r="25" spans="1:9" x14ac:dyDescent="0.4">
      <c r="A25" s="90" t="s">
        <v>140</v>
      </c>
      <c r="B25" s="144">
        <v>3</v>
      </c>
      <c r="C25" s="145"/>
      <c r="E25" s="63" t="s">
        <v>86</v>
      </c>
      <c r="F25" s="60" t="s">
        <v>41</v>
      </c>
      <c r="G25" s="47">
        <v>0</v>
      </c>
      <c r="H25" s="133">
        <f>IF(B$17=0,0,G25/B$17)</f>
        <v>0</v>
      </c>
      <c r="I25" s="94">
        <v>1</v>
      </c>
    </row>
    <row r="26" spans="1:9" x14ac:dyDescent="0.4">
      <c r="A26" s="58" t="s">
        <v>150</v>
      </c>
      <c r="B26" s="142">
        <v>54300</v>
      </c>
      <c r="C26" s="143"/>
      <c r="E26" s="63" t="s">
        <v>87</v>
      </c>
      <c r="F26" s="60" t="s">
        <v>42</v>
      </c>
      <c r="G26" s="47">
        <v>0</v>
      </c>
      <c r="H26" s="133">
        <f>IF(B$17=0,0,G26/B$17)</f>
        <v>0</v>
      </c>
      <c r="I26" s="94">
        <v>3</v>
      </c>
    </row>
    <row r="27" spans="1:9" x14ac:dyDescent="0.4">
      <c r="A27" s="57" t="s">
        <v>141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1</v>
      </c>
    </row>
    <row r="28" spans="1:9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1</v>
      </c>
    </row>
    <row r="29" spans="1:9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1</v>
      </c>
    </row>
    <row r="30" spans="1:9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1</v>
      </c>
    </row>
    <row r="31" spans="1:9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3</v>
      </c>
    </row>
    <row r="32" spans="1:9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167</v>
      </c>
      <c r="F51" s="137" t="s">
        <v>168</v>
      </c>
      <c r="G51" s="48">
        <v>0</v>
      </c>
      <c r="H51" s="138">
        <f>IF(B$17=0,0,G51/B$17)</f>
        <v>0</v>
      </c>
      <c r="I51" s="139">
        <v>1</v>
      </c>
    </row>
    <row r="52" spans="5:9" x14ac:dyDescent="0.4">
      <c r="E52" s="64" t="s">
        <v>173</v>
      </c>
      <c r="F52" s="61" t="s">
        <v>174</v>
      </c>
      <c r="G52" s="49">
        <v>0</v>
      </c>
      <c r="H52" s="134">
        <f>IF(B$17=0,0,G52/B$17)</f>
        <v>0</v>
      </c>
      <c r="I52" s="95">
        <v>1</v>
      </c>
    </row>
  </sheetData>
  <sortState ref="N15:Q1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499526-F927-492F-B7AE-CC74D901982D}">
  <sheetPr codeName="Sheet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127</v>
      </c>
      <c r="C1" s="149"/>
      <c r="E1" s="129" t="s">
        <v>165</v>
      </c>
      <c r="F1" s="141" t="s">
        <v>116</v>
      </c>
      <c r="G1" s="140" t="s">
        <v>117</v>
      </c>
      <c r="H1" s="130" t="s">
        <v>118</v>
      </c>
      <c r="I1" s="141" t="s">
        <v>152</v>
      </c>
      <c r="K1" s="34" t="s">
        <v>20</v>
      </c>
      <c r="L1" s="35" t="s">
        <v>121</v>
      </c>
      <c r="M1" s="131"/>
      <c r="N1" s="113" t="s">
        <v>136</v>
      </c>
      <c r="O1" s="34" t="s">
        <v>137</v>
      </c>
      <c r="P1" s="117" t="s">
        <v>117</v>
      </c>
      <c r="Q1" s="101" t="s">
        <v>156</v>
      </c>
    </row>
    <row r="2" spans="1:17" x14ac:dyDescent="0.4">
      <c r="A2" s="54" t="s">
        <v>9</v>
      </c>
      <c r="B2" s="150">
        <v>5</v>
      </c>
      <c r="C2" s="151"/>
      <c r="E2" s="62" t="s">
        <v>65</v>
      </c>
      <c r="F2" s="59" t="s">
        <v>21</v>
      </c>
      <c r="G2" s="46">
        <v>6</v>
      </c>
      <c r="H2" s="132">
        <f>IF(B$17=0,0,G2/B$17)</f>
        <v>0.75</v>
      </c>
      <c r="I2" s="93">
        <v>4</v>
      </c>
      <c r="K2" s="36">
        <v>0</v>
      </c>
      <c r="L2" s="98">
        <v>0</v>
      </c>
      <c r="N2" s="114" t="s">
        <v>130</v>
      </c>
      <c r="O2" s="121">
        <f t="shared" ref="O2:O7" si="0">IF(P2=0,0,Q2/P2)</f>
        <v>-7860</v>
      </c>
      <c r="P2" s="118">
        <v>5</v>
      </c>
      <c r="Q2" s="102">
        <v>-39300</v>
      </c>
    </row>
    <row r="3" spans="1:17" x14ac:dyDescent="0.4">
      <c r="A3" s="55" t="s">
        <v>8</v>
      </c>
      <c r="B3" s="152">
        <v>29</v>
      </c>
      <c r="C3" s="153"/>
      <c r="E3" s="63" t="s">
        <v>68</v>
      </c>
      <c r="F3" s="60" t="s">
        <v>24</v>
      </c>
      <c r="G3" s="47">
        <v>5</v>
      </c>
      <c r="H3" s="133">
        <f>IF(B$17=0,0,G3/B$17)</f>
        <v>0.625</v>
      </c>
      <c r="I3" s="94">
        <v>1</v>
      </c>
      <c r="K3" s="38">
        <v>1</v>
      </c>
      <c r="L3" s="99">
        <v>-57</v>
      </c>
      <c r="N3" s="115" t="s">
        <v>131</v>
      </c>
      <c r="O3" s="122">
        <f t="shared" si="0"/>
        <v>-3525</v>
      </c>
      <c r="P3" s="119">
        <v>4</v>
      </c>
      <c r="Q3" s="103">
        <v>-14100</v>
      </c>
    </row>
    <row r="4" spans="1:17" x14ac:dyDescent="0.4">
      <c r="A4" s="55" t="s">
        <v>6</v>
      </c>
      <c r="B4" s="154">
        <v>-20.500000000000007</v>
      </c>
      <c r="C4" s="155"/>
      <c r="E4" s="63" t="s">
        <v>171</v>
      </c>
      <c r="F4" s="60" t="s">
        <v>172</v>
      </c>
      <c r="G4" s="47">
        <v>5</v>
      </c>
      <c r="H4" s="133">
        <f>IF(B$17=0,0,G4/B$17)</f>
        <v>0.625</v>
      </c>
      <c r="I4" s="94">
        <v>1</v>
      </c>
      <c r="K4" s="38">
        <v>2</v>
      </c>
      <c r="L4" s="99">
        <v>-39.299999999999997</v>
      </c>
      <c r="N4" s="115" t="s">
        <v>132</v>
      </c>
      <c r="O4" s="122">
        <f t="shared" si="0"/>
        <v>16750</v>
      </c>
      <c r="P4" s="119">
        <v>4</v>
      </c>
      <c r="Q4" s="103">
        <v>67000</v>
      </c>
    </row>
    <row r="5" spans="1:17" x14ac:dyDescent="0.4">
      <c r="A5" s="55" t="s">
        <v>7</v>
      </c>
      <c r="B5" s="156">
        <f>IF(B$2=0,0,B$4/B$2)</f>
        <v>-4.1000000000000014</v>
      </c>
      <c r="C5" s="157"/>
      <c r="E5" s="63" t="s">
        <v>66</v>
      </c>
      <c r="F5" s="60" t="s">
        <v>22</v>
      </c>
      <c r="G5" s="47">
        <v>4</v>
      </c>
      <c r="H5" s="133">
        <f>IF(B$17=0,0,G5/B$17)</f>
        <v>0.5</v>
      </c>
      <c r="I5" s="94">
        <v>1</v>
      </c>
      <c r="K5" s="38">
        <v>3</v>
      </c>
      <c r="L5" s="99">
        <v>-88.4</v>
      </c>
      <c r="N5" s="115" t="s">
        <v>133</v>
      </c>
      <c r="O5" s="122">
        <f t="shared" si="0"/>
        <v>-750</v>
      </c>
      <c r="P5" s="119">
        <v>2</v>
      </c>
      <c r="Q5" s="103">
        <v>-1500</v>
      </c>
    </row>
    <row r="6" spans="1:17" x14ac:dyDescent="0.4">
      <c r="A6" s="55" t="s">
        <v>1</v>
      </c>
      <c r="B6" s="146">
        <f>IF(B$2=0,0,(B$7*1+B$8*2+B$9*3)/B$2)</f>
        <v>2.2000000000000002</v>
      </c>
      <c r="C6" s="147"/>
      <c r="E6" s="63" t="s">
        <v>67</v>
      </c>
      <c r="F6" s="60" t="s">
        <v>23</v>
      </c>
      <c r="G6" s="47">
        <v>4</v>
      </c>
      <c r="H6" s="133">
        <f>IF(B$17=0,0,G6/B$17)</f>
        <v>0.5</v>
      </c>
      <c r="I6" s="94">
        <v>1</v>
      </c>
      <c r="K6" s="38">
        <v>4</v>
      </c>
      <c r="L6" s="99">
        <v>-28.400000000000006</v>
      </c>
      <c r="N6" s="115" t="s">
        <v>134</v>
      </c>
      <c r="O6" s="122">
        <f t="shared" si="0"/>
        <v>-2500</v>
      </c>
      <c r="P6" s="119">
        <v>2</v>
      </c>
      <c r="Q6" s="103">
        <v>-5000</v>
      </c>
    </row>
    <row r="7" spans="1:17" x14ac:dyDescent="0.4">
      <c r="A7" s="55" t="s">
        <v>2</v>
      </c>
      <c r="B7" s="47">
        <v>1</v>
      </c>
      <c r="C7" s="39">
        <f>IF(B$2=0,0,B7/B$2)</f>
        <v>0.2</v>
      </c>
      <c r="E7" s="63" t="s">
        <v>73</v>
      </c>
      <c r="F7" s="60" t="s">
        <v>28</v>
      </c>
      <c r="G7" s="47">
        <v>4</v>
      </c>
      <c r="H7" s="133">
        <f>IF(B$17=0,0,G7/B$17)</f>
        <v>0.5</v>
      </c>
      <c r="I7" s="94">
        <v>1</v>
      </c>
      <c r="K7" s="38">
        <v>5</v>
      </c>
      <c r="L7" s="99">
        <v>-20.500000000000007</v>
      </c>
      <c r="N7" s="116" t="s">
        <v>135</v>
      </c>
      <c r="O7" s="123">
        <f t="shared" si="0"/>
        <v>-3800</v>
      </c>
      <c r="P7" s="120">
        <v>2</v>
      </c>
      <c r="Q7" s="104">
        <v>-7600</v>
      </c>
    </row>
    <row r="8" spans="1:17" x14ac:dyDescent="0.4">
      <c r="A8" s="55" t="s">
        <v>3</v>
      </c>
      <c r="B8" s="47">
        <v>2</v>
      </c>
      <c r="C8" s="39">
        <f>IF(B$2=0,0,B8/B$2)</f>
        <v>0.4</v>
      </c>
      <c r="E8" s="63" t="s">
        <v>69</v>
      </c>
      <c r="F8" s="60" t="s">
        <v>12</v>
      </c>
      <c r="G8" s="47">
        <v>3</v>
      </c>
      <c r="H8" s="133">
        <f>IF(B$17=0,0,G8/B$17)</f>
        <v>0.375</v>
      </c>
      <c r="I8" s="94">
        <v>2</v>
      </c>
      <c r="N8" s="43"/>
      <c r="O8" s="127"/>
      <c r="P8" s="111"/>
      <c r="Q8" s="109"/>
    </row>
    <row r="9" spans="1:17" x14ac:dyDescent="0.4">
      <c r="A9" s="56" t="s">
        <v>4</v>
      </c>
      <c r="B9" s="48">
        <v>2</v>
      </c>
      <c r="C9" s="40">
        <f t="shared" ref="C9" si="1">IF(B$2=0,0,B9/B$2)</f>
        <v>0.4</v>
      </c>
      <c r="E9" s="63" t="s">
        <v>70</v>
      </c>
      <c r="F9" s="60" t="s">
        <v>25</v>
      </c>
      <c r="G9" s="47">
        <v>1</v>
      </c>
      <c r="H9" s="133">
        <f>IF(B$17=0,0,G9/B$17)</f>
        <v>0.125</v>
      </c>
      <c r="I9" s="94">
        <v>3</v>
      </c>
      <c r="N9" s="113" t="s">
        <v>161</v>
      </c>
      <c r="O9" s="34" t="s">
        <v>121</v>
      </c>
      <c r="P9" s="117" t="s">
        <v>117</v>
      </c>
      <c r="Q9" s="105" t="s">
        <v>156</v>
      </c>
    </row>
    <row r="10" spans="1:17" x14ac:dyDescent="0.4">
      <c r="A10" s="56" t="s">
        <v>19</v>
      </c>
      <c r="B10" s="48">
        <v>1</v>
      </c>
      <c r="C10" s="40">
        <f>IF(B$2=0,0,B10/B$2)</f>
        <v>0.2</v>
      </c>
      <c r="E10" s="63" t="s">
        <v>71</v>
      </c>
      <c r="F10" s="60" t="s">
        <v>26</v>
      </c>
      <c r="G10" s="47">
        <v>1</v>
      </c>
      <c r="H10" s="133">
        <f>IF(B$17=0,0,G10/B$17)</f>
        <v>0.125</v>
      </c>
      <c r="I10" s="94">
        <v>1</v>
      </c>
      <c r="N10" s="114" t="s">
        <v>162</v>
      </c>
      <c r="O10" s="124">
        <f>IF(P10=0,0,Q10/P10)</f>
        <v>-49.1</v>
      </c>
      <c r="P10" s="118">
        <v>1</v>
      </c>
      <c r="Q10" s="106">
        <v>-49.1</v>
      </c>
    </row>
    <row r="11" spans="1:17" x14ac:dyDescent="0.4">
      <c r="A11" s="56" t="s">
        <v>138</v>
      </c>
      <c r="B11" s="48">
        <v>1</v>
      </c>
      <c r="C11" s="40">
        <f>IF(B$2=0,0,B11/B$2)</f>
        <v>0.2</v>
      </c>
      <c r="E11" s="63" t="s">
        <v>90</v>
      </c>
      <c r="F11" s="60" t="s">
        <v>45</v>
      </c>
      <c r="G11" s="47">
        <v>1</v>
      </c>
      <c r="H11" s="133">
        <f>IF(B$17=0,0,G11/B$17)</f>
        <v>0.125</v>
      </c>
      <c r="I11" s="94">
        <v>1</v>
      </c>
      <c r="N11" s="115" t="s">
        <v>163</v>
      </c>
      <c r="O11" s="125">
        <f>IF(P11=0,0,Q11/P11)</f>
        <v>-24.55</v>
      </c>
      <c r="P11" s="119">
        <v>2</v>
      </c>
      <c r="Q11" s="107">
        <v>-49.1</v>
      </c>
    </row>
    <row r="12" spans="1:17" x14ac:dyDescent="0.4">
      <c r="A12" s="57" t="s">
        <v>158</v>
      </c>
      <c r="B12" s="49">
        <v>0</v>
      </c>
      <c r="C12" s="42">
        <f>IF(B$2=0,0,B12/B$2)</f>
        <v>0</v>
      </c>
      <c r="E12" s="63" t="s">
        <v>72</v>
      </c>
      <c r="F12" s="60" t="s">
        <v>27</v>
      </c>
      <c r="G12" s="47">
        <v>0</v>
      </c>
      <c r="H12" s="133">
        <f>IF(B$17=0,0,G12/B$17)</f>
        <v>0</v>
      </c>
      <c r="I12" s="94">
        <v>1</v>
      </c>
      <c r="N12" s="116" t="s">
        <v>164</v>
      </c>
      <c r="O12" s="126">
        <f>IF(P12=0,0,Q12/P12)</f>
        <v>38.85</v>
      </c>
      <c r="P12" s="120">
        <v>2</v>
      </c>
      <c r="Q12" s="108">
        <v>77.7</v>
      </c>
    </row>
    <row r="13" spans="1:17" x14ac:dyDescent="0.4">
      <c r="A13" s="58" t="s">
        <v>122</v>
      </c>
      <c r="B13" s="50">
        <v>11</v>
      </c>
      <c r="C13" s="44">
        <f>IF(B$3=0,0,B13/B$3)</f>
        <v>0.37931034482758619</v>
      </c>
      <c r="E13" s="63" t="s">
        <v>74</v>
      </c>
      <c r="F13" s="60" t="s">
        <v>29</v>
      </c>
      <c r="G13" s="47">
        <v>0</v>
      </c>
      <c r="H13" s="133">
        <f>IF(B$17=0,0,G13/B$17)</f>
        <v>0</v>
      </c>
      <c r="I13" s="94">
        <v>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0</v>
      </c>
      <c r="C14" s="39">
        <f>IF(B$3=0,0,B14/B$3)</f>
        <v>0</v>
      </c>
      <c r="E14" s="63" t="s">
        <v>75</v>
      </c>
      <c r="F14" s="60" t="s">
        <v>30</v>
      </c>
      <c r="G14" s="47">
        <v>0</v>
      </c>
      <c r="H14" s="133">
        <f>IF(B$17=0,0,G14/B$17)</f>
        <v>0</v>
      </c>
      <c r="I14" s="94">
        <v>1</v>
      </c>
      <c r="N14" s="113" t="s">
        <v>153</v>
      </c>
      <c r="O14" s="34" t="s">
        <v>121</v>
      </c>
      <c r="P14" s="117" t="s">
        <v>117</v>
      </c>
      <c r="Q14" s="105" t="s">
        <v>156</v>
      </c>
    </row>
    <row r="15" spans="1:17" x14ac:dyDescent="0.4">
      <c r="A15" s="54" t="s">
        <v>124</v>
      </c>
      <c r="B15" s="46">
        <v>6</v>
      </c>
      <c r="C15" s="37">
        <f>IF(B$13=0,0,B15/B$13)</f>
        <v>0.54545454545454541</v>
      </c>
      <c r="E15" s="63" t="s">
        <v>76</v>
      </c>
      <c r="F15" s="60" t="s">
        <v>31</v>
      </c>
      <c r="G15" s="47">
        <v>0</v>
      </c>
      <c r="H15" s="133">
        <f>IF(B$17=0,0,G15/B$17)</f>
        <v>0</v>
      </c>
      <c r="I15" s="94">
        <v>1</v>
      </c>
      <c r="N15" s="114" t="s">
        <v>177</v>
      </c>
      <c r="O15" s="124">
        <f>IF(P15=0,0,Q15/P15)</f>
        <v>-6.1199999999999974</v>
      </c>
      <c r="P15" s="118">
        <v>5</v>
      </c>
      <c r="Q15" s="106">
        <v>-30.599999999999987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77</v>
      </c>
      <c r="F16" s="60" t="s">
        <v>32</v>
      </c>
      <c r="G16" s="47">
        <v>0</v>
      </c>
      <c r="H16" s="133">
        <f>IF(B$17=0,0,G16/B$17)</f>
        <v>0</v>
      </c>
      <c r="I16" s="94">
        <v>1</v>
      </c>
      <c r="N16" s="115" t="s">
        <v>176</v>
      </c>
      <c r="O16" s="125">
        <f>IF(P16=0,0,Q16/P16)</f>
        <v>-6.18</v>
      </c>
      <c r="P16" s="119">
        <v>5</v>
      </c>
      <c r="Q16" s="107">
        <v>-30.9</v>
      </c>
    </row>
    <row r="17" spans="1:9" x14ac:dyDescent="0.4">
      <c r="A17" s="54" t="s">
        <v>10</v>
      </c>
      <c r="B17" s="46">
        <f>B19+B18</f>
        <v>8</v>
      </c>
      <c r="C17" s="37">
        <f>IF(B$3=0,0,B17/B$3)</f>
        <v>0.27586206896551724</v>
      </c>
      <c r="E17" s="63" t="s">
        <v>78</v>
      </c>
      <c r="F17" s="60" t="s">
        <v>33</v>
      </c>
      <c r="G17" s="47">
        <v>0</v>
      </c>
      <c r="H17" s="133">
        <f>IF(B$17=0,0,G17/B$17)</f>
        <v>0</v>
      </c>
      <c r="I17" s="94">
        <v>1</v>
      </c>
    </row>
    <row r="18" spans="1:9" x14ac:dyDescent="0.4">
      <c r="A18" s="55" t="s">
        <v>12</v>
      </c>
      <c r="B18" s="47">
        <v>4</v>
      </c>
      <c r="C18" s="39">
        <f>IF(B$17=0,0,B18/B$17)</f>
        <v>0.5</v>
      </c>
      <c r="E18" s="63" t="s">
        <v>79</v>
      </c>
      <c r="F18" s="60" t="s">
        <v>34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4</v>
      </c>
      <c r="C19" s="39">
        <f>IF(B$17=0,0,B19/B$17)</f>
        <v>0.5</v>
      </c>
      <c r="E19" s="63" t="s">
        <v>80</v>
      </c>
      <c r="F19" s="60" t="s">
        <v>35</v>
      </c>
      <c r="G19" s="47">
        <v>0</v>
      </c>
      <c r="H19" s="133">
        <f>IF(B$17=0,0,G19/B$17)</f>
        <v>0</v>
      </c>
      <c r="I19" s="94">
        <v>1</v>
      </c>
    </row>
    <row r="20" spans="1:9" x14ac:dyDescent="0.4">
      <c r="A20" s="55" t="s">
        <v>13</v>
      </c>
      <c r="B20" s="47">
        <v>4</v>
      </c>
      <c r="C20" s="39">
        <f>IF(B$3=0,0,B20/B$3)</f>
        <v>0.13793103448275862</v>
      </c>
      <c r="E20" s="63" t="s">
        <v>81</v>
      </c>
      <c r="F20" s="60" t="s">
        <v>36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169</v>
      </c>
      <c r="B21" s="47">
        <v>2</v>
      </c>
      <c r="C21" s="135">
        <v>1</v>
      </c>
      <c r="E21" s="63" t="s">
        <v>82</v>
      </c>
      <c r="F21" s="60" t="s">
        <v>37</v>
      </c>
      <c r="G21" s="47">
        <v>0</v>
      </c>
      <c r="H21" s="133">
        <f>IF(B$17=0,0,G21/B$17)</f>
        <v>0</v>
      </c>
      <c r="I21" s="94">
        <v>1</v>
      </c>
    </row>
    <row r="22" spans="1:9" x14ac:dyDescent="0.4">
      <c r="A22" s="55" t="s">
        <v>170</v>
      </c>
      <c r="B22" s="47">
        <v>19</v>
      </c>
      <c r="C22" s="135">
        <v>19</v>
      </c>
      <c r="E22" s="63" t="s">
        <v>83</v>
      </c>
      <c r="F22" s="60" t="s">
        <v>38</v>
      </c>
      <c r="G22" s="47">
        <v>0</v>
      </c>
      <c r="H22" s="133">
        <f>IF(B$17=0,0,G22/B$17)</f>
        <v>0</v>
      </c>
      <c r="I22" s="94">
        <v>1</v>
      </c>
    </row>
    <row r="23" spans="1:9" x14ac:dyDescent="0.4">
      <c r="A23" s="55" t="s">
        <v>5</v>
      </c>
      <c r="B23" s="51">
        <f>IF(B$17=0,0,C23/B$17)</f>
        <v>10025</v>
      </c>
      <c r="C23" s="41">
        <v>80200</v>
      </c>
      <c r="E23" s="63" t="s">
        <v>84</v>
      </c>
      <c r="F23" s="60" t="s">
        <v>39</v>
      </c>
      <c r="G23" s="47">
        <v>0</v>
      </c>
      <c r="H23" s="133">
        <f>IF(B$17=0,0,G23/B$17)</f>
        <v>0</v>
      </c>
      <c r="I23" s="94">
        <v>1</v>
      </c>
    </row>
    <row r="24" spans="1:9" x14ac:dyDescent="0.4">
      <c r="A24" s="57" t="s">
        <v>14</v>
      </c>
      <c r="B24" s="52">
        <f>IF(B$20=0,0,C24/B$20)</f>
        <v>-12325</v>
      </c>
      <c r="C24" s="45">
        <v>-49300</v>
      </c>
      <c r="E24" s="63" t="s">
        <v>85</v>
      </c>
      <c r="F24" s="60" t="s">
        <v>40</v>
      </c>
      <c r="G24" s="47">
        <v>0</v>
      </c>
      <c r="H24" s="133">
        <f>IF(B$17=0,0,G24/B$17)</f>
        <v>0</v>
      </c>
      <c r="I24" s="94">
        <v>1</v>
      </c>
    </row>
    <row r="25" spans="1:9" x14ac:dyDescent="0.4">
      <c r="A25" s="90" t="s">
        <v>140</v>
      </c>
      <c r="B25" s="144">
        <v>3</v>
      </c>
      <c r="C25" s="145"/>
      <c r="E25" s="63" t="s">
        <v>86</v>
      </c>
      <c r="F25" s="60" t="s">
        <v>41</v>
      </c>
      <c r="G25" s="47">
        <v>0</v>
      </c>
      <c r="H25" s="133">
        <f>IF(B$17=0,0,G25/B$17)</f>
        <v>0</v>
      </c>
      <c r="I25" s="94">
        <v>1</v>
      </c>
    </row>
    <row r="26" spans="1:9" x14ac:dyDescent="0.4">
      <c r="A26" s="58" t="s">
        <v>150</v>
      </c>
      <c r="B26" s="142">
        <v>75000</v>
      </c>
      <c r="C26" s="143"/>
      <c r="E26" s="63" t="s">
        <v>87</v>
      </c>
      <c r="F26" s="60" t="s">
        <v>42</v>
      </c>
      <c r="G26" s="47">
        <v>0</v>
      </c>
      <c r="H26" s="133">
        <f>IF(B$17=0,0,G26/B$17)</f>
        <v>0</v>
      </c>
      <c r="I26" s="94">
        <v>3</v>
      </c>
    </row>
    <row r="27" spans="1:9" x14ac:dyDescent="0.4">
      <c r="A27" s="57" t="s">
        <v>141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1</v>
      </c>
    </row>
    <row r="28" spans="1:9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1</v>
      </c>
    </row>
    <row r="29" spans="1:9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1</v>
      </c>
    </row>
    <row r="30" spans="1:9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1</v>
      </c>
    </row>
    <row r="31" spans="1:9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3</v>
      </c>
    </row>
    <row r="32" spans="1:9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167</v>
      </c>
      <c r="F51" s="137" t="s">
        <v>168</v>
      </c>
      <c r="G51" s="48">
        <v>0</v>
      </c>
      <c r="H51" s="138">
        <f>IF(B$17=0,0,G51/B$17)</f>
        <v>0</v>
      </c>
      <c r="I51" s="139">
        <v>1</v>
      </c>
    </row>
    <row r="52" spans="5:9" x14ac:dyDescent="0.4">
      <c r="E52" s="64" t="s">
        <v>173</v>
      </c>
      <c r="F52" s="61" t="s">
        <v>174</v>
      </c>
      <c r="G52" s="49">
        <v>0</v>
      </c>
      <c r="H52" s="134">
        <f>IF(B$17=0,0,G52/B$17)</f>
        <v>0</v>
      </c>
      <c r="I52" s="95">
        <v>1</v>
      </c>
    </row>
  </sheetData>
  <sortState ref="N15:Q1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3B749-BD57-4B1D-BCC5-5C442FEF2328}">
  <sheetPr codeName="Sheet1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176</v>
      </c>
      <c r="C1" s="149"/>
      <c r="E1" s="129" t="s">
        <v>165</v>
      </c>
      <c r="F1" s="141" t="s">
        <v>116</v>
      </c>
      <c r="G1" s="140" t="s">
        <v>117</v>
      </c>
      <c r="H1" s="130" t="s">
        <v>118</v>
      </c>
      <c r="I1" s="141" t="s">
        <v>152</v>
      </c>
      <c r="K1" s="34" t="s">
        <v>20</v>
      </c>
      <c r="L1" s="35" t="s">
        <v>121</v>
      </c>
      <c r="M1" s="131"/>
      <c r="N1" s="113" t="s">
        <v>136</v>
      </c>
      <c r="O1" s="34" t="s">
        <v>137</v>
      </c>
      <c r="P1" s="117" t="s">
        <v>117</v>
      </c>
      <c r="Q1" s="101" t="s">
        <v>156</v>
      </c>
    </row>
    <row r="2" spans="1:17" x14ac:dyDescent="0.4">
      <c r="A2" s="54" t="s">
        <v>9</v>
      </c>
      <c r="B2" s="150">
        <v>5</v>
      </c>
      <c r="C2" s="151"/>
      <c r="E2" s="62" t="s">
        <v>65</v>
      </c>
      <c r="F2" s="59" t="s">
        <v>21</v>
      </c>
      <c r="G2" s="46">
        <v>9</v>
      </c>
      <c r="H2" s="132">
        <f>IF(B$17=0,0,G2/B$17)</f>
        <v>0.9</v>
      </c>
      <c r="I2" s="93">
        <v>2</v>
      </c>
      <c r="K2" s="36">
        <v>0</v>
      </c>
      <c r="L2" s="98">
        <v>0</v>
      </c>
      <c r="N2" s="114" t="s">
        <v>130</v>
      </c>
      <c r="O2" s="121">
        <f t="shared" ref="O2:O7" si="0">IF(P2=0,0,Q2/P2)</f>
        <v>3400</v>
      </c>
      <c r="P2" s="118">
        <v>5</v>
      </c>
      <c r="Q2" s="102">
        <v>17000</v>
      </c>
    </row>
    <row r="3" spans="1:17" x14ac:dyDescent="0.4">
      <c r="A3" s="55" t="s">
        <v>8</v>
      </c>
      <c r="B3" s="152">
        <v>29</v>
      </c>
      <c r="C3" s="153"/>
      <c r="E3" s="63" t="s">
        <v>67</v>
      </c>
      <c r="F3" s="60" t="s">
        <v>23</v>
      </c>
      <c r="G3" s="47">
        <v>5</v>
      </c>
      <c r="H3" s="133">
        <f>IF(B$17=0,0,G3/B$17)</f>
        <v>0.5</v>
      </c>
      <c r="I3" s="94">
        <v>1</v>
      </c>
      <c r="K3" s="38">
        <v>1</v>
      </c>
      <c r="L3" s="99">
        <v>50</v>
      </c>
      <c r="N3" s="115" t="s">
        <v>131</v>
      </c>
      <c r="O3" s="122">
        <f t="shared" si="0"/>
        <v>5525</v>
      </c>
      <c r="P3" s="119">
        <v>4</v>
      </c>
      <c r="Q3" s="103">
        <v>22100</v>
      </c>
    </row>
    <row r="4" spans="1:17" x14ac:dyDescent="0.4">
      <c r="A4" s="55" t="s">
        <v>6</v>
      </c>
      <c r="B4" s="154">
        <v>10.399999999999999</v>
      </c>
      <c r="C4" s="155"/>
      <c r="E4" s="63" t="s">
        <v>69</v>
      </c>
      <c r="F4" s="60" t="s">
        <v>12</v>
      </c>
      <c r="G4" s="47">
        <v>4</v>
      </c>
      <c r="H4" s="133">
        <f>IF(B$17=0,0,G4/B$17)</f>
        <v>0.4</v>
      </c>
      <c r="I4" s="94">
        <v>1</v>
      </c>
      <c r="K4" s="38">
        <v>2</v>
      </c>
      <c r="L4" s="99">
        <v>-7</v>
      </c>
      <c r="N4" s="115" t="s">
        <v>132</v>
      </c>
      <c r="O4" s="122">
        <f t="shared" si="0"/>
        <v>-8350</v>
      </c>
      <c r="P4" s="119">
        <v>4</v>
      </c>
      <c r="Q4" s="103">
        <v>-33400</v>
      </c>
    </row>
    <row r="5" spans="1:17" x14ac:dyDescent="0.4">
      <c r="A5" s="55" t="s">
        <v>7</v>
      </c>
      <c r="B5" s="156">
        <f>IF(B$2=0,0,B$4/B$2)</f>
        <v>2.0799999999999996</v>
      </c>
      <c r="C5" s="157"/>
      <c r="E5" s="63" t="s">
        <v>66</v>
      </c>
      <c r="F5" s="60" t="s">
        <v>22</v>
      </c>
      <c r="G5" s="47">
        <v>3</v>
      </c>
      <c r="H5" s="133">
        <f>IF(B$17=0,0,G5/B$17)</f>
        <v>0.3</v>
      </c>
      <c r="I5" s="94">
        <v>4</v>
      </c>
      <c r="K5" s="38">
        <v>3</v>
      </c>
      <c r="L5" s="99">
        <v>58</v>
      </c>
      <c r="N5" s="115" t="s">
        <v>133</v>
      </c>
      <c r="O5" s="122">
        <f t="shared" si="0"/>
        <v>-8750</v>
      </c>
      <c r="P5" s="119">
        <v>2</v>
      </c>
      <c r="Q5" s="103">
        <v>-17500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68</v>
      </c>
      <c r="F6" s="60" t="s">
        <v>24</v>
      </c>
      <c r="G6" s="47">
        <v>3</v>
      </c>
      <c r="H6" s="133">
        <f>IF(B$17=0,0,G6/B$17)</f>
        <v>0.3</v>
      </c>
      <c r="I6" s="94">
        <v>4</v>
      </c>
      <c r="K6" s="38">
        <v>4</v>
      </c>
      <c r="L6" s="99">
        <v>54</v>
      </c>
      <c r="N6" s="115" t="s">
        <v>134</v>
      </c>
      <c r="O6" s="122">
        <f t="shared" si="0"/>
        <v>2650</v>
      </c>
      <c r="P6" s="119">
        <v>2</v>
      </c>
      <c r="Q6" s="103">
        <v>5300</v>
      </c>
    </row>
    <row r="7" spans="1:17" x14ac:dyDescent="0.4">
      <c r="A7" s="55" t="s">
        <v>2</v>
      </c>
      <c r="B7" s="47">
        <v>2</v>
      </c>
      <c r="C7" s="39">
        <f>IF(B$2=0,0,B7/B$2)</f>
        <v>0.4</v>
      </c>
      <c r="E7" s="63" t="s">
        <v>73</v>
      </c>
      <c r="F7" s="60" t="s">
        <v>28</v>
      </c>
      <c r="G7" s="47">
        <v>2</v>
      </c>
      <c r="H7" s="133">
        <f>IF(B$17=0,0,G7/B$17)</f>
        <v>0.2</v>
      </c>
      <c r="I7" s="94">
        <v>3</v>
      </c>
      <c r="K7" s="38">
        <v>5</v>
      </c>
      <c r="L7" s="99">
        <v>10.399999999999999</v>
      </c>
      <c r="N7" s="116" t="s">
        <v>135</v>
      </c>
      <c r="O7" s="123">
        <f t="shared" si="0"/>
        <v>8450</v>
      </c>
      <c r="P7" s="120">
        <v>2</v>
      </c>
      <c r="Q7" s="104">
        <v>16900</v>
      </c>
    </row>
    <row r="8" spans="1:17" x14ac:dyDescent="0.4">
      <c r="A8" s="55" t="s">
        <v>3</v>
      </c>
      <c r="B8" s="47">
        <v>1</v>
      </c>
      <c r="C8" s="39">
        <f>IF(B$2=0,0,B8/B$2)</f>
        <v>0.2</v>
      </c>
      <c r="E8" s="63" t="s">
        <v>87</v>
      </c>
      <c r="F8" s="60" t="s">
        <v>42</v>
      </c>
      <c r="G8" s="47">
        <v>2</v>
      </c>
      <c r="H8" s="133">
        <f>IF(B$17=0,0,G8/B$17)</f>
        <v>0.2</v>
      </c>
      <c r="I8" s="94">
        <v>1</v>
      </c>
      <c r="N8" s="43"/>
      <c r="O8" s="127"/>
      <c r="P8" s="111"/>
      <c r="Q8" s="109"/>
    </row>
    <row r="9" spans="1:17" x14ac:dyDescent="0.4">
      <c r="A9" s="56" t="s">
        <v>4</v>
      </c>
      <c r="B9" s="48">
        <v>2</v>
      </c>
      <c r="C9" s="40">
        <f t="shared" ref="C9" si="1">IF(B$2=0,0,B9/B$2)</f>
        <v>0.4</v>
      </c>
      <c r="E9" s="63" t="s">
        <v>171</v>
      </c>
      <c r="F9" s="60" t="s">
        <v>172</v>
      </c>
      <c r="G9" s="47">
        <v>2</v>
      </c>
      <c r="H9" s="133">
        <f>IF(B$17=0,0,G9/B$17)</f>
        <v>0.2</v>
      </c>
      <c r="I9" s="94">
        <v>4</v>
      </c>
      <c r="N9" s="113" t="s">
        <v>161</v>
      </c>
      <c r="O9" s="34" t="s">
        <v>121</v>
      </c>
      <c r="P9" s="117" t="s">
        <v>117</v>
      </c>
      <c r="Q9" s="105" t="s">
        <v>156</v>
      </c>
    </row>
    <row r="10" spans="1:17" x14ac:dyDescent="0.4">
      <c r="A10" s="56" t="s">
        <v>19</v>
      </c>
      <c r="B10" s="48">
        <v>1</v>
      </c>
      <c r="C10" s="40">
        <f>IF(B$2=0,0,B10/B$2)</f>
        <v>0.2</v>
      </c>
      <c r="E10" s="63" t="s">
        <v>70</v>
      </c>
      <c r="F10" s="60" t="s">
        <v>25</v>
      </c>
      <c r="G10" s="47">
        <v>1</v>
      </c>
      <c r="H10" s="133">
        <f>IF(B$17=0,0,G10/B$17)</f>
        <v>0.1</v>
      </c>
      <c r="I10" s="94">
        <v>4</v>
      </c>
      <c r="N10" s="114" t="s">
        <v>162</v>
      </c>
      <c r="O10" s="124">
        <f>IF(P10=0,0,Q10/P10)</f>
        <v>-23.8</v>
      </c>
      <c r="P10" s="118">
        <v>2</v>
      </c>
      <c r="Q10" s="106">
        <v>-47.6</v>
      </c>
    </row>
    <row r="11" spans="1:17" x14ac:dyDescent="0.4">
      <c r="A11" s="56" t="s">
        <v>138</v>
      </c>
      <c r="B11" s="48">
        <v>1</v>
      </c>
      <c r="C11" s="40">
        <f>IF(B$2=0,0,B11/B$2)</f>
        <v>0.2</v>
      </c>
      <c r="E11" s="63" t="s">
        <v>71</v>
      </c>
      <c r="F11" s="60" t="s">
        <v>26</v>
      </c>
      <c r="G11" s="47">
        <v>1</v>
      </c>
      <c r="H11" s="133">
        <f>IF(B$17=0,0,G11/B$17)</f>
        <v>0.1</v>
      </c>
      <c r="I11" s="94">
        <v>4</v>
      </c>
      <c r="N11" s="115" t="s">
        <v>163</v>
      </c>
      <c r="O11" s="125">
        <f>IF(P11=0,0,Q11/P11)</f>
        <v>-57</v>
      </c>
      <c r="P11" s="119">
        <v>1</v>
      </c>
      <c r="Q11" s="107">
        <v>-57</v>
      </c>
    </row>
    <row r="12" spans="1:17" x14ac:dyDescent="0.4">
      <c r="A12" s="57" t="s">
        <v>158</v>
      </c>
      <c r="B12" s="49">
        <v>1</v>
      </c>
      <c r="C12" s="42">
        <f>IF(B$2=0,0,B12/B$2)</f>
        <v>0.2</v>
      </c>
      <c r="E12" s="63" t="s">
        <v>93</v>
      </c>
      <c r="F12" s="60" t="s">
        <v>48</v>
      </c>
      <c r="G12" s="47">
        <v>1</v>
      </c>
      <c r="H12" s="133">
        <f>IF(B$17=0,0,G12/B$17)</f>
        <v>0.1</v>
      </c>
      <c r="I12" s="94">
        <v>1</v>
      </c>
      <c r="N12" s="116" t="s">
        <v>164</v>
      </c>
      <c r="O12" s="126">
        <f>IF(P12=0,0,Q12/P12)</f>
        <v>57.5</v>
      </c>
      <c r="P12" s="120">
        <v>2</v>
      </c>
      <c r="Q12" s="108">
        <v>115</v>
      </c>
    </row>
    <row r="13" spans="1:17" x14ac:dyDescent="0.4">
      <c r="A13" s="58" t="s">
        <v>122</v>
      </c>
      <c r="B13" s="50">
        <v>16</v>
      </c>
      <c r="C13" s="44">
        <f>IF(B$3=0,0,B13/B$3)</f>
        <v>0.55172413793103448</v>
      </c>
      <c r="E13" s="63" t="s">
        <v>72</v>
      </c>
      <c r="F13" s="60" t="s">
        <v>27</v>
      </c>
      <c r="G13" s="47">
        <v>0</v>
      </c>
      <c r="H13" s="133">
        <f>IF(B$17=0,0,G13/B$17)</f>
        <v>0</v>
      </c>
      <c r="I13" s="94">
        <v>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0</v>
      </c>
      <c r="C14" s="39">
        <f>IF(B$3=0,0,B14/B$3)</f>
        <v>0</v>
      </c>
      <c r="E14" s="63" t="s">
        <v>74</v>
      </c>
      <c r="F14" s="60" t="s">
        <v>29</v>
      </c>
      <c r="G14" s="47">
        <v>0</v>
      </c>
      <c r="H14" s="133">
        <f>IF(B$17=0,0,G14/B$17)</f>
        <v>0</v>
      </c>
      <c r="I14" s="94">
        <v>1</v>
      </c>
      <c r="N14" s="113" t="s">
        <v>153</v>
      </c>
      <c r="O14" s="34" t="s">
        <v>121</v>
      </c>
      <c r="P14" s="117" t="s">
        <v>117</v>
      </c>
      <c r="Q14" s="105" t="s">
        <v>156</v>
      </c>
    </row>
    <row r="15" spans="1:17" x14ac:dyDescent="0.4">
      <c r="A15" s="54" t="s">
        <v>124</v>
      </c>
      <c r="B15" s="46">
        <v>10</v>
      </c>
      <c r="C15" s="37">
        <f>IF(B$13=0,0,B15/B$13)</f>
        <v>0.625</v>
      </c>
      <c r="E15" s="63" t="s">
        <v>75</v>
      </c>
      <c r="F15" s="60" t="s">
        <v>30</v>
      </c>
      <c r="G15" s="47">
        <v>0</v>
      </c>
      <c r="H15" s="133">
        <f>IF(B$17=0,0,G15/B$17)</f>
        <v>0</v>
      </c>
      <c r="I15" s="94">
        <v>1</v>
      </c>
      <c r="N15" s="114" t="s">
        <v>127</v>
      </c>
      <c r="O15" s="124">
        <f>IF(P15=0,0,Q15/P15)</f>
        <v>6.1800000000000015</v>
      </c>
      <c r="P15" s="118">
        <v>5</v>
      </c>
      <c r="Q15" s="106">
        <v>30.900000000000006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76</v>
      </c>
      <c r="F16" s="60" t="s">
        <v>31</v>
      </c>
      <c r="G16" s="47">
        <v>0</v>
      </c>
      <c r="H16" s="133">
        <f>IF(B$17=0,0,G16/B$17)</f>
        <v>0</v>
      </c>
      <c r="I16" s="94">
        <v>1</v>
      </c>
      <c r="N16" s="115" t="s">
        <v>177</v>
      </c>
      <c r="O16" s="125">
        <f>IF(P16=0,0,Q16/P16)</f>
        <v>5.9999999999998013E-2</v>
      </c>
      <c r="P16" s="119">
        <v>5</v>
      </c>
      <c r="Q16" s="107">
        <v>0.29999999999999005</v>
      </c>
    </row>
    <row r="17" spans="1:9" x14ac:dyDescent="0.4">
      <c r="A17" s="54" t="s">
        <v>10</v>
      </c>
      <c r="B17" s="46">
        <f>B19+B18</f>
        <v>10</v>
      </c>
      <c r="C17" s="37">
        <f>IF(B$3=0,0,B17/B$3)</f>
        <v>0.34482758620689657</v>
      </c>
      <c r="E17" s="63" t="s">
        <v>77</v>
      </c>
      <c r="F17" s="60" t="s">
        <v>32</v>
      </c>
      <c r="G17" s="47">
        <v>0</v>
      </c>
      <c r="H17" s="133">
        <f>IF(B$17=0,0,G17/B$17)</f>
        <v>0</v>
      </c>
      <c r="I17" s="94">
        <v>1</v>
      </c>
    </row>
    <row r="18" spans="1:9" x14ac:dyDescent="0.4">
      <c r="A18" s="55" t="s">
        <v>12</v>
      </c>
      <c r="B18" s="47">
        <v>4</v>
      </c>
      <c r="C18" s="39">
        <f>IF(B$17=0,0,B18/B$17)</f>
        <v>0.4</v>
      </c>
      <c r="E18" s="63" t="s">
        <v>78</v>
      </c>
      <c r="F18" s="60" t="s">
        <v>33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6</v>
      </c>
      <c r="C19" s="39">
        <f>IF(B$17=0,0,B19/B$17)</f>
        <v>0.6</v>
      </c>
      <c r="E19" s="63" t="s">
        <v>79</v>
      </c>
      <c r="F19" s="60" t="s">
        <v>34</v>
      </c>
      <c r="G19" s="47">
        <v>0</v>
      </c>
      <c r="H19" s="133">
        <f>IF(B$17=0,0,G19/B$17)</f>
        <v>0</v>
      </c>
      <c r="I19" s="94">
        <v>1</v>
      </c>
    </row>
    <row r="20" spans="1:9" x14ac:dyDescent="0.4">
      <c r="A20" s="55" t="s">
        <v>13</v>
      </c>
      <c r="B20" s="47">
        <v>7</v>
      </c>
      <c r="C20" s="39">
        <f>IF(B$3=0,0,B20/B$3)</f>
        <v>0.2413793103448276</v>
      </c>
      <c r="E20" s="63" t="s">
        <v>80</v>
      </c>
      <c r="F20" s="60" t="s">
        <v>35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169</v>
      </c>
      <c r="B21" s="47">
        <v>4</v>
      </c>
      <c r="C21" s="135">
        <v>0</v>
      </c>
      <c r="E21" s="63" t="s">
        <v>81</v>
      </c>
      <c r="F21" s="60" t="s">
        <v>36</v>
      </c>
      <c r="G21" s="47">
        <v>0</v>
      </c>
      <c r="H21" s="133">
        <f>IF(B$17=0,0,G21/B$17)</f>
        <v>0</v>
      </c>
      <c r="I21" s="94">
        <v>1</v>
      </c>
    </row>
    <row r="22" spans="1:9" x14ac:dyDescent="0.4">
      <c r="A22" s="55" t="s">
        <v>170</v>
      </c>
      <c r="B22" s="47">
        <v>8</v>
      </c>
      <c r="C22" s="135">
        <v>1</v>
      </c>
      <c r="E22" s="63" t="s">
        <v>82</v>
      </c>
      <c r="F22" s="60" t="s">
        <v>37</v>
      </c>
      <c r="G22" s="47">
        <v>0</v>
      </c>
      <c r="H22" s="133">
        <f>IF(B$17=0,0,G22/B$17)</f>
        <v>0</v>
      </c>
      <c r="I22" s="94">
        <v>1</v>
      </c>
    </row>
    <row r="23" spans="1:9" x14ac:dyDescent="0.4">
      <c r="A23" s="55" t="s">
        <v>5</v>
      </c>
      <c r="B23" s="51">
        <f>IF(B$17=0,0,C23/B$17)</f>
        <v>10080</v>
      </c>
      <c r="C23" s="41">
        <v>100800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9" x14ac:dyDescent="0.4">
      <c r="A24" s="57" t="s">
        <v>14</v>
      </c>
      <c r="B24" s="52">
        <f>IF(B$20=0,0,C24/B$20)</f>
        <v>-8071.4285714285716</v>
      </c>
      <c r="C24" s="45">
        <v>-56500</v>
      </c>
      <c r="E24" s="63" t="s">
        <v>84</v>
      </c>
      <c r="F24" s="60" t="s">
        <v>39</v>
      </c>
      <c r="G24" s="47">
        <v>0</v>
      </c>
      <c r="H24" s="133">
        <f>IF(B$17=0,0,G24/B$17)</f>
        <v>0</v>
      </c>
      <c r="I24" s="94">
        <v>1</v>
      </c>
    </row>
    <row r="25" spans="1:9" x14ac:dyDescent="0.4">
      <c r="A25" s="90" t="s">
        <v>140</v>
      </c>
      <c r="B25" s="144">
        <v>3</v>
      </c>
      <c r="C25" s="145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1</v>
      </c>
    </row>
    <row r="26" spans="1:9" x14ac:dyDescent="0.4">
      <c r="A26" s="58" t="s">
        <v>150</v>
      </c>
      <c r="B26" s="142">
        <v>80000</v>
      </c>
      <c r="C26" s="143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1</v>
      </c>
    </row>
    <row r="27" spans="1:9" x14ac:dyDescent="0.4">
      <c r="A27" s="57" t="s">
        <v>141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1</v>
      </c>
    </row>
    <row r="28" spans="1:9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1</v>
      </c>
    </row>
    <row r="29" spans="1:9" x14ac:dyDescent="0.4">
      <c r="E29" s="63" t="s">
        <v>90</v>
      </c>
      <c r="F29" s="60" t="s">
        <v>45</v>
      </c>
      <c r="G29" s="47">
        <v>0</v>
      </c>
      <c r="H29" s="133">
        <f>IF(B$17=0,0,G29/B$17)</f>
        <v>0</v>
      </c>
      <c r="I29" s="94">
        <v>4</v>
      </c>
    </row>
    <row r="30" spans="1:9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1</v>
      </c>
    </row>
    <row r="31" spans="1:9" x14ac:dyDescent="0.4">
      <c r="E31" s="63" t="s">
        <v>92</v>
      </c>
      <c r="F31" s="60" t="s">
        <v>47</v>
      </c>
      <c r="G31" s="47">
        <v>0</v>
      </c>
      <c r="H31" s="133">
        <f>IF(B$17=0,0,G31/B$17)</f>
        <v>0</v>
      </c>
      <c r="I31" s="94">
        <v>1</v>
      </c>
    </row>
    <row r="32" spans="1:9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167</v>
      </c>
      <c r="F51" s="137" t="s">
        <v>168</v>
      </c>
      <c r="G51" s="48">
        <v>0</v>
      </c>
      <c r="H51" s="138">
        <f>IF(B$17=0,0,G51/B$17)</f>
        <v>0</v>
      </c>
      <c r="I51" s="139">
        <v>1</v>
      </c>
    </row>
    <row r="52" spans="5:9" x14ac:dyDescent="0.4">
      <c r="E52" s="64" t="s">
        <v>173</v>
      </c>
      <c r="F52" s="61" t="s">
        <v>174</v>
      </c>
      <c r="G52" s="49">
        <v>0</v>
      </c>
      <c r="H52" s="134">
        <f>IF(B$17=0,0,G52/B$17)</f>
        <v>0</v>
      </c>
      <c r="I52" s="95">
        <v>1</v>
      </c>
    </row>
  </sheetData>
  <sortState ref="N15:Q1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9D60B2-53DA-4960-8B90-A1553598ED28}">
  <sheetPr codeName="Sheet12"/>
  <dimension ref="A1:Q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176</v>
      </c>
      <c r="B1" s="70" t="s">
        <v>176</v>
      </c>
      <c r="C1" s="70" t="s">
        <v>176</v>
      </c>
      <c r="D1" s="71" t="s">
        <v>176</v>
      </c>
      <c r="E1" s="70" t="s">
        <v>176</v>
      </c>
      <c r="F1" s="70" t="s">
        <v>176</v>
      </c>
      <c r="G1" s="70" t="s">
        <v>176</v>
      </c>
      <c r="H1" s="70" t="s">
        <v>176</v>
      </c>
      <c r="I1" s="70" t="s">
        <v>176</v>
      </c>
      <c r="J1" s="70" t="s">
        <v>176</v>
      </c>
      <c r="K1" s="70" t="s">
        <v>176</v>
      </c>
      <c r="L1" s="70" t="s">
        <v>176</v>
      </c>
      <c r="M1" s="70" t="s">
        <v>176</v>
      </c>
      <c r="N1" s="70" t="s">
        <v>176</v>
      </c>
      <c r="O1" s="70" t="s">
        <v>176</v>
      </c>
      <c r="P1" s="70" t="s">
        <v>176</v>
      </c>
      <c r="Q1" s="70" t="s">
        <v>176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160</v>
      </c>
      <c r="G2" s="70" t="s">
        <v>145</v>
      </c>
      <c r="H2" s="70" t="s">
        <v>144</v>
      </c>
      <c r="I2" s="70" t="s">
        <v>5</v>
      </c>
      <c r="J2" s="70" t="s">
        <v>17</v>
      </c>
      <c r="K2" s="70" t="s">
        <v>18</v>
      </c>
      <c r="L2" s="70" t="s">
        <v>139</v>
      </c>
      <c r="M2" s="70" t="s">
        <v>123</v>
      </c>
      <c r="N2" s="70" t="s">
        <v>120</v>
      </c>
      <c r="O2" s="70" t="s">
        <v>126</v>
      </c>
      <c r="P2" s="70" t="s">
        <v>146</v>
      </c>
      <c r="Q2" s="70" t="s">
        <v>142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50</v>
      </c>
      <c r="C4" s="66">
        <v>50</v>
      </c>
      <c r="D4" s="71">
        <v>1</v>
      </c>
      <c r="E4" s="67">
        <v>1</v>
      </c>
      <c r="F4" s="67">
        <v>0</v>
      </c>
      <c r="G4" s="67">
        <v>0.5</v>
      </c>
      <c r="H4" s="67">
        <v>0</v>
      </c>
      <c r="I4" s="68">
        <v>32000</v>
      </c>
      <c r="J4" s="68">
        <v>0</v>
      </c>
      <c r="K4" s="67">
        <v>0</v>
      </c>
      <c r="L4" s="67">
        <v>1</v>
      </c>
      <c r="M4" s="67">
        <v>1</v>
      </c>
      <c r="N4" s="67">
        <v>0</v>
      </c>
      <c r="O4" s="67">
        <v>0.5</v>
      </c>
      <c r="P4" s="67">
        <v>0</v>
      </c>
      <c r="Q4" s="67">
        <v>0</v>
      </c>
    </row>
    <row r="5" spans="1:17" x14ac:dyDescent="0.4">
      <c r="A5" s="69">
        <v>2</v>
      </c>
      <c r="B5" s="66">
        <v>-7</v>
      </c>
      <c r="C5" s="66">
        <v>-3.5</v>
      </c>
      <c r="D5" s="71">
        <v>2</v>
      </c>
      <c r="E5" s="67">
        <v>0.5</v>
      </c>
      <c r="F5" s="67">
        <v>0.5</v>
      </c>
      <c r="G5" s="67">
        <v>0.14285714285714285</v>
      </c>
      <c r="H5" s="67">
        <v>0.2857142857142857</v>
      </c>
      <c r="I5" s="68">
        <v>32000</v>
      </c>
      <c r="J5" s="68">
        <v>-8000</v>
      </c>
      <c r="K5" s="67">
        <v>0.5</v>
      </c>
      <c r="L5" s="67">
        <v>0.5</v>
      </c>
      <c r="M5" s="67">
        <v>0.42857142857142855</v>
      </c>
      <c r="N5" s="67">
        <v>0</v>
      </c>
      <c r="O5" s="67">
        <v>0.33333333333333331</v>
      </c>
      <c r="P5" s="67">
        <v>0</v>
      </c>
      <c r="Q5" s="67">
        <v>0</v>
      </c>
    </row>
    <row r="6" spans="1:17" x14ac:dyDescent="0.4">
      <c r="A6" s="69">
        <v>3</v>
      </c>
      <c r="B6" s="66">
        <v>58</v>
      </c>
      <c r="C6" s="66">
        <v>19.333333333333332</v>
      </c>
      <c r="D6" s="71">
        <v>1.6666666666666667</v>
      </c>
      <c r="E6" s="67">
        <v>0.66666666666666663</v>
      </c>
      <c r="F6" s="67">
        <v>0.33333333333333331</v>
      </c>
      <c r="G6" s="67">
        <v>0.41176470588235292</v>
      </c>
      <c r="H6" s="67">
        <v>0.23529411764705882</v>
      </c>
      <c r="I6" s="68">
        <v>12157.142857142857</v>
      </c>
      <c r="J6" s="68">
        <v>-6900</v>
      </c>
      <c r="K6" s="67">
        <v>0.33333333333333331</v>
      </c>
      <c r="L6" s="67">
        <v>0.33333333333333331</v>
      </c>
      <c r="M6" s="67">
        <v>0.52941176470588236</v>
      </c>
      <c r="N6" s="67">
        <v>0</v>
      </c>
      <c r="O6" s="67">
        <v>0.77777777777777779</v>
      </c>
      <c r="P6" s="67">
        <v>0</v>
      </c>
      <c r="Q6" s="67">
        <v>0.42857142857142855</v>
      </c>
    </row>
    <row r="7" spans="1:17" x14ac:dyDescent="0.4">
      <c r="A7" s="69">
        <v>4</v>
      </c>
      <c r="B7" s="66">
        <v>54</v>
      </c>
      <c r="C7" s="66">
        <v>13.5</v>
      </c>
      <c r="D7" s="71">
        <v>1.75</v>
      </c>
      <c r="E7" s="67">
        <v>0.5</v>
      </c>
      <c r="F7" s="67">
        <v>0.25</v>
      </c>
      <c r="G7" s="67">
        <v>0.40909090909090912</v>
      </c>
      <c r="H7" s="67">
        <v>0.18181818181818182</v>
      </c>
      <c r="I7" s="68">
        <v>10611.111111111111</v>
      </c>
      <c r="J7" s="68">
        <v>-6900</v>
      </c>
      <c r="K7" s="67">
        <v>0.25</v>
      </c>
      <c r="L7" s="67">
        <v>0.25</v>
      </c>
      <c r="M7" s="67">
        <v>0.54545454545454541</v>
      </c>
      <c r="N7" s="67">
        <v>0</v>
      </c>
      <c r="O7" s="67">
        <v>0.75</v>
      </c>
      <c r="P7" s="67">
        <v>0</v>
      </c>
      <c r="Q7" s="67">
        <v>0.33333333333333331</v>
      </c>
    </row>
    <row r="8" spans="1:17" x14ac:dyDescent="0.4">
      <c r="A8" s="69">
        <v>5</v>
      </c>
      <c r="B8" s="66">
        <v>10.399999999999999</v>
      </c>
      <c r="C8" s="66">
        <v>2.0799999999999996</v>
      </c>
      <c r="D8" s="71">
        <v>2</v>
      </c>
      <c r="E8" s="67">
        <v>0.4</v>
      </c>
      <c r="F8" s="67">
        <v>0.4</v>
      </c>
      <c r="G8" s="67">
        <v>0.34482758620689657</v>
      </c>
      <c r="H8" s="67">
        <v>0.2413793103448276</v>
      </c>
      <c r="I8" s="68">
        <v>10080</v>
      </c>
      <c r="J8" s="68">
        <v>-8071.4285714285716</v>
      </c>
      <c r="K8" s="67">
        <v>0.2</v>
      </c>
      <c r="L8" s="67">
        <v>0.2</v>
      </c>
      <c r="M8" s="67">
        <v>0.55172413793103448</v>
      </c>
      <c r="N8" s="67">
        <v>0</v>
      </c>
      <c r="O8" s="67">
        <v>0.625</v>
      </c>
      <c r="P8" s="67">
        <v>0</v>
      </c>
      <c r="Q8" s="67">
        <v>0.4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911341-5674-4D65-81D0-E8DBA1939AAB}">
  <sheetPr codeName="Sheet10"/>
  <dimension ref="A1:Q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160</v>
      </c>
      <c r="G2" s="70" t="s">
        <v>145</v>
      </c>
      <c r="H2" s="70" t="s">
        <v>144</v>
      </c>
      <c r="I2" s="70" t="s">
        <v>5</v>
      </c>
      <c r="J2" s="70" t="s">
        <v>17</v>
      </c>
      <c r="K2" s="70" t="s">
        <v>18</v>
      </c>
      <c r="L2" s="70" t="s">
        <v>139</v>
      </c>
      <c r="M2" s="70" t="s">
        <v>123</v>
      </c>
      <c r="N2" s="70" t="s">
        <v>120</v>
      </c>
      <c r="O2" s="70" t="s">
        <v>126</v>
      </c>
      <c r="P2" s="70" t="s">
        <v>146</v>
      </c>
      <c r="Q2" s="70" t="s">
        <v>142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-57</v>
      </c>
      <c r="C4" s="66">
        <v>-57</v>
      </c>
      <c r="D4" s="71">
        <v>3</v>
      </c>
      <c r="E4" s="67">
        <v>0</v>
      </c>
      <c r="F4" s="67">
        <v>1</v>
      </c>
      <c r="G4" s="67">
        <v>0</v>
      </c>
      <c r="H4" s="67">
        <v>0.5</v>
      </c>
      <c r="I4" s="68">
        <v>0</v>
      </c>
      <c r="J4" s="68">
        <v>-32000</v>
      </c>
      <c r="K4" s="67">
        <v>1</v>
      </c>
      <c r="L4" s="67">
        <v>0</v>
      </c>
      <c r="M4" s="67">
        <v>0.5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-39.299999999999997</v>
      </c>
      <c r="C5" s="66">
        <v>-19.649999999999999</v>
      </c>
      <c r="D5" s="71">
        <v>2.5</v>
      </c>
      <c r="E5" s="67">
        <v>0</v>
      </c>
      <c r="F5" s="67">
        <v>0.5</v>
      </c>
      <c r="G5" s="67">
        <v>0.2857142857142857</v>
      </c>
      <c r="H5" s="67">
        <v>0.2857142857142857</v>
      </c>
      <c r="I5" s="68">
        <v>13000</v>
      </c>
      <c r="J5" s="68">
        <v>-16650</v>
      </c>
      <c r="K5" s="67">
        <v>0.5</v>
      </c>
      <c r="L5" s="67">
        <v>0</v>
      </c>
      <c r="M5" s="67">
        <v>0.42857142857142855</v>
      </c>
      <c r="N5" s="67">
        <v>0</v>
      </c>
      <c r="O5" s="67">
        <v>0.66666666666666663</v>
      </c>
      <c r="P5" s="67">
        <v>0</v>
      </c>
      <c r="Q5" s="67">
        <v>0.5</v>
      </c>
    </row>
    <row r="6" spans="1:17" x14ac:dyDescent="0.4">
      <c r="A6" s="69">
        <v>3</v>
      </c>
      <c r="B6" s="66">
        <v>-88.4</v>
      </c>
      <c r="C6" s="66">
        <v>-29.466666666666669</v>
      </c>
      <c r="D6" s="71">
        <v>2.6666666666666665</v>
      </c>
      <c r="E6" s="67">
        <v>0</v>
      </c>
      <c r="F6" s="67">
        <v>0.66666666666666663</v>
      </c>
      <c r="G6" s="67">
        <v>0.17647058823529413</v>
      </c>
      <c r="H6" s="67">
        <v>0.23529411764705882</v>
      </c>
      <c r="I6" s="68">
        <v>11333.333333333334</v>
      </c>
      <c r="J6" s="68">
        <v>-12325</v>
      </c>
      <c r="K6" s="67">
        <v>0.33333333333333331</v>
      </c>
      <c r="L6" s="67">
        <v>0</v>
      </c>
      <c r="M6" s="67">
        <v>0.35294117647058826</v>
      </c>
      <c r="N6" s="67">
        <v>0</v>
      </c>
      <c r="O6" s="67">
        <v>0.5</v>
      </c>
      <c r="P6" s="67">
        <v>0</v>
      </c>
      <c r="Q6" s="67">
        <v>0.33333333333333331</v>
      </c>
    </row>
    <row r="7" spans="1:17" x14ac:dyDescent="0.4">
      <c r="A7" s="69">
        <v>4</v>
      </c>
      <c r="B7" s="66">
        <v>-28.400000000000006</v>
      </c>
      <c r="C7" s="66">
        <v>-7.1000000000000014</v>
      </c>
      <c r="D7" s="71">
        <v>2.25</v>
      </c>
      <c r="E7" s="67">
        <v>0.25</v>
      </c>
      <c r="F7" s="67">
        <v>0.5</v>
      </c>
      <c r="G7" s="67">
        <v>0.27272727272727271</v>
      </c>
      <c r="H7" s="67">
        <v>0.18181818181818182</v>
      </c>
      <c r="I7" s="68">
        <v>11833.333333333334</v>
      </c>
      <c r="J7" s="68">
        <v>-12325</v>
      </c>
      <c r="K7" s="67">
        <v>0.25</v>
      </c>
      <c r="L7" s="67">
        <v>0.25</v>
      </c>
      <c r="M7" s="67">
        <v>0.31818181818181818</v>
      </c>
      <c r="N7" s="67">
        <v>0</v>
      </c>
      <c r="O7" s="67">
        <v>0.5714285714285714</v>
      </c>
      <c r="P7" s="67">
        <v>0</v>
      </c>
      <c r="Q7" s="67">
        <v>0.5</v>
      </c>
    </row>
    <row r="8" spans="1:17" x14ac:dyDescent="0.4">
      <c r="A8" s="69">
        <v>5</v>
      </c>
      <c r="B8" s="66">
        <v>-20.500000000000007</v>
      </c>
      <c r="C8" s="66">
        <v>-4.1000000000000014</v>
      </c>
      <c r="D8" s="71">
        <v>2.2000000000000002</v>
      </c>
      <c r="E8" s="67">
        <v>0.2</v>
      </c>
      <c r="F8" s="67">
        <v>0.4</v>
      </c>
      <c r="G8" s="67">
        <v>0.27586206896551724</v>
      </c>
      <c r="H8" s="67">
        <v>0.13793103448275862</v>
      </c>
      <c r="I8" s="68">
        <v>10025</v>
      </c>
      <c r="J8" s="68">
        <v>-12325</v>
      </c>
      <c r="K8" s="67">
        <v>0.2</v>
      </c>
      <c r="L8" s="67">
        <v>0.2</v>
      </c>
      <c r="M8" s="67">
        <v>0.37931034482758619</v>
      </c>
      <c r="N8" s="67">
        <v>0</v>
      </c>
      <c r="O8" s="67">
        <v>0.54545454545454541</v>
      </c>
      <c r="P8" s="67">
        <v>0</v>
      </c>
      <c r="Q8" s="67">
        <v>0.5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3E31F5-5519-4B6D-B019-AD1A1B5D32A4}">
  <sheetPr codeName="Sheet8"/>
  <dimension ref="A1:Q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160</v>
      </c>
      <c r="G2" s="70" t="s">
        <v>145</v>
      </c>
      <c r="H2" s="70" t="s">
        <v>144</v>
      </c>
      <c r="I2" s="70" t="s">
        <v>5</v>
      </c>
      <c r="J2" s="70" t="s">
        <v>17</v>
      </c>
      <c r="K2" s="70" t="s">
        <v>18</v>
      </c>
      <c r="L2" s="70" t="s">
        <v>139</v>
      </c>
      <c r="M2" s="70" t="s">
        <v>123</v>
      </c>
      <c r="N2" s="70" t="s">
        <v>120</v>
      </c>
      <c r="O2" s="70" t="s">
        <v>126</v>
      </c>
      <c r="P2" s="70" t="s">
        <v>146</v>
      </c>
      <c r="Q2" s="70" t="s">
        <v>142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7</v>
      </c>
      <c r="C4" s="66">
        <v>7</v>
      </c>
      <c r="D4" s="71">
        <v>2</v>
      </c>
      <c r="E4" s="67">
        <v>0</v>
      </c>
      <c r="F4" s="67">
        <v>0</v>
      </c>
      <c r="G4" s="67">
        <v>0.5</v>
      </c>
      <c r="H4" s="67">
        <v>0</v>
      </c>
      <c r="I4" s="68">
        <v>6000</v>
      </c>
      <c r="J4" s="68">
        <v>0</v>
      </c>
      <c r="K4" s="67">
        <v>0</v>
      </c>
      <c r="L4" s="67">
        <v>0</v>
      </c>
      <c r="M4" s="67">
        <v>0.5</v>
      </c>
      <c r="N4" s="67">
        <v>0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46.3</v>
      </c>
      <c r="C5" s="66">
        <v>23.15</v>
      </c>
      <c r="D5" s="71">
        <v>1.5</v>
      </c>
      <c r="E5" s="67">
        <v>0.5</v>
      </c>
      <c r="F5" s="67">
        <v>0</v>
      </c>
      <c r="G5" s="67">
        <v>0.5714285714285714</v>
      </c>
      <c r="H5" s="67">
        <v>0</v>
      </c>
      <c r="I5" s="68">
        <v>8325</v>
      </c>
      <c r="J5" s="68">
        <v>0</v>
      </c>
      <c r="K5" s="67">
        <v>0</v>
      </c>
      <c r="L5" s="67">
        <v>0.5</v>
      </c>
      <c r="M5" s="67">
        <v>0.5714285714285714</v>
      </c>
      <c r="N5" s="67">
        <v>0</v>
      </c>
      <c r="O5" s="67">
        <v>1</v>
      </c>
      <c r="P5" s="67">
        <v>0</v>
      </c>
      <c r="Q5" s="67">
        <v>0.5</v>
      </c>
    </row>
    <row r="6" spans="1:17" x14ac:dyDescent="0.4">
      <c r="A6" s="69">
        <v>3</v>
      </c>
      <c r="B6" s="66">
        <v>30.4</v>
      </c>
      <c r="C6" s="66">
        <v>10.133333333333333</v>
      </c>
      <c r="D6" s="71">
        <v>1.6666666666666667</v>
      </c>
      <c r="E6" s="67">
        <v>0.33333333333333331</v>
      </c>
      <c r="F6" s="67">
        <v>0</v>
      </c>
      <c r="G6" s="67">
        <v>0.35294117647058826</v>
      </c>
      <c r="H6" s="67">
        <v>0.11764705882352941</v>
      </c>
      <c r="I6" s="68">
        <v>7483.333333333333</v>
      </c>
      <c r="J6" s="68">
        <v>-5950</v>
      </c>
      <c r="K6" s="67">
        <v>0</v>
      </c>
      <c r="L6" s="67">
        <v>0.33333333333333331</v>
      </c>
      <c r="M6" s="67">
        <v>0.47058823529411764</v>
      </c>
      <c r="N6" s="67">
        <v>0</v>
      </c>
      <c r="O6" s="67">
        <v>0.75</v>
      </c>
      <c r="P6" s="67">
        <v>0</v>
      </c>
      <c r="Q6" s="67">
        <v>0.33333333333333331</v>
      </c>
    </row>
    <row r="7" spans="1:17" x14ac:dyDescent="0.4">
      <c r="A7" s="69">
        <v>4</v>
      </c>
      <c r="B7" s="66">
        <v>-25.6</v>
      </c>
      <c r="C7" s="66">
        <v>-6.4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0.22727272727272727</v>
      </c>
      <c r="I7" s="68">
        <v>7483.333333333333</v>
      </c>
      <c r="J7" s="68">
        <v>-5500</v>
      </c>
      <c r="K7" s="67">
        <v>0.25</v>
      </c>
      <c r="L7" s="67">
        <v>0.25</v>
      </c>
      <c r="M7" s="67">
        <v>0.45454545454545453</v>
      </c>
      <c r="N7" s="67">
        <v>0</v>
      </c>
      <c r="O7" s="67">
        <v>0.6</v>
      </c>
      <c r="P7" s="67">
        <v>0</v>
      </c>
      <c r="Q7" s="67">
        <v>0.33333333333333331</v>
      </c>
    </row>
    <row r="8" spans="1:17" x14ac:dyDescent="0.4">
      <c r="A8" s="69">
        <v>5</v>
      </c>
      <c r="B8" s="66">
        <v>10.100000000000001</v>
      </c>
      <c r="C8" s="66">
        <v>2.0200000000000005</v>
      </c>
      <c r="D8" s="71">
        <v>1.8</v>
      </c>
      <c r="E8" s="67">
        <v>0.4</v>
      </c>
      <c r="F8" s="67">
        <v>0.2</v>
      </c>
      <c r="G8" s="67">
        <v>0.27586206896551724</v>
      </c>
      <c r="H8" s="67">
        <v>0.17241379310344829</v>
      </c>
      <c r="I8" s="68">
        <v>8575</v>
      </c>
      <c r="J8" s="68">
        <v>-5500</v>
      </c>
      <c r="K8" s="67">
        <v>0.2</v>
      </c>
      <c r="L8" s="67">
        <v>0.2</v>
      </c>
      <c r="M8" s="67">
        <v>0.48275862068965519</v>
      </c>
      <c r="N8" s="67">
        <v>0</v>
      </c>
      <c r="O8" s="67">
        <v>0.5714285714285714</v>
      </c>
      <c r="P8" s="67">
        <v>0</v>
      </c>
      <c r="Q8" s="67">
        <v>0.25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FD36F-0E15-4CF9-A9D2-38342C156F13}">
  <sheetPr codeName="Sheet6"/>
  <dimension ref="A1:Q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143</v>
      </c>
      <c r="B1" s="70" t="s">
        <v>143</v>
      </c>
      <c r="C1" s="70" t="s">
        <v>143</v>
      </c>
      <c r="D1" s="71" t="s">
        <v>143</v>
      </c>
      <c r="E1" s="70" t="s">
        <v>143</v>
      </c>
      <c r="F1" s="70" t="s">
        <v>143</v>
      </c>
      <c r="G1" s="70" t="s">
        <v>143</v>
      </c>
      <c r="H1" s="70" t="s">
        <v>143</v>
      </c>
      <c r="I1" s="70" t="s">
        <v>143</v>
      </c>
      <c r="J1" s="70" t="s">
        <v>143</v>
      </c>
      <c r="K1" s="70" t="s">
        <v>143</v>
      </c>
      <c r="L1" s="70" t="s">
        <v>143</v>
      </c>
      <c r="M1" s="70" t="s">
        <v>143</v>
      </c>
      <c r="N1" s="70" t="s">
        <v>143</v>
      </c>
      <c r="O1" s="70" t="s">
        <v>143</v>
      </c>
      <c r="P1" s="70" t="s">
        <v>143</v>
      </c>
      <c r="Q1" s="70" t="s">
        <v>143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160</v>
      </c>
      <c r="G2" s="70" t="s">
        <v>145</v>
      </c>
      <c r="H2" s="70" t="s">
        <v>144</v>
      </c>
      <c r="I2" s="70" t="s">
        <v>5</v>
      </c>
      <c r="J2" s="70" t="s">
        <v>17</v>
      </c>
      <c r="K2" s="70" t="s">
        <v>18</v>
      </c>
      <c r="L2" s="70" t="s">
        <v>139</v>
      </c>
      <c r="M2" s="70" t="s">
        <v>123</v>
      </c>
      <c r="N2" s="70" t="s">
        <v>120</v>
      </c>
      <c r="O2" s="70" t="s">
        <v>126</v>
      </c>
      <c r="P2" s="70" t="s">
        <v>146</v>
      </c>
      <c r="Q2" s="70" t="s">
        <v>142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0.16666666666666666</v>
      </c>
      <c r="I4" s="68">
        <v>19000</v>
      </c>
      <c r="J4" s="68">
        <v>-32000</v>
      </c>
      <c r="K4" s="67">
        <v>0.33333333333333331</v>
      </c>
      <c r="L4" s="67">
        <v>0.33333333333333331</v>
      </c>
      <c r="M4" s="67">
        <v>0.66666666666666663</v>
      </c>
      <c r="N4" s="67">
        <v>0</v>
      </c>
      <c r="O4" s="67">
        <v>0.5</v>
      </c>
      <c r="P4" s="67">
        <v>0</v>
      </c>
      <c r="Q4" s="67">
        <v>0.5</v>
      </c>
    </row>
    <row r="5" spans="1:17" x14ac:dyDescent="0.4">
      <c r="A5" s="69">
        <v>2</v>
      </c>
      <c r="B5" s="66">
        <v>-3.5527136788005009E-15</v>
      </c>
      <c r="C5" s="66">
        <v>-5.9211894646675012E-16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0.19047619047619047</v>
      </c>
      <c r="I5" s="68">
        <v>13042.857142857143</v>
      </c>
      <c r="J5" s="68">
        <v>-12325</v>
      </c>
      <c r="K5" s="67">
        <v>0.33333333333333331</v>
      </c>
      <c r="L5" s="67">
        <v>0.33333333333333331</v>
      </c>
      <c r="M5" s="67">
        <v>0.47619047619047616</v>
      </c>
      <c r="N5" s="67">
        <v>0</v>
      </c>
      <c r="O5" s="67">
        <v>0.7</v>
      </c>
      <c r="P5" s="67">
        <v>0</v>
      </c>
      <c r="Q5" s="67">
        <v>0.42857142857142855</v>
      </c>
    </row>
    <row r="6" spans="1:17" x14ac:dyDescent="0.4">
      <c r="A6" s="69">
        <v>3</v>
      </c>
      <c r="B6" s="66">
        <v>-1.4210854715202004E-14</v>
      </c>
      <c r="C6" s="66">
        <v>-1.578983857244667E-15</v>
      </c>
      <c r="D6" s="71">
        <v>2</v>
      </c>
      <c r="E6" s="67">
        <v>0.33333333333333331</v>
      </c>
      <c r="F6" s="67">
        <v>0.33333333333333331</v>
      </c>
      <c r="G6" s="67">
        <v>0.31372549019607843</v>
      </c>
      <c r="H6" s="67">
        <v>0.19607843137254902</v>
      </c>
      <c r="I6" s="68">
        <v>10250</v>
      </c>
      <c r="J6" s="68">
        <v>-8880</v>
      </c>
      <c r="K6" s="67">
        <v>0.22222222222222221</v>
      </c>
      <c r="L6" s="67">
        <v>0.22222222222222221</v>
      </c>
      <c r="M6" s="67">
        <v>0.45098039215686275</v>
      </c>
      <c r="N6" s="67">
        <v>0</v>
      </c>
      <c r="O6" s="67">
        <v>0.69565217391304346</v>
      </c>
      <c r="P6" s="67">
        <v>0</v>
      </c>
      <c r="Q6" s="67">
        <v>0.375</v>
      </c>
    </row>
    <row r="7" spans="1:17" x14ac:dyDescent="0.4">
      <c r="A7" s="69">
        <v>4</v>
      </c>
      <c r="B7" s="66">
        <v>-1.4210854715202004E-14</v>
      </c>
      <c r="C7" s="66">
        <v>-1.1842378929335002E-15</v>
      </c>
      <c r="D7" s="71">
        <v>2</v>
      </c>
      <c r="E7" s="67">
        <v>0.33333333333333331</v>
      </c>
      <c r="F7" s="67">
        <v>0.33333333333333331</v>
      </c>
      <c r="G7" s="67">
        <v>0.31818181818181818</v>
      </c>
      <c r="H7" s="67">
        <v>0.19696969696969696</v>
      </c>
      <c r="I7" s="68">
        <v>10066.666666666666</v>
      </c>
      <c r="J7" s="68">
        <v>-8030.7692307692305</v>
      </c>
      <c r="K7" s="67">
        <v>0.25</v>
      </c>
      <c r="L7" s="67">
        <v>0.25</v>
      </c>
      <c r="M7" s="67">
        <v>0.43939393939393939</v>
      </c>
      <c r="N7" s="67">
        <v>0</v>
      </c>
      <c r="O7" s="67">
        <v>0.65517241379310343</v>
      </c>
      <c r="P7" s="67">
        <v>0</v>
      </c>
      <c r="Q7" s="67">
        <v>0.38095238095238093</v>
      </c>
    </row>
    <row r="8" spans="1:17" x14ac:dyDescent="0.4">
      <c r="A8" s="69">
        <v>5</v>
      </c>
      <c r="B8" s="66">
        <v>-1.4210854715202004E-14</v>
      </c>
      <c r="C8" s="66">
        <v>-9.4739031434680023E-16</v>
      </c>
      <c r="D8" s="71">
        <v>2</v>
      </c>
      <c r="E8" s="67">
        <v>0.33333333333333331</v>
      </c>
      <c r="F8" s="67">
        <v>0.33333333333333331</v>
      </c>
      <c r="G8" s="67">
        <v>0.2988505747126437</v>
      </c>
      <c r="H8" s="67">
        <v>0.18390804597701149</v>
      </c>
      <c r="I8" s="68">
        <v>9600</v>
      </c>
      <c r="J8" s="68">
        <v>-8331.25</v>
      </c>
      <c r="K8" s="67">
        <v>0.2</v>
      </c>
      <c r="L8" s="67">
        <v>0.2</v>
      </c>
      <c r="M8" s="67">
        <v>0.47126436781609193</v>
      </c>
      <c r="N8" s="67">
        <v>0</v>
      </c>
      <c r="O8" s="67">
        <v>0.58536585365853655</v>
      </c>
      <c r="P8" s="67">
        <v>0</v>
      </c>
      <c r="Q8" s="67">
        <v>0.38461538461538464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13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195</vt:i4>
      </vt:variant>
    </vt:vector>
  </HeadingPairs>
  <TitlesOfParts>
    <vt:vector size="224" baseType="lpstr">
      <vt:lpstr>Template1</vt:lpstr>
      <vt:lpstr>Cache</vt:lpstr>
      <vt:lpstr>Template2</vt:lpstr>
      <vt:lpstr>Players</vt:lpstr>
      <vt:lpstr>ランキング</vt:lpstr>
      <vt:lpstr>全体</vt:lpstr>
      <vt:lpstr>Tenari2</vt:lpstr>
      <vt:lpstr>だいち</vt:lpstr>
      <vt:lpstr>Tenari1</vt:lpstr>
      <vt:lpstr>Tenari12</vt:lpstr>
      <vt:lpstr>だいち2</vt:lpstr>
      <vt:lpstr>Tenari22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Tenari1!アガリ数</vt:lpstr>
      <vt:lpstr>Tenari2!アガリ数</vt:lpstr>
      <vt:lpstr>だいち!アガリ数</vt:lpstr>
      <vt:lpstr>全体!アガリ数</vt:lpstr>
      <vt:lpstr>アガリ数</vt:lpstr>
      <vt:lpstr>Tenari1!アガリ率</vt:lpstr>
      <vt:lpstr>Tenari2!アガリ率</vt:lpstr>
      <vt:lpstr>だいち!アガリ率</vt:lpstr>
      <vt:lpstr>全体!アガリ率</vt:lpstr>
      <vt:lpstr>アガリ率</vt:lpstr>
      <vt:lpstr>Tenari1!チョンボ数</vt:lpstr>
      <vt:lpstr>Tenari2!チョンボ数</vt:lpstr>
      <vt:lpstr>だいち!チョンボ数</vt:lpstr>
      <vt:lpstr>全体!チョンボ数</vt:lpstr>
      <vt:lpstr>チョンボ数</vt:lpstr>
      <vt:lpstr>Tenari1!チョンボ率</vt:lpstr>
      <vt:lpstr>Tenari2!チョンボ率</vt:lpstr>
      <vt:lpstr>だいち!チョンボ率</vt:lpstr>
      <vt:lpstr>全体!チョンボ率</vt:lpstr>
      <vt:lpstr>チョンボ率</vt:lpstr>
      <vt:lpstr>Tenari1!ツモ数</vt:lpstr>
      <vt:lpstr>Tenari2!ツモ数</vt:lpstr>
      <vt:lpstr>だいち!ツモ数</vt:lpstr>
      <vt:lpstr>全体!ツモ数</vt:lpstr>
      <vt:lpstr>ツモ数</vt:lpstr>
      <vt:lpstr>Tenari1!ツモ率</vt:lpstr>
      <vt:lpstr>Tenari2!ツモ率</vt:lpstr>
      <vt:lpstr>だいち!ツモ率</vt:lpstr>
      <vt:lpstr>全体!ツモ率</vt:lpstr>
      <vt:lpstr>ツモ率</vt:lpstr>
      <vt:lpstr>Tenari1!トップ数</vt:lpstr>
      <vt:lpstr>Tenari2!トップ数</vt:lpstr>
      <vt:lpstr>だいち!トップ数</vt:lpstr>
      <vt:lpstr>全体!トップ数</vt:lpstr>
      <vt:lpstr>トップ数</vt:lpstr>
      <vt:lpstr>Tenari1!トップ率</vt:lpstr>
      <vt:lpstr>Tenari2!トップ率</vt:lpstr>
      <vt:lpstr>だいち!トップ率</vt:lpstr>
      <vt:lpstr>全体!トップ率</vt:lpstr>
      <vt:lpstr>トップ率</vt:lpstr>
      <vt:lpstr>Tenari1!ふっとばし数</vt:lpstr>
      <vt:lpstr>Tenari2!ふっとばし数</vt:lpstr>
      <vt:lpstr>だいち!ふっとばし数</vt:lpstr>
      <vt:lpstr>全体!ふっとばし数</vt:lpstr>
      <vt:lpstr>ふっとばし数</vt:lpstr>
      <vt:lpstr>Tenari1!ふっとばし率</vt:lpstr>
      <vt:lpstr>Tenari2!ふっとばし率</vt:lpstr>
      <vt:lpstr>だいち!ふっとばし率</vt:lpstr>
      <vt:lpstr>全体!ふっとばし率</vt:lpstr>
      <vt:lpstr>ふっとばし率</vt:lpstr>
      <vt:lpstr>Tenari1!ふっとび数</vt:lpstr>
      <vt:lpstr>Tenari2!ふっとび数</vt:lpstr>
      <vt:lpstr>だいち!ふっとび数</vt:lpstr>
      <vt:lpstr>全体!ふっとび数</vt:lpstr>
      <vt:lpstr>ふっとび数</vt:lpstr>
      <vt:lpstr>Tenari1!ふっとび率</vt:lpstr>
      <vt:lpstr>Tenari2!ふっとび率</vt:lpstr>
      <vt:lpstr>だいち!ふっとび率</vt:lpstr>
      <vt:lpstr>全体!ふっとび率</vt:lpstr>
      <vt:lpstr>ふっとび率</vt:lpstr>
      <vt:lpstr>Tenari1!ラス数</vt:lpstr>
      <vt:lpstr>Tenari2!ラス数</vt:lpstr>
      <vt:lpstr>だいち!ラス数</vt:lpstr>
      <vt:lpstr>全体!ラス数</vt:lpstr>
      <vt:lpstr>ラス数</vt:lpstr>
      <vt:lpstr>Tenari1!ラス率</vt:lpstr>
      <vt:lpstr>Tenari2!ラス率</vt:lpstr>
      <vt:lpstr>だいち!ラス率</vt:lpstr>
      <vt:lpstr>全体!ラス率</vt:lpstr>
      <vt:lpstr>ラス率</vt:lpstr>
      <vt:lpstr>Tenari1!リーチ数</vt:lpstr>
      <vt:lpstr>Tenari2!リーチ数</vt:lpstr>
      <vt:lpstr>だいち!リーチ数</vt:lpstr>
      <vt:lpstr>全体!リーチ数</vt:lpstr>
      <vt:lpstr>リーチ数</vt:lpstr>
      <vt:lpstr>Tenari1!リーチ成功数</vt:lpstr>
      <vt:lpstr>Tenari2!リーチ成功数</vt:lpstr>
      <vt:lpstr>だいち!リーチ成功数</vt:lpstr>
      <vt:lpstr>全体!リーチ成功数</vt:lpstr>
      <vt:lpstr>リーチ成功数</vt:lpstr>
      <vt:lpstr>Tenari1!リーチ成功率</vt:lpstr>
      <vt:lpstr>Tenari2!リーチ成功率</vt:lpstr>
      <vt:lpstr>だいち!リーチ成功率</vt:lpstr>
      <vt:lpstr>全体!リーチ成功率</vt:lpstr>
      <vt:lpstr>リーチ成功率</vt:lpstr>
      <vt:lpstr>Tenari1!リーチ率</vt:lpstr>
      <vt:lpstr>Tenari2!リーチ率</vt:lpstr>
      <vt:lpstr>だいち!リーチ率</vt:lpstr>
      <vt:lpstr>全体!リーチ率</vt:lpstr>
      <vt:lpstr>リーチ率</vt:lpstr>
      <vt:lpstr>Tenari1!ロン数</vt:lpstr>
      <vt:lpstr>Tenari2!ロン数</vt:lpstr>
      <vt:lpstr>だいち!ロン数</vt:lpstr>
      <vt:lpstr>全体!ロン数</vt:lpstr>
      <vt:lpstr>ロン数</vt:lpstr>
      <vt:lpstr>Tenari1!ロン率</vt:lpstr>
      <vt:lpstr>Tenari2!ロン率</vt:lpstr>
      <vt:lpstr>だいち!ロン率</vt:lpstr>
      <vt:lpstr>全体!ロン率</vt:lpstr>
      <vt:lpstr>ロン率</vt:lpstr>
      <vt:lpstr>Tenari1!逆転数</vt:lpstr>
      <vt:lpstr>Tenari2!逆転数</vt:lpstr>
      <vt:lpstr>だいち!逆転数</vt:lpstr>
      <vt:lpstr>全体!逆転数</vt:lpstr>
      <vt:lpstr>逆転数</vt:lpstr>
      <vt:lpstr>Tenari1!逆転率</vt:lpstr>
      <vt:lpstr>Tenari2!逆転率</vt:lpstr>
      <vt:lpstr>だいち!逆転率</vt:lpstr>
      <vt:lpstr>全体!逆転率</vt:lpstr>
      <vt:lpstr>逆転率</vt:lpstr>
      <vt:lpstr>Tenari1!最大ドラ数</vt:lpstr>
      <vt:lpstr>Tenari2!最大ドラ数</vt:lpstr>
      <vt:lpstr>だいち!最大ドラ数</vt:lpstr>
      <vt:lpstr>全体!最大ドラ数</vt:lpstr>
      <vt:lpstr>最大ドラ数</vt:lpstr>
      <vt:lpstr>Tenari1!最大点数</vt:lpstr>
      <vt:lpstr>Tenari2!最大点数</vt:lpstr>
      <vt:lpstr>だいち!最大点数</vt:lpstr>
      <vt:lpstr>全体!最大点数</vt:lpstr>
      <vt:lpstr>最大点数</vt:lpstr>
      <vt:lpstr>Tenari1!総局数</vt:lpstr>
      <vt:lpstr>Tenari2!総局数</vt:lpstr>
      <vt:lpstr>だいち!総局数</vt:lpstr>
      <vt:lpstr>全体!総局数</vt:lpstr>
      <vt:lpstr>総局数</vt:lpstr>
      <vt:lpstr>Tenari1!対戦数</vt:lpstr>
      <vt:lpstr>Tenari2!対戦数</vt:lpstr>
      <vt:lpstr>だいち!対戦数</vt:lpstr>
      <vt:lpstr>全体!対戦数</vt:lpstr>
      <vt:lpstr>対戦数</vt:lpstr>
      <vt:lpstr>Tenari1!通算スコア</vt:lpstr>
      <vt:lpstr>Tenari2!通算スコア</vt:lpstr>
      <vt:lpstr>だいち!通算スコア</vt:lpstr>
      <vt:lpstr>全体!通算スコア</vt:lpstr>
      <vt:lpstr>通算スコア</vt:lpstr>
      <vt:lpstr>Tenari1!副露数</vt:lpstr>
      <vt:lpstr>Tenari2!副露数</vt:lpstr>
      <vt:lpstr>だいち!副露数</vt:lpstr>
      <vt:lpstr>全体!副露数</vt:lpstr>
      <vt:lpstr>副露数</vt:lpstr>
      <vt:lpstr>Tenari1!副露成功数</vt:lpstr>
      <vt:lpstr>Tenari2!副露成功数</vt:lpstr>
      <vt:lpstr>だいち!副露成功数</vt:lpstr>
      <vt:lpstr>全体!副露成功数</vt:lpstr>
      <vt:lpstr>副露成功数</vt:lpstr>
      <vt:lpstr>Tenari1!副露成功率</vt:lpstr>
      <vt:lpstr>Tenari2!副露成功率</vt:lpstr>
      <vt:lpstr>だいち!副露成功率</vt:lpstr>
      <vt:lpstr>全体!副露成功率</vt:lpstr>
      <vt:lpstr>副露成功率</vt:lpstr>
      <vt:lpstr>Tenari1!副露率</vt:lpstr>
      <vt:lpstr>Tenari2!副露率</vt:lpstr>
      <vt:lpstr>だいち!副露率</vt:lpstr>
      <vt:lpstr>全体!副露率</vt:lpstr>
      <vt:lpstr>副露率</vt:lpstr>
      <vt:lpstr>Tenari1!平均アガリ点</vt:lpstr>
      <vt:lpstr>Tenari2!平均アガリ点</vt:lpstr>
      <vt:lpstr>だいち!平均アガリ点</vt:lpstr>
      <vt:lpstr>全体!平均アガリ点</vt:lpstr>
      <vt:lpstr>平均アガリ点</vt:lpstr>
      <vt:lpstr>Tenari1!平均スコア</vt:lpstr>
      <vt:lpstr>Tenari2!平均スコア</vt:lpstr>
      <vt:lpstr>だいち!平均スコア</vt:lpstr>
      <vt:lpstr>全体!平均スコア</vt:lpstr>
      <vt:lpstr>平均スコア</vt:lpstr>
      <vt:lpstr>Tenari1!平均順位</vt:lpstr>
      <vt:lpstr>Tenari2!平均順位</vt:lpstr>
      <vt:lpstr>だいち!平均順位</vt:lpstr>
      <vt:lpstr>全体!平均順位</vt:lpstr>
      <vt:lpstr>平均順位</vt:lpstr>
      <vt:lpstr>Tenari1!平均放銃点</vt:lpstr>
      <vt:lpstr>Tenari2!平均放銃点</vt:lpstr>
      <vt:lpstr>だいち!平均放銃点</vt:lpstr>
      <vt:lpstr>全体!平均放銃点</vt:lpstr>
      <vt:lpstr>平均放銃点</vt:lpstr>
      <vt:lpstr>Tenari1!放銃数</vt:lpstr>
      <vt:lpstr>Tenari2!放銃数</vt:lpstr>
      <vt:lpstr>だいち!放銃数</vt:lpstr>
      <vt:lpstr>全体!放銃数</vt:lpstr>
      <vt:lpstr>放銃数</vt:lpstr>
      <vt:lpstr>Tenari1!放銃率</vt:lpstr>
      <vt:lpstr>Tenari2!放銃率</vt:lpstr>
      <vt:lpstr>だいち!放銃率</vt:lpstr>
      <vt:lpstr>全体!放銃率</vt:lpstr>
      <vt:lpstr>放銃率</vt:lpstr>
      <vt:lpstr>Tenari1!連続アガリ</vt:lpstr>
      <vt:lpstr>Tenari2!連続アガリ</vt:lpstr>
      <vt:lpstr>だいち!連続アガリ</vt:lpstr>
      <vt:lpstr>全体!連続アガリ</vt:lpstr>
      <vt:lpstr>連続アガリ</vt:lpstr>
      <vt:lpstr>Tenari1!連続無放銃</vt:lpstr>
      <vt:lpstr>Tenari2!連続無放銃</vt:lpstr>
      <vt:lpstr>だいち!連続無放銃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2019-06-10T14:04:00Z</dcterms:modified>
</cp:coreProperties>
</file>