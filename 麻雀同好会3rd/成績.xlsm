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E0ECB169-0BC4-44CA-A651-74609C307595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65" r:id="rId6"/>
    <sheet name="たかの" sheetId="5667" r:id="rId7"/>
    <sheet name="だいち" sheetId="5669" r:id="rId8"/>
    <sheet name="ただ" sheetId="5671" r:id="rId9"/>
    <sheet name="りくと" sheetId="5673" r:id="rId10"/>
    <sheet name="れんたろう" sheetId="5675" r:id="rId11"/>
    <sheet name="まっつん" sheetId="5677" r:id="rId12"/>
    <sheet name="のり" sheetId="5679" r:id="rId13"/>
    <sheet name="ぱぱ" sheetId="5681" r:id="rId14"/>
    <sheet name="ほたに" sheetId="5683" r:id="rId15"/>
    <sheet name="ほたに2" sheetId="5684" state="hidden" r:id="rId16"/>
    <sheet name="ぱぱ2" sheetId="5682" state="hidden" r:id="rId17"/>
    <sheet name="のり2" sheetId="5680" state="hidden" r:id="rId18"/>
    <sheet name="まっつん2" sheetId="5678" state="hidden" r:id="rId19"/>
    <sheet name="れんたろう2" sheetId="5676" state="hidden" r:id="rId20"/>
    <sheet name="りくと2" sheetId="5674" state="hidden" r:id="rId21"/>
    <sheet name="ただ2" sheetId="5672" state="hidden" r:id="rId22"/>
    <sheet name="だいち2" sheetId="5670" state="hidden" r:id="rId23"/>
    <sheet name="たかの2" sheetId="5668" state="hidden" r:id="rId24"/>
    <sheet name="全体2" sheetId="566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683" l="1"/>
  <c r="O21" i="5673"/>
  <c r="O20" i="5667" l="1"/>
  <c r="O17" i="5669"/>
  <c r="O16" i="5679"/>
  <c r="O17" i="5679"/>
  <c r="O19" i="5677" l="1"/>
  <c r="O18" i="5681"/>
  <c r="O16" i="5671" l="1"/>
  <c r="O16" i="5677"/>
  <c r="O18" i="5679"/>
  <c r="O19" i="5679"/>
  <c r="O17" i="5667" l="1"/>
  <c r="O19" i="5681"/>
  <c r="O20" i="5681"/>
  <c r="O17" i="5673"/>
  <c r="O18" i="5671" l="1"/>
  <c r="O18" i="5675"/>
  <c r="O16" i="5675" l="1"/>
  <c r="O21" i="5669"/>
  <c r="O21" i="5679"/>
  <c r="O17" i="5683"/>
  <c r="O15" i="5683"/>
  <c r="O21" i="5681"/>
  <c r="O15" i="5671" l="1"/>
  <c r="O17" i="5671"/>
  <c r="O18" i="5683"/>
  <c r="O19" i="5683"/>
  <c r="C27" i="5683"/>
  <c r="B24" i="5683"/>
  <c r="C20" i="5683"/>
  <c r="B17" i="5683"/>
  <c r="H52" i="5683" s="1"/>
  <c r="C16" i="5683"/>
  <c r="C15" i="5683"/>
  <c r="C14" i="5683"/>
  <c r="C13" i="5683"/>
  <c r="O12" i="5683"/>
  <c r="C12" i="5683"/>
  <c r="O11" i="5683"/>
  <c r="C11" i="5683"/>
  <c r="O10" i="5683"/>
  <c r="C10" i="5683"/>
  <c r="C9" i="5683"/>
  <c r="C8" i="5683"/>
  <c r="O7" i="5683"/>
  <c r="C7" i="5683"/>
  <c r="O6" i="5683"/>
  <c r="B6" i="5683"/>
  <c r="O5" i="5683"/>
  <c r="B5" i="5683"/>
  <c r="O4" i="5683"/>
  <c r="O3" i="5683"/>
  <c r="O2" i="5683"/>
  <c r="O21" i="5677"/>
  <c r="O17" i="5677"/>
  <c r="O20" i="5665"/>
  <c r="C17" i="5683" l="1"/>
  <c r="H7" i="5683"/>
  <c r="H38" i="5683"/>
  <c r="H11" i="5683"/>
  <c r="H20" i="5683"/>
  <c r="H17" i="5683"/>
  <c r="H14" i="5683"/>
  <c r="H26" i="5683"/>
  <c r="H3" i="5683"/>
  <c r="H35" i="5683"/>
  <c r="H47" i="5683"/>
  <c r="H39" i="5683"/>
  <c r="H8" i="5683"/>
  <c r="H12" i="5683"/>
  <c r="H15" i="5683"/>
  <c r="H43" i="5683"/>
  <c r="H18" i="5683"/>
  <c r="H2" i="5683"/>
  <c r="H48" i="5683"/>
  <c r="H40" i="5683"/>
  <c r="H22" i="5683"/>
  <c r="H5" i="5683"/>
  <c r="C19" i="5683"/>
  <c r="H30" i="5683"/>
  <c r="H10" i="5683"/>
  <c r="H23" i="5683"/>
  <c r="H31" i="5683"/>
  <c r="H32" i="5683"/>
  <c r="H51" i="5683"/>
  <c r="H46" i="5683"/>
  <c r="H21" i="5683"/>
  <c r="H27" i="5683"/>
  <c r="H33" i="5683"/>
  <c r="H41" i="5683"/>
  <c r="H49" i="5683"/>
  <c r="H24" i="5683"/>
  <c r="H28" i="5683"/>
  <c r="H34" i="5683"/>
  <c r="H42" i="5683"/>
  <c r="H50" i="5683"/>
  <c r="H13" i="5683"/>
  <c r="H25" i="5683"/>
  <c r="H9" i="5683"/>
  <c r="H36" i="5683"/>
  <c r="H44" i="5683"/>
  <c r="H6" i="5683"/>
  <c r="H4" i="5683"/>
  <c r="H16" i="5683"/>
  <c r="H19" i="5683"/>
  <c r="C18" i="5683"/>
  <c r="B23" i="5683"/>
  <c r="H29" i="5683"/>
  <c r="H37" i="5683"/>
  <c r="H45" i="5683"/>
  <c r="O18" i="5669" l="1"/>
  <c r="O18" i="5673"/>
  <c r="O16" i="5669" l="1"/>
  <c r="O20" i="5677"/>
  <c r="O22" i="5677"/>
  <c r="O15" i="5667"/>
  <c r="O19" i="5671"/>
  <c r="O15" i="5673"/>
  <c r="O16" i="5673"/>
  <c r="O19" i="5667"/>
  <c r="O22" i="5671"/>
  <c r="O15" i="5669"/>
  <c r="O17" i="5681"/>
  <c r="O22" i="5681"/>
  <c r="O20" i="5675" l="1"/>
  <c r="O19" i="5675"/>
  <c r="O16" i="5681"/>
  <c r="O15" i="5681"/>
  <c r="C27" i="5681"/>
  <c r="B24" i="5681"/>
  <c r="C20" i="5681"/>
  <c r="B17" i="5681"/>
  <c r="H5" i="5681" s="1"/>
  <c r="C16" i="5681"/>
  <c r="C15" i="5681"/>
  <c r="C14" i="5681"/>
  <c r="C13" i="5681"/>
  <c r="O12" i="5681"/>
  <c r="C12" i="5681"/>
  <c r="O11" i="5681"/>
  <c r="C11" i="5681"/>
  <c r="O10" i="5681"/>
  <c r="C10" i="5681"/>
  <c r="C9" i="5681"/>
  <c r="C8" i="5681"/>
  <c r="O7" i="5681"/>
  <c r="C7" i="5681"/>
  <c r="O6" i="5681"/>
  <c r="B6" i="5681"/>
  <c r="O5" i="5681"/>
  <c r="B5" i="5681"/>
  <c r="O4" i="5681"/>
  <c r="O3" i="5681"/>
  <c r="O2" i="5681"/>
  <c r="O15" i="5665"/>
  <c r="O15" i="5679"/>
  <c r="O20" i="5679"/>
  <c r="C27" i="5679"/>
  <c r="B24" i="5679"/>
  <c r="C20" i="5679"/>
  <c r="B17" i="5679"/>
  <c r="H6" i="5679" s="1"/>
  <c r="C16" i="5679"/>
  <c r="C15" i="5679"/>
  <c r="C14" i="5679"/>
  <c r="C13" i="5679"/>
  <c r="O12" i="5679"/>
  <c r="C12" i="5679"/>
  <c r="O11" i="5679"/>
  <c r="C11" i="5679"/>
  <c r="O10" i="5679"/>
  <c r="C10" i="5679"/>
  <c r="C9" i="5679"/>
  <c r="C8" i="5679"/>
  <c r="O7" i="5679"/>
  <c r="C7" i="5679"/>
  <c r="O6" i="5679"/>
  <c r="B6" i="5679"/>
  <c r="O5" i="5679"/>
  <c r="B5" i="5679"/>
  <c r="O4" i="5679"/>
  <c r="O3" i="5679"/>
  <c r="O2" i="5679"/>
  <c r="O23" i="5665"/>
  <c r="H7" i="5681" l="1"/>
  <c r="H21" i="5681"/>
  <c r="H3" i="5681"/>
  <c r="H9" i="5681"/>
  <c r="H15" i="5681"/>
  <c r="H11" i="5681"/>
  <c r="H4" i="5681"/>
  <c r="H19" i="5681"/>
  <c r="H2" i="5681"/>
  <c r="H20" i="5681"/>
  <c r="H17" i="5681"/>
  <c r="H10" i="5681"/>
  <c r="H18" i="5681"/>
  <c r="H12" i="5681"/>
  <c r="H24" i="5681"/>
  <c r="H38" i="5681"/>
  <c r="H6" i="5681"/>
  <c r="C19" i="5681"/>
  <c r="H40" i="5681"/>
  <c r="H41" i="5681"/>
  <c r="H29" i="5681"/>
  <c r="H45" i="5681"/>
  <c r="H22" i="5681"/>
  <c r="H26" i="5681"/>
  <c r="H30" i="5681"/>
  <c r="H46" i="5681"/>
  <c r="B23" i="5681"/>
  <c r="H32" i="5681"/>
  <c r="H48" i="5681"/>
  <c r="H8" i="5681"/>
  <c r="H14" i="5681"/>
  <c r="C17" i="5681"/>
  <c r="H16" i="5681"/>
  <c r="H33" i="5681"/>
  <c r="H49" i="5681"/>
  <c r="C18" i="5681"/>
  <c r="H37" i="5681"/>
  <c r="H52" i="5681"/>
  <c r="H31" i="5681"/>
  <c r="H39" i="5681"/>
  <c r="H47" i="5681"/>
  <c r="H25" i="5681"/>
  <c r="H28" i="5681"/>
  <c r="H34" i="5681"/>
  <c r="H42" i="5681"/>
  <c r="H50" i="5681"/>
  <c r="H35" i="5681"/>
  <c r="H43" i="5681"/>
  <c r="H51" i="5681"/>
  <c r="H23" i="5681"/>
  <c r="H27" i="5681"/>
  <c r="H13" i="5681"/>
  <c r="H36" i="5681"/>
  <c r="H44" i="5681"/>
  <c r="H2" i="5679"/>
  <c r="H3" i="5679"/>
  <c r="H45" i="5679"/>
  <c r="H47" i="5679"/>
  <c r="H15" i="5679"/>
  <c r="H19" i="5679"/>
  <c r="H32" i="5679"/>
  <c r="C18" i="5679"/>
  <c r="H5" i="5679"/>
  <c r="H20" i="5679"/>
  <c r="H9" i="5679"/>
  <c r="H46" i="5679"/>
  <c r="H4" i="5679"/>
  <c r="H10" i="5679"/>
  <c r="C19" i="5679"/>
  <c r="H27" i="5679"/>
  <c r="H37" i="5679"/>
  <c r="H21" i="5679"/>
  <c r="H12" i="5679"/>
  <c r="H38" i="5679"/>
  <c r="H48" i="5679"/>
  <c r="H43" i="5679"/>
  <c r="H49" i="5679"/>
  <c r="C17" i="5679"/>
  <c r="H26" i="5679"/>
  <c r="H33" i="5679"/>
  <c r="H17" i="5679"/>
  <c r="H23" i="5679"/>
  <c r="H35" i="5679"/>
  <c r="H8" i="5679"/>
  <c r="H7" i="5679"/>
  <c r="H16" i="5679"/>
  <c r="H18" i="5679"/>
  <c r="H29" i="5679"/>
  <c r="H39" i="5679"/>
  <c r="H11" i="5679"/>
  <c r="H13" i="5679"/>
  <c r="H30" i="5679"/>
  <c r="H40" i="5679"/>
  <c r="H51" i="5679"/>
  <c r="B23" i="5679"/>
  <c r="H31" i="5679"/>
  <c r="H41" i="5679"/>
  <c r="H52" i="5679"/>
  <c r="H24" i="5679"/>
  <c r="H28" i="5679"/>
  <c r="H34" i="5679"/>
  <c r="H42" i="5679"/>
  <c r="H50" i="5679"/>
  <c r="H22" i="5679"/>
  <c r="H25" i="5679"/>
  <c r="H14" i="5679"/>
  <c r="H36" i="5679"/>
  <c r="H44" i="5679"/>
  <c r="O18" i="5677" l="1"/>
  <c r="O15" i="5677"/>
  <c r="C27" i="5677"/>
  <c r="B24" i="5677"/>
  <c r="C20" i="5677"/>
  <c r="B17" i="5677"/>
  <c r="H52" i="5677" s="1"/>
  <c r="C16" i="5677"/>
  <c r="C15" i="5677"/>
  <c r="C14" i="5677"/>
  <c r="C13" i="5677"/>
  <c r="O12" i="5677"/>
  <c r="C12" i="5677"/>
  <c r="O11" i="5677"/>
  <c r="C11" i="5677"/>
  <c r="O10" i="5677"/>
  <c r="C10" i="5677"/>
  <c r="C9" i="5677"/>
  <c r="C8" i="5677"/>
  <c r="O7" i="5677"/>
  <c r="C7" i="5677"/>
  <c r="O6" i="5677"/>
  <c r="B6" i="5677"/>
  <c r="O5" i="5677"/>
  <c r="B5" i="5677"/>
  <c r="O4" i="5677"/>
  <c r="O3" i="5677"/>
  <c r="O2" i="5677"/>
  <c r="O15" i="5675"/>
  <c r="O17" i="5675"/>
  <c r="C27" i="5675"/>
  <c r="B24" i="5675"/>
  <c r="C20" i="5675"/>
  <c r="B17" i="5675"/>
  <c r="H52" i="5675" s="1"/>
  <c r="C16" i="5675"/>
  <c r="C15" i="5675"/>
  <c r="C14" i="5675"/>
  <c r="C13" i="5675"/>
  <c r="O12" i="5675"/>
  <c r="C12" i="5675"/>
  <c r="O11" i="5675"/>
  <c r="C11" i="5675"/>
  <c r="O10" i="5675"/>
  <c r="C10" i="5675"/>
  <c r="C9" i="5675"/>
  <c r="C8" i="5675"/>
  <c r="O7" i="5675"/>
  <c r="C7" i="5675"/>
  <c r="O6" i="5675"/>
  <c r="B6" i="5675"/>
  <c r="O5" i="5675"/>
  <c r="B5" i="5675"/>
  <c r="O4" i="5675"/>
  <c r="O3" i="5675"/>
  <c r="O2" i="5675"/>
  <c r="O16" i="5665"/>
  <c r="O20" i="5673"/>
  <c r="O19" i="5673"/>
  <c r="C27" i="5673"/>
  <c r="B24" i="5673"/>
  <c r="C20" i="5673"/>
  <c r="B17" i="5673"/>
  <c r="H52" i="5673" s="1"/>
  <c r="C16" i="5673"/>
  <c r="C15" i="5673"/>
  <c r="C14" i="5673"/>
  <c r="C13" i="5673"/>
  <c r="O12" i="5673"/>
  <c r="C12" i="5673"/>
  <c r="O11" i="5673"/>
  <c r="C11" i="5673"/>
  <c r="O10" i="5673"/>
  <c r="C10" i="5673"/>
  <c r="C9" i="5673"/>
  <c r="C8" i="5673"/>
  <c r="O7" i="5673"/>
  <c r="C7" i="5673"/>
  <c r="O6" i="5673"/>
  <c r="B6" i="5673"/>
  <c r="O5" i="5673"/>
  <c r="B5" i="5673"/>
  <c r="O4" i="5673"/>
  <c r="O3" i="5673"/>
  <c r="O2" i="5673"/>
  <c r="O19" i="5665"/>
  <c r="O17" i="5665"/>
  <c r="B23" i="5673" l="1"/>
  <c r="H2" i="5673"/>
  <c r="H14" i="5673"/>
  <c r="H34" i="5673"/>
  <c r="H20" i="5677"/>
  <c r="H2" i="5677"/>
  <c r="H23" i="5675"/>
  <c r="H17" i="5677"/>
  <c r="H3" i="5677"/>
  <c r="H9" i="5677"/>
  <c r="H22" i="5677"/>
  <c r="H31" i="5677"/>
  <c r="H32" i="5677"/>
  <c r="C19" i="5677"/>
  <c r="H39" i="5677"/>
  <c r="H7" i="5677"/>
  <c r="H11" i="5677"/>
  <c r="H19" i="5677"/>
  <c r="H4" i="5677"/>
  <c r="H24" i="5677"/>
  <c r="H40" i="5677"/>
  <c r="H38" i="5677"/>
  <c r="H16" i="5677"/>
  <c r="H46" i="5677"/>
  <c r="H13" i="5677"/>
  <c r="H14" i="5677"/>
  <c r="C17" i="5677"/>
  <c r="H47" i="5677"/>
  <c r="H6" i="5677"/>
  <c r="H23" i="5677"/>
  <c r="H30" i="5677"/>
  <c r="H48" i="5677"/>
  <c r="H15" i="5677"/>
  <c r="H27" i="5677"/>
  <c r="H33" i="5677"/>
  <c r="H41" i="5677"/>
  <c r="H49" i="5677"/>
  <c r="H25" i="5677"/>
  <c r="H28" i="5677"/>
  <c r="H34" i="5677"/>
  <c r="H42" i="5677"/>
  <c r="H50" i="5677"/>
  <c r="H10" i="5677"/>
  <c r="H35" i="5677"/>
  <c r="H43" i="5677"/>
  <c r="H51" i="5677"/>
  <c r="H12" i="5677"/>
  <c r="H26" i="5677"/>
  <c r="H8" i="5677"/>
  <c r="H36" i="5677"/>
  <c r="H44" i="5677"/>
  <c r="H5" i="5677"/>
  <c r="H18" i="5677"/>
  <c r="H21" i="5677"/>
  <c r="C18" i="5677"/>
  <c r="B23" i="5677"/>
  <c r="H29" i="5677"/>
  <c r="H37" i="5677"/>
  <c r="H45" i="5677"/>
  <c r="H38" i="5675"/>
  <c r="H39" i="5675"/>
  <c r="H3" i="5675"/>
  <c r="C17" i="5675"/>
  <c r="H25" i="5675"/>
  <c r="C19" i="5675"/>
  <c r="H2" i="5675"/>
  <c r="H46" i="5675"/>
  <c r="H16" i="5675"/>
  <c r="H17" i="5675"/>
  <c r="H9" i="5675"/>
  <c r="H6" i="5675"/>
  <c r="H22" i="5675"/>
  <c r="H28" i="5675"/>
  <c r="H47" i="5675"/>
  <c r="H13" i="5675"/>
  <c r="H7" i="5675"/>
  <c r="H14" i="5675"/>
  <c r="H19" i="5675"/>
  <c r="H12" i="5675"/>
  <c r="H15" i="5675"/>
  <c r="H32" i="5675"/>
  <c r="H40" i="5675"/>
  <c r="H48" i="5675"/>
  <c r="H29" i="5675"/>
  <c r="H33" i="5675"/>
  <c r="H41" i="5675"/>
  <c r="H49" i="5675"/>
  <c r="H26" i="5675"/>
  <c r="H30" i="5675"/>
  <c r="H34" i="5675"/>
  <c r="H42" i="5675"/>
  <c r="H50" i="5675"/>
  <c r="H11" i="5675"/>
  <c r="H20" i="5675"/>
  <c r="H8" i="5675"/>
  <c r="H35" i="5675"/>
  <c r="H43" i="5675"/>
  <c r="H51" i="5675"/>
  <c r="H24" i="5675"/>
  <c r="H27" i="5675"/>
  <c r="H4" i="5675"/>
  <c r="H36" i="5675"/>
  <c r="H44" i="5675"/>
  <c r="H10" i="5675"/>
  <c r="H5" i="5675"/>
  <c r="H18" i="5675"/>
  <c r="H21" i="5675"/>
  <c r="C18" i="5675"/>
  <c r="B23" i="5675"/>
  <c r="H31" i="5675"/>
  <c r="H37" i="5675"/>
  <c r="H45" i="5675"/>
  <c r="H39" i="5673"/>
  <c r="H40" i="5673"/>
  <c r="H8" i="5673"/>
  <c r="H22" i="5673"/>
  <c r="C18" i="5673"/>
  <c r="H20" i="5673"/>
  <c r="H25" i="5673"/>
  <c r="H42" i="5673"/>
  <c r="H28" i="5673"/>
  <c r="H29" i="5673"/>
  <c r="H10" i="5673"/>
  <c r="C19" i="5673"/>
  <c r="H31" i="5673"/>
  <c r="H46" i="5673"/>
  <c r="H3" i="5673"/>
  <c r="C17" i="5673"/>
  <c r="H23" i="5673"/>
  <c r="H47" i="5673"/>
  <c r="H38" i="5673"/>
  <c r="H6" i="5673"/>
  <c r="H4" i="5673"/>
  <c r="H24" i="5673"/>
  <c r="H18" i="5673"/>
  <c r="H9" i="5673"/>
  <c r="H7" i="5673"/>
  <c r="H13" i="5673"/>
  <c r="H21" i="5673"/>
  <c r="H11" i="5673"/>
  <c r="H32" i="5673"/>
  <c r="H48" i="5673"/>
  <c r="H15" i="5673"/>
  <c r="H16" i="5673"/>
  <c r="H33" i="5673"/>
  <c r="H41" i="5673"/>
  <c r="H49" i="5673"/>
  <c r="H50" i="5673"/>
  <c r="H26" i="5673"/>
  <c r="H30" i="5673"/>
  <c r="H35" i="5673"/>
  <c r="H43" i="5673"/>
  <c r="H51" i="5673"/>
  <c r="H36" i="5673"/>
  <c r="H44" i="5673"/>
  <c r="H19" i="5673"/>
  <c r="H17" i="5673"/>
  <c r="H27" i="5673"/>
  <c r="H12" i="5673"/>
  <c r="H37" i="5673"/>
  <c r="H45" i="5673"/>
  <c r="H5" i="5673"/>
  <c r="O21" i="5671" l="1"/>
  <c r="O20" i="5671"/>
  <c r="C27" i="5671"/>
  <c r="B24" i="5671"/>
  <c r="C20" i="5671"/>
  <c r="B17" i="5671"/>
  <c r="H51" i="5671" s="1"/>
  <c r="C16" i="5671"/>
  <c r="C15" i="5671"/>
  <c r="C14" i="5671"/>
  <c r="C13" i="5671"/>
  <c r="O12" i="5671"/>
  <c r="C12" i="5671"/>
  <c r="O11" i="5671"/>
  <c r="C11" i="5671"/>
  <c r="O10" i="5671"/>
  <c r="C10" i="5671"/>
  <c r="C9" i="5671"/>
  <c r="C8" i="5671"/>
  <c r="O7" i="5671"/>
  <c r="C7" i="5671"/>
  <c r="O6" i="5671"/>
  <c r="B6" i="5671"/>
  <c r="O5" i="5671"/>
  <c r="B5" i="5671"/>
  <c r="O4" i="5671"/>
  <c r="O3" i="5671"/>
  <c r="O2" i="5671"/>
  <c r="O19" i="5669"/>
  <c r="O20" i="5669"/>
  <c r="C27" i="5669"/>
  <c r="B24" i="5669"/>
  <c r="C20" i="5669"/>
  <c r="B17" i="5669"/>
  <c r="H52" i="5669" s="1"/>
  <c r="C16" i="5669"/>
  <c r="C15" i="5669"/>
  <c r="C14" i="5669"/>
  <c r="C13" i="5669"/>
  <c r="O12" i="5669"/>
  <c r="C12" i="5669"/>
  <c r="O11" i="5669"/>
  <c r="C11" i="5669"/>
  <c r="O10" i="5669"/>
  <c r="C10" i="5669"/>
  <c r="C9" i="5669"/>
  <c r="C8" i="5669"/>
  <c r="O7" i="5669"/>
  <c r="C7" i="5669"/>
  <c r="O6" i="5669"/>
  <c r="B6" i="5669"/>
  <c r="O5" i="5669"/>
  <c r="B5" i="5669"/>
  <c r="O4" i="5669"/>
  <c r="O3" i="5669"/>
  <c r="O2" i="5669"/>
  <c r="O18" i="5665"/>
  <c r="O16" i="5667"/>
  <c r="O18" i="5667"/>
  <c r="C27" i="5667"/>
  <c r="B24" i="5667"/>
  <c r="C20" i="5667"/>
  <c r="B17" i="5667"/>
  <c r="H50" i="5667" s="1"/>
  <c r="C16" i="5667"/>
  <c r="C15" i="5667"/>
  <c r="C14" i="5667"/>
  <c r="C13" i="5667"/>
  <c r="O12" i="5667"/>
  <c r="C12" i="5667"/>
  <c r="O11" i="5667"/>
  <c r="C11" i="5667"/>
  <c r="O10" i="5667"/>
  <c r="C10" i="5667"/>
  <c r="C9" i="5667"/>
  <c r="C8" i="5667"/>
  <c r="O7" i="5667"/>
  <c r="C7" i="5667"/>
  <c r="O6" i="5667"/>
  <c r="B6" i="5667"/>
  <c r="O5" i="5667"/>
  <c r="B5" i="5667"/>
  <c r="O4" i="5667"/>
  <c r="O3" i="5667"/>
  <c r="O2" i="5667"/>
  <c r="O21" i="5665"/>
  <c r="O22" i="5665"/>
  <c r="C27" i="5665"/>
  <c r="B24" i="5665"/>
  <c r="C20" i="5665"/>
  <c r="B17" i="5665"/>
  <c r="H19" i="5665" s="1"/>
  <c r="C16" i="5665"/>
  <c r="C15" i="5665"/>
  <c r="C14" i="5665"/>
  <c r="C13" i="5665"/>
  <c r="O12" i="5665"/>
  <c r="C12" i="5665"/>
  <c r="O11" i="5665"/>
  <c r="C11" i="5665"/>
  <c r="O10" i="5665"/>
  <c r="C10" i="5665"/>
  <c r="C9" i="5665"/>
  <c r="C8" i="5665"/>
  <c r="O7" i="5665"/>
  <c r="C7" i="5665"/>
  <c r="O6" i="5665"/>
  <c r="B6" i="5665"/>
  <c r="O5" i="5665"/>
  <c r="B5" i="5665"/>
  <c r="O4" i="5665"/>
  <c r="O3" i="5665"/>
  <c r="O2" i="5665"/>
  <c r="H14" i="5669" l="1"/>
  <c r="H10" i="5667"/>
  <c r="H9" i="5667"/>
  <c r="H19" i="5667"/>
  <c r="H27" i="5667"/>
  <c r="H8" i="5667"/>
  <c r="H18" i="5667"/>
  <c r="H12" i="5667"/>
  <c r="H15" i="5667"/>
  <c r="H30" i="5667"/>
  <c r="H22" i="5667"/>
  <c r="H13" i="5671"/>
  <c r="H2" i="5671"/>
  <c r="H14" i="5671"/>
  <c r="H3" i="5671"/>
  <c r="H31" i="5671"/>
  <c r="H44" i="5671"/>
  <c r="H27" i="5671"/>
  <c r="H15" i="5671"/>
  <c r="H45" i="5671"/>
  <c r="H9" i="5671"/>
  <c r="H22" i="5671"/>
  <c r="C17" i="5671"/>
  <c r="B23" i="5671"/>
  <c r="H34" i="5671"/>
  <c r="H46" i="5671"/>
  <c r="H28" i="5671"/>
  <c r="H36" i="5671"/>
  <c r="H47" i="5671"/>
  <c r="H7" i="5671"/>
  <c r="H20" i="5671"/>
  <c r="H23" i="5671"/>
  <c r="C18" i="5671"/>
  <c r="H37" i="5671"/>
  <c r="H50" i="5671"/>
  <c r="H25" i="5671"/>
  <c r="H19" i="5671"/>
  <c r="H5" i="5671"/>
  <c r="H16" i="5671"/>
  <c r="H29" i="5671"/>
  <c r="C19" i="5671"/>
  <c r="H39" i="5671"/>
  <c r="H4" i="5671"/>
  <c r="H17" i="5671"/>
  <c r="H38" i="5671"/>
  <c r="H24" i="5671"/>
  <c r="H10" i="5671"/>
  <c r="H6" i="5671"/>
  <c r="H12" i="5671"/>
  <c r="H21" i="5671"/>
  <c r="H8" i="5671"/>
  <c r="H42" i="5671"/>
  <c r="H52" i="5671"/>
  <c r="H32" i="5671"/>
  <c r="H40" i="5671"/>
  <c r="H48" i="5671"/>
  <c r="H18" i="5671"/>
  <c r="H11" i="5671"/>
  <c r="H33" i="5671"/>
  <c r="H41" i="5671"/>
  <c r="H49" i="5671"/>
  <c r="H26" i="5671"/>
  <c r="H30" i="5671"/>
  <c r="H35" i="5671"/>
  <c r="H43" i="5671"/>
  <c r="H34" i="5669"/>
  <c r="H49" i="5669"/>
  <c r="H20" i="5669"/>
  <c r="H13" i="5669"/>
  <c r="H10" i="5669"/>
  <c r="H12" i="5669"/>
  <c r="H18" i="5669"/>
  <c r="H16" i="5669"/>
  <c r="H37" i="5669"/>
  <c r="H3" i="5669"/>
  <c r="H2" i="5669"/>
  <c r="H28" i="5669"/>
  <c r="H30" i="5669"/>
  <c r="H39" i="5669"/>
  <c r="H9" i="5669"/>
  <c r="H31" i="5669"/>
  <c r="H15" i="5669"/>
  <c r="H41" i="5669"/>
  <c r="H6" i="5669"/>
  <c r="H36" i="5669"/>
  <c r="H5" i="5669"/>
  <c r="H45" i="5669"/>
  <c r="C17" i="5669"/>
  <c r="H22" i="5669"/>
  <c r="C19" i="5669"/>
  <c r="H44" i="5669"/>
  <c r="H7" i="5669"/>
  <c r="H17" i="5669"/>
  <c r="H21" i="5669"/>
  <c r="H8" i="5669"/>
  <c r="H4" i="5669"/>
  <c r="H11" i="5669"/>
  <c r="H25" i="5669"/>
  <c r="H47" i="5669"/>
  <c r="H19" i="5669"/>
  <c r="H40" i="5669"/>
  <c r="H48" i="5669"/>
  <c r="H33" i="5669"/>
  <c r="H35" i="5669"/>
  <c r="H42" i="5669"/>
  <c r="H50" i="5669"/>
  <c r="H32" i="5669"/>
  <c r="H23" i="5669"/>
  <c r="H26" i="5669"/>
  <c r="H43" i="5669"/>
  <c r="H51" i="5669"/>
  <c r="H27" i="5669"/>
  <c r="H29" i="5669"/>
  <c r="C18" i="5669"/>
  <c r="B23" i="5669"/>
  <c r="H24" i="5669"/>
  <c r="H38" i="5669"/>
  <c r="H46" i="5669"/>
  <c r="H37" i="5667"/>
  <c r="H38" i="5667"/>
  <c r="H11" i="5667"/>
  <c r="C19" i="5667"/>
  <c r="H5" i="5667"/>
  <c r="H43" i="5667"/>
  <c r="H45" i="5667"/>
  <c r="H23" i="5667"/>
  <c r="H14" i="5667"/>
  <c r="H46" i="5667"/>
  <c r="H6" i="5667"/>
  <c r="H44" i="5667"/>
  <c r="H3" i="5667"/>
  <c r="H2" i="5667"/>
  <c r="C18" i="5667"/>
  <c r="H21" i="5667"/>
  <c r="H24" i="5667"/>
  <c r="H29" i="5667"/>
  <c r="H52" i="5667"/>
  <c r="H51" i="5667"/>
  <c r="H26" i="5667"/>
  <c r="H35" i="5667"/>
  <c r="H7" i="5667"/>
  <c r="H20" i="5667"/>
  <c r="C17" i="5667"/>
  <c r="B23" i="5667"/>
  <c r="H36" i="5667"/>
  <c r="H4" i="5667"/>
  <c r="H31" i="5667"/>
  <c r="H39" i="5667"/>
  <c r="H47" i="5667"/>
  <c r="H13" i="5667"/>
  <c r="H16" i="5667"/>
  <c r="H32" i="5667"/>
  <c r="H40" i="5667"/>
  <c r="H48" i="5667"/>
  <c r="H28" i="5667"/>
  <c r="H33" i="5667"/>
  <c r="H41" i="5667"/>
  <c r="H49" i="5667"/>
  <c r="H25" i="5667"/>
  <c r="H17" i="5667"/>
  <c r="H34" i="5667"/>
  <c r="H42" i="5667"/>
  <c r="H25" i="5665"/>
  <c r="H37" i="5665"/>
  <c r="C19" i="5665"/>
  <c r="H12" i="5665"/>
  <c r="H22" i="5665"/>
  <c r="H4" i="5665"/>
  <c r="H6" i="5665"/>
  <c r="H10" i="5665"/>
  <c r="H15" i="5665"/>
  <c r="H38" i="5665"/>
  <c r="H44" i="5665"/>
  <c r="H3" i="5665"/>
  <c r="H27" i="5665"/>
  <c r="H46" i="5665"/>
  <c r="H49" i="5665"/>
  <c r="H14" i="5665"/>
  <c r="C18" i="5665"/>
  <c r="H45" i="5665"/>
  <c r="H2" i="5665"/>
  <c r="H32" i="5665"/>
  <c r="H31" i="5665"/>
  <c r="H34" i="5665"/>
  <c r="H47" i="5665"/>
  <c r="H30" i="5665"/>
  <c r="H16" i="5665"/>
  <c r="H35" i="5665"/>
  <c r="H7" i="5665"/>
  <c r="H11" i="5665"/>
  <c r="H21" i="5665"/>
  <c r="H36" i="5665"/>
  <c r="H50" i="5665"/>
  <c r="H13" i="5665"/>
  <c r="H8" i="5665"/>
  <c r="H26" i="5665"/>
  <c r="H28" i="5665"/>
  <c r="H5" i="5665"/>
  <c r="H39" i="5665"/>
  <c r="H9" i="5665"/>
  <c r="C17" i="5665"/>
  <c r="H23" i="5665"/>
  <c r="H41" i="5665"/>
  <c r="H17" i="5665"/>
  <c r="B23" i="5665"/>
  <c r="H18" i="5665"/>
  <c r="H42" i="5665"/>
  <c r="H52" i="5665"/>
  <c r="H20" i="5665"/>
  <c r="H40" i="5665"/>
  <c r="H48" i="5665"/>
  <c r="H33" i="5665"/>
  <c r="H24" i="5665"/>
  <c r="H29" i="5665"/>
  <c r="H43" i="5665"/>
  <c r="H51" i="566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<sst xmlns="http://schemas.openxmlformats.org/spreadsheetml/2006/main" count="2445" uniqueCount="212">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</sst>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xVal>
          <c:yVal>
            <c:numRef>
              <c:f>全体!$L$2:$L$182</c:f>
              <c:numCache>
                <c:formatCode>\+0.0;\-0.0;\±0</c:formatCode>
                <c:ptCount val="181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02-403D-BA07-A990C55E3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-22.598870056497177</c:v>
                </c:pt>
                <c:pt idx="1">
                  <c:v>17.241379310344829</c:v>
                </c:pt>
                <c:pt idx="2">
                  <c:v>-35.087719298245617</c:v>
                </c:pt>
                <c:pt idx="3">
                  <c:v>31.446540880503143</c:v>
                </c:pt>
                <c:pt idx="4">
                  <c:v>13.888888888888889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9-4B5C-82E9-83ED5D979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たかの!$L$2:$L$21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1-4C6D-9771-1B74EF7B3D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-1289.4736842105262</c:v>
                </c:pt>
                <c:pt idx="1">
                  <c:v>84.21052631578948</c:v>
                </c:pt>
                <c:pt idx="2">
                  <c:v>784.21052631578948</c:v>
                </c:pt>
                <c:pt idx="3">
                  <c:v>-622.22222222222217</c:v>
                </c:pt>
                <c:pt idx="4">
                  <c:v>-2044.4444444444443</c:v>
                </c:pt>
                <c:pt idx="5">
                  <c:v>-2933.3333333333335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99-4539-AA5A-C881C365AA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だいち!$L$2:$L$41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03-4341-B7CA-CD2E323D1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-305.26315789473682</c:v>
                </c:pt>
                <c:pt idx="1">
                  <c:v>-1364.8648648648648</c:v>
                </c:pt>
                <c:pt idx="2">
                  <c:v>248.64864864864865</c:v>
                </c:pt>
                <c:pt idx="3">
                  <c:v>-508.8235294117647</c:v>
                </c:pt>
                <c:pt idx="4">
                  <c:v>5331.25</c:v>
                </c:pt>
                <c:pt idx="5">
                  <c:v>6036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55-464B-88F4-41EEC8EC0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ただ!$L$2:$L$42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F-4C31-AEEE-335926D73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830.76923076923072</c:v>
                </c:pt>
                <c:pt idx="1">
                  <c:v>1265.7894736842106</c:v>
                </c:pt>
                <c:pt idx="2">
                  <c:v>1997.2972972972973</c:v>
                </c:pt>
                <c:pt idx="3">
                  <c:v>2905.7142857142858</c:v>
                </c:pt>
                <c:pt idx="4">
                  <c:v>-3287.5</c:v>
                </c:pt>
                <c:pt idx="5">
                  <c:v>-884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7-495C-A777-A1D4DCD7D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りくと!$L$2:$L$24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7-4DC8-BBAB-FE7157434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842.85714285714289</c:v>
                </c:pt>
                <c:pt idx="1">
                  <c:v>-947.61904761904759</c:v>
                </c:pt>
                <c:pt idx="2">
                  <c:v>1442.8571428571429</c:v>
                </c:pt>
                <c:pt idx="3">
                  <c:v>-2073.6842105263158</c:v>
                </c:pt>
                <c:pt idx="4">
                  <c:v>-4883.333333333333</c:v>
                </c:pt>
                <c:pt idx="5">
                  <c:v>-2162.5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5-4723-82C1-676023641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れんたろう!$L$2:$L$17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A-4C2B-8BC6-DA81B8A14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653.33333333333337</c:v>
                </c:pt>
                <c:pt idx="1">
                  <c:v>-2964.2857142857142</c:v>
                </c:pt>
                <c:pt idx="2">
                  <c:v>-4046.1538461538462</c:v>
                </c:pt>
                <c:pt idx="3">
                  <c:v>5375</c:v>
                </c:pt>
                <c:pt idx="4">
                  <c:v>1480</c:v>
                </c:pt>
                <c:pt idx="5">
                  <c:v>-10971.428571428571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77-4681-A154-0B6FC96D3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C-4CBA-828B-4BEC4C5654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968.42105263157896</c:v>
                </c:pt>
                <c:pt idx="1">
                  <c:v>-136.84210526315789</c:v>
                </c:pt>
                <c:pt idx="2">
                  <c:v>-2088.8888888888887</c:v>
                </c:pt>
                <c:pt idx="3">
                  <c:v>-350</c:v>
                </c:pt>
                <c:pt idx="4">
                  <c:v>-3116.6666666666665</c:v>
                </c:pt>
                <c:pt idx="5">
                  <c:v>2840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6D-4729-99D5-A27B0865B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のり!$L$2:$L$12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2-450B-BF62-1B72BB824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-3700</c:v>
                </c:pt>
                <c:pt idx="1">
                  <c:v>-370</c:v>
                </c:pt>
                <c:pt idx="2">
                  <c:v>-2130</c:v>
                </c:pt>
                <c:pt idx="3">
                  <c:v>-4766.666666666667</c:v>
                </c:pt>
                <c:pt idx="4">
                  <c:v>-25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C1-4C32-94EF-9AC6880D4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ぱぱ!$L$2:$L$13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9-4C51-AB18-C41C4A699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-45.454545454545453</c:v>
                </c:pt>
                <c:pt idx="1">
                  <c:v>4790.909090909091</c:v>
                </c:pt>
                <c:pt idx="2">
                  <c:v>418.18181818181819</c:v>
                </c:pt>
                <c:pt idx="3">
                  <c:v>-3345.4545454545455</c:v>
                </c:pt>
                <c:pt idx="4">
                  <c:v>6400</c:v>
                </c:pt>
                <c:pt idx="5">
                  <c:v>1837.5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75-4844-9E3F-875CAE775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5C-45FD-B500-34E6076E2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3760</c:v>
                </c:pt>
                <c:pt idx="2">
                  <c:v>-5480</c:v>
                </c:pt>
                <c:pt idx="3">
                  <c:v>-1600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D-4283-881C-9D04966D3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ほたに2!$C$3:$C$8</c:f>
              <c:numCache>
                <c:formatCode>\+0.0;\-0.0;\±0</c:formatCode>
                <c:ptCount val="6"/>
                <c:pt idx="1">
                  <c:v>-46.5</c:v>
                </c:pt>
                <c:pt idx="2">
                  <c:v>-12.7</c:v>
                </c:pt>
                <c:pt idx="3">
                  <c:v>-23.966666666666669</c:v>
                </c:pt>
                <c:pt idx="4">
                  <c:v>-9.3500000000000014</c:v>
                </c:pt>
                <c:pt idx="5">
                  <c:v>-2.4200000000000008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3684757858670006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ほたに2!$D$3:$D$8</c:f>
              <c:numCache>
                <c:formatCode>0.00\ "位"</c:formatCode>
                <c:ptCount val="6"/>
                <c:pt idx="1">
                  <c:v>3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1.8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ほたに2!$E$3:$E$8</c:f>
              <c:numCache>
                <c:formatCode>0.0%</c:formatCode>
                <c:ptCount val="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ほたに2!$F$3:$F$8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ほたに2!$G$3:$G$8</c:f>
              <c:numCache>
                <c:formatCode>0.0%</c:formatCode>
                <c:ptCount val="6"/>
                <c:pt idx="1">
                  <c:v>9.0909090909090912E-2</c:v>
                </c:pt>
                <c:pt idx="2">
                  <c:v>0.22222222222222221</c:v>
                </c:pt>
                <c:pt idx="3">
                  <c:v>0.17241379310344829</c:v>
                </c:pt>
                <c:pt idx="4">
                  <c:v>0.25</c:v>
                </c:pt>
                <c:pt idx="5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823899371069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ほたに2!$H$3:$H$8</c:f>
              <c:numCache>
                <c:formatCode>0.0%</c:formatCode>
                <c:ptCount val="6"/>
                <c:pt idx="1">
                  <c:v>0.27272727272727271</c:v>
                </c:pt>
                <c:pt idx="2">
                  <c:v>0.16666666666666666</c:v>
                </c:pt>
                <c:pt idx="3">
                  <c:v>0.20689655172413793</c:v>
                </c:pt>
                <c:pt idx="4">
                  <c:v>0.17499999999999999</c:v>
                </c:pt>
                <c:pt idx="5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23270440251572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ほたに2!$I$3:$I$8</c:f>
              <c:numCache>
                <c:formatCode>0</c:formatCode>
                <c:ptCount val="6"/>
                <c:pt idx="1">
                  <c:v>12000</c:v>
                </c:pt>
                <c:pt idx="2">
                  <c:v>9450</c:v>
                </c:pt>
                <c:pt idx="3">
                  <c:v>9960</c:v>
                </c:pt>
                <c:pt idx="4">
                  <c:v>7780</c:v>
                </c:pt>
                <c:pt idx="5">
                  <c:v>7914.2857142857147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44.18103448275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ほたに2!$J$3:$J$8</c:f>
              <c:numCache>
                <c:formatCode>0</c:formatCode>
                <c:ptCount val="6"/>
                <c:pt idx="1">
                  <c:v>-9333.3333333333339</c:v>
                </c:pt>
                <c:pt idx="2">
                  <c:v>-9333.3333333333339</c:v>
                </c:pt>
                <c:pt idx="3">
                  <c:v>-9333.3333333333339</c:v>
                </c:pt>
                <c:pt idx="4">
                  <c:v>-9142.8571428571431</c:v>
                </c:pt>
                <c:pt idx="5">
                  <c:v>-8962.5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44.89051094890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ほたに2!$K$3:$K$8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ほたに2!$L$3:$L$8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ほたに2!$M$3:$M$8</c:f>
              <c:numCache>
                <c:formatCode>0.0%</c:formatCode>
                <c:ptCount val="6"/>
                <c:pt idx="1">
                  <c:v>0.27272727272727271</c:v>
                </c:pt>
                <c:pt idx="2">
                  <c:v>0.27777777777777779</c:v>
                </c:pt>
                <c:pt idx="3">
                  <c:v>0.27586206896551724</c:v>
                </c:pt>
                <c:pt idx="4">
                  <c:v>0.27500000000000002</c:v>
                </c:pt>
                <c:pt idx="5">
                  <c:v>0.27083333333333331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7106918238993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ほたに2!$N$3:$N$8</c:f>
              <c:numCache>
                <c:formatCode>0.0%</c:formatCode>
                <c:ptCount val="6"/>
                <c:pt idx="1">
                  <c:v>0.36363636363636365</c:v>
                </c:pt>
                <c:pt idx="2">
                  <c:v>0.33333333333333331</c:v>
                </c:pt>
                <c:pt idx="3">
                  <c:v>0.34482758620689657</c:v>
                </c:pt>
                <c:pt idx="4">
                  <c:v>0.35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943396226415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ほたに2!$O$3:$O$8</c:f>
              <c:numCache>
                <c:formatCode>0.0%</c:formatCode>
                <c:ptCount val="6"/>
                <c:pt idx="1">
                  <c:v>0.33333333333333331</c:v>
                </c:pt>
                <c:pt idx="2">
                  <c:v>0.4</c:v>
                </c:pt>
                <c:pt idx="3">
                  <c:v>0.375</c:v>
                </c:pt>
                <c:pt idx="4">
                  <c:v>0.45454545454545453</c:v>
                </c:pt>
                <c:pt idx="5">
                  <c:v>0.53846153846153844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1724137931034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ほたに2!$P$3:$P$8</c:f>
              <c:numCache>
                <c:formatCode>0.0%</c:formatCode>
                <c:ptCount val="6"/>
                <c:pt idx="1">
                  <c:v>0</c:v>
                </c:pt>
                <c:pt idx="2">
                  <c:v>0.33333333333333331</c:v>
                </c:pt>
                <c:pt idx="3">
                  <c:v>0.2</c:v>
                </c:pt>
                <c:pt idx="4">
                  <c:v>0.2857142857142857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6065162907268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ほたに2!$Q$3:$Q$8</c:f>
              <c:numCache>
                <c:formatCode>0.0%</c:formatCode>
                <c:ptCount val="6"/>
                <c:pt idx="1">
                  <c:v>1</c:v>
                </c:pt>
                <c:pt idx="2">
                  <c:v>0.5</c:v>
                </c:pt>
                <c:pt idx="3">
                  <c:v>0.6</c:v>
                </c:pt>
                <c:pt idx="4">
                  <c:v>0.4</c:v>
                </c:pt>
                <c:pt idx="5">
                  <c:v>0.35714285714285715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7327586206896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BC9E721-E30D-4396-BC9C-C1AAB4DC5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C2FB7E-8E8F-4513-8A74-09D779BB0C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08B2014-A955-4C89-AF9B-70A3B34AA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6CE8A9-688B-4C8C-AB56-E44912F2A6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E17DF50-23A0-475A-B9E1-EAA4DE07D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11EF5B-5F96-4A39-8FF3-B0F23B30DA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563A18C-0947-403F-9D77-92DF8D3E5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B565E3-CCB6-4EBE-BF14-31071A40F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844AE7A-90C5-4782-8481-B84B093D13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4FBE81-B5B6-41E6-A4FB-C884FB1641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8823A99-3650-456D-B555-890A0DCD77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5B45AAF-29ED-4FB0-97B0-A135543D0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7D90327-A5F3-4E58-B084-D42DDC53C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9F290F6-F29A-4EF3-B506-CF84BDD33C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96CF595-C4DE-40A0-AEB9-5FC179D69E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5C9529F-211F-4C9F-82DA-0B46669ED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F34C70-E445-4F20-8019-264A3D763C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723CB34-E606-4847-8296-985BFBE06E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11B121-0D6C-4F73-8A6D-90DA8E53AA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A3E015B-142F-476E-AA82-534A99381D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43735.624351851853</v>
      </c>
      <c r="C3" s="30" t="s">
        <v>129</v>
      </c>
    </row>
    <row r="4" spans="1:12" x14ac:dyDescent="0.4">
      <c r="A4" s="30" t="s">
        <v>181</v>
      </c>
      <c r="B4" s="31">
        <v>43735.624351851853</v>
      </c>
      <c r="C4" s="30" t="s">
        <v>129</v>
      </c>
    </row>
    <row r="5" spans="1:12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43739.000706018516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198</v>
      </c>
      <c r="B8" s="31">
        <v>43741.94121527778</v>
      </c>
      <c r="C8" s="30" t="s">
        <v>129</v>
      </c>
    </row>
    <row r="9" spans="1:12" x14ac:dyDescent="0.4">
      <c r="A9" s="30" t="s">
        <v>195</v>
      </c>
      <c r="B9" s="31">
        <v>43739.660624999997</v>
      </c>
      <c r="C9" s="30" t="s">
        <v>130</v>
      </c>
      <c r="D9" s="30" t="s">
        <v>185</v>
      </c>
      <c r="E9" s="30" t="s">
        <v>129</v>
      </c>
    </row>
    <row r="10" spans="1:12" x14ac:dyDescent="0.4">
      <c r="A10" s="30" t="s">
        <v>197</v>
      </c>
      <c r="B10" s="31">
        <v>43740.021921296298</v>
      </c>
      <c r="C10" s="30" t="s">
        <v>129</v>
      </c>
      <c r="D10" s="30" t="s">
        <v>130</v>
      </c>
      <c r="E10" s="30" t="s">
        <v>185</v>
      </c>
      <c r="F10" s="30" t="s">
        <v>186</v>
      </c>
      <c r="G10" s="30" t="s">
        <v>187</v>
      </c>
      <c r="H10" s="30" t="s">
        <v>188</v>
      </c>
    </row>
    <row r="11" spans="1:12" x14ac:dyDescent="0.4">
      <c r="A11" s="30" t="s">
        <v>199</v>
      </c>
      <c r="B11" s="31">
        <v>43741.94121527778</v>
      </c>
      <c r="C11" s="30" t="s">
        <v>129</v>
      </c>
    </row>
    <row r="12" spans="1:12" x14ac:dyDescent="0.4">
      <c r="A12" s="30" t="s">
        <v>200</v>
      </c>
      <c r="B12" s="31">
        <v>43744.941354166665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202</v>
      </c>
      <c r="B13" s="31">
        <v>43744.941354166665</v>
      </c>
      <c r="C13" s="30" t="s">
        <v>129</v>
      </c>
      <c r="D13" s="30" t="s">
        <v>130</v>
      </c>
    </row>
    <row r="14" spans="1:12" x14ac:dyDescent="0.4">
      <c r="A14" s="30" t="s">
        <v>201</v>
      </c>
      <c r="B14" s="31">
        <v>43743.104375000003</v>
      </c>
      <c r="C14" s="30" t="s">
        <v>129</v>
      </c>
      <c r="D14" s="30" t="s">
        <v>130</v>
      </c>
      <c r="E14" s="30" t="s">
        <v>185</v>
      </c>
      <c r="F14" s="30" t="s">
        <v>186</v>
      </c>
    </row>
    <row r="15" spans="1:12" x14ac:dyDescent="0.4">
      <c r="A15" s="30" t="s">
        <v>203</v>
      </c>
      <c r="B15" s="31">
        <v>43744.941354166665</v>
      </c>
      <c r="C15" s="30" t="s">
        <v>129</v>
      </c>
      <c r="D15" s="30" t="s">
        <v>130</v>
      </c>
    </row>
    <row r="16" spans="1:12" x14ac:dyDescent="0.4">
      <c r="A16" s="30" t="s">
        <v>204</v>
      </c>
      <c r="B16" s="31">
        <v>43743.786203703705</v>
      </c>
      <c r="C16" s="30" t="s">
        <v>129</v>
      </c>
      <c r="D16" s="30" t="s">
        <v>130</v>
      </c>
      <c r="E16" s="30" t="s">
        <v>185</v>
      </c>
      <c r="F16" s="30" t="s">
        <v>186</v>
      </c>
    </row>
    <row r="17" spans="1:5" x14ac:dyDescent="0.4">
      <c r="A17" s="30" t="s">
        <v>205</v>
      </c>
      <c r="B17" s="31">
        <v>43745.016377314816</v>
      </c>
      <c r="C17" s="30" t="s">
        <v>129</v>
      </c>
      <c r="D17" s="30" t="s">
        <v>130</v>
      </c>
    </row>
    <row r="18" spans="1:5" x14ac:dyDescent="0.4">
      <c r="A18" s="30" t="s">
        <v>206</v>
      </c>
      <c r="B18" s="31">
        <v>43745.531828703701</v>
      </c>
      <c r="C18" s="30" t="s">
        <v>129</v>
      </c>
    </row>
    <row r="19" spans="1:5" x14ac:dyDescent="0.4">
      <c r="A19" s="30" t="s">
        <v>207</v>
      </c>
      <c r="B19" s="31">
        <v>43748.019456018519</v>
      </c>
      <c r="C19" s="30" t="s">
        <v>129</v>
      </c>
    </row>
    <row r="20" spans="1:5" x14ac:dyDescent="0.4">
      <c r="A20" s="30" t="s">
        <v>208</v>
      </c>
      <c r="B20" s="31">
        <v>43747.02511574074</v>
      </c>
      <c r="C20" s="30" t="s">
        <v>129</v>
      </c>
      <c r="D20" s="30" t="s">
        <v>130</v>
      </c>
    </row>
    <row r="21" spans="1:5" x14ac:dyDescent="0.4">
      <c r="A21" s="30" t="s">
        <v>209</v>
      </c>
      <c r="B21" s="31">
        <v>43747.024814814817</v>
      </c>
      <c r="C21" s="30" t="s">
        <v>129</v>
      </c>
    </row>
    <row r="22" spans="1:5" x14ac:dyDescent="0.4">
      <c r="A22" s="30" t="s">
        <v>210</v>
      </c>
      <c r="B22" s="31">
        <v>43748.018101851849</v>
      </c>
      <c r="C22" s="30" t="s">
        <v>129</v>
      </c>
      <c r="D22" s="30" t="s">
        <v>130</v>
      </c>
      <c r="E22" s="30" t="s">
        <v>185</v>
      </c>
    </row>
    <row r="23" spans="1:5" x14ac:dyDescent="0.4">
      <c r="A23" s="30" t="s">
        <v>211</v>
      </c>
      <c r="B23" s="31">
        <v>43748.019456018519</v>
      </c>
      <c r="C23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180</v>
      </c>
    </row>
    <row r="2" spans="1:2" x14ac:dyDescent="0.4">
      <c r="A2" t="s">
        <v>167</v>
      </c>
      <c r="B2">
        <v>19</v>
      </c>
    </row>
    <row r="3" spans="1:2" x14ac:dyDescent="0.4">
      <c r="A3" t="s">
        <v>127</v>
      </c>
      <c r="B3">
        <v>39</v>
      </c>
    </row>
    <row r="4" spans="1:2" x14ac:dyDescent="0.4">
      <c r="A4" t="s">
        <v>128</v>
      </c>
      <c r="B4">
        <v>40</v>
      </c>
    </row>
    <row r="5" spans="1:2" x14ac:dyDescent="0.4">
      <c r="A5" t="s">
        <v>180</v>
      </c>
      <c r="B5">
        <v>22</v>
      </c>
    </row>
    <row r="6" spans="1:2" x14ac:dyDescent="0.4">
      <c r="A6" t="s">
        <v>178</v>
      </c>
      <c r="B6">
        <v>15</v>
      </c>
    </row>
    <row r="7" spans="1:2" x14ac:dyDescent="0.4">
      <c r="A7" t="s">
        <v>179</v>
      </c>
      <c r="B7">
        <v>19</v>
      </c>
    </row>
    <row r="8" spans="1:2" x14ac:dyDescent="0.4">
      <c r="A8" t="s">
        <v>183</v>
      </c>
      <c r="B8">
        <v>10</v>
      </c>
    </row>
    <row r="9" spans="1:2" x14ac:dyDescent="0.4">
      <c r="A9" t="s">
        <v>182</v>
      </c>
      <c r="B9">
        <v>11</v>
      </c>
    </row>
    <row r="10" spans="1:2" x14ac:dyDescent="0.4">
      <c r="A10" t="s">
        <v>196</v>
      </c>
      <c r="B10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15" zoomScaleNormal="115" workbookViewId="0">
      <selection activeCell="C5" sqref="C5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58">
        <v>0.98407068515973983</v>
      </c>
      <c r="G2" s="159"/>
      <c r="H2" s="158">
        <v>0.96225190772530245</v>
      </c>
      <c r="I2" s="159"/>
      <c r="J2" s="158">
        <v>0.97099682050675395</v>
      </c>
      <c r="K2" s="159"/>
      <c r="L2" s="158">
        <v>0.88209328703095169</v>
      </c>
      <c r="M2" s="159"/>
      <c r="N2" s="158">
        <v>0.80583438241157113</v>
      </c>
      <c r="O2" s="159"/>
      <c r="P2" s="158">
        <v>-0.19057467101266021</v>
      </c>
      <c r="Q2" s="159"/>
      <c r="R2" s="158">
        <v>0.62764106720950197</v>
      </c>
      <c r="S2" s="159"/>
      <c r="T2" s="158">
        <v>0.55705467575045853</v>
      </c>
      <c r="U2" s="159"/>
      <c r="V2" s="158">
        <v>0.20269702251301255</v>
      </c>
      <c r="W2" s="159"/>
      <c r="X2" s="158">
        <v>0.35119418038758388</v>
      </c>
      <c r="Y2" s="159"/>
      <c r="Z2" s="158">
        <v>-0.17403424189955108</v>
      </c>
      <c r="AA2" s="159"/>
      <c r="AB2" s="158">
        <v>0.46149384972025653</v>
      </c>
      <c r="AC2" s="159"/>
      <c r="AD2" s="158">
        <v>4.7973473393227668E-2</v>
      </c>
      <c r="AE2" s="159"/>
      <c r="AF2" s="158">
        <v>7.7835158649525754E-2</v>
      </c>
      <c r="AG2" s="159"/>
      <c r="AH2" s="158">
        <v>0.48103978819035842</v>
      </c>
      <c r="AI2" s="159"/>
    </row>
    <row r="3" spans="1:35" x14ac:dyDescent="0.4">
      <c r="A3" s="74">
        <v>1</v>
      </c>
      <c r="B3" s="75" t="s">
        <v>127</v>
      </c>
      <c r="C3" s="76">
        <v>365.39999999999986</v>
      </c>
      <c r="D3" s="77" t="s">
        <v>182</v>
      </c>
      <c r="E3" s="96">
        <v>11.463636363636365</v>
      </c>
      <c r="F3" s="77" t="s">
        <v>182</v>
      </c>
      <c r="G3" s="78">
        <v>1.7272727272727273</v>
      </c>
      <c r="H3" s="77" t="s">
        <v>196</v>
      </c>
      <c r="I3" s="79">
        <v>0.6</v>
      </c>
      <c r="J3" s="77" t="s">
        <v>182</v>
      </c>
      <c r="K3" s="79">
        <v>0.18181818181818182</v>
      </c>
      <c r="L3" s="77" t="s">
        <v>127</v>
      </c>
      <c r="M3" s="80">
        <v>0.33731343283582088</v>
      </c>
      <c r="N3" s="77" t="s">
        <v>182</v>
      </c>
      <c r="O3" s="80">
        <v>0.11650485436893204</v>
      </c>
      <c r="P3" s="77" t="s">
        <v>178</v>
      </c>
      <c r="Q3" s="81">
        <v>12474.074074074075</v>
      </c>
      <c r="R3" s="77" t="s">
        <v>182</v>
      </c>
      <c r="S3" s="81">
        <v>-6041.666666666667</v>
      </c>
      <c r="T3" s="77" t="s">
        <v>167</v>
      </c>
      <c r="U3" s="79">
        <v>0</v>
      </c>
      <c r="V3" s="77" t="s">
        <v>178</v>
      </c>
      <c r="W3" s="79">
        <v>0.26666666666666666</v>
      </c>
      <c r="X3" s="77" t="s">
        <v>182</v>
      </c>
      <c r="Y3" s="80">
        <v>0.29126213592233008</v>
      </c>
      <c r="Z3" s="77" t="s">
        <v>196</v>
      </c>
      <c r="AA3" s="80">
        <v>0.375</v>
      </c>
      <c r="AB3" s="77" t="s">
        <v>182</v>
      </c>
      <c r="AC3" s="80">
        <v>0.66666666666666663</v>
      </c>
      <c r="AD3" s="77" t="s">
        <v>127</v>
      </c>
      <c r="AE3" s="80">
        <v>0.53333333333333333</v>
      </c>
      <c r="AF3" s="77" t="s">
        <v>182</v>
      </c>
      <c r="AG3" s="80">
        <v>0.52941176470588236</v>
      </c>
      <c r="AH3" s="77" t="s">
        <v>182</v>
      </c>
      <c r="AI3" s="91">
        <v>95200</v>
      </c>
    </row>
    <row r="4" spans="1:35" x14ac:dyDescent="0.4">
      <c r="A4" s="82">
        <v>2</v>
      </c>
      <c r="B4" s="83" t="s">
        <v>182</v>
      </c>
      <c r="C4" s="84">
        <v>126.10000000000001</v>
      </c>
      <c r="D4" s="85" t="s">
        <v>127</v>
      </c>
      <c r="E4" s="97">
        <v>9.3692307692307661</v>
      </c>
      <c r="F4" s="85" t="s">
        <v>127</v>
      </c>
      <c r="G4" s="86">
        <v>1.7435897435897436</v>
      </c>
      <c r="H4" s="85" t="s">
        <v>127</v>
      </c>
      <c r="I4" s="87">
        <v>0.51282051282051277</v>
      </c>
      <c r="J4" s="85" t="s">
        <v>127</v>
      </c>
      <c r="K4" s="87">
        <v>0.25641025641025639</v>
      </c>
      <c r="L4" s="85" t="s">
        <v>182</v>
      </c>
      <c r="M4" s="88">
        <v>0.3300970873786408</v>
      </c>
      <c r="N4" s="85" t="s">
        <v>127</v>
      </c>
      <c r="O4" s="88">
        <v>0.13432835820895522</v>
      </c>
      <c r="P4" s="85" t="s">
        <v>128</v>
      </c>
      <c r="Q4" s="89">
        <v>8645.0450450450444</v>
      </c>
      <c r="R4" s="85" t="s">
        <v>167</v>
      </c>
      <c r="S4" s="89">
        <v>-6670</v>
      </c>
      <c r="T4" s="85" t="s">
        <v>182</v>
      </c>
      <c r="U4" s="87">
        <v>0</v>
      </c>
      <c r="V4" s="85" t="s">
        <v>196</v>
      </c>
      <c r="W4" s="87">
        <v>0.2</v>
      </c>
      <c r="X4" s="85" t="s">
        <v>196</v>
      </c>
      <c r="Y4" s="88">
        <v>0.27083333333333331</v>
      </c>
      <c r="Z4" s="85" t="s">
        <v>128</v>
      </c>
      <c r="AA4" s="88">
        <v>0.3342696629213483</v>
      </c>
      <c r="AB4" s="85" t="s">
        <v>180</v>
      </c>
      <c r="AC4" s="88">
        <v>0.625</v>
      </c>
      <c r="AD4" s="85" t="s">
        <v>179</v>
      </c>
      <c r="AE4" s="88">
        <v>0.5</v>
      </c>
      <c r="AF4" s="85" t="s">
        <v>183</v>
      </c>
      <c r="AG4" s="88">
        <v>0.52631578947368418</v>
      </c>
      <c r="AH4" s="85" t="s">
        <v>144</v>
      </c>
      <c r="AI4" s="92">
        <v>95200</v>
      </c>
    </row>
    <row r="5" spans="1:35" x14ac:dyDescent="0.4">
      <c r="A5" s="82">
        <v>3</v>
      </c>
      <c r="B5" s="83" t="s">
        <v>128</v>
      </c>
      <c r="C5" s="84">
        <v>109.59999999999992</v>
      </c>
      <c r="D5" s="85" t="s">
        <v>128</v>
      </c>
      <c r="E5" s="97">
        <v>2.739999999999998</v>
      </c>
      <c r="F5" s="85" t="s">
        <v>196</v>
      </c>
      <c r="G5" s="86">
        <v>1.8</v>
      </c>
      <c r="H5" s="85" t="s">
        <v>182</v>
      </c>
      <c r="I5" s="87">
        <v>0.45454545454545453</v>
      </c>
      <c r="J5" s="85" t="s">
        <v>128</v>
      </c>
      <c r="K5" s="87">
        <v>0.27500000000000002</v>
      </c>
      <c r="L5" s="85" t="s">
        <v>128</v>
      </c>
      <c r="M5" s="88">
        <v>0.31179775280898875</v>
      </c>
      <c r="N5" s="85" t="s">
        <v>179</v>
      </c>
      <c r="O5" s="88">
        <v>0.13636363636363635</v>
      </c>
      <c r="P5" s="85" t="s">
        <v>183</v>
      </c>
      <c r="Q5" s="89">
        <v>8273.6842105263149</v>
      </c>
      <c r="R5" s="85" t="s">
        <v>179</v>
      </c>
      <c r="S5" s="89">
        <v>-7095.833333333333</v>
      </c>
      <c r="T5" s="85" t="s">
        <v>127</v>
      </c>
      <c r="U5" s="87">
        <v>5.128205128205128E-2</v>
      </c>
      <c r="V5" s="85" t="s">
        <v>182</v>
      </c>
      <c r="W5" s="87">
        <v>0.18181818181818182</v>
      </c>
      <c r="X5" s="85" t="s">
        <v>179</v>
      </c>
      <c r="Y5" s="88">
        <v>0.25568181818181818</v>
      </c>
      <c r="Z5" s="85" t="s">
        <v>179</v>
      </c>
      <c r="AA5" s="88">
        <v>0.26136363636363635</v>
      </c>
      <c r="AB5" s="85" t="s">
        <v>127</v>
      </c>
      <c r="AC5" s="88">
        <v>0.6097560975609756</v>
      </c>
      <c r="AD5" s="85" t="s">
        <v>178</v>
      </c>
      <c r="AE5" s="88">
        <v>0.44827586206896552</v>
      </c>
      <c r="AF5" s="85" t="s">
        <v>167</v>
      </c>
      <c r="AG5" s="88">
        <v>0.51219512195121952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-4.2632564145606011E-14</v>
      </c>
      <c r="D6" s="85" t="s">
        <v>144</v>
      </c>
      <c r="E6" s="97">
        <v>-2.3684757858670006E-16</v>
      </c>
      <c r="F6" s="85" t="s">
        <v>128</v>
      </c>
      <c r="G6" s="86">
        <v>1.95</v>
      </c>
      <c r="H6" s="85" t="s">
        <v>144</v>
      </c>
      <c r="I6" s="87">
        <v>0.33333333333333331</v>
      </c>
      <c r="J6" s="85" t="s">
        <v>144</v>
      </c>
      <c r="K6" s="87">
        <v>0.33333333333333331</v>
      </c>
      <c r="L6" s="85" t="s">
        <v>144</v>
      </c>
      <c r="M6" s="88">
        <v>0.29182389937106917</v>
      </c>
      <c r="N6" s="85" t="s">
        <v>196</v>
      </c>
      <c r="O6" s="88">
        <v>0.16666666666666666</v>
      </c>
      <c r="P6" s="85" t="s">
        <v>144</v>
      </c>
      <c r="Q6" s="89">
        <v>8244.1810344827591</v>
      </c>
      <c r="R6" s="85" t="s">
        <v>127</v>
      </c>
      <c r="S6" s="89">
        <v>-7595.5555555555557</v>
      </c>
      <c r="T6" s="85" t="s">
        <v>180</v>
      </c>
      <c r="U6" s="87">
        <v>9.0909090909090912E-2</v>
      </c>
      <c r="V6" s="85" t="s">
        <v>128</v>
      </c>
      <c r="W6" s="87">
        <v>0.15</v>
      </c>
      <c r="X6" s="85" t="s">
        <v>183</v>
      </c>
      <c r="Y6" s="88">
        <v>0.25301204819277107</v>
      </c>
      <c r="Z6" s="85" t="s">
        <v>144</v>
      </c>
      <c r="AA6" s="88">
        <v>0.25094339622641509</v>
      </c>
      <c r="AB6" s="85" t="s">
        <v>128</v>
      </c>
      <c r="AC6" s="88">
        <v>0.55844155844155841</v>
      </c>
      <c r="AD6" s="85" t="s">
        <v>180</v>
      </c>
      <c r="AE6" s="88">
        <v>0.4358974358974359</v>
      </c>
      <c r="AF6" s="85" t="s">
        <v>127</v>
      </c>
      <c r="AG6" s="88">
        <v>0.4247787610619469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196</v>
      </c>
      <c r="C7" s="84">
        <v>-12.100000000000005</v>
      </c>
      <c r="D7" s="85" t="s">
        <v>196</v>
      </c>
      <c r="E7" s="97">
        <v>-2.4200000000000008</v>
      </c>
      <c r="F7" s="85" t="s">
        <v>144</v>
      </c>
      <c r="G7" s="86">
        <v>2</v>
      </c>
      <c r="H7" s="85" t="s">
        <v>128</v>
      </c>
      <c r="I7" s="87">
        <v>0.32500000000000001</v>
      </c>
      <c r="J7" s="85" t="s">
        <v>167</v>
      </c>
      <c r="K7" s="87">
        <v>0.36842105263157893</v>
      </c>
      <c r="L7" s="85" t="s">
        <v>196</v>
      </c>
      <c r="M7" s="88">
        <v>0.29166666666666669</v>
      </c>
      <c r="N7" s="85" t="s">
        <v>144</v>
      </c>
      <c r="O7" s="88">
        <v>0.17232704402515722</v>
      </c>
      <c r="P7" s="85" t="s">
        <v>127</v>
      </c>
      <c r="Q7" s="89">
        <v>7968.141592920354</v>
      </c>
      <c r="R7" s="85" t="s">
        <v>128</v>
      </c>
      <c r="S7" s="89">
        <v>-7635.211267605634</v>
      </c>
      <c r="T7" s="85" t="s">
        <v>144</v>
      </c>
      <c r="U7" s="87">
        <v>0.11666666666666667</v>
      </c>
      <c r="V7" s="85" t="s">
        <v>144</v>
      </c>
      <c r="W7" s="87">
        <v>0.11666666666666667</v>
      </c>
      <c r="X7" s="85" t="s">
        <v>180</v>
      </c>
      <c r="Y7" s="88">
        <v>0.24615384615384617</v>
      </c>
      <c r="Z7" s="85" t="s">
        <v>178</v>
      </c>
      <c r="AA7" s="88">
        <v>0.23770491803278687</v>
      </c>
      <c r="AB7" s="85" t="s">
        <v>144</v>
      </c>
      <c r="AC7" s="88">
        <v>0.55172413793103448</v>
      </c>
      <c r="AD7" s="85" t="s">
        <v>144</v>
      </c>
      <c r="AE7" s="88">
        <v>0.42606516290726815</v>
      </c>
      <c r="AF7" s="85" t="s">
        <v>144</v>
      </c>
      <c r="AG7" s="88">
        <v>0.40732758620689657</v>
      </c>
      <c r="AH7" s="85" t="s">
        <v>183</v>
      </c>
      <c r="AI7" s="92">
        <v>85100</v>
      </c>
    </row>
    <row r="8" spans="1:35" x14ac:dyDescent="0.4">
      <c r="A8" s="82">
        <v>6</v>
      </c>
      <c r="B8" s="83" t="s">
        <v>179</v>
      </c>
      <c r="C8" s="84">
        <v>-56.399999999999991</v>
      </c>
      <c r="D8" s="85" t="s">
        <v>179</v>
      </c>
      <c r="E8" s="97">
        <v>-2.9684210526315784</v>
      </c>
      <c r="F8" s="85" t="s">
        <v>167</v>
      </c>
      <c r="G8" s="86">
        <v>2.1052631578947367</v>
      </c>
      <c r="H8" s="85" t="s">
        <v>178</v>
      </c>
      <c r="I8" s="87">
        <v>0.26666666666666666</v>
      </c>
      <c r="J8" s="85" t="s">
        <v>179</v>
      </c>
      <c r="K8" s="87">
        <v>0.36842105263157893</v>
      </c>
      <c r="L8" s="85" t="s">
        <v>180</v>
      </c>
      <c r="M8" s="88">
        <v>0.28717948717948716</v>
      </c>
      <c r="N8" s="85" t="s">
        <v>167</v>
      </c>
      <c r="O8" s="88">
        <v>0.1744186046511628</v>
      </c>
      <c r="P8" s="85" t="s">
        <v>196</v>
      </c>
      <c r="Q8" s="89">
        <v>7914.2857142857147</v>
      </c>
      <c r="R8" s="85" t="s">
        <v>144</v>
      </c>
      <c r="S8" s="89">
        <v>-7844.8905109489051</v>
      </c>
      <c r="T8" s="85" t="s">
        <v>128</v>
      </c>
      <c r="U8" s="87">
        <v>0.15</v>
      </c>
      <c r="V8" s="85" t="s">
        <v>127</v>
      </c>
      <c r="W8" s="87">
        <v>0.10256410256410256</v>
      </c>
      <c r="X8" s="85" t="s">
        <v>127</v>
      </c>
      <c r="Y8" s="88">
        <v>0.24477611940298508</v>
      </c>
      <c r="Z8" s="85" t="s">
        <v>183</v>
      </c>
      <c r="AA8" s="88">
        <v>0.2289156626506024</v>
      </c>
      <c r="AB8" s="85" t="s">
        <v>167</v>
      </c>
      <c r="AC8" s="88">
        <v>0.54545454545454541</v>
      </c>
      <c r="AD8" s="85" t="s">
        <v>183</v>
      </c>
      <c r="AE8" s="88">
        <v>0.42105263157894735</v>
      </c>
      <c r="AF8" s="85" t="s">
        <v>179</v>
      </c>
      <c r="AG8" s="88">
        <v>0.38775510204081631</v>
      </c>
      <c r="AH8" s="85" t="s">
        <v>178</v>
      </c>
      <c r="AI8" s="92">
        <v>83000</v>
      </c>
    </row>
    <row r="9" spans="1:35" x14ac:dyDescent="0.4">
      <c r="A9" s="82">
        <v>7</v>
      </c>
      <c r="B9" s="83" t="s">
        <v>178</v>
      </c>
      <c r="C9" s="84">
        <v>-101.79999999999997</v>
      </c>
      <c r="D9" s="85" t="s">
        <v>167</v>
      </c>
      <c r="E9" s="97">
        <v>-6.0578947368421048</v>
      </c>
      <c r="F9" s="85" t="s">
        <v>179</v>
      </c>
      <c r="G9" s="86">
        <v>2.1052631578947367</v>
      </c>
      <c r="H9" s="85" t="s">
        <v>167</v>
      </c>
      <c r="I9" s="87">
        <v>0.26315789473684209</v>
      </c>
      <c r="J9" s="85" t="s">
        <v>178</v>
      </c>
      <c r="K9" s="87">
        <v>0.4</v>
      </c>
      <c r="L9" s="85" t="s">
        <v>179</v>
      </c>
      <c r="M9" s="88">
        <v>0.27840909090909088</v>
      </c>
      <c r="N9" s="85" t="s">
        <v>178</v>
      </c>
      <c r="O9" s="88">
        <v>0.19672131147540983</v>
      </c>
      <c r="P9" s="85" t="s">
        <v>182</v>
      </c>
      <c r="Q9" s="89">
        <v>7779.411764705882</v>
      </c>
      <c r="R9" s="85" t="s">
        <v>180</v>
      </c>
      <c r="S9" s="89">
        <v>-7934.1463414634145</v>
      </c>
      <c r="T9" s="85" t="s">
        <v>179</v>
      </c>
      <c r="U9" s="87">
        <v>0.15789473684210525</v>
      </c>
      <c r="V9" s="85" t="s">
        <v>183</v>
      </c>
      <c r="W9" s="87">
        <v>0.1</v>
      </c>
      <c r="X9" s="85" t="s">
        <v>144</v>
      </c>
      <c r="Y9" s="88">
        <v>0.23710691823899371</v>
      </c>
      <c r="Z9" s="85" t="s">
        <v>167</v>
      </c>
      <c r="AA9" s="88">
        <v>0.22674418604651161</v>
      </c>
      <c r="AB9" s="85" t="s">
        <v>196</v>
      </c>
      <c r="AC9" s="88">
        <v>0.53846153846153844</v>
      </c>
      <c r="AD9" s="85" t="s">
        <v>128</v>
      </c>
      <c r="AE9" s="88">
        <v>0.3949579831932773</v>
      </c>
      <c r="AF9" s="85" t="s">
        <v>128</v>
      </c>
      <c r="AG9" s="88">
        <v>0.36036036036036034</v>
      </c>
      <c r="AH9" s="85" t="s">
        <v>179</v>
      </c>
      <c r="AI9" s="92">
        <v>75000</v>
      </c>
    </row>
    <row r="10" spans="1:35" x14ac:dyDescent="0.4">
      <c r="A10" s="82">
        <v>8</v>
      </c>
      <c r="B10" s="83" t="s">
        <v>167</v>
      </c>
      <c r="C10" s="84">
        <v>-115.1</v>
      </c>
      <c r="D10" s="85" t="s">
        <v>178</v>
      </c>
      <c r="E10" s="97">
        <v>-6.7866666666666644</v>
      </c>
      <c r="F10" s="85" t="s">
        <v>178</v>
      </c>
      <c r="G10" s="86">
        <v>2.1333333333333333</v>
      </c>
      <c r="H10" s="85" t="s">
        <v>179</v>
      </c>
      <c r="I10" s="87">
        <v>0.26315789473684209</v>
      </c>
      <c r="J10" s="85" t="s">
        <v>196</v>
      </c>
      <c r="K10" s="87">
        <v>0.4</v>
      </c>
      <c r="L10" s="85" t="s">
        <v>167</v>
      </c>
      <c r="M10" s="88">
        <v>0.23837209302325582</v>
      </c>
      <c r="N10" s="85" t="s">
        <v>128</v>
      </c>
      <c r="O10" s="88">
        <v>0.199438202247191</v>
      </c>
      <c r="P10" s="85" t="s">
        <v>180</v>
      </c>
      <c r="Q10" s="89">
        <v>7778.5714285714284</v>
      </c>
      <c r="R10" s="85" t="s">
        <v>196</v>
      </c>
      <c r="S10" s="89">
        <v>-8962.5</v>
      </c>
      <c r="T10" s="85" t="s">
        <v>183</v>
      </c>
      <c r="U10" s="87">
        <v>0.2</v>
      </c>
      <c r="V10" s="85" t="s">
        <v>180</v>
      </c>
      <c r="W10" s="87">
        <v>9.0909090909090912E-2</v>
      </c>
      <c r="X10" s="85" t="s">
        <v>178</v>
      </c>
      <c r="Y10" s="88">
        <v>0.22950819672131148</v>
      </c>
      <c r="Z10" s="85" t="s">
        <v>127</v>
      </c>
      <c r="AA10" s="88">
        <v>0.22388059701492538</v>
      </c>
      <c r="AB10" s="85" t="s">
        <v>183</v>
      </c>
      <c r="AC10" s="88">
        <v>0.52380952380952384</v>
      </c>
      <c r="AD10" s="85" t="s">
        <v>182</v>
      </c>
      <c r="AE10" s="88">
        <v>0.33333333333333331</v>
      </c>
      <c r="AF10" s="85" t="s">
        <v>180</v>
      </c>
      <c r="AG10" s="88">
        <v>0.35714285714285715</v>
      </c>
      <c r="AH10" s="85" t="s">
        <v>180</v>
      </c>
      <c r="AI10" s="92">
        <v>69300</v>
      </c>
    </row>
    <row r="11" spans="1:35" x14ac:dyDescent="0.4">
      <c r="A11" s="82">
        <v>9</v>
      </c>
      <c r="B11" s="83" t="s">
        <v>183</v>
      </c>
      <c r="C11" s="84">
        <v>-151.1</v>
      </c>
      <c r="D11" s="85" t="s">
        <v>180</v>
      </c>
      <c r="E11" s="97">
        <v>-7.4818181818181833</v>
      </c>
      <c r="F11" s="85" t="s">
        <v>180</v>
      </c>
      <c r="G11" s="86">
        <v>2.2727272727272729</v>
      </c>
      <c r="H11" s="85" t="s">
        <v>180</v>
      </c>
      <c r="I11" s="87">
        <v>0.18181818181818182</v>
      </c>
      <c r="J11" s="85" t="s">
        <v>180</v>
      </c>
      <c r="K11" s="87">
        <v>0.45454545454545453</v>
      </c>
      <c r="L11" s="85" t="s">
        <v>183</v>
      </c>
      <c r="M11" s="88">
        <v>0.2289156626506024</v>
      </c>
      <c r="N11" s="85" t="s">
        <v>180</v>
      </c>
      <c r="O11" s="88">
        <v>0.21025641025641026</v>
      </c>
      <c r="P11" s="85" t="s">
        <v>179</v>
      </c>
      <c r="Q11" s="89">
        <v>7540.8163265306121</v>
      </c>
      <c r="R11" s="85" t="s">
        <v>183</v>
      </c>
      <c r="S11" s="89">
        <v>-9452.6315789473683</v>
      </c>
      <c r="T11" s="85" t="s">
        <v>178</v>
      </c>
      <c r="U11" s="87">
        <v>0.26666666666666666</v>
      </c>
      <c r="V11" s="85" t="s">
        <v>179</v>
      </c>
      <c r="W11" s="87">
        <v>5.2631578947368418E-2</v>
      </c>
      <c r="X11" s="85" t="s">
        <v>128</v>
      </c>
      <c r="Y11" s="88">
        <v>0.21629213483146068</v>
      </c>
      <c r="Z11" s="85" t="s">
        <v>180</v>
      </c>
      <c r="AA11" s="88">
        <v>0.2</v>
      </c>
      <c r="AB11" s="85" t="s">
        <v>179</v>
      </c>
      <c r="AC11" s="88">
        <v>0.48888888888888887</v>
      </c>
      <c r="AD11" s="85" t="s">
        <v>196</v>
      </c>
      <c r="AE11" s="88">
        <v>0.33333333333333331</v>
      </c>
      <c r="AF11" s="85" t="s">
        <v>196</v>
      </c>
      <c r="AG11" s="88">
        <v>0.35714285714285715</v>
      </c>
      <c r="AH11" s="85" t="s">
        <v>196</v>
      </c>
      <c r="AI11" s="92">
        <v>59500</v>
      </c>
    </row>
    <row r="12" spans="1:35" x14ac:dyDescent="0.4">
      <c r="A12" s="82">
        <v>10</v>
      </c>
      <c r="B12" s="83" t="s">
        <v>180</v>
      </c>
      <c r="C12" s="84">
        <v>-164.60000000000002</v>
      </c>
      <c r="D12" s="85" t="s">
        <v>183</v>
      </c>
      <c r="E12" s="97">
        <v>-15.11</v>
      </c>
      <c r="F12" s="85" t="s">
        <v>183</v>
      </c>
      <c r="G12" s="86">
        <v>2.4</v>
      </c>
      <c r="H12" s="85" t="s">
        <v>183</v>
      </c>
      <c r="I12" s="87">
        <v>0.1</v>
      </c>
      <c r="J12" s="85" t="s">
        <v>183</v>
      </c>
      <c r="K12" s="87">
        <v>0.5</v>
      </c>
      <c r="L12" s="85" t="s">
        <v>178</v>
      </c>
      <c r="M12" s="88">
        <v>0.22131147540983606</v>
      </c>
      <c r="N12" s="85" t="s">
        <v>183</v>
      </c>
      <c r="O12" s="88">
        <v>0.2289156626506024</v>
      </c>
      <c r="P12" s="85" t="s">
        <v>167</v>
      </c>
      <c r="Q12" s="89">
        <v>7095.1219512195121</v>
      </c>
      <c r="R12" s="85" t="s">
        <v>178</v>
      </c>
      <c r="S12" s="89">
        <v>-10254.166666666666</v>
      </c>
      <c r="T12" s="85" t="s">
        <v>196</v>
      </c>
      <c r="U12" s="87">
        <v>0.4</v>
      </c>
      <c r="V12" s="85" t="s">
        <v>167</v>
      </c>
      <c r="W12" s="87">
        <v>0</v>
      </c>
      <c r="X12" s="85" t="s">
        <v>167</v>
      </c>
      <c r="Y12" s="88">
        <v>0.19186046511627908</v>
      </c>
      <c r="Z12" s="85" t="s">
        <v>182</v>
      </c>
      <c r="AA12" s="88">
        <v>0.14563106796116504</v>
      </c>
      <c r="AB12" s="85" t="s">
        <v>178</v>
      </c>
      <c r="AC12" s="88">
        <v>0.25</v>
      </c>
      <c r="AD12" s="85" t="s">
        <v>167</v>
      </c>
      <c r="AE12" s="88">
        <v>0.28205128205128205</v>
      </c>
      <c r="AF12" s="85" t="s">
        <v>178</v>
      </c>
      <c r="AG12" s="88">
        <v>0.29629629629629628</v>
      </c>
      <c r="AH12" s="85" t="s">
        <v>167</v>
      </c>
      <c r="AI12" s="92">
        <v>51800</v>
      </c>
    </row>
  </sheetData>
  <sortState xmlns:xlrd2="http://schemas.microsoft.com/office/spreadsheetml/2017/richdata2" ref="AH3:AI3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E5444-540C-4096-B142-38C5B32E8541}">
  <sheetPr codeName="Sheet4"/>
  <dimension ref="A1:Q18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144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180</v>
      </c>
      <c r="C2" s="151"/>
      <c r="E2" s="62" t="s">
        <v>67</v>
      </c>
      <c r="F2" s="59" t="s">
        <v>23</v>
      </c>
      <c r="G2" s="46">
        <v>350</v>
      </c>
      <c r="H2" s="132">
        <f>IF(B$17=0,0,G2/B$17)</f>
        <v>0.75431034482758619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-22.598870056497177</v>
      </c>
      <c r="P2" s="118">
        <v>177</v>
      </c>
      <c r="Q2" s="102">
        <v>-4000</v>
      </c>
    </row>
    <row r="3" spans="1:17" x14ac:dyDescent="0.4">
      <c r="A3" s="55" t="s">
        <v>8</v>
      </c>
      <c r="B3" s="152">
        <v>1590</v>
      </c>
      <c r="C3" s="153"/>
      <c r="E3" s="63" t="s">
        <v>73</v>
      </c>
      <c r="F3" s="60" t="s">
        <v>28</v>
      </c>
      <c r="G3" s="47">
        <v>280</v>
      </c>
      <c r="H3" s="133">
        <f>IF(B$17=0,0,G3/B$17)</f>
        <v>0.60344827586206895</v>
      </c>
      <c r="I3" s="94">
        <v>5</v>
      </c>
      <c r="K3" s="38">
        <v>1</v>
      </c>
      <c r="L3" s="99">
        <v>-4.5999999999999996</v>
      </c>
      <c r="N3" s="115" t="s">
        <v>132</v>
      </c>
      <c r="O3" s="122">
        <f t="shared" si="0"/>
        <v>17.241379310344829</v>
      </c>
      <c r="P3" s="119">
        <v>174</v>
      </c>
      <c r="Q3" s="103">
        <v>3000</v>
      </c>
    </row>
    <row r="4" spans="1:17" x14ac:dyDescent="0.4">
      <c r="A4" s="55" t="s">
        <v>6</v>
      </c>
      <c r="B4" s="154">
        <v>-4.2632564145606011E-14</v>
      </c>
      <c r="C4" s="155"/>
      <c r="E4" s="63" t="s">
        <v>65</v>
      </c>
      <c r="F4" s="60" t="s">
        <v>21</v>
      </c>
      <c r="G4" s="47">
        <v>203</v>
      </c>
      <c r="H4" s="133">
        <f>IF(B$17=0,0,G4/B$17)</f>
        <v>0.4375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-35.087719298245617</v>
      </c>
      <c r="P4" s="119">
        <v>171</v>
      </c>
      <c r="Q4" s="103">
        <v>-6000</v>
      </c>
    </row>
    <row r="5" spans="1:17" x14ac:dyDescent="0.4">
      <c r="A5" s="55" t="s">
        <v>7</v>
      </c>
      <c r="B5" s="156">
        <f>IF(B$2=0,0,B$4/B$2)</f>
        <v>-2.3684757858670006E-16</v>
      </c>
      <c r="C5" s="157"/>
      <c r="E5" s="63" t="s">
        <v>172</v>
      </c>
      <c r="F5" s="60" t="s">
        <v>173</v>
      </c>
      <c r="G5" s="47">
        <v>169</v>
      </c>
      <c r="H5" s="133">
        <f>IF(B$17=0,0,G5/B$17)</f>
        <v>0.36422413793103448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31.446540880503143</v>
      </c>
      <c r="P5" s="119">
        <v>159</v>
      </c>
      <c r="Q5" s="103">
        <v>5000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130</v>
      </c>
      <c r="H6" s="133">
        <f>IF(B$17=0,0,G6/B$17)</f>
        <v>0.28017241379310343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13.888888888888889</v>
      </c>
      <c r="P6" s="119">
        <v>144</v>
      </c>
      <c r="Q6" s="103">
        <v>2000</v>
      </c>
    </row>
    <row r="7" spans="1:17" x14ac:dyDescent="0.4">
      <c r="A7" s="55" t="s">
        <v>2</v>
      </c>
      <c r="B7" s="47">
        <v>60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114</v>
      </c>
      <c r="H7" s="133">
        <f>IF(B$17=0,0,G7/B$17)</f>
        <v>0.24568965517241378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114</v>
      </c>
      <c r="Q7" s="104">
        <v>0</v>
      </c>
    </row>
    <row r="8" spans="1:17" x14ac:dyDescent="0.4">
      <c r="A8" s="55" t="s">
        <v>3</v>
      </c>
      <c r="B8" s="47">
        <v>60</v>
      </c>
      <c r="C8" s="39">
        <f t="shared" si="1"/>
        <v>0.33333333333333331</v>
      </c>
      <c r="E8" s="63" t="s">
        <v>90</v>
      </c>
      <c r="F8" s="60" t="s">
        <v>45</v>
      </c>
      <c r="G8" s="47">
        <v>62</v>
      </c>
      <c r="H8" s="133">
        <f>IF(B$17=0,0,G8/B$17)</f>
        <v>0.1336206896551724</v>
      </c>
      <c r="I8" s="94">
        <v>5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60</v>
      </c>
      <c r="C9" s="40">
        <f t="shared" si="1"/>
        <v>0.33333333333333331</v>
      </c>
      <c r="E9" s="63" t="s">
        <v>70</v>
      </c>
      <c r="F9" s="60" t="s">
        <v>25</v>
      </c>
      <c r="G9" s="47">
        <v>59</v>
      </c>
      <c r="H9" s="133">
        <f>IF(B$17=0,0,G9/B$17)</f>
        <v>0.12715517241379309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21</v>
      </c>
      <c r="C10" s="40">
        <f t="shared" si="1"/>
        <v>0.11666666666666667</v>
      </c>
      <c r="E10" s="63" t="s">
        <v>66</v>
      </c>
      <c r="F10" s="60" t="s">
        <v>22</v>
      </c>
      <c r="G10" s="47">
        <v>44</v>
      </c>
      <c r="H10" s="133">
        <f>IF(B$17=0,0,G10/B$17)</f>
        <v>9.4827586206896547E-2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3.2333333333333325</v>
      </c>
      <c r="P10" s="118">
        <v>60</v>
      </c>
      <c r="Q10" s="106">
        <v>193.99999999999994</v>
      </c>
    </row>
    <row r="11" spans="1:17" x14ac:dyDescent="0.4">
      <c r="A11" s="56" t="s">
        <v>139</v>
      </c>
      <c r="B11" s="48">
        <v>21</v>
      </c>
      <c r="C11" s="40">
        <f t="shared" si="1"/>
        <v>0.11666666666666667</v>
      </c>
      <c r="E11" s="63" t="s">
        <v>71</v>
      </c>
      <c r="F11" s="60" t="s">
        <v>26</v>
      </c>
      <c r="G11" s="47">
        <v>34</v>
      </c>
      <c r="H11" s="133">
        <f>IF(B$17=0,0,G11/B$17)</f>
        <v>7.3275862068965511E-2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-0.34833333333333311</v>
      </c>
      <c r="P11" s="119">
        <v>60</v>
      </c>
      <c r="Q11" s="107">
        <v>-20.899999999999988</v>
      </c>
    </row>
    <row r="12" spans="1:17" x14ac:dyDescent="0.4">
      <c r="A12" s="57" t="s">
        <v>159</v>
      </c>
      <c r="B12" s="49">
        <v>18</v>
      </c>
      <c r="C12" s="42">
        <f t="shared" si="1"/>
        <v>0.1</v>
      </c>
      <c r="E12" s="63" t="s">
        <v>72</v>
      </c>
      <c r="F12" s="60" t="s">
        <v>27</v>
      </c>
      <c r="G12" s="47">
        <v>30</v>
      </c>
      <c r="H12" s="133">
        <f>IF(B$17=0,0,G12/B$17)</f>
        <v>6.4655172413793108E-2</v>
      </c>
      <c r="I12" s="94">
        <v>5</v>
      </c>
      <c r="K12" s="38">
        <v>10</v>
      </c>
      <c r="L12" s="99">
        <v>-12</v>
      </c>
      <c r="N12" s="116" t="s">
        <v>165</v>
      </c>
      <c r="O12" s="126">
        <f>IF(P12=0,0,Q12/P12)</f>
        <v>-2.8849999999999989</v>
      </c>
      <c r="P12" s="120">
        <v>60</v>
      </c>
      <c r="Q12" s="108">
        <v>-173.09999999999994</v>
      </c>
    </row>
    <row r="13" spans="1:17" x14ac:dyDescent="0.4">
      <c r="A13" s="58" t="s">
        <v>122</v>
      </c>
      <c r="B13" s="50">
        <v>377</v>
      </c>
      <c r="C13" s="44">
        <f>IF(B$3=0,0,B13/B$3)</f>
        <v>0.23710691823899371</v>
      </c>
      <c r="E13" s="63" t="s">
        <v>84</v>
      </c>
      <c r="F13" s="60" t="s">
        <v>39</v>
      </c>
      <c r="G13" s="47">
        <v>29</v>
      </c>
      <c r="H13" s="133">
        <f>IF(B$17=0,0,G13/B$17)</f>
        <v>6.25E-2</v>
      </c>
      <c r="I13" s="94">
        <v>6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399</v>
      </c>
      <c r="C14" s="39">
        <f>IF(B$3=0,0,B14/B$3)</f>
        <v>0.25094339622641509</v>
      </c>
      <c r="E14" s="63" t="s">
        <v>87</v>
      </c>
      <c r="F14" s="60" t="s">
        <v>42</v>
      </c>
      <c r="G14" s="47">
        <v>22</v>
      </c>
      <c r="H14" s="133">
        <f>IF(B$17=0,0,G14/B$17)</f>
        <v>4.7413793103448273E-2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208</v>
      </c>
      <c r="C15" s="37">
        <f>IF(B$13=0,0,B15/B$13)</f>
        <v>0.55172413793103448</v>
      </c>
      <c r="E15" s="63" t="s">
        <v>79</v>
      </c>
      <c r="F15" s="60" t="s">
        <v>34</v>
      </c>
      <c r="G15" s="47">
        <v>13</v>
      </c>
      <c r="H15" s="133">
        <f>IF(B$17=0,0,G15/B$17)</f>
        <v>2.8017241379310345E-2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22.665000000000003</v>
      </c>
      <c r="P15" s="118">
        <v>20</v>
      </c>
      <c r="Q15" s="106">
        <v>453.30000000000007</v>
      </c>
    </row>
    <row r="16" spans="1:17" x14ac:dyDescent="0.4">
      <c r="A16" s="54" t="s">
        <v>125</v>
      </c>
      <c r="B16" s="46">
        <v>170</v>
      </c>
      <c r="C16" s="37">
        <f>IF(B$14=0,0,B16/B$14)</f>
        <v>0.42606516290726815</v>
      </c>
      <c r="E16" s="63" t="s">
        <v>82</v>
      </c>
      <c r="F16" s="60" t="s">
        <v>37</v>
      </c>
      <c r="G16" s="47">
        <v>10</v>
      </c>
      <c r="H16" s="133">
        <f>IF(B$17=0,0,G16/B$17)</f>
        <v>2.1551724137931036E-2</v>
      </c>
      <c r="I16" s="94">
        <v>6</v>
      </c>
      <c r="K16" s="38">
        <v>14</v>
      </c>
      <c r="L16" s="99">
        <v>24.3</v>
      </c>
      <c r="N16" s="115" t="s">
        <v>180</v>
      </c>
      <c r="O16" s="125">
        <f>IF(P16=0,0,Q16/P16)</f>
        <v>11.222727272727274</v>
      </c>
      <c r="P16" s="119">
        <v>44</v>
      </c>
      <c r="Q16" s="107">
        <v>493.80000000000007</v>
      </c>
    </row>
    <row r="17" spans="1:17" x14ac:dyDescent="0.4">
      <c r="A17" s="54" t="s">
        <v>10</v>
      </c>
      <c r="B17" s="46">
        <f>B19+B18</f>
        <v>464</v>
      </c>
      <c r="C17" s="37">
        <f>IF(B$3=0,0,B17/B$3)</f>
        <v>0.29182389937106917</v>
      </c>
      <c r="E17" s="63" t="s">
        <v>80</v>
      </c>
      <c r="F17" s="60" t="s">
        <v>35</v>
      </c>
      <c r="G17" s="47">
        <v>7</v>
      </c>
      <c r="H17" s="133">
        <f>IF(B$17=0,0,G17/B$17)</f>
        <v>1.5086206896551725E-2</v>
      </c>
      <c r="I17" s="94">
        <v>5</v>
      </c>
      <c r="K17" s="38">
        <v>15</v>
      </c>
      <c r="L17" s="99">
        <v>0</v>
      </c>
      <c r="N17" s="115" t="s">
        <v>178</v>
      </c>
      <c r="O17" s="125">
        <f>IF(P17=0,0,Q17/P17)</f>
        <v>10.179999999999998</v>
      </c>
      <c r="P17" s="119">
        <v>30</v>
      </c>
      <c r="Q17" s="107">
        <v>305.39999999999992</v>
      </c>
    </row>
    <row r="18" spans="1:17" x14ac:dyDescent="0.4">
      <c r="A18" s="55" t="s">
        <v>12</v>
      </c>
      <c r="B18" s="47">
        <v>189</v>
      </c>
      <c r="C18" s="39">
        <f>IF(B$17=0,0,B18/B$17)</f>
        <v>0.40732758620689657</v>
      </c>
      <c r="E18" s="63" t="s">
        <v>92</v>
      </c>
      <c r="F18" s="60" t="s">
        <v>47</v>
      </c>
      <c r="G18" s="47">
        <v>7</v>
      </c>
      <c r="H18" s="133">
        <f>IF(B$17=0,0,G18/B$17)</f>
        <v>1.5086206896551725E-2</v>
      </c>
      <c r="I18" s="94">
        <v>4</v>
      </c>
      <c r="K18" s="38">
        <v>16</v>
      </c>
      <c r="L18" s="99">
        <v>-28.2</v>
      </c>
      <c r="N18" s="115" t="s">
        <v>167</v>
      </c>
      <c r="O18" s="125">
        <f>IF(P18=0,0,Q18/P18)</f>
        <v>9.0868421052631589</v>
      </c>
      <c r="P18" s="119">
        <v>38</v>
      </c>
      <c r="Q18" s="107">
        <v>345.3</v>
      </c>
    </row>
    <row r="19" spans="1:17" x14ac:dyDescent="0.4">
      <c r="A19" s="55" t="s">
        <v>11</v>
      </c>
      <c r="B19" s="47">
        <v>275</v>
      </c>
      <c r="C19" s="39">
        <f>IF(B$17=0,0,B19/B$17)</f>
        <v>0.59267241379310343</v>
      </c>
      <c r="E19" s="63" t="s">
        <v>168</v>
      </c>
      <c r="F19" s="60" t="s">
        <v>169</v>
      </c>
      <c r="G19" s="47">
        <v>6</v>
      </c>
      <c r="H19" s="133">
        <f>IF(B$17=0,0,G19/B$17)</f>
        <v>1.2931034482758621E-2</v>
      </c>
      <c r="I19" s="94">
        <v>3</v>
      </c>
      <c r="K19" s="38">
        <v>17</v>
      </c>
      <c r="L19" s="99">
        <v>-20.5</v>
      </c>
      <c r="N19" s="115" t="s">
        <v>179</v>
      </c>
      <c r="O19" s="125">
        <f>IF(P19=0,0,Q19/P19)</f>
        <v>4.4526315789473676</v>
      </c>
      <c r="P19" s="119">
        <v>38</v>
      </c>
      <c r="Q19" s="107">
        <v>169.19999999999996</v>
      </c>
    </row>
    <row r="20" spans="1:17" x14ac:dyDescent="0.4">
      <c r="A20" s="55" t="s">
        <v>13</v>
      </c>
      <c r="B20" s="47">
        <v>274</v>
      </c>
      <c r="C20" s="39">
        <f>IF(B$3=0,0,B20/B$3)</f>
        <v>0.17232704402515722</v>
      </c>
      <c r="E20" s="63" t="s">
        <v>93</v>
      </c>
      <c r="F20" s="60" t="s">
        <v>48</v>
      </c>
      <c r="G20" s="47">
        <v>5</v>
      </c>
      <c r="H20" s="133">
        <f>IF(B$17=0,0,G20/B$17)</f>
        <v>1.0775862068965518E-2</v>
      </c>
      <c r="I20" s="94">
        <v>3</v>
      </c>
      <c r="K20" s="38">
        <v>18</v>
      </c>
      <c r="L20" s="99">
        <v>0</v>
      </c>
      <c r="N20" s="115" t="s">
        <v>196</v>
      </c>
      <c r="O20" s="125">
        <f>IF(P20=0,0,Q20/P20)</f>
        <v>3.6300000000000052</v>
      </c>
      <c r="P20" s="119">
        <v>10</v>
      </c>
      <c r="Q20" s="107">
        <v>36.300000000000054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78</v>
      </c>
      <c r="F21" s="60" t="s">
        <v>33</v>
      </c>
      <c r="G21" s="47">
        <v>3</v>
      </c>
      <c r="H21" s="133">
        <f>IF(B$17=0,0,G21/B$17)</f>
        <v>6.4655172413793103E-3</v>
      </c>
      <c r="I21" s="94">
        <v>3</v>
      </c>
      <c r="K21" s="38">
        <v>19</v>
      </c>
      <c r="L21" s="99">
        <v>-22.4</v>
      </c>
      <c r="N21" s="115" t="s">
        <v>128</v>
      </c>
      <c r="O21" s="125">
        <f>IF(P21=0,0,Q21/P21)</f>
        <v>-4.1100000000000012</v>
      </c>
      <c r="P21" s="119">
        <v>80</v>
      </c>
      <c r="Q21" s="107">
        <v>-328.80000000000013</v>
      </c>
    </row>
    <row r="22" spans="1:17" x14ac:dyDescent="0.4">
      <c r="A22" s="55" t="s">
        <v>171</v>
      </c>
      <c r="B22" s="47">
        <v>26</v>
      </c>
      <c r="C22" s="135">
        <v>7</v>
      </c>
      <c r="E22" s="63" t="s">
        <v>86</v>
      </c>
      <c r="F22" s="60" t="s">
        <v>41</v>
      </c>
      <c r="G22" s="47">
        <v>3</v>
      </c>
      <c r="H22" s="133">
        <f>IF(B$17=0,0,G22/B$17)</f>
        <v>6.4655172413793103E-3</v>
      </c>
      <c r="I22" s="94">
        <v>4</v>
      </c>
      <c r="K22" s="38">
        <v>20</v>
      </c>
      <c r="L22" s="99">
        <v>-61.199999999999996</v>
      </c>
      <c r="N22" s="115" t="s">
        <v>127</v>
      </c>
      <c r="O22" s="125">
        <f>IF(P22=0,0,Q22/P22)</f>
        <v>-14.053846153846166</v>
      </c>
      <c r="P22" s="119">
        <v>78</v>
      </c>
      <c r="Q22" s="107">
        <v>-1096.200000000001</v>
      </c>
    </row>
    <row r="23" spans="1:17" x14ac:dyDescent="0.4">
      <c r="A23" s="55" t="s">
        <v>5</v>
      </c>
      <c r="B23" s="51">
        <f>IF(B$17=0,0,C23/B$17)</f>
        <v>8244.1810344827591</v>
      </c>
      <c r="C23" s="41">
        <v>3825300</v>
      </c>
      <c r="E23" s="63" t="s">
        <v>85</v>
      </c>
      <c r="F23" s="60" t="s">
        <v>40</v>
      </c>
      <c r="G23" s="47">
        <v>2</v>
      </c>
      <c r="H23" s="133">
        <f>IF(B$17=0,0,G23/B$17)</f>
        <v>4.3103448275862068E-3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-17.195454545454549</v>
      </c>
      <c r="P23" s="119">
        <v>22</v>
      </c>
      <c r="Q23" s="107">
        <v>-378.30000000000007</v>
      </c>
    </row>
    <row r="24" spans="1:17" x14ac:dyDescent="0.4">
      <c r="A24" s="57" t="s">
        <v>14</v>
      </c>
      <c r="B24" s="52">
        <f>IF(B$20=0,0,C24/B$20)</f>
        <v>-7844.8905109489051</v>
      </c>
      <c r="C24" s="45">
        <v>-2149500</v>
      </c>
      <c r="E24" s="63" t="s">
        <v>89</v>
      </c>
      <c r="F24" s="60" t="s">
        <v>44</v>
      </c>
      <c r="G24" s="47">
        <v>2</v>
      </c>
      <c r="H24" s="133">
        <f>IF(B$17=0,0,G24/B$17)</f>
        <v>4.3103448275862068E-3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4">
        <v>8</v>
      </c>
      <c r="C25" s="145"/>
      <c r="E25" s="63" t="s">
        <v>75</v>
      </c>
      <c r="F25" s="60" t="s">
        <v>30</v>
      </c>
      <c r="G25" s="47">
        <v>1</v>
      </c>
      <c r="H25" s="133">
        <f>IF(B$17=0,0,G25/B$17)</f>
        <v>2.1551724137931034E-3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2">
        <v>95200</v>
      </c>
      <c r="C26" s="143"/>
      <c r="E26" s="63" t="s">
        <v>76</v>
      </c>
      <c r="F26" s="60" t="s">
        <v>31</v>
      </c>
      <c r="G26" s="47">
        <v>1</v>
      </c>
      <c r="H26" s="133">
        <f>IF(B$17=0,0,G26/B$17)</f>
        <v>2.1551724137931034E-3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5</v>
      </c>
      <c r="C27" s="42">
        <f>IF(B$3=0,0,B27/B$3)</f>
        <v>3.1446540880503146E-3</v>
      </c>
      <c r="E27" s="63" t="s">
        <v>88</v>
      </c>
      <c r="F27" s="60" t="s">
        <v>43</v>
      </c>
      <c r="G27" s="47">
        <v>1</v>
      </c>
      <c r="H27" s="133">
        <f>IF(B$17=0,0,G27/B$17)</f>
        <v>2.1551724137931034E-3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2.1551724137931034E-3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2.1551724137931034E-3</v>
      </c>
      <c r="I29" s="94">
        <v>2</v>
      </c>
      <c r="K29" s="38">
        <v>27</v>
      </c>
      <c r="L29" s="99">
        <v>6.7723604502134549E-15</v>
      </c>
    </row>
    <row r="30" spans="1:17" x14ac:dyDescent="0.4">
      <c r="E30" s="63" t="s">
        <v>74</v>
      </c>
      <c r="F30" s="60" t="s">
        <v>29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17.700000000000003</v>
      </c>
    </row>
    <row r="73" spans="11:12" x14ac:dyDescent="0.4">
      <c r="K73" s="38">
        <v>71</v>
      </c>
      <c r="L73" s="99">
        <v>-28.799999999999997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7.5000000000000036</v>
      </c>
    </row>
    <row r="76" spans="11:12" x14ac:dyDescent="0.4">
      <c r="K76" s="38">
        <v>74</v>
      </c>
      <c r="L76" s="99">
        <v>28.600000000000005</v>
      </c>
    </row>
    <row r="77" spans="11:12" x14ac:dyDescent="0.4">
      <c r="K77" s="38">
        <v>75</v>
      </c>
      <c r="L77" s="99">
        <v>3.5527136788005009E-15</v>
      </c>
    </row>
    <row r="78" spans="11:12" x14ac:dyDescent="0.4">
      <c r="K78" s="38">
        <v>76</v>
      </c>
      <c r="L78" s="99">
        <v>39.5</v>
      </c>
    </row>
    <row r="79" spans="11:12" x14ac:dyDescent="0.4">
      <c r="K79" s="38">
        <v>77</v>
      </c>
      <c r="L79" s="99">
        <v>-7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-45.1</v>
      </c>
    </row>
    <row r="82" spans="11:12" x14ac:dyDescent="0.4">
      <c r="K82" s="38">
        <v>80</v>
      </c>
      <c r="L82" s="99">
        <v>-39.200000000000003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17.7</v>
      </c>
    </row>
    <row r="85" spans="11:12" x14ac:dyDescent="0.4">
      <c r="K85" s="38">
        <v>83</v>
      </c>
      <c r="L85" s="99">
        <v>-28.8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42.9</v>
      </c>
    </row>
    <row r="88" spans="11:12" x14ac:dyDescent="0.4">
      <c r="K88" s="38">
        <v>86</v>
      </c>
      <c r="L88" s="99">
        <v>-0.80000000000000426</v>
      </c>
    </row>
    <row r="89" spans="11:12" x14ac:dyDescent="0.4">
      <c r="K89" s="38">
        <v>87</v>
      </c>
      <c r="L89" s="99">
        <v>-4.2188474935755949E-15</v>
      </c>
    </row>
    <row r="90" spans="11:12" x14ac:dyDescent="0.4">
      <c r="K90" s="38">
        <v>88</v>
      </c>
      <c r="L90" s="99">
        <v>-58.000000000000007</v>
      </c>
    </row>
    <row r="91" spans="11:12" x14ac:dyDescent="0.4">
      <c r="K91" s="38">
        <v>89</v>
      </c>
      <c r="L91" s="99">
        <v>-7.1054273576010019E-15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-26.400000000000006</v>
      </c>
    </row>
    <row r="94" spans="11:12" x14ac:dyDescent="0.4">
      <c r="K94" s="38">
        <v>92</v>
      </c>
      <c r="L94" s="99">
        <v>-26.900000000000006</v>
      </c>
    </row>
    <row r="95" spans="11:12" x14ac:dyDescent="0.4">
      <c r="K95" s="38">
        <v>93</v>
      </c>
      <c r="L95" s="99">
        <v>-7.1054273576010019E-15</v>
      </c>
    </row>
    <row r="96" spans="11:12" x14ac:dyDescent="0.4">
      <c r="K96" s="38">
        <v>94</v>
      </c>
      <c r="L96" s="99">
        <v>-34.900000000000006</v>
      </c>
    </row>
    <row r="97" spans="11:12" x14ac:dyDescent="0.4">
      <c r="K97" s="38">
        <v>95</v>
      </c>
      <c r="L97" s="99">
        <v>-8.100000000000005</v>
      </c>
    </row>
    <row r="98" spans="11:12" x14ac:dyDescent="0.4">
      <c r="K98" s="38">
        <v>96</v>
      </c>
      <c r="L98" s="99">
        <v>-5.3290705182007514E-15</v>
      </c>
    </row>
    <row r="99" spans="11:12" x14ac:dyDescent="0.4">
      <c r="K99" s="38">
        <v>97</v>
      </c>
      <c r="L99" s="99">
        <v>34.29999999999999</v>
      </c>
    </row>
    <row r="100" spans="11:12" x14ac:dyDescent="0.4">
      <c r="K100" s="38">
        <v>98</v>
      </c>
      <c r="L100" s="99">
        <v>31.499999999999989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2.4999999999999787</v>
      </c>
    </row>
    <row r="115" spans="11:12" x14ac:dyDescent="0.4">
      <c r="K115" s="38">
        <v>113</v>
      </c>
      <c r="L115" s="99">
        <v>23.999999999999979</v>
      </c>
    </row>
    <row r="116" spans="11:12" x14ac:dyDescent="0.4">
      <c r="K116" s="38">
        <v>114</v>
      </c>
      <c r="L116" s="99">
        <v>-2.1316282072803006E-14</v>
      </c>
    </row>
    <row r="117" spans="11:12" x14ac:dyDescent="0.4">
      <c r="K117" s="38">
        <v>115</v>
      </c>
      <c r="L117" s="99">
        <v>33.09999999999998</v>
      </c>
    </row>
    <row r="118" spans="11:12" x14ac:dyDescent="0.4">
      <c r="K118" s="38">
        <v>116</v>
      </c>
      <c r="L118" s="99">
        <v>6.6999999999999815</v>
      </c>
    </row>
    <row r="119" spans="11:12" x14ac:dyDescent="0.4">
      <c r="K119" s="38">
        <v>117</v>
      </c>
      <c r="L119" s="99">
        <v>-1.865174681370263E-14</v>
      </c>
    </row>
    <row r="120" spans="11:12" x14ac:dyDescent="0.4">
      <c r="K120" s="38">
        <v>118</v>
      </c>
      <c r="L120" s="99">
        <v>-44.200000000000024</v>
      </c>
    </row>
    <row r="121" spans="11:12" x14ac:dyDescent="0.4">
      <c r="K121" s="38">
        <v>119</v>
      </c>
      <c r="L121" s="99">
        <v>-30.800000000000026</v>
      </c>
    </row>
    <row r="122" spans="11:12" x14ac:dyDescent="0.4">
      <c r="K122" s="38">
        <v>120</v>
      </c>
      <c r="L122" s="99">
        <v>-2.4868995751603507E-14</v>
      </c>
    </row>
    <row r="123" spans="11:12" x14ac:dyDescent="0.4">
      <c r="K123" s="38">
        <v>121</v>
      </c>
      <c r="L123" s="99">
        <v>-55.800000000000026</v>
      </c>
    </row>
    <row r="124" spans="11:12" x14ac:dyDescent="0.4">
      <c r="K124" s="38">
        <v>122</v>
      </c>
      <c r="L124" s="99">
        <v>-50.500000000000028</v>
      </c>
    </row>
    <row r="125" spans="11:12" x14ac:dyDescent="0.4">
      <c r="K125" s="38">
        <v>123</v>
      </c>
      <c r="L125" s="99">
        <v>-2.8421709430404007E-14</v>
      </c>
    </row>
    <row r="126" spans="11:12" x14ac:dyDescent="0.4">
      <c r="K126" s="38">
        <v>124</v>
      </c>
      <c r="L126" s="99">
        <v>31.699999999999971</v>
      </c>
    </row>
    <row r="127" spans="11:12" x14ac:dyDescent="0.4">
      <c r="K127" s="38">
        <v>125</v>
      </c>
      <c r="L127" s="99">
        <v>-8.6000000000000263</v>
      </c>
    </row>
    <row r="128" spans="11:12" x14ac:dyDescent="0.4">
      <c r="K128" s="38">
        <v>126</v>
      </c>
      <c r="L128" s="99">
        <v>-2.6645352591003757E-14</v>
      </c>
    </row>
    <row r="129" spans="11:12" x14ac:dyDescent="0.4">
      <c r="K129" s="38">
        <v>127</v>
      </c>
      <c r="L129" s="99">
        <v>-3.4000000000000266</v>
      </c>
    </row>
    <row r="130" spans="11:12" x14ac:dyDescent="0.4">
      <c r="K130" s="38">
        <v>128</v>
      </c>
      <c r="L130" s="99">
        <v>-24.700000000000028</v>
      </c>
    </row>
    <row r="131" spans="11:12" x14ac:dyDescent="0.4">
      <c r="K131" s="38">
        <v>129</v>
      </c>
      <c r="L131" s="99">
        <v>-2.8421709430404007E-14</v>
      </c>
    </row>
    <row r="132" spans="11:12" x14ac:dyDescent="0.4">
      <c r="K132" s="38">
        <v>130</v>
      </c>
      <c r="L132" s="99">
        <v>-16.700000000000028</v>
      </c>
    </row>
    <row r="133" spans="11:12" x14ac:dyDescent="0.4">
      <c r="K133" s="38">
        <v>131</v>
      </c>
      <c r="L133" s="99">
        <v>-15.100000000000028</v>
      </c>
    </row>
    <row r="134" spans="11:12" x14ac:dyDescent="0.4">
      <c r="K134" s="38">
        <v>132</v>
      </c>
      <c r="L134" s="99">
        <v>-2.8421709430404007E-14</v>
      </c>
    </row>
    <row r="135" spans="11:12" x14ac:dyDescent="0.4">
      <c r="K135" s="38">
        <v>133</v>
      </c>
      <c r="L135" s="99">
        <v>-2.8000000000000282</v>
      </c>
    </row>
    <row r="136" spans="11:12" x14ac:dyDescent="0.4">
      <c r="K136" s="38">
        <v>134</v>
      </c>
      <c r="L136" s="99">
        <v>14.099999999999969</v>
      </c>
    </row>
    <row r="137" spans="11:12" x14ac:dyDescent="0.4">
      <c r="K137" s="38">
        <v>135</v>
      </c>
      <c r="L137" s="99">
        <v>-3.0198066269804258E-14</v>
      </c>
    </row>
    <row r="138" spans="11:12" x14ac:dyDescent="0.4">
      <c r="K138" s="38">
        <v>136</v>
      </c>
      <c r="L138" s="99">
        <v>-43.800000000000026</v>
      </c>
    </row>
    <row r="139" spans="11:12" x14ac:dyDescent="0.4">
      <c r="K139" s="38">
        <v>137</v>
      </c>
      <c r="L139" s="99">
        <v>6.1999999999999744</v>
      </c>
    </row>
    <row r="140" spans="11:12" x14ac:dyDescent="0.4">
      <c r="K140" s="38">
        <v>138</v>
      </c>
      <c r="L140" s="99">
        <v>-2.5757174171303632E-14</v>
      </c>
    </row>
    <row r="141" spans="11:12" x14ac:dyDescent="0.4">
      <c r="K141" s="38">
        <v>139</v>
      </c>
      <c r="L141" s="99">
        <v>-35.300000000000026</v>
      </c>
    </row>
    <row r="142" spans="11:12" x14ac:dyDescent="0.4">
      <c r="K142" s="38">
        <v>140</v>
      </c>
      <c r="L142" s="99">
        <v>7.2999999999999758</v>
      </c>
    </row>
    <row r="143" spans="11:12" x14ac:dyDescent="0.4">
      <c r="K143" s="38">
        <v>141</v>
      </c>
      <c r="L143" s="99">
        <v>-2.3980817331903381E-14</v>
      </c>
    </row>
    <row r="144" spans="11:12" x14ac:dyDescent="0.4">
      <c r="K144" s="38">
        <v>142</v>
      </c>
      <c r="L144" s="99">
        <v>60.09999999999998</v>
      </c>
    </row>
    <row r="145" spans="11:12" x14ac:dyDescent="0.4">
      <c r="K145" s="38">
        <v>143</v>
      </c>
      <c r="L145" s="99">
        <v>50.399999999999977</v>
      </c>
    </row>
    <row r="146" spans="11:12" x14ac:dyDescent="0.4">
      <c r="K146" s="38">
        <v>144</v>
      </c>
      <c r="L146" s="99">
        <v>-2.1316282072803006E-14</v>
      </c>
    </row>
    <row r="147" spans="11:12" x14ac:dyDescent="0.4">
      <c r="K147" s="38">
        <v>145</v>
      </c>
      <c r="L147" s="99">
        <v>-53.100000000000023</v>
      </c>
    </row>
    <row r="148" spans="11:12" x14ac:dyDescent="0.4">
      <c r="K148" s="38">
        <v>146</v>
      </c>
      <c r="L148" s="99">
        <v>-53.200000000000024</v>
      </c>
    </row>
    <row r="149" spans="11:12" x14ac:dyDescent="0.4">
      <c r="K149" s="38">
        <v>147</v>
      </c>
      <c r="L149" s="99">
        <v>-2.1316282072803006E-14</v>
      </c>
    </row>
    <row r="150" spans="11:12" x14ac:dyDescent="0.4">
      <c r="K150" s="38">
        <v>148</v>
      </c>
      <c r="L150" s="99">
        <v>-21.90000000000002</v>
      </c>
    </row>
    <row r="151" spans="11:12" x14ac:dyDescent="0.4">
      <c r="K151" s="38">
        <v>149</v>
      </c>
      <c r="L151" s="99">
        <v>7.9999999999999787</v>
      </c>
    </row>
    <row r="152" spans="11:12" x14ac:dyDescent="0.4">
      <c r="K152" s="38">
        <v>150</v>
      </c>
      <c r="L152" s="99">
        <v>-2.1316282072803006E-14</v>
      </c>
    </row>
    <row r="153" spans="11:12" x14ac:dyDescent="0.4">
      <c r="K153" s="38">
        <v>151</v>
      </c>
      <c r="L153" s="99">
        <v>45.899999999999977</v>
      </c>
    </row>
    <row r="154" spans="11:12" x14ac:dyDescent="0.4">
      <c r="K154" s="38">
        <v>152</v>
      </c>
      <c r="L154" s="99">
        <v>45.699999999999974</v>
      </c>
    </row>
    <row r="155" spans="11:12" x14ac:dyDescent="0.4">
      <c r="K155" s="38">
        <v>153</v>
      </c>
      <c r="L155" s="99">
        <v>-2.8421709430404007E-14</v>
      </c>
    </row>
    <row r="156" spans="11:12" x14ac:dyDescent="0.4">
      <c r="K156" s="38">
        <v>154</v>
      </c>
      <c r="L156" s="99">
        <v>-27.10000000000003</v>
      </c>
    </row>
    <row r="157" spans="11:12" x14ac:dyDescent="0.4">
      <c r="K157" s="38">
        <v>155</v>
      </c>
      <c r="L157" s="99">
        <v>-5.8000000000000291</v>
      </c>
    </row>
    <row r="158" spans="11:12" x14ac:dyDescent="0.4">
      <c r="K158" s="38">
        <v>156</v>
      </c>
      <c r="L158" s="99">
        <v>-2.9309887850104133E-14</v>
      </c>
    </row>
    <row r="159" spans="11:12" x14ac:dyDescent="0.4">
      <c r="K159" s="38">
        <v>157</v>
      </c>
      <c r="L159" s="99">
        <v>11.39999999999997</v>
      </c>
    </row>
    <row r="160" spans="11:12" x14ac:dyDescent="0.4">
      <c r="K160" s="38">
        <v>158</v>
      </c>
      <c r="L160" s="99">
        <v>-25.300000000000033</v>
      </c>
    </row>
    <row r="161" spans="11:12" x14ac:dyDescent="0.4">
      <c r="K161" s="38">
        <v>159</v>
      </c>
      <c r="L161" s="99">
        <v>-3.1974423109204508E-14</v>
      </c>
    </row>
    <row r="162" spans="11:12" x14ac:dyDescent="0.4">
      <c r="K162" s="38">
        <v>160</v>
      </c>
      <c r="L162" s="99">
        <v>21.999999999999968</v>
      </c>
    </row>
    <row r="163" spans="11:12" x14ac:dyDescent="0.4">
      <c r="K163" s="38">
        <v>161</v>
      </c>
      <c r="L163" s="99">
        <v>16.599999999999966</v>
      </c>
    </row>
    <row r="164" spans="11:12" x14ac:dyDescent="0.4">
      <c r="K164" s="38">
        <v>162</v>
      </c>
      <c r="L164" s="99">
        <v>-3.5527136788005009E-14</v>
      </c>
    </row>
    <row r="165" spans="11:12" x14ac:dyDescent="0.4">
      <c r="K165" s="38">
        <v>163</v>
      </c>
      <c r="L165" s="99">
        <v>40.399999999999963</v>
      </c>
    </row>
    <row r="166" spans="11:12" x14ac:dyDescent="0.4">
      <c r="K166" s="38">
        <v>164</v>
      </c>
      <c r="L166" s="99">
        <v>45.799999999999962</v>
      </c>
    </row>
    <row r="167" spans="11:12" x14ac:dyDescent="0.4">
      <c r="K167" s="38">
        <v>165</v>
      </c>
      <c r="L167" s="99">
        <v>-3.5527136788005009E-14</v>
      </c>
    </row>
    <row r="168" spans="11:12" x14ac:dyDescent="0.4">
      <c r="K168" s="38">
        <v>166</v>
      </c>
      <c r="L168" s="99">
        <v>-32.600000000000037</v>
      </c>
    </row>
    <row r="169" spans="11:12" x14ac:dyDescent="0.4">
      <c r="K169" s="38">
        <v>167</v>
      </c>
      <c r="L169" s="99">
        <v>-47.900000000000034</v>
      </c>
    </row>
    <row r="170" spans="11:12" x14ac:dyDescent="0.4">
      <c r="K170" s="38">
        <v>168</v>
      </c>
      <c r="L170" s="99">
        <v>-3.5527136788005009E-14</v>
      </c>
    </row>
    <row r="171" spans="11:12" x14ac:dyDescent="0.4">
      <c r="K171" s="38">
        <v>169</v>
      </c>
      <c r="L171" s="99">
        <v>1.9999999999999645</v>
      </c>
    </row>
    <row r="172" spans="11:12" x14ac:dyDescent="0.4">
      <c r="K172" s="38">
        <v>170</v>
      </c>
      <c r="L172" s="99">
        <v>14.999999999999964</v>
      </c>
    </row>
    <row r="173" spans="11:12" x14ac:dyDescent="0.4">
      <c r="K173" s="38">
        <v>171</v>
      </c>
      <c r="L173" s="99">
        <v>-3.5527136788005009E-14</v>
      </c>
    </row>
    <row r="174" spans="11:12" x14ac:dyDescent="0.4">
      <c r="K174" s="38">
        <v>172</v>
      </c>
      <c r="L174" s="99">
        <v>-0.50000000000003553</v>
      </c>
    </row>
    <row r="175" spans="11:12" x14ac:dyDescent="0.4">
      <c r="K175" s="38">
        <v>173</v>
      </c>
      <c r="L175" s="99">
        <v>34.899999999999963</v>
      </c>
    </row>
    <row r="176" spans="11:12" x14ac:dyDescent="0.4">
      <c r="K176" s="38">
        <v>174</v>
      </c>
      <c r="L176" s="99">
        <v>-3.5527136788005009E-14</v>
      </c>
    </row>
    <row r="177" spans="11:12" x14ac:dyDescent="0.4">
      <c r="K177" s="38">
        <v>175</v>
      </c>
      <c r="L177" s="99">
        <v>4.8999999999999648</v>
      </c>
    </row>
    <row r="178" spans="11:12" x14ac:dyDescent="0.4">
      <c r="K178" s="38">
        <v>176</v>
      </c>
      <c r="L178" s="99">
        <v>49.19999999999996</v>
      </c>
    </row>
    <row r="179" spans="11:12" x14ac:dyDescent="0.4">
      <c r="K179" s="38">
        <v>177</v>
      </c>
      <c r="L179" s="99">
        <v>-4.2632564145606011E-14</v>
      </c>
    </row>
    <row r="180" spans="11:12" x14ac:dyDescent="0.4">
      <c r="K180" s="38">
        <v>178</v>
      </c>
      <c r="L180" s="99">
        <v>-31.300000000000043</v>
      </c>
    </row>
    <row r="181" spans="11:12" x14ac:dyDescent="0.4">
      <c r="K181" s="38">
        <v>179</v>
      </c>
      <c r="L181" s="99">
        <v>-25.300000000000043</v>
      </c>
    </row>
    <row r="182" spans="11:12" x14ac:dyDescent="0.4">
      <c r="K182" s="38">
        <v>180</v>
      </c>
      <c r="L182" s="99">
        <v>-4.2632564145606011E-14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AD7B8-2678-4974-A574-B68893BF4D0F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167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19</v>
      </c>
      <c r="C2" s="151"/>
      <c r="E2" s="62" t="s">
        <v>67</v>
      </c>
      <c r="F2" s="59" t="s">
        <v>23</v>
      </c>
      <c r="G2" s="46">
        <v>25</v>
      </c>
      <c r="H2" s="132">
        <f>IF(B$17=0,0,G2/B$17)</f>
        <v>0.6097560975609756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-1289.4736842105262</v>
      </c>
      <c r="P2" s="118">
        <v>19</v>
      </c>
      <c r="Q2" s="102">
        <v>-24500</v>
      </c>
    </row>
    <row r="3" spans="1:17" x14ac:dyDescent="0.4">
      <c r="A3" s="55" t="s">
        <v>8</v>
      </c>
      <c r="B3" s="152">
        <v>172</v>
      </c>
      <c r="C3" s="153"/>
      <c r="E3" s="63" t="s">
        <v>73</v>
      </c>
      <c r="F3" s="60" t="s">
        <v>28</v>
      </c>
      <c r="G3" s="47">
        <v>20</v>
      </c>
      <c r="H3" s="133">
        <f>IF(B$17=0,0,G3/B$17)</f>
        <v>0.48780487804878048</v>
      </c>
      <c r="I3" s="94">
        <v>9</v>
      </c>
      <c r="K3" s="38">
        <v>1</v>
      </c>
      <c r="L3" s="99">
        <v>-4.5999999999999996</v>
      </c>
      <c r="N3" s="115" t="s">
        <v>132</v>
      </c>
      <c r="O3" s="122">
        <f t="shared" si="0"/>
        <v>84.21052631578948</v>
      </c>
      <c r="P3" s="119">
        <v>19</v>
      </c>
      <c r="Q3" s="103">
        <v>1600</v>
      </c>
    </row>
    <row r="4" spans="1:17" x14ac:dyDescent="0.4">
      <c r="A4" s="55" t="s">
        <v>6</v>
      </c>
      <c r="B4" s="154">
        <v>-115.1</v>
      </c>
      <c r="C4" s="155"/>
      <c r="E4" s="63" t="s">
        <v>172</v>
      </c>
      <c r="F4" s="60" t="s">
        <v>173</v>
      </c>
      <c r="G4" s="47">
        <v>17</v>
      </c>
      <c r="H4" s="133">
        <f>IF(B$17=0,0,G4/B$17)</f>
        <v>0.41463414634146339</v>
      </c>
      <c r="I4" s="94">
        <v>3</v>
      </c>
      <c r="K4" s="38">
        <v>2</v>
      </c>
      <c r="L4" s="99">
        <v>19.899999999999999</v>
      </c>
      <c r="N4" s="115" t="s">
        <v>133</v>
      </c>
      <c r="O4" s="122">
        <f t="shared" si="0"/>
        <v>784.21052631578948</v>
      </c>
      <c r="P4" s="119">
        <v>19</v>
      </c>
      <c r="Q4" s="103">
        <v>14900</v>
      </c>
    </row>
    <row r="5" spans="1:17" x14ac:dyDescent="0.4">
      <c r="A5" s="55" t="s">
        <v>7</v>
      </c>
      <c r="B5" s="156">
        <f>IF(B$2=0,0,B$4/B$2)</f>
        <v>-6.0578947368421048</v>
      </c>
      <c r="C5" s="157"/>
      <c r="E5" s="63" t="s">
        <v>65</v>
      </c>
      <c r="F5" s="60" t="s">
        <v>21</v>
      </c>
      <c r="G5" s="47">
        <v>16</v>
      </c>
      <c r="H5" s="133">
        <f>IF(B$17=0,0,G5/B$17)</f>
        <v>0.3902439024390244</v>
      </c>
      <c r="I5" s="94">
        <v>9</v>
      </c>
      <c r="K5" s="38">
        <v>3</v>
      </c>
      <c r="L5" s="99">
        <v>-8.3000000000000007</v>
      </c>
      <c r="N5" s="115" t="s">
        <v>134</v>
      </c>
      <c r="O5" s="122">
        <f t="shared" si="0"/>
        <v>-622.22222222222217</v>
      </c>
      <c r="P5" s="119">
        <v>18</v>
      </c>
      <c r="Q5" s="103">
        <v>-11200</v>
      </c>
    </row>
    <row r="6" spans="1:17" x14ac:dyDescent="0.4">
      <c r="A6" s="55" t="s">
        <v>1</v>
      </c>
      <c r="B6" s="146">
        <f>IF(B$2=0,0,(B$7*1+B$8*2+B$9*3)/B$2)</f>
        <v>2.1052631578947367</v>
      </c>
      <c r="C6" s="147"/>
      <c r="E6" s="63" t="s">
        <v>69</v>
      </c>
      <c r="F6" s="60" t="s">
        <v>12</v>
      </c>
      <c r="G6" s="47">
        <v>15</v>
      </c>
      <c r="H6" s="133">
        <f>IF(B$17=0,0,G6/B$17)</f>
        <v>0.36585365853658536</v>
      </c>
      <c r="I6" s="94">
        <v>2</v>
      </c>
      <c r="K6" s="38">
        <v>4</v>
      </c>
      <c r="L6" s="99">
        <v>-30.7</v>
      </c>
      <c r="N6" s="115" t="s">
        <v>135</v>
      </c>
      <c r="O6" s="122">
        <f t="shared" si="0"/>
        <v>-2044.4444444444443</v>
      </c>
      <c r="P6" s="119">
        <v>18</v>
      </c>
      <c r="Q6" s="103">
        <v>-36800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0.26315789473684209</v>
      </c>
      <c r="E7" s="63" t="s">
        <v>70</v>
      </c>
      <c r="F7" s="60" t="s">
        <v>25</v>
      </c>
      <c r="G7" s="47">
        <v>11</v>
      </c>
      <c r="H7" s="133">
        <f>IF(B$17=0,0,G7/B$17)</f>
        <v>0.26829268292682928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-2933.3333333333335</v>
      </c>
      <c r="P7" s="120">
        <v>15</v>
      </c>
      <c r="Q7" s="104">
        <v>-44000</v>
      </c>
    </row>
    <row r="8" spans="1:17" x14ac:dyDescent="0.4">
      <c r="A8" s="55" t="s">
        <v>3</v>
      </c>
      <c r="B8" s="47">
        <v>7</v>
      </c>
      <c r="C8" s="39">
        <f t="shared" si="1"/>
        <v>0.36842105263157893</v>
      </c>
      <c r="E8" s="63" t="s">
        <v>66</v>
      </c>
      <c r="F8" s="60" t="s">
        <v>22</v>
      </c>
      <c r="G8" s="47">
        <v>6</v>
      </c>
      <c r="H8" s="133">
        <f>IF(B$17=0,0,G8/B$17)</f>
        <v>0.14634146341463414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0.36842105263157893</v>
      </c>
      <c r="E9" s="63" t="s">
        <v>68</v>
      </c>
      <c r="F9" s="60" t="s">
        <v>24</v>
      </c>
      <c r="G9" s="47">
        <v>6</v>
      </c>
      <c r="H9" s="133">
        <f>IF(B$17=0,0,G9/B$17)</f>
        <v>0.14634146341463414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6</v>
      </c>
      <c r="H10" s="133">
        <f>IF(B$17=0,0,G10/B$17)</f>
        <v>0.14634146341463414</v>
      </c>
      <c r="I10" s="94">
        <v>2</v>
      </c>
      <c r="K10" s="38">
        <v>8</v>
      </c>
      <c r="L10" s="99">
        <v>-76.900000000000006</v>
      </c>
      <c r="N10" s="114" t="s">
        <v>163</v>
      </c>
      <c r="O10" s="124">
        <f>IF(P10=0,0,Q10/P10)</f>
        <v>-6.3833333333333329</v>
      </c>
      <c r="P10" s="118">
        <v>6</v>
      </c>
      <c r="Q10" s="106">
        <v>-38.299999999999997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6</v>
      </c>
      <c r="H11" s="133">
        <f>IF(B$17=0,0,G11/B$17)</f>
        <v>0.14634146341463414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-15.579999999999998</v>
      </c>
      <c r="P11" s="119">
        <v>5</v>
      </c>
      <c r="Q11" s="107">
        <v>-77.899999999999991</v>
      </c>
    </row>
    <row r="12" spans="1:17" x14ac:dyDescent="0.4">
      <c r="A12" s="57" t="s">
        <v>159</v>
      </c>
      <c r="B12" s="49">
        <v>3</v>
      </c>
      <c r="C12" s="42">
        <f t="shared" si="1"/>
        <v>0.15789473684210525</v>
      </c>
      <c r="E12" s="63" t="s">
        <v>84</v>
      </c>
      <c r="F12" s="60" t="s">
        <v>39</v>
      </c>
      <c r="G12" s="47">
        <v>4</v>
      </c>
      <c r="H12" s="133">
        <f>IF(B$17=0,0,G12/B$17)</f>
        <v>9.7560975609756101E-2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0.13750000000000018</v>
      </c>
      <c r="P12" s="120">
        <v>8</v>
      </c>
      <c r="Q12" s="108">
        <v>1.1000000000000014</v>
      </c>
    </row>
    <row r="13" spans="1:17" x14ac:dyDescent="0.4">
      <c r="A13" s="58" t="s">
        <v>122</v>
      </c>
      <c r="B13" s="50">
        <v>33</v>
      </c>
      <c r="C13" s="44">
        <f>IF(B$3=0,0,B13/B$3)</f>
        <v>0.19186046511627908</v>
      </c>
      <c r="E13" s="63" t="s">
        <v>82</v>
      </c>
      <c r="F13" s="60" t="s">
        <v>37</v>
      </c>
      <c r="G13" s="47">
        <v>2</v>
      </c>
      <c r="H13" s="133">
        <f>IF(B$17=0,0,G13/B$17)</f>
        <v>4.878048780487805E-2</v>
      </c>
      <c r="I13" s="94">
        <v>3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</v>
      </c>
      <c r="C14" s="39">
        <f>IF(B$3=0,0,B14/B$3)</f>
        <v>0.22674418604651161</v>
      </c>
      <c r="E14" s="63" t="s">
        <v>90</v>
      </c>
      <c r="F14" s="60" t="s">
        <v>45</v>
      </c>
      <c r="G14" s="47">
        <v>2</v>
      </c>
      <c r="H14" s="133">
        <f>IF(B$17=0,0,G14/B$17)</f>
        <v>4.878048780487805E-2</v>
      </c>
      <c r="I14" s="94">
        <v>10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0.54545454545454541</v>
      </c>
      <c r="E15" s="63" t="s">
        <v>78</v>
      </c>
      <c r="F15" s="60" t="s">
        <v>33</v>
      </c>
      <c r="G15" s="47">
        <v>1</v>
      </c>
      <c r="H15" s="133">
        <f>IF(B$17=0,0,G15/B$17)</f>
        <v>2.4390243902439025E-2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0.28205128205128205</v>
      </c>
      <c r="E16" s="63" t="s">
        <v>87</v>
      </c>
      <c r="F16" s="60" t="s">
        <v>42</v>
      </c>
      <c r="G16" s="47">
        <v>1</v>
      </c>
      <c r="H16" s="133">
        <f>IF(B$17=0,0,G16/B$17)</f>
        <v>2.4390243902439025E-2</v>
      </c>
      <c r="I16" s="94">
        <v>10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41</v>
      </c>
      <c r="C17" s="37">
        <f>IF(B$3=0,0,B17/B$3)</f>
        <v>0.23837209302325582</v>
      </c>
      <c r="E17" s="63" t="s">
        <v>89</v>
      </c>
      <c r="F17" s="60" t="s">
        <v>44</v>
      </c>
      <c r="G17" s="47">
        <v>1</v>
      </c>
      <c r="H17" s="133">
        <f>IF(B$17=0,0,G17/B$17)</f>
        <v>2.4390243902439025E-2</v>
      </c>
      <c r="I17" s="94">
        <v>1</v>
      </c>
      <c r="K17" s="38">
        <v>15</v>
      </c>
      <c r="L17" s="99">
        <v>-65.2</v>
      </c>
      <c r="N17" s="115" t="s">
        <v>182</v>
      </c>
      <c r="O17" s="125">
        <f>IF(P17=0,0,Q17/P17)</f>
        <v>-10.825000000000001</v>
      </c>
      <c r="P17" s="119">
        <v>4</v>
      </c>
      <c r="Q17" s="107">
        <v>-43.300000000000004</v>
      </c>
    </row>
    <row r="18" spans="1:17" x14ac:dyDescent="0.4">
      <c r="A18" s="55" t="s">
        <v>12</v>
      </c>
      <c r="B18" s="47">
        <v>21</v>
      </c>
      <c r="C18" s="39">
        <f>IF(B$17=0,0,B18/B$17)</f>
        <v>0.51219512195121952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-70.600000000000009</v>
      </c>
      <c r="N18" s="115" t="s">
        <v>127</v>
      </c>
      <c r="O18" s="125">
        <f>IF(P18=0,0,Q18/P18)</f>
        <v>-11.98666666666667</v>
      </c>
      <c r="P18" s="119">
        <v>15</v>
      </c>
      <c r="Q18" s="107">
        <v>-179.80000000000004</v>
      </c>
    </row>
    <row r="19" spans="1:17" x14ac:dyDescent="0.4">
      <c r="A19" s="55" t="s">
        <v>11</v>
      </c>
      <c r="B19" s="47">
        <v>20</v>
      </c>
      <c r="C19" s="39">
        <f>IF(B$17=0,0,B19/B$17)</f>
        <v>0.48780487804878048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-65.2</v>
      </c>
      <c r="N19" s="115" t="s">
        <v>180</v>
      </c>
      <c r="O19" s="125">
        <f>IF(P19=0,0,Q19/P19)</f>
        <v>-17.383333333333333</v>
      </c>
      <c r="P19" s="119">
        <v>6</v>
      </c>
      <c r="Q19" s="107">
        <v>-104.3</v>
      </c>
    </row>
    <row r="20" spans="1:17" x14ac:dyDescent="0.4">
      <c r="A20" s="55" t="s">
        <v>13</v>
      </c>
      <c r="B20" s="47">
        <v>30</v>
      </c>
      <c r="C20" s="39">
        <f>IF(B$3=0,0,B20/B$3)</f>
        <v>0.1744186046511628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-80.2</v>
      </c>
      <c r="N20" s="115" t="s">
        <v>183</v>
      </c>
      <c r="O20" s="125">
        <f>IF(P20=0,0,Q20/P20)</f>
        <v>-25.7</v>
      </c>
      <c r="P20" s="119">
        <v>2</v>
      </c>
      <c r="Q20" s="107">
        <v>-51.4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-115.1</v>
      </c>
    </row>
    <row r="22" spans="1:17" x14ac:dyDescent="0.4">
      <c r="A22" s="55" t="s">
        <v>171</v>
      </c>
      <c r="B22" s="47">
        <v>17</v>
      </c>
      <c r="C22" s="135">
        <v>2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 x14ac:dyDescent="0.4">
      <c r="A23" s="55" t="s">
        <v>5</v>
      </c>
      <c r="B23" s="51">
        <f>IF(B$17=0,0,C23/B$17)</f>
        <v>7095.1219512195121</v>
      </c>
      <c r="C23" s="41">
        <v>290900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-6670</v>
      </c>
      <c r="C24" s="45">
        <v>-200100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3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51800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2</v>
      </c>
      <c r="C27" s="42">
        <f>IF(B$3=0,0,B27/B$3)</f>
        <v>1.1627906976744186E-2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548F-5EB2-4E05-A9C9-F7EA501C6AD4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39</v>
      </c>
      <c r="C2" s="151"/>
      <c r="E2" s="62" t="s">
        <v>73</v>
      </c>
      <c r="F2" s="59" t="s">
        <v>28</v>
      </c>
      <c r="G2" s="46">
        <v>57</v>
      </c>
      <c r="H2" s="132">
        <f>IF(B$17=0,0,G2/B$17)</f>
        <v>0.50442477876106195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-305.26315789473682</v>
      </c>
      <c r="P2" s="118">
        <v>38</v>
      </c>
      <c r="Q2" s="102">
        <v>-11600</v>
      </c>
    </row>
    <row r="3" spans="1:17" x14ac:dyDescent="0.4">
      <c r="A3" s="55" t="s">
        <v>8</v>
      </c>
      <c r="B3" s="152">
        <v>335</v>
      </c>
      <c r="C3" s="153"/>
      <c r="E3" s="63" t="s">
        <v>67</v>
      </c>
      <c r="F3" s="60" t="s">
        <v>23</v>
      </c>
      <c r="G3" s="47">
        <v>56</v>
      </c>
      <c r="H3" s="133">
        <f>IF(B$17=0,0,G3/B$17)</f>
        <v>0.49557522123893805</v>
      </c>
      <c r="I3" s="94">
        <v>10</v>
      </c>
      <c r="K3" s="38">
        <v>1</v>
      </c>
      <c r="L3" s="99">
        <v>50.2</v>
      </c>
      <c r="N3" s="115" t="s">
        <v>132</v>
      </c>
      <c r="O3" s="122">
        <f t="shared" si="0"/>
        <v>-1364.8648648648648</v>
      </c>
      <c r="P3" s="119">
        <v>37</v>
      </c>
      <c r="Q3" s="103">
        <v>-50500</v>
      </c>
    </row>
    <row r="4" spans="1:17" x14ac:dyDescent="0.4">
      <c r="A4" s="55" t="s">
        <v>6</v>
      </c>
      <c r="B4" s="154">
        <v>365.39999999999986</v>
      </c>
      <c r="C4" s="155"/>
      <c r="E4" s="63" t="s">
        <v>65</v>
      </c>
      <c r="F4" s="60" t="s">
        <v>21</v>
      </c>
      <c r="G4" s="47">
        <v>45</v>
      </c>
      <c r="H4" s="133">
        <f>IF(B$17=0,0,G4/B$17)</f>
        <v>0.39823008849557523</v>
      </c>
      <c r="I4" s="94">
        <v>7</v>
      </c>
      <c r="K4" s="38">
        <v>2</v>
      </c>
      <c r="L4" s="99">
        <v>14.400000000000006</v>
      </c>
      <c r="N4" s="115" t="s">
        <v>133</v>
      </c>
      <c r="O4" s="122">
        <f t="shared" si="0"/>
        <v>248.64864864864865</v>
      </c>
      <c r="P4" s="119">
        <v>37</v>
      </c>
      <c r="Q4" s="103">
        <v>9200</v>
      </c>
    </row>
    <row r="5" spans="1:17" x14ac:dyDescent="0.4">
      <c r="A5" s="55" t="s">
        <v>7</v>
      </c>
      <c r="B5" s="156">
        <f>IF(B$2=0,0,B$4/B$2)</f>
        <v>9.3692307692307661</v>
      </c>
      <c r="C5" s="157"/>
      <c r="E5" s="63" t="s">
        <v>172</v>
      </c>
      <c r="F5" s="60" t="s">
        <v>173</v>
      </c>
      <c r="G5" s="47">
        <v>37</v>
      </c>
      <c r="H5" s="133">
        <f>IF(B$17=0,0,G5/B$17)</f>
        <v>0.32743362831858408</v>
      </c>
      <c r="I5" s="94">
        <v>9</v>
      </c>
      <c r="K5" s="38">
        <v>3</v>
      </c>
      <c r="L5" s="99">
        <v>40.400000000000006</v>
      </c>
      <c r="N5" s="115" t="s">
        <v>134</v>
      </c>
      <c r="O5" s="122">
        <f t="shared" si="0"/>
        <v>-508.8235294117647</v>
      </c>
      <c r="P5" s="119">
        <v>34</v>
      </c>
      <c r="Q5" s="103">
        <v>-17300</v>
      </c>
    </row>
    <row r="6" spans="1:17" x14ac:dyDescent="0.4">
      <c r="A6" s="55" t="s">
        <v>1</v>
      </c>
      <c r="B6" s="146">
        <f>IF(B$2=0,0,(B$7*1+B$8*2+B$9*3)/B$2)</f>
        <v>1.7435897435897436</v>
      </c>
      <c r="C6" s="147"/>
      <c r="E6" s="63" t="s">
        <v>69</v>
      </c>
      <c r="F6" s="60" t="s">
        <v>12</v>
      </c>
      <c r="G6" s="47">
        <v>30</v>
      </c>
      <c r="H6" s="133">
        <f>IF(B$17=0,0,G6/B$17)</f>
        <v>0.26548672566371684</v>
      </c>
      <c r="I6" s="94">
        <v>6</v>
      </c>
      <c r="K6" s="38">
        <v>4</v>
      </c>
      <c r="L6" s="99">
        <v>101.60000000000001</v>
      </c>
      <c r="N6" s="115" t="s">
        <v>135</v>
      </c>
      <c r="O6" s="122">
        <f t="shared" si="0"/>
        <v>5331.25</v>
      </c>
      <c r="P6" s="119">
        <v>32</v>
      </c>
      <c r="Q6" s="103">
        <v>170600</v>
      </c>
    </row>
    <row r="7" spans="1:17" x14ac:dyDescent="0.4">
      <c r="A7" s="55" t="s">
        <v>2</v>
      </c>
      <c r="B7" s="47">
        <v>20</v>
      </c>
      <c r="C7" s="39">
        <f t="shared" ref="C7:C12" si="1">IF(B$2=0,0,B7/B$2)</f>
        <v>0.51282051282051277</v>
      </c>
      <c r="E7" s="63" t="s">
        <v>68</v>
      </c>
      <c r="F7" s="60" t="s">
        <v>24</v>
      </c>
      <c r="G7" s="47">
        <v>28</v>
      </c>
      <c r="H7" s="133">
        <f>IF(B$17=0,0,G7/B$17)</f>
        <v>0.24778761061946902</v>
      </c>
      <c r="I7" s="94">
        <v>4</v>
      </c>
      <c r="K7" s="38">
        <v>5</v>
      </c>
      <c r="L7" s="99">
        <v>99.9</v>
      </c>
      <c r="N7" s="116" t="s">
        <v>136</v>
      </c>
      <c r="O7" s="123">
        <f t="shared" si="0"/>
        <v>6036</v>
      </c>
      <c r="P7" s="120">
        <v>25</v>
      </c>
      <c r="Q7" s="104">
        <v>150900</v>
      </c>
    </row>
    <row r="8" spans="1:17" x14ac:dyDescent="0.4">
      <c r="A8" s="55" t="s">
        <v>3</v>
      </c>
      <c r="B8" s="47">
        <v>9</v>
      </c>
      <c r="C8" s="39">
        <f t="shared" si="1"/>
        <v>0.23076923076923078</v>
      </c>
      <c r="E8" s="63" t="s">
        <v>90</v>
      </c>
      <c r="F8" s="60" t="s">
        <v>45</v>
      </c>
      <c r="G8" s="47">
        <v>19</v>
      </c>
      <c r="H8" s="133">
        <f>IF(B$17=0,0,G8/B$17)</f>
        <v>0.16814159292035399</v>
      </c>
      <c r="I8" s="94">
        <v>2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0.25641025641025639</v>
      </c>
      <c r="E9" s="63" t="s">
        <v>70</v>
      </c>
      <c r="F9" s="60" t="s">
        <v>25</v>
      </c>
      <c r="G9" s="47">
        <v>17</v>
      </c>
      <c r="H9" s="133">
        <f>IF(B$17=0,0,G9/B$17)</f>
        <v>0.15044247787610621</v>
      </c>
      <c r="I9" s="94">
        <v>3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5.128205128205128E-2</v>
      </c>
      <c r="E10" s="63" t="s">
        <v>66</v>
      </c>
      <c r="F10" s="60" t="s">
        <v>22</v>
      </c>
      <c r="G10" s="47">
        <v>12</v>
      </c>
      <c r="H10" s="133">
        <f>IF(B$17=0,0,G10/B$17)</f>
        <v>0.10619469026548672</v>
      </c>
      <c r="I10" s="94">
        <v>4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0.10256410256410256</v>
      </c>
      <c r="E11" s="63" t="s">
        <v>71</v>
      </c>
      <c r="F11" s="60" t="s">
        <v>26</v>
      </c>
      <c r="G11" s="47">
        <v>8</v>
      </c>
      <c r="H11" s="133">
        <f>IF(B$17=0,0,G11/B$17)</f>
        <v>7.0796460176991149E-2</v>
      </c>
      <c r="I11" s="94">
        <v>6</v>
      </c>
      <c r="K11" s="38">
        <v>9</v>
      </c>
      <c r="L11" s="99">
        <v>180.89999999999998</v>
      </c>
      <c r="N11" s="115" t="s">
        <v>164</v>
      </c>
      <c r="O11" s="125">
        <f>IF(P11=0,0,Q11/P11)</f>
        <v>9.7222222222222232</v>
      </c>
      <c r="P11" s="119">
        <v>18</v>
      </c>
      <c r="Q11" s="107">
        <v>175.00000000000003</v>
      </c>
    </row>
    <row r="12" spans="1:17" x14ac:dyDescent="0.4">
      <c r="A12" s="57" t="s">
        <v>159</v>
      </c>
      <c r="B12" s="49">
        <v>6</v>
      </c>
      <c r="C12" s="42">
        <f t="shared" si="1"/>
        <v>0.15384615384615385</v>
      </c>
      <c r="E12" s="63" t="s">
        <v>72</v>
      </c>
      <c r="F12" s="60" t="s">
        <v>27</v>
      </c>
      <c r="G12" s="47">
        <v>7</v>
      </c>
      <c r="H12" s="133">
        <f>IF(B$17=0,0,G12/B$17)</f>
        <v>6.1946902654867256E-2</v>
      </c>
      <c r="I12" s="94">
        <v>6</v>
      </c>
      <c r="K12" s="38">
        <v>10</v>
      </c>
      <c r="L12" s="99">
        <v>158.19999999999999</v>
      </c>
      <c r="N12" s="116" t="s">
        <v>165</v>
      </c>
      <c r="O12" s="126">
        <f>IF(P12=0,0,Q12/P12)</f>
        <v>5.1357142857142852</v>
      </c>
      <c r="P12" s="120">
        <v>14</v>
      </c>
      <c r="Q12" s="108">
        <v>71.899999999999991</v>
      </c>
    </row>
    <row r="13" spans="1:17" x14ac:dyDescent="0.4">
      <c r="A13" s="58" t="s">
        <v>122</v>
      </c>
      <c r="B13" s="50">
        <v>82</v>
      </c>
      <c r="C13" s="44">
        <f>IF(B$3=0,0,B13/B$3)</f>
        <v>0.24477611940298508</v>
      </c>
      <c r="E13" s="63" t="s">
        <v>84</v>
      </c>
      <c r="F13" s="60" t="s">
        <v>39</v>
      </c>
      <c r="G13" s="47">
        <v>6</v>
      </c>
      <c r="H13" s="133">
        <f>IF(B$17=0,0,G13/B$17)</f>
        <v>5.3097345132743362E-2</v>
      </c>
      <c r="I13" s="94">
        <v>7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75</v>
      </c>
      <c r="C14" s="39">
        <f>IF(B$3=0,0,B14/B$3)</f>
        <v>0.22388059701492538</v>
      </c>
      <c r="E14" s="63" t="s">
        <v>79</v>
      </c>
      <c r="F14" s="60" t="s">
        <v>34</v>
      </c>
      <c r="G14" s="47">
        <v>4</v>
      </c>
      <c r="H14" s="133">
        <f>IF(B$17=0,0,G14/B$17)</f>
        <v>3.5398230088495575E-2</v>
      </c>
      <c r="I14" s="94">
        <v>5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50</v>
      </c>
      <c r="C15" s="37">
        <f>IF(B$13=0,0,B15/B$13)</f>
        <v>0.6097560975609756</v>
      </c>
      <c r="E15" s="63" t="s">
        <v>87</v>
      </c>
      <c r="F15" s="60" t="s">
        <v>42</v>
      </c>
      <c r="G15" s="47">
        <v>4</v>
      </c>
      <c r="H15" s="133">
        <f>IF(B$17=0,0,G15/B$17)</f>
        <v>3.5398230088495575E-2</v>
      </c>
      <c r="I15" s="94">
        <v>9</v>
      </c>
      <c r="K15" s="38">
        <v>13</v>
      </c>
      <c r="L15" s="99">
        <v>206.39999999999998</v>
      </c>
      <c r="N15" s="114" t="s">
        <v>182</v>
      </c>
      <c r="O15" s="124">
        <f>IF(P15=0,0,Q15/P15)</f>
        <v>49.733333333333327</v>
      </c>
      <c r="P15" s="118">
        <v>3</v>
      </c>
      <c r="Q15" s="106">
        <v>149.19999999999999</v>
      </c>
    </row>
    <row r="16" spans="1:17" x14ac:dyDescent="0.4">
      <c r="A16" s="54" t="s">
        <v>125</v>
      </c>
      <c r="B16" s="46">
        <v>40</v>
      </c>
      <c r="C16" s="37">
        <f>IF(B$14=0,0,B16/B$14)</f>
        <v>0.53333333333333333</v>
      </c>
      <c r="E16" s="63" t="s">
        <v>168</v>
      </c>
      <c r="F16" s="60" t="s">
        <v>169</v>
      </c>
      <c r="G16" s="47">
        <v>4</v>
      </c>
      <c r="H16" s="133">
        <f>IF(B$17=0,0,G16/B$17)</f>
        <v>3.5398230088495575E-2</v>
      </c>
      <c r="I16" s="94">
        <v>1</v>
      </c>
      <c r="K16" s="38">
        <v>14</v>
      </c>
      <c r="L16" s="99">
        <v>240.09999999999997</v>
      </c>
      <c r="N16" s="115" t="s">
        <v>179</v>
      </c>
      <c r="O16" s="125">
        <f>IF(P16=0,0,Q16/P16)</f>
        <v>29.966666666666672</v>
      </c>
      <c r="P16" s="119">
        <v>6</v>
      </c>
      <c r="Q16" s="107">
        <v>179.80000000000004</v>
      </c>
    </row>
    <row r="17" spans="1:17" x14ac:dyDescent="0.4">
      <c r="A17" s="54" t="s">
        <v>10</v>
      </c>
      <c r="B17" s="46">
        <f>B19+B18</f>
        <v>113</v>
      </c>
      <c r="C17" s="37">
        <f>IF(B$3=0,0,B17/B$3)</f>
        <v>0.33731343283582088</v>
      </c>
      <c r="E17" s="63" t="s">
        <v>78</v>
      </c>
      <c r="F17" s="60" t="s">
        <v>33</v>
      </c>
      <c r="G17" s="47">
        <v>2</v>
      </c>
      <c r="H17" s="133">
        <f>IF(B$17=0,0,G17/B$17)</f>
        <v>1.7699115044247787E-2</v>
      </c>
      <c r="I17" s="94">
        <v>2</v>
      </c>
      <c r="K17" s="38">
        <v>15</v>
      </c>
      <c r="L17" s="99">
        <v>269.49999999999994</v>
      </c>
      <c r="N17" s="115" t="s">
        <v>183</v>
      </c>
      <c r="O17" s="125">
        <f>IF(P17=0,0,Q17/P17)</f>
        <v>23.45</v>
      </c>
      <c r="P17" s="119">
        <v>2</v>
      </c>
      <c r="Q17" s="107">
        <v>46.9</v>
      </c>
    </row>
    <row r="18" spans="1:17" x14ac:dyDescent="0.4">
      <c r="A18" s="55" t="s">
        <v>12</v>
      </c>
      <c r="B18" s="47">
        <v>48</v>
      </c>
      <c r="C18" s="39">
        <f>IF(B$17=0,0,B18/B$17)</f>
        <v>0.4247787610619469</v>
      </c>
      <c r="E18" s="63" t="s">
        <v>85</v>
      </c>
      <c r="F18" s="60" t="s">
        <v>40</v>
      </c>
      <c r="G18" s="47">
        <v>2</v>
      </c>
      <c r="H18" s="133">
        <f>IF(B$17=0,0,G18/B$17)</f>
        <v>1.7699115044247787E-2</v>
      </c>
      <c r="I18" s="94">
        <v>1</v>
      </c>
      <c r="K18" s="38">
        <v>16</v>
      </c>
      <c r="L18" s="99">
        <v>323.69999999999993</v>
      </c>
      <c r="N18" s="115" t="s">
        <v>180</v>
      </c>
      <c r="O18" s="125">
        <f>IF(P18=0,0,Q18/P18)</f>
        <v>17.933333333333334</v>
      </c>
      <c r="P18" s="119">
        <v>15</v>
      </c>
      <c r="Q18" s="107">
        <v>269</v>
      </c>
    </row>
    <row r="19" spans="1:17" x14ac:dyDescent="0.4">
      <c r="A19" s="55" t="s">
        <v>11</v>
      </c>
      <c r="B19" s="47">
        <v>65</v>
      </c>
      <c r="C19" s="39">
        <f>IF(B$17=0,0,B19/B$17)</f>
        <v>0.5752212389380531</v>
      </c>
      <c r="E19" s="63" t="s">
        <v>93</v>
      </c>
      <c r="F19" s="60" t="s">
        <v>48</v>
      </c>
      <c r="G19" s="47">
        <v>2</v>
      </c>
      <c r="H19" s="133">
        <f>IF(B$17=0,0,G19/B$17)</f>
        <v>1.7699115044247787E-2</v>
      </c>
      <c r="I19" s="94">
        <v>2</v>
      </c>
      <c r="K19" s="38">
        <v>17</v>
      </c>
      <c r="L19" s="99">
        <v>359.09999999999991</v>
      </c>
      <c r="N19" s="115" t="s">
        <v>167</v>
      </c>
      <c r="O19" s="125">
        <f>IF(P19=0,0,Q19/P19)</f>
        <v>11.986666666666666</v>
      </c>
      <c r="P19" s="119">
        <v>15</v>
      </c>
      <c r="Q19" s="107">
        <v>179.79999999999998</v>
      </c>
    </row>
    <row r="20" spans="1:17" x14ac:dyDescent="0.4">
      <c r="A20" s="55" t="s">
        <v>13</v>
      </c>
      <c r="B20" s="47">
        <v>45</v>
      </c>
      <c r="C20" s="39">
        <f>IF(B$3=0,0,B20/B$3)</f>
        <v>0.13432835820895522</v>
      </c>
      <c r="E20" s="63" t="s">
        <v>75</v>
      </c>
      <c r="F20" s="60" t="s">
        <v>30</v>
      </c>
      <c r="G20" s="47">
        <v>1</v>
      </c>
      <c r="H20" s="133">
        <f>IF(B$17=0,0,G20/B$17)</f>
        <v>8.8495575221238937E-3</v>
      </c>
      <c r="I20" s="94">
        <v>1</v>
      </c>
      <c r="K20" s="38">
        <v>18</v>
      </c>
      <c r="L20" s="99">
        <v>352.39999999999992</v>
      </c>
      <c r="N20" s="115" t="s">
        <v>128</v>
      </c>
      <c r="O20" s="125">
        <f>IF(P20=0,0,Q20/P20)</f>
        <v>11.432258064516127</v>
      </c>
      <c r="P20" s="119">
        <v>31</v>
      </c>
      <c r="Q20" s="107">
        <v>354.39999999999992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82</v>
      </c>
      <c r="F21" s="60" t="s">
        <v>37</v>
      </c>
      <c r="G21" s="47">
        <v>1</v>
      </c>
      <c r="H21" s="133">
        <f>IF(B$17=0,0,G21/B$17)</f>
        <v>8.8495575221238937E-3</v>
      </c>
      <c r="I21" s="94">
        <v>8</v>
      </c>
      <c r="K21" s="38">
        <v>19</v>
      </c>
      <c r="L21" s="99">
        <v>383.19999999999993</v>
      </c>
      <c r="N21" s="115" t="s">
        <v>178</v>
      </c>
      <c r="O21" s="125">
        <f>IF(P21=0,0,Q21/P21)</f>
        <v>-13.816666666666668</v>
      </c>
      <c r="P21" s="119">
        <v>6</v>
      </c>
      <c r="Q21" s="107">
        <v>-82.9</v>
      </c>
    </row>
    <row r="22" spans="1:17" x14ac:dyDescent="0.4">
      <c r="A22" s="55" t="s">
        <v>171</v>
      </c>
      <c r="B22" s="47">
        <v>27</v>
      </c>
      <c r="C22" s="135">
        <v>7</v>
      </c>
      <c r="E22" s="63" t="s">
        <v>86</v>
      </c>
      <c r="F22" s="60" t="s">
        <v>41</v>
      </c>
      <c r="G22" s="47">
        <v>1</v>
      </c>
      <c r="H22" s="133">
        <f>IF(B$17=0,0,G22/B$17)</f>
        <v>8.8495575221238937E-3</v>
      </c>
      <c r="I22" s="94">
        <v>3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7968.141592920354</v>
      </c>
      <c r="C23" s="41">
        <v>900400</v>
      </c>
      <c r="E23" s="63" t="s">
        <v>89</v>
      </c>
      <c r="F23" s="60" t="s">
        <v>44</v>
      </c>
      <c r="G23" s="47">
        <v>1</v>
      </c>
      <c r="H23" s="133">
        <f>IF(B$17=0,0,G23/B$17)</f>
        <v>8.8495575221238937E-3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-7595.5555555555557</v>
      </c>
      <c r="C24" s="45">
        <v>-341800</v>
      </c>
      <c r="E24" s="63" t="s">
        <v>91</v>
      </c>
      <c r="F24" s="60" t="s">
        <v>46</v>
      </c>
      <c r="G24" s="47">
        <v>1</v>
      </c>
      <c r="H24" s="133">
        <f>IF(B$17=0,0,G24/B$17)</f>
        <v>8.8495575221238937E-3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4">
        <v>6</v>
      </c>
      <c r="C25" s="145"/>
      <c r="E25" s="63" t="s">
        <v>92</v>
      </c>
      <c r="F25" s="60" t="s">
        <v>47</v>
      </c>
      <c r="G25" s="47">
        <v>1</v>
      </c>
      <c r="H25" s="133">
        <f>IF(B$17=0,0,G25/B$17)</f>
        <v>8.8495575221238937E-3</v>
      </c>
      <c r="I25" s="94">
        <v>5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2">
        <v>86200</v>
      </c>
      <c r="C26" s="143"/>
      <c r="E26" s="63" t="s">
        <v>96</v>
      </c>
      <c r="F26" s="60" t="s">
        <v>51</v>
      </c>
      <c r="G26" s="47">
        <v>1</v>
      </c>
      <c r="H26" s="133">
        <f>IF(B$17=0,0,G26/B$17)</f>
        <v>8.8495575221238937E-3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362.4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375.79999999999995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381.09999999999997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340.79999999999995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319.49999999999994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349.39999999999992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349.19999999999993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374.49999999999994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357.89999999999992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312.09999999999991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325.09999999999991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360.49999999999989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365.39999999999986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A1E48-639A-4B4B-8DB0-7421E62C1E69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40</v>
      </c>
      <c r="C2" s="151"/>
      <c r="E2" s="62" t="s">
        <v>67</v>
      </c>
      <c r="F2" s="59" t="s">
        <v>23</v>
      </c>
      <c r="G2" s="46">
        <v>110</v>
      </c>
      <c r="H2" s="132">
        <f>IF(B$17=0,0,G2/B$17)</f>
        <v>0.99099099099099097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830.76923076923072</v>
      </c>
      <c r="P2" s="118">
        <v>39</v>
      </c>
      <c r="Q2" s="102">
        <v>32400</v>
      </c>
    </row>
    <row r="3" spans="1:17" x14ac:dyDescent="0.4">
      <c r="A3" s="55" t="s">
        <v>8</v>
      </c>
      <c r="B3" s="152">
        <v>356</v>
      </c>
      <c r="C3" s="153"/>
      <c r="E3" s="63" t="s">
        <v>73</v>
      </c>
      <c r="F3" s="60" t="s">
        <v>28</v>
      </c>
      <c r="G3" s="47">
        <v>74</v>
      </c>
      <c r="H3" s="133">
        <f>IF(B$17=0,0,G3/B$17)</f>
        <v>0.66666666666666663</v>
      </c>
      <c r="I3" s="94">
        <v>4</v>
      </c>
      <c r="K3" s="38">
        <v>1</v>
      </c>
      <c r="L3" s="99">
        <v>-45.6</v>
      </c>
      <c r="N3" s="115" t="s">
        <v>132</v>
      </c>
      <c r="O3" s="122">
        <f t="shared" si="0"/>
        <v>1265.7894736842106</v>
      </c>
      <c r="P3" s="119">
        <v>38</v>
      </c>
      <c r="Q3" s="103">
        <v>48100</v>
      </c>
    </row>
    <row r="4" spans="1:17" x14ac:dyDescent="0.4">
      <c r="A4" s="55" t="s">
        <v>6</v>
      </c>
      <c r="B4" s="154">
        <v>109.59999999999992</v>
      </c>
      <c r="C4" s="155"/>
      <c r="E4" s="63" t="s">
        <v>172</v>
      </c>
      <c r="F4" s="60" t="s">
        <v>173</v>
      </c>
      <c r="G4" s="47">
        <v>47</v>
      </c>
      <c r="H4" s="133">
        <f>IF(B$17=0,0,G4/B$17)</f>
        <v>0.42342342342342343</v>
      </c>
      <c r="I4" s="94">
        <v>1</v>
      </c>
      <c r="K4" s="38">
        <v>2</v>
      </c>
      <c r="L4" s="99">
        <v>-34.299999999999997</v>
      </c>
      <c r="N4" s="115" t="s">
        <v>133</v>
      </c>
      <c r="O4" s="122">
        <f t="shared" si="0"/>
        <v>1997.2972972972973</v>
      </c>
      <c r="P4" s="119">
        <v>37</v>
      </c>
      <c r="Q4" s="103">
        <v>73900</v>
      </c>
    </row>
    <row r="5" spans="1:17" x14ac:dyDescent="0.4">
      <c r="A5" s="55" t="s">
        <v>7</v>
      </c>
      <c r="B5" s="156">
        <f>IF(B$2=0,0,B$4/B$2)</f>
        <v>2.739999999999998</v>
      </c>
      <c r="C5" s="157"/>
      <c r="E5" s="63" t="s">
        <v>65</v>
      </c>
      <c r="F5" s="60" t="s">
        <v>21</v>
      </c>
      <c r="G5" s="47">
        <v>44</v>
      </c>
      <c r="H5" s="133">
        <f>IF(B$17=0,0,G5/B$17)</f>
        <v>0.3963963963963964</v>
      </c>
      <c r="I5" s="94">
        <v>8</v>
      </c>
      <c r="K5" s="38">
        <v>3</v>
      </c>
      <c r="L5" s="99">
        <v>-58.599999999999994</v>
      </c>
      <c r="N5" s="115" t="s">
        <v>134</v>
      </c>
      <c r="O5" s="122">
        <f t="shared" si="0"/>
        <v>2905.7142857142858</v>
      </c>
      <c r="P5" s="119">
        <v>35</v>
      </c>
      <c r="Q5" s="103">
        <v>101700</v>
      </c>
    </row>
    <row r="6" spans="1:17" x14ac:dyDescent="0.4">
      <c r="A6" s="55" t="s">
        <v>1</v>
      </c>
      <c r="B6" s="146">
        <f>IF(B$2=0,0,(B$7*1+B$8*2+B$9*3)/B$2)</f>
        <v>1.95</v>
      </c>
      <c r="C6" s="147"/>
      <c r="E6" s="63" t="s">
        <v>69</v>
      </c>
      <c r="F6" s="60" t="s">
        <v>12</v>
      </c>
      <c r="G6" s="47">
        <v>31</v>
      </c>
      <c r="H6" s="133">
        <f>IF(B$17=0,0,G6/B$17)</f>
        <v>0.27927927927927926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-3287.5</v>
      </c>
      <c r="P6" s="119">
        <v>32</v>
      </c>
      <c r="Q6" s="103">
        <v>-105200</v>
      </c>
    </row>
    <row r="7" spans="1:17" x14ac:dyDescent="0.4">
      <c r="A7" s="55" t="s">
        <v>2</v>
      </c>
      <c r="B7" s="47">
        <v>13</v>
      </c>
      <c r="C7" s="39">
        <f t="shared" ref="C7:C12" si="1">IF(B$2=0,0,B7/B$2)</f>
        <v>0.32500000000000001</v>
      </c>
      <c r="E7" s="63" t="s">
        <v>68</v>
      </c>
      <c r="F7" s="60" t="s">
        <v>24</v>
      </c>
      <c r="G7" s="47">
        <v>26</v>
      </c>
      <c r="H7" s="133">
        <f>IF(B$17=0,0,G7/B$17)</f>
        <v>0.23423423423423423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-884</v>
      </c>
      <c r="P7" s="120">
        <v>25</v>
      </c>
      <c r="Q7" s="104">
        <v>-22100</v>
      </c>
    </row>
    <row r="8" spans="1:17" x14ac:dyDescent="0.4">
      <c r="A8" s="55" t="s">
        <v>3</v>
      </c>
      <c r="B8" s="47">
        <v>16</v>
      </c>
      <c r="C8" s="39">
        <f t="shared" si="1"/>
        <v>0.4</v>
      </c>
      <c r="E8" s="63" t="s">
        <v>90</v>
      </c>
      <c r="F8" s="60" t="s">
        <v>45</v>
      </c>
      <c r="G8" s="47">
        <v>15</v>
      </c>
      <c r="H8" s="133">
        <f>IF(B$17=0,0,G8/B$17)</f>
        <v>0.13513513513513514</v>
      </c>
      <c r="I8" s="94">
        <v>4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si="1"/>
        <v>0.27500000000000002</v>
      </c>
      <c r="E9" s="63" t="s">
        <v>70</v>
      </c>
      <c r="F9" s="60" t="s">
        <v>25</v>
      </c>
      <c r="G9" s="47">
        <v>9</v>
      </c>
      <c r="H9" s="133">
        <f>IF(B$17=0,0,G9/B$17)</f>
        <v>8.1081081081081086E-2</v>
      </c>
      <c r="I9" s="94">
        <v>7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6</v>
      </c>
      <c r="C10" s="40">
        <f t="shared" si="1"/>
        <v>0.15</v>
      </c>
      <c r="E10" s="63" t="s">
        <v>66</v>
      </c>
      <c r="F10" s="60" t="s">
        <v>22</v>
      </c>
      <c r="G10" s="47">
        <v>8</v>
      </c>
      <c r="H10" s="133">
        <f>IF(B$17=0,0,G10/B$17)</f>
        <v>7.2072072072072071E-2</v>
      </c>
      <c r="I10" s="94">
        <v>8</v>
      </c>
      <c r="K10" s="38">
        <v>8</v>
      </c>
      <c r="L10" s="99">
        <v>-56.79999999999999</v>
      </c>
      <c r="N10" s="114" t="s">
        <v>163</v>
      </c>
      <c r="O10" s="124">
        <f>IF(P10=0,0,Q10/P10)</f>
        <v>10.054545454545455</v>
      </c>
      <c r="P10" s="118">
        <v>11</v>
      </c>
      <c r="Q10" s="106">
        <v>110.60000000000001</v>
      </c>
    </row>
    <row r="11" spans="1:17" x14ac:dyDescent="0.4">
      <c r="A11" s="56" t="s">
        <v>139</v>
      </c>
      <c r="B11" s="48">
        <v>6</v>
      </c>
      <c r="C11" s="40">
        <f t="shared" si="1"/>
        <v>0.15</v>
      </c>
      <c r="E11" s="63" t="s">
        <v>87</v>
      </c>
      <c r="F11" s="60" t="s">
        <v>42</v>
      </c>
      <c r="G11" s="47">
        <v>7</v>
      </c>
      <c r="H11" s="133">
        <f>IF(B$17=0,0,G11/B$17)</f>
        <v>6.3063063063063057E-2</v>
      </c>
      <c r="I11" s="94">
        <v>3</v>
      </c>
      <c r="K11" s="38">
        <v>9</v>
      </c>
      <c r="L11" s="99">
        <v>-83.699999999999989</v>
      </c>
      <c r="N11" s="115" t="s">
        <v>164</v>
      </c>
      <c r="O11" s="125">
        <f>IF(P11=0,0,Q11/P11)</f>
        <v>2.6166666666666658</v>
      </c>
      <c r="P11" s="119">
        <v>12</v>
      </c>
      <c r="Q11" s="107">
        <v>31.399999999999991</v>
      </c>
    </row>
    <row r="12" spans="1:17" x14ac:dyDescent="0.4">
      <c r="A12" s="57" t="s">
        <v>159</v>
      </c>
      <c r="B12" s="49">
        <v>8</v>
      </c>
      <c r="C12" s="42">
        <f t="shared" si="1"/>
        <v>0.2</v>
      </c>
      <c r="E12" s="63" t="s">
        <v>72</v>
      </c>
      <c r="F12" s="60" t="s">
        <v>27</v>
      </c>
      <c r="G12" s="47">
        <v>5</v>
      </c>
      <c r="H12" s="133">
        <f>IF(B$17=0,0,G12/B$17)</f>
        <v>4.5045045045045043E-2</v>
      </c>
      <c r="I12" s="94">
        <v>7</v>
      </c>
      <c r="K12" s="38">
        <v>10</v>
      </c>
      <c r="L12" s="99">
        <v>-78.399999999999991</v>
      </c>
      <c r="N12" s="116" t="s">
        <v>165</v>
      </c>
      <c r="O12" s="126">
        <f>IF(P12=0,0,Q12/P12)</f>
        <v>-1.9058823529411768</v>
      </c>
      <c r="P12" s="120">
        <v>17</v>
      </c>
      <c r="Q12" s="108">
        <v>-32.400000000000006</v>
      </c>
    </row>
    <row r="13" spans="1:17" x14ac:dyDescent="0.4">
      <c r="A13" s="58" t="s">
        <v>122</v>
      </c>
      <c r="B13" s="50">
        <v>77</v>
      </c>
      <c r="C13" s="44">
        <f>IF(B$3=0,0,B13/B$3)</f>
        <v>0.21629213483146068</v>
      </c>
      <c r="E13" s="63" t="s">
        <v>79</v>
      </c>
      <c r="F13" s="60" t="s">
        <v>34</v>
      </c>
      <c r="G13" s="47">
        <v>4</v>
      </c>
      <c r="H13" s="133">
        <f>IF(B$17=0,0,G13/B$17)</f>
        <v>3.6036036036036036E-2</v>
      </c>
      <c r="I13" s="94">
        <v>3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119</v>
      </c>
      <c r="C14" s="39">
        <f>IF(B$3=0,0,B14/B$3)</f>
        <v>0.3342696629213483</v>
      </c>
      <c r="E14" s="63" t="s">
        <v>84</v>
      </c>
      <c r="F14" s="60" t="s">
        <v>39</v>
      </c>
      <c r="G14" s="47">
        <v>4</v>
      </c>
      <c r="H14" s="133">
        <f>IF(B$17=0,0,G14/B$17)</f>
        <v>3.6036036036036036E-2</v>
      </c>
      <c r="I14" s="94">
        <v>9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43</v>
      </c>
      <c r="C15" s="37">
        <f>IF(B$13=0,0,B15/B$13)</f>
        <v>0.55844155844155841</v>
      </c>
      <c r="E15" s="63" t="s">
        <v>92</v>
      </c>
      <c r="F15" s="60" t="s">
        <v>47</v>
      </c>
      <c r="G15" s="47">
        <v>4</v>
      </c>
      <c r="H15" s="133">
        <f>IF(B$17=0,0,G15/B$17)</f>
        <v>3.6036036036036036E-2</v>
      </c>
      <c r="I15" s="94">
        <v>2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47</v>
      </c>
      <c r="C16" s="37">
        <f>IF(B$14=0,0,B16/B$14)</f>
        <v>0.3949579831932773</v>
      </c>
      <c r="E16" s="63" t="s">
        <v>71</v>
      </c>
      <c r="F16" s="60" t="s">
        <v>26</v>
      </c>
      <c r="G16" s="47">
        <v>3</v>
      </c>
      <c r="H16" s="133">
        <f>IF(B$17=0,0,G16/B$17)</f>
        <v>2.7027027027027029E-2</v>
      </c>
      <c r="I16" s="94">
        <v>9</v>
      </c>
      <c r="K16" s="38">
        <v>14</v>
      </c>
      <c r="L16" s="99">
        <v>-138.4</v>
      </c>
      <c r="N16" s="115" t="s">
        <v>183</v>
      </c>
      <c r="O16" s="125">
        <f>IF(P16=0,0,Q16/P16)</f>
        <v>32.799999999999997</v>
      </c>
      <c r="P16" s="119">
        <v>2</v>
      </c>
      <c r="Q16" s="107">
        <v>65.599999999999994</v>
      </c>
    </row>
    <row r="17" spans="1:17" x14ac:dyDescent="0.4">
      <c r="A17" s="54" t="s">
        <v>10</v>
      </c>
      <c r="B17" s="46">
        <f>B19+B18</f>
        <v>111</v>
      </c>
      <c r="C17" s="37">
        <f>IF(B$3=0,0,B17/B$3)</f>
        <v>0.31179775280898875</v>
      </c>
      <c r="E17" s="63" t="s">
        <v>80</v>
      </c>
      <c r="F17" s="60" t="s">
        <v>35</v>
      </c>
      <c r="G17" s="47">
        <v>2</v>
      </c>
      <c r="H17" s="133">
        <f>IF(B$17=0,0,G17/B$17)</f>
        <v>1.8018018018018018E-2</v>
      </c>
      <c r="I17" s="94">
        <v>3</v>
      </c>
      <c r="K17" s="38">
        <v>15</v>
      </c>
      <c r="L17" s="99">
        <v>-144.30000000000001</v>
      </c>
      <c r="N17" s="115" t="s">
        <v>179</v>
      </c>
      <c r="O17" s="125">
        <f>IF(P17=0,0,Q17/P17)</f>
        <v>27.13333333333334</v>
      </c>
      <c r="P17" s="119">
        <v>12</v>
      </c>
      <c r="Q17" s="107">
        <v>325.60000000000008</v>
      </c>
    </row>
    <row r="18" spans="1:17" x14ac:dyDescent="0.4">
      <c r="A18" s="55" t="s">
        <v>12</v>
      </c>
      <c r="B18" s="47">
        <v>40</v>
      </c>
      <c r="C18" s="39">
        <f>IF(B$17=0,0,B18/B$17)</f>
        <v>0.36036036036036034</v>
      </c>
      <c r="E18" s="63" t="s">
        <v>82</v>
      </c>
      <c r="F18" s="60" t="s">
        <v>37</v>
      </c>
      <c r="G18" s="47">
        <v>1</v>
      </c>
      <c r="H18" s="133">
        <f>IF(B$17=0,0,G18/B$17)</f>
        <v>9.0090090090090089E-3</v>
      </c>
      <c r="I18" s="94">
        <v>7</v>
      </c>
      <c r="K18" s="38">
        <v>16</v>
      </c>
      <c r="L18" s="99">
        <v>-187.3</v>
      </c>
      <c r="N18" s="115" t="s">
        <v>178</v>
      </c>
      <c r="O18" s="125">
        <f>IF(P18=0,0,Q18/P18)</f>
        <v>16.611111111111111</v>
      </c>
      <c r="P18" s="119">
        <v>9</v>
      </c>
      <c r="Q18" s="107">
        <v>149.5</v>
      </c>
    </row>
    <row r="19" spans="1:17" x14ac:dyDescent="0.4">
      <c r="A19" s="55" t="s">
        <v>11</v>
      </c>
      <c r="B19" s="47">
        <v>71</v>
      </c>
      <c r="C19" s="39">
        <f>IF(B$17=0,0,B19/B$17)</f>
        <v>0.63963963963963966</v>
      </c>
      <c r="E19" s="63" t="s">
        <v>168</v>
      </c>
      <c r="F19" s="60" t="s">
        <v>169</v>
      </c>
      <c r="G19" s="47">
        <v>1</v>
      </c>
      <c r="H19" s="133">
        <f>IF(B$17=0,0,G19/B$17)</f>
        <v>9.0090090090090089E-3</v>
      </c>
      <c r="I19" s="94">
        <v>4</v>
      </c>
      <c r="K19" s="38">
        <v>17</v>
      </c>
      <c r="L19" s="99">
        <v>-179.70000000000002</v>
      </c>
      <c r="N19" s="115" t="s">
        <v>180</v>
      </c>
      <c r="O19" s="125">
        <f>IF(P19=0,0,Q19/P19)</f>
        <v>2.4307692307692301</v>
      </c>
      <c r="P19" s="119">
        <v>13</v>
      </c>
      <c r="Q19" s="107">
        <v>31.599999999999994</v>
      </c>
    </row>
    <row r="20" spans="1:17" x14ac:dyDescent="0.4">
      <c r="A20" s="55" t="s">
        <v>13</v>
      </c>
      <c r="B20" s="47">
        <v>71</v>
      </c>
      <c r="C20" s="39">
        <f>IF(B$3=0,0,B20/B$3)</f>
        <v>0.199438202247191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167</v>
      </c>
      <c r="O20" s="125">
        <f>IF(P20=0,0,Q20/P20)</f>
        <v>-1.7100000000000009</v>
      </c>
      <c r="P20" s="119">
        <v>10</v>
      </c>
      <c r="Q20" s="107">
        <v>-17.100000000000009</v>
      </c>
    </row>
    <row r="21" spans="1:17" x14ac:dyDescent="0.4">
      <c r="A21" s="55" t="s">
        <v>170</v>
      </c>
      <c r="B21" s="47">
        <v>7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-162.40000000000003</v>
      </c>
      <c r="N21" s="115" t="s">
        <v>127</v>
      </c>
      <c r="O21" s="125">
        <f>IF(P21=0,0,Q21/P21)</f>
        <v>-11.432258064516125</v>
      </c>
      <c r="P21" s="119">
        <v>31</v>
      </c>
      <c r="Q21" s="107">
        <v>-354.39999999999986</v>
      </c>
    </row>
    <row r="22" spans="1:17" x14ac:dyDescent="0.4">
      <c r="A22" s="55" t="s">
        <v>171</v>
      </c>
      <c r="B22" s="47">
        <v>23</v>
      </c>
      <c r="C22" s="135">
        <v>0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  <c r="N22" s="115" t="s">
        <v>182</v>
      </c>
      <c r="O22" s="125">
        <f>IF(P22=0,0,Q22/P22)</f>
        <v>-22.6</v>
      </c>
      <c r="P22" s="119">
        <v>1</v>
      </c>
      <c r="Q22" s="107">
        <v>-22.6</v>
      </c>
    </row>
    <row r="23" spans="1:17" x14ac:dyDescent="0.4">
      <c r="A23" s="55" t="s">
        <v>5</v>
      </c>
      <c r="B23" s="51">
        <f>IF(B$17=0,0,C23/B$17)</f>
        <v>8645.0450450450444</v>
      </c>
      <c r="C23" s="41">
        <v>959600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-7635.211267605634</v>
      </c>
      <c r="C24" s="45">
        <v>-542100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-38.400000000000034</v>
      </c>
    </row>
    <row r="25" spans="1:17" x14ac:dyDescent="0.4">
      <c r="A25" s="90" t="s">
        <v>141</v>
      </c>
      <c r="B25" s="144">
        <v>5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-37.600000000000037</v>
      </c>
    </row>
    <row r="26" spans="1:17" x14ac:dyDescent="0.4">
      <c r="A26" s="58" t="s">
        <v>151</v>
      </c>
      <c r="B26" s="142">
        <v>91800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-37.600000000000037</v>
      </c>
    </row>
    <row r="27" spans="1:17" x14ac:dyDescent="0.4">
      <c r="A27" s="57" t="s">
        <v>142</v>
      </c>
      <c r="B27" s="65">
        <v>1</v>
      </c>
      <c r="C27" s="42">
        <f>IF(B$3=0,0,B27/B$3)</f>
        <v>2.8089887640449437E-3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-10.700000000000038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-2.6000000000000387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-34.100000000000037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40.799999999999962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63.499999999999957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144.79999999999995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153.39999999999995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171.89999999999995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164.59999999999994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156.59999999999994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110.89999999999993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158.79999999999993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109.59999999999992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25D5-87A6-418C-B88F-8855CF46B74E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180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22</v>
      </c>
      <c r="C2" s="151"/>
      <c r="E2" s="62" t="s">
        <v>67</v>
      </c>
      <c r="F2" s="59" t="s">
        <v>23</v>
      </c>
      <c r="G2" s="46">
        <v>39</v>
      </c>
      <c r="H2" s="132">
        <f>IF(B$17=0,0,G2/B$17)</f>
        <v>0.6964285714285714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842.85714285714289</v>
      </c>
      <c r="P2" s="118">
        <v>21</v>
      </c>
      <c r="Q2" s="102">
        <v>17700</v>
      </c>
    </row>
    <row r="3" spans="1:17" x14ac:dyDescent="0.4">
      <c r="A3" s="55" t="s">
        <v>8</v>
      </c>
      <c r="B3" s="152">
        <v>195</v>
      </c>
      <c r="C3" s="153"/>
      <c r="E3" s="63" t="s">
        <v>73</v>
      </c>
      <c r="F3" s="60" t="s">
        <v>28</v>
      </c>
      <c r="G3" s="47">
        <v>33</v>
      </c>
      <c r="H3" s="133">
        <f>IF(B$17=0,0,G3/B$17)</f>
        <v>0.5892857142857143</v>
      </c>
      <c r="I3" s="94">
        <v>6</v>
      </c>
      <c r="K3" s="38">
        <v>1</v>
      </c>
      <c r="L3" s="99">
        <v>-37.799999999999997</v>
      </c>
      <c r="N3" s="115" t="s">
        <v>132</v>
      </c>
      <c r="O3" s="122">
        <f t="shared" si="0"/>
        <v>-947.61904761904759</v>
      </c>
      <c r="P3" s="119">
        <v>21</v>
      </c>
      <c r="Q3" s="103">
        <v>-19900</v>
      </c>
    </row>
    <row r="4" spans="1:17" x14ac:dyDescent="0.4">
      <c r="A4" s="55" t="s">
        <v>6</v>
      </c>
      <c r="B4" s="154">
        <v>-164.60000000000002</v>
      </c>
      <c r="C4" s="155"/>
      <c r="E4" s="63" t="s">
        <v>65</v>
      </c>
      <c r="F4" s="60" t="s">
        <v>21</v>
      </c>
      <c r="G4" s="47">
        <v>30</v>
      </c>
      <c r="H4" s="133">
        <f>IF(B$17=0,0,G4/B$17)</f>
        <v>0.5357142857142857</v>
      </c>
      <c r="I4" s="94">
        <v>3</v>
      </c>
      <c r="K4" s="38">
        <v>2</v>
      </c>
      <c r="L4" s="99">
        <v>-30.099999999999998</v>
      </c>
      <c r="N4" s="115" t="s">
        <v>133</v>
      </c>
      <c r="O4" s="122">
        <f t="shared" si="0"/>
        <v>1442.8571428571429</v>
      </c>
      <c r="P4" s="119">
        <v>21</v>
      </c>
      <c r="Q4" s="103">
        <v>30300</v>
      </c>
    </row>
    <row r="5" spans="1:17" x14ac:dyDescent="0.4">
      <c r="A5" s="55" t="s">
        <v>7</v>
      </c>
      <c r="B5" s="156">
        <f>IF(B$2=0,0,B$4/B$2)</f>
        <v>-7.4818181818181833</v>
      </c>
      <c r="C5" s="157"/>
      <c r="E5" s="63" t="s">
        <v>172</v>
      </c>
      <c r="F5" s="60" t="s">
        <v>173</v>
      </c>
      <c r="G5" s="47">
        <v>21</v>
      </c>
      <c r="H5" s="133">
        <f>IF(B$17=0,0,G5/B$17)</f>
        <v>0.375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-2073.6842105263158</v>
      </c>
      <c r="P5" s="119">
        <v>19</v>
      </c>
      <c r="Q5" s="103">
        <v>-39400</v>
      </c>
    </row>
    <row r="6" spans="1:17" x14ac:dyDescent="0.4">
      <c r="A6" s="55" t="s">
        <v>1</v>
      </c>
      <c r="B6" s="146">
        <f>IF(B$2=0,0,(B$7*1+B$8*2+B$9*3)/B$2)</f>
        <v>2.2727272727272729</v>
      </c>
      <c r="C6" s="147"/>
      <c r="E6" s="63" t="s">
        <v>68</v>
      </c>
      <c r="F6" s="60" t="s">
        <v>24</v>
      </c>
      <c r="G6" s="47">
        <v>13</v>
      </c>
      <c r="H6" s="133">
        <f>IF(B$17=0,0,G6/B$17)</f>
        <v>0.23214285714285715</v>
      </c>
      <c r="I6" s="94">
        <v>7</v>
      </c>
      <c r="K6" s="38">
        <v>4</v>
      </c>
      <c r="L6" s="99">
        <v>-54.899999999999991</v>
      </c>
      <c r="N6" s="115" t="s">
        <v>135</v>
      </c>
      <c r="O6" s="122">
        <f t="shared" si="0"/>
        <v>-4883.333333333333</v>
      </c>
      <c r="P6" s="119">
        <v>18</v>
      </c>
      <c r="Q6" s="103">
        <v>-87900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0.18181818181818182</v>
      </c>
      <c r="E7" s="63" t="s">
        <v>69</v>
      </c>
      <c r="F7" s="60" t="s">
        <v>12</v>
      </c>
      <c r="G7" s="47">
        <v>12</v>
      </c>
      <c r="H7" s="133">
        <f>IF(B$17=0,0,G7/B$17)</f>
        <v>0.21428571428571427</v>
      </c>
      <c r="I7" s="94">
        <v>9</v>
      </c>
      <c r="K7" s="38">
        <v>5</v>
      </c>
      <c r="L7" s="99">
        <v>-33.699999999999989</v>
      </c>
      <c r="N7" s="116" t="s">
        <v>136</v>
      </c>
      <c r="O7" s="123">
        <f t="shared" si="0"/>
        <v>-2162.5</v>
      </c>
      <c r="P7" s="120">
        <v>16</v>
      </c>
      <c r="Q7" s="104">
        <v>-34600</v>
      </c>
    </row>
    <row r="8" spans="1:17" x14ac:dyDescent="0.4">
      <c r="A8" s="55" t="s">
        <v>3</v>
      </c>
      <c r="B8" s="47">
        <v>8</v>
      </c>
      <c r="C8" s="39">
        <f t="shared" si="1"/>
        <v>0.36363636363636365</v>
      </c>
      <c r="E8" s="63" t="s">
        <v>70</v>
      </c>
      <c r="F8" s="60" t="s">
        <v>25</v>
      </c>
      <c r="G8" s="47">
        <v>8</v>
      </c>
      <c r="H8" s="133">
        <f>IF(B$17=0,0,G8/B$17)</f>
        <v>0.14285714285714285</v>
      </c>
      <c r="I8" s="94">
        <v>4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10</v>
      </c>
      <c r="C9" s="40">
        <f t="shared" si="1"/>
        <v>0.45454545454545453</v>
      </c>
      <c r="E9" s="63" t="s">
        <v>66</v>
      </c>
      <c r="F9" s="60" t="s">
        <v>22</v>
      </c>
      <c r="G9" s="47">
        <v>7</v>
      </c>
      <c r="H9" s="133">
        <f>IF(B$17=0,0,G9/B$17)</f>
        <v>0.125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9.0909090909090912E-2</v>
      </c>
      <c r="E10" s="63" t="s">
        <v>71</v>
      </c>
      <c r="F10" s="60" t="s">
        <v>26</v>
      </c>
      <c r="G10" s="47">
        <v>7</v>
      </c>
      <c r="H10" s="133">
        <f>IF(B$17=0,0,G10/B$17)</f>
        <v>0.125</v>
      </c>
      <c r="I10" s="94">
        <v>3</v>
      </c>
      <c r="K10" s="38">
        <v>8</v>
      </c>
      <c r="L10" s="99">
        <v>-62.999999999999993</v>
      </c>
      <c r="N10" s="114" t="s">
        <v>163</v>
      </c>
      <c r="O10" s="124">
        <f>IF(P10=0,0,Q10/P10)</f>
        <v>5.5399999999999991</v>
      </c>
      <c r="P10" s="118">
        <v>10</v>
      </c>
      <c r="Q10" s="106">
        <v>55.399999999999991</v>
      </c>
    </row>
    <row r="11" spans="1:17" x14ac:dyDescent="0.4">
      <c r="A11" s="56" t="s">
        <v>139</v>
      </c>
      <c r="B11" s="48">
        <v>2</v>
      </c>
      <c r="C11" s="40">
        <f t="shared" si="1"/>
        <v>9.0909090909090912E-2</v>
      </c>
      <c r="E11" s="63" t="s">
        <v>84</v>
      </c>
      <c r="F11" s="60" t="s">
        <v>39</v>
      </c>
      <c r="G11" s="47">
        <v>6</v>
      </c>
      <c r="H11" s="133">
        <f>IF(B$17=0,0,G11/B$17)</f>
        <v>0.10714285714285714</v>
      </c>
      <c r="I11" s="94">
        <v>2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 x14ac:dyDescent="0.4">
      <c r="A12" s="57" t="s">
        <v>159</v>
      </c>
      <c r="B12" s="49">
        <v>1</v>
      </c>
      <c r="C12" s="42">
        <f t="shared" si="1"/>
        <v>4.5454545454545456E-2</v>
      </c>
      <c r="E12" s="63" t="s">
        <v>90</v>
      </c>
      <c r="F12" s="60" t="s">
        <v>45</v>
      </c>
      <c r="G12" s="47">
        <v>5</v>
      </c>
      <c r="H12" s="133">
        <f>IF(B$17=0,0,G12/B$17)</f>
        <v>8.9285714285714288E-2</v>
      </c>
      <c r="I12" s="94">
        <v>7</v>
      </c>
      <c r="K12" s="38">
        <v>10</v>
      </c>
      <c r="L12" s="99">
        <v>-117.19999999999999</v>
      </c>
      <c r="N12" s="116" t="s">
        <v>165</v>
      </c>
      <c r="O12" s="126">
        <f>IF(P12=0,0,Q12/P12)</f>
        <v>-19.583333333333332</v>
      </c>
      <c r="P12" s="120">
        <v>6</v>
      </c>
      <c r="Q12" s="108">
        <v>-117.49999999999999</v>
      </c>
    </row>
    <row r="13" spans="1:17" x14ac:dyDescent="0.4">
      <c r="A13" s="58" t="s">
        <v>122</v>
      </c>
      <c r="B13" s="50">
        <v>48</v>
      </c>
      <c r="C13" s="44">
        <f>IF(B$3=0,0,B13/B$3)</f>
        <v>0.24615384615384617</v>
      </c>
      <c r="E13" s="63" t="s">
        <v>72</v>
      </c>
      <c r="F13" s="60" t="s">
        <v>27</v>
      </c>
      <c r="G13" s="47">
        <v>4</v>
      </c>
      <c r="H13" s="133">
        <f>IF(B$17=0,0,G13/B$17)</f>
        <v>7.1428571428571425E-2</v>
      </c>
      <c r="I13" s="94">
        <v>3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</v>
      </c>
      <c r="C14" s="39">
        <f>IF(B$3=0,0,B14/B$3)</f>
        <v>0.2</v>
      </c>
      <c r="E14" s="63" t="s">
        <v>79</v>
      </c>
      <c r="F14" s="60" t="s">
        <v>34</v>
      </c>
      <c r="G14" s="47">
        <v>2</v>
      </c>
      <c r="H14" s="133">
        <f>IF(B$17=0,0,G14/B$17)</f>
        <v>3.5714285714285712E-2</v>
      </c>
      <c r="I14" s="94">
        <v>4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30</v>
      </c>
      <c r="C15" s="37">
        <f>IF(B$13=0,0,B15/B$13)</f>
        <v>0.625</v>
      </c>
      <c r="E15" s="63" t="s">
        <v>82</v>
      </c>
      <c r="F15" s="60" t="s">
        <v>37</v>
      </c>
      <c r="G15" s="47">
        <v>2</v>
      </c>
      <c r="H15" s="133">
        <f>IF(B$17=0,0,G15/B$17)</f>
        <v>3.5714285714285712E-2</v>
      </c>
      <c r="I15" s="94">
        <v>4</v>
      </c>
      <c r="K15" s="38">
        <v>13</v>
      </c>
      <c r="L15" s="99">
        <v>-207.3</v>
      </c>
      <c r="N15" s="114" t="s">
        <v>167</v>
      </c>
      <c r="O15" s="124">
        <f>IF(P15=0,0,Q15/P15)</f>
        <v>17.383333333333329</v>
      </c>
      <c r="P15" s="118">
        <v>6</v>
      </c>
      <c r="Q15" s="106">
        <v>104.29999999999998</v>
      </c>
    </row>
    <row r="16" spans="1:17" x14ac:dyDescent="0.4">
      <c r="A16" s="54" t="s">
        <v>125</v>
      </c>
      <c r="B16" s="46">
        <v>17</v>
      </c>
      <c r="C16" s="37">
        <f>IF(B$14=0,0,B16/B$14)</f>
        <v>0.4358974358974359</v>
      </c>
      <c r="E16" s="63" t="s">
        <v>87</v>
      </c>
      <c r="F16" s="60" t="s">
        <v>42</v>
      </c>
      <c r="G16" s="47">
        <v>2</v>
      </c>
      <c r="H16" s="133">
        <f>IF(B$17=0,0,G16/B$17)</f>
        <v>3.5714285714285712E-2</v>
      </c>
      <c r="I16" s="94">
        <v>8</v>
      </c>
      <c r="K16" s="38">
        <v>14</v>
      </c>
      <c r="L16" s="99">
        <v>-204.8</v>
      </c>
      <c r="N16" s="115" t="s">
        <v>128</v>
      </c>
      <c r="O16" s="125">
        <f>IF(P16=0,0,Q16/P16)</f>
        <v>-2.4307692307692315</v>
      </c>
      <c r="P16" s="119">
        <v>13</v>
      </c>
      <c r="Q16" s="107">
        <v>-31.600000000000009</v>
      </c>
    </row>
    <row r="17" spans="1:17" x14ac:dyDescent="0.4">
      <c r="A17" s="54" t="s">
        <v>10</v>
      </c>
      <c r="B17" s="46">
        <f>B19+B18</f>
        <v>56</v>
      </c>
      <c r="C17" s="37">
        <f>IF(B$3=0,0,B17/B$3)</f>
        <v>0.28717948717948716</v>
      </c>
      <c r="E17" s="63" t="s">
        <v>80</v>
      </c>
      <c r="F17" s="60" t="s">
        <v>35</v>
      </c>
      <c r="G17" s="47">
        <v>1</v>
      </c>
      <c r="H17" s="133">
        <f>IF(B$17=0,0,G17/B$17)</f>
        <v>1.7857142857142856E-2</v>
      </c>
      <c r="I17" s="94">
        <v>4</v>
      </c>
      <c r="K17" s="38">
        <v>15</v>
      </c>
      <c r="L17" s="99">
        <v>-221.5</v>
      </c>
      <c r="N17" s="115" t="s">
        <v>182</v>
      </c>
      <c r="O17" s="125">
        <f>IF(P17=0,0,Q17/P17)</f>
        <v>-11.459999999999997</v>
      </c>
      <c r="P17" s="119">
        <v>5</v>
      </c>
      <c r="Q17" s="107">
        <v>-57.299999999999983</v>
      </c>
    </row>
    <row r="18" spans="1:17" x14ac:dyDescent="0.4">
      <c r="A18" s="55" t="s">
        <v>12</v>
      </c>
      <c r="B18" s="47">
        <v>20</v>
      </c>
      <c r="C18" s="39">
        <f>IF(B$17=0,0,B18/B$17)</f>
        <v>0.35714285714285715</v>
      </c>
      <c r="E18" s="63" t="s">
        <v>92</v>
      </c>
      <c r="F18" s="60" t="s">
        <v>47</v>
      </c>
      <c r="G18" s="47">
        <v>1</v>
      </c>
      <c r="H18" s="133">
        <f>IF(B$17=0,0,G18/B$17)</f>
        <v>1.7857142857142856E-2</v>
      </c>
      <c r="I18" s="94">
        <v>3</v>
      </c>
      <c r="K18" s="38">
        <v>16</v>
      </c>
      <c r="L18" s="99">
        <v>-224.3</v>
      </c>
      <c r="N18" s="115" t="s">
        <v>127</v>
      </c>
      <c r="O18" s="125">
        <f>IF(P18=0,0,Q18/P18)</f>
        <v>-17.933333333333337</v>
      </c>
      <c r="P18" s="119">
        <v>15</v>
      </c>
      <c r="Q18" s="107">
        <v>-269.00000000000006</v>
      </c>
    </row>
    <row r="19" spans="1:17" x14ac:dyDescent="0.4">
      <c r="A19" s="55" t="s">
        <v>11</v>
      </c>
      <c r="B19" s="47">
        <v>36</v>
      </c>
      <c r="C19" s="39">
        <f>IF(B$17=0,0,B19/B$17)</f>
        <v>0.6428571428571429</v>
      </c>
      <c r="E19" s="63" t="s">
        <v>168</v>
      </c>
      <c r="F19" s="60" t="s">
        <v>169</v>
      </c>
      <c r="G19" s="47">
        <v>1</v>
      </c>
      <c r="H19" s="133">
        <f>IF(B$17=0,0,G19/B$17)</f>
        <v>1.7857142857142856E-2</v>
      </c>
      <c r="I19" s="94">
        <v>2</v>
      </c>
      <c r="K19" s="38">
        <v>17</v>
      </c>
      <c r="L19" s="99">
        <v>-251.4</v>
      </c>
      <c r="N19" s="115" t="s">
        <v>178</v>
      </c>
      <c r="O19" s="125">
        <f>IF(P19=0,0,Q19/P19)</f>
        <v>-28.699999999999996</v>
      </c>
      <c r="P19" s="119">
        <v>1</v>
      </c>
      <c r="Q19" s="107">
        <v>-28.699999999999996</v>
      </c>
    </row>
    <row r="20" spans="1:17" x14ac:dyDescent="0.4">
      <c r="A20" s="55" t="s">
        <v>13</v>
      </c>
      <c r="B20" s="47">
        <v>41</v>
      </c>
      <c r="C20" s="39">
        <f>IF(B$3=0,0,B20/B$3)</f>
        <v>0.21025641025641026</v>
      </c>
      <c r="E20" s="63" t="s">
        <v>74</v>
      </c>
      <c r="F20" s="60" t="s">
        <v>29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-240</v>
      </c>
      <c r="N20" s="115" t="s">
        <v>179</v>
      </c>
      <c r="O20" s="125">
        <f>IF(P20=0,0,Q20/P20)</f>
        <v>-51.633333333333326</v>
      </c>
      <c r="P20" s="119">
        <v>3</v>
      </c>
      <c r="Q20" s="107">
        <v>-154.89999999999998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3</v>
      </c>
      <c r="K21" s="38">
        <v>19</v>
      </c>
      <c r="L21" s="99">
        <v>-218</v>
      </c>
      <c r="N21" s="115" t="s">
        <v>196</v>
      </c>
      <c r="O21" s="125">
        <f>IF(P21=0,0,Q21/P21)</f>
        <v>-56.6</v>
      </c>
      <c r="P21" s="119">
        <v>1</v>
      </c>
      <c r="Q21" s="107">
        <v>-56.6</v>
      </c>
    </row>
    <row r="22" spans="1:17" x14ac:dyDescent="0.4">
      <c r="A22" s="55" t="s">
        <v>171</v>
      </c>
      <c r="B22" s="47">
        <v>13</v>
      </c>
      <c r="C22" s="135">
        <v>5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-177.6</v>
      </c>
    </row>
    <row r="23" spans="1:17" x14ac:dyDescent="0.4">
      <c r="A23" s="55" t="s">
        <v>5</v>
      </c>
      <c r="B23" s="51">
        <f>IF(B$17=0,0,C23/B$17)</f>
        <v>7778.5714285714284</v>
      </c>
      <c r="C23" s="41">
        <v>435600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-133.30000000000001</v>
      </c>
    </row>
    <row r="24" spans="1:17" x14ac:dyDescent="0.4">
      <c r="A24" s="57" t="s">
        <v>14</v>
      </c>
      <c r="B24" s="52">
        <f>IF(B$20=0,0,C24/B$20)</f>
        <v>-7934.1463414634145</v>
      </c>
      <c r="C24" s="45">
        <v>-325300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4</v>
      </c>
      <c r="K24" s="38">
        <v>22</v>
      </c>
      <c r="L24" s="99">
        <v>-164.60000000000002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69300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1</v>
      </c>
      <c r="C27" s="42">
        <f>IF(B$3=0,0,B27/B$3)</f>
        <v>5.1282051282051282E-3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EB363-C5C6-4103-B42C-FBBA8658C4CA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15</v>
      </c>
      <c r="C2" s="151"/>
      <c r="E2" s="62" t="s">
        <v>73</v>
      </c>
      <c r="F2" s="59" t="s">
        <v>28</v>
      </c>
      <c r="G2" s="46">
        <v>21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653.33333333333337</v>
      </c>
      <c r="P2" s="118">
        <v>15</v>
      </c>
      <c r="Q2" s="102">
        <v>9800</v>
      </c>
    </row>
    <row r="3" spans="1:17" x14ac:dyDescent="0.4">
      <c r="A3" s="55" t="s">
        <v>8</v>
      </c>
      <c r="B3" s="152">
        <v>122</v>
      </c>
      <c r="C3" s="153"/>
      <c r="E3" s="63" t="s">
        <v>67</v>
      </c>
      <c r="F3" s="60" t="s">
        <v>23</v>
      </c>
      <c r="G3" s="47">
        <v>18</v>
      </c>
      <c r="H3" s="133">
        <f>IF(B$17=0,0,G3/B$17)</f>
        <v>0.66666666666666663</v>
      </c>
      <c r="I3" s="94">
        <v>8</v>
      </c>
      <c r="K3" s="38">
        <v>1</v>
      </c>
      <c r="L3" s="99">
        <v>-9.1</v>
      </c>
      <c r="N3" s="115" t="s">
        <v>132</v>
      </c>
      <c r="O3" s="122">
        <f t="shared" si="0"/>
        <v>-2964.2857142857142</v>
      </c>
      <c r="P3" s="119">
        <v>14</v>
      </c>
      <c r="Q3" s="103">
        <v>-41500</v>
      </c>
    </row>
    <row r="4" spans="1:17" x14ac:dyDescent="0.4">
      <c r="A4" s="55" t="s">
        <v>6</v>
      </c>
      <c r="B4" s="154">
        <v>-101.79999999999997</v>
      </c>
      <c r="C4" s="155"/>
      <c r="E4" s="63" t="s">
        <v>90</v>
      </c>
      <c r="F4" s="60" t="s">
        <v>45</v>
      </c>
      <c r="G4" s="47">
        <v>11</v>
      </c>
      <c r="H4" s="133">
        <f>IF(B$17=0,0,G4/B$17)</f>
        <v>0.40740740740740738</v>
      </c>
      <c r="I4" s="94">
        <v>1</v>
      </c>
      <c r="K4" s="38">
        <v>2</v>
      </c>
      <c r="L4" s="99">
        <v>-67.3</v>
      </c>
      <c r="N4" s="115" t="s">
        <v>133</v>
      </c>
      <c r="O4" s="122">
        <f t="shared" si="0"/>
        <v>-4046.1538461538462</v>
      </c>
      <c r="P4" s="119">
        <v>13</v>
      </c>
      <c r="Q4" s="103">
        <v>-52600</v>
      </c>
    </row>
    <row r="5" spans="1:17" x14ac:dyDescent="0.4">
      <c r="A5" s="55" t="s">
        <v>7</v>
      </c>
      <c r="B5" s="156">
        <f>IF(B$2=0,0,B$4/B$2)</f>
        <v>-6.7866666666666644</v>
      </c>
      <c r="C5" s="157"/>
      <c r="E5" s="63" t="s">
        <v>68</v>
      </c>
      <c r="F5" s="60" t="s">
        <v>24</v>
      </c>
      <c r="G5" s="47">
        <v>8</v>
      </c>
      <c r="H5" s="133">
        <f>IF(B$17=0,0,G5/B$17)</f>
        <v>0.29629629629629628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5375</v>
      </c>
      <c r="P5" s="119">
        <v>12</v>
      </c>
      <c r="Q5" s="103">
        <v>64500</v>
      </c>
    </row>
    <row r="6" spans="1:17" x14ac:dyDescent="0.4">
      <c r="A6" s="55" t="s">
        <v>1</v>
      </c>
      <c r="B6" s="146">
        <f>IF(B$2=0,0,(B$7*1+B$8*2+B$9*3)/B$2)</f>
        <v>2.1333333333333333</v>
      </c>
      <c r="C6" s="147"/>
      <c r="E6" s="63" t="s">
        <v>65</v>
      </c>
      <c r="F6" s="60" t="s">
        <v>21</v>
      </c>
      <c r="G6" s="47">
        <v>7</v>
      </c>
      <c r="H6" s="133">
        <f>IF(B$17=0,0,G6/B$17)</f>
        <v>0.25925925925925924</v>
      </c>
      <c r="I6" s="94">
        <v>10</v>
      </c>
      <c r="K6" s="38">
        <v>4</v>
      </c>
      <c r="L6" s="99">
        <v>-74.599999999999994</v>
      </c>
      <c r="N6" s="115" t="s">
        <v>135</v>
      </c>
      <c r="O6" s="122">
        <f t="shared" si="0"/>
        <v>1480</v>
      </c>
      <c r="P6" s="119">
        <v>10</v>
      </c>
      <c r="Q6" s="103">
        <v>14800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0.26666666666666666</v>
      </c>
      <c r="E7" s="63" t="s">
        <v>69</v>
      </c>
      <c r="F7" s="60" t="s">
        <v>12</v>
      </c>
      <c r="G7" s="47">
        <v>6</v>
      </c>
      <c r="H7" s="133">
        <f>IF(B$17=0,0,G7/B$17)</f>
        <v>0.22222222222222221</v>
      </c>
      <c r="I7" s="94">
        <v>8</v>
      </c>
      <c r="K7" s="38">
        <v>5</v>
      </c>
      <c r="L7" s="99">
        <v>-118.3</v>
      </c>
      <c r="N7" s="116" t="s">
        <v>136</v>
      </c>
      <c r="O7" s="123">
        <f t="shared" si="0"/>
        <v>-10971.428571428571</v>
      </c>
      <c r="P7" s="120">
        <v>7</v>
      </c>
      <c r="Q7" s="104">
        <v>-76800</v>
      </c>
    </row>
    <row r="8" spans="1:17" x14ac:dyDescent="0.4">
      <c r="A8" s="55" t="s">
        <v>3</v>
      </c>
      <c r="B8" s="47">
        <v>5</v>
      </c>
      <c r="C8" s="39">
        <f t="shared" si="1"/>
        <v>0.33333333333333331</v>
      </c>
      <c r="E8" s="63" t="s">
        <v>84</v>
      </c>
      <c r="F8" s="60" t="s">
        <v>39</v>
      </c>
      <c r="G8" s="47">
        <v>3</v>
      </c>
      <c r="H8" s="133">
        <f>IF(B$17=0,0,G8/B$17)</f>
        <v>0.1111111111111111</v>
      </c>
      <c r="I8" s="94">
        <v>1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0.4</v>
      </c>
      <c r="E9" s="63" t="s">
        <v>93</v>
      </c>
      <c r="F9" s="60" t="s">
        <v>48</v>
      </c>
      <c r="G9" s="47">
        <v>3</v>
      </c>
      <c r="H9" s="133">
        <f>IF(B$17=0,0,G9/B$17)</f>
        <v>0.1111111111111111</v>
      </c>
      <c r="I9" s="94">
        <v>1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0.26666666666666666</v>
      </c>
      <c r="E10" s="63" t="s">
        <v>172</v>
      </c>
      <c r="F10" s="60" t="s">
        <v>173</v>
      </c>
      <c r="G10" s="47">
        <v>3</v>
      </c>
      <c r="H10" s="133">
        <f>IF(B$17=0,0,G10/B$17)</f>
        <v>0.1111111111111111</v>
      </c>
      <c r="I10" s="94">
        <v>10</v>
      </c>
      <c r="K10" s="38">
        <v>8</v>
      </c>
      <c r="L10" s="99">
        <v>-110.19999999999999</v>
      </c>
      <c r="N10" s="114" t="s">
        <v>163</v>
      </c>
      <c r="O10" s="124">
        <f>IF(P10=0,0,Q10/P10)</f>
        <v>2.0875000000000008</v>
      </c>
      <c r="P10" s="118">
        <v>8</v>
      </c>
      <c r="Q10" s="106">
        <v>16.700000000000006</v>
      </c>
    </row>
    <row r="11" spans="1:17" x14ac:dyDescent="0.4">
      <c r="A11" s="56" t="s">
        <v>139</v>
      </c>
      <c r="B11" s="48">
        <v>4</v>
      </c>
      <c r="C11" s="40">
        <f t="shared" si="1"/>
        <v>0.26666666666666666</v>
      </c>
      <c r="E11" s="63" t="s">
        <v>70</v>
      </c>
      <c r="F11" s="60" t="s">
        <v>25</v>
      </c>
      <c r="G11" s="47">
        <v>2</v>
      </c>
      <c r="H11" s="133">
        <f>IF(B$17=0,0,G11/B$17)</f>
        <v>7.407407407407407E-2</v>
      </c>
      <c r="I11" s="94">
        <v>8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2</v>
      </c>
      <c r="H12" s="133">
        <f>IF(B$17=0,0,G12/B$17)</f>
        <v>7.407407407407407E-2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-13.724999999999998</v>
      </c>
      <c r="P12" s="120">
        <v>4</v>
      </c>
      <c r="Q12" s="108">
        <v>-54.899999999999991</v>
      </c>
    </row>
    <row r="13" spans="1:17" x14ac:dyDescent="0.4">
      <c r="A13" s="58" t="s">
        <v>122</v>
      </c>
      <c r="B13" s="50">
        <v>28</v>
      </c>
      <c r="C13" s="44">
        <f>IF(B$3=0,0,B13/B$3)</f>
        <v>0.22950819672131148</v>
      </c>
      <c r="E13" s="63" t="s">
        <v>66</v>
      </c>
      <c r="F13" s="60" t="s">
        <v>22</v>
      </c>
      <c r="G13" s="47">
        <v>1</v>
      </c>
      <c r="H13" s="133">
        <f>IF(B$17=0,0,G13/B$17)</f>
        <v>3.7037037037037035E-2</v>
      </c>
      <c r="I13" s="94">
        <v>10</v>
      </c>
      <c r="K13" s="38">
        <v>11</v>
      </c>
      <c r="L13" s="99">
        <v>-163.69999999999999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29</v>
      </c>
      <c r="C14" s="39">
        <f>IF(B$3=0,0,B14/B$3)</f>
        <v>0.23770491803278687</v>
      </c>
      <c r="E14" s="63" t="s">
        <v>72</v>
      </c>
      <c r="F14" s="60" t="s">
        <v>27</v>
      </c>
      <c r="G14" s="47">
        <v>1</v>
      </c>
      <c r="H14" s="133">
        <f>IF(B$17=0,0,G14/B$17)</f>
        <v>3.7037037037037035E-2</v>
      </c>
      <c r="I14" s="94">
        <v>9</v>
      </c>
      <c r="K14" s="38">
        <v>12</v>
      </c>
      <c r="L14" s="99">
        <v>-110.49999999999999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7</v>
      </c>
      <c r="C15" s="37">
        <f>IF(B$13=0,0,B15/B$13)</f>
        <v>0.25</v>
      </c>
      <c r="E15" s="63" t="s">
        <v>87</v>
      </c>
      <c r="F15" s="60" t="s">
        <v>42</v>
      </c>
      <c r="G15" s="47">
        <v>1</v>
      </c>
      <c r="H15" s="133">
        <f>IF(B$17=0,0,G15/B$17)</f>
        <v>3.7037037037037035E-2</v>
      </c>
      <c r="I15" s="94">
        <v>7</v>
      </c>
      <c r="K15" s="38">
        <v>13</v>
      </c>
      <c r="L15" s="99">
        <v>-132.39999999999998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13</v>
      </c>
      <c r="C16" s="37">
        <f>IF(B$14=0,0,B16/B$14)</f>
        <v>0.44827586206896552</v>
      </c>
      <c r="E16" s="63" t="s">
        <v>92</v>
      </c>
      <c r="F16" s="60" t="s">
        <v>47</v>
      </c>
      <c r="G16" s="47">
        <v>1</v>
      </c>
      <c r="H16" s="133">
        <f>IF(B$17=0,0,G16/B$17)</f>
        <v>3.7037037037037035E-2</v>
      </c>
      <c r="I16" s="94">
        <v>1</v>
      </c>
      <c r="K16" s="38">
        <v>14</v>
      </c>
      <c r="L16" s="99">
        <v>-86.499999999999972</v>
      </c>
      <c r="N16" s="115" t="s">
        <v>127</v>
      </c>
      <c r="O16" s="125">
        <f>IF(P16=0,0,Q16/P16)</f>
        <v>13.816666666666665</v>
      </c>
      <c r="P16" s="119">
        <v>6</v>
      </c>
      <c r="Q16" s="107">
        <v>82.899999999999991</v>
      </c>
    </row>
    <row r="17" spans="1:17" x14ac:dyDescent="0.4">
      <c r="A17" s="54" t="s">
        <v>10</v>
      </c>
      <c r="B17" s="46">
        <f>B19+B18</f>
        <v>27</v>
      </c>
      <c r="C17" s="37">
        <f>IF(B$3=0,0,B17/B$3)</f>
        <v>0.22131147540983606</v>
      </c>
      <c r="E17" s="63" t="s">
        <v>71</v>
      </c>
      <c r="F17" s="60" t="s">
        <v>26</v>
      </c>
      <c r="G17" s="47">
        <v>0</v>
      </c>
      <c r="H17" s="133">
        <f>IF(B$17=0,0,G17/B$17)</f>
        <v>0</v>
      </c>
      <c r="I17" s="94">
        <v>10</v>
      </c>
      <c r="K17" s="38">
        <v>15</v>
      </c>
      <c r="L17" s="99">
        <v>-101.79999999999997</v>
      </c>
      <c r="N17" s="115" t="s">
        <v>179</v>
      </c>
      <c r="O17" s="125">
        <f>IF(P17=0,0,Q17/P17)</f>
        <v>6.3500000000000014</v>
      </c>
      <c r="P17" s="119">
        <v>8</v>
      </c>
      <c r="Q17" s="107">
        <v>50.800000000000011</v>
      </c>
    </row>
    <row r="18" spans="1:17" x14ac:dyDescent="0.4">
      <c r="A18" s="55" t="s">
        <v>12</v>
      </c>
      <c r="B18" s="47">
        <v>8</v>
      </c>
      <c r="C18" s="39">
        <f>IF(B$17=0,0,B18/B$17)</f>
        <v>0.29629629629629628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-16.611111111111111</v>
      </c>
      <c r="P18" s="119">
        <v>9</v>
      </c>
      <c r="Q18" s="107">
        <v>-149.5</v>
      </c>
    </row>
    <row r="19" spans="1:17" x14ac:dyDescent="0.4">
      <c r="A19" s="55" t="s">
        <v>11</v>
      </c>
      <c r="B19" s="47">
        <v>19</v>
      </c>
      <c r="C19" s="39">
        <f>IF(B$17=0,0,B19/B$17)</f>
        <v>0.70370370370370372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183</v>
      </c>
      <c r="O19" s="125">
        <f>IF(P19=0,0,Q19/P19)</f>
        <v>-25.975000000000001</v>
      </c>
      <c r="P19" s="119">
        <v>4</v>
      </c>
      <c r="Q19" s="107">
        <v>-103.9</v>
      </c>
    </row>
    <row r="20" spans="1:17" x14ac:dyDescent="0.4">
      <c r="A20" s="55" t="s">
        <v>13</v>
      </c>
      <c r="B20" s="47">
        <v>24</v>
      </c>
      <c r="C20" s="39">
        <f>IF(B$3=0,0,B20/B$3)</f>
        <v>0.19672131147540983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  <c r="N20" s="115" t="s">
        <v>182</v>
      </c>
      <c r="O20" s="125">
        <f>IF(P20=0,0,Q20/P20)</f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14</v>
      </c>
      <c r="C22" s="135">
        <v>12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12474.074074074075</v>
      </c>
      <c r="C23" s="41">
        <v>336800</v>
      </c>
      <c r="E23" s="63" t="s">
        <v>79</v>
      </c>
      <c r="F23" s="60" t="s">
        <v>34</v>
      </c>
      <c r="G23" s="47">
        <v>0</v>
      </c>
      <c r="H23" s="133">
        <f>IF(B$17=0,0,G23/B$17)</f>
        <v>0</v>
      </c>
      <c r="I23" s="94">
        <v>7</v>
      </c>
    </row>
    <row r="24" spans="1:17" x14ac:dyDescent="0.4">
      <c r="A24" s="57" t="s">
        <v>14</v>
      </c>
      <c r="B24" s="52">
        <f>IF(B$20=0,0,C24/B$20)</f>
        <v>-10254.166666666666</v>
      </c>
      <c r="C24" s="45">
        <v>-246100</v>
      </c>
      <c r="E24" s="63" t="s">
        <v>80</v>
      </c>
      <c r="F24" s="60" t="s">
        <v>35</v>
      </c>
      <c r="G24" s="47">
        <v>0</v>
      </c>
      <c r="H24" s="133">
        <f>IF(B$17=0,0,G24/B$17)</f>
        <v>0</v>
      </c>
      <c r="I24" s="94">
        <v>6</v>
      </c>
    </row>
    <row r="25" spans="1:17" x14ac:dyDescent="0.4">
      <c r="A25" s="90" t="s">
        <v>141</v>
      </c>
      <c r="B25" s="144">
        <v>8</v>
      </c>
      <c r="C25" s="145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83000</v>
      </c>
      <c r="C26" s="143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169A-D2D8-4DF1-B02C-C10CB8E34A99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19</v>
      </c>
      <c r="C2" s="151"/>
      <c r="E2" s="62" t="s">
        <v>73</v>
      </c>
      <c r="F2" s="59" t="s">
        <v>28</v>
      </c>
      <c r="G2" s="46">
        <v>45</v>
      </c>
      <c r="H2" s="132">
        <f>IF(B$17=0,0,G2/B$17)</f>
        <v>0.91836734693877553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968.42105263157896</v>
      </c>
      <c r="P2" s="118">
        <v>19</v>
      </c>
      <c r="Q2" s="102">
        <v>18400</v>
      </c>
    </row>
    <row r="3" spans="1:17" x14ac:dyDescent="0.4">
      <c r="A3" s="55" t="s">
        <v>8</v>
      </c>
      <c r="B3" s="152">
        <v>176</v>
      </c>
      <c r="C3" s="153"/>
      <c r="E3" s="63" t="s">
        <v>67</v>
      </c>
      <c r="F3" s="60" t="s">
        <v>23</v>
      </c>
      <c r="G3" s="47">
        <v>39</v>
      </c>
      <c r="H3" s="133">
        <f>IF(B$17=0,0,G3/B$17)</f>
        <v>0.79591836734693877</v>
      </c>
      <c r="I3" s="94">
        <v>3</v>
      </c>
      <c r="K3" s="38">
        <v>1</v>
      </c>
      <c r="L3" s="99">
        <v>46.9</v>
      </c>
      <c r="N3" s="115" t="s">
        <v>132</v>
      </c>
      <c r="O3" s="122">
        <f t="shared" si="0"/>
        <v>-136.84210526315789</v>
      </c>
      <c r="P3" s="119">
        <v>19</v>
      </c>
      <c r="Q3" s="103">
        <v>-2600</v>
      </c>
    </row>
    <row r="4" spans="1:17" x14ac:dyDescent="0.4">
      <c r="A4" s="55" t="s">
        <v>6</v>
      </c>
      <c r="B4" s="154">
        <v>-56.399999999999991</v>
      </c>
      <c r="C4" s="155"/>
      <c r="E4" s="63" t="s">
        <v>65</v>
      </c>
      <c r="F4" s="60" t="s">
        <v>21</v>
      </c>
      <c r="G4" s="47">
        <v>22</v>
      </c>
      <c r="H4" s="133">
        <f>IF(B$17=0,0,G4/B$17)</f>
        <v>0.44897959183673469</v>
      </c>
      <c r="I4" s="94">
        <v>5</v>
      </c>
      <c r="K4" s="38">
        <v>2</v>
      </c>
      <c r="L4" s="99">
        <v>8.1000000000000014</v>
      </c>
      <c r="N4" s="115" t="s">
        <v>133</v>
      </c>
      <c r="O4" s="122">
        <f t="shared" si="0"/>
        <v>-2088.8888888888887</v>
      </c>
      <c r="P4" s="119">
        <v>18</v>
      </c>
      <c r="Q4" s="103">
        <v>-37600</v>
      </c>
    </row>
    <row r="5" spans="1:17" x14ac:dyDescent="0.4">
      <c r="A5" s="55" t="s">
        <v>7</v>
      </c>
      <c r="B5" s="156">
        <f>IF(B$2=0,0,B$4/B$2)</f>
        <v>-2.9684210526315784</v>
      </c>
      <c r="C5" s="157"/>
      <c r="E5" s="63" t="s">
        <v>172</v>
      </c>
      <c r="F5" s="60" t="s">
        <v>173</v>
      </c>
      <c r="G5" s="47">
        <v>17</v>
      </c>
      <c r="H5" s="133">
        <f>IF(B$17=0,0,G5/B$17)</f>
        <v>0.34693877551020408</v>
      </c>
      <c r="I5" s="94">
        <v>8</v>
      </c>
      <c r="K5" s="38">
        <v>3</v>
      </c>
      <c r="L5" s="99">
        <v>25.8</v>
      </c>
      <c r="N5" s="115" t="s">
        <v>134</v>
      </c>
      <c r="O5" s="122">
        <f t="shared" si="0"/>
        <v>-350</v>
      </c>
      <c r="P5" s="119">
        <v>16</v>
      </c>
      <c r="Q5" s="103">
        <v>-5600</v>
      </c>
    </row>
    <row r="6" spans="1:17" x14ac:dyDescent="0.4">
      <c r="A6" s="55" t="s">
        <v>1</v>
      </c>
      <c r="B6" s="146">
        <f>IF(B$2=0,0,(B$7*1+B$8*2+B$9*3)/B$2)</f>
        <v>2.1052631578947367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0.2857142857142857</v>
      </c>
      <c r="I6" s="94">
        <v>3</v>
      </c>
      <c r="K6" s="38">
        <v>4</v>
      </c>
      <c r="L6" s="99">
        <v>-19.3</v>
      </c>
      <c r="N6" s="115" t="s">
        <v>135</v>
      </c>
      <c r="O6" s="122">
        <f t="shared" si="0"/>
        <v>-3116.6666666666665</v>
      </c>
      <c r="P6" s="119">
        <v>12</v>
      </c>
      <c r="Q6" s="103">
        <v>-37400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0.26315789473684209</v>
      </c>
      <c r="E7" s="63" t="s">
        <v>68</v>
      </c>
      <c r="F7" s="60" t="s">
        <v>24</v>
      </c>
      <c r="G7" s="47">
        <v>8</v>
      </c>
      <c r="H7" s="133">
        <f>IF(B$17=0,0,G7/B$17)</f>
        <v>0.16326530612244897</v>
      </c>
      <c r="I7" s="94">
        <v>9</v>
      </c>
      <c r="K7" s="38">
        <v>5</v>
      </c>
      <c r="L7" s="99">
        <v>-1.6000000000000014</v>
      </c>
      <c r="N7" s="116" t="s">
        <v>136</v>
      </c>
      <c r="O7" s="123">
        <f t="shared" si="0"/>
        <v>2840</v>
      </c>
      <c r="P7" s="120">
        <v>10</v>
      </c>
      <c r="Q7" s="104">
        <v>28400</v>
      </c>
    </row>
    <row r="8" spans="1:17" x14ac:dyDescent="0.4">
      <c r="A8" s="55" t="s">
        <v>3</v>
      </c>
      <c r="B8" s="47">
        <v>7</v>
      </c>
      <c r="C8" s="39">
        <f t="shared" si="1"/>
        <v>0.36842105263157893</v>
      </c>
      <c r="E8" s="63" t="s">
        <v>90</v>
      </c>
      <c r="F8" s="60" t="s">
        <v>45</v>
      </c>
      <c r="G8" s="47">
        <v>5</v>
      </c>
      <c r="H8" s="133">
        <f>IF(B$17=0,0,G8/B$17)</f>
        <v>0.10204081632653061</v>
      </c>
      <c r="I8" s="94">
        <v>6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0.36842105263157893</v>
      </c>
      <c r="E9" s="63" t="s">
        <v>70</v>
      </c>
      <c r="F9" s="60" t="s">
        <v>25</v>
      </c>
      <c r="G9" s="47">
        <v>4</v>
      </c>
      <c r="H9" s="133">
        <f>IF(B$17=0,0,G9/B$17)</f>
        <v>8.1632653061224483E-2</v>
      </c>
      <c r="I9" s="94">
        <v>6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0.15789473684210525</v>
      </c>
      <c r="E10" s="63" t="s">
        <v>84</v>
      </c>
      <c r="F10" s="60" t="s">
        <v>39</v>
      </c>
      <c r="G10" s="47">
        <v>4</v>
      </c>
      <c r="H10" s="133">
        <f>IF(B$17=0,0,G10/B$17)</f>
        <v>8.1632653061224483E-2</v>
      </c>
      <c r="I10" s="94">
        <v>4</v>
      </c>
      <c r="K10" s="38">
        <v>8</v>
      </c>
      <c r="L10" s="99">
        <v>-46.7</v>
      </c>
      <c r="N10" s="114" t="s">
        <v>163</v>
      </c>
      <c r="O10" s="124">
        <f>IF(P10=0,0,Q10/P10)</f>
        <v>2.4249999999999998</v>
      </c>
      <c r="P10" s="118">
        <v>8</v>
      </c>
      <c r="Q10" s="106">
        <v>19.399999999999999</v>
      </c>
    </row>
    <row r="11" spans="1:17" x14ac:dyDescent="0.4">
      <c r="A11" s="56" t="s">
        <v>139</v>
      </c>
      <c r="B11" s="48">
        <v>1</v>
      </c>
      <c r="C11" s="40">
        <f t="shared" si="1"/>
        <v>5.2631578947368418E-2</v>
      </c>
      <c r="E11" s="63" t="s">
        <v>71</v>
      </c>
      <c r="F11" s="60" t="s">
        <v>26</v>
      </c>
      <c r="G11" s="47">
        <v>3</v>
      </c>
      <c r="H11" s="133">
        <f>IF(B$17=0,0,G11/B$17)</f>
        <v>6.1224489795918366E-2</v>
      </c>
      <c r="I11" s="94">
        <v>7</v>
      </c>
      <c r="K11" s="38">
        <v>9</v>
      </c>
      <c r="L11" s="99">
        <v>-90.9</v>
      </c>
      <c r="N11" s="115" t="s">
        <v>164</v>
      </c>
      <c r="O11" s="125">
        <f>IF(P11=0,0,Q11/P11)</f>
        <v>-7.62</v>
      </c>
      <c r="P11" s="119">
        <v>5</v>
      </c>
      <c r="Q11" s="107">
        <v>-38.1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80</v>
      </c>
      <c r="F12" s="60" t="s">
        <v>35</v>
      </c>
      <c r="G12" s="47">
        <v>3</v>
      </c>
      <c r="H12" s="133">
        <f>IF(B$17=0,0,G12/B$17)</f>
        <v>6.1224489795918366E-2</v>
      </c>
      <c r="I12" s="94">
        <v>2</v>
      </c>
      <c r="K12" s="38">
        <v>10</v>
      </c>
      <c r="L12" s="99">
        <v>-146.69999999999999</v>
      </c>
      <c r="N12" s="116" t="s">
        <v>165</v>
      </c>
      <c r="O12" s="126">
        <f>IF(P12=0,0,Q12/P12)</f>
        <v>-6.2833333333333341</v>
      </c>
      <c r="P12" s="120">
        <v>6</v>
      </c>
      <c r="Q12" s="108">
        <v>-37.700000000000003</v>
      </c>
    </row>
    <row r="13" spans="1:17" x14ac:dyDescent="0.4">
      <c r="A13" s="58" t="s">
        <v>122</v>
      </c>
      <c r="B13" s="50">
        <v>45</v>
      </c>
      <c r="C13" s="44">
        <f>IF(B$3=0,0,B13/B$3)</f>
        <v>0.25568181818181818</v>
      </c>
      <c r="E13" s="63" t="s">
        <v>66</v>
      </c>
      <c r="F13" s="60" t="s">
        <v>22</v>
      </c>
      <c r="G13" s="47">
        <v>2</v>
      </c>
      <c r="H13" s="133">
        <f>IF(B$17=0,0,G13/B$17)</f>
        <v>4.0816326530612242E-2</v>
      </c>
      <c r="I13" s="94">
        <v>9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46</v>
      </c>
      <c r="C14" s="39">
        <f>IF(B$3=0,0,B14/B$3)</f>
        <v>0.26136363636363635</v>
      </c>
      <c r="E14" s="63" t="s">
        <v>72</v>
      </c>
      <c r="F14" s="60" t="s">
        <v>27</v>
      </c>
      <c r="G14" s="47">
        <v>2</v>
      </c>
      <c r="H14" s="133">
        <f>IF(B$17=0,0,G14/B$17)</f>
        <v>4.0816326530612242E-2</v>
      </c>
      <c r="I14" s="94">
        <v>8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22</v>
      </c>
      <c r="C15" s="37">
        <f>IF(B$13=0,0,B15/B$13)</f>
        <v>0.48888888888888887</v>
      </c>
      <c r="E15" s="63" t="s">
        <v>79</v>
      </c>
      <c r="F15" s="60" t="s">
        <v>34</v>
      </c>
      <c r="G15" s="47">
        <v>2</v>
      </c>
      <c r="H15" s="133">
        <f>IF(B$17=0,0,G15/B$17)</f>
        <v>4.0816326530612242E-2</v>
      </c>
      <c r="I15" s="94">
        <v>2</v>
      </c>
      <c r="K15" s="38">
        <v>13</v>
      </c>
      <c r="L15" s="99">
        <v>-68.399999999999991</v>
      </c>
      <c r="N15" s="114" t="s">
        <v>180</v>
      </c>
      <c r="O15" s="124">
        <f>IF(P15=0,0,Q15/P15)</f>
        <v>51.633333333333333</v>
      </c>
      <c r="P15" s="118">
        <v>3</v>
      </c>
      <c r="Q15" s="106">
        <v>154.9</v>
      </c>
    </row>
    <row r="16" spans="1:17" x14ac:dyDescent="0.4">
      <c r="A16" s="54" t="s">
        <v>125</v>
      </c>
      <c r="B16" s="46">
        <v>23</v>
      </c>
      <c r="C16" s="37">
        <f>IF(B$14=0,0,B16/B$14)</f>
        <v>0.5</v>
      </c>
      <c r="E16" s="63" t="s">
        <v>87</v>
      </c>
      <c r="F16" s="60" t="s">
        <v>42</v>
      </c>
      <c r="G16" s="47">
        <v>2</v>
      </c>
      <c r="H16" s="133">
        <f>IF(B$17=0,0,G16/B$17)</f>
        <v>4.0816326530612242E-2</v>
      </c>
      <c r="I16" s="94">
        <v>6</v>
      </c>
      <c r="K16" s="38">
        <v>14</v>
      </c>
      <c r="L16" s="99">
        <v>-25.79999999999999</v>
      </c>
      <c r="N16" s="115" t="s">
        <v>183</v>
      </c>
      <c r="O16" s="125">
        <f>IF(P16=0,0,Q16/P16)</f>
        <v>38.725000000000001</v>
      </c>
      <c r="P16" s="119">
        <v>4</v>
      </c>
      <c r="Q16" s="107">
        <v>154.9</v>
      </c>
    </row>
    <row r="17" spans="1:17" x14ac:dyDescent="0.4">
      <c r="A17" s="54" t="s">
        <v>10</v>
      </c>
      <c r="B17" s="46">
        <f>B19+B18</f>
        <v>49</v>
      </c>
      <c r="C17" s="37">
        <f>IF(B$3=0,0,B17/B$3)</f>
        <v>0.27840909090909088</v>
      </c>
      <c r="E17" s="63" t="s">
        <v>86</v>
      </c>
      <c r="F17" s="60" t="s">
        <v>41</v>
      </c>
      <c r="G17" s="47">
        <v>1</v>
      </c>
      <c r="H17" s="133">
        <f>IF(B$17=0,0,G17/B$17)</f>
        <v>2.0408163265306121E-2</v>
      </c>
      <c r="I17" s="94">
        <v>2</v>
      </c>
      <c r="K17" s="38">
        <v>15</v>
      </c>
      <c r="L17" s="99">
        <v>-35.499999999999986</v>
      </c>
      <c r="N17" s="115" t="s">
        <v>196</v>
      </c>
      <c r="O17" s="125">
        <f>IF(P17=0,0,Q17/P17)</f>
        <v>36.366666666666667</v>
      </c>
      <c r="P17" s="119">
        <v>3</v>
      </c>
      <c r="Q17" s="107">
        <v>109.10000000000001</v>
      </c>
    </row>
    <row r="18" spans="1:17" x14ac:dyDescent="0.4">
      <c r="A18" s="55" t="s">
        <v>12</v>
      </c>
      <c r="B18" s="47">
        <v>19</v>
      </c>
      <c r="C18" s="39">
        <f>IF(B$17=0,0,B18/B$17)</f>
        <v>0.38775510204081631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-35.599999999999987</v>
      </c>
      <c r="N18" s="115" t="s">
        <v>178</v>
      </c>
      <c r="O18" s="125">
        <f>IF(P18=0,0,Q18/P18)</f>
        <v>-6.3500000000000032</v>
      </c>
      <c r="P18" s="119">
        <v>8</v>
      </c>
      <c r="Q18" s="107">
        <v>-50.800000000000026</v>
      </c>
    </row>
    <row r="19" spans="1:17" x14ac:dyDescent="0.4">
      <c r="A19" s="55" t="s">
        <v>11</v>
      </c>
      <c r="B19" s="47">
        <v>30</v>
      </c>
      <c r="C19" s="39">
        <f>IF(B$17=0,0,B19/B$17)</f>
        <v>0.61224489795918369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-29.799999999999986</v>
      </c>
      <c r="N19" s="115" t="s">
        <v>182</v>
      </c>
      <c r="O19" s="125">
        <f>IF(P19=0,0,Q19/P19)</f>
        <v>-15.5</v>
      </c>
      <c r="P19" s="119">
        <v>1</v>
      </c>
      <c r="Q19" s="107">
        <v>-15.5</v>
      </c>
    </row>
    <row r="20" spans="1:17" x14ac:dyDescent="0.4">
      <c r="A20" s="55" t="s">
        <v>13</v>
      </c>
      <c r="B20" s="47">
        <v>24</v>
      </c>
      <c r="C20" s="39">
        <f>IF(B$3=0,0,B20/B$3)</f>
        <v>0.13636363636363635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-62.399999999999991</v>
      </c>
      <c r="N20" s="115" t="s">
        <v>167</v>
      </c>
      <c r="O20" s="125">
        <f>IF(P20=0,0,Q20/P20)</f>
        <v>-16.399999999999999</v>
      </c>
      <c r="P20" s="119">
        <v>1</v>
      </c>
      <c r="Q20" s="107">
        <v>-16.399999999999999</v>
      </c>
    </row>
    <row r="21" spans="1:17" x14ac:dyDescent="0.4">
      <c r="A21" s="55" t="s">
        <v>170</v>
      </c>
      <c r="B21" s="47">
        <v>5</v>
      </c>
      <c r="C21" s="135">
        <v>2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-56.399999999999991</v>
      </c>
      <c r="N21" s="115" t="s">
        <v>128</v>
      </c>
      <c r="O21" s="125">
        <f>IF(P21=0,0,Q21/P21)</f>
        <v>-27.133333333333336</v>
      </c>
      <c r="P21" s="119">
        <v>12</v>
      </c>
      <c r="Q21" s="107">
        <v>-325.60000000000002</v>
      </c>
    </row>
    <row r="22" spans="1:17" x14ac:dyDescent="0.4">
      <c r="A22" s="55" t="s">
        <v>171</v>
      </c>
      <c r="B22" s="47">
        <v>44</v>
      </c>
      <c r="C22" s="135">
        <v>2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  <c r="N22" s="115" t="s">
        <v>127</v>
      </c>
      <c r="O22" s="125">
        <f>IF(P22=0,0,Q22/P22)</f>
        <v>-29.966666666666665</v>
      </c>
      <c r="P22" s="119">
        <v>6</v>
      </c>
      <c r="Q22" s="107">
        <v>-179.79999999999998</v>
      </c>
    </row>
    <row r="23" spans="1:17" x14ac:dyDescent="0.4">
      <c r="A23" s="55" t="s">
        <v>5</v>
      </c>
      <c r="B23" s="51">
        <f>IF(B$17=0,0,C23/B$17)</f>
        <v>7540.8163265306121</v>
      </c>
      <c r="C23" s="41">
        <v>369500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-7095.833333333333</v>
      </c>
      <c r="C24" s="45">
        <v>-170300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9</v>
      </c>
    </row>
    <row r="25" spans="1:17" x14ac:dyDescent="0.4">
      <c r="A25" s="90" t="s">
        <v>141</v>
      </c>
      <c r="B25" s="144">
        <v>6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75000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5.681818181818182E-3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9312A-D705-4F98-8F38-A4412B5AEDE0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10</v>
      </c>
      <c r="C2" s="151"/>
      <c r="E2" s="62" t="s">
        <v>67</v>
      </c>
      <c r="F2" s="59" t="s">
        <v>23</v>
      </c>
      <c r="G2" s="46">
        <v>15</v>
      </c>
      <c r="H2" s="132">
        <f>IF(B$17=0,0,G2/B$17)</f>
        <v>0.78947368421052633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-3700</v>
      </c>
      <c r="P2" s="118">
        <v>10</v>
      </c>
      <c r="Q2" s="102">
        <v>-37000</v>
      </c>
    </row>
    <row r="3" spans="1:17" x14ac:dyDescent="0.4">
      <c r="A3" s="55" t="s">
        <v>8</v>
      </c>
      <c r="B3" s="152">
        <v>83</v>
      </c>
      <c r="C3" s="153"/>
      <c r="E3" s="63" t="s">
        <v>73</v>
      </c>
      <c r="F3" s="60" t="s">
        <v>28</v>
      </c>
      <c r="G3" s="47">
        <v>13</v>
      </c>
      <c r="H3" s="133">
        <f>IF(B$17=0,0,G3/B$17)</f>
        <v>0.68421052631578949</v>
      </c>
      <c r="I3" s="94">
        <v>3</v>
      </c>
      <c r="K3" s="38">
        <v>1</v>
      </c>
      <c r="L3" s="99">
        <v>-12</v>
      </c>
      <c r="N3" s="115" t="s">
        <v>132</v>
      </c>
      <c r="O3" s="122">
        <f t="shared" si="0"/>
        <v>-370</v>
      </c>
      <c r="P3" s="119">
        <v>10</v>
      </c>
      <c r="Q3" s="103">
        <v>-3700</v>
      </c>
    </row>
    <row r="4" spans="1:17" x14ac:dyDescent="0.4">
      <c r="A4" s="55" t="s">
        <v>6</v>
      </c>
      <c r="B4" s="154">
        <v>-151.1</v>
      </c>
      <c r="C4" s="155"/>
      <c r="E4" s="63" t="s">
        <v>65</v>
      </c>
      <c r="F4" s="60" t="s">
        <v>21</v>
      </c>
      <c r="G4" s="47">
        <v>11</v>
      </c>
      <c r="H4" s="133">
        <f>IF(B$17=0,0,G4/B$17)</f>
        <v>0.57894736842105265</v>
      </c>
      <c r="I4" s="94">
        <v>2</v>
      </c>
      <c r="K4" s="38">
        <v>2</v>
      </c>
      <c r="L4" s="99">
        <v>-40.6</v>
      </c>
      <c r="N4" s="115" t="s">
        <v>133</v>
      </c>
      <c r="O4" s="122">
        <f t="shared" si="0"/>
        <v>-2130</v>
      </c>
      <c r="P4" s="119">
        <v>10</v>
      </c>
      <c r="Q4" s="103">
        <v>-21300</v>
      </c>
    </row>
    <row r="5" spans="1:17" x14ac:dyDescent="0.4">
      <c r="A5" s="55" t="s">
        <v>7</v>
      </c>
      <c r="B5" s="156">
        <f>IF(B$2=0,0,B$4/B$2)</f>
        <v>-15.11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0.57894736842105265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-4766.666666666667</v>
      </c>
      <c r="P5" s="119">
        <v>9</v>
      </c>
      <c r="Q5" s="103">
        <v>-42900</v>
      </c>
    </row>
    <row r="6" spans="1:17" x14ac:dyDescent="0.4">
      <c r="A6" s="55" t="s">
        <v>1</v>
      </c>
      <c r="B6" s="146">
        <f>IF(B$2=0,0,(B$7*1+B$8*2+B$9*3)/B$2)</f>
        <v>2.4</v>
      </c>
      <c r="C6" s="147"/>
      <c r="E6" s="63" t="s">
        <v>172</v>
      </c>
      <c r="F6" s="60" t="s">
        <v>173</v>
      </c>
      <c r="G6" s="47">
        <v>8</v>
      </c>
      <c r="H6" s="133">
        <f>IF(B$17=0,0,G6/B$17)</f>
        <v>0.42105263157894735</v>
      </c>
      <c r="I6" s="94">
        <v>2</v>
      </c>
      <c r="K6" s="38">
        <v>4</v>
      </c>
      <c r="L6" s="99">
        <v>-80.5</v>
      </c>
      <c r="N6" s="115" t="s">
        <v>135</v>
      </c>
      <c r="O6" s="122">
        <f t="shared" si="0"/>
        <v>-25</v>
      </c>
      <c r="P6" s="119">
        <v>8</v>
      </c>
      <c r="Q6" s="103">
        <v>-200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0.1</v>
      </c>
      <c r="E7" s="63" t="s">
        <v>69</v>
      </c>
      <c r="F7" s="60" t="s">
        <v>12</v>
      </c>
      <c r="G7" s="47">
        <v>5</v>
      </c>
      <c r="H7" s="133">
        <f>IF(B$17=0,0,G7/B$17)</f>
        <v>0.26315789473684209</v>
      </c>
      <c r="I7" s="94">
        <v>7</v>
      </c>
      <c r="K7" s="38">
        <v>5</v>
      </c>
      <c r="L7" s="99">
        <v>-124.3</v>
      </c>
      <c r="N7" s="116" t="s">
        <v>136</v>
      </c>
      <c r="O7" s="123">
        <f t="shared" si="0"/>
        <v>-1000</v>
      </c>
      <c r="P7" s="120">
        <v>6</v>
      </c>
      <c r="Q7" s="104">
        <v>-6000</v>
      </c>
    </row>
    <row r="8" spans="1:17" x14ac:dyDescent="0.4">
      <c r="A8" s="55" t="s">
        <v>3</v>
      </c>
      <c r="B8" s="47">
        <v>4</v>
      </c>
      <c r="C8" s="39">
        <f t="shared" si="1"/>
        <v>0.4</v>
      </c>
      <c r="E8" s="63" t="s">
        <v>66</v>
      </c>
      <c r="F8" s="60" t="s">
        <v>22</v>
      </c>
      <c r="G8" s="47">
        <v>2</v>
      </c>
      <c r="H8" s="133">
        <f>IF(B$17=0,0,G8/B$17)</f>
        <v>0.10526315789473684</v>
      </c>
      <c r="I8" s="94">
        <v>5</v>
      </c>
      <c r="K8" s="38">
        <v>6</v>
      </c>
      <c r="L8" s="99">
        <v>-159.6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si="1"/>
        <v>0.5</v>
      </c>
      <c r="E9" s="63" t="s">
        <v>87</v>
      </c>
      <c r="F9" s="60" t="s">
        <v>42</v>
      </c>
      <c r="G9" s="47">
        <v>2</v>
      </c>
      <c r="H9" s="133">
        <f>IF(B$17=0,0,G9/B$17)</f>
        <v>0.10526315789473684</v>
      </c>
      <c r="I9" s="94">
        <v>1</v>
      </c>
      <c r="K9" s="38">
        <v>7</v>
      </c>
      <c r="L9" s="99">
        <v>-99.5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0.2</v>
      </c>
      <c r="E10" s="63" t="s">
        <v>71</v>
      </c>
      <c r="F10" s="60" t="s">
        <v>26</v>
      </c>
      <c r="G10" s="47">
        <v>1</v>
      </c>
      <c r="H10" s="133">
        <f>IF(B$17=0,0,G10/B$17)</f>
        <v>5.2631578947368418E-2</v>
      </c>
      <c r="I10" s="94">
        <v>8</v>
      </c>
      <c r="K10" s="38">
        <v>8</v>
      </c>
      <c r="L10" s="99">
        <v>-152.6</v>
      </c>
      <c r="N10" s="114" t="s">
        <v>163</v>
      </c>
      <c r="O10" s="124">
        <f>IF(P10=0,0,Q10/P10)</f>
        <v>-22.1</v>
      </c>
      <c r="P10" s="118">
        <v>5</v>
      </c>
      <c r="Q10" s="106">
        <v>-110.5</v>
      </c>
    </row>
    <row r="11" spans="1:17" x14ac:dyDescent="0.4">
      <c r="A11" s="56" t="s">
        <v>139</v>
      </c>
      <c r="B11" s="48">
        <v>1</v>
      </c>
      <c r="C11" s="40">
        <f t="shared" si="1"/>
        <v>0.1</v>
      </c>
      <c r="E11" s="63" t="s">
        <v>79</v>
      </c>
      <c r="F11" s="60" t="s">
        <v>34</v>
      </c>
      <c r="G11" s="47">
        <v>1</v>
      </c>
      <c r="H11" s="133">
        <f>IF(B$17=0,0,G11/B$17)</f>
        <v>5.2631578947368418E-2</v>
      </c>
      <c r="I11" s="94">
        <v>1</v>
      </c>
      <c r="K11" s="38">
        <v>9</v>
      </c>
      <c r="L11" s="99">
        <v>-150.6</v>
      </c>
      <c r="N11" s="115" t="s">
        <v>164</v>
      </c>
      <c r="O11" s="125">
        <f>IF(P11=0,0,Q11/P11)</f>
        <v>10.600000000000001</v>
      </c>
      <c r="P11" s="119">
        <v>3</v>
      </c>
      <c r="Q11" s="107">
        <v>31.800000000000004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82</v>
      </c>
      <c r="F12" s="60" t="s">
        <v>37</v>
      </c>
      <c r="G12" s="47">
        <v>1</v>
      </c>
      <c r="H12" s="133">
        <f>IF(B$17=0,0,G12/B$17)</f>
        <v>5.2631578947368418E-2</v>
      </c>
      <c r="I12" s="94">
        <v>2</v>
      </c>
      <c r="K12" s="38">
        <v>10</v>
      </c>
      <c r="L12" s="99">
        <v>-151.1</v>
      </c>
      <c r="N12" s="116" t="s">
        <v>165</v>
      </c>
      <c r="O12" s="126">
        <f>IF(P12=0,0,Q12/P12)</f>
        <v>-36.200000000000003</v>
      </c>
      <c r="P12" s="120">
        <v>2</v>
      </c>
      <c r="Q12" s="108">
        <v>-72.400000000000006</v>
      </c>
    </row>
    <row r="13" spans="1:17" x14ac:dyDescent="0.4">
      <c r="A13" s="58" t="s">
        <v>122</v>
      </c>
      <c r="B13" s="50">
        <v>21</v>
      </c>
      <c r="C13" s="44">
        <f>IF(B$3=0,0,B13/B$3)</f>
        <v>0.25301204819277107</v>
      </c>
      <c r="E13" s="63" t="s">
        <v>84</v>
      </c>
      <c r="F13" s="60" t="s">
        <v>39</v>
      </c>
      <c r="G13" s="47">
        <v>1</v>
      </c>
      <c r="H13" s="133">
        <f>IF(B$17=0,0,G13/B$17)</f>
        <v>5.2631578947368418E-2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0.2289156626506024</v>
      </c>
      <c r="E14" s="63" t="s">
        <v>90</v>
      </c>
      <c r="F14" s="60" t="s">
        <v>45</v>
      </c>
      <c r="G14" s="47">
        <v>1</v>
      </c>
      <c r="H14" s="133">
        <f>IF(B$17=0,0,G14/B$17)</f>
        <v>5.2631578947368418E-2</v>
      </c>
      <c r="I14" s="94">
        <v>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0.52380952380952384</v>
      </c>
      <c r="E15" s="63" t="s">
        <v>70</v>
      </c>
      <c r="F15" s="60" t="s">
        <v>25</v>
      </c>
      <c r="G15" s="47">
        <v>0</v>
      </c>
      <c r="H15" s="133">
        <f>IF(B$17=0,0,G15/B$17)</f>
        <v>0</v>
      </c>
      <c r="I15" s="94">
        <v>10</v>
      </c>
      <c r="N15" s="114" t="s">
        <v>178</v>
      </c>
      <c r="O15" s="124">
        <f>IF(P15=0,0,Q15/P15)</f>
        <v>25.975000000000005</v>
      </c>
      <c r="P15" s="118">
        <v>4</v>
      </c>
      <c r="Q15" s="106">
        <v>103.90000000000002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72</v>
      </c>
      <c r="F16" s="60" t="s">
        <v>27</v>
      </c>
      <c r="G16" s="47">
        <v>0</v>
      </c>
      <c r="H16" s="133">
        <f>IF(B$17=0,0,G16/B$17)</f>
        <v>0</v>
      </c>
      <c r="I16" s="94">
        <v>10</v>
      </c>
      <c r="N16" s="115" t="s">
        <v>167</v>
      </c>
      <c r="O16" s="125">
        <f>IF(P16=0,0,Q16/P16)</f>
        <v>25.7</v>
      </c>
      <c r="P16" s="119">
        <v>2</v>
      </c>
      <c r="Q16" s="107">
        <v>51.4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0.2289156626506024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127</v>
      </c>
      <c r="O17" s="125">
        <f>IF(P17=0,0,Q17/P17)</f>
        <v>-23.45</v>
      </c>
      <c r="P17" s="119">
        <v>2</v>
      </c>
      <c r="Q17" s="107">
        <v>-46.9</v>
      </c>
    </row>
    <row r="18" spans="1:17" x14ac:dyDescent="0.4">
      <c r="A18" s="55" t="s">
        <v>12</v>
      </c>
      <c r="B18" s="47">
        <v>10</v>
      </c>
      <c r="C18" s="39">
        <f>IF(B$17=0,0,B18/B$17)</f>
        <v>0.52631578947368418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-32.799999999999997</v>
      </c>
      <c r="P18" s="119">
        <v>2</v>
      </c>
      <c r="Q18" s="107">
        <v>-65.599999999999994</v>
      </c>
    </row>
    <row r="19" spans="1:17" x14ac:dyDescent="0.4">
      <c r="A19" s="55" t="s">
        <v>11</v>
      </c>
      <c r="B19" s="47">
        <v>9</v>
      </c>
      <c r="C19" s="39">
        <f>IF(B$17=0,0,B19/B$17)</f>
        <v>0.47368421052631576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3</v>
      </c>
      <c r="N19" s="115" t="s">
        <v>179</v>
      </c>
      <c r="O19" s="125">
        <f>IF(P19=0,0,Q19/P19)</f>
        <v>-38.725000000000001</v>
      </c>
      <c r="P19" s="119">
        <v>4</v>
      </c>
      <c r="Q19" s="107">
        <v>-154.9</v>
      </c>
    </row>
    <row r="20" spans="1:17" x14ac:dyDescent="0.4">
      <c r="A20" s="55" t="s">
        <v>13</v>
      </c>
      <c r="B20" s="47">
        <v>19</v>
      </c>
      <c r="C20" s="39">
        <f>IF(B$3=0,0,B20/B$3)</f>
        <v>0.2289156626506024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>IF(P20=0,0,Q20/P20)</f>
        <v>-52.525000000000006</v>
      </c>
      <c r="P20" s="119">
        <v>4</v>
      </c>
      <c r="Q20" s="107">
        <v>-210.10000000000002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-65.55</v>
      </c>
      <c r="P21" s="119">
        <v>2</v>
      </c>
      <c r="Q21" s="107">
        <v>-131.1</v>
      </c>
    </row>
    <row r="22" spans="1:17" x14ac:dyDescent="0.4">
      <c r="A22" s="55" t="s">
        <v>171</v>
      </c>
      <c r="B22" s="47">
        <v>11</v>
      </c>
      <c r="C22" s="135">
        <v>10</v>
      </c>
      <c r="E22" s="63" t="s">
        <v>80</v>
      </c>
      <c r="F22" s="60" t="s">
        <v>35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8273.6842105263149</v>
      </c>
      <c r="C23" s="41">
        <v>157200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-9452.6315789473683</v>
      </c>
      <c r="C24" s="45">
        <v>-179600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85100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CC059-4EA2-4149-8E57-36C1E73EC26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182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11</v>
      </c>
      <c r="C2" s="151"/>
      <c r="E2" s="62" t="s">
        <v>67</v>
      </c>
      <c r="F2" s="59" t="s">
        <v>23</v>
      </c>
      <c r="G2" s="46">
        <v>37</v>
      </c>
      <c r="H2" s="132">
        <f>IF(B$17=0,0,G2/B$17)</f>
        <v>1.088235294117647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-45.454545454545453</v>
      </c>
      <c r="P2" s="118">
        <v>11</v>
      </c>
      <c r="Q2" s="102">
        <v>-500</v>
      </c>
    </row>
    <row r="3" spans="1:17" x14ac:dyDescent="0.4">
      <c r="A3" s="55" t="s">
        <v>8</v>
      </c>
      <c r="B3" s="152">
        <v>103</v>
      </c>
      <c r="C3" s="153"/>
      <c r="E3" s="63" t="s">
        <v>65</v>
      </c>
      <c r="F3" s="60" t="s">
        <v>21</v>
      </c>
      <c r="G3" s="47">
        <v>21</v>
      </c>
      <c r="H3" s="133">
        <f>IF(B$17=0,0,G3/B$17)</f>
        <v>0.61764705882352944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0"/>
        <v>4790.909090909091</v>
      </c>
      <c r="P3" s="119">
        <v>11</v>
      </c>
      <c r="Q3" s="103">
        <v>52700</v>
      </c>
    </row>
    <row r="4" spans="1:17" x14ac:dyDescent="0.4">
      <c r="A4" s="55" t="s">
        <v>6</v>
      </c>
      <c r="B4" s="154">
        <v>126.10000000000001</v>
      </c>
      <c r="C4" s="155"/>
      <c r="E4" s="63" t="s">
        <v>69</v>
      </c>
      <c r="F4" s="60" t="s">
        <v>12</v>
      </c>
      <c r="G4" s="47">
        <v>14</v>
      </c>
      <c r="H4" s="133">
        <f>IF(B$17=0,0,G4/B$17)</f>
        <v>0.41176470588235292</v>
      </c>
      <c r="I4" s="94">
        <v>1</v>
      </c>
      <c r="K4" s="38">
        <v>2</v>
      </c>
      <c r="L4" s="99">
        <v>68.5</v>
      </c>
      <c r="N4" s="115" t="s">
        <v>133</v>
      </c>
      <c r="O4" s="122">
        <f t="shared" si="0"/>
        <v>418.18181818181819</v>
      </c>
      <c r="P4" s="119">
        <v>11</v>
      </c>
      <c r="Q4" s="103">
        <v>4600</v>
      </c>
    </row>
    <row r="5" spans="1:17" x14ac:dyDescent="0.4">
      <c r="A5" s="55" t="s">
        <v>7</v>
      </c>
      <c r="B5" s="156">
        <f>IF(B$2=0,0,B$4/B$2)</f>
        <v>11.463636363636365</v>
      </c>
      <c r="C5" s="157"/>
      <c r="E5" s="63" t="s">
        <v>172</v>
      </c>
      <c r="F5" s="60" t="s">
        <v>173</v>
      </c>
      <c r="G5" s="47">
        <v>14</v>
      </c>
      <c r="H5" s="133">
        <f>IF(B$17=0,0,G5/B$17)</f>
        <v>0.41176470588235292</v>
      </c>
      <c r="I5" s="94">
        <v>4</v>
      </c>
      <c r="K5" s="38">
        <v>3</v>
      </c>
      <c r="L5" s="99">
        <v>76</v>
      </c>
      <c r="N5" s="115" t="s">
        <v>134</v>
      </c>
      <c r="O5" s="122">
        <f t="shared" si="0"/>
        <v>-3345.4545454545455</v>
      </c>
      <c r="P5" s="119">
        <v>11</v>
      </c>
      <c r="Q5" s="103">
        <v>-36800</v>
      </c>
    </row>
    <row r="6" spans="1:17" x14ac:dyDescent="0.4">
      <c r="A6" s="55" t="s">
        <v>1</v>
      </c>
      <c r="B6" s="146">
        <f>IF(B$2=0,0,(B$7*1+B$8*2+B$9*3)/B$2)</f>
        <v>1.7272727272727273</v>
      </c>
      <c r="C6" s="147"/>
      <c r="E6" s="63" t="s">
        <v>73</v>
      </c>
      <c r="F6" s="60" t="s">
        <v>28</v>
      </c>
      <c r="G6" s="47">
        <v>10</v>
      </c>
      <c r="H6" s="133">
        <f>IF(B$17=0,0,G6/B$17)</f>
        <v>0.29411764705882354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6400</v>
      </c>
      <c r="P6" s="119">
        <v>11</v>
      </c>
      <c r="Q6" s="103">
        <v>70400</v>
      </c>
    </row>
    <row r="7" spans="1:17" x14ac:dyDescent="0.4">
      <c r="A7" s="55" t="s">
        <v>2</v>
      </c>
      <c r="B7" s="47">
        <v>5</v>
      </c>
      <c r="C7" s="39">
        <f t="shared" ref="C7:C12" si="1">IF(B$2=0,0,B7/B$2)</f>
        <v>0.45454545454545453</v>
      </c>
      <c r="E7" s="63" t="s">
        <v>68</v>
      </c>
      <c r="F7" s="60" t="s">
        <v>24</v>
      </c>
      <c r="G7" s="47">
        <v>7</v>
      </c>
      <c r="H7" s="133">
        <f>IF(B$17=0,0,G7/B$17)</f>
        <v>0.20588235294117646</v>
      </c>
      <c r="I7" s="94">
        <v>8</v>
      </c>
      <c r="K7" s="38">
        <v>5</v>
      </c>
      <c r="L7" s="99">
        <v>127.9</v>
      </c>
      <c r="N7" s="116" t="s">
        <v>136</v>
      </c>
      <c r="O7" s="123">
        <f t="shared" si="0"/>
        <v>1837.5</v>
      </c>
      <c r="P7" s="120">
        <v>8</v>
      </c>
      <c r="Q7" s="104">
        <v>14700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70</v>
      </c>
      <c r="F8" s="60" t="s">
        <v>25</v>
      </c>
      <c r="G8" s="47">
        <v>7</v>
      </c>
      <c r="H8" s="133">
        <f>IF(B$17=0,0,G8/B$17)</f>
        <v>0.20588235294117646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0.18181818181818182</v>
      </c>
      <c r="E9" s="63" t="s">
        <v>71</v>
      </c>
      <c r="F9" s="60" t="s">
        <v>26</v>
      </c>
      <c r="G9" s="47">
        <v>5</v>
      </c>
      <c r="H9" s="133">
        <f>IF(B$17=0,0,G9/B$17)</f>
        <v>0.14705882352941177</v>
      </c>
      <c r="I9" s="94">
        <v>1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0.11764705882352941</v>
      </c>
      <c r="I10" s="94">
        <v>2</v>
      </c>
      <c r="K10" s="38">
        <v>8</v>
      </c>
      <c r="L10" s="99">
        <v>124.6</v>
      </c>
      <c r="N10" s="114" t="s">
        <v>163</v>
      </c>
      <c r="O10" s="124">
        <f>IF(P10=0,0,Q10/P10)</f>
        <v>4.4400000000000004</v>
      </c>
      <c r="P10" s="118">
        <v>5</v>
      </c>
      <c r="Q10" s="106">
        <v>22.200000000000003</v>
      </c>
    </row>
    <row r="11" spans="1:17" x14ac:dyDescent="0.4">
      <c r="A11" s="56" t="s">
        <v>139</v>
      </c>
      <c r="B11" s="48">
        <v>2</v>
      </c>
      <c r="C11" s="40">
        <f t="shared" si="1"/>
        <v>0.18181818181818182</v>
      </c>
      <c r="E11" s="63" t="s">
        <v>66</v>
      </c>
      <c r="F11" s="60" t="s">
        <v>22</v>
      </c>
      <c r="G11" s="47">
        <v>3</v>
      </c>
      <c r="H11" s="133">
        <f>IF(B$17=0,0,G11/B$17)</f>
        <v>8.8235294117647065E-2</v>
      </c>
      <c r="I11" s="94">
        <v>7</v>
      </c>
      <c r="K11" s="38">
        <v>9</v>
      </c>
      <c r="L11" s="99">
        <v>141.5</v>
      </c>
      <c r="N11" s="115" t="s">
        <v>164</v>
      </c>
      <c r="O11" s="125">
        <f>IF(P11=0,0,Q11/P11)</f>
        <v>11.699999999999998</v>
      </c>
      <c r="P11" s="119">
        <v>3</v>
      </c>
      <c r="Q11" s="107">
        <v>35.099999999999994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5.8823529411764705E-2</v>
      </c>
      <c r="I12" s="94">
        <v>4</v>
      </c>
      <c r="K12" s="38">
        <v>10</v>
      </c>
      <c r="L12" s="99">
        <v>162.80000000000001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 x14ac:dyDescent="0.4">
      <c r="A13" s="58" t="s">
        <v>122</v>
      </c>
      <c r="B13" s="50">
        <v>30</v>
      </c>
      <c r="C13" s="44">
        <f>IF(B$3=0,0,B13/B$3)</f>
        <v>0.29126213592233008</v>
      </c>
      <c r="E13" s="63" t="s">
        <v>90</v>
      </c>
      <c r="F13" s="60" t="s">
        <v>45</v>
      </c>
      <c r="G13" s="47">
        <v>2</v>
      </c>
      <c r="H13" s="133">
        <f>IF(B$17=0,0,G13/B$17)</f>
        <v>5.8823529411764705E-2</v>
      </c>
      <c r="I13" s="94">
        <v>8</v>
      </c>
      <c r="K13" s="38">
        <v>11</v>
      </c>
      <c r="L13" s="99">
        <v>126.10000000000001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0.14563106796116504</v>
      </c>
      <c r="E14" s="63" t="s">
        <v>76</v>
      </c>
      <c r="F14" s="60" t="s">
        <v>31</v>
      </c>
      <c r="G14" s="47">
        <v>1</v>
      </c>
      <c r="H14" s="133">
        <f>IF(B$17=0,0,G14/B$17)</f>
        <v>2.9411764705882353E-2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20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2.9411764705882353E-2</v>
      </c>
      <c r="I15" s="94">
        <v>5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5</v>
      </c>
      <c r="C16" s="37">
        <f>IF(B$14=0,0,B16/B$14)</f>
        <v>0.33333333333333331</v>
      </c>
      <c r="E16" s="63" t="s">
        <v>86</v>
      </c>
      <c r="F16" s="60" t="s">
        <v>41</v>
      </c>
      <c r="G16" s="47">
        <v>1</v>
      </c>
      <c r="H16" s="133">
        <f>IF(B$17=0,0,G16/B$17)</f>
        <v>2.9411764705882353E-2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0.3300970873786408</v>
      </c>
      <c r="E17" s="63" t="s">
        <v>88</v>
      </c>
      <c r="F17" s="60" t="s">
        <v>43</v>
      </c>
      <c r="G17" s="47">
        <v>1</v>
      </c>
      <c r="H17" s="133">
        <f>IF(B$17=0,0,G17/B$17)</f>
        <v>2.9411764705882353E-2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179</v>
      </c>
      <c r="O18" s="125">
        <f>IF(P18=0,0,Q18/P18)</f>
        <v>15.5</v>
      </c>
      <c r="P18" s="119">
        <v>1</v>
      </c>
      <c r="Q18" s="107">
        <v>15.5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180</v>
      </c>
      <c r="O19" s="125">
        <f>IF(P19=0,0,Q19/P19)</f>
        <v>11.46</v>
      </c>
      <c r="P19" s="119">
        <v>5</v>
      </c>
      <c r="Q19" s="107">
        <v>57.300000000000004</v>
      </c>
    </row>
    <row r="20" spans="1:17" x14ac:dyDescent="0.4">
      <c r="A20" s="55" t="s">
        <v>13</v>
      </c>
      <c r="B20" s="47">
        <v>12</v>
      </c>
      <c r="C20" s="39">
        <f>IF(B$3=0,0,B20/B$3)</f>
        <v>0.11650485436893204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167</v>
      </c>
      <c r="O20" s="125">
        <f>IF(P20=0,0,Q20/P20)</f>
        <v>10.825000000000001</v>
      </c>
      <c r="P20" s="119">
        <v>4</v>
      </c>
      <c r="Q20" s="107">
        <v>43.300000000000004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196</v>
      </c>
      <c r="O21" s="125">
        <f>IF(P21=0,0,Q21/P21)</f>
        <v>-17.850000000000001</v>
      </c>
      <c r="P21" s="119">
        <v>2</v>
      </c>
      <c r="Q21" s="107">
        <v>-35.700000000000003</v>
      </c>
    </row>
    <row r="22" spans="1:17" x14ac:dyDescent="0.4">
      <c r="A22" s="55" t="s">
        <v>171</v>
      </c>
      <c r="B22" s="47">
        <v>19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  <c r="N22" s="115" t="s">
        <v>127</v>
      </c>
      <c r="O22" s="125">
        <f>IF(P22=0,0,Q22/P22)</f>
        <v>-49.733333333333327</v>
      </c>
      <c r="P22" s="119">
        <v>3</v>
      </c>
      <c r="Q22" s="107">
        <v>-149.19999999999999</v>
      </c>
    </row>
    <row r="23" spans="1:17" x14ac:dyDescent="0.4">
      <c r="A23" s="55" t="s">
        <v>5</v>
      </c>
      <c r="B23" s="51">
        <f>IF(B$17=0,0,C23/B$17)</f>
        <v>7779.411764705882</v>
      </c>
      <c r="C23" s="41">
        <v>264500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6</v>
      </c>
    </row>
    <row r="24" spans="1:17" x14ac:dyDescent="0.4">
      <c r="A24" s="57" t="s">
        <v>14</v>
      </c>
      <c r="B24" s="52">
        <f>IF(B$20=0,0,C24/B$20)</f>
        <v>-6041.666666666667</v>
      </c>
      <c r="C24" s="45">
        <v>-72500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7</v>
      </c>
      <c r="C25" s="145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2">
        <v>95200</v>
      </c>
      <c r="C26" s="143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2704A-075B-40E2-AACD-3DB5888E55D5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196</v>
      </c>
      <c r="C1" s="149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0">
        <v>5</v>
      </c>
      <c r="C2" s="151"/>
      <c r="E2" s="62" t="s">
        <v>67</v>
      </c>
      <c r="F2" s="59" t="s">
        <v>23</v>
      </c>
      <c r="G2" s="46">
        <v>11</v>
      </c>
      <c r="H2" s="132">
        <f>IF(B$17=0,0,G2/B$17)</f>
        <v>0.7857142857142857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-1740</v>
      </c>
      <c r="P2" s="118">
        <v>5</v>
      </c>
      <c r="Q2" s="102">
        <v>-8700</v>
      </c>
    </row>
    <row r="3" spans="1:17" x14ac:dyDescent="0.4">
      <c r="A3" s="55" t="s">
        <v>8</v>
      </c>
      <c r="B3" s="152">
        <v>48</v>
      </c>
      <c r="C3" s="153"/>
      <c r="E3" s="63" t="s">
        <v>65</v>
      </c>
      <c r="F3" s="60" t="s">
        <v>21</v>
      </c>
      <c r="G3" s="47">
        <v>7</v>
      </c>
      <c r="H3" s="133">
        <f>IF(B$17=0,0,G3/B$17)</f>
        <v>0.5</v>
      </c>
      <c r="I3" s="94">
        <v>4</v>
      </c>
      <c r="K3" s="38">
        <v>1</v>
      </c>
      <c r="L3" s="99">
        <v>-46.5</v>
      </c>
      <c r="N3" s="115" t="s">
        <v>132</v>
      </c>
      <c r="O3" s="122">
        <f t="shared" si="0"/>
        <v>3760</v>
      </c>
      <c r="P3" s="119">
        <v>5</v>
      </c>
      <c r="Q3" s="103">
        <v>18800</v>
      </c>
    </row>
    <row r="4" spans="1:17" x14ac:dyDescent="0.4">
      <c r="A4" s="55" t="s">
        <v>6</v>
      </c>
      <c r="B4" s="154">
        <v>-12.100000000000005</v>
      </c>
      <c r="C4" s="155"/>
      <c r="E4" s="63" t="s">
        <v>68</v>
      </c>
      <c r="F4" s="60" t="s">
        <v>24</v>
      </c>
      <c r="G4" s="47">
        <v>7</v>
      </c>
      <c r="H4" s="133">
        <f>IF(B$17=0,0,G4/B$17)</f>
        <v>0.5</v>
      </c>
      <c r="I4" s="94">
        <v>2</v>
      </c>
      <c r="K4" s="38">
        <v>2</v>
      </c>
      <c r="L4" s="99">
        <v>-25.4</v>
      </c>
      <c r="N4" s="115" t="s">
        <v>133</v>
      </c>
      <c r="O4" s="122">
        <f t="shared" si="0"/>
        <v>-5480</v>
      </c>
      <c r="P4" s="119">
        <v>5</v>
      </c>
      <c r="Q4" s="103">
        <v>-27400</v>
      </c>
    </row>
    <row r="5" spans="1:17" x14ac:dyDescent="0.4">
      <c r="A5" s="55" t="s">
        <v>7</v>
      </c>
      <c r="B5" s="156">
        <f>IF(B$2=0,0,B$4/B$2)</f>
        <v>-2.4200000000000008</v>
      </c>
      <c r="C5" s="157"/>
      <c r="E5" s="63" t="s">
        <v>73</v>
      </c>
      <c r="F5" s="60" t="s">
        <v>28</v>
      </c>
      <c r="G5" s="47">
        <v>7</v>
      </c>
      <c r="H5" s="133">
        <f>IF(B$17=0,0,G5/B$17)</f>
        <v>0.5</v>
      </c>
      <c r="I5" s="94">
        <v>8</v>
      </c>
      <c r="K5" s="38">
        <v>3</v>
      </c>
      <c r="L5" s="99">
        <v>-71.900000000000006</v>
      </c>
      <c r="N5" s="115" t="s">
        <v>134</v>
      </c>
      <c r="O5" s="122">
        <f t="shared" si="0"/>
        <v>-1600</v>
      </c>
      <c r="P5" s="119">
        <v>5</v>
      </c>
      <c r="Q5" s="103">
        <v>-8000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172</v>
      </c>
      <c r="F6" s="60" t="s">
        <v>173</v>
      </c>
      <c r="G6" s="47">
        <v>5</v>
      </c>
      <c r="H6" s="133">
        <f>IF(B$17=0,0,G6/B$17)</f>
        <v>0.35714285714285715</v>
      </c>
      <c r="I6" s="94">
        <v>7</v>
      </c>
      <c r="K6" s="38">
        <v>4</v>
      </c>
      <c r="L6" s="99">
        <v>-37.400000000000006</v>
      </c>
      <c r="N6" s="115" t="s">
        <v>135</v>
      </c>
      <c r="O6" s="122">
        <f t="shared" si="0"/>
        <v>4566.666666666667</v>
      </c>
      <c r="P6" s="119">
        <v>3</v>
      </c>
      <c r="Q6" s="103">
        <v>13700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0.6</v>
      </c>
      <c r="E7" s="63" t="s">
        <v>66</v>
      </c>
      <c r="F7" s="60" t="s">
        <v>22</v>
      </c>
      <c r="G7" s="47">
        <v>3</v>
      </c>
      <c r="H7" s="133">
        <f>IF(B$17=0,0,G7/B$17)</f>
        <v>0.21428571428571427</v>
      </c>
      <c r="I7" s="94">
        <v>1</v>
      </c>
      <c r="K7" s="38">
        <v>5</v>
      </c>
      <c r="L7" s="99">
        <v>-12.100000000000005</v>
      </c>
      <c r="N7" s="116" t="s">
        <v>136</v>
      </c>
      <c r="O7" s="123">
        <f t="shared" si="0"/>
        <v>-5250</v>
      </c>
      <c r="P7" s="120">
        <v>2</v>
      </c>
      <c r="Q7" s="104">
        <v>-10500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69</v>
      </c>
      <c r="F8" s="60" t="s">
        <v>12</v>
      </c>
      <c r="G8" s="47">
        <v>3</v>
      </c>
      <c r="H8" s="133">
        <f>IF(B$17=0,0,G8/B$17)</f>
        <v>0.21428571428571427</v>
      </c>
      <c r="I8" s="94">
        <v>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0.4</v>
      </c>
      <c r="E9" s="63" t="s">
        <v>90</v>
      </c>
      <c r="F9" s="60" t="s">
        <v>45</v>
      </c>
      <c r="G9" s="47">
        <v>2</v>
      </c>
      <c r="H9" s="133">
        <f>IF(B$17=0,0,G9/B$17)</f>
        <v>0.14285714285714285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0.4</v>
      </c>
      <c r="E10" s="63" t="s">
        <v>70</v>
      </c>
      <c r="F10" s="60" t="s">
        <v>25</v>
      </c>
      <c r="G10" s="47">
        <v>1</v>
      </c>
      <c r="H10" s="133">
        <f>IF(B$17=0,0,G10/B$17)</f>
        <v>7.1428571428571425E-2</v>
      </c>
      <c r="I10" s="94">
        <v>9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0.2</v>
      </c>
      <c r="E11" s="63" t="s">
        <v>71</v>
      </c>
      <c r="F11" s="60" t="s">
        <v>26</v>
      </c>
      <c r="G11" s="47">
        <v>1</v>
      </c>
      <c r="H11" s="133">
        <f>IF(B$17=0,0,G11/B$17)</f>
        <v>7.1428571428571425E-2</v>
      </c>
      <c r="I11" s="94">
        <v>5</v>
      </c>
      <c r="N11" s="115" t="s">
        <v>164</v>
      </c>
      <c r="O11" s="125">
        <f>IF(P11=0,0,Q11/P11)</f>
        <v>-2.4200000000000008</v>
      </c>
      <c r="P11" s="119">
        <v>5</v>
      </c>
      <c r="Q11" s="107">
        <v>-12.100000000000005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1</v>
      </c>
      <c r="H12" s="133">
        <f>IF(B$17=0,0,G12/B$17)</f>
        <v>7.1428571428571425E-2</v>
      </c>
      <c r="I12" s="94">
        <v>3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13</v>
      </c>
      <c r="C13" s="44">
        <f>IF(B$3=0,0,B13/B$3)</f>
        <v>0.27083333333333331</v>
      </c>
      <c r="E13" s="63" t="s">
        <v>80</v>
      </c>
      <c r="F13" s="60" t="s">
        <v>35</v>
      </c>
      <c r="G13" s="47">
        <v>1</v>
      </c>
      <c r="H13" s="133">
        <f>IF(B$17=0,0,G13/B$17)</f>
        <v>7.1428571428571425E-2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</v>
      </c>
      <c r="C14" s="39">
        <f>IF(B$3=0,0,B14/B$3)</f>
        <v>0.375</v>
      </c>
      <c r="E14" s="63" t="s">
        <v>84</v>
      </c>
      <c r="F14" s="60" t="s">
        <v>39</v>
      </c>
      <c r="G14" s="47">
        <v>1</v>
      </c>
      <c r="H14" s="133">
        <f>IF(B$17=0,0,G14/B$17)</f>
        <v>7.1428571428571425E-2</v>
      </c>
      <c r="I14" s="94">
        <v>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7</v>
      </c>
      <c r="C15" s="37">
        <f>IF(B$13=0,0,B15/B$13)</f>
        <v>0.53846153846153844</v>
      </c>
      <c r="E15" s="63" t="s">
        <v>87</v>
      </c>
      <c r="F15" s="60" t="s">
        <v>42</v>
      </c>
      <c r="G15" s="47">
        <v>1</v>
      </c>
      <c r="H15" s="133">
        <f>IF(B$17=0,0,G15/B$17)</f>
        <v>7.1428571428571425E-2</v>
      </c>
      <c r="I15" s="94">
        <v>2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6</v>
      </c>
      <c r="C16" s="37">
        <f>IF(B$14=0,0,B16/B$14)</f>
        <v>0.33333333333333331</v>
      </c>
      <c r="E16" s="63" t="s">
        <v>74</v>
      </c>
      <c r="F16" s="60" t="s">
        <v>29</v>
      </c>
      <c r="G16" s="47">
        <v>0</v>
      </c>
      <c r="H16" s="133">
        <f>IF(B$17=0,0,G16/B$17)</f>
        <v>0</v>
      </c>
      <c r="I16" s="94">
        <v>1</v>
      </c>
      <c r="N16" s="115" t="s">
        <v>180</v>
      </c>
      <c r="O16" s="125">
        <f>IF(P16=0,0,Q16/P16)</f>
        <v>56.6</v>
      </c>
      <c r="P16" s="119">
        <v>1</v>
      </c>
      <c r="Q16" s="107">
        <v>56.6</v>
      </c>
    </row>
    <row r="17" spans="1:17" x14ac:dyDescent="0.4">
      <c r="A17" s="54" t="s">
        <v>10</v>
      </c>
      <c r="B17" s="46">
        <f>B19+B18</f>
        <v>14</v>
      </c>
      <c r="C17" s="37">
        <f>IF(B$3=0,0,B17/B$3)</f>
        <v>0.29166666666666669</v>
      </c>
      <c r="E17" s="63" t="s">
        <v>75</v>
      </c>
      <c r="F17" s="60" t="s">
        <v>30</v>
      </c>
      <c r="G17" s="47">
        <v>0</v>
      </c>
      <c r="H17" s="133">
        <f>IF(B$17=0,0,G17/B$17)</f>
        <v>0</v>
      </c>
      <c r="I17" s="94">
        <v>3</v>
      </c>
      <c r="N17" s="115" t="s">
        <v>182</v>
      </c>
      <c r="O17" s="125">
        <f>IF(P17=0,0,Q17/P17)</f>
        <v>17.850000000000001</v>
      </c>
      <c r="P17" s="119">
        <v>2</v>
      </c>
      <c r="Q17" s="107">
        <v>35.700000000000003</v>
      </c>
    </row>
    <row r="18" spans="1:17" x14ac:dyDescent="0.4">
      <c r="A18" s="55" t="s">
        <v>12</v>
      </c>
      <c r="B18" s="47">
        <v>5</v>
      </c>
      <c r="C18" s="39">
        <f>IF(B$17=0,0,B18/B$17)</f>
        <v>0.35714285714285715</v>
      </c>
      <c r="E18" s="63" t="s">
        <v>76</v>
      </c>
      <c r="F18" s="60" t="s">
        <v>31</v>
      </c>
      <c r="G18" s="47">
        <v>0</v>
      </c>
      <c r="H18" s="133">
        <f>IF(B$17=0,0,G18/B$17)</f>
        <v>0</v>
      </c>
      <c r="I18" s="94">
        <v>3</v>
      </c>
      <c r="N18" s="115" t="s">
        <v>179</v>
      </c>
      <c r="O18" s="125">
        <f>IF(P18=0,0,Q18/P18)</f>
        <v>-36.366666666666667</v>
      </c>
      <c r="P18" s="119">
        <v>3</v>
      </c>
      <c r="Q18" s="107">
        <v>-109.10000000000001</v>
      </c>
    </row>
    <row r="19" spans="1:17" x14ac:dyDescent="0.4">
      <c r="A19" s="55" t="s">
        <v>11</v>
      </c>
      <c r="B19" s="47">
        <v>9</v>
      </c>
      <c r="C19" s="39">
        <f>IF(B$17=0,0,B19/B$17)</f>
        <v>0.6428571428571429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128</v>
      </c>
      <c r="O19" s="125">
        <f>IF(P19=0,0,Q19/P19)</f>
        <v>-75.3</v>
      </c>
      <c r="P19" s="119">
        <v>2</v>
      </c>
      <c r="Q19" s="107">
        <v>-150.6</v>
      </c>
    </row>
    <row r="20" spans="1:17" x14ac:dyDescent="0.4">
      <c r="A20" s="55" t="s">
        <v>13</v>
      </c>
      <c r="B20" s="47">
        <v>8</v>
      </c>
      <c r="C20" s="39">
        <f>IF(B$3=0,0,B20/B$3)</f>
        <v>0.16666666666666666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4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7</v>
      </c>
    </row>
    <row r="22" spans="1:17" x14ac:dyDescent="0.4">
      <c r="A22" s="55" t="s">
        <v>171</v>
      </c>
      <c r="B22" s="47">
        <v>13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7914.2857142857147</v>
      </c>
      <c r="C23" s="41">
        <v>110800</v>
      </c>
      <c r="E23" s="63" t="s">
        <v>82</v>
      </c>
      <c r="F23" s="60" t="s">
        <v>37</v>
      </c>
      <c r="G23" s="47">
        <v>0</v>
      </c>
      <c r="H23" s="133">
        <f>IF(B$17=0,0,G23/B$17)</f>
        <v>0</v>
      </c>
      <c r="I23" s="94">
        <v>9</v>
      </c>
    </row>
    <row r="24" spans="1:17" x14ac:dyDescent="0.4">
      <c r="A24" s="57" t="s">
        <v>14</v>
      </c>
      <c r="B24" s="52">
        <f>IF(B$20=0,0,C24/B$20)</f>
        <v>-8962.5</v>
      </c>
      <c r="C24" s="45">
        <v>-71700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141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2">
        <v>59500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425A7-7A13-43DA-A6EB-7B68BEA210C1}">
  <sheetPr codeName="Sheet24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-46.5</v>
      </c>
      <c r="C4" s="66">
        <v>-46.5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0.27272727272727271</v>
      </c>
      <c r="I4" s="68">
        <v>12000</v>
      </c>
      <c r="J4" s="68">
        <v>-9333.3333333333339</v>
      </c>
      <c r="K4" s="67">
        <v>1</v>
      </c>
      <c r="L4" s="67">
        <v>0</v>
      </c>
      <c r="M4" s="67">
        <v>0.27272727272727271</v>
      </c>
      <c r="N4" s="67">
        <v>0.36363636363636365</v>
      </c>
      <c r="O4" s="67">
        <v>0.33333333333333331</v>
      </c>
      <c r="P4" s="67">
        <v>0</v>
      </c>
      <c r="Q4" s="67">
        <v>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  <row r="8" spans="1:17" x14ac:dyDescent="0.4">
      <c r="A8" s="69">
        <v>5</v>
      </c>
      <c r="B8" s="66">
        <v>-12.100000000000005</v>
      </c>
      <c r="C8" s="66">
        <v>-2.4200000000000008</v>
      </c>
      <c r="D8" s="71">
        <v>1.8</v>
      </c>
      <c r="E8" s="67">
        <v>0.6</v>
      </c>
      <c r="F8" s="67">
        <v>0.4</v>
      </c>
      <c r="G8" s="67">
        <v>0.29166666666666669</v>
      </c>
      <c r="H8" s="67">
        <v>0.16666666666666666</v>
      </c>
      <c r="I8" s="68">
        <v>7914.2857142857147</v>
      </c>
      <c r="J8" s="68">
        <v>-8962.5</v>
      </c>
      <c r="K8" s="67">
        <v>0.4</v>
      </c>
      <c r="L8" s="67">
        <v>0.2</v>
      </c>
      <c r="M8" s="67">
        <v>0.27083333333333331</v>
      </c>
      <c r="N8" s="67">
        <v>0.375</v>
      </c>
      <c r="O8" s="67">
        <v>0.53846153846153844</v>
      </c>
      <c r="P8" s="67">
        <v>0.33333333333333331</v>
      </c>
      <c r="Q8" s="67">
        <v>0.35714285714285715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3B9CF-DEE0-432B-9BE7-009681740264}">
  <sheetPr codeName="Sheet22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 x14ac:dyDescent="0.4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 x14ac:dyDescent="0.4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 x14ac:dyDescent="0.4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 x14ac:dyDescent="0.4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  <row r="13" spans="1:17" x14ac:dyDescent="0.4">
      <c r="A13" s="69">
        <v>10</v>
      </c>
      <c r="B13" s="66">
        <v>162.80000000000001</v>
      </c>
      <c r="C13" s="66">
        <v>16.28</v>
      </c>
      <c r="D13" s="71">
        <v>1.6</v>
      </c>
      <c r="E13" s="67">
        <v>0.5</v>
      </c>
      <c r="F13" s="67">
        <v>0.1</v>
      </c>
      <c r="G13" s="67">
        <v>0.33333333333333331</v>
      </c>
      <c r="H13" s="67">
        <v>9.6774193548387094E-2</v>
      </c>
      <c r="I13" s="68">
        <v>7790.322580645161</v>
      </c>
      <c r="J13" s="68">
        <v>-4433.333333333333</v>
      </c>
      <c r="K13" s="67">
        <v>0</v>
      </c>
      <c r="L13" s="67">
        <v>0.2</v>
      </c>
      <c r="M13" s="67">
        <v>0.31182795698924731</v>
      </c>
      <c r="N13" s="67">
        <v>0.15053763440860216</v>
      </c>
      <c r="O13" s="67">
        <v>0.65517241379310343</v>
      </c>
      <c r="P13" s="67">
        <v>0.35714285714285715</v>
      </c>
      <c r="Q13" s="67">
        <v>0.4838709677419355</v>
      </c>
    </row>
    <row r="14" spans="1:17" x14ac:dyDescent="0.4">
      <c r="A14" s="69">
        <v>11</v>
      </c>
      <c r="B14" s="66">
        <v>126.10000000000001</v>
      </c>
      <c r="C14" s="66">
        <v>11.463636363636365</v>
      </c>
      <c r="D14" s="71">
        <v>1.7272727272727273</v>
      </c>
      <c r="E14" s="67">
        <v>0.45454545454545453</v>
      </c>
      <c r="F14" s="67">
        <v>0.18181818181818182</v>
      </c>
      <c r="G14" s="67">
        <v>0.3300970873786408</v>
      </c>
      <c r="H14" s="67">
        <v>0.11650485436893204</v>
      </c>
      <c r="I14" s="68">
        <v>7779.411764705882</v>
      </c>
      <c r="J14" s="68">
        <v>-6041.666666666667</v>
      </c>
      <c r="K14" s="67">
        <v>0</v>
      </c>
      <c r="L14" s="67">
        <v>0.18181818181818182</v>
      </c>
      <c r="M14" s="67">
        <v>0.29126213592233008</v>
      </c>
      <c r="N14" s="67">
        <v>0.14563106796116504</v>
      </c>
      <c r="O14" s="67">
        <v>0.66666666666666663</v>
      </c>
      <c r="P14" s="67">
        <v>0.33333333333333331</v>
      </c>
      <c r="Q14" s="67">
        <v>0.52941176470588236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3B911-B156-48C2-8D13-4E1FE2D7A8F3}">
  <sheetPr codeName="Sheet20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  <row r="8" spans="1:17" x14ac:dyDescent="0.4">
      <c r="A8" s="69">
        <v>5</v>
      </c>
      <c r="B8" s="66">
        <v>-124.3</v>
      </c>
      <c r="C8" s="66">
        <v>-24.86</v>
      </c>
      <c r="D8" s="71">
        <v>2.6</v>
      </c>
      <c r="E8" s="67">
        <v>0</v>
      </c>
      <c r="F8" s="67">
        <v>0.6</v>
      </c>
      <c r="G8" s="67">
        <v>0.14893617021276595</v>
      </c>
      <c r="H8" s="67">
        <v>0.23404255319148937</v>
      </c>
      <c r="I8" s="68">
        <v>9028.5714285714294</v>
      </c>
      <c r="J8" s="68">
        <v>-8827.2727272727279</v>
      </c>
      <c r="K8" s="67">
        <v>0.2</v>
      </c>
      <c r="L8" s="67">
        <v>0</v>
      </c>
      <c r="M8" s="67">
        <v>0.27659574468085107</v>
      </c>
      <c r="N8" s="67">
        <v>0.23404255319148937</v>
      </c>
      <c r="O8" s="67">
        <v>0.46153846153846156</v>
      </c>
      <c r="P8" s="67">
        <v>9.0909090909090912E-2</v>
      </c>
      <c r="Q8" s="67">
        <v>0.5714285714285714</v>
      </c>
    </row>
    <row r="9" spans="1:17" x14ac:dyDescent="0.4">
      <c r="A9" s="69">
        <v>6</v>
      </c>
      <c r="B9" s="66">
        <v>-159.6</v>
      </c>
      <c r="C9" s="66">
        <v>-26.599999999999998</v>
      </c>
      <c r="D9" s="71">
        <v>2.6666666666666665</v>
      </c>
      <c r="E9" s="67">
        <v>0</v>
      </c>
      <c r="F9" s="67">
        <v>0.66666666666666663</v>
      </c>
      <c r="G9" s="67">
        <v>0.12727272727272726</v>
      </c>
      <c r="H9" s="67">
        <v>0.23636363636363636</v>
      </c>
      <c r="I9" s="68">
        <v>9028.5714285714294</v>
      </c>
      <c r="J9" s="68">
        <v>-8069.2307692307695</v>
      </c>
      <c r="K9" s="67">
        <v>0.16666666666666666</v>
      </c>
      <c r="L9" s="67">
        <v>0</v>
      </c>
      <c r="M9" s="67">
        <v>0.25454545454545452</v>
      </c>
      <c r="N9" s="67">
        <v>0.2</v>
      </c>
      <c r="O9" s="67">
        <v>0.42857142857142855</v>
      </c>
      <c r="P9" s="67">
        <v>9.0909090909090912E-2</v>
      </c>
      <c r="Q9" s="67">
        <v>0.5714285714285714</v>
      </c>
    </row>
    <row r="10" spans="1:17" x14ac:dyDescent="0.4">
      <c r="A10" s="69">
        <v>7</v>
      </c>
      <c r="B10" s="66">
        <v>-99.5</v>
      </c>
      <c r="C10" s="66">
        <v>-14.214285714285714</v>
      </c>
      <c r="D10" s="71">
        <v>2.4285714285714284</v>
      </c>
      <c r="E10" s="67">
        <v>0.14285714285714285</v>
      </c>
      <c r="F10" s="67">
        <v>0.5714285714285714</v>
      </c>
      <c r="G10" s="67">
        <v>0.19047619047619047</v>
      </c>
      <c r="H10" s="67">
        <v>0.23809523809523808</v>
      </c>
      <c r="I10" s="68">
        <v>10583.333333333334</v>
      </c>
      <c r="J10" s="68">
        <v>-8040</v>
      </c>
      <c r="K10" s="67">
        <v>0.14285714285714285</v>
      </c>
      <c r="L10" s="67">
        <v>0.14285714285714285</v>
      </c>
      <c r="M10" s="67">
        <v>0.26984126984126983</v>
      </c>
      <c r="N10" s="67">
        <v>0.22222222222222221</v>
      </c>
      <c r="O10" s="67">
        <v>0.47058823529411764</v>
      </c>
      <c r="P10" s="67">
        <v>0.2857142857142857</v>
      </c>
      <c r="Q10" s="67">
        <v>0.5</v>
      </c>
    </row>
    <row r="11" spans="1:17" x14ac:dyDescent="0.4">
      <c r="A11" s="69">
        <v>8</v>
      </c>
      <c r="B11" s="66">
        <v>-152.6</v>
      </c>
      <c r="C11" s="66">
        <v>-19.074999999999999</v>
      </c>
      <c r="D11" s="71">
        <v>2.5</v>
      </c>
      <c r="E11" s="67">
        <v>0.125</v>
      </c>
      <c r="F11" s="67">
        <v>0.625</v>
      </c>
      <c r="G11" s="67">
        <v>0.20289855072463769</v>
      </c>
      <c r="H11" s="67">
        <v>0.24637681159420291</v>
      </c>
      <c r="I11" s="68">
        <v>9742.8571428571431</v>
      </c>
      <c r="J11" s="68">
        <v>-10035.294117647059</v>
      </c>
      <c r="K11" s="67">
        <v>0.25</v>
      </c>
      <c r="L11" s="67">
        <v>0.125</v>
      </c>
      <c r="M11" s="67">
        <v>0.27536231884057971</v>
      </c>
      <c r="N11" s="67">
        <v>0.21739130434782608</v>
      </c>
      <c r="O11" s="67">
        <v>0.47368421052631576</v>
      </c>
      <c r="P11" s="67">
        <v>0.33333333333333331</v>
      </c>
      <c r="Q11" s="67">
        <v>0.5714285714285714</v>
      </c>
    </row>
    <row r="12" spans="1:17" x14ac:dyDescent="0.4">
      <c r="A12" s="69">
        <v>9</v>
      </c>
      <c r="B12" s="66">
        <v>-150.6</v>
      </c>
      <c r="C12" s="66">
        <v>-16.733333333333334</v>
      </c>
      <c r="D12" s="71">
        <v>2.4444444444444446</v>
      </c>
      <c r="E12" s="67">
        <v>0.1111111111111111</v>
      </c>
      <c r="F12" s="67">
        <v>0.55555555555555558</v>
      </c>
      <c r="G12" s="67">
        <v>0.21333333333333335</v>
      </c>
      <c r="H12" s="67">
        <v>0.25333333333333335</v>
      </c>
      <c r="I12" s="68">
        <v>9350</v>
      </c>
      <c r="J12" s="68">
        <v>-9452.6315789473683</v>
      </c>
      <c r="K12" s="67">
        <v>0.22222222222222221</v>
      </c>
      <c r="L12" s="67">
        <v>0.1111111111111111</v>
      </c>
      <c r="M12" s="67">
        <v>0.26666666666666666</v>
      </c>
      <c r="N12" s="67">
        <v>0.21333333333333335</v>
      </c>
      <c r="O12" s="67">
        <v>0.5</v>
      </c>
      <c r="P12" s="67">
        <v>0.375</v>
      </c>
      <c r="Q12" s="67">
        <v>0.5625</v>
      </c>
    </row>
    <row r="13" spans="1:17" x14ac:dyDescent="0.4">
      <c r="A13" s="69">
        <v>10</v>
      </c>
      <c r="B13" s="66">
        <v>-151.1</v>
      </c>
      <c r="C13" s="66">
        <v>-15.11</v>
      </c>
      <c r="D13" s="71">
        <v>2.4</v>
      </c>
      <c r="E13" s="67">
        <v>0.1</v>
      </c>
      <c r="F13" s="67">
        <v>0.5</v>
      </c>
      <c r="G13" s="67">
        <v>0.2289156626506024</v>
      </c>
      <c r="H13" s="67">
        <v>0.2289156626506024</v>
      </c>
      <c r="I13" s="68">
        <v>8273.6842105263149</v>
      </c>
      <c r="J13" s="68">
        <v>-9452.6315789473683</v>
      </c>
      <c r="K13" s="67">
        <v>0.2</v>
      </c>
      <c r="L13" s="67">
        <v>0.1</v>
      </c>
      <c r="M13" s="67">
        <v>0.25301204819277107</v>
      </c>
      <c r="N13" s="67">
        <v>0.2289156626506024</v>
      </c>
      <c r="O13" s="67">
        <v>0.52380952380952384</v>
      </c>
      <c r="P13" s="67">
        <v>0.42105263157894735</v>
      </c>
      <c r="Q13" s="67">
        <v>0.52631578947368418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BC800-781D-49FB-BEC2-5B19921D5D2E}">
  <sheetPr codeName="Sheet18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25.8</v>
      </c>
      <c r="C6" s="66">
        <v>8.6</v>
      </c>
      <c r="D6" s="71">
        <v>2</v>
      </c>
      <c r="E6" s="67">
        <v>0.33333333333333331</v>
      </c>
      <c r="F6" s="67">
        <v>0.33333333333333331</v>
      </c>
      <c r="G6" s="67">
        <v>0.24242424242424243</v>
      </c>
      <c r="H6" s="67">
        <v>6.0606060606060608E-2</v>
      </c>
      <c r="I6" s="68">
        <v>8937.5</v>
      </c>
      <c r="J6" s="68">
        <v>-10000</v>
      </c>
      <c r="K6" s="67">
        <v>0</v>
      </c>
      <c r="L6" s="67">
        <v>0</v>
      </c>
      <c r="M6" s="67">
        <v>0.12121212121212122</v>
      </c>
      <c r="N6" s="67">
        <v>0.15151515151515152</v>
      </c>
      <c r="O6" s="67">
        <v>0.75</v>
      </c>
      <c r="P6" s="67">
        <v>0.8</v>
      </c>
      <c r="Q6" s="67">
        <v>0.375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  <row r="16" spans="1:17" x14ac:dyDescent="0.4">
      <c r="A16" s="69">
        <v>13</v>
      </c>
      <c r="B16" s="66">
        <v>-68.399999999999991</v>
      </c>
      <c r="C16" s="66">
        <v>-5.2615384615384606</v>
      </c>
      <c r="D16" s="71">
        <v>2.1538461538461537</v>
      </c>
      <c r="E16" s="67">
        <v>0.30769230769230771</v>
      </c>
      <c r="F16" s="67">
        <v>0.46153846153846156</v>
      </c>
      <c r="G16" s="67">
        <v>0.25203252032520324</v>
      </c>
      <c r="H16" s="67">
        <v>0.12195121951219512</v>
      </c>
      <c r="I16" s="68">
        <v>7677.4193548387093</v>
      </c>
      <c r="J16" s="68">
        <v>-7960</v>
      </c>
      <c r="K16" s="67">
        <v>0.23076923076923078</v>
      </c>
      <c r="L16" s="67">
        <v>7.6923076923076927E-2</v>
      </c>
      <c r="M16" s="67">
        <v>0.2032520325203252</v>
      </c>
      <c r="N16" s="67">
        <v>0.22764227642276422</v>
      </c>
      <c r="O16" s="67">
        <v>0.56000000000000005</v>
      </c>
      <c r="P16" s="67">
        <v>0.4642857142857143</v>
      </c>
      <c r="Q16" s="67">
        <v>0.35483870967741937</v>
      </c>
    </row>
    <row r="17" spans="1:17" x14ac:dyDescent="0.4">
      <c r="A17" s="69">
        <v>14</v>
      </c>
      <c r="B17" s="66">
        <v>-25.79999999999999</v>
      </c>
      <c r="C17" s="66">
        <v>-1.8428571428571421</v>
      </c>
      <c r="D17" s="71">
        <v>2.0714285714285716</v>
      </c>
      <c r="E17" s="67">
        <v>0.35714285714285715</v>
      </c>
      <c r="F17" s="67">
        <v>0.42857142857142855</v>
      </c>
      <c r="G17" s="67">
        <v>0.27480916030534353</v>
      </c>
      <c r="H17" s="67">
        <v>0.11450381679389313</v>
      </c>
      <c r="I17" s="68">
        <v>7488.8888888888887</v>
      </c>
      <c r="J17" s="68">
        <v>-7960</v>
      </c>
      <c r="K17" s="67">
        <v>0.21428571428571427</v>
      </c>
      <c r="L17" s="67">
        <v>7.1428571428571425E-2</v>
      </c>
      <c r="M17" s="67">
        <v>0.21374045801526717</v>
      </c>
      <c r="N17" s="67">
        <v>0.23664122137404581</v>
      </c>
      <c r="O17" s="67">
        <v>0.5714285714285714</v>
      </c>
      <c r="P17" s="67">
        <v>0.5161290322580645</v>
      </c>
      <c r="Q17" s="67">
        <v>0.3888888888888889</v>
      </c>
    </row>
    <row r="18" spans="1:17" x14ac:dyDescent="0.4">
      <c r="A18" s="69">
        <v>15</v>
      </c>
      <c r="B18" s="66">
        <v>-35.499999999999986</v>
      </c>
      <c r="C18" s="66">
        <v>-2.3666666666666658</v>
      </c>
      <c r="D18" s="71">
        <v>2.0666666666666669</v>
      </c>
      <c r="E18" s="67">
        <v>0.33333333333333331</v>
      </c>
      <c r="F18" s="67">
        <v>0.4</v>
      </c>
      <c r="G18" s="67">
        <v>0.2733812949640288</v>
      </c>
      <c r="H18" s="67">
        <v>0.11510791366906475</v>
      </c>
      <c r="I18" s="68">
        <v>7507.894736842105</v>
      </c>
      <c r="J18" s="68">
        <v>-7643.75</v>
      </c>
      <c r="K18" s="67">
        <v>0.2</v>
      </c>
      <c r="L18" s="67">
        <v>6.6666666666666666E-2</v>
      </c>
      <c r="M18" s="67">
        <v>0.22302158273381295</v>
      </c>
      <c r="N18" s="67">
        <v>0.2446043165467626</v>
      </c>
      <c r="O18" s="67">
        <v>0.5161290322580645</v>
      </c>
      <c r="P18" s="67">
        <v>0.52941176470588236</v>
      </c>
      <c r="Q18" s="67">
        <v>0.36842105263157893</v>
      </c>
    </row>
    <row r="19" spans="1:17" x14ac:dyDescent="0.4">
      <c r="A19" s="69">
        <v>16</v>
      </c>
      <c r="B19" s="66">
        <v>-35.599999999999987</v>
      </c>
      <c r="C19" s="66">
        <v>-2.2249999999999992</v>
      </c>
      <c r="D19" s="71">
        <v>2.0625</v>
      </c>
      <c r="E19" s="67">
        <v>0.3125</v>
      </c>
      <c r="F19" s="67">
        <v>0.375</v>
      </c>
      <c r="G19" s="67">
        <v>0.26896551724137929</v>
      </c>
      <c r="H19" s="67">
        <v>0.11724137931034483</v>
      </c>
      <c r="I19" s="68">
        <v>7776.9230769230771</v>
      </c>
      <c r="J19" s="68">
        <v>-7647.0588235294117</v>
      </c>
      <c r="K19" s="67">
        <v>0.1875</v>
      </c>
      <c r="L19" s="67">
        <v>6.25E-2</v>
      </c>
      <c r="M19" s="67">
        <v>0.2413793103448276</v>
      </c>
      <c r="N19" s="67">
        <v>0.2413793103448276</v>
      </c>
      <c r="O19" s="67">
        <v>0.45714285714285713</v>
      </c>
      <c r="P19" s="67">
        <v>0.54285714285714282</v>
      </c>
      <c r="Q19" s="67">
        <v>0.35897435897435898</v>
      </c>
    </row>
    <row r="20" spans="1:17" x14ac:dyDescent="0.4">
      <c r="A20" s="69">
        <v>17</v>
      </c>
      <c r="B20" s="66">
        <v>-29.799999999999986</v>
      </c>
      <c r="C20" s="66">
        <v>-1.7529411764705873</v>
      </c>
      <c r="D20" s="71">
        <v>2.0588235294117645</v>
      </c>
      <c r="E20" s="67">
        <v>0.29411764705882354</v>
      </c>
      <c r="F20" s="67">
        <v>0.35294117647058826</v>
      </c>
      <c r="G20" s="67">
        <v>0.27631578947368424</v>
      </c>
      <c r="H20" s="67">
        <v>0.11842105263157894</v>
      </c>
      <c r="I20" s="68">
        <v>7554.7619047619046</v>
      </c>
      <c r="J20" s="68">
        <v>-7383.333333333333</v>
      </c>
      <c r="K20" s="67">
        <v>0.17647058823529413</v>
      </c>
      <c r="L20" s="67">
        <v>5.8823529411764705E-2</v>
      </c>
      <c r="M20" s="67">
        <v>0.25</v>
      </c>
      <c r="N20" s="67">
        <v>0.24342105263157895</v>
      </c>
      <c r="O20" s="67">
        <v>0.47368421052631576</v>
      </c>
      <c r="P20" s="67">
        <v>0.54054054054054057</v>
      </c>
      <c r="Q20" s="67">
        <v>0.35714285714285715</v>
      </c>
    </row>
    <row r="21" spans="1:17" x14ac:dyDescent="0.4">
      <c r="A21" s="69">
        <v>18</v>
      </c>
      <c r="B21" s="66">
        <v>-62.399999999999991</v>
      </c>
      <c r="C21" s="66">
        <v>-3.4666666666666663</v>
      </c>
      <c r="D21" s="71">
        <v>2.1111111111111112</v>
      </c>
      <c r="E21" s="67">
        <v>0.27777777777777779</v>
      </c>
      <c r="F21" s="67">
        <v>0.3888888888888889</v>
      </c>
      <c r="G21" s="67">
        <v>0.27380952380952384</v>
      </c>
      <c r="H21" s="67">
        <v>0.13095238095238096</v>
      </c>
      <c r="I21" s="68">
        <v>7491.304347826087</v>
      </c>
      <c r="J21" s="68">
        <v>-7331.818181818182</v>
      </c>
      <c r="K21" s="67">
        <v>0.16666666666666666</v>
      </c>
      <c r="L21" s="67">
        <v>5.5555555555555552E-2</v>
      </c>
      <c r="M21" s="67">
        <v>0.25</v>
      </c>
      <c r="N21" s="67">
        <v>0.25</v>
      </c>
      <c r="O21" s="67">
        <v>0.47619047619047616</v>
      </c>
      <c r="P21" s="67">
        <v>0.52380952380952384</v>
      </c>
      <c r="Q21" s="67">
        <v>0.36956521739130432</v>
      </c>
    </row>
    <row r="22" spans="1:17" x14ac:dyDescent="0.4">
      <c r="A22" s="69">
        <v>19</v>
      </c>
      <c r="B22" s="66">
        <v>-56.399999999999991</v>
      </c>
      <c r="C22" s="66">
        <v>-2.9684210526315784</v>
      </c>
      <c r="D22" s="71">
        <v>2.1052631578947367</v>
      </c>
      <c r="E22" s="67">
        <v>0.26315789473684209</v>
      </c>
      <c r="F22" s="67">
        <v>0.36842105263157893</v>
      </c>
      <c r="G22" s="67">
        <v>0.27840909090909088</v>
      </c>
      <c r="H22" s="67">
        <v>0.13636363636363635</v>
      </c>
      <c r="I22" s="68">
        <v>7540.8163265306121</v>
      </c>
      <c r="J22" s="68">
        <v>-7095.833333333333</v>
      </c>
      <c r="K22" s="67">
        <v>0.15789473684210525</v>
      </c>
      <c r="L22" s="67">
        <v>5.2631578947368418E-2</v>
      </c>
      <c r="M22" s="67">
        <v>0.25568181818181818</v>
      </c>
      <c r="N22" s="67">
        <v>0.26136363636363635</v>
      </c>
      <c r="O22" s="67">
        <v>0.48888888888888887</v>
      </c>
      <c r="P22" s="67">
        <v>0.5</v>
      </c>
      <c r="Q22" s="67">
        <v>0.38775510204081631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C5614-3821-4815-AEB7-64A9B71889CE}">
  <sheetPr codeName="Sheet16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  <row r="14" spans="1:17" x14ac:dyDescent="0.4">
      <c r="A14" s="69">
        <v>11</v>
      </c>
      <c r="B14" s="66">
        <v>-163.69999999999999</v>
      </c>
      <c r="C14" s="66">
        <v>-14.881818181818181</v>
      </c>
      <c r="D14" s="71">
        <v>2.2727272727272729</v>
      </c>
      <c r="E14" s="67">
        <v>0.18181818181818182</v>
      </c>
      <c r="F14" s="67">
        <v>0.45454545454545453</v>
      </c>
      <c r="G14" s="67">
        <v>0.22619047619047619</v>
      </c>
      <c r="H14" s="67">
        <v>0.22619047619047619</v>
      </c>
      <c r="I14" s="68">
        <v>11852.631578947368</v>
      </c>
      <c r="J14" s="68">
        <v>-11015.78947368421</v>
      </c>
      <c r="K14" s="67">
        <v>0.36363636363636365</v>
      </c>
      <c r="L14" s="67">
        <v>0.18181818181818182</v>
      </c>
      <c r="M14" s="67">
        <v>0.20238095238095238</v>
      </c>
      <c r="N14" s="67">
        <v>0.26190476190476192</v>
      </c>
      <c r="O14" s="67">
        <v>0.29411764705882354</v>
      </c>
      <c r="P14" s="67">
        <v>0.45454545454545453</v>
      </c>
      <c r="Q14" s="67">
        <v>0.36842105263157893</v>
      </c>
    </row>
    <row r="15" spans="1:17" x14ac:dyDescent="0.4">
      <c r="A15" s="69">
        <v>12</v>
      </c>
      <c r="B15" s="66">
        <v>-110.49999999999999</v>
      </c>
      <c r="C15" s="66">
        <v>-9.2083333333333321</v>
      </c>
      <c r="D15" s="71">
        <v>2.1666666666666665</v>
      </c>
      <c r="E15" s="67">
        <v>0.25</v>
      </c>
      <c r="F15" s="67">
        <v>0.41666666666666669</v>
      </c>
      <c r="G15" s="67">
        <v>0.23333333333333334</v>
      </c>
      <c r="H15" s="67">
        <v>0.21111111111111111</v>
      </c>
      <c r="I15" s="68">
        <v>12614.285714285714</v>
      </c>
      <c r="J15" s="68">
        <v>-11015.78947368421</v>
      </c>
      <c r="K15" s="67">
        <v>0.33333333333333331</v>
      </c>
      <c r="L15" s="67">
        <v>0.25</v>
      </c>
      <c r="M15" s="67">
        <v>0.18888888888888888</v>
      </c>
      <c r="N15" s="67">
        <v>0.25555555555555554</v>
      </c>
      <c r="O15" s="67">
        <v>0.29411764705882354</v>
      </c>
      <c r="P15" s="67">
        <v>0.47826086956521741</v>
      </c>
      <c r="Q15" s="67">
        <v>0.33333333333333331</v>
      </c>
    </row>
    <row r="16" spans="1:17" x14ac:dyDescent="0.4">
      <c r="A16" s="69">
        <v>13</v>
      </c>
      <c r="B16" s="66">
        <v>-132.39999999999998</v>
      </c>
      <c r="C16" s="66">
        <v>-10.184615384615382</v>
      </c>
      <c r="D16" s="71">
        <v>2.2307692307692308</v>
      </c>
      <c r="E16" s="67">
        <v>0.23076923076923078</v>
      </c>
      <c r="F16" s="67">
        <v>0.46153846153846156</v>
      </c>
      <c r="G16" s="67">
        <v>0.22222222222222221</v>
      </c>
      <c r="H16" s="67">
        <v>0.21212121212121213</v>
      </c>
      <c r="I16" s="68">
        <v>12586.363636363636</v>
      </c>
      <c r="J16" s="68">
        <v>-10723.809523809523</v>
      </c>
      <c r="K16" s="67">
        <v>0.30769230769230771</v>
      </c>
      <c r="L16" s="67">
        <v>0.23076923076923078</v>
      </c>
      <c r="M16" s="67">
        <v>0.21212121212121213</v>
      </c>
      <c r="N16" s="67">
        <v>0.25252525252525254</v>
      </c>
      <c r="O16" s="67">
        <v>0.23809523809523808</v>
      </c>
      <c r="P16" s="67">
        <v>0.48</v>
      </c>
      <c r="Q16" s="67">
        <v>0.31818181818181818</v>
      </c>
    </row>
    <row r="17" spans="1:17" x14ac:dyDescent="0.4">
      <c r="A17" s="69">
        <v>14</v>
      </c>
      <c r="B17" s="66">
        <v>-86.499999999999972</v>
      </c>
      <c r="C17" s="66">
        <v>-6.1785714285714262</v>
      </c>
      <c r="D17" s="71">
        <v>2.1428571428571428</v>
      </c>
      <c r="E17" s="67">
        <v>0.2857142857142857</v>
      </c>
      <c r="F17" s="67">
        <v>0.42857142857142855</v>
      </c>
      <c r="G17" s="67">
        <v>0.22641509433962265</v>
      </c>
      <c r="H17" s="67">
        <v>0.20754716981132076</v>
      </c>
      <c r="I17" s="68">
        <v>13370.833333333334</v>
      </c>
      <c r="J17" s="68">
        <v>-10600</v>
      </c>
      <c r="K17" s="67">
        <v>0.2857142857142857</v>
      </c>
      <c r="L17" s="67">
        <v>0.2857142857142857</v>
      </c>
      <c r="M17" s="67">
        <v>0.22641509433962265</v>
      </c>
      <c r="N17" s="67">
        <v>0.23584905660377359</v>
      </c>
      <c r="O17" s="67">
        <v>0.25</v>
      </c>
      <c r="P17" s="67">
        <v>0.48</v>
      </c>
      <c r="Q17" s="67">
        <v>0.33333333333333331</v>
      </c>
    </row>
    <row r="18" spans="1:17" x14ac:dyDescent="0.4">
      <c r="A18" s="69">
        <v>15</v>
      </c>
      <c r="B18" s="66">
        <v>-101.79999999999997</v>
      </c>
      <c r="C18" s="66">
        <v>-6.7866666666666644</v>
      </c>
      <c r="D18" s="71">
        <v>2.1333333333333333</v>
      </c>
      <c r="E18" s="67">
        <v>0.26666666666666666</v>
      </c>
      <c r="F18" s="67">
        <v>0.4</v>
      </c>
      <c r="G18" s="67">
        <v>0.22131147540983606</v>
      </c>
      <c r="H18" s="67">
        <v>0.19672131147540983</v>
      </c>
      <c r="I18" s="68">
        <v>12474.074074074075</v>
      </c>
      <c r="J18" s="68">
        <v>-10254.166666666666</v>
      </c>
      <c r="K18" s="67">
        <v>0.26666666666666666</v>
      </c>
      <c r="L18" s="67">
        <v>0.26666666666666666</v>
      </c>
      <c r="M18" s="67">
        <v>0.22950819672131148</v>
      </c>
      <c r="N18" s="67">
        <v>0.23770491803278687</v>
      </c>
      <c r="O18" s="67">
        <v>0.25</v>
      </c>
      <c r="P18" s="67">
        <v>0.44827586206896552</v>
      </c>
      <c r="Q18" s="67">
        <v>0.29629629629629628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5A771-0C3E-4D12-94D9-B70EE1345FC4}">
  <sheetPr codeName="Sheet14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 x14ac:dyDescent="0.4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 x14ac:dyDescent="0.4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 x14ac:dyDescent="0.4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  <row r="20" spans="1:17" x14ac:dyDescent="0.4">
      <c r="A20" s="69">
        <v>17</v>
      </c>
      <c r="B20" s="66">
        <v>-251.4</v>
      </c>
      <c r="C20" s="66">
        <v>-14.788235294117648</v>
      </c>
      <c r="D20" s="71">
        <v>2.4705882352941178</v>
      </c>
      <c r="E20" s="67">
        <v>5.8823529411764705E-2</v>
      </c>
      <c r="F20" s="67">
        <v>0.52941176470588236</v>
      </c>
      <c r="G20" s="67">
        <v>0.25477707006369427</v>
      </c>
      <c r="H20" s="67">
        <v>0.24203821656050956</v>
      </c>
      <c r="I20" s="68">
        <v>7385</v>
      </c>
      <c r="J20" s="68">
        <v>-7931.5789473684208</v>
      </c>
      <c r="K20" s="67">
        <v>0.11764705882352941</v>
      </c>
      <c r="L20" s="67">
        <v>0</v>
      </c>
      <c r="M20" s="67">
        <v>0.24203821656050956</v>
      </c>
      <c r="N20" s="67">
        <v>0.18471337579617833</v>
      </c>
      <c r="O20" s="67">
        <v>0.60526315789473684</v>
      </c>
      <c r="P20" s="67">
        <v>0.31034482758620691</v>
      </c>
      <c r="Q20" s="67">
        <v>0.375</v>
      </c>
    </row>
    <row r="21" spans="1:17" x14ac:dyDescent="0.4">
      <c r="A21" s="69">
        <v>18</v>
      </c>
      <c r="B21" s="66">
        <v>-240</v>
      </c>
      <c r="C21" s="66">
        <v>-13.333333333333334</v>
      </c>
      <c r="D21" s="71">
        <v>2.4444444444444446</v>
      </c>
      <c r="E21" s="67">
        <v>5.5555555555555552E-2</v>
      </c>
      <c r="F21" s="67">
        <v>0.5</v>
      </c>
      <c r="G21" s="67">
        <v>0.26347305389221559</v>
      </c>
      <c r="H21" s="67">
        <v>0.22754491017964071</v>
      </c>
      <c r="I21" s="68">
        <v>7393.181818181818</v>
      </c>
      <c r="J21" s="68">
        <v>-7931.5789473684208</v>
      </c>
      <c r="K21" s="67">
        <v>0.1111111111111111</v>
      </c>
      <c r="L21" s="67">
        <v>0</v>
      </c>
      <c r="M21" s="67">
        <v>0.25149700598802394</v>
      </c>
      <c r="N21" s="67">
        <v>0.19161676646706588</v>
      </c>
      <c r="O21" s="67">
        <v>0.59523809523809523</v>
      </c>
      <c r="P21" s="67">
        <v>0.34375</v>
      </c>
      <c r="Q21" s="67">
        <v>0.38636363636363635</v>
      </c>
    </row>
    <row r="22" spans="1:17" x14ac:dyDescent="0.4">
      <c r="A22" s="69">
        <v>19</v>
      </c>
      <c r="B22" s="66">
        <v>-218</v>
      </c>
      <c r="C22" s="66">
        <v>-11.473684210526315</v>
      </c>
      <c r="D22" s="71">
        <v>2.3684210526315788</v>
      </c>
      <c r="E22" s="67">
        <v>0.10526315789473684</v>
      </c>
      <c r="F22" s="67">
        <v>0.47368421052631576</v>
      </c>
      <c r="G22" s="67">
        <v>0.2768361581920904</v>
      </c>
      <c r="H22" s="67">
        <v>0.22033898305084745</v>
      </c>
      <c r="I22" s="68">
        <v>7220.408163265306</v>
      </c>
      <c r="J22" s="68">
        <v>-7933.333333333333</v>
      </c>
      <c r="K22" s="67">
        <v>0.10526315789473684</v>
      </c>
      <c r="L22" s="67">
        <v>0</v>
      </c>
      <c r="M22" s="67">
        <v>0.24858757062146894</v>
      </c>
      <c r="N22" s="67">
        <v>0.19774011299435029</v>
      </c>
      <c r="O22" s="67">
        <v>0.59090909090909094</v>
      </c>
      <c r="P22" s="67">
        <v>0.4</v>
      </c>
      <c r="Q22" s="67">
        <v>0.36734693877551022</v>
      </c>
    </row>
    <row r="23" spans="1:17" x14ac:dyDescent="0.4">
      <c r="A23" s="69">
        <v>20</v>
      </c>
      <c r="B23" s="66">
        <v>-177.6</v>
      </c>
      <c r="C23" s="66">
        <v>-8.879999999999999</v>
      </c>
      <c r="D23" s="71">
        <v>2.2999999999999998</v>
      </c>
      <c r="E23" s="67">
        <v>0.15</v>
      </c>
      <c r="F23" s="67">
        <v>0.45</v>
      </c>
      <c r="G23" s="67">
        <v>0.28176795580110497</v>
      </c>
      <c r="H23" s="67">
        <v>0.21546961325966851</v>
      </c>
      <c r="I23" s="68">
        <v>7464.7058823529414</v>
      </c>
      <c r="J23" s="68">
        <v>-7933.333333333333</v>
      </c>
      <c r="K23" s="67">
        <v>0.1</v>
      </c>
      <c r="L23" s="67">
        <v>0.05</v>
      </c>
      <c r="M23" s="67">
        <v>0.24861878453038674</v>
      </c>
      <c r="N23" s="67">
        <v>0.20441988950276244</v>
      </c>
      <c r="O23" s="67">
        <v>0.6</v>
      </c>
      <c r="P23" s="67">
        <v>0.40540540540540543</v>
      </c>
      <c r="Q23" s="67">
        <v>0.35294117647058826</v>
      </c>
    </row>
    <row r="24" spans="1:17" x14ac:dyDescent="0.4">
      <c r="A24" s="69">
        <v>21</v>
      </c>
      <c r="B24" s="66">
        <v>-133.30000000000001</v>
      </c>
      <c r="C24" s="66">
        <v>-6.3476190476190482</v>
      </c>
      <c r="D24" s="71">
        <v>2.2380952380952381</v>
      </c>
      <c r="E24" s="67">
        <v>0.19047619047619047</v>
      </c>
      <c r="F24" s="67">
        <v>0.42857142857142855</v>
      </c>
      <c r="G24" s="67">
        <v>0.29411764705882354</v>
      </c>
      <c r="H24" s="67">
        <v>0.21390374331550802</v>
      </c>
      <c r="I24" s="68">
        <v>7780</v>
      </c>
      <c r="J24" s="68">
        <v>-7832.5</v>
      </c>
      <c r="K24" s="67">
        <v>9.5238095238095233E-2</v>
      </c>
      <c r="L24" s="67">
        <v>9.5238095238095233E-2</v>
      </c>
      <c r="M24" s="67">
        <v>0.25133689839572193</v>
      </c>
      <c r="N24" s="67">
        <v>0.20855614973262032</v>
      </c>
      <c r="O24" s="67">
        <v>0.61702127659574468</v>
      </c>
      <c r="P24" s="67">
        <v>0.4358974358974359</v>
      </c>
      <c r="Q24" s="67">
        <v>0.34545454545454546</v>
      </c>
    </row>
    <row r="25" spans="1:17" x14ac:dyDescent="0.4">
      <c r="A25" s="69">
        <v>22</v>
      </c>
      <c r="B25" s="66">
        <v>-164.60000000000002</v>
      </c>
      <c r="C25" s="66">
        <v>-7.4818181818181833</v>
      </c>
      <c r="D25" s="71">
        <v>2.2727272727272729</v>
      </c>
      <c r="E25" s="67">
        <v>0.18181818181818182</v>
      </c>
      <c r="F25" s="67">
        <v>0.45454545454545453</v>
      </c>
      <c r="G25" s="67">
        <v>0.28717948717948716</v>
      </c>
      <c r="H25" s="67">
        <v>0.21025641025641026</v>
      </c>
      <c r="I25" s="68">
        <v>7778.5714285714284</v>
      </c>
      <c r="J25" s="68">
        <v>-7934.1463414634145</v>
      </c>
      <c r="K25" s="67">
        <v>9.0909090909090912E-2</v>
      </c>
      <c r="L25" s="67">
        <v>9.0909090909090912E-2</v>
      </c>
      <c r="M25" s="67">
        <v>0.24615384615384617</v>
      </c>
      <c r="N25" s="67">
        <v>0.2</v>
      </c>
      <c r="O25" s="67">
        <v>0.625</v>
      </c>
      <c r="P25" s="67">
        <v>0.4358974358974359</v>
      </c>
      <c r="Q25" s="67">
        <v>0.35714285714285715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8A5E-D7E1-4F0C-8094-4C931B13FCEE}">
  <sheetPr codeName="Sheet12"/>
  <dimension ref="A1:Q4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-38.400000000000034</v>
      </c>
      <c r="C25" s="66">
        <v>-1.7454545454545469</v>
      </c>
      <c r="D25" s="71">
        <v>2.0909090909090908</v>
      </c>
      <c r="E25" s="67">
        <v>0.27272727272727271</v>
      </c>
      <c r="F25" s="67">
        <v>0.36363636363636365</v>
      </c>
      <c r="G25" s="67">
        <v>0.31219512195121951</v>
      </c>
      <c r="H25" s="67">
        <v>0.18536585365853658</v>
      </c>
      <c r="I25" s="68">
        <v>8457.8125</v>
      </c>
      <c r="J25" s="68">
        <v>-7871.0526315789475</v>
      </c>
      <c r="K25" s="67">
        <v>0.18181818181818182</v>
      </c>
      <c r="L25" s="67">
        <v>0.18181818181818182</v>
      </c>
      <c r="M25" s="67">
        <v>0.1951219512195122</v>
      </c>
      <c r="N25" s="67">
        <v>0.3073170731707317</v>
      </c>
      <c r="O25" s="67">
        <v>0.5</v>
      </c>
      <c r="P25" s="67">
        <v>0.46031746031746029</v>
      </c>
      <c r="Q25" s="67">
        <v>0.28125</v>
      </c>
    </row>
    <row r="26" spans="1:17" x14ac:dyDescent="0.4">
      <c r="A26" s="69">
        <v>23</v>
      </c>
      <c r="B26" s="66">
        <v>-37.600000000000037</v>
      </c>
      <c r="C26" s="66">
        <v>-1.6347826086956538</v>
      </c>
      <c r="D26" s="71">
        <v>2.0869565217391304</v>
      </c>
      <c r="E26" s="67">
        <v>0.2608695652173913</v>
      </c>
      <c r="F26" s="67">
        <v>0.34782608695652173</v>
      </c>
      <c r="G26" s="67">
        <v>0.30373831775700932</v>
      </c>
      <c r="H26" s="67">
        <v>0.1822429906542056</v>
      </c>
      <c r="I26" s="68">
        <v>8450.7692307692305</v>
      </c>
      <c r="J26" s="68">
        <v>-7720.5128205128203</v>
      </c>
      <c r="K26" s="67">
        <v>0.17391304347826086</v>
      </c>
      <c r="L26" s="67">
        <v>0.17391304347826086</v>
      </c>
      <c r="M26" s="67">
        <v>0.19158878504672897</v>
      </c>
      <c r="N26" s="67">
        <v>0.29906542056074764</v>
      </c>
      <c r="O26" s="67">
        <v>0.51219512195121952</v>
      </c>
      <c r="P26" s="67">
        <v>0.453125</v>
      </c>
      <c r="Q26" s="67">
        <v>0.27692307692307694</v>
      </c>
    </row>
    <row r="27" spans="1:17" x14ac:dyDescent="0.4">
      <c r="A27" s="69">
        <v>24</v>
      </c>
      <c r="B27" s="66">
        <v>-37.600000000000037</v>
      </c>
      <c r="C27" s="66">
        <v>-1.5666666666666682</v>
      </c>
      <c r="D27" s="71">
        <v>2.0833333333333335</v>
      </c>
      <c r="E27" s="67">
        <v>0.25</v>
      </c>
      <c r="F27" s="67">
        <v>0.33333333333333331</v>
      </c>
      <c r="G27" s="67">
        <v>0.30232558139534882</v>
      </c>
      <c r="H27" s="67">
        <v>0.18139534883720931</v>
      </c>
      <c r="I27" s="68">
        <v>8450.7692307692305</v>
      </c>
      <c r="J27" s="68">
        <v>-7720.5128205128203</v>
      </c>
      <c r="K27" s="67">
        <v>0.16666666666666666</v>
      </c>
      <c r="L27" s="67">
        <v>0.16666666666666666</v>
      </c>
      <c r="M27" s="67">
        <v>0.19069767441860466</v>
      </c>
      <c r="N27" s="67">
        <v>0.29767441860465116</v>
      </c>
      <c r="O27" s="67">
        <v>0.51219512195121952</v>
      </c>
      <c r="P27" s="67">
        <v>0.453125</v>
      </c>
      <c r="Q27" s="67">
        <v>0.27692307692307694</v>
      </c>
    </row>
    <row r="28" spans="1:17" x14ac:dyDescent="0.4">
      <c r="A28" s="69">
        <v>25</v>
      </c>
      <c r="B28" s="66">
        <v>-10.700000000000038</v>
      </c>
      <c r="C28" s="66">
        <v>-0.42800000000000155</v>
      </c>
      <c r="D28" s="71">
        <v>2.04</v>
      </c>
      <c r="E28" s="67">
        <v>0.28000000000000003</v>
      </c>
      <c r="F28" s="67">
        <v>0.32</v>
      </c>
      <c r="G28" s="67">
        <v>0.30630630630630629</v>
      </c>
      <c r="H28" s="67">
        <v>0.18018018018018017</v>
      </c>
      <c r="I28" s="68">
        <v>8664.7058823529405</v>
      </c>
      <c r="J28" s="68">
        <v>-7552.5</v>
      </c>
      <c r="K28" s="67">
        <v>0.16</v>
      </c>
      <c r="L28" s="67">
        <v>0.16</v>
      </c>
      <c r="M28" s="67">
        <v>0.19369369369369369</v>
      </c>
      <c r="N28" s="67">
        <v>0.29729729729729731</v>
      </c>
      <c r="O28" s="67">
        <v>0.53488372093023251</v>
      </c>
      <c r="P28" s="67">
        <v>0.45454545454545453</v>
      </c>
      <c r="Q28" s="67">
        <v>0.29411764705882354</v>
      </c>
    </row>
    <row r="29" spans="1:17" x14ac:dyDescent="0.4">
      <c r="A29" s="69">
        <v>26</v>
      </c>
      <c r="B29" s="66">
        <v>-2.6000000000000387</v>
      </c>
      <c r="C29" s="66">
        <v>-0.10000000000000149</v>
      </c>
      <c r="D29" s="71">
        <v>2.0384615384615383</v>
      </c>
      <c r="E29" s="67">
        <v>0.26923076923076922</v>
      </c>
      <c r="F29" s="67">
        <v>0.30769230769230771</v>
      </c>
      <c r="G29" s="67">
        <v>0.30869565217391304</v>
      </c>
      <c r="H29" s="67">
        <v>0.18260869565217391</v>
      </c>
      <c r="I29" s="68">
        <v>8577.4647887323936</v>
      </c>
      <c r="J29" s="68">
        <v>-7352.3809523809523</v>
      </c>
      <c r="K29" s="67">
        <v>0.15384615384615385</v>
      </c>
      <c r="L29" s="67">
        <v>0.15384615384615385</v>
      </c>
      <c r="M29" s="67">
        <v>0.19130434782608696</v>
      </c>
      <c r="N29" s="67">
        <v>0.29565217391304349</v>
      </c>
      <c r="O29" s="67">
        <v>0.54545454545454541</v>
      </c>
      <c r="P29" s="67">
        <v>0.44117647058823528</v>
      </c>
      <c r="Q29" s="67">
        <v>0.28169014084507044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  <row r="38" spans="1:17" x14ac:dyDescent="0.4">
      <c r="A38" s="69">
        <v>35</v>
      </c>
      <c r="B38" s="66">
        <v>171.89999999999995</v>
      </c>
      <c r="C38" s="66">
        <v>4.9114285714285701</v>
      </c>
      <c r="D38" s="71">
        <v>1.9142857142857144</v>
      </c>
      <c r="E38" s="67">
        <v>0.34285714285714286</v>
      </c>
      <c r="F38" s="67">
        <v>0.25714285714285712</v>
      </c>
      <c r="G38" s="67">
        <v>0.32580645161290323</v>
      </c>
      <c r="H38" s="67">
        <v>0.19354838709677419</v>
      </c>
      <c r="I38" s="68">
        <v>8775.2475247524744</v>
      </c>
      <c r="J38" s="68">
        <v>-7221.666666666667</v>
      </c>
      <c r="K38" s="67">
        <v>0.11428571428571428</v>
      </c>
      <c r="L38" s="67">
        <v>0.17142857142857143</v>
      </c>
      <c r="M38" s="67">
        <v>0.21612903225806451</v>
      </c>
      <c r="N38" s="67">
        <v>0.32258064516129031</v>
      </c>
      <c r="O38" s="67">
        <v>0.56716417910447758</v>
      </c>
      <c r="P38" s="67">
        <v>0.43</v>
      </c>
      <c r="Q38" s="67">
        <v>0.36633663366336633</v>
      </c>
    </row>
    <row r="39" spans="1:17" x14ac:dyDescent="0.4">
      <c r="A39" s="69">
        <v>36</v>
      </c>
      <c r="B39" s="66">
        <v>164.59999999999994</v>
      </c>
      <c r="C39" s="66">
        <v>4.5722222222222202</v>
      </c>
      <c r="D39" s="71">
        <v>1.9166666666666667</v>
      </c>
      <c r="E39" s="67">
        <v>0.33333333333333331</v>
      </c>
      <c r="F39" s="67">
        <v>0.25</v>
      </c>
      <c r="G39" s="67">
        <v>0.32075471698113206</v>
      </c>
      <c r="H39" s="67">
        <v>0.1918238993710692</v>
      </c>
      <c r="I39" s="68">
        <v>8727.4509803921574</v>
      </c>
      <c r="J39" s="68">
        <v>-7229.5081967213118</v>
      </c>
      <c r="K39" s="67">
        <v>0.1111111111111111</v>
      </c>
      <c r="L39" s="67">
        <v>0.16666666666666666</v>
      </c>
      <c r="M39" s="67">
        <v>0.21698113207547171</v>
      </c>
      <c r="N39" s="67">
        <v>0.330188679245283</v>
      </c>
      <c r="O39" s="67">
        <v>0.56521739130434778</v>
      </c>
      <c r="P39" s="67">
        <v>0.40952380952380951</v>
      </c>
      <c r="Q39" s="67">
        <v>0.36274509803921567</v>
      </c>
    </row>
    <row r="40" spans="1:17" x14ac:dyDescent="0.4">
      <c r="A40" s="69">
        <v>37</v>
      </c>
      <c r="B40" s="66">
        <v>156.59999999999994</v>
      </c>
      <c r="C40" s="66">
        <v>4.2324324324324305</v>
      </c>
      <c r="D40" s="71">
        <v>1.9189189189189189</v>
      </c>
      <c r="E40" s="67">
        <v>0.32432432432432434</v>
      </c>
      <c r="F40" s="67">
        <v>0.24324324324324326</v>
      </c>
      <c r="G40" s="67">
        <v>0.31804281345565749</v>
      </c>
      <c r="H40" s="67">
        <v>0.19266055045871561</v>
      </c>
      <c r="I40" s="68">
        <v>8625.961538461539</v>
      </c>
      <c r="J40" s="68">
        <v>-7252.3809523809523</v>
      </c>
      <c r="K40" s="67">
        <v>0.10810810810810811</v>
      </c>
      <c r="L40" s="67">
        <v>0.16216216216216217</v>
      </c>
      <c r="M40" s="67">
        <v>0.21100917431192662</v>
      </c>
      <c r="N40" s="67">
        <v>0.3363914373088685</v>
      </c>
      <c r="O40" s="67">
        <v>0.56521739130434778</v>
      </c>
      <c r="P40" s="67">
        <v>0.40909090909090912</v>
      </c>
      <c r="Q40" s="67">
        <v>0.36538461538461536</v>
      </c>
    </row>
    <row r="41" spans="1:17" x14ac:dyDescent="0.4">
      <c r="A41" s="69">
        <v>38</v>
      </c>
      <c r="B41" s="66">
        <v>110.89999999999993</v>
      </c>
      <c r="C41" s="66">
        <v>2.9184210526315773</v>
      </c>
      <c r="D41" s="71">
        <v>1.9473684210526316</v>
      </c>
      <c r="E41" s="67">
        <v>0.31578947368421051</v>
      </c>
      <c r="F41" s="67">
        <v>0.26315789473684209</v>
      </c>
      <c r="G41" s="67">
        <v>0.31736526946107785</v>
      </c>
      <c r="H41" s="67">
        <v>0.19461077844311378</v>
      </c>
      <c r="I41" s="68">
        <v>8576.4150943396235</v>
      </c>
      <c r="J41" s="68">
        <v>-7552.3076923076924</v>
      </c>
      <c r="K41" s="67">
        <v>0.13157894736842105</v>
      </c>
      <c r="L41" s="67">
        <v>0.15789473684210525</v>
      </c>
      <c r="M41" s="67">
        <v>0.21257485029940121</v>
      </c>
      <c r="N41" s="67">
        <v>0.33532934131736525</v>
      </c>
      <c r="O41" s="67">
        <v>0.56338028169014087</v>
      </c>
      <c r="P41" s="67">
        <v>0.4107142857142857</v>
      </c>
      <c r="Q41" s="67">
        <v>0.36792452830188677</v>
      </c>
    </row>
    <row r="42" spans="1:17" x14ac:dyDescent="0.4">
      <c r="A42" s="69">
        <v>39</v>
      </c>
      <c r="B42" s="66">
        <v>158.79999999999993</v>
      </c>
      <c r="C42" s="66">
        <v>4.0717948717948698</v>
      </c>
      <c r="D42" s="71">
        <v>1.9230769230769231</v>
      </c>
      <c r="E42" s="67">
        <v>0.33333333333333331</v>
      </c>
      <c r="F42" s="67">
        <v>0.25641025641025639</v>
      </c>
      <c r="G42" s="67">
        <v>0.31428571428571428</v>
      </c>
      <c r="H42" s="67">
        <v>0.19142857142857142</v>
      </c>
      <c r="I42" s="68">
        <v>8688.181818181818</v>
      </c>
      <c r="J42" s="68">
        <v>-7482.0895522388064</v>
      </c>
      <c r="K42" s="67">
        <v>0.12820512820512819</v>
      </c>
      <c r="L42" s="67">
        <v>0.15384615384615385</v>
      </c>
      <c r="M42" s="67">
        <v>0.22</v>
      </c>
      <c r="N42" s="67">
        <v>0.3342857142857143</v>
      </c>
      <c r="O42" s="67">
        <v>0.55844155844155841</v>
      </c>
      <c r="P42" s="67">
        <v>0.40170940170940173</v>
      </c>
      <c r="Q42" s="67">
        <v>0.36363636363636365</v>
      </c>
    </row>
    <row r="43" spans="1:17" x14ac:dyDescent="0.4">
      <c r="A43" s="69">
        <v>40</v>
      </c>
      <c r="B43" s="66">
        <v>109.59999999999992</v>
      </c>
      <c r="C43" s="66">
        <v>2.739999999999998</v>
      </c>
      <c r="D43" s="71">
        <v>1.95</v>
      </c>
      <c r="E43" s="67">
        <v>0.32500000000000001</v>
      </c>
      <c r="F43" s="67">
        <v>0.27500000000000002</v>
      </c>
      <c r="G43" s="67">
        <v>0.31179775280898875</v>
      </c>
      <c r="H43" s="67">
        <v>0.199438202247191</v>
      </c>
      <c r="I43" s="68">
        <v>8645.0450450450444</v>
      </c>
      <c r="J43" s="68">
        <v>-7635.211267605634</v>
      </c>
      <c r="K43" s="67">
        <v>0.15</v>
      </c>
      <c r="L43" s="67">
        <v>0.15</v>
      </c>
      <c r="M43" s="67">
        <v>0.21629213483146068</v>
      </c>
      <c r="N43" s="67">
        <v>0.3342696629213483</v>
      </c>
      <c r="O43" s="67">
        <v>0.55844155844155841</v>
      </c>
      <c r="P43" s="67">
        <v>0.3949579831932773</v>
      </c>
      <c r="Q43" s="67">
        <v>0.36036036036036034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982F-C61A-45F3-A5F2-F2765A47BD8D}">
  <sheetPr codeName="Sheet10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  <row r="31" spans="1:17" x14ac:dyDescent="0.4">
      <c r="A31" s="69">
        <v>28</v>
      </c>
      <c r="B31" s="66">
        <v>375.79999999999995</v>
      </c>
      <c r="C31" s="66">
        <v>13.421428571428569</v>
      </c>
      <c r="D31" s="71">
        <v>1.6428571428571428</v>
      </c>
      <c r="E31" s="67">
        <v>0.5714285714285714</v>
      </c>
      <c r="F31" s="67">
        <v>0.21428571428571427</v>
      </c>
      <c r="G31" s="67">
        <v>0.37398373983739835</v>
      </c>
      <c r="H31" s="67">
        <v>0.14227642276422764</v>
      </c>
      <c r="I31" s="68">
        <v>8228.2608695652179</v>
      </c>
      <c r="J31" s="68">
        <v>-7828.5714285714284</v>
      </c>
      <c r="K31" s="67">
        <v>3.5714285714285712E-2</v>
      </c>
      <c r="L31" s="67">
        <v>0.14285714285714285</v>
      </c>
      <c r="M31" s="67">
        <v>0.27642276422764228</v>
      </c>
      <c r="N31" s="67">
        <v>0.24796747967479674</v>
      </c>
      <c r="O31" s="67">
        <v>0.6029411764705882</v>
      </c>
      <c r="P31" s="67">
        <v>0.54098360655737709</v>
      </c>
      <c r="Q31" s="67">
        <v>0.42391304347826086</v>
      </c>
    </row>
    <row r="32" spans="1:17" x14ac:dyDescent="0.4">
      <c r="A32" s="69">
        <v>29</v>
      </c>
      <c r="B32" s="66">
        <v>381.09999999999997</v>
      </c>
      <c r="C32" s="66">
        <v>13.141379310344826</v>
      </c>
      <c r="D32" s="71">
        <v>1.6551724137931034</v>
      </c>
      <c r="E32" s="67">
        <v>0.55172413793103448</v>
      </c>
      <c r="F32" s="67">
        <v>0.20689655172413793</v>
      </c>
      <c r="G32" s="67">
        <v>0.37450199203187251</v>
      </c>
      <c r="H32" s="67">
        <v>0.1394422310756972</v>
      </c>
      <c r="I32" s="68">
        <v>8231.9148936170204</v>
      </c>
      <c r="J32" s="68">
        <v>-7828.5714285714284</v>
      </c>
      <c r="K32" s="67">
        <v>3.4482758620689655E-2</v>
      </c>
      <c r="L32" s="67">
        <v>0.13793103448275862</v>
      </c>
      <c r="M32" s="67">
        <v>0.27490039840637448</v>
      </c>
      <c r="N32" s="67">
        <v>0.24701195219123506</v>
      </c>
      <c r="O32" s="67">
        <v>0.59420289855072461</v>
      </c>
      <c r="P32" s="67">
        <v>0.54838709677419351</v>
      </c>
      <c r="Q32" s="67">
        <v>0.42553191489361702</v>
      </c>
    </row>
    <row r="33" spans="1:17" x14ac:dyDescent="0.4">
      <c r="A33" s="69">
        <v>30</v>
      </c>
      <c r="B33" s="66">
        <v>340.79999999999995</v>
      </c>
      <c r="C33" s="66">
        <v>11.359999999999998</v>
      </c>
      <c r="D33" s="71">
        <v>1.7</v>
      </c>
      <c r="E33" s="67">
        <v>0.53333333333333333</v>
      </c>
      <c r="F33" s="67">
        <v>0.23333333333333334</v>
      </c>
      <c r="G33" s="67">
        <v>0.36121673003802279</v>
      </c>
      <c r="H33" s="67">
        <v>0.13688212927756654</v>
      </c>
      <c r="I33" s="68">
        <v>8172.6315789473683</v>
      </c>
      <c r="J33" s="68">
        <v>-7755.5555555555557</v>
      </c>
      <c r="K33" s="67">
        <v>3.3333333333333333E-2</v>
      </c>
      <c r="L33" s="67">
        <v>0.13333333333333333</v>
      </c>
      <c r="M33" s="67">
        <v>0.26615969581749049</v>
      </c>
      <c r="N33" s="67">
        <v>0.24714828897338403</v>
      </c>
      <c r="O33" s="67">
        <v>0.58571428571428574</v>
      </c>
      <c r="P33" s="67">
        <v>0.53846153846153844</v>
      </c>
      <c r="Q33" s="67">
        <v>0.42105263157894735</v>
      </c>
    </row>
    <row r="34" spans="1:17" x14ac:dyDescent="0.4">
      <c r="A34" s="69">
        <v>31</v>
      </c>
      <c r="B34" s="66">
        <v>319.49999999999994</v>
      </c>
      <c r="C34" s="66">
        <v>10.306451612903224</v>
      </c>
      <c r="D34" s="71">
        <v>1.7419354838709677</v>
      </c>
      <c r="E34" s="67">
        <v>0.5161290322580645</v>
      </c>
      <c r="F34" s="67">
        <v>0.25806451612903225</v>
      </c>
      <c r="G34" s="67">
        <v>0.35636363636363638</v>
      </c>
      <c r="H34" s="67">
        <v>0.13818181818181818</v>
      </c>
      <c r="I34" s="68">
        <v>8070.408163265306</v>
      </c>
      <c r="J34" s="68">
        <v>-7636.8421052631575</v>
      </c>
      <c r="K34" s="67">
        <v>3.2258064516129031E-2</v>
      </c>
      <c r="L34" s="67">
        <v>0.12903225806451613</v>
      </c>
      <c r="M34" s="67">
        <v>0.25818181818181818</v>
      </c>
      <c r="N34" s="67">
        <v>0.24363636363636362</v>
      </c>
      <c r="O34" s="67">
        <v>0.59154929577464788</v>
      </c>
      <c r="P34" s="67">
        <v>0.52238805970149249</v>
      </c>
      <c r="Q34" s="67">
        <v>0.42857142857142855</v>
      </c>
    </row>
    <row r="35" spans="1:17" x14ac:dyDescent="0.4">
      <c r="A35" s="69">
        <v>32</v>
      </c>
      <c r="B35" s="66">
        <v>349.39999999999992</v>
      </c>
      <c r="C35" s="66">
        <v>10.918749999999998</v>
      </c>
      <c r="D35" s="71">
        <v>1.71875</v>
      </c>
      <c r="E35" s="67">
        <v>0.53125</v>
      </c>
      <c r="F35" s="67">
        <v>0.25</v>
      </c>
      <c r="G35" s="67">
        <v>0.35563380281690143</v>
      </c>
      <c r="H35" s="67">
        <v>0.13380281690140844</v>
      </c>
      <c r="I35" s="68">
        <v>8027.7227722772277</v>
      </c>
      <c r="J35" s="68">
        <v>-7636.8421052631575</v>
      </c>
      <c r="K35" s="67">
        <v>3.125E-2</v>
      </c>
      <c r="L35" s="67">
        <v>0.125</v>
      </c>
      <c r="M35" s="67">
        <v>0.25352112676056338</v>
      </c>
      <c r="N35" s="67">
        <v>0.23943661971830985</v>
      </c>
      <c r="O35" s="67">
        <v>0.59722222222222221</v>
      </c>
      <c r="P35" s="67">
        <v>0.52941176470588236</v>
      </c>
      <c r="Q35" s="67">
        <v>0.42574257425742573</v>
      </c>
    </row>
    <row r="36" spans="1:17" x14ac:dyDescent="0.4">
      <c r="A36" s="69">
        <v>33</v>
      </c>
      <c r="B36" s="66">
        <v>349.19999999999993</v>
      </c>
      <c r="C36" s="66">
        <v>10.58181818181818</v>
      </c>
      <c r="D36" s="71">
        <v>1.7272727272727273</v>
      </c>
      <c r="E36" s="67">
        <v>0.51515151515151514</v>
      </c>
      <c r="F36" s="67">
        <v>0.24242424242424243</v>
      </c>
      <c r="G36" s="67">
        <v>0.35395189003436428</v>
      </c>
      <c r="H36" s="67">
        <v>0.13058419243986255</v>
      </c>
      <c r="I36" s="68">
        <v>7918.4466019417478</v>
      </c>
      <c r="J36" s="68">
        <v>-7636.8421052631575</v>
      </c>
      <c r="K36" s="67">
        <v>3.0303030303030304E-2</v>
      </c>
      <c r="L36" s="67">
        <v>0.12121212121212122</v>
      </c>
      <c r="M36" s="67">
        <v>0.25085910652920962</v>
      </c>
      <c r="N36" s="67">
        <v>0.23711340206185566</v>
      </c>
      <c r="O36" s="67">
        <v>0.60273972602739723</v>
      </c>
      <c r="P36" s="67">
        <v>0.53623188405797106</v>
      </c>
      <c r="Q36" s="67">
        <v>0.42718446601941745</v>
      </c>
    </row>
    <row r="37" spans="1:17" x14ac:dyDescent="0.4">
      <c r="A37" s="69">
        <v>34</v>
      </c>
      <c r="B37" s="66">
        <v>374.49999999999994</v>
      </c>
      <c r="C37" s="66">
        <v>11.01470588235294</v>
      </c>
      <c r="D37" s="71">
        <v>1.7058823529411764</v>
      </c>
      <c r="E37" s="67">
        <v>0.52941176470588236</v>
      </c>
      <c r="F37" s="67">
        <v>0.23529411764705882</v>
      </c>
      <c r="G37" s="67">
        <v>0.34883720930232559</v>
      </c>
      <c r="H37" s="67">
        <v>0.12624584717607973</v>
      </c>
      <c r="I37" s="68">
        <v>8053.333333333333</v>
      </c>
      <c r="J37" s="68">
        <v>-7636.8421052631575</v>
      </c>
      <c r="K37" s="67">
        <v>2.9411764705882353E-2</v>
      </c>
      <c r="L37" s="67">
        <v>0.11764705882352941</v>
      </c>
      <c r="M37" s="67">
        <v>0.24916943521594684</v>
      </c>
      <c r="N37" s="67">
        <v>0.2292358803986711</v>
      </c>
      <c r="O37" s="67">
        <v>0.61333333333333329</v>
      </c>
      <c r="P37" s="67">
        <v>0.53623188405797106</v>
      </c>
      <c r="Q37" s="67">
        <v>0.42857142857142855</v>
      </c>
    </row>
    <row r="38" spans="1:17" x14ac:dyDescent="0.4">
      <c r="A38" s="69">
        <v>35</v>
      </c>
      <c r="B38" s="66">
        <v>357.89999999999992</v>
      </c>
      <c r="C38" s="66">
        <v>10.225714285714284</v>
      </c>
      <c r="D38" s="71">
        <v>1.7428571428571429</v>
      </c>
      <c r="E38" s="67">
        <v>0.51428571428571423</v>
      </c>
      <c r="F38" s="67">
        <v>0.25714285714285712</v>
      </c>
      <c r="G38" s="67">
        <v>0.34083601286173631</v>
      </c>
      <c r="H38" s="67">
        <v>0.13183279742765272</v>
      </c>
      <c r="I38" s="68">
        <v>8090.566037735849</v>
      </c>
      <c r="J38" s="68">
        <v>-7536.5853658536589</v>
      </c>
      <c r="K38" s="67">
        <v>2.8571428571428571E-2</v>
      </c>
      <c r="L38" s="67">
        <v>0.11428571428571428</v>
      </c>
      <c r="M38" s="67">
        <v>0.24758842443729903</v>
      </c>
      <c r="N38" s="67">
        <v>0.22508038585209003</v>
      </c>
      <c r="O38" s="67">
        <v>0.61038961038961037</v>
      </c>
      <c r="P38" s="67">
        <v>0.52857142857142858</v>
      </c>
      <c r="Q38" s="67">
        <v>0.43396226415094341</v>
      </c>
    </row>
    <row r="39" spans="1:17" x14ac:dyDescent="0.4">
      <c r="A39" s="69">
        <v>36</v>
      </c>
      <c r="B39" s="66">
        <v>312.09999999999991</v>
      </c>
      <c r="C39" s="66">
        <v>8.6694444444444425</v>
      </c>
      <c r="D39" s="71">
        <v>1.7777777777777777</v>
      </c>
      <c r="E39" s="67">
        <v>0.5</v>
      </c>
      <c r="F39" s="67">
        <v>0.27777777777777779</v>
      </c>
      <c r="G39" s="67">
        <v>0.33650793650793653</v>
      </c>
      <c r="H39" s="67">
        <v>0.13968253968253969</v>
      </c>
      <c r="I39" s="68">
        <v>8090.566037735849</v>
      </c>
      <c r="J39" s="68">
        <v>-7722.727272727273</v>
      </c>
      <c r="K39" s="67">
        <v>5.5555555555555552E-2</v>
      </c>
      <c r="L39" s="67">
        <v>0.1111111111111111</v>
      </c>
      <c r="M39" s="67">
        <v>0.24761904761904763</v>
      </c>
      <c r="N39" s="67">
        <v>0.22222222222222221</v>
      </c>
      <c r="O39" s="67">
        <v>0.60256410256410253</v>
      </c>
      <c r="P39" s="67">
        <v>0.52857142857142858</v>
      </c>
      <c r="Q39" s="67">
        <v>0.43396226415094341</v>
      </c>
    </row>
    <row r="40" spans="1:17" x14ac:dyDescent="0.4">
      <c r="A40" s="69">
        <v>37</v>
      </c>
      <c r="B40" s="66">
        <v>325.09999999999991</v>
      </c>
      <c r="C40" s="66">
        <v>8.7864864864864849</v>
      </c>
      <c r="D40" s="71">
        <v>1.7567567567567568</v>
      </c>
      <c r="E40" s="67">
        <v>0.51351351351351349</v>
      </c>
      <c r="F40" s="67">
        <v>0.27027027027027029</v>
      </c>
      <c r="G40" s="67">
        <v>0.3364485981308411</v>
      </c>
      <c r="H40" s="67">
        <v>0.13707165109034267</v>
      </c>
      <c r="I40" s="68">
        <v>8024.0740740740739</v>
      </c>
      <c r="J40" s="68">
        <v>-7722.727272727273</v>
      </c>
      <c r="K40" s="67">
        <v>5.4054054054054057E-2</v>
      </c>
      <c r="L40" s="67">
        <v>0.10810810810810811</v>
      </c>
      <c r="M40" s="67">
        <v>0.24610591900311526</v>
      </c>
      <c r="N40" s="67">
        <v>0.22118380062305296</v>
      </c>
      <c r="O40" s="67">
        <v>0.60759493670886078</v>
      </c>
      <c r="P40" s="67">
        <v>0.53521126760563376</v>
      </c>
      <c r="Q40" s="67">
        <v>0.42592592592592593</v>
      </c>
    </row>
    <row r="41" spans="1:17" x14ac:dyDescent="0.4">
      <c r="A41" s="69">
        <v>38</v>
      </c>
      <c r="B41" s="66">
        <v>360.49999999999989</v>
      </c>
      <c r="C41" s="66">
        <v>9.4868421052631557</v>
      </c>
      <c r="D41" s="71">
        <v>1.736842105263158</v>
      </c>
      <c r="E41" s="67">
        <v>0.52631578947368418</v>
      </c>
      <c r="F41" s="67">
        <v>0.26315789473684209</v>
      </c>
      <c r="G41" s="67">
        <v>0.34042553191489361</v>
      </c>
      <c r="H41" s="67">
        <v>0.13677811550151975</v>
      </c>
      <c r="I41" s="68">
        <v>7992.8571428571431</v>
      </c>
      <c r="J41" s="68">
        <v>-7595.5555555555557</v>
      </c>
      <c r="K41" s="67">
        <v>5.2631578947368418E-2</v>
      </c>
      <c r="L41" s="67">
        <v>0.10526315789473684</v>
      </c>
      <c r="M41" s="67">
        <v>0.24316109422492402</v>
      </c>
      <c r="N41" s="67">
        <v>0.22492401215805471</v>
      </c>
      <c r="O41" s="67">
        <v>0.61250000000000004</v>
      </c>
      <c r="P41" s="67">
        <v>0.54054054054054057</v>
      </c>
      <c r="Q41" s="67">
        <v>0.42857142857142855</v>
      </c>
    </row>
    <row r="42" spans="1:17" x14ac:dyDescent="0.4">
      <c r="A42" s="69">
        <v>39</v>
      </c>
      <c r="B42" s="66">
        <v>365.39999999999986</v>
      </c>
      <c r="C42" s="66">
        <v>9.3692307692307661</v>
      </c>
      <c r="D42" s="71">
        <v>1.7435897435897436</v>
      </c>
      <c r="E42" s="67">
        <v>0.51282051282051277</v>
      </c>
      <c r="F42" s="67">
        <v>0.25641025641025639</v>
      </c>
      <c r="G42" s="67">
        <v>0.33731343283582088</v>
      </c>
      <c r="H42" s="67">
        <v>0.13432835820895522</v>
      </c>
      <c r="I42" s="68">
        <v>7968.141592920354</v>
      </c>
      <c r="J42" s="68">
        <v>-7595.5555555555557</v>
      </c>
      <c r="K42" s="67">
        <v>5.128205128205128E-2</v>
      </c>
      <c r="L42" s="67">
        <v>0.10256410256410256</v>
      </c>
      <c r="M42" s="67">
        <v>0.24477611940298508</v>
      </c>
      <c r="N42" s="67">
        <v>0.22388059701492538</v>
      </c>
      <c r="O42" s="67">
        <v>0.6097560975609756</v>
      </c>
      <c r="P42" s="67">
        <v>0.53333333333333333</v>
      </c>
      <c r="Q42" s="67">
        <v>0.4247787610619469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4C7C8-F494-4D2A-9656-7A06776DF465}">
  <sheetPr codeName="Sheet8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 x14ac:dyDescent="0.4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 x14ac:dyDescent="0.4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 x14ac:dyDescent="0.4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 x14ac:dyDescent="0.4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  <row r="19" spans="1:17" x14ac:dyDescent="0.4">
      <c r="A19" s="69">
        <v>16</v>
      </c>
      <c r="B19" s="66">
        <v>-70.600000000000009</v>
      </c>
      <c r="C19" s="66">
        <v>-4.4125000000000005</v>
      </c>
      <c r="D19" s="71">
        <v>2</v>
      </c>
      <c r="E19" s="67">
        <v>0.3125</v>
      </c>
      <c r="F19" s="67">
        <v>0.3125</v>
      </c>
      <c r="G19" s="67">
        <v>0.24025974025974026</v>
      </c>
      <c r="H19" s="67">
        <v>0.16883116883116883</v>
      </c>
      <c r="I19" s="68">
        <v>7540.5405405405409</v>
      </c>
      <c r="J19" s="68">
        <v>-6911.5384615384619</v>
      </c>
      <c r="K19" s="67">
        <v>0</v>
      </c>
      <c r="L19" s="67">
        <v>0</v>
      </c>
      <c r="M19" s="67">
        <v>0.18831168831168832</v>
      </c>
      <c r="N19" s="67">
        <v>0.24025974025974026</v>
      </c>
      <c r="O19" s="67">
        <v>0.58620689655172409</v>
      </c>
      <c r="P19" s="67">
        <v>0.27027027027027029</v>
      </c>
      <c r="Q19" s="67">
        <v>0.48648648648648651</v>
      </c>
    </row>
    <row r="20" spans="1:17" x14ac:dyDescent="0.4">
      <c r="A20" s="69">
        <v>17</v>
      </c>
      <c r="B20" s="66">
        <v>-65.2</v>
      </c>
      <c r="C20" s="66">
        <v>-3.835294117647059</v>
      </c>
      <c r="D20" s="71">
        <v>2</v>
      </c>
      <c r="E20" s="67">
        <v>0.29411764705882354</v>
      </c>
      <c r="F20" s="67">
        <v>0.29411764705882354</v>
      </c>
      <c r="G20" s="67">
        <v>0.24050632911392406</v>
      </c>
      <c r="H20" s="67">
        <v>0.16455696202531644</v>
      </c>
      <c r="I20" s="68">
        <v>7444.7368421052633</v>
      </c>
      <c r="J20" s="68">
        <v>-6911.5384615384619</v>
      </c>
      <c r="K20" s="67">
        <v>0</v>
      </c>
      <c r="L20" s="67">
        <v>0</v>
      </c>
      <c r="M20" s="67">
        <v>0.189873417721519</v>
      </c>
      <c r="N20" s="67">
        <v>0.23417721518987342</v>
      </c>
      <c r="O20" s="67">
        <v>0.56666666666666665</v>
      </c>
      <c r="P20" s="67">
        <v>0.27027027027027029</v>
      </c>
      <c r="Q20" s="67">
        <v>0.47368421052631576</v>
      </c>
    </row>
    <row r="21" spans="1:17" x14ac:dyDescent="0.4">
      <c r="A21" s="69">
        <v>18</v>
      </c>
      <c r="B21" s="66">
        <v>-80.2</v>
      </c>
      <c r="C21" s="66">
        <v>-4.4555555555555557</v>
      </c>
      <c r="D21" s="71">
        <v>2.0555555555555554</v>
      </c>
      <c r="E21" s="67">
        <v>0.27777777777777779</v>
      </c>
      <c r="F21" s="67">
        <v>0.33333333333333331</v>
      </c>
      <c r="G21" s="67">
        <v>0.24390243902439024</v>
      </c>
      <c r="H21" s="67">
        <v>0.16463414634146342</v>
      </c>
      <c r="I21" s="68">
        <v>7202.5</v>
      </c>
      <c r="J21" s="68">
        <v>-6848.1481481481478</v>
      </c>
      <c r="K21" s="67">
        <v>0</v>
      </c>
      <c r="L21" s="67">
        <v>0</v>
      </c>
      <c r="M21" s="67">
        <v>0.18902439024390244</v>
      </c>
      <c r="N21" s="67">
        <v>0.22560975609756098</v>
      </c>
      <c r="O21" s="67">
        <v>0.58064516129032262</v>
      </c>
      <c r="P21" s="67">
        <v>0.27027027027027029</v>
      </c>
      <c r="Q21" s="67">
        <v>0.5</v>
      </c>
    </row>
    <row r="22" spans="1:17" x14ac:dyDescent="0.4">
      <c r="A22" s="69">
        <v>19</v>
      </c>
      <c r="B22" s="66">
        <v>-115.1</v>
      </c>
      <c r="C22" s="66">
        <v>-6.0578947368421048</v>
      </c>
      <c r="D22" s="71">
        <v>2.1052631578947367</v>
      </c>
      <c r="E22" s="67">
        <v>0.26315789473684209</v>
      </c>
      <c r="F22" s="67">
        <v>0.36842105263157893</v>
      </c>
      <c r="G22" s="67">
        <v>0.23837209302325582</v>
      </c>
      <c r="H22" s="67">
        <v>0.1744186046511628</v>
      </c>
      <c r="I22" s="68">
        <v>7095.1219512195121</v>
      </c>
      <c r="J22" s="68">
        <v>-6670</v>
      </c>
      <c r="K22" s="67">
        <v>0</v>
      </c>
      <c r="L22" s="67">
        <v>0</v>
      </c>
      <c r="M22" s="67">
        <v>0.19186046511627908</v>
      </c>
      <c r="N22" s="67">
        <v>0.22674418604651161</v>
      </c>
      <c r="O22" s="67">
        <v>0.54545454545454541</v>
      </c>
      <c r="P22" s="67">
        <v>0.28205128205128205</v>
      </c>
      <c r="Q22" s="67">
        <v>0.51219512195121952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D2A5-959C-4DC2-9DC3-E61E60889215}">
  <sheetPr codeName="Sheet6"/>
  <dimension ref="A1:Q6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0.30222222222222223</v>
      </c>
      <c r="H27" s="67">
        <v>0.18222222222222223</v>
      </c>
      <c r="I27" s="68">
        <v>8148.0392156862745</v>
      </c>
      <c r="J27" s="68">
        <v>-8078.8617886178863</v>
      </c>
      <c r="K27" s="67">
        <v>0.1111111111111111</v>
      </c>
      <c r="L27" s="67">
        <v>0.1111111111111111</v>
      </c>
      <c r="M27" s="67">
        <v>0.24148148148148149</v>
      </c>
      <c r="N27" s="67">
        <v>0.22666666666666666</v>
      </c>
      <c r="O27" s="67">
        <v>0.57055214723926384</v>
      </c>
      <c r="P27" s="67">
        <v>0.43137254901960786</v>
      </c>
      <c r="Q27" s="67">
        <v>0.39215686274509803</v>
      </c>
    </row>
    <row r="28" spans="1:17" x14ac:dyDescent="0.4">
      <c r="A28" s="69">
        <v>25</v>
      </c>
      <c r="B28" s="66">
        <v>3.5527136788005009E-15</v>
      </c>
      <c r="C28" s="66">
        <v>4.7369515717340015E-17</v>
      </c>
      <c r="D28" s="71">
        <v>2</v>
      </c>
      <c r="E28" s="67">
        <v>0.33333333333333331</v>
      </c>
      <c r="F28" s="67">
        <v>0.33333333333333331</v>
      </c>
      <c r="G28" s="67">
        <v>0.30316091954022989</v>
      </c>
      <c r="H28" s="67">
        <v>0.17959770114942528</v>
      </c>
      <c r="I28" s="68">
        <v>8145.9715639810429</v>
      </c>
      <c r="J28" s="68">
        <v>-8060</v>
      </c>
      <c r="K28" s="67">
        <v>0.10666666666666667</v>
      </c>
      <c r="L28" s="67">
        <v>0.10666666666666667</v>
      </c>
      <c r="M28" s="67">
        <v>0.24281609195402298</v>
      </c>
      <c r="N28" s="67">
        <v>0.22557471264367815</v>
      </c>
      <c r="O28" s="67">
        <v>0.57396449704142016</v>
      </c>
      <c r="P28" s="67">
        <v>0.43312101910828027</v>
      </c>
      <c r="Q28" s="67">
        <v>0.40284360189573459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0.30027548209366389</v>
      </c>
      <c r="H29" s="67">
        <v>0.1790633608815427</v>
      </c>
      <c r="I29" s="68">
        <v>8187.1559633027518</v>
      </c>
      <c r="J29" s="68">
        <v>-8103.8461538461543</v>
      </c>
      <c r="K29" s="67">
        <v>0.11538461538461539</v>
      </c>
      <c r="L29" s="67">
        <v>0.11538461538461539</v>
      </c>
      <c r="M29" s="67">
        <v>0.24655647382920109</v>
      </c>
      <c r="N29" s="67">
        <v>0.22865013774104684</v>
      </c>
      <c r="O29" s="67">
        <v>0.56983240223463683</v>
      </c>
      <c r="P29" s="67">
        <v>0.42168674698795183</v>
      </c>
      <c r="Q29" s="67">
        <v>0.39908256880733944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0.29858429858429858</v>
      </c>
      <c r="H31" s="67">
        <v>0.17760617760617761</v>
      </c>
      <c r="I31" s="68">
        <v>8440.0862068965525</v>
      </c>
      <c r="J31" s="68">
        <v>-8165.217391304348</v>
      </c>
      <c r="K31" s="67">
        <v>0.13095238095238096</v>
      </c>
      <c r="L31" s="67">
        <v>0.13095238095238096</v>
      </c>
      <c r="M31" s="67">
        <v>0.24324324324324326</v>
      </c>
      <c r="N31" s="67">
        <v>0.23294723294723294</v>
      </c>
      <c r="O31" s="67">
        <v>0.5714285714285714</v>
      </c>
      <c r="P31" s="67">
        <v>0.40883977900552487</v>
      </c>
      <c r="Q31" s="67">
        <v>0.40086206896551724</v>
      </c>
    </row>
    <row r="32" spans="1:17" x14ac:dyDescent="0.4">
      <c r="A32" s="69">
        <v>29</v>
      </c>
      <c r="B32" s="66">
        <v>-4.2188474935755949E-15</v>
      </c>
      <c r="C32" s="66">
        <v>-4.8492499926156265E-17</v>
      </c>
      <c r="D32" s="71">
        <v>2</v>
      </c>
      <c r="E32" s="67">
        <v>0.33333333333333331</v>
      </c>
      <c r="F32" s="67">
        <v>0.33333333333333331</v>
      </c>
      <c r="G32" s="67">
        <v>0.29850746268656714</v>
      </c>
      <c r="H32" s="67">
        <v>0.17910447761194029</v>
      </c>
      <c r="I32" s="68">
        <v>8358.3333333333339</v>
      </c>
      <c r="J32" s="68">
        <v>-8067.3611111111113</v>
      </c>
      <c r="K32" s="67">
        <v>0.12643678160919541</v>
      </c>
      <c r="L32" s="67">
        <v>0.12643678160919541</v>
      </c>
      <c r="M32" s="67">
        <v>0.24004975124378108</v>
      </c>
      <c r="N32" s="67">
        <v>0.23383084577114427</v>
      </c>
      <c r="O32" s="67">
        <v>0.5803108808290155</v>
      </c>
      <c r="P32" s="67">
        <v>0.41489361702127658</v>
      </c>
      <c r="Q32" s="67">
        <v>0.39583333333333331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0.29863692688971499</v>
      </c>
      <c r="H33" s="67">
        <v>0.17967781908302355</v>
      </c>
      <c r="I33" s="68">
        <v>8522.8215767634847</v>
      </c>
      <c r="J33" s="68">
        <v>-8342.7586206896558</v>
      </c>
      <c r="K33" s="67">
        <v>0.13333333333333333</v>
      </c>
      <c r="L33" s="67">
        <v>0.13333333333333333</v>
      </c>
      <c r="M33" s="67">
        <v>0.23915737298636927</v>
      </c>
      <c r="N33" s="67">
        <v>0.23296158612143741</v>
      </c>
      <c r="O33" s="67">
        <v>0.5803108808290155</v>
      </c>
      <c r="P33" s="67">
        <v>0.41489361702127658</v>
      </c>
      <c r="Q33" s="67">
        <v>0.39419087136929459</v>
      </c>
    </row>
    <row r="34" spans="1:17" x14ac:dyDescent="0.4">
      <c r="A34" s="69">
        <v>31</v>
      </c>
      <c r="B34" s="66">
        <v>-7.1054273576010019E-15</v>
      </c>
      <c r="C34" s="66">
        <v>-7.6402444705387123E-17</v>
      </c>
      <c r="D34" s="71">
        <v>2</v>
      </c>
      <c r="E34" s="67">
        <v>0.33333333333333331</v>
      </c>
      <c r="F34" s="67">
        <v>0.33333333333333331</v>
      </c>
      <c r="G34" s="67">
        <v>0.29951690821256038</v>
      </c>
      <c r="H34" s="67">
        <v>0.17753623188405798</v>
      </c>
      <c r="I34" s="68">
        <v>8632.6612903225814</v>
      </c>
      <c r="J34" s="68">
        <v>-8262.5850340136058</v>
      </c>
      <c r="K34" s="67">
        <v>0.12903225806451613</v>
      </c>
      <c r="L34" s="67">
        <v>0.12903225806451613</v>
      </c>
      <c r="M34" s="67">
        <v>0.2391304347826087</v>
      </c>
      <c r="N34" s="67">
        <v>0.2391304347826087</v>
      </c>
      <c r="O34" s="67">
        <v>0.58080808080808077</v>
      </c>
      <c r="P34" s="67">
        <v>0.41414141414141414</v>
      </c>
      <c r="Q34" s="67">
        <v>0.40322580645161288</v>
      </c>
    </row>
    <row r="35" spans="1:17" x14ac:dyDescent="0.4">
      <c r="A35" s="69">
        <v>32</v>
      </c>
      <c r="B35" s="66">
        <v>-5.3290705182007514E-15</v>
      </c>
      <c r="C35" s="66">
        <v>-5.5511151231257827E-17</v>
      </c>
      <c r="D35" s="71">
        <v>2</v>
      </c>
      <c r="E35" s="67">
        <v>0.33333333333333331</v>
      </c>
      <c r="F35" s="67">
        <v>0.33333333333333331</v>
      </c>
      <c r="G35" s="67">
        <v>0.29929577464788731</v>
      </c>
      <c r="H35" s="67">
        <v>0.1795774647887324</v>
      </c>
      <c r="I35" s="68">
        <v>8567.0588235294126</v>
      </c>
      <c r="J35" s="68">
        <v>-8145.751633986928</v>
      </c>
      <c r="K35" s="67">
        <v>0.125</v>
      </c>
      <c r="L35" s="67">
        <v>0.125</v>
      </c>
      <c r="M35" s="67">
        <v>0.23708920187793428</v>
      </c>
      <c r="N35" s="67">
        <v>0.24178403755868544</v>
      </c>
      <c r="O35" s="67">
        <v>0.58415841584158412</v>
      </c>
      <c r="P35" s="67">
        <v>0.40291262135922329</v>
      </c>
      <c r="Q35" s="67">
        <v>0.396078431372549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 x14ac:dyDescent="0.4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 x14ac:dyDescent="0.4">
      <c r="A43" s="69">
        <v>40</v>
      </c>
      <c r="B43" s="66">
        <v>-2.4868995751603507E-14</v>
      </c>
      <c r="C43" s="66">
        <v>-2.0724163126336256E-16</v>
      </c>
      <c r="D43" s="71">
        <v>2</v>
      </c>
      <c r="E43" s="67">
        <v>0.33333333333333331</v>
      </c>
      <c r="F43" s="67">
        <v>0.33333333333333331</v>
      </c>
      <c r="G43" s="67">
        <v>0.29868913857677903</v>
      </c>
      <c r="H43" s="67">
        <v>0.17883895131086142</v>
      </c>
      <c r="I43" s="68">
        <v>8548.9028213166148</v>
      </c>
      <c r="J43" s="68">
        <v>-8061.2565445026175</v>
      </c>
      <c r="K43" s="67">
        <v>0.125</v>
      </c>
      <c r="L43" s="67">
        <v>0.125</v>
      </c>
      <c r="M43" s="67">
        <v>0.23876404494382023</v>
      </c>
      <c r="N43" s="67">
        <v>0.25</v>
      </c>
      <c r="O43" s="67">
        <v>0.58431372549019611</v>
      </c>
      <c r="P43" s="67">
        <v>0.4044943820224719</v>
      </c>
      <c r="Q43" s="67">
        <v>0.39811912225705332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0.2982456140350877</v>
      </c>
      <c r="H44" s="67">
        <v>0.17820867959372114</v>
      </c>
      <c r="I44" s="68">
        <v>8606.5015479876165</v>
      </c>
      <c r="J44" s="68">
        <v>-8095.8549222797928</v>
      </c>
      <c r="K44" s="67">
        <v>0.13008130081300814</v>
      </c>
      <c r="L44" s="67">
        <v>0.13008130081300814</v>
      </c>
      <c r="M44" s="67">
        <v>0.23822714681440443</v>
      </c>
      <c r="N44" s="67">
        <v>0.24838411819021236</v>
      </c>
      <c r="O44" s="67">
        <v>0.57751937984496127</v>
      </c>
      <c r="P44" s="67">
        <v>0.40892193308550184</v>
      </c>
      <c r="Q44" s="67">
        <v>0.39938080495356038</v>
      </c>
    </row>
    <row r="45" spans="1:17" x14ac:dyDescent="0.4">
      <c r="A45" s="69">
        <v>42</v>
      </c>
      <c r="B45" s="66">
        <v>-2.6645352591003757E-14</v>
      </c>
      <c r="C45" s="66">
        <v>-2.1147105230955362E-16</v>
      </c>
      <c r="D45" s="71">
        <v>2</v>
      </c>
      <c r="E45" s="67">
        <v>0.33333333333333331</v>
      </c>
      <c r="F45" s="67">
        <v>0.33333333333333331</v>
      </c>
      <c r="G45" s="67">
        <v>0.29579982126899018</v>
      </c>
      <c r="H45" s="67">
        <v>0.17515638963360142</v>
      </c>
      <c r="I45" s="68">
        <v>8548.9425981873119</v>
      </c>
      <c r="J45" s="68">
        <v>-8021.9387755102043</v>
      </c>
      <c r="K45" s="67">
        <v>0.12698412698412698</v>
      </c>
      <c r="L45" s="67">
        <v>0.12698412698412698</v>
      </c>
      <c r="M45" s="67">
        <v>0.23949955317247543</v>
      </c>
      <c r="N45" s="67">
        <v>0.25201072386058981</v>
      </c>
      <c r="O45" s="67">
        <v>0.57089552238805974</v>
      </c>
      <c r="P45" s="67">
        <v>0.40425531914893614</v>
      </c>
      <c r="Q45" s="67">
        <v>0.40483383685800606</v>
      </c>
    </row>
    <row r="46" spans="1:17" x14ac:dyDescent="0.4">
      <c r="A46" s="69">
        <v>43</v>
      </c>
      <c r="B46" s="66">
        <v>-2.8421709430404007E-14</v>
      </c>
      <c r="C46" s="66">
        <v>-2.2032332891786052E-16</v>
      </c>
      <c r="D46" s="71">
        <v>2</v>
      </c>
      <c r="E46" s="67">
        <v>0.33333333333333331</v>
      </c>
      <c r="F46" s="67">
        <v>0.33333333333333331</v>
      </c>
      <c r="G46" s="67">
        <v>0.29610389610389609</v>
      </c>
      <c r="H46" s="67">
        <v>0.1748917748917749</v>
      </c>
      <c r="I46" s="68">
        <v>8503.5087719298244</v>
      </c>
      <c r="J46" s="68">
        <v>-7950</v>
      </c>
      <c r="K46" s="67">
        <v>0.12403100775193798</v>
      </c>
      <c r="L46" s="67">
        <v>0.12403100775193798</v>
      </c>
      <c r="M46" s="67">
        <v>0.23463203463203464</v>
      </c>
      <c r="N46" s="67">
        <v>0.25800865800865802</v>
      </c>
      <c r="O46" s="67">
        <v>0.5719557195571956</v>
      </c>
      <c r="P46" s="67">
        <v>0.40268456375838924</v>
      </c>
      <c r="Q46" s="67">
        <v>0.4064327485380117</v>
      </c>
    </row>
    <row r="47" spans="1:17" x14ac:dyDescent="0.4">
      <c r="A47" s="69">
        <v>44</v>
      </c>
      <c r="B47" s="66">
        <v>-2.8421709430404007E-14</v>
      </c>
      <c r="C47" s="66">
        <v>-2.153159805333637E-16</v>
      </c>
      <c r="D47" s="71">
        <v>2</v>
      </c>
      <c r="E47" s="67">
        <v>0.33333333333333331</v>
      </c>
      <c r="F47" s="67">
        <v>0.33333333333333331</v>
      </c>
      <c r="G47" s="67">
        <v>0.2970464135021097</v>
      </c>
      <c r="H47" s="67">
        <v>0.17468354430379746</v>
      </c>
      <c r="I47" s="68">
        <v>8463.068181818182</v>
      </c>
      <c r="J47" s="68">
        <v>-7928.5024154589373</v>
      </c>
      <c r="K47" s="67">
        <v>0.12121212121212122</v>
      </c>
      <c r="L47" s="67">
        <v>0.12121212121212122</v>
      </c>
      <c r="M47" s="67">
        <v>0.2320675105485232</v>
      </c>
      <c r="N47" s="67">
        <v>0.25907172995780592</v>
      </c>
      <c r="O47" s="67">
        <v>0.57454545454545458</v>
      </c>
      <c r="P47" s="67">
        <v>0.40390879478827363</v>
      </c>
      <c r="Q47" s="67">
        <v>0.40909090909090912</v>
      </c>
    </row>
    <row r="48" spans="1:17" x14ac:dyDescent="0.4">
      <c r="A48" s="69">
        <v>45</v>
      </c>
      <c r="B48" s="66">
        <v>-3.0198066269804258E-14</v>
      </c>
      <c r="C48" s="66">
        <v>-2.2368937977632781E-16</v>
      </c>
      <c r="D48" s="71">
        <v>2</v>
      </c>
      <c r="E48" s="67">
        <v>0.33333333333333331</v>
      </c>
      <c r="F48" s="67">
        <v>0.33333333333333331</v>
      </c>
      <c r="G48" s="67">
        <v>0.29729729729729731</v>
      </c>
      <c r="H48" s="67">
        <v>0.17362817362817362</v>
      </c>
      <c r="I48" s="68">
        <v>8351.7906336088163</v>
      </c>
      <c r="J48" s="68">
        <v>-7823.5849056603774</v>
      </c>
      <c r="K48" s="67">
        <v>0.11851851851851852</v>
      </c>
      <c r="L48" s="67">
        <v>0.11851851851851852</v>
      </c>
      <c r="M48" s="67">
        <v>0.23013923013923013</v>
      </c>
      <c r="N48" s="67">
        <v>0.25716625716625718</v>
      </c>
      <c r="O48" s="67">
        <v>0.57651245551601427</v>
      </c>
      <c r="P48" s="67">
        <v>0.40764331210191085</v>
      </c>
      <c r="Q48" s="67">
        <v>0.41322314049586778</v>
      </c>
    </row>
    <row r="49" spans="1:17" x14ac:dyDescent="0.4">
      <c r="A49" s="69">
        <v>46</v>
      </c>
      <c r="B49" s="66">
        <v>-2.5757174171303632E-14</v>
      </c>
      <c r="C49" s="66">
        <v>-1.8664618964712776E-16</v>
      </c>
      <c r="D49" s="71">
        <v>2</v>
      </c>
      <c r="E49" s="67">
        <v>0.33333333333333331</v>
      </c>
      <c r="F49" s="67">
        <v>0.33333333333333331</v>
      </c>
      <c r="G49" s="67">
        <v>0.29496402877697842</v>
      </c>
      <c r="H49" s="67">
        <v>0.17346123101518784</v>
      </c>
      <c r="I49" s="68">
        <v>8327.1002710027096</v>
      </c>
      <c r="J49" s="68">
        <v>-7822.5806451612907</v>
      </c>
      <c r="K49" s="67">
        <v>0.11594202898550725</v>
      </c>
      <c r="L49" s="67">
        <v>0.11594202898550725</v>
      </c>
      <c r="M49" s="67">
        <v>0.23341326938449242</v>
      </c>
      <c r="N49" s="67">
        <v>0.25659472422062352</v>
      </c>
      <c r="O49" s="67">
        <v>0.56849315068493156</v>
      </c>
      <c r="P49" s="67">
        <v>0.40186915887850466</v>
      </c>
      <c r="Q49" s="67">
        <v>0.40921409214092141</v>
      </c>
    </row>
    <row r="50" spans="1:17" x14ac:dyDescent="0.4">
      <c r="A50" s="69">
        <v>47</v>
      </c>
      <c r="B50" s="66">
        <v>-2.3980817331903381E-14</v>
      </c>
      <c r="C50" s="66">
        <v>-1.7007671866598143E-16</v>
      </c>
      <c r="D50" s="71">
        <v>2</v>
      </c>
      <c r="E50" s="67">
        <v>0.33333333333333331</v>
      </c>
      <c r="F50" s="67">
        <v>0.33333333333333331</v>
      </c>
      <c r="G50" s="67">
        <v>0.29411764705882354</v>
      </c>
      <c r="H50" s="67">
        <v>0.17254901960784313</v>
      </c>
      <c r="I50" s="68">
        <v>8288.5333333333328</v>
      </c>
      <c r="J50" s="68">
        <v>-7786.363636363636</v>
      </c>
      <c r="K50" s="67">
        <v>0.11347517730496454</v>
      </c>
      <c r="L50" s="67">
        <v>0.11347517730496454</v>
      </c>
      <c r="M50" s="67">
        <v>0.23372549019607844</v>
      </c>
      <c r="N50" s="67">
        <v>0.25803921568627453</v>
      </c>
      <c r="O50" s="67">
        <v>0.56711409395973156</v>
      </c>
      <c r="P50" s="67">
        <v>0.40121580547112462</v>
      </c>
      <c r="Q50" s="67">
        <v>0.41066666666666668</v>
      </c>
    </row>
    <row r="51" spans="1:17" x14ac:dyDescent="0.4">
      <c r="A51" s="69">
        <v>48</v>
      </c>
      <c r="B51" s="66">
        <v>-2.1316282072803006E-14</v>
      </c>
      <c r="C51" s="66">
        <v>-1.4802973661668753E-16</v>
      </c>
      <c r="D51" s="71">
        <v>2</v>
      </c>
      <c r="E51" s="67">
        <v>0.33333333333333331</v>
      </c>
      <c r="F51" s="67">
        <v>0.33333333333333331</v>
      </c>
      <c r="G51" s="67">
        <v>0.29484218629715164</v>
      </c>
      <c r="H51" s="67">
        <v>0.17321016166281755</v>
      </c>
      <c r="I51" s="68">
        <v>8333.4203655352485</v>
      </c>
      <c r="J51" s="68">
        <v>-7788.8888888888887</v>
      </c>
      <c r="K51" s="67">
        <v>0.11805555555555555</v>
      </c>
      <c r="L51" s="67">
        <v>0.11805555555555555</v>
      </c>
      <c r="M51" s="67">
        <v>0.23556581986143188</v>
      </c>
      <c r="N51" s="67">
        <v>0.25789068514241725</v>
      </c>
      <c r="O51" s="67">
        <v>0.55882352941176472</v>
      </c>
      <c r="P51" s="67">
        <v>0.40895522388059702</v>
      </c>
      <c r="Q51" s="67">
        <v>0.40992167101827676</v>
      </c>
    </row>
    <row r="52" spans="1:17" x14ac:dyDescent="0.4">
      <c r="A52" s="69">
        <v>49</v>
      </c>
      <c r="B52" s="66">
        <v>-2.1316282072803006E-14</v>
      </c>
      <c r="C52" s="66">
        <v>-1.450087215836939E-16</v>
      </c>
      <c r="D52" s="71">
        <v>2</v>
      </c>
      <c r="E52" s="67">
        <v>0.33333333333333331</v>
      </c>
      <c r="F52" s="67">
        <v>0.33333333333333331</v>
      </c>
      <c r="G52" s="67">
        <v>0.29460895975702356</v>
      </c>
      <c r="H52" s="67">
        <v>0.17312072892938496</v>
      </c>
      <c r="I52" s="68">
        <v>8398.9690721649476</v>
      </c>
      <c r="J52" s="68">
        <v>-7939.4736842105267</v>
      </c>
      <c r="K52" s="67">
        <v>0.12244897959183673</v>
      </c>
      <c r="L52" s="67">
        <v>0.12244897959183673</v>
      </c>
      <c r="M52" s="67">
        <v>0.23690205011389523</v>
      </c>
      <c r="N52" s="67">
        <v>0.25664388762338647</v>
      </c>
      <c r="O52" s="67">
        <v>0.55128205128205132</v>
      </c>
      <c r="P52" s="67">
        <v>0.41420118343195267</v>
      </c>
      <c r="Q52" s="67">
        <v>0.40979381443298968</v>
      </c>
    </row>
    <row r="53" spans="1:17" x14ac:dyDescent="0.4">
      <c r="A53" s="69">
        <v>50</v>
      </c>
      <c r="B53" s="66">
        <v>-2.1316282072803006E-14</v>
      </c>
      <c r="C53" s="66">
        <v>-1.4210854715202004E-16</v>
      </c>
      <c r="D53" s="71">
        <v>2</v>
      </c>
      <c r="E53" s="67">
        <v>0.33333333333333331</v>
      </c>
      <c r="F53" s="67">
        <v>0.33333333333333331</v>
      </c>
      <c r="G53" s="67">
        <v>0.29315476190476192</v>
      </c>
      <c r="H53" s="67">
        <v>0.17261904761904762</v>
      </c>
      <c r="I53" s="68">
        <v>8369.5431472081218</v>
      </c>
      <c r="J53" s="68">
        <v>-7939.6551724137935</v>
      </c>
      <c r="K53" s="67">
        <v>0.12</v>
      </c>
      <c r="L53" s="67">
        <v>0.12</v>
      </c>
      <c r="M53" s="67">
        <v>0.23586309523809523</v>
      </c>
      <c r="N53" s="67">
        <v>0.25744047619047616</v>
      </c>
      <c r="O53" s="67">
        <v>0.5457413249211357</v>
      </c>
      <c r="P53" s="67">
        <v>0.41618497109826591</v>
      </c>
      <c r="Q53" s="67">
        <v>0.40862944162436549</v>
      </c>
    </row>
    <row r="54" spans="1:17" x14ac:dyDescent="0.4">
      <c r="A54" s="69">
        <v>51</v>
      </c>
      <c r="B54" s="66">
        <v>-2.8421709430404007E-14</v>
      </c>
      <c r="C54" s="66">
        <v>-1.8576280673466672E-16</v>
      </c>
      <c r="D54" s="71">
        <v>2</v>
      </c>
      <c r="E54" s="67">
        <v>0.33333333333333331</v>
      </c>
      <c r="F54" s="67">
        <v>0.33333333333333331</v>
      </c>
      <c r="G54" s="67">
        <v>0.29304029304029305</v>
      </c>
      <c r="H54" s="67">
        <v>0.17216117216117216</v>
      </c>
      <c r="I54" s="68">
        <v>8396</v>
      </c>
      <c r="J54" s="68">
        <v>-8017.0212765957449</v>
      </c>
      <c r="K54" s="67">
        <v>0.12418300653594772</v>
      </c>
      <c r="L54" s="67">
        <v>0.12418300653594772</v>
      </c>
      <c r="M54" s="67">
        <v>0.23663003663003662</v>
      </c>
      <c r="N54" s="67">
        <v>0.25567765567765566</v>
      </c>
      <c r="O54" s="67">
        <v>0.54489164086687303</v>
      </c>
      <c r="P54" s="67">
        <v>0.41833810888252149</v>
      </c>
      <c r="Q54" s="67">
        <v>0.41</v>
      </c>
    </row>
    <row r="55" spans="1:17" x14ac:dyDescent="0.4">
      <c r="A55" s="69">
        <v>52</v>
      </c>
      <c r="B55" s="66">
        <v>-2.9309887850104133E-14</v>
      </c>
      <c r="C55" s="66">
        <v>-1.8788389647502649E-16</v>
      </c>
      <c r="D55" s="71">
        <v>2</v>
      </c>
      <c r="E55" s="67">
        <v>0.33333333333333331</v>
      </c>
      <c r="F55" s="67">
        <v>0.33333333333333331</v>
      </c>
      <c r="G55" s="67">
        <v>0.29292929292929293</v>
      </c>
      <c r="H55" s="67">
        <v>0.17243867243867245</v>
      </c>
      <c r="I55" s="68">
        <v>8337.4384236453207</v>
      </c>
      <c r="J55" s="68">
        <v>-7953.1380753138073</v>
      </c>
      <c r="K55" s="67">
        <v>0.12179487179487179</v>
      </c>
      <c r="L55" s="67">
        <v>0.12179487179487179</v>
      </c>
      <c r="M55" s="67">
        <v>0.23809523809523808</v>
      </c>
      <c r="N55" s="67">
        <v>0.25396825396825395</v>
      </c>
      <c r="O55" s="67">
        <v>0.54545454545454541</v>
      </c>
      <c r="P55" s="67">
        <v>0.42045454545454547</v>
      </c>
      <c r="Q55" s="67">
        <v>0.40886699507389163</v>
      </c>
    </row>
    <row r="56" spans="1:17" x14ac:dyDescent="0.4">
      <c r="A56" s="69">
        <v>53</v>
      </c>
      <c r="B56" s="66">
        <v>-3.1974423109204508E-14</v>
      </c>
      <c r="C56" s="66">
        <v>-2.0109700068682081E-16</v>
      </c>
      <c r="D56" s="71">
        <v>2</v>
      </c>
      <c r="E56" s="67">
        <v>0.33333333333333331</v>
      </c>
      <c r="F56" s="67">
        <v>0.33333333333333331</v>
      </c>
      <c r="G56" s="67">
        <v>0.29307909604519772</v>
      </c>
      <c r="H56" s="67">
        <v>0.17090395480225989</v>
      </c>
      <c r="I56" s="68">
        <v>8356.3855421686749</v>
      </c>
      <c r="J56" s="68">
        <v>-7989.2561983471078</v>
      </c>
      <c r="K56" s="67">
        <v>0.11949685534591195</v>
      </c>
      <c r="L56" s="67">
        <v>0.11949685534591195</v>
      </c>
      <c r="M56" s="67">
        <v>0.23799435028248589</v>
      </c>
      <c r="N56" s="67">
        <v>0.25141242937853109</v>
      </c>
      <c r="O56" s="67">
        <v>0.54896142433234418</v>
      </c>
      <c r="P56" s="67">
        <v>0.42134831460674155</v>
      </c>
      <c r="Q56" s="67">
        <v>0.41445783132530123</v>
      </c>
    </row>
    <row r="57" spans="1:17" x14ac:dyDescent="0.4">
      <c r="A57" s="69">
        <v>54</v>
      </c>
      <c r="B57" s="66">
        <v>-3.5527136788005009E-14</v>
      </c>
      <c r="C57" s="66">
        <v>-2.1930331350620375E-16</v>
      </c>
      <c r="D57" s="71">
        <v>2</v>
      </c>
      <c r="E57" s="67">
        <v>0.33333333333333331</v>
      </c>
      <c r="F57" s="67">
        <v>0.33333333333333331</v>
      </c>
      <c r="G57" s="67">
        <v>0.29183955739972339</v>
      </c>
      <c r="H57" s="67">
        <v>0.17081604426002767</v>
      </c>
      <c r="I57" s="68">
        <v>8332.7014218009481</v>
      </c>
      <c r="J57" s="68">
        <v>-7944.1295546558704</v>
      </c>
      <c r="K57" s="67">
        <v>0.11728395061728394</v>
      </c>
      <c r="L57" s="67">
        <v>0.11728395061728394</v>
      </c>
      <c r="M57" s="67">
        <v>0.23720608575380359</v>
      </c>
      <c r="N57" s="67">
        <v>0.24896265560165975</v>
      </c>
      <c r="O57" s="67">
        <v>0.54810495626822153</v>
      </c>
      <c r="P57" s="67">
        <v>0.42499999999999999</v>
      </c>
      <c r="Q57" s="67">
        <v>0.41232227488151657</v>
      </c>
    </row>
    <row r="58" spans="1:17" x14ac:dyDescent="0.4">
      <c r="A58" s="69">
        <v>55</v>
      </c>
      <c r="B58" s="66">
        <v>-3.5527136788005009E-14</v>
      </c>
      <c r="C58" s="66">
        <v>-2.153159805333637E-16</v>
      </c>
      <c r="D58" s="71">
        <v>2</v>
      </c>
      <c r="E58" s="67">
        <v>0.33333333333333331</v>
      </c>
      <c r="F58" s="67">
        <v>0.33333333333333331</v>
      </c>
      <c r="G58" s="67">
        <v>0.29149519890260633</v>
      </c>
      <c r="H58" s="67">
        <v>0.17146776406035666</v>
      </c>
      <c r="I58" s="68">
        <v>8346.3529411764703</v>
      </c>
      <c r="J58" s="68">
        <v>-7972</v>
      </c>
      <c r="K58" s="67">
        <v>0.12121212121212122</v>
      </c>
      <c r="L58" s="67">
        <v>0.12121212121212122</v>
      </c>
      <c r="M58" s="67">
        <v>0.23731138545953362</v>
      </c>
      <c r="N58" s="67">
        <v>0.24828532235939643</v>
      </c>
      <c r="O58" s="67">
        <v>0.54624277456647397</v>
      </c>
      <c r="P58" s="67">
        <v>0.425414364640884</v>
      </c>
      <c r="Q58" s="67">
        <v>0.40941176470588236</v>
      </c>
    </row>
    <row r="59" spans="1:17" x14ac:dyDescent="0.4">
      <c r="A59" s="69">
        <v>56</v>
      </c>
      <c r="B59" s="66">
        <v>-3.5527136788005009E-14</v>
      </c>
      <c r="C59" s="66">
        <v>-2.1147105230955362E-16</v>
      </c>
      <c r="D59" s="71">
        <v>2</v>
      </c>
      <c r="E59" s="67">
        <v>0.33333333333333331</v>
      </c>
      <c r="F59" s="67">
        <v>0.33333333333333331</v>
      </c>
      <c r="G59" s="67">
        <v>0.28950863213811423</v>
      </c>
      <c r="H59" s="67">
        <v>0.17131474103585656</v>
      </c>
      <c r="I59" s="68">
        <v>8341.7431192660551</v>
      </c>
      <c r="J59" s="68">
        <v>-7925.1937984496126</v>
      </c>
      <c r="K59" s="67">
        <v>0.11904761904761904</v>
      </c>
      <c r="L59" s="67">
        <v>0.11904761904761904</v>
      </c>
      <c r="M59" s="67">
        <v>0.23904382470119523</v>
      </c>
      <c r="N59" s="67">
        <v>0.24966799468791501</v>
      </c>
      <c r="O59" s="67">
        <v>0.54166666666666663</v>
      </c>
      <c r="P59" s="67">
        <v>0.42021276595744683</v>
      </c>
      <c r="Q59" s="67">
        <v>0.40596330275229359</v>
      </c>
    </row>
    <row r="60" spans="1:17" x14ac:dyDescent="0.4">
      <c r="A60" s="69">
        <v>57</v>
      </c>
      <c r="B60" s="66">
        <v>-3.5527136788005009E-14</v>
      </c>
      <c r="C60" s="66">
        <v>-2.077610338479825E-16</v>
      </c>
      <c r="D60" s="71">
        <v>2</v>
      </c>
      <c r="E60" s="67">
        <v>0.33333333333333331</v>
      </c>
      <c r="F60" s="67">
        <v>0.33333333333333331</v>
      </c>
      <c r="G60" s="67">
        <v>0.29002624671916011</v>
      </c>
      <c r="H60" s="67">
        <v>0.17125984251968504</v>
      </c>
      <c r="I60" s="68">
        <v>8290.4977375565613</v>
      </c>
      <c r="J60" s="68">
        <v>-7888.5057471264372</v>
      </c>
      <c r="K60" s="67">
        <v>0.11695906432748537</v>
      </c>
      <c r="L60" s="67">
        <v>0.11695906432748537</v>
      </c>
      <c r="M60" s="67">
        <v>0.23818897637795275</v>
      </c>
      <c r="N60" s="67">
        <v>0.24803149606299213</v>
      </c>
      <c r="O60" s="67">
        <v>0.54545454545454541</v>
      </c>
      <c r="P60" s="67">
        <v>0.42328042328042326</v>
      </c>
      <c r="Q60" s="67">
        <v>0.40723981900452488</v>
      </c>
    </row>
    <row r="61" spans="1:17" x14ac:dyDescent="0.4">
      <c r="A61" s="69">
        <v>58</v>
      </c>
      <c r="B61" s="66">
        <v>-3.5527136788005009E-14</v>
      </c>
      <c r="C61" s="66">
        <v>-2.0417894705750005E-16</v>
      </c>
      <c r="D61" s="71">
        <v>2</v>
      </c>
      <c r="E61" s="67">
        <v>0.33333333333333331</v>
      </c>
      <c r="F61" s="67">
        <v>0.33333333333333331</v>
      </c>
      <c r="G61" s="67">
        <v>0.29069767441860467</v>
      </c>
      <c r="H61" s="67">
        <v>0.17118863049095606</v>
      </c>
      <c r="I61" s="68">
        <v>8229.7777777777774</v>
      </c>
      <c r="J61" s="68">
        <v>-7834.3396226415098</v>
      </c>
      <c r="K61" s="67">
        <v>0.11494252873563218</v>
      </c>
      <c r="L61" s="67">
        <v>0.11494252873563218</v>
      </c>
      <c r="M61" s="67">
        <v>0.23708010335917312</v>
      </c>
      <c r="N61" s="67">
        <v>0.24935400516795866</v>
      </c>
      <c r="O61" s="67">
        <v>0.54495912806539515</v>
      </c>
      <c r="P61" s="67">
        <v>0.42746113989637308</v>
      </c>
      <c r="Q61" s="67">
        <v>0.40888888888888891</v>
      </c>
    </row>
    <row r="62" spans="1:17" x14ac:dyDescent="0.4">
      <c r="A62" s="69">
        <v>59</v>
      </c>
      <c r="B62" s="66">
        <v>-4.2632564145606011E-14</v>
      </c>
      <c r="C62" s="66">
        <v>-2.4086194432545769E-16</v>
      </c>
      <c r="D62" s="71">
        <v>2</v>
      </c>
      <c r="E62" s="67">
        <v>0.33333333333333331</v>
      </c>
      <c r="F62" s="67">
        <v>0.33333333333333331</v>
      </c>
      <c r="G62" s="67">
        <v>0.29118773946360155</v>
      </c>
      <c r="H62" s="67">
        <v>0.17241379310344829</v>
      </c>
      <c r="I62" s="68">
        <v>8244.9561403508778</v>
      </c>
      <c r="J62" s="68">
        <v>-7854.8148148148148</v>
      </c>
      <c r="K62" s="67">
        <v>0.11864406779661017</v>
      </c>
      <c r="L62" s="67">
        <v>0.11864406779661017</v>
      </c>
      <c r="M62" s="67">
        <v>0.23690932311621968</v>
      </c>
      <c r="N62" s="67">
        <v>0.24968071519795657</v>
      </c>
      <c r="O62" s="67">
        <v>0.54716981132075471</v>
      </c>
      <c r="P62" s="67">
        <v>0.42710997442455245</v>
      </c>
      <c r="Q62" s="67">
        <v>0.4057017543859649</v>
      </c>
    </row>
    <row r="63" spans="1:17" x14ac:dyDescent="0.4">
      <c r="A63" s="69">
        <v>60</v>
      </c>
      <c r="B63" s="66">
        <v>-4.2632564145606011E-14</v>
      </c>
      <c r="C63" s="66">
        <v>-2.3684757858670006E-16</v>
      </c>
      <c r="D63" s="71">
        <v>2</v>
      </c>
      <c r="E63" s="67">
        <v>0.33333333333333331</v>
      </c>
      <c r="F63" s="67">
        <v>0.33333333333333331</v>
      </c>
      <c r="G63" s="67">
        <v>0.29182389937106917</v>
      </c>
      <c r="H63" s="67">
        <v>0.17232704402515722</v>
      </c>
      <c r="I63" s="68">
        <v>8244.1810344827591</v>
      </c>
      <c r="J63" s="68">
        <v>-7844.8905109489051</v>
      </c>
      <c r="K63" s="67">
        <v>0.11666666666666667</v>
      </c>
      <c r="L63" s="67">
        <v>0.11666666666666667</v>
      </c>
      <c r="M63" s="67">
        <v>0.23710691823899371</v>
      </c>
      <c r="N63" s="67">
        <v>0.25094339622641509</v>
      </c>
      <c r="O63" s="67">
        <v>0.55172413793103448</v>
      </c>
      <c r="P63" s="67">
        <v>0.42606516290726815</v>
      </c>
      <c r="Q63" s="67">
        <v>0.40732758620689657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2019-10-09T15:30:42Z</dcterms:modified>
</cp:coreProperties>
</file>