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3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4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5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6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7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8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0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1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5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6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7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DB7630F8-7FD8-4242-A34B-11D272826487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25" r:id="rId6"/>
    <sheet name="たかの" sheetId="5627" r:id="rId7"/>
    <sheet name="だいち" sheetId="5629" r:id="rId8"/>
    <sheet name="ただ" sheetId="5631" r:id="rId9"/>
    <sheet name="りくと" sheetId="5633" r:id="rId10"/>
    <sheet name="れんたろう" sheetId="5635" r:id="rId11"/>
    <sheet name="まっつん" sheetId="5637" r:id="rId12"/>
    <sheet name="のり" sheetId="5639" r:id="rId13"/>
    <sheet name="ぱぱ" sheetId="5641" r:id="rId14"/>
    <sheet name="ぱぱ2" sheetId="5642" state="hidden" r:id="rId15"/>
    <sheet name="のり2" sheetId="5640" state="hidden" r:id="rId16"/>
    <sheet name="まっつん2" sheetId="5638" state="hidden" r:id="rId17"/>
    <sheet name="れんたろう2" sheetId="5636" state="hidden" r:id="rId18"/>
    <sheet name="りくと2" sheetId="5634" state="hidden" r:id="rId19"/>
    <sheet name="ただ2" sheetId="5632" state="hidden" r:id="rId20"/>
    <sheet name="だいち2" sheetId="5630" state="hidden" r:id="rId21"/>
    <sheet name="たかの2" sheetId="5628" state="hidden" r:id="rId22"/>
    <sheet name="全体2" sheetId="5626" state="hidden" r:id="rId23"/>
    <sheet name="通算スコア" sheetId="3331" state="hidden" r:id="rId24"/>
    <sheet name="平均スコア" sheetId="3493" state="hidden" r:id="rId25"/>
    <sheet name="平均順位" sheetId="3183" state="hidden" r:id="rId26"/>
    <sheet name="トップ率" sheetId="3185" state="hidden" r:id="rId27"/>
    <sheet name="ラス率" sheetId="4886" state="hidden" r:id="rId28"/>
    <sheet name="アガリ率" sheetId="3189" state="hidden" r:id="rId29"/>
    <sheet name="放銃率" sheetId="3190" state="hidden" r:id="rId30"/>
    <sheet name="平均アガリ点" sheetId="3520" state="hidden" r:id="rId31"/>
    <sheet name="平均放銃点" sheetId="3521" state="hidden" r:id="rId32"/>
    <sheet name="ふっとび率" sheetId="3522" state="hidden" r:id="rId33"/>
    <sheet name="ふっとばし率" sheetId="3523" state="hidden" r:id="rId34"/>
    <sheet name="リーチ率" sheetId="3524" state="hidden" r:id="rId35"/>
    <sheet name="副露率" sheetId="3525" state="hidden" r:id="rId36"/>
    <sheet name="リーチ成功率" sheetId="4841" state="hidden" r:id="rId37"/>
    <sheet name="副露成功率" sheetId="3527" state="hidden" r:id="rId38"/>
    <sheet name="ツモ率" sheetId="3528" state="hidden" r:id="rId39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629" l="1"/>
  <c r="O18" i="5633"/>
  <c r="O15" i="5629" l="1"/>
  <c r="O17" i="5637"/>
  <c r="O18" i="5637"/>
  <c r="O15" i="5627"/>
  <c r="O15" i="5631"/>
  <c r="O15" i="5633"/>
  <c r="O16" i="5633"/>
  <c r="O18" i="5627"/>
  <c r="O18" i="5631"/>
  <c r="O17" i="5629"/>
  <c r="O17" i="5641"/>
  <c r="O18" i="5641"/>
  <c r="O18" i="5635" l="1"/>
  <c r="O16" i="5635"/>
  <c r="O16" i="5641"/>
  <c r="O15" i="5641"/>
  <c r="C27" i="5641"/>
  <c r="B24" i="5641"/>
  <c r="C20" i="5641"/>
  <c r="B17" i="5641"/>
  <c r="H50" i="5641" s="1"/>
  <c r="C16" i="5641"/>
  <c r="C15" i="5641"/>
  <c r="C14" i="5641"/>
  <c r="C13" i="5641"/>
  <c r="O12" i="5641"/>
  <c r="C12" i="5641"/>
  <c r="O11" i="5641"/>
  <c r="C11" i="5641"/>
  <c r="O10" i="5641"/>
  <c r="C10" i="5641"/>
  <c r="C9" i="5641"/>
  <c r="C8" i="5641"/>
  <c r="O7" i="5641"/>
  <c r="C7" i="5641"/>
  <c r="O6" i="5641"/>
  <c r="B6" i="5641"/>
  <c r="O5" i="5641"/>
  <c r="B5" i="5641"/>
  <c r="O4" i="5641"/>
  <c r="H2" i="5641"/>
  <c r="O3" i="5641"/>
  <c r="O2" i="5641"/>
  <c r="O17" i="5625"/>
  <c r="O15" i="5639"/>
  <c r="O16" i="5639"/>
  <c r="C27" i="5639"/>
  <c r="B24" i="5639"/>
  <c r="C20" i="5639"/>
  <c r="B17" i="5639"/>
  <c r="H51" i="5639" s="1"/>
  <c r="C16" i="5639"/>
  <c r="C15" i="5639"/>
  <c r="H15" i="5639"/>
  <c r="C14" i="5639"/>
  <c r="C13" i="5639"/>
  <c r="O12" i="5639"/>
  <c r="H13" i="5639"/>
  <c r="C12" i="5639"/>
  <c r="O11" i="5639"/>
  <c r="C11" i="5639"/>
  <c r="O10" i="5639"/>
  <c r="C10" i="5639"/>
  <c r="C9" i="5639"/>
  <c r="H10" i="5639"/>
  <c r="C8" i="5639"/>
  <c r="O7" i="5639"/>
  <c r="C7" i="5639"/>
  <c r="O6" i="5639"/>
  <c r="B6" i="5639"/>
  <c r="O5" i="5639"/>
  <c r="H2" i="5639"/>
  <c r="B5" i="5639"/>
  <c r="O4" i="5639"/>
  <c r="O3" i="5639"/>
  <c r="O2" i="5639"/>
  <c r="O22" i="5625"/>
  <c r="H4" i="5641" l="1"/>
  <c r="H23" i="5641"/>
  <c r="H28" i="5641"/>
  <c r="H39" i="5641"/>
  <c r="H40" i="5641"/>
  <c r="H14" i="5641"/>
  <c r="H16" i="5641"/>
  <c r="H5" i="5641"/>
  <c r="H13" i="5641"/>
  <c r="H19" i="5641"/>
  <c r="H29" i="5641"/>
  <c r="H8" i="5641"/>
  <c r="H6" i="5641"/>
  <c r="C18" i="5641"/>
  <c r="H26" i="5641"/>
  <c r="H33" i="5641"/>
  <c r="H45" i="5641"/>
  <c r="H9" i="5641"/>
  <c r="H10" i="5641"/>
  <c r="H18" i="5641"/>
  <c r="H35" i="5641"/>
  <c r="H51" i="5641"/>
  <c r="H44" i="5641"/>
  <c r="H49" i="5641"/>
  <c r="H11" i="5641"/>
  <c r="C19" i="5641"/>
  <c r="H12" i="5641"/>
  <c r="H31" i="5641"/>
  <c r="H36" i="5641"/>
  <c r="H41" i="5641"/>
  <c r="H47" i="5641"/>
  <c r="H3" i="5641"/>
  <c r="H24" i="5641"/>
  <c r="H7" i="5641"/>
  <c r="H15" i="5641"/>
  <c r="H17" i="5641"/>
  <c r="C17" i="5641"/>
  <c r="H21" i="5641"/>
  <c r="B23" i="5641"/>
  <c r="H32" i="5641"/>
  <c r="H37" i="5641"/>
  <c r="H43" i="5641"/>
  <c r="H48" i="5641"/>
  <c r="H52" i="5641"/>
  <c r="H20" i="5641"/>
  <c r="H22" i="5641"/>
  <c r="H25" i="5641"/>
  <c r="H27" i="5641"/>
  <c r="H30" i="5641"/>
  <c r="H34" i="5641"/>
  <c r="H38" i="5641"/>
  <c r="H42" i="5641"/>
  <c r="H46" i="5641"/>
  <c r="C18" i="5639"/>
  <c r="H7" i="5639"/>
  <c r="H11" i="5639"/>
  <c r="H33" i="5639"/>
  <c r="H3" i="5639"/>
  <c r="H17" i="5639"/>
  <c r="B23" i="5639"/>
  <c r="H41" i="5639"/>
  <c r="H49" i="5639"/>
  <c r="H4" i="5639"/>
  <c r="H18" i="5639"/>
  <c r="H23" i="5639"/>
  <c r="H26" i="5639"/>
  <c r="H32" i="5639"/>
  <c r="H40" i="5639"/>
  <c r="H48" i="5639"/>
  <c r="H20" i="5639"/>
  <c r="H28" i="5639"/>
  <c r="H36" i="5639"/>
  <c r="H44" i="5639"/>
  <c r="H5" i="5639"/>
  <c r="H6" i="5639"/>
  <c r="H8" i="5639"/>
  <c r="H12" i="5639"/>
  <c r="C17" i="5639"/>
  <c r="H25" i="5639"/>
  <c r="H29" i="5639"/>
  <c r="H37" i="5639"/>
  <c r="H45" i="5639"/>
  <c r="H52" i="5639"/>
  <c r="H19" i="5639"/>
  <c r="H21" i="5639"/>
  <c r="H24" i="5639"/>
  <c r="H27" i="5639"/>
  <c r="H30" i="5639"/>
  <c r="H34" i="5639"/>
  <c r="H38" i="5639"/>
  <c r="H42" i="5639"/>
  <c r="H46" i="5639"/>
  <c r="H50" i="5639"/>
  <c r="H9" i="5639"/>
  <c r="H14" i="5639"/>
  <c r="H16" i="5639"/>
  <c r="C19" i="5639"/>
  <c r="H22" i="5639"/>
  <c r="H31" i="5639"/>
  <c r="H35" i="5639"/>
  <c r="H39" i="5639"/>
  <c r="H43" i="5639"/>
  <c r="H47" i="5639"/>
  <c r="O16" i="5637" l="1"/>
  <c r="O15" i="5637"/>
  <c r="C27" i="5637"/>
  <c r="B24" i="5637"/>
  <c r="C20" i="5637"/>
  <c r="B17" i="5637"/>
  <c r="H52" i="5637" s="1"/>
  <c r="C16" i="5637"/>
  <c r="C15" i="5637"/>
  <c r="C14" i="5637"/>
  <c r="C13" i="5637"/>
  <c r="O12" i="5637"/>
  <c r="C12" i="5637"/>
  <c r="O11" i="5637"/>
  <c r="C11" i="5637"/>
  <c r="O10" i="5637"/>
  <c r="C10" i="5637"/>
  <c r="C9" i="5637"/>
  <c r="H6" i="5637"/>
  <c r="C8" i="5637"/>
  <c r="O7" i="5637"/>
  <c r="C7" i="5637"/>
  <c r="O6" i="5637"/>
  <c r="B6" i="5637"/>
  <c r="O5" i="5637"/>
  <c r="B5" i="5637"/>
  <c r="O4" i="5637"/>
  <c r="O3" i="5637"/>
  <c r="O2" i="5637"/>
  <c r="O15" i="5635"/>
  <c r="O17" i="5635"/>
  <c r="C27" i="5635"/>
  <c r="B24" i="5635"/>
  <c r="C20" i="5635"/>
  <c r="B17" i="5635"/>
  <c r="H49" i="5635" s="1"/>
  <c r="C16" i="5635"/>
  <c r="C15" i="5635"/>
  <c r="C14" i="5635"/>
  <c r="C13" i="5635"/>
  <c r="O12" i="5635"/>
  <c r="C12" i="5635"/>
  <c r="O11" i="5635"/>
  <c r="C11" i="5635"/>
  <c r="O10" i="5635"/>
  <c r="C10" i="5635"/>
  <c r="C9" i="5635"/>
  <c r="C8" i="5635"/>
  <c r="O7" i="5635"/>
  <c r="C7" i="5635"/>
  <c r="O6" i="5635"/>
  <c r="B6" i="5635"/>
  <c r="O5" i="5635"/>
  <c r="B5" i="5635"/>
  <c r="O4" i="5635"/>
  <c r="O3" i="5635"/>
  <c r="O2" i="5635"/>
  <c r="O16" i="5625"/>
  <c r="O19" i="5633"/>
  <c r="O17" i="5633"/>
  <c r="C27" i="5633"/>
  <c r="B24" i="5633"/>
  <c r="C20" i="5633"/>
  <c r="B17" i="5633"/>
  <c r="H51" i="5633" s="1"/>
  <c r="C16" i="5633"/>
  <c r="C15" i="5633"/>
  <c r="C14" i="5633"/>
  <c r="C13" i="5633"/>
  <c r="O12" i="5633"/>
  <c r="C12" i="5633"/>
  <c r="O11" i="5633"/>
  <c r="C11" i="5633"/>
  <c r="O10" i="5633"/>
  <c r="C10" i="5633"/>
  <c r="C9" i="5633"/>
  <c r="C8" i="5633"/>
  <c r="O7" i="5633"/>
  <c r="C7" i="5633"/>
  <c r="O6" i="5633"/>
  <c r="B6" i="5633"/>
  <c r="O5" i="5633"/>
  <c r="B5" i="5633"/>
  <c r="O4" i="5633"/>
  <c r="O3" i="5633"/>
  <c r="O2" i="5633"/>
  <c r="H3" i="5633"/>
  <c r="O20" i="5625"/>
  <c r="O15" i="5625"/>
  <c r="H5" i="5637" l="1"/>
  <c r="H9" i="5637"/>
  <c r="H10" i="5637"/>
  <c r="H14" i="5637"/>
  <c r="H17" i="5637"/>
  <c r="H19" i="5637"/>
  <c r="C18" i="5637"/>
  <c r="H4" i="5637"/>
  <c r="H39" i="5637"/>
  <c r="H2" i="5637"/>
  <c r="H27" i="5637"/>
  <c r="C17" i="5637"/>
  <c r="H31" i="5637"/>
  <c r="H47" i="5637"/>
  <c r="C19" i="5637"/>
  <c r="H23" i="5637"/>
  <c r="H43" i="5637"/>
  <c r="H12" i="5637"/>
  <c r="H16" i="5637"/>
  <c r="H18" i="5637"/>
  <c r="H21" i="5637"/>
  <c r="H8" i="5637"/>
  <c r="H11" i="5637"/>
  <c r="H13" i="5637"/>
  <c r="H15" i="5637"/>
  <c r="H3" i="5637"/>
  <c r="H24" i="5637"/>
  <c r="H35" i="5637"/>
  <c r="H51" i="5637"/>
  <c r="H20" i="5637"/>
  <c r="H22" i="5637"/>
  <c r="H7" i="5637"/>
  <c r="H26" i="5637"/>
  <c r="H29" i="5637"/>
  <c r="H33" i="5637"/>
  <c r="H37" i="5637"/>
  <c r="H41" i="5637"/>
  <c r="H45" i="5637"/>
  <c r="H49" i="5637"/>
  <c r="H30" i="5637"/>
  <c r="H34" i="5637"/>
  <c r="H38" i="5637"/>
  <c r="H42" i="5637"/>
  <c r="H46" i="5637"/>
  <c r="H50" i="5637"/>
  <c r="B23" i="5637"/>
  <c r="H25" i="5637"/>
  <c r="H28" i="5637"/>
  <c r="H32" i="5637"/>
  <c r="H36" i="5637"/>
  <c r="H40" i="5637"/>
  <c r="H44" i="5637"/>
  <c r="H48" i="5637"/>
  <c r="H2" i="5635"/>
  <c r="H7" i="5635"/>
  <c r="H3" i="5635"/>
  <c r="H12" i="5635"/>
  <c r="H36" i="5635"/>
  <c r="H28" i="5635"/>
  <c r="H11" i="5635"/>
  <c r="H15" i="5635"/>
  <c r="H17" i="5635"/>
  <c r="C17" i="5635"/>
  <c r="H25" i="5635"/>
  <c r="H31" i="5635"/>
  <c r="H38" i="5635"/>
  <c r="H44" i="5635"/>
  <c r="H43" i="5635"/>
  <c r="H14" i="5635"/>
  <c r="H22" i="5635"/>
  <c r="H39" i="5635"/>
  <c r="H47" i="5635"/>
  <c r="H8" i="5635"/>
  <c r="H52" i="5635"/>
  <c r="H9" i="5635"/>
  <c r="H4" i="5635"/>
  <c r="H6" i="5635"/>
  <c r="H19" i="5635"/>
  <c r="H32" i="5635"/>
  <c r="H10" i="5635"/>
  <c r="H13" i="5635"/>
  <c r="H16" i="5635"/>
  <c r="H18" i="5635"/>
  <c r="C18" i="5635"/>
  <c r="B23" i="5635"/>
  <c r="H5" i="5635"/>
  <c r="H34" i="5635"/>
  <c r="H42" i="5635"/>
  <c r="H48" i="5635"/>
  <c r="H50" i="5635"/>
  <c r="C19" i="5635"/>
  <c r="H23" i="5635"/>
  <c r="H26" i="5635"/>
  <c r="H30" i="5635"/>
  <c r="H35" i="5635"/>
  <c r="H40" i="5635"/>
  <c r="H46" i="5635"/>
  <c r="H51" i="5635"/>
  <c r="H20" i="5635"/>
  <c r="H21" i="5635"/>
  <c r="H24" i="5635"/>
  <c r="H27" i="5635"/>
  <c r="H29" i="5635"/>
  <c r="H33" i="5635"/>
  <c r="H37" i="5635"/>
  <c r="H41" i="5635"/>
  <c r="H45" i="5635"/>
  <c r="H2" i="5633"/>
  <c r="H25" i="5633"/>
  <c r="H27" i="5633"/>
  <c r="H32" i="5633"/>
  <c r="H40" i="5633"/>
  <c r="H48" i="5633"/>
  <c r="B23" i="5633"/>
  <c r="H41" i="5633"/>
  <c r="H49" i="5633"/>
  <c r="H4" i="5633"/>
  <c r="C17" i="5633"/>
  <c r="H11" i="5633"/>
  <c r="H14" i="5633"/>
  <c r="H36" i="5633"/>
  <c r="H44" i="5633"/>
  <c r="H5" i="5633"/>
  <c r="H10" i="5633"/>
  <c r="C19" i="5633"/>
  <c r="H8" i="5633"/>
  <c r="H19" i="5633"/>
  <c r="H21" i="5633"/>
  <c r="H15" i="5633"/>
  <c r="H33" i="5633"/>
  <c r="H9" i="5633"/>
  <c r="H7" i="5633"/>
  <c r="H18" i="5633"/>
  <c r="H22" i="5633"/>
  <c r="H6" i="5633"/>
  <c r="H17" i="5633"/>
  <c r="H20" i="5633"/>
  <c r="H13" i="5633"/>
  <c r="C18" i="5633"/>
  <c r="H12" i="5633"/>
  <c r="H16" i="5633"/>
  <c r="H29" i="5633"/>
  <c r="H37" i="5633"/>
  <c r="H45" i="5633"/>
  <c r="H52" i="5633"/>
  <c r="H23" i="5633"/>
  <c r="H24" i="5633"/>
  <c r="H26" i="5633"/>
  <c r="H28" i="5633"/>
  <c r="H30" i="5633"/>
  <c r="H34" i="5633"/>
  <c r="H38" i="5633"/>
  <c r="H42" i="5633"/>
  <c r="H46" i="5633"/>
  <c r="H50" i="5633"/>
  <c r="H31" i="5633"/>
  <c r="H35" i="5633"/>
  <c r="H39" i="5633"/>
  <c r="H43" i="5633"/>
  <c r="H47" i="5633"/>
  <c r="O17" i="5631" l="1"/>
  <c r="O16" i="5631"/>
  <c r="C27" i="5631"/>
  <c r="B24" i="5631"/>
  <c r="C20" i="5631"/>
  <c r="B17" i="5631"/>
  <c r="H51" i="5631" s="1"/>
  <c r="C16" i="5631"/>
  <c r="C15" i="5631"/>
  <c r="C14" i="5631"/>
  <c r="C13" i="5631"/>
  <c r="O12" i="5631"/>
  <c r="C12" i="5631"/>
  <c r="O11" i="5631"/>
  <c r="C11" i="5631"/>
  <c r="O10" i="5631"/>
  <c r="C10" i="5631"/>
  <c r="C9" i="5631"/>
  <c r="C8" i="5631"/>
  <c r="O7" i="5631"/>
  <c r="C7" i="5631"/>
  <c r="O6" i="5631"/>
  <c r="B6" i="5631"/>
  <c r="O5" i="5631"/>
  <c r="B5" i="5631"/>
  <c r="O4" i="5631"/>
  <c r="O3" i="5631"/>
  <c r="O2" i="5631"/>
  <c r="O19" i="5629"/>
  <c r="O18" i="5629"/>
  <c r="C27" i="5629"/>
  <c r="B24" i="5629"/>
  <c r="C20" i="5629"/>
  <c r="B17" i="5629"/>
  <c r="H24" i="5629" s="1"/>
  <c r="C16" i="5629"/>
  <c r="C15" i="5629"/>
  <c r="C14" i="5629"/>
  <c r="C13" i="5629"/>
  <c r="O12" i="5629"/>
  <c r="C12" i="5629"/>
  <c r="O11" i="5629"/>
  <c r="C11" i="5629"/>
  <c r="O10" i="5629"/>
  <c r="C10" i="5629"/>
  <c r="C9" i="5629"/>
  <c r="C8" i="5629"/>
  <c r="O7" i="5629"/>
  <c r="C7" i="5629"/>
  <c r="O6" i="5629"/>
  <c r="B6" i="5629"/>
  <c r="O5" i="5629"/>
  <c r="B5" i="5629"/>
  <c r="O4" i="5629"/>
  <c r="O3" i="5629"/>
  <c r="O2" i="5629"/>
  <c r="O18" i="5625"/>
  <c r="O16" i="5627"/>
  <c r="O17" i="5627"/>
  <c r="C27" i="5627"/>
  <c r="B24" i="5627"/>
  <c r="C20" i="5627"/>
  <c r="B17" i="5627"/>
  <c r="H51" i="5627" s="1"/>
  <c r="C16" i="5627"/>
  <c r="C15" i="5627"/>
  <c r="C14" i="5627"/>
  <c r="C13" i="5627"/>
  <c r="O12" i="5627"/>
  <c r="C12" i="5627"/>
  <c r="O11" i="5627"/>
  <c r="C11" i="5627"/>
  <c r="O10" i="5627"/>
  <c r="C10" i="5627"/>
  <c r="C9" i="5627"/>
  <c r="C8" i="5627"/>
  <c r="O7" i="5627"/>
  <c r="C7" i="5627"/>
  <c r="O6" i="5627"/>
  <c r="B6" i="5627"/>
  <c r="O5" i="5627"/>
  <c r="B5" i="5627"/>
  <c r="O4" i="5627"/>
  <c r="O3" i="5627"/>
  <c r="O2" i="5627"/>
  <c r="O19" i="5625"/>
  <c r="O21" i="5625"/>
  <c r="C27" i="5625"/>
  <c r="B24" i="5625"/>
  <c r="C20" i="5625"/>
  <c r="B17" i="5625"/>
  <c r="H51" i="5625" s="1"/>
  <c r="C16" i="5625"/>
  <c r="C15" i="5625"/>
  <c r="C14" i="5625"/>
  <c r="C13" i="5625"/>
  <c r="O12" i="5625"/>
  <c r="C12" i="5625"/>
  <c r="O11" i="5625"/>
  <c r="C11" i="5625"/>
  <c r="O10" i="5625"/>
  <c r="C10" i="5625"/>
  <c r="C9" i="5625"/>
  <c r="C8" i="5625"/>
  <c r="O7" i="5625"/>
  <c r="C7" i="5625"/>
  <c r="O6" i="5625"/>
  <c r="B6" i="5625"/>
  <c r="O5" i="5625"/>
  <c r="B5" i="5625"/>
  <c r="O4" i="5625"/>
  <c r="O3" i="5625"/>
  <c r="O2" i="5625"/>
  <c r="H33" i="5631" l="1"/>
  <c r="H11" i="5631"/>
  <c r="H6" i="5631"/>
  <c r="H40" i="5631"/>
  <c r="H16" i="5631"/>
  <c r="H28" i="5631"/>
  <c r="H18" i="5631"/>
  <c r="C18" i="5631"/>
  <c r="H12" i="5625"/>
  <c r="H30" i="5625"/>
  <c r="H2" i="5625"/>
  <c r="H28" i="5625"/>
  <c r="H6" i="5625"/>
  <c r="H4" i="5625"/>
  <c r="H3" i="5625"/>
  <c r="H15" i="5625"/>
  <c r="H26" i="5631"/>
  <c r="H41" i="5631"/>
  <c r="H20" i="5631"/>
  <c r="H7" i="5631"/>
  <c r="H22" i="5631"/>
  <c r="B23" i="5631"/>
  <c r="H32" i="5631"/>
  <c r="H49" i="5631"/>
  <c r="H48" i="5631"/>
  <c r="H24" i="5631"/>
  <c r="H9" i="5631"/>
  <c r="H36" i="5631"/>
  <c r="H44" i="5631"/>
  <c r="H5" i="5631"/>
  <c r="H4" i="5631"/>
  <c r="H2" i="5631"/>
  <c r="H15" i="5631"/>
  <c r="H17" i="5631"/>
  <c r="C17" i="5631"/>
  <c r="H10" i="5631"/>
  <c r="H30" i="5631"/>
  <c r="H37" i="5631"/>
  <c r="H45" i="5631"/>
  <c r="H52" i="5631"/>
  <c r="H23" i="5631"/>
  <c r="H25" i="5631"/>
  <c r="H29" i="5631"/>
  <c r="H13" i="5631"/>
  <c r="H34" i="5631"/>
  <c r="H38" i="5631"/>
  <c r="H42" i="5631"/>
  <c r="H46" i="5631"/>
  <c r="H50" i="5631"/>
  <c r="H14" i="5631"/>
  <c r="H3" i="5631"/>
  <c r="H27" i="5631"/>
  <c r="H8" i="5631"/>
  <c r="H19" i="5631"/>
  <c r="H21" i="5631"/>
  <c r="C19" i="5631"/>
  <c r="H12" i="5631"/>
  <c r="H31" i="5631"/>
  <c r="H35" i="5631"/>
  <c r="H39" i="5631"/>
  <c r="H43" i="5631"/>
  <c r="H47" i="5631"/>
  <c r="H10" i="5629"/>
  <c r="H27" i="5629"/>
  <c r="H29" i="5629"/>
  <c r="H3" i="5629"/>
  <c r="H4" i="5629"/>
  <c r="H12" i="5629"/>
  <c r="H14" i="5629"/>
  <c r="H18" i="5629"/>
  <c r="H42" i="5629"/>
  <c r="H37" i="5629"/>
  <c r="H8" i="5629"/>
  <c r="H45" i="5629"/>
  <c r="H2" i="5629"/>
  <c r="H9" i="5629"/>
  <c r="H26" i="5629"/>
  <c r="H7" i="5629"/>
  <c r="H11" i="5629"/>
  <c r="C17" i="5629"/>
  <c r="B23" i="5629"/>
  <c r="H35" i="5629"/>
  <c r="H5" i="5629"/>
  <c r="C19" i="5629"/>
  <c r="H17" i="5629"/>
  <c r="H32" i="5629"/>
  <c r="H34" i="5629"/>
  <c r="H41" i="5629"/>
  <c r="H49" i="5629"/>
  <c r="H50" i="5629"/>
  <c r="H6" i="5629"/>
  <c r="H25" i="5629"/>
  <c r="H28" i="5629"/>
  <c r="H15" i="5629"/>
  <c r="C18" i="5629"/>
  <c r="H16" i="5629"/>
  <c r="H13" i="5629"/>
  <c r="H33" i="5629"/>
  <c r="H38" i="5629"/>
  <c r="H46" i="5629"/>
  <c r="H52" i="5629"/>
  <c r="H30" i="5629"/>
  <c r="H31" i="5629"/>
  <c r="H19" i="5629"/>
  <c r="H20" i="5629"/>
  <c r="H21" i="5629"/>
  <c r="H23" i="5629"/>
  <c r="H39" i="5629"/>
  <c r="H43" i="5629"/>
  <c r="H47" i="5629"/>
  <c r="H51" i="5629"/>
  <c r="H22" i="5629"/>
  <c r="H36" i="5629"/>
  <c r="H40" i="5629"/>
  <c r="H44" i="5629"/>
  <c r="H48" i="5629"/>
  <c r="H2" i="5627"/>
  <c r="H4" i="5627"/>
  <c r="H3" i="5627"/>
  <c r="H10" i="5627"/>
  <c r="C19" i="5627"/>
  <c r="H24" i="5627"/>
  <c r="H27" i="5627"/>
  <c r="H32" i="5627"/>
  <c r="H40" i="5627"/>
  <c r="H48" i="5627"/>
  <c r="C17" i="5627"/>
  <c r="H13" i="5627"/>
  <c r="B23" i="5627"/>
  <c r="H33" i="5627"/>
  <c r="H41" i="5627"/>
  <c r="H49" i="5627"/>
  <c r="H17" i="5627"/>
  <c r="H9" i="5627"/>
  <c r="H14" i="5627"/>
  <c r="H44" i="5627"/>
  <c r="H5" i="5627"/>
  <c r="H7" i="5627"/>
  <c r="H19" i="5627"/>
  <c r="H6" i="5627"/>
  <c r="H11" i="5627"/>
  <c r="H16" i="5627"/>
  <c r="H21" i="5627"/>
  <c r="H36" i="5627"/>
  <c r="H8" i="5627"/>
  <c r="H15" i="5627"/>
  <c r="H18" i="5627"/>
  <c r="H20" i="5627"/>
  <c r="C18" i="5627"/>
  <c r="H12" i="5627"/>
  <c r="H26" i="5627"/>
  <c r="H29" i="5627"/>
  <c r="H37" i="5627"/>
  <c r="H45" i="5627"/>
  <c r="H52" i="5627"/>
  <c r="H22" i="5627"/>
  <c r="H23" i="5627"/>
  <c r="H25" i="5627"/>
  <c r="H28" i="5627"/>
  <c r="H30" i="5627"/>
  <c r="H34" i="5627"/>
  <c r="H38" i="5627"/>
  <c r="H42" i="5627"/>
  <c r="H46" i="5627"/>
  <c r="H50" i="5627"/>
  <c r="H31" i="5627"/>
  <c r="H35" i="5627"/>
  <c r="H39" i="5627"/>
  <c r="H43" i="5627"/>
  <c r="H47" i="5627"/>
  <c r="H11" i="5625"/>
  <c r="C18" i="5625"/>
  <c r="H9" i="5625"/>
  <c r="H35" i="5625"/>
  <c r="H13" i="5625"/>
  <c r="H10" i="5625"/>
  <c r="H7" i="5625"/>
  <c r="H27" i="5625"/>
  <c r="H19" i="5625"/>
  <c r="H40" i="5625"/>
  <c r="H45" i="5625"/>
  <c r="H50" i="5625"/>
  <c r="H14" i="5625"/>
  <c r="H33" i="5625"/>
  <c r="H36" i="5625"/>
  <c r="H41" i="5625"/>
  <c r="H46" i="5625"/>
  <c r="H26" i="5625"/>
  <c r="C19" i="5625"/>
  <c r="H20" i="5625"/>
  <c r="H22" i="5625"/>
  <c r="H24" i="5625"/>
  <c r="H37" i="5625"/>
  <c r="H42" i="5625"/>
  <c r="H48" i="5625"/>
  <c r="H5" i="5625"/>
  <c r="H8" i="5625"/>
  <c r="H29" i="5625"/>
  <c r="H18" i="5625"/>
  <c r="C17" i="5625"/>
  <c r="H16" i="5625"/>
  <c r="B23" i="5625"/>
  <c r="H34" i="5625"/>
  <c r="H38" i="5625"/>
  <c r="H44" i="5625"/>
  <c r="H49" i="5625"/>
  <c r="H52" i="5625"/>
  <c r="H31" i="5625"/>
  <c r="H32" i="5625"/>
  <c r="H21" i="5625"/>
  <c r="H23" i="5625"/>
  <c r="H17" i="5625"/>
  <c r="H25" i="5625"/>
  <c r="H39" i="5625"/>
  <c r="H43" i="5625"/>
  <c r="H47" i="5625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<sst xmlns="http://schemas.openxmlformats.org/spreadsheetml/2006/main" count="2151" uniqueCount="195">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</sst>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3.xml"/><Relationship Id="rId39" Type="http://schemas.openxmlformats.org/officeDocument/2006/relationships/chartsheet" Target="chartsheets/sheet1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1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2.xml"/><Relationship Id="rId33" Type="http://schemas.openxmlformats.org/officeDocument/2006/relationships/chartsheet" Target="chartsheets/sheet10.xml"/><Relationship Id="rId38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6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.xml"/><Relationship Id="rId32" Type="http://schemas.openxmlformats.org/officeDocument/2006/relationships/chartsheet" Target="chartsheets/sheet9.xml"/><Relationship Id="rId37" Type="http://schemas.openxmlformats.org/officeDocument/2006/relationships/chartsheet" Target="chartsheets/sheet14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5.xml"/><Relationship Id="rId36" Type="http://schemas.openxmlformats.org/officeDocument/2006/relationships/chartsheet" Target="chartsheets/sheet1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8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4.xml"/><Relationship Id="rId30" Type="http://schemas.openxmlformats.org/officeDocument/2006/relationships/chartsheet" Target="chartsheets/sheet7.xml"/><Relationship Id="rId35" Type="http://schemas.openxmlformats.org/officeDocument/2006/relationships/chartsheet" Target="chartsheets/sheet12.xml"/><Relationship Id="rId43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全体!$L$2:$L$71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B6-4020-AA09-27AE1864D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-14.492753623188406</c:v>
                </c:pt>
                <c:pt idx="1">
                  <c:v>15.151515151515152</c:v>
                </c:pt>
                <c:pt idx="2">
                  <c:v>-45.454545454545453</c:v>
                </c:pt>
                <c:pt idx="3">
                  <c:v>30.303030303030305</c:v>
                </c:pt>
                <c:pt idx="4">
                  <c:v>15.873015873015873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D1-4E29-B472-B9B5ADF36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たかの!$L$2:$L$11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A3-4DBF-8909-790CF5615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-6522.2222222222226</c:v>
                </c:pt>
                <c:pt idx="1">
                  <c:v>1222.2222222222222</c:v>
                </c:pt>
                <c:pt idx="2">
                  <c:v>222.22222222222223</c:v>
                </c:pt>
                <c:pt idx="3">
                  <c:v>-2266.6666666666665</c:v>
                </c:pt>
                <c:pt idx="4">
                  <c:v>-311.11111111111109</c:v>
                </c:pt>
                <c:pt idx="5">
                  <c:v>-214.28571428571428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B-4EB1-82A8-5EEF18337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だいち!$L$2:$L$22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2-4FDB-AC53-35F118ED9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660</c:v>
                </c:pt>
                <c:pt idx="1">
                  <c:v>-594.73684210526312</c:v>
                </c:pt>
                <c:pt idx="2">
                  <c:v>468.42105263157896</c:v>
                </c:pt>
                <c:pt idx="3">
                  <c:v>100</c:v>
                </c:pt>
                <c:pt idx="4">
                  <c:v>7477.7777777777774</c:v>
                </c:pt>
                <c:pt idx="5">
                  <c:v>8133.333333333333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81-4487-B75E-9F97F6258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ただ!$L$2:$L$22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A5-4F61-B340-95F628EA2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1315</c:v>
                </c:pt>
                <c:pt idx="1">
                  <c:v>1889.4736842105262</c:v>
                </c:pt>
                <c:pt idx="2">
                  <c:v>-1347.3684210526317</c:v>
                </c:pt>
                <c:pt idx="3">
                  <c:v>4663.1578947368425</c:v>
                </c:pt>
                <c:pt idx="4">
                  <c:v>-3988.8888888888887</c:v>
                </c:pt>
                <c:pt idx="5">
                  <c:v>-6820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B6-4FFC-9A56-383CA4B0B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りくと!$L$2:$L$15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2B-4124-A902-900535C91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2638.4615384615386</c:v>
                </c:pt>
                <c:pt idx="1">
                  <c:v>-2150</c:v>
                </c:pt>
                <c:pt idx="2">
                  <c:v>666.66666666666663</c:v>
                </c:pt>
                <c:pt idx="3">
                  <c:v>-5000</c:v>
                </c:pt>
                <c:pt idx="4">
                  <c:v>-7754.545454545455</c:v>
                </c:pt>
                <c:pt idx="5">
                  <c:v>-1850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89-4345-8534-6B71988DF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れんたろう!$L$2:$L$4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D6-4CE9-854E-B48E7270E0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-5400</c:v>
                </c:pt>
                <c:pt idx="1">
                  <c:v>-5850</c:v>
                </c:pt>
                <c:pt idx="2">
                  <c:v>-5650</c:v>
                </c:pt>
                <c:pt idx="3">
                  <c:v>-1000</c:v>
                </c:pt>
                <c:pt idx="4">
                  <c:v>-750</c:v>
                </c:pt>
                <c:pt idx="5">
                  <c:v>-20000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33-45BA-8E86-1E4E75F26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02-4179-8FCB-E68AE1E09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-7400</c:v>
                </c:pt>
                <c:pt idx="1">
                  <c:v>-2150</c:v>
                </c:pt>
                <c:pt idx="2">
                  <c:v>6500</c:v>
                </c:pt>
                <c:pt idx="3">
                  <c:v>-2300</c:v>
                </c:pt>
                <c:pt idx="4">
                  <c:v>-750</c:v>
                </c:pt>
                <c:pt idx="5">
                  <c:v>10150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2-4E8C-9F22-E83438CB1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のり!$L$2:$L$3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4E-48E5-BC3C-8EECD2C4E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2300</c:v>
                </c:pt>
                <c:pt idx="1">
                  <c:v>-23000</c:v>
                </c:pt>
                <c:pt idx="2">
                  <c:v>2200</c:v>
                </c:pt>
                <c:pt idx="3">
                  <c:v>6500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D5-4165-9269-4D29F9209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4F-4FC3-AA41-3FC1C1C1A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15100</c:v>
                </c:pt>
                <c:pt idx="2">
                  <c:v>-100</c:v>
                </c:pt>
                <c:pt idx="3">
                  <c:v>-4000</c:v>
                </c:pt>
                <c:pt idx="4">
                  <c:v>14650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AF-416E-BDD8-78309E48B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552713678800500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ぱぱ2!$C$3:$C$5</c:f>
              <c:numCache>
                <c:formatCode>\+0.0;\-0.0;\±0</c:formatCode>
                <c:ptCount val="3"/>
                <c:pt idx="1">
                  <c:v>70.2</c:v>
                </c:pt>
                <c:pt idx="2">
                  <c:v>34.25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148860404058697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ぱぱ2!$D$3:$D$5</c:f>
              <c:numCache>
                <c:formatCode>0.00\ "位"</c:formatCode>
                <c:ptCount val="3"/>
                <c:pt idx="1">
                  <c:v>1</c:v>
                </c:pt>
                <c:pt idx="2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ぱぱ2!$E$3:$E$5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ぱぱ2!$F$3:$F$5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ぱぱ2!$G$3:$G$5</c:f>
              <c:numCache>
                <c:formatCode>0.0%</c:formatCode>
                <c:ptCount val="3"/>
                <c:pt idx="1">
                  <c:v>0.55555555555555558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3738317757009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ぱぱ2!$H$3:$H$5</c:f>
              <c:numCache>
                <c:formatCode>0.0%</c:formatCode>
                <c:ptCount val="3"/>
                <c:pt idx="1">
                  <c:v>0.1111111111111111</c:v>
                </c:pt>
                <c:pt idx="2">
                  <c:v>6.25E-2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83800623052959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ぱぱ2!$I$3:$I$5</c:f>
              <c:numCache>
                <c:formatCode>0</c:formatCode>
                <c:ptCount val="3"/>
                <c:pt idx="1">
                  <c:v>13940</c:v>
                </c:pt>
                <c:pt idx="2">
                  <c:v>9800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74.35897435897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ぱぱ2!$J$3:$J$5</c:f>
              <c:numCache>
                <c:formatCode>0</c:formatCode>
                <c:ptCount val="3"/>
                <c:pt idx="1">
                  <c:v>-12000</c:v>
                </c:pt>
                <c:pt idx="2">
                  <c:v>-12000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50.84745762711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1449275362318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ぱぱ2!$L$3:$L$5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1449275362318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ぱぱ2!$M$3:$M$5</c:f>
              <c:numCache>
                <c:formatCode>0.0%</c:formatCode>
                <c:ptCount val="3"/>
                <c:pt idx="1">
                  <c:v>0.44444444444444442</c:v>
                </c:pt>
                <c:pt idx="2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4548286604361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ぱぱ2!$N$3:$N$5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1183800623052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ぱぱ2!$O$3:$O$5</c:f>
              <c:numCache>
                <c:formatCode>0.0%</c:formatCode>
                <c:ptCount val="3"/>
                <c:pt idx="1">
                  <c:v>0.75</c:v>
                </c:pt>
                <c:pt idx="2">
                  <c:v>0.83333333333333337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3248407643312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ぱぱ2!$P$3:$P$5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3661971830985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ぱぱ2!$Q$3:$Q$5</c:f>
              <c:numCache>
                <c:formatCode>0.0%</c:formatCode>
                <c:ptCount val="3"/>
                <c:pt idx="1">
                  <c:v>0.2</c:v>
                </c:pt>
                <c:pt idx="2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9743589743589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DED96A3-036D-42B9-ACC1-67FCAD8888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6AA2C17-2979-4B78-AD59-C161236434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568B89C-BD4A-4426-AE4B-8D5A080DC4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4903C01-CDD6-4441-98C6-5D9B25A010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EEB7C26-1511-4AD9-A62B-9295A8B475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1FF661-1E17-41B7-B0FD-70B22C064D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EFE4DC5-DC26-469B-90C1-1C9FBE10DD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96D4B62-033B-49CA-ADAA-FC5499AF7E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65EF870-CEA9-4435-9009-1FCE381C45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E37FAC9-7501-40A5-BABC-9606A462C1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0AB9B1D-F633-4FCA-B685-AFE3322EE0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2F05990-2104-4959-9347-3EC9DE09A9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137C4C0-C690-40F0-8527-84D8493C6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0CBDF66-9A31-4239-A584-3AE81975C7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7F172FD-C819-4B69-9E70-3E8E7B24B8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FB6C236-728D-432D-B427-5DBEE027B6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4436AE4-BE6A-4A61-BC59-DFF5313596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C9E993-C2F6-4ADB-94FC-2BEF4D24FF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7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176</v>
      </c>
      <c r="B2" s="31">
        <v>43735.329375000001</v>
      </c>
      <c r="C2" s="30" t="s">
        <v>129</v>
      </c>
      <c r="D2" s="30" t="s">
        <v>130</v>
      </c>
    </row>
    <row r="3" spans="1:12" x14ac:dyDescent="0.4">
      <c r="A3" s="30" t="s">
        <v>177</v>
      </c>
      <c r="B3" s="31">
        <v>43735.329293981478</v>
      </c>
      <c r="C3" s="30" t="s">
        <v>129</v>
      </c>
    </row>
    <row r="4" spans="1:12" x14ac:dyDescent="0.4">
      <c r="A4" s="30" t="s">
        <v>181</v>
      </c>
      <c r="B4" s="31">
        <v>43735.329201388886</v>
      </c>
      <c r="C4" s="30" t="s">
        <v>129</v>
      </c>
    </row>
    <row r="5" spans="1:12" x14ac:dyDescent="0.4">
      <c r="A5" s="30" t="s">
        <v>184</v>
      </c>
      <c r="B5" s="31">
        <v>43737.872604166667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 x14ac:dyDescent="0.4">
      <c r="A6" s="30" t="s">
        <v>189</v>
      </c>
      <c r="B6" s="31">
        <v>43737.872604166667</v>
      </c>
      <c r="C6" s="30" t="s">
        <v>129</v>
      </c>
      <c r="D6" s="30" t="s">
        <v>130</v>
      </c>
      <c r="E6" s="30" t="s">
        <v>185</v>
      </c>
    </row>
    <row r="7" spans="1:12" x14ac:dyDescent="0.4">
      <c r="A7" s="30" t="s">
        <v>190</v>
      </c>
      <c r="B7" s="31">
        <v>43737.873645833337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9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69</v>
      </c>
    </row>
    <row r="2" spans="1:2" x14ac:dyDescent="0.4">
      <c r="A2" t="s">
        <v>167</v>
      </c>
      <c r="B2">
        <v>9</v>
      </c>
    </row>
    <row r="3" spans="1:2" x14ac:dyDescent="0.4">
      <c r="A3" t="s">
        <v>127</v>
      </c>
      <c r="B3">
        <v>20</v>
      </c>
    </row>
    <row r="4" spans="1:2" x14ac:dyDescent="0.4">
      <c r="A4" t="s">
        <v>128</v>
      </c>
      <c r="B4">
        <v>20</v>
      </c>
    </row>
    <row r="5" spans="1:2" x14ac:dyDescent="0.4">
      <c r="A5" t="s">
        <v>180</v>
      </c>
      <c r="B5">
        <v>13</v>
      </c>
    </row>
    <row r="6" spans="1:2" x14ac:dyDescent="0.4">
      <c r="A6" t="s">
        <v>178</v>
      </c>
      <c r="B6">
        <v>2</v>
      </c>
    </row>
    <row r="7" spans="1:2" x14ac:dyDescent="0.4">
      <c r="A7" t="s">
        <v>179</v>
      </c>
      <c r="B7">
        <v>2</v>
      </c>
    </row>
    <row r="8" spans="1:2" x14ac:dyDescent="0.4">
      <c r="A8" t="s">
        <v>183</v>
      </c>
      <c r="B8">
        <v>1</v>
      </c>
    </row>
    <row r="9" spans="1:2" x14ac:dyDescent="0.4">
      <c r="A9" t="s">
        <v>182</v>
      </c>
      <c r="B9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1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161</v>
      </c>
      <c r="K1" s="161"/>
      <c r="L1" s="160" t="s">
        <v>148</v>
      </c>
      <c r="M1" s="161"/>
      <c r="N1" s="160" t="s">
        <v>149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140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150</v>
      </c>
      <c r="AE1" s="161"/>
      <c r="AF1" s="160" t="s">
        <v>143</v>
      </c>
      <c r="AG1" s="161"/>
      <c r="AH1" s="160" t="s">
        <v>152</v>
      </c>
      <c r="AI1" s="161"/>
    </row>
    <row r="2" spans="1:35" x14ac:dyDescent="0.4">
      <c r="A2" s="72" t="s">
        <v>160</v>
      </c>
      <c r="B2" s="162"/>
      <c r="C2" s="163"/>
      <c r="D2" s="162"/>
      <c r="E2" s="163"/>
      <c r="F2" s="158">
        <v>0.99827003014751248</v>
      </c>
      <c r="G2" s="159"/>
      <c r="H2" s="158">
        <v>0.99285993989265475</v>
      </c>
      <c r="I2" s="159"/>
      <c r="J2" s="158">
        <v>0.99941110680392786</v>
      </c>
      <c r="K2" s="159"/>
      <c r="L2" s="158">
        <v>0.98003262744407615</v>
      </c>
      <c r="M2" s="159"/>
      <c r="N2" s="158">
        <v>0.99307462065751917</v>
      </c>
      <c r="O2" s="159"/>
      <c r="P2" s="158">
        <v>-0.29888912650735189</v>
      </c>
      <c r="Q2" s="159"/>
      <c r="R2" s="158">
        <v>0.99835209862004015</v>
      </c>
      <c r="S2" s="159"/>
      <c r="T2" s="158">
        <v>0.85399096230881011</v>
      </c>
      <c r="U2" s="159"/>
      <c r="V2" s="158">
        <v>0.98034366904717962</v>
      </c>
      <c r="W2" s="159"/>
      <c r="X2" s="158">
        <v>0.44155386899394855</v>
      </c>
      <c r="Y2" s="159"/>
      <c r="Z2" s="158">
        <v>0.3308105866983837</v>
      </c>
      <c r="AA2" s="159"/>
      <c r="AB2" s="158">
        <v>0.40012459331278089</v>
      </c>
      <c r="AC2" s="159"/>
      <c r="AD2" s="158">
        <v>0.8734504268484844</v>
      </c>
      <c r="AE2" s="159"/>
      <c r="AF2" s="158">
        <v>0.87410059597752043</v>
      </c>
      <c r="AG2" s="159"/>
      <c r="AH2" s="158">
        <v>0.65339868890636654</v>
      </c>
      <c r="AI2" s="159"/>
    </row>
    <row r="3" spans="1:35" x14ac:dyDescent="0.4">
      <c r="A3" s="74">
        <v>1</v>
      </c>
      <c r="B3" s="75" t="s">
        <v>127</v>
      </c>
      <c r="C3" s="76">
        <v>365.49999999999994</v>
      </c>
      <c r="D3" s="77" t="s">
        <v>182</v>
      </c>
      <c r="E3" s="96">
        <v>34.25</v>
      </c>
      <c r="F3" s="77" t="s">
        <v>127</v>
      </c>
      <c r="G3" s="78">
        <v>1.5</v>
      </c>
      <c r="H3" s="77" t="s">
        <v>127</v>
      </c>
      <c r="I3" s="79">
        <v>0.65</v>
      </c>
      <c r="J3" s="77" t="s">
        <v>183</v>
      </c>
      <c r="K3" s="79">
        <v>0</v>
      </c>
      <c r="L3" s="77" t="s">
        <v>182</v>
      </c>
      <c r="M3" s="80">
        <v>0.5</v>
      </c>
      <c r="N3" s="77" t="s">
        <v>179</v>
      </c>
      <c r="O3" s="80">
        <v>4.5454545454545456E-2</v>
      </c>
      <c r="P3" s="77" t="s">
        <v>182</v>
      </c>
      <c r="Q3" s="81">
        <v>9800</v>
      </c>
      <c r="R3" s="77" t="s">
        <v>127</v>
      </c>
      <c r="S3" s="81">
        <v>-6096</v>
      </c>
      <c r="T3" s="77" t="s">
        <v>127</v>
      </c>
      <c r="U3" s="79">
        <v>0</v>
      </c>
      <c r="V3" s="77" t="s">
        <v>182</v>
      </c>
      <c r="W3" s="79">
        <v>0.5</v>
      </c>
      <c r="X3" s="77" t="s">
        <v>183</v>
      </c>
      <c r="Y3" s="80">
        <v>0.44444444444444442</v>
      </c>
      <c r="Z3" s="77" t="s">
        <v>128</v>
      </c>
      <c r="AA3" s="80">
        <v>0.27868852459016391</v>
      </c>
      <c r="AB3" s="77" t="s">
        <v>182</v>
      </c>
      <c r="AC3" s="80">
        <v>0.83333333333333337</v>
      </c>
      <c r="AD3" s="77" t="s">
        <v>179</v>
      </c>
      <c r="AE3" s="80">
        <v>0.75</v>
      </c>
      <c r="AF3" s="77" t="s">
        <v>167</v>
      </c>
      <c r="AG3" s="80">
        <v>0.52380952380952384</v>
      </c>
      <c r="AH3" s="77" t="s">
        <v>144</v>
      </c>
      <c r="AI3" s="91">
        <v>95200</v>
      </c>
    </row>
    <row r="4" spans="1:35" x14ac:dyDescent="0.4">
      <c r="A4" s="82">
        <v>2</v>
      </c>
      <c r="B4" s="83" t="s">
        <v>182</v>
      </c>
      <c r="C4" s="84">
        <v>68.5</v>
      </c>
      <c r="D4" s="85" t="s">
        <v>127</v>
      </c>
      <c r="E4" s="97">
        <v>18.274999999999999</v>
      </c>
      <c r="F4" s="85" t="s">
        <v>182</v>
      </c>
      <c r="G4" s="86">
        <v>1.5</v>
      </c>
      <c r="H4" s="85" t="s">
        <v>179</v>
      </c>
      <c r="I4" s="87">
        <v>0.5</v>
      </c>
      <c r="J4" s="85" t="s">
        <v>182</v>
      </c>
      <c r="K4" s="87">
        <v>0</v>
      </c>
      <c r="L4" s="85" t="s">
        <v>127</v>
      </c>
      <c r="M4" s="88">
        <v>0.37634408602150538</v>
      </c>
      <c r="N4" s="85" t="s">
        <v>182</v>
      </c>
      <c r="O4" s="88">
        <v>6.25E-2</v>
      </c>
      <c r="P4" s="85" t="s">
        <v>179</v>
      </c>
      <c r="Q4" s="89">
        <v>8950</v>
      </c>
      <c r="R4" s="85" t="s">
        <v>167</v>
      </c>
      <c r="S4" s="89">
        <v>-7552.9411764705883</v>
      </c>
      <c r="T4" s="85" t="s">
        <v>167</v>
      </c>
      <c r="U4" s="87">
        <v>0</v>
      </c>
      <c r="V4" s="85" t="s">
        <v>127</v>
      </c>
      <c r="W4" s="87">
        <v>0.2</v>
      </c>
      <c r="X4" s="85" t="s">
        <v>182</v>
      </c>
      <c r="Y4" s="88">
        <v>0.375</v>
      </c>
      <c r="Z4" s="85" t="s">
        <v>167</v>
      </c>
      <c r="AA4" s="88">
        <v>0.26436781609195403</v>
      </c>
      <c r="AB4" s="85" t="s">
        <v>178</v>
      </c>
      <c r="AC4" s="88">
        <v>0.66666666666666663</v>
      </c>
      <c r="AD4" s="85" t="s">
        <v>127</v>
      </c>
      <c r="AE4" s="88">
        <v>0.58536585365853655</v>
      </c>
      <c r="AF4" s="85" t="s">
        <v>127</v>
      </c>
      <c r="AG4" s="88">
        <v>0.47142857142857142</v>
      </c>
      <c r="AH4" s="85" t="s">
        <v>182</v>
      </c>
      <c r="AI4" s="92">
        <v>95200</v>
      </c>
    </row>
    <row r="5" spans="1:35" x14ac:dyDescent="0.4">
      <c r="A5" s="82">
        <v>3</v>
      </c>
      <c r="B5" s="83" t="s">
        <v>179</v>
      </c>
      <c r="C5" s="84">
        <v>8.1000000000000014</v>
      </c>
      <c r="D5" s="85" t="s">
        <v>179</v>
      </c>
      <c r="E5" s="97">
        <v>4.0500000000000007</v>
      </c>
      <c r="F5" s="85" t="s">
        <v>144</v>
      </c>
      <c r="G5" s="86">
        <v>2</v>
      </c>
      <c r="H5" s="85" t="s">
        <v>182</v>
      </c>
      <c r="I5" s="87">
        <v>0.5</v>
      </c>
      <c r="J5" s="85" t="s">
        <v>127</v>
      </c>
      <c r="K5" s="87">
        <v>0.15</v>
      </c>
      <c r="L5" s="85" t="s">
        <v>183</v>
      </c>
      <c r="M5" s="88">
        <v>0.33333333333333331</v>
      </c>
      <c r="N5" s="85" t="s">
        <v>127</v>
      </c>
      <c r="O5" s="88">
        <v>0.13440860215053763</v>
      </c>
      <c r="P5" s="85" t="s">
        <v>183</v>
      </c>
      <c r="Q5" s="89">
        <v>8400</v>
      </c>
      <c r="R5" s="85" t="s">
        <v>128</v>
      </c>
      <c r="S5" s="89">
        <v>-7880.5555555555557</v>
      </c>
      <c r="T5" s="85" t="s">
        <v>179</v>
      </c>
      <c r="U5" s="87">
        <v>0</v>
      </c>
      <c r="V5" s="85" t="s">
        <v>144</v>
      </c>
      <c r="W5" s="87">
        <v>0.10144927536231885</v>
      </c>
      <c r="X5" s="85" t="s">
        <v>127</v>
      </c>
      <c r="Y5" s="88">
        <v>0.27956989247311825</v>
      </c>
      <c r="Z5" s="85" t="s">
        <v>183</v>
      </c>
      <c r="AA5" s="88">
        <v>0.22222222222222221</v>
      </c>
      <c r="AB5" s="85" t="s">
        <v>127</v>
      </c>
      <c r="AC5" s="88">
        <v>0.59615384615384615</v>
      </c>
      <c r="AD5" s="85" t="s">
        <v>178</v>
      </c>
      <c r="AE5" s="88">
        <v>0.5</v>
      </c>
      <c r="AF5" s="85" t="s">
        <v>178</v>
      </c>
      <c r="AG5" s="88">
        <v>0.4</v>
      </c>
      <c r="AH5" s="85" t="s">
        <v>128</v>
      </c>
      <c r="AI5" s="92">
        <v>91800</v>
      </c>
    </row>
    <row r="6" spans="1:35" x14ac:dyDescent="0.4">
      <c r="A6" s="82">
        <v>4</v>
      </c>
      <c r="B6" s="83" t="s">
        <v>144</v>
      </c>
      <c r="C6" s="84">
        <v>3.5527136788005009E-15</v>
      </c>
      <c r="D6" s="85" t="s">
        <v>144</v>
      </c>
      <c r="E6" s="97">
        <v>5.1488604040586971E-17</v>
      </c>
      <c r="F6" s="85" t="s">
        <v>167</v>
      </c>
      <c r="G6" s="86">
        <v>2</v>
      </c>
      <c r="H6" s="85" t="s">
        <v>144</v>
      </c>
      <c r="I6" s="87">
        <v>0.33333333333333331</v>
      </c>
      <c r="J6" s="85" t="s">
        <v>144</v>
      </c>
      <c r="K6" s="87">
        <v>0.33333333333333331</v>
      </c>
      <c r="L6" s="85" t="s">
        <v>128</v>
      </c>
      <c r="M6" s="88">
        <v>0.30601092896174864</v>
      </c>
      <c r="N6" s="85" t="s">
        <v>144</v>
      </c>
      <c r="O6" s="88">
        <v>0.18380062305295949</v>
      </c>
      <c r="P6" s="85" t="s">
        <v>128</v>
      </c>
      <c r="Q6" s="89">
        <v>8237.5</v>
      </c>
      <c r="R6" s="85" t="s">
        <v>144</v>
      </c>
      <c r="S6" s="89">
        <v>-8050.8474576271183</v>
      </c>
      <c r="T6" s="85" t="s">
        <v>183</v>
      </c>
      <c r="U6" s="87">
        <v>0</v>
      </c>
      <c r="V6" s="85" t="s">
        <v>128</v>
      </c>
      <c r="W6" s="87">
        <v>0.1</v>
      </c>
      <c r="X6" s="85" t="s">
        <v>180</v>
      </c>
      <c r="Y6" s="88">
        <v>0.26050420168067229</v>
      </c>
      <c r="Z6" s="85" t="s">
        <v>144</v>
      </c>
      <c r="AA6" s="88">
        <v>0.22118380062305296</v>
      </c>
      <c r="AB6" s="85" t="s">
        <v>180</v>
      </c>
      <c r="AC6" s="88">
        <v>0.58064516129032262</v>
      </c>
      <c r="AD6" s="85" t="s">
        <v>183</v>
      </c>
      <c r="AE6" s="88">
        <v>0.5</v>
      </c>
      <c r="AF6" s="85" t="s">
        <v>144</v>
      </c>
      <c r="AG6" s="88">
        <v>0.38974358974358975</v>
      </c>
      <c r="AH6" s="85" t="s">
        <v>127</v>
      </c>
      <c r="AI6" s="92">
        <v>86200</v>
      </c>
    </row>
    <row r="7" spans="1:35" x14ac:dyDescent="0.4">
      <c r="A7" s="82">
        <v>5</v>
      </c>
      <c r="B7" s="83" t="s">
        <v>183</v>
      </c>
      <c r="C7" s="84">
        <v>-12</v>
      </c>
      <c r="D7" s="85" t="s">
        <v>128</v>
      </c>
      <c r="E7" s="97">
        <v>-4.8000000000000016</v>
      </c>
      <c r="F7" s="85" t="s">
        <v>179</v>
      </c>
      <c r="G7" s="86">
        <v>2</v>
      </c>
      <c r="H7" s="85" t="s">
        <v>167</v>
      </c>
      <c r="I7" s="87">
        <v>0.33333333333333331</v>
      </c>
      <c r="J7" s="85" t="s">
        <v>167</v>
      </c>
      <c r="K7" s="87">
        <v>0.33333333333333331</v>
      </c>
      <c r="L7" s="85" t="s">
        <v>144</v>
      </c>
      <c r="M7" s="88">
        <v>0.30373831775700932</v>
      </c>
      <c r="N7" s="85" t="s">
        <v>167</v>
      </c>
      <c r="O7" s="88">
        <v>0.19540229885057472</v>
      </c>
      <c r="P7" s="85" t="s">
        <v>178</v>
      </c>
      <c r="Q7" s="89">
        <v>8100</v>
      </c>
      <c r="R7" s="85" t="s">
        <v>180</v>
      </c>
      <c r="S7" s="89">
        <v>-8551.7241379310344</v>
      </c>
      <c r="T7" s="85" t="s">
        <v>182</v>
      </c>
      <c r="U7" s="87">
        <v>0</v>
      </c>
      <c r="V7" s="85" t="s">
        <v>180</v>
      </c>
      <c r="W7" s="87">
        <v>0</v>
      </c>
      <c r="X7" s="85" t="s">
        <v>144</v>
      </c>
      <c r="Y7" s="88">
        <v>0.24454828660436137</v>
      </c>
      <c r="Z7" s="85" t="s">
        <v>127</v>
      </c>
      <c r="AA7" s="88">
        <v>0.22043010752688172</v>
      </c>
      <c r="AB7" s="85" t="s">
        <v>144</v>
      </c>
      <c r="AC7" s="88">
        <v>0.57324840764331209</v>
      </c>
      <c r="AD7" s="85" t="s">
        <v>128</v>
      </c>
      <c r="AE7" s="88">
        <v>0.49019607843137253</v>
      </c>
      <c r="AF7" s="85" t="s">
        <v>182</v>
      </c>
      <c r="AG7" s="88">
        <v>0.375</v>
      </c>
      <c r="AH7" s="85" t="s">
        <v>179</v>
      </c>
      <c r="AI7" s="92">
        <v>71900</v>
      </c>
    </row>
    <row r="8" spans="1:35" x14ac:dyDescent="0.4">
      <c r="A8" s="82">
        <v>6</v>
      </c>
      <c r="B8" s="83" t="s">
        <v>167</v>
      </c>
      <c r="C8" s="84">
        <v>-59.500000000000007</v>
      </c>
      <c r="D8" s="85" t="s">
        <v>167</v>
      </c>
      <c r="E8" s="97">
        <v>-6.6111111111111116</v>
      </c>
      <c r="F8" s="85" t="s">
        <v>183</v>
      </c>
      <c r="G8" s="86">
        <v>2</v>
      </c>
      <c r="H8" s="85" t="s">
        <v>128</v>
      </c>
      <c r="I8" s="87">
        <v>0.2</v>
      </c>
      <c r="J8" s="85" t="s">
        <v>128</v>
      </c>
      <c r="K8" s="87">
        <v>0.4</v>
      </c>
      <c r="L8" s="85" t="s">
        <v>178</v>
      </c>
      <c r="M8" s="88">
        <v>0.25</v>
      </c>
      <c r="N8" s="85" t="s">
        <v>128</v>
      </c>
      <c r="O8" s="88">
        <v>0.19672131147540983</v>
      </c>
      <c r="P8" s="85" t="s">
        <v>144</v>
      </c>
      <c r="Q8" s="89">
        <v>8074.3589743589746</v>
      </c>
      <c r="R8" s="85" t="s">
        <v>183</v>
      </c>
      <c r="S8" s="89">
        <v>-9233.3333333333339</v>
      </c>
      <c r="T8" s="85" t="s">
        <v>144</v>
      </c>
      <c r="U8" s="87">
        <v>0.10144927536231885</v>
      </c>
      <c r="V8" s="85" t="s">
        <v>167</v>
      </c>
      <c r="W8" s="87">
        <v>0</v>
      </c>
      <c r="X8" s="85" t="s">
        <v>167</v>
      </c>
      <c r="Y8" s="88">
        <v>0.2413793103448276</v>
      </c>
      <c r="Z8" s="85" t="s">
        <v>179</v>
      </c>
      <c r="AA8" s="88">
        <v>0.18181818181818182</v>
      </c>
      <c r="AB8" s="85" t="s">
        <v>128</v>
      </c>
      <c r="AC8" s="88">
        <v>0.52631578947368418</v>
      </c>
      <c r="AD8" s="85" t="s">
        <v>144</v>
      </c>
      <c r="AE8" s="88">
        <v>0.44366197183098594</v>
      </c>
      <c r="AF8" s="85" t="s">
        <v>183</v>
      </c>
      <c r="AG8" s="88">
        <v>0.33333333333333331</v>
      </c>
      <c r="AH8" s="85" t="s">
        <v>180</v>
      </c>
      <c r="AI8" s="92">
        <v>53700</v>
      </c>
    </row>
    <row r="9" spans="1:35" x14ac:dyDescent="0.4">
      <c r="A9" s="82">
        <v>7</v>
      </c>
      <c r="B9" s="83" t="s">
        <v>178</v>
      </c>
      <c r="C9" s="84">
        <v>-67.3</v>
      </c>
      <c r="D9" s="85" t="s">
        <v>183</v>
      </c>
      <c r="E9" s="97">
        <v>-12</v>
      </c>
      <c r="F9" s="85" t="s">
        <v>128</v>
      </c>
      <c r="G9" s="86">
        <v>2.2000000000000002</v>
      </c>
      <c r="H9" s="85" t="s">
        <v>180</v>
      </c>
      <c r="I9" s="87">
        <v>7.6923076923076927E-2</v>
      </c>
      <c r="J9" s="85" t="s">
        <v>178</v>
      </c>
      <c r="K9" s="87">
        <v>0.5</v>
      </c>
      <c r="L9" s="85" t="s">
        <v>167</v>
      </c>
      <c r="M9" s="88">
        <v>0.2413793103448276</v>
      </c>
      <c r="N9" s="85" t="s">
        <v>180</v>
      </c>
      <c r="O9" s="88">
        <v>0.24369747899159663</v>
      </c>
      <c r="P9" s="85" t="s">
        <v>180</v>
      </c>
      <c r="Q9" s="89">
        <v>7928.5714285714284</v>
      </c>
      <c r="R9" s="85" t="s">
        <v>179</v>
      </c>
      <c r="S9" s="89">
        <v>-12000</v>
      </c>
      <c r="T9" s="85" t="s">
        <v>180</v>
      </c>
      <c r="U9" s="87">
        <v>0.15384615384615385</v>
      </c>
      <c r="V9" s="85" t="s">
        <v>178</v>
      </c>
      <c r="W9" s="87">
        <v>0</v>
      </c>
      <c r="X9" s="85" t="s">
        <v>128</v>
      </c>
      <c r="Y9" s="88">
        <v>0.20765027322404372</v>
      </c>
      <c r="Z9" s="85" t="s">
        <v>180</v>
      </c>
      <c r="AA9" s="88">
        <v>0.15966386554621848</v>
      </c>
      <c r="AB9" s="85" t="s">
        <v>167</v>
      </c>
      <c r="AC9" s="88">
        <v>0.52380952380952384</v>
      </c>
      <c r="AD9" s="85" t="s">
        <v>167</v>
      </c>
      <c r="AE9" s="88">
        <v>0.2608695652173913</v>
      </c>
      <c r="AF9" s="85" t="s">
        <v>180</v>
      </c>
      <c r="AG9" s="88">
        <v>0.32142857142857145</v>
      </c>
      <c r="AH9" s="85" t="s">
        <v>167</v>
      </c>
      <c r="AI9" s="92">
        <v>49500</v>
      </c>
    </row>
    <row r="10" spans="1:35" x14ac:dyDescent="0.4">
      <c r="A10" s="82">
        <v>8</v>
      </c>
      <c r="B10" s="83" t="s">
        <v>128</v>
      </c>
      <c r="C10" s="84">
        <v>-96.000000000000028</v>
      </c>
      <c r="D10" s="85" t="s">
        <v>180</v>
      </c>
      <c r="E10" s="97">
        <v>-15.946153846153846</v>
      </c>
      <c r="F10" s="85" t="s">
        <v>180</v>
      </c>
      <c r="G10" s="86">
        <v>2.4615384615384617</v>
      </c>
      <c r="H10" s="85" t="s">
        <v>178</v>
      </c>
      <c r="I10" s="87">
        <v>0</v>
      </c>
      <c r="J10" s="85" t="s">
        <v>179</v>
      </c>
      <c r="K10" s="87">
        <v>0.5</v>
      </c>
      <c r="L10" s="85" t="s">
        <v>180</v>
      </c>
      <c r="M10" s="88">
        <v>0.23529411764705882</v>
      </c>
      <c r="N10" s="85" t="s">
        <v>178</v>
      </c>
      <c r="O10" s="88">
        <v>0.3</v>
      </c>
      <c r="P10" s="85" t="s">
        <v>127</v>
      </c>
      <c r="Q10" s="89">
        <v>7888.5714285714284</v>
      </c>
      <c r="R10" s="85" t="s">
        <v>182</v>
      </c>
      <c r="S10" s="89">
        <v>-12000</v>
      </c>
      <c r="T10" s="85" t="s">
        <v>128</v>
      </c>
      <c r="U10" s="87">
        <v>0.2</v>
      </c>
      <c r="V10" s="85" t="s">
        <v>179</v>
      </c>
      <c r="W10" s="87">
        <v>0</v>
      </c>
      <c r="X10" s="85" t="s">
        <v>178</v>
      </c>
      <c r="Y10" s="88">
        <v>0.15</v>
      </c>
      <c r="Z10" s="85" t="s">
        <v>178</v>
      </c>
      <c r="AA10" s="88">
        <v>0.1</v>
      </c>
      <c r="AB10" s="85" t="s">
        <v>179</v>
      </c>
      <c r="AC10" s="88">
        <v>0.5</v>
      </c>
      <c r="AD10" s="85" t="s">
        <v>180</v>
      </c>
      <c r="AE10" s="88">
        <v>0.15789473684210525</v>
      </c>
      <c r="AF10" s="85" t="s">
        <v>128</v>
      </c>
      <c r="AG10" s="88">
        <v>0.2857142857142857</v>
      </c>
      <c r="AH10" s="85" t="s">
        <v>178</v>
      </c>
      <c r="AI10" s="92">
        <v>25900</v>
      </c>
    </row>
    <row r="11" spans="1:35" x14ac:dyDescent="0.4">
      <c r="A11" s="82">
        <v>9</v>
      </c>
      <c r="B11" s="83" t="s">
        <v>180</v>
      </c>
      <c r="C11" s="84">
        <v>-207.3</v>
      </c>
      <c r="D11" s="85" t="s">
        <v>178</v>
      </c>
      <c r="E11" s="97">
        <v>-33.65</v>
      </c>
      <c r="F11" s="85" t="s">
        <v>178</v>
      </c>
      <c r="G11" s="86">
        <v>2.5</v>
      </c>
      <c r="H11" s="85" t="s">
        <v>183</v>
      </c>
      <c r="I11" s="87">
        <v>0</v>
      </c>
      <c r="J11" s="85" t="s">
        <v>180</v>
      </c>
      <c r="K11" s="87">
        <v>0.53846153846153844</v>
      </c>
      <c r="L11" s="85" t="s">
        <v>179</v>
      </c>
      <c r="M11" s="88">
        <v>0.18181818181818182</v>
      </c>
      <c r="N11" s="85" t="s">
        <v>183</v>
      </c>
      <c r="O11" s="88">
        <v>0.33333333333333331</v>
      </c>
      <c r="P11" s="85" t="s">
        <v>167</v>
      </c>
      <c r="Q11" s="89">
        <v>7576.1904761904761</v>
      </c>
      <c r="R11" s="85" t="s">
        <v>178</v>
      </c>
      <c r="S11" s="89">
        <v>-14300</v>
      </c>
      <c r="T11" s="85" t="s">
        <v>178</v>
      </c>
      <c r="U11" s="87">
        <v>0.5</v>
      </c>
      <c r="V11" s="85" t="s">
        <v>183</v>
      </c>
      <c r="W11" s="87">
        <v>0</v>
      </c>
      <c r="X11" s="85" t="s">
        <v>179</v>
      </c>
      <c r="Y11" s="88">
        <v>9.0909090909090912E-2</v>
      </c>
      <c r="Z11" s="85" t="s">
        <v>182</v>
      </c>
      <c r="AA11" s="88">
        <v>0</v>
      </c>
      <c r="AB11" s="85" t="s">
        <v>183</v>
      </c>
      <c r="AC11" s="88">
        <v>0.5</v>
      </c>
      <c r="AD11" s="85" t="s">
        <v>182</v>
      </c>
      <c r="AE11" s="88">
        <v>0</v>
      </c>
      <c r="AF11" s="85" t="s">
        <v>179</v>
      </c>
      <c r="AG11" s="88">
        <v>0.25</v>
      </c>
      <c r="AH11" s="85" t="s">
        <v>183</v>
      </c>
      <c r="AI11" s="92">
        <v>23000</v>
      </c>
    </row>
  </sheetData>
  <sortState xmlns:xlrd2="http://schemas.microsoft.com/office/spreadsheetml/2017/richdata2" ref="AH3:AI37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3A95D-881F-4B8F-BE42-F1B610699F06}">
  <sheetPr codeName="Sheet4"/>
  <dimension ref="A1:Q7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144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69</v>
      </c>
      <c r="C2" s="151"/>
      <c r="E2" s="62" t="s">
        <v>67</v>
      </c>
      <c r="F2" s="59" t="s">
        <v>23</v>
      </c>
      <c r="G2" s="46">
        <v>141</v>
      </c>
      <c r="H2" s="132">
        <f>IF(B$17=0,0,G2/B$17)</f>
        <v>0.72307692307692306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-14.492753623188406</v>
      </c>
      <c r="P2" s="118">
        <v>69</v>
      </c>
      <c r="Q2" s="102">
        <v>-1000</v>
      </c>
    </row>
    <row r="3" spans="1:17" x14ac:dyDescent="0.4">
      <c r="A3" s="55" t="s">
        <v>8</v>
      </c>
      <c r="B3" s="152">
        <v>642</v>
      </c>
      <c r="C3" s="153"/>
      <c r="E3" s="63" t="s">
        <v>73</v>
      </c>
      <c r="F3" s="60" t="s">
        <v>28</v>
      </c>
      <c r="G3" s="47">
        <v>104</v>
      </c>
      <c r="H3" s="133">
        <f>IF(B$17=0,0,G3/B$17)</f>
        <v>0.53333333333333333</v>
      </c>
      <c r="I3" s="94">
        <v>5</v>
      </c>
      <c r="K3" s="38">
        <v>1</v>
      </c>
      <c r="L3" s="99">
        <v>-4.5999999999999996</v>
      </c>
      <c r="N3" s="115" t="s">
        <v>132</v>
      </c>
      <c r="O3" s="122">
        <f t="shared" si="0"/>
        <v>15.151515151515152</v>
      </c>
      <c r="P3" s="119">
        <v>66</v>
      </c>
      <c r="Q3" s="103">
        <v>1000</v>
      </c>
    </row>
    <row r="4" spans="1:17" x14ac:dyDescent="0.4">
      <c r="A4" s="55" t="s">
        <v>6</v>
      </c>
      <c r="B4" s="154">
        <v>3.5527136788005009E-15</v>
      </c>
      <c r="C4" s="155"/>
      <c r="E4" s="63" t="s">
        <v>65</v>
      </c>
      <c r="F4" s="60" t="s">
        <v>21</v>
      </c>
      <c r="G4" s="47">
        <v>89</v>
      </c>
      <c r="H4" s="133">
        <f>IF(B$17=0,0,G4/B$17)</f>
        <v>0.4564102564102564</v>
      </c>
      <c r="I4" s="94">
        <v>5</v>
      </c>
      <c r="K4" s="38">
        <v>2</v>
      </c>
      <c r="L4" s="99">
        <v>45.6</v>
      </c>
      <c r="N4" s="115" t="s">
        <v>133</v>
      </c>
      <c r="O4" s="122">
        <f t="shared" si="0"/>
        <v>-45.454545454545453</v>
      </c>
      <c r="P4" s="119">
        <v>66</v>
      </c>
      <c r="Q4" s="103">
        <v>-3000</v>
      </c>
    </row>
    <row r="5" spans="1:17" x14ac:dyDescent="0.4">
      <c r="A5" s="55" t="s">
        <v>7</v>
      </c>
      <c r="B5" s="156">
        <f>IF(B$2=0,0,B$4/B$2)</f>
        <v>5.1488604040586971E-17</v>
      </c>
      <c r="C5" s="157"/>
      <c r="E5" s="63" t="s">
        <v>172</v>
      </c>
      <c r="F5" s="60" t="s">
        <v>173</v>
      </c>
      <c r="G5" s="47">
        <v>68</v>
      </c>
      <c r="H5" s="133">
        <f>IF(B$17=0,0,G5/B$17)</f>
        <v>0.3487179487179487</v>
      </c>
      <c r="I5" s="94">
        <v>6</v>
      </c>
      <c r="K5" s="38">
        <v>3</v>
      </c>
      <c r="L5" s="99">
        <v>0</v>
      </c>
      <c r="N5" s="115" t="s">
        <v>134</v>
      </c>
      <c r="O5" s="122">
        <f t="shared" si="0"/>
        <v>30.303030303030305</v>
      </c>
      <c r="P5" s="119">
        <v>66</v>
      </c>
      <c r="Q5" s="103">
        <v>2000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68</v>
      </c>
      <c r="F6" s="60" t="s">
        <v>24</v>
      </c>
      <c r="G6" s="47">
        <v>53</v>
      </c>
      <c r="H6" s="133">
        <f>IF(B$17=0,0,G6/B$17)</f>
        <v>0.27179487179487177</v>
      </c>
      <c r="I6" s="94">
        <v>4</v>
      </c>
      <c r="K6" s="38">
        <v>4</v>
      </c>
      <c r="L6" s="99">
        <v>24.5</v>
      </c>
      <c r="N6" s="115" t="s">
        <v>135</v>
      </c>
      <c r="O6" s="122">
        <f t="shared" si="0"/>
        <v>15.873015873015873</v>
      </c>
      <c r="P6" s="119">
        <v>63</v>
      </c>
      <c r="Q6" s="103">
        <v>1000</v>
      </c>
    </row>
    <row r="7" spans="1:17" x14ac:dyDescent="0.4">
      <c r="A7" s="55" t="s">
        <v>2</v>
      </c>
      <c r="B7" s="47">
        <v>23</v>
      </c>
      <c r="C7" s="39">
        <f t="shared" ref="C7:C12" si="1">IF(B$2=0,0,B7/B$2)</f>
        <v>0.33333333333333331</v>
      </c>
      <c r="E7" s="63" t="s">
        <v>69</v>
      </c>
      <c r="F7" s="60" t="s">
        <v>12</v>
      </c>
      <c r="G7" s="47">
        <v>49</v>
      </c>
      <c r="H7" s="133">
        <f>IF(B$17=0,0,G7/B$17)</f>
        <v>0.25128205128205128</v>
      </c>
      <c r="I7" s="94">
        <v>5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51</v>
      </c>
      <c r="Q7" s="104">
        <v>0</v>
      </c>
    </row>
    <row r="8" spans="1:17" x14ac:dyDescent="0.4">
      <c r="A8" s="55" t="s">
        <v>3</v>
      </c>
      <c r="B8" s="47">
        <v>23</v>
      </c>
      <c r="C8" s="39">
        <f t="shared" si="1"/>
        <v>0.33333333333333331</v>
      </c>
      <c r="E8" s="63" t="s">
        <v>70</v>
      </c>
      <c r="F8" s="60" t="s">
        <v>25</v>
      </c>
      <c r="G8" s="47">
        <v>32</v>
      </c>
      <c r="H8" s="133">
        <f>IF(B$17=0,0,G8/B$17)</f>
        <v>0.1641025641025641</v>
      </c>
      <c r="I8" s="94">
        <v>4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23</v>
      </c>
      <c r="C9" s="40">
        <f t="shared" si="1"/>
        <v>0.33333333333333331</v>
      </c>
      <c r="E9" s="63" t="s">
        <v>90</v>
      </c>
      <c r="F9" s="60" t="s">
        <v>45</v>
      </c>
      <c r="G9" s="47">
        <v>22</v>
      </c>
      <c r="H9" s="133">
        <f>IF(B$17=0,0,G9/B$17)</f>
        <v>0.11282051282051282</v>
      </c>
      <c r="I9" s="94">
        <v>4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7</v>
      </c>
      <c r="C10" s="40">
        <f t="shared" si="1"/>
        <v>0.10144927536231885</v>
      </c>
      <c r="E10" s="63" t="s">
        <v>66</v>
      </c>
      <c r="F10" s="60" t="s">
        <v>22</v>
      </c>
      <c r="G10" s="47">
        <v>21</v>
      </c>
      <c r="H10" s="133">
        <f>IF(B$17=0,0,G10/B$17)</f>
        <v>0.1076923076923077</v>
      </c>
      <c r="I10" s="94">
        <v>5</v>
      </c>
      <c r="K10" s="38">
        <v>8</v>
      </c>
      <c r="L10" s="99">
        <v>-46.9</v>
      </c>
      <c r="N10" s="114" t="s">
        <v>163</v>
      </c>
      <c r="O10" s="124">
        <f>IF(P10=0,0,Q10/P10)</f>
        <v>1.7086956521739136</v>
      </c>
      <c r="P10" s="118">
        <v>23</v>
      </c>
      <c r="Q10" s="106">
        <v>39.300000000000011</v>
      </c>
    </row>
    <row r="11" spans="1:17" x14ac:dyDescent="0.4">
      <c r="A11" s="56" t="s">
        <v>139</v>
      </c>
      <c r="B11" s="48">
        <v>7</v>
      </c>
      <c r="C11" s="40">
        <f t="shared" si="1"/>
        <v>0.10144927536231885</v>
      </c>
      <c r="E11" s="63" t="s">
        <v>72</v>
      </c>
      <c r="F11" s="60" t="s">
        <v>27</v>
      </c>
      <c r="G11" s="47">
        <v>17</v>
      </c>
      <c r="H11" s="133">
        <f>IF(B$17=0,0,G11/B$17)</f>
        <v>8.7179487179487175E-2</v>
      </c>
      <c r="I11" s="94">
        <v>5</v>
      </c>
      <c r="K11" s="38">
        <v>9</v>
      </c>
      <c r="L11" s="99">
        <v>0</v>
      </c>
      <c r="N11" s="115" t="s">
        <v>164</v>
      </c>
      <c r="O11" s="125">
        <f>IF(P11=0,0,Q11/P11)</f>
        <v>6.0260869565217403</v>
      </c>
      <c r="P11" s="119">
        <v>23</v>
      </c>
      <c r="Q11" s="107">
        <v>138.60000000000002</v>
      </c>
    </row>
    <row r="12" spans="1:17" x14ac:dyDescent="0.4">
      <c r="A12" s="57" t="s">
        <v>159</v>
      </c>
      <c r="B12" s="49">
        <v>8</v>
      </c>
      <c r="C12" s="42">
        <f t="shared" si="1"/>
        <v>0.11594202898550725</v>
      </c>
      <c r="E12" s="63" t="s">
        <v>71</v>
      </c>
      <c r="F12" s="60" t="s">
        <v>26</v>
      </c>
      <c r="G12" s="47">
        <v>13</v>
      </c>
      <c r="H12" s="133">
        <f>IF(B$17=0,0,G12/B$17)</f>
        <v>6.6666666666666666E-2</v>
      </c>
      <c r="I12" s="94">
        <v>5</v>
      </c>
      <c r="K12" s="38">
        <v>10</v>
      </c>
      <c r="L12" s="99">
        <v>-12</v>
      </c>
      <c r="N12" s="116" t="s">
        <v>165</v>
      </c>
      <c r="O12" s="126">
        <f>IF(P12=0,0,Q12/P12)</f>
        <v>-7.7347826086956513</v>
      </c>
      <c r="P12" s="120">
        <v>23</v>
      </c>
      <c r="Q12" s="108">
        <v>-177.89999999999998</v>
      </c>
    </row>
    <row r="13" spans="1:17" x14ac:dyDescent="0.4">
      <c r="A13" s="58" t="s">
        <v>122</v>
      </c>
      <c r="B13" s="50">
        <v>157</v>
      </c>
      <c r="C13" s="44">
        <f>IF(B$3=0,0,B13/B$3)</f>
        <v>0.24454828660436137</v>
      </c>
      <c r="E13" s="63" t="s">
        <v>84</v>
      </c>
      <c r="F13" s="60" t="s">
        <v>39</v>
      </c>
      <c r="G13" s="47">
        <v>11</v>
      </c>
      <c r="H13" s="133">
        <f>IF(B$17=0,0,G13/B$17)</f>
        <v>5.6410256410256411E-2</v>
      </c>
      <c r="I13" s="94">
        <v>4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142</v>
      </c>
      <c r="C14" s="39">
        <f>IF(B$3=0,0,B14/B$3)</f>
        <v>0.22118380062305296</v>
      </c>
      <c r="E14" s="63" t="s">
        <v>87</v>
      </c>
      <c r="F14" s="60" t="s">
        <v>42</v>
      </c>
      <c r="G14" s="47">
        <v>10</v>
      </c>
      <c r="H14" s="133">
        <f>IF(B$17=0,0,G14/B$17)</f>
        <v>5.128205128205128E-2</v>
      </c>
      <c r="I14" s="94">
        <v>3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90</v>
      </c>
      <c r="C15" s="37">
        <f>IF(B$13=0,0,B15/B$13)</f>
        <v>0.57324840764331209</v>
      </c>
      <c r="E15" s="63" t="s">
        <v>79</v>
      </c>
      <c r="F15" s="60" t="s">
        <v>34</v>
      </c>
      <c r="G15" s="47">
        <v>5</v>
      </c>
      <c r="H15" s="133">
        <f>IF(B$17=0,0,G15/B$17)</f>
        <v>2.564102564102564E-2</v>
      </c>
      <c r="I15" s="94">
        <v>3</v>
      </c>
      <c r="K15" s="38">
        <v>13</v>
      </c>
      <c r="L15" s="99">
        <v>-1.7</v>
      </c>
      <c r="N15" s="114" t="s">
        <v>178</v>
      </c>
      <c r="O15" s="124">
        <f>IF(P15=0,0,Q15/P15)</f>
        <v>50.474999999999994</v>
      </c>
      <c r="P15" s="118">
        <v>4</v>
      </c>
      <c r="Q15" s="106">
        <v>201.89999999999998</v>
      </c>
    </row>
    <row r="16" spans="1:17" x14ac:dyDescent="0.4">
      <c r="A16" s="54" t="s">
        <v>125</v>
      </c>
      <c r="B16" s="46">
        <v>63</v>
      </c>
      <c r="C16" s="37">
        <f>IF(B$14=0,0,B16/B$14)</f>
        <v>0.44366197183098594</v>
      </c>
      <c r="E16" s="63" t="s">
        <v>82</v>
      </c>
      <c r="F16" s="60" t="s">
        <v>37</v>
      </c>
      <c r="G16" s="47">
        <v>4</v>
      </c>
      <c r="H16" s="133">
        <f>IF(B$17=0,0,G16/B$17)</f>
        <v>2.0512820512820513E-2</v>
      </c>
      <c r="I16" s="94">
        <v>4</v>
      </c>
      <c r="K16" s="38">
        <v>14</v>
      </c>
      <c r="L16" s="99">
        <v>24.3</v>
      </c>
      <c r="N16" s="115" t="s">
        <v>180</v>
      </c>
      <c r="O16" s="125">
        <f>IF(P16=0,0,Q16/P16)</f>
        <v>23.919230769230772</v>
      </c>
      <c r="P16" s="119">
        <v>26</v>
      </c>
      <c r="Q16" s="107">
        <v>621.90000000000009</v>
      </c>
    </row>
    <row r="17" spans="1:17" x14ac:dyDescent="0.4">
      <c r="A17" s="54" t="s">
        <v>10</v>
      </c>
      <c r="B17" s="46">
        <f>B19+B18</f>
        <v>195</v>
      </c>
      <c r="C17" s="37">
        <f>IF(B$3=0,0,B17/B$3)</f>
        <v>0.30373831775700932</v>
      </c>
      <c r="E17" s="63" t="s">
        <v>92</v>
      </c>
      <c r="F17" s="60" t="s">
        <v>47</v>
      </c>
      <c r="G17" s="47">
        <v>3</v>
      </c>
      <c r="H17" s="133">
        <f>IF(B$17=0,0,G17/B$17)</f>
        <v>1.5384615384615385E-2</v>
      </c>
      <c r="I17" s="94">
        <v>2</v>
      </c>
      <c r="K17" s="38">
        <v>15</v>
      </c>
      <c r="L17" s="99">
        <v>0</v>
      </c>
      <c r="N17" s="115" t="s">
        <v>183</v>
      </c>
      <c r="O17" s="125">
        <f>IF(P17=0,0,Q17/P17)</f>
        <v>18</v>
      </c>
      <c r="P17" s="119">
        <v>2</v>
      </c>
      <c r="Q17" s="107">
        <v>36</v>
      </c>
    </row>
    <row r="18" spans="1:17" x14ac:dyDescent="0.4">
      <c r="A18" s="55" t="s">
        <v>12</v>
      </c>
      <c r="B18" s="47">
        <v>76</v>
      </c>
      <c r="C18" s="39">
        <f>IF(B$17=0,0,B18/B$17)</f>
        <v>0.38974358974358975</v>
      </c>
      <c r="E18" s="63" t="s">
        <v>78</v>
      </c>
      <c r="F18" s="60" t="s">
        <v>33</v>
      </c>
      <c r="G18" s="47">
        <v>2</v>
      </c>
      <c r="H18" s="133">
        <f>IF(B$17=0,0,G18/B$17)</f>
        <v>1.0256410256410256E-2</v>
      </c>
      <c r="I18" s="94">
        <v>2</v>
      </c>
      <c r="K18" s="38">
        <v>16</v>
      </c>
      <c r="L18" s="99">
        <v>-28.2</v>
      </c>
      <c r="N18" s="115" t="s">
        <v>167</v>
      </c>
      <c r="O18" s="125">
        <f>IF(P18=0,0,Q18/P18)</f>
        <v>9.9166666666666679</v>
      </c>
      <c r="P18" s="119">
        <v>18</v>
      </c>
      <c r="Q18" s="107">
        <v>178.50000000000003</v>
      </c>
    </row>
    <row r="19" spans="1:17" x14ac:dyDescent="0.4">
      <c r="A19" s="55" t="s">
        <v>11</v>
      </c>
      <c r="B19" s="47">
        <v>119</v>
      </c>
      <c r="C19" s="39">
        <f>IF(B$17=0,0,B19/B$17)</f>
        <v>0.61025641025641031</v>
      </c>
      <c r="E19" s="63" t="s">
        <v>80</v>
      </c>
      <c r="F19" s="60" t="s">
        <v>35</v>
      </c>
      <c r="G19" s="47">
        <v>2</v>
      </c>
      <c r="H19" s="133">
        <f>IF(B$17=0,0,G19/B$17)</f>
        <v>1.0256410256410256E-2</v>
      </c>
      <c r="I19" s="94">
        <v>2</v>
      </c>
      <c r="K19" s="38">
        <v>17</v>
      </c>
      <c r="L19" s="99">
        <v>-20.5</v>
      </c>
      <c r="N19" s="115" t="s">
        <v>128</v>
      </c>
      <c r="O19" s="125">
        <f>IF(P19=0,0,Q19/P19)</f>
        <v>7.1999999999999975</v>
      </c>
      <c r="P19" s="119">
        <v>40</v>
      </c>
      <c r="Q19" s="107">
        <v>287.99999999999989</v>
      </c>
    </row>
    <row r="20" spans="1:17" x14ac:dyDescent="0.4">
      <c r="A20" s="55" t="s">
        <v>13</v>
      </c>
      <c r="B20" s="47">
        <v>118</v>
      </c>
      <c r="C20" s="39">
        <f>IF(B$3=0,0,B20/B$3)</f>
        <v>0.18380062305295949</v>
      </c>
      <c r="E20" s="63" t="s">
        <v>85</v>
      </c>
      <c r="F20" s="60" t="s">
        <v>40</v>
      </c>
      <c r="G20" s="47">
        <v>2</v>
      </c>
      <c r="H20" s="133">
        <f>IF(B$17=0,0,G20/B$17)</f>
        <v>1.0256410256410256E-2</v>
      </c>
      <c r="I20" s="94">
        <v>2</v>
      </c>
      <c r="K20" s="38">
        <v>18</v>
      </c>
      <c r="L20" s="99">
        <v>0</v>
      </c>
      <c r="N20" s="115" t="s">
        <v>179</v>
      </c>
      <c r="O20" s="125">
        <f>IF(P20=0,0,Q20/P20)</f>
        <v>-6.0749999999999993</v>
      </c>
      <c r="P20" s="119">
        <v>4</v>
      </c>
      <c r="Q20" s="107">
        <v>-24.299999999999997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86</v>
      </c>
      <c r="F21" s="60" t="s">
        <v>41</v>
      </c>
      <c r="G21" s="47">
        <v>2</v>
      </c>
      <c r="H21" s="133">
        <f>IF(B$17=0,0,G21/B$17)</f>
        <v>1.0256410256410256E-2</v>
      </c>
      <c r="I21" s="94">
        <v>3</v>
      </c>
      <c r="K21" s="38">
        <v>19</v>
      </c>
      <c r="L21" s="99">
        <v>-22.4</v>
      </c>
      <c r="N21" s="115" t="s">
        <v>127</v>
      </c>
      <c r="O21" s="125">
        <f>IF(P21=0,0,Q21/P21)</f>
        <v>-27.412500000000001</v>
      </c>
      <c r="P21" s="119">
        <v>40</v>
      </c>
      <c r="Q21" s="107">
        <v>-1096.5</v>
      </c>
    </row>
    <row r="22" spans="1:17" x14ac:dyDescent="0.4">
      <c r="A22" s="55" t="s">
        <v>171</v>
      </c>
      <c r="B22" s="47">
        <v>21</v>
      </c>
      <c r="C22" s="135">
        <v>5</v>
      </c>
      <c r="E22" s="63" t="s">
        <v>88</v>
      </c>
      <c r="F22" s="60" t="s">
        <v>43</v>
      </c>
      <c r="G22" s="47">
        <v>1</v>
      </c>
      <c r="H22" s="133">
        <f>IF(B$17=0,0,G22/B$17)</f>
        <v>5.1282051282051282E-3</v>
      </c>
      <c r="I22" s="94">
        <v>2</v>
      </c>
      <c r="K22" s="38">
        <v>20</v>
      </c>
      <c r="L22" s="99">
        <v>-61.199999999999996</v>
      </c>
      <c r="N22" s="115" t="s">
        <v>182</v>
      </c>
      <c r="O22" s="125">
        <f>IF(P22=0,0,Q22/P22)</f>
        <v>-51.375000000000014</v>
      </c>
      <c r="P22" s="119">
        <v>4</v>
      </c>
      <c r="Q22" s="107">
        <v>-205.50000000000006</v>
      </c>
    </row>
    <row r="23" spans="1:17" x14ac:dyDescent="0.4">
      <c r="A23" s="55" t="s">
        <v>5</v>
      </c>
      <c r="B23" s="51">
        <f>IF(B$17=0,0,C23/B$17)</f>
        <v>8074.3589743589746</v>
      </c>
      <c r="C23" s="41">
        <v>1574500</v>
      </c>
      <c r="E23" s="63" t="s">
        <v>89</v>
      </c>
      <c r="F23" s="60" t="s">
        <v>44</v>
      </c>
      <c r="G23" s="47">
        <v>1</v>
      </c>
      <c r="H23" s="133">
        <f>IF(B$17=0,0,G23/B$17)</f>
        <v>5.1282051282051282E-3</v>
      </c>
      <c r="I23" s="94">
        <v>2</v>
      </c>
      <c r="K23" s="38">
        <v>21</v>
      </c>
      <c r="L23" s="99">
        <v>7.1054273576010019E-15</v>
      </c>
    </row>
    <row r="24" spans="1:17" x14ac:dyDescent="0.4">
      <c r="A24" s="57" t="s">
        <v>14</v>
      </c>
      <c r="B24" s="52">
        <f>IF(B$20=0,0,C24/B$20)</f>
        <v>-8050.8474576271183</v>
      </c>
      <c r="C24" s="45">
        <v>-950000</v>
      </c>
      <c r="E24" s="63" t="s">
        <v>93</v>
      </c>
      <c r="F24" s="60" t="s">
        <v>48</v>
      </c>
      <c r="G24" s="47">
        <v>1</v>
      </c>
      <c r="H24" s="133">
        <f>IF(B$17=0,0,G24/B$17)</f>
        <v>5.1282051282051282E-3</v>
      </c>
      <c r="I24" s="94">
        <v>2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4">
        <v>7</v>
      </c>
      <c r="C25" s="145"/>
      <c r="E25" s="63" t="s">
        <v>96</v>
      </c>
      <c r="F25" s="60" t="s">
        <v>51</v>
      </c>
      <c r="G25" s="47">
        <v>1</v>
      </c>
      <c r="H25" s="133">
        <f>IF(B$17=0,0,G25/B$17)</f>
        <v>5.1282051282051282E-3</v>
      </c>
      <c r="I25" s="94">
        <v>2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2">
        <v>95200</v>
      </c>
      <c r="C26" s="143"/>
      <c r="E26" s="63" t="s">
        <v>168</v>
      </c>
      <c r="F26" s="60" t="s">
        <v>169</v>
      </c>
      <c r="G26" s="47">
        <v>1</v>
      </c>
      <c r="H26" s="133">
        <f>IF(B$17=0,0,G26/B$17)</f>
        <v>5.1282051282051282E-3</v>
      </c>
      <c r="I26" s="94">
        <v>2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2</v>
      </c>
      <c r="C27" s="42">
        <f>IF(B$3=0,0,B27/B$3)</f>
        <v>3.1152647975077881E-3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15.000000000000007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0.60000000000000675</v>
      </c>
    </row>
    <row r="29" spans="1:17" x14ac:dyDescent="0.4">
      <c r="E29" s="63" t="s">
        <v>76</v>
      </c>
      <c r="F29" s="60" t="s">
        <v>31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6.7723604502134549E-15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-30.199999999999992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-2.3999999999999915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1.4210854715202004E-14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-51.599999999999987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9C229-444A-4C61-99A0-E0AB83F79FF0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167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9</v>
      </c>
      <c r="C2" s="151"/>
      <c r="E2" s="62" t="s">
        <v>73</v>
      </c>
      <c r="F2" s="59" t="s">
        <v>28</v>
      </c>
      <c r="G2" s="46">
        <v>12</v>
      </c>
      <c r="H2" s="132">
        <f>IF(B$17=0,0,G2/B$17)</f>
        <v>0.5714285714285714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-6522.2222222222226</v>
      </c>
      <c r="P2" s="118">
        <v>9</v>
      </c>
      <c r="Q2" s="102">
        <v>-58700</v>
      </c>
    </row>
    <row r="3" spans="1:17" x14ac:dyDescent="0.4">
      <c r="A3" s="55" t="s">
        <v>8</v>
      </c>
      <c r="B3" s="152">
        <v>87</v>
      </c>
      <c r="C3" s="153"/>
      <c r="E3" s="63" t="s">
        <v>65</v>
      </c>
      <c r="F3" s="60" t="s">
        <v>21</v>
      </c>
      <c r="G3" s="47">
        <v>10</v>
      </c>
      <c r="H3" s="133">
        <f>IF(B$17=0,0,G3/B$17)</f>
        <v>0.47619047619047616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0"/>
        <v>1222.2222222222222</v>
      </c>
      <c r="P3" s="119">
        <v>9</v>
      </c>
      <c r="Q3" s="103">
        <v>11000</v>
      </c>
    </row>
    <row r="4" spans="1:17" x14ac:dyDescent="0.4">
      <c r="A4" s="55" t="s">
        <v>6</v>
      </c>
      <c r="B4" s="154">
        <v>-59.500000000000007</v>
      </c>
      <c r="C4" s="155"/>
      <c r="E4" s="63" t="s">
        <v>67</v>
      </c>
      <c r="F4" s="60" t="s">
        <v>23</v>
      </c>
      <c r="G4" s="47">
        <v>10</v>
      </c>
      <c r="H4" s="133">
        <f>IF(B$17=0,0,G4/B$17)</f>
        <v>0.47619047619047616</v>
      </c>
      <c r="I4" s="94">
        <v>7</v>
      </c>
      <c r="K4" s="38">
        <v>2</v>
      </c>
      <c r="L4" s="99">
        <v>19.899999999999999</v>
      </c>
      <c r="N4" s="115" t="s">
        <v>133</v>
      </c>
      <c r="O4" s="122">
        <f t="shared" si="0"/>
        <v>222.22222222222223</v>
      </c>
      <c r="P4" s="119">
        <v>9</v>
      </c>
      <c r="Q4" s="103">
        <v>2000</v>
      </c>
    </row>
    <row r="5" spans="1:17" x14ac:dyDescent="0.4">
      <c r="A5" s="55" t="s">
        <v>7</v>
      </c>
      <c r="B5" s="156">
        <f>IF(B$2=0,0,B$4/B$2)</f>
        <v>-6.6111111111111116</v>
      </c>
      <c r="C5" s="157"/>
      <c r="E5" s="63" t="s">
        <v>172</v>
      </c>
      <c r="F5" s="60" t="s">
        <v>173</v>
      </c>
      <c r="G5" s="47">
        <v>10</v>
      </c>
      <c r="H5" s="133">
        <f>IF(B$17=0,0,G5/B$17)</f>
        <v>0.47619047619047616</v>
      </c>
      <c r="I5" s="94">
        <v>3</v>
      </c>
      <c r="K5" s="38">
        <v>3</v>
      </c>
      <c r="L5" s="99">
        <v>-8.3000000000000007</v>
      </c>
      <c r="N5" s="115" t="s">
        <v>134</v>
      </c>
      <c r="O5" s="122">
        <f t="shared" si="0"/>
        <v>-2266.6666666666665</v>
      </c>
      <c r="P5" s="119">
        <v>9</v>
      </c>
      <c r="Q5" s="103">
        <v>-20400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7</v>
      </c>
      <c r="H6" s="133">
        <f>IF(B$17=0,0,G6/B$17)</f>
        <v>0.33333333333333331</v>
      </c>
      <c r="I6" s="94">
        <v>3</v>
      </c>
      <c r="K6" s="38">
        <v>4</v>
      </c>
      <c r="L6" s="99">
        <v>-30.7</v>
      </c>
      <c r="N6" s="115" t="s">
        <v>135</v>
      </c>
      <c r="O6" s="122">
        <f t="shared" si="0"/>
        <v>-311.11111111111109</v>
      </c>
      <c r="P6" s="119">
        <v>9</v>
      </c>
      <c r="Q6" s="103">
        <v>-2800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0.33333333333333331</v>
      </c>
      <c r="E7" s="63" t="s">
        <v>70</v>
      </c>
      <c r="F7" s="60" t="s">
        <v>25</v>
      </c>
      <c r="G7" s="47">
        <v>7</v>
      </c>
      <c r="H7" s="133">
        <f>IF(B$17=0,0,G7/B$17)</f>
        <v>0.33333333333333331</v>
      </c>
      <c r="I7" s="94">
        <v>2</v>
      </c>
      <c r="K7" s="38">
        <v>5</v>
      </c>
      <c r="L7" s="99">
        <v>-55.8</v>
      </c>
      <c r="N7" s="116" t="s">
        <v>136</v>
      </c>
      <c r="O7" s="123">
        <f t="shared" si="0"/>
        <v>-214.28571428571428</v>
      </c>
      <c r="P7" s="120">
        <v>7</v>
      </c>
      <c r="Q7" s="104">
        <v>-1500</v>
      </c>
    </row>
    <row r="8" spans="1:17" x14ac:dyDescent="0.4">
      <c r="A8" s="55" t="s">
        <v>3</v>
      </c>
      <c r="B8" s="47">
        <v>3</v>
      </c>
      <c r="C8" s="39">
        <f t="shared" si="1"/>
        <v>0.33333333333333331</v>
      </c>
      <c r="E8" s="63" t="s">
        <v>68</v>
      </c>
      <c r="F8" s="60" t="s">
        <v>24</v>
      </c>
      <c r="G8" s="47">
        <v>6</v>
      </c>
      <c r="H8" s="133">
        <f>IF(B$17=0,0,G8/B$17)</f>
        <v>0.2857142857142857</v>
      </c>
      <c r="I8" s="94">
        <v>2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si="1"/>
        <v>0.33333333333333331</v>
      </c>
      <c r="E9" s="63" t="s">
        <v>66</v>
      </c>
      <c r="F9" s="60" t="s">
        <v>22</v>
      </c>
      <c r="G9" s="47">
        <v>4</v>
      </c>
      <c r="H9" s="133">
        <f>IF(B$17=0,0,G9/B$17)</f>
        <v>0.19047619047619047</v>
      </c>
      <c r="I9" s="94">
        <v>2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71</v>
      </c>
      <c r="F10" s="60" t="s">
        <v>26</v>
      </c>
      <c r="G10" s="47">
        <v>3</v>
      </c>
      <c r="H10" s="133">
        <f>IF(B$17=0,0,G10/B$17)</f>
        <v>0.14285714285714285</v>
      </c>
      <c r="I10" s="94">
        <v>2</v>
      </c>
      <c r="K10" s="38">
        <v>8</v>
      </c>
      <c r="L10" s="99">
        <v>-76.900000000000006</v>
      </c>
      <c r="N10" s="114" t="s">
        <v>163</v>
      </c>
      <c r="O10" s="124">
        <f>IF(P10=0,0,Q10/P10)</f>
        <v>-5.333333333333333</v>
      </c>
      <c r="P10" s="118">
        <v>3</v>
      </c>
      <c r="Q10" s="106">
        <v>-16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72</v>
      </c>
      <c r="F11" s="60" t="s">
        <v>27</v>
      </c>
      <c r="G11" s="47">
        <v>3</v>
      </c>
      <c r="H11" s="133">
        <f>IF(B$17=0,0,G11/B$17)</f>
        <v>0.14285714285714285</v>
      </c>
      <c r="I11" s="94">
        <v>3</v>
      </c>
      <c r="K11" s="38">
        <v>9</v>
      </c>
      <c r="L11" s="99">
        <v>-59.500000000000007</v>
      </c>
      <c r="N11" s="115" t="s">
        <v>164</v>
      </c>
      <c r="O11" s="125">
        <f>IF(P11=0,0,Q11/P11)</f>
        <v>-26.299999999999997</v>
      </c>
      <c r="P11" s="119">
        <v>2</v>
      </c>
      <c r="Q11" s="107">
        <v>-52.599999999999994</v>
      </c>
    </row>
    <row r="12" spans="1:17" x14ac:dyDescent="0.4">
      <c r="A12" s="57" t="s">
        <v>159</v>
      </c>
      <c r="B12" s="49">
        <v>2</v>
      </c>
      <c r="C12" s="42">
        <f t="shared" si="1"/>
        <v>0.22222222222222221</v>
      </c>
      <c r="E12" s="63" t="s">
        <v>84</v>
      </c>
      <c r="F12" s="60" t="s">
        <v>39</v>
      </c>
      <c r="G12" s="47">
        <v>2</v>
      </c>
      <c r="H12" s="133">
        <f>IF(B$17=0,0,G12/B$17)</f>
        <v>9.5238095238095233E-2</v>
      </c>
      <c r="I12" s="94">
        <v>3</v>
      </c>
      <c r="N12" s="116" t="s">
        <v>165</v>
      </c>
      <c r="O12" s="126">
        <f>IF(P12=0,0,Q12/P12)</f>
        <v>2.2749999999999995</v>
      </c>
      <c r="P12" s="120">
        <v>4</v>
      </c>
      <c r="Q12" s="108">
        <v>9.0999999999999979</v>
      </c>
    </row>
    <row r="13" spans="1:17" x14ac:dyDescent="0.4">
      <c r="A13" s="58" t="s">
        <v>122</v>
      </c>
      <c r="B13" s="50">
        <v>21</v>
      </c>
      <c r="C13" s="44">
        <f>IF(B$3=0,0,B13/B$3)</f>
        <v>0.2413793103448276</v>
      </c>
      <c r="E13" s="63" t="s">
        <v>82</v>
      </c>
      <c r="F13" s="60" t="s">
        <v>37</v>
      </c>
      <c r="G13" s="47">
        <v>1</v>
      </c>
      <c r="H13" s="133">
        <f>IF(B$17=0,0,G13/B$17)</f>
        <v>4.7619047619047616E-2</v>
      </c>
      <c r="I13" s="94">
        <v>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23</v>
      </c>
      <c r="C14" s="39">
        <f>IF(B$3=0,0,B14/B$3)</f>
        <v>0.26436781609195403</v>
      </c>
      <c r="E14" s="63" t="s">
        <v>90</v>
      </c>
      <c r="F14" s="60" t="s">
        <v>45</v>
      </c>
      <c r="G14" s="47">
        <v>1</v>
      </c>
      <c r="H14" s="133">
        <f>IF(B$17=0,0,G14/B$17)</f>
        <v>4.7619047619047616E-2</v>
      </c>
      <c r="I14" s="94">
        <v>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11</v>
      </c>
      <c r="C15" s="37">
        <f>IF(B$13=0,0,B15/B$13)</f>
        <v>0.52380952380952384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1</v>
      </c>
      <c r="N15" s="114" t="s">
        <v>179</v>
      </c>
      <c r="O15" s="124">
        <f>IF(P15=0,0,Q15/P15)</f>
        <v>16.399999999999999</v>
      </c>
      <c r="P15" s="118">
        <v>1</v>
      </c>
      <c r="Q15" s="106">
        <v>16.399999999999999</v>
      </c>
    </row>
    <row r="16" spans="1:17" x14ac:dyDescent="0.4">
      <c r="A16" s="54" t="s">
        <v>125</v>
      </c>
      <c r="B16" s="46">
        <v>6</v>
      </c>
      <c r="C16" s="37">
        <f>IF(B$14=0,0,B16/B$14)</f>
        <v>0.2608695652173913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1</v>
      </c>
      <c r="N16" s="115" t="s">
        <v>128</v>
      </c>
      <c r="O16" s="125">
        <f>IF(P16=0,0,Q16/P16)</f>
        <v>-3.7875000000000001</v>
      </c>
      <c r="P16" s="119">
        <v>8</v>
      </c>
      <c r="Q16" s="107">
        <v>-30.3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0.2413793103448276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1</v>
      </c>
      <c r="N17" s="115" t="s">
        <v>127</v>
      </c>
      <c r="O17" s="125">
        <f>IF(P17=0,0,Q17/P17)</f>
        <v>-16.087500000000002</v>
      </c>
      <c r="P17" s="119">
        <v>8</v>
      </c>
      <c r="Q17" s="107">
        <v>-128.70000000000002</v>
      </c>
    </row>
    <row r="18" spans="1:17" x14ac:dyDescent="0.4">
      <c r="A18" s="55" t="s">
        <v>12</v>
      </c>
      <c r="B18" s="47">
        <v>11</v>
      </c>
      <c r="C18" s="39">
        <f>IF(B$17=0,0,B18/B$17)</f>
        <v>0.52380952380952384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180</v>
      </c>
      <c r="O18" s="125">
        <f>IF(P18=0,0,Q18/P18)</f>
        <v>-35.9</v>
      </c>
      <c r="P18" s="119">
        <v>1</v>
      </c>
      <c r="Q18" s="107">
        <v>-35.9</v>
      </c>
    </row>
    <row r="19" spans="1:17" x14ac:dyDescent="0.4">
      <c r="A19" s="55" t="s">
        <v>11</v>
      </c>
      <c r="B19" s="47">
        <v>10</v>
      </c>
      <c r="C19" s="39">
        <f>IF(B$17=0,0,B19/B$17)</f>
        <v>0.47619047619047616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3</v>
      </c>
    </row>
    <row r="20" spans="1:17" x14ac:dyDescent="0.4">
      <c r="A20" s="55" t="s">
        <v>13</v>
      </c>
      <c r="B20" s="47">
        <v>17</v>
      </c>
      <c r="C20" s="39">
        <f>IF(B$3=0,0,B20/B$3)</f>
        <v>0.19540229885057472</v>
      </c>
      <c r="E20" s="63" t="s">
        <v>79</v>
      </c>
      <c r="F20" s="60" t="s">
        <v>34</v>
      </c>
      <c r="G20" s="47">
        <v>0</v>
      </c>
      <c r="H20" s="133">
        <f>IF(B$17=0,0,G20/B$17)</f>
        <v>0</v>
      </c>
      <c r="I20" s="94">
        <v>5</v>
      </c>
    </row>
    <row r="21" spans="1:17" x14ac:dyDescent="0.4">
      <c r="A21" s="55" t="s">
        <v>170</v>
      </c>
      <c r="B21" s="47">
        <v>3</v>
      </c>
      <c r="C21" s="135">
        <v>2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3</v>
      </c>
    </row>
    <row r="22" spans="1:17" x14ac:dyDescent="0.4">
      <c r="A22" s="55" t="s">
        <v>171</v>
      </c>
      <c r="B22" s="47">
        <v>17</v>
      </c>
      <c r="C22" s="135">
        <v>3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7576.1904761904761</v>
      </c>
      <c r="C23" s="41">
        <v>159100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-7552.9411764705883</v>
      </c>
      <c r="C24" s="45">
        <v>-128400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141</v>
      </c>
      <c r="B25" s="144">
        <v>3</v>
      </c>
      <c r="C25" s="145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151</v>
      </c>
      <c r="B26" s="142">
        <v>49500</v>
      </c>
      <c r="C26" s="143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142</v>
      </c>
      <c r="B27" s="65">
        <v>1</v>
      </c>
      <c r="C27" s="42">
        <f>IF(B$3=0,0,B27/B$3)</f>
        <v>1.1494252873563218E-2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DD9A9-F6B3-4DAF-8E82-0EC2A249DB19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20</v>
      </c>
      <c r="C2" s="151"/>
      <c r="E2" s="62" t="s">
        <v>67</v>
      </c>
      <c r="F2" s="59" t="s">
        <v>23</v>
      </c>
      <c r="G2" s="46">
        <v>36</v>
      </c>
      <c r="H2" s="132">
        <f>IF(B$17=0,0,G2/B$17)</f>
        <v>0.51428571428571423</v>
      </c>
      <c r="I2" s="93">
        <v>6</v>
      </c>
      <c r="K2" s="36">
        <v>0</v>
      </c>
      <c r="L2" s="98">
        <v>0</v>
      </c>
      <c r="N2" s="114" t="s">
        <v>131</v>
      </c>
      <c r="O2" s="121">
        <f t="shared" ref="O2:O7" si="0">IF(P2=0,0,Q2/P2)</f>
        <v>660</v>
      </c>
      <c r="P2" s="118">
        <v>20</v>
      </c>
      <c r="Q2" s="102">
        <v>13200</v>
      </c>
    </row>
    <row r="3" spans="1:17" x14ac:dyDescent="0.4">
      <c r="A3" s="55" t="s">
        <v>8</v>
      </c>
      <c r="B3" s="152">
        <v>186</v>
      </c>
      <c r="C3" s="153"/>
      <c r="E3" s="63" t="s">
        <v>73</v>
      </c>
      <c r="F3" s="60" t="s">
        <v>28</v>
      </c>
      <c r="G3" s="47">
        <v>34</v>
      </c>
      <c r="H3" s="133">
        <f>IF(B$17=0,0,G3/B$17)</f>
        <v>0.48571428571428571</v>
      </c>
      <c r="I3" s="94">
        <v>6</v>
      </c>
      <c r="K3" s="38">
        <v>1</v>
      </c>
      <c r="L3" s="99">
        <v>50.2</v>
      </c>
      <c r="N3" s="115" t="s">
        <v>132</v>
      </c>
      <c r="O3" s="122">
        <f t="shared" si="0"/>
        <v>-594.73684210526312</v>
      </c>
      <c r="P3" s="119">
        <v>19</v>
      </c>
      <c r="Q3" s="103">
        <v>-11300</v>
      </c>
    </row>
    <row r="4" spans="1:17" x14ac:dyDescent="0.4">
      <c r="A4" s="55" t="s">
        <v>6</v>
      </c>
      <c r="B4" s="154">
        <v>365.49999999999994</v>
      </c>
      <c r="C4" s="155"/>
      <c r="E4" s="63" t="s">
        <v>65</v>
      </c>
      <c r="F4" s="60" t="s">
        <v>21</v>
      </c>
      <c r="G4" s="47">
        <v>29</v>
      </c>
      <c r="H4" s="133">
        <f>IF(B$17=0,0,G4/B$17)</f>
        <v>0.41428571428571431</v>
      </c>
      <c r="I4" s="94">
        <v>6</v>
      </c>
      <c r="K4" s="38">
        <v>2</v>
      </c>
      <c r="L4" s="99">
        <v>14.400000000000006</v>
      </c>
      <c r="N4" s="115" t="s">
        <v>133</v>
      </c>
      <c r="O4" s="122">
        <f t="shared" si="0"/>
        <v>468.42105263157896</v>
      </c>
      <c r="P4" s="119">
        <v>19</v>
      </c>
      <c r="Q4" s="103">
        <v>8900</v>
      </c>
    </row>
    <row r="5" spans="1:17" x14ac:dyDescent="0.4">
      <c r="A5" s="55" t="s">
        <v>7</v>
      </c>
      <c r="B5" s="156">
        <f>IF(B$2=0,0,B$4/B$2)</f>
        <v>18.274999999999999</v>
      </c>
      <c r="C5" s="157"/>
      <c r="E5" s="63" t="s">
        <v>172</v>
      </c>
      <c r="F5" s="60" t="s">
        <v>173</v>
      </c>
      <c r="G5" s="47">
        <v>20</v>
      </c>
      <c r="H5" s="133">
        <f>IF(B$17=0,0,G5/B$17)</f>
        <v>0.2857142857142857</v>
      </c>
      <c r="I5" s="94">
        <v>7</v>
      </c>
      <c r="K5" s="38">
        <v>3</v>
      </c>
      <c r="L5" s="99">
        <v>40.400000000000006</v>
      </c>
      <c r="N5" s="115" t="s">
        <v>134</v>
      </c>
      <c r="O5" s="122">
        <f t="shared" si="0"/>
        <v>100</v>
      </c>
      <c r="P5" s="119">
        <v>19</v>
      </c>
      <c r="Q5" s="103">
        <v>1900</v>
      </c>
    </row>
    <row r="6" spans="1:17" x14ac:dyDescent="0.4">
      <c r="A6" s="55" t="s">
        <v>1</v>
      </c>
      <c r="B6" s="146">
        <f>IF(B$2=0,0,(B$7*1+B$8*2+B$9*3)/B$2)</f>
        <v>1.5</v>
      </c>
      <c r="C6" s="147"/>
      <c r="E6" s="63" t="s">
        <v>68</v>
      </c>
      <c r="F6" s="60" t="s">
        <v>24</v>
      </c>
      <c r="G6" s="47">
        <v>19</v>
      </c>
      <c r="H6" s="133">
        <f>IF(B$17=0,0,G6/B$17)</f>
        <v>0.27142857142857141</v>
      </c>
      <c r="I6" s="94">
        <v>5</v>
      </c>
      <c r="K6" s="38">
        <v>4</v>
      </c>
      <c r="L6" s="99">
        <v>101.60000000000001</v>
      </c>
      <c r="N6" s="115" t="s">
        <v>135</v>
      </c>
      <c r="O6" s="122">
        <f t="shared" si="0"/>
        <v>7477.7777777777774</v>
      </c>
      <c r="P6" s="119">
        <v>18</v>
      </c>
      <c r="Q6" s="103">
        <v>134600</v>
      </c>
    </row>
    <row r="7" spans="1:17" x14ac:dyDescent="0.4">
      <c r="A7" s="55" t="s">
        <v>2</v>
      </c>
      <c r="B7" s="47">
        <v>13</v>
      </c>
      <c r="C7" s="39">
        <f t="shared" ref="C7:C12" si="1">IF(B$2=0,0,B7/B$2)</f>
        <v>0.65</v>
      </c>
      <c r="E7" s="63" t="s">
        <v>69</v>
      </c>
      <c r="F7" s="60" t="s">
        <v>12</v>
      </c>
      <c r="G7" s="47">
        <v>19</v>
      </c>
      <c r="H7" s="133">
        <f>IF(B$17=0,0,G7/B$17)</f>
        <v>0.27142857142857141</v>
      </c>
      <c r="I7" s="94">
        <v>4</v>
      </c>
      <c r="K7" s="38">
        <v>5</v>
      </c>
      <c r="L7" s="99">
        <v>99.9</v>
      </c>
      <c r="N7" s="116" t="s">
        <v>136</v>
      </c>
      <c r="O7" s="123">
        <f t="shared" si="0"/>
        <v>8133.333333333333</v>
      </c>
      <c r="P7" s="120">
        <v>15</v>
      </c>
      <c r="Q7" s="104">
        <v>122000</v>
      </c>
    </row>
    <row r="8" spans="1:17" x14ac:dyDescent="0.4">
      <c r="A8" s="55" t="s">
        <v>3</v>
      </c>
      <c r="B8" s="47">
        <v>4</v>
      </c>
      <c r="C8" s="39">
        <f t="shared" si="1"/>
        <v>0.2</v>
      </c>
      <c r="E8" s="63" t="s">
        <v>90</v>
      </c>
      <c r="F8" s="60" t="s">
        <v>45</v>
      </c>
      <c r="G8" s="47">
        <v>10</v>
      </c>
      <c r="H8" s="133">
        <f>IF(B$17=0,0,G8/B$17)</f>
        <v>0.14285714285714285</v>
      </c>
      <c r="I8" s="94">
        <v>2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si="1"/>
        <v>0.15</v>
      </c>
      <c r="E9" s="63" t="s">
        <v>70</v>
      </c>
      <c r="F9" s="60" t="s">
        <v>25</v>
      </c>
      <c r="G9" s="47">
        <v>9</v>
      </c>
      <c r="H9" s="133">
        <f>IF(B$17=0,0,G9/B$17)</f>
        <v>0.12857142857142856</v>
      </c>
      <c r="I9" s="94">
        <v>6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66</v>
      </c>
      <c r="F10" s="60" t="s">
        <v>22</v>
      </c>
      <c r="G10" s="47">
        <v>7</v>
      </c>
      <c r="H10" s="133">
        <f>IF(B$17=0,0,G10/B$17)</f>
        <v>0.1</v>
      </c>
      <c r="I10" s="94">
        <v>6</v>
      </c>
      <c r="K10" s="38">
        <v>8</v>
      </c>
      <c r="L10" s="99">
        <v>148.1</v>
      </c>
      <c r="N10" s="114" t="s">
        <v>163</v>
      </c>
      <c r="O10" s="124">
        <f>IF(P10=0,0,Q10/P10)</f>
        <v>12.600000000000001</v>
      </c>
      <c r="P10" s="118">
        <v>6</v>
      </c>
      <c r="Q10" s="106">
        <v>75.600000000000009</v>
      </c>
    </row>
    <row r="11" spans="1:17" x14ac:dyDescent="0.4">
      <c r="A11" s="56" t="s">
        <v>139</v>
      </c>
      <c r="B11" s="48">
        <v>4</v>
      </c>
      <c r="C11" s="40">
        <f t="shared" si="1"/>
        <v>0.2</v>
      </c>
      <c r="E11" s="63" t="s">
        <v>72</v>
      </c>
      <c r="F11" s="60" t="s">
        <v>27</v>
      </c>
      <c r="G11" s="47">
        <v>5</v>
      </c>
      <c r="H11" s="133">
        <f>IF(B$17=0,0,G11/B$17)</f>
        <v>7.1428571428571425E-2</v>
      </c>
      <c r="I11" s="94">
        <v>6</v>
      </c>
      <c r="K11" s="38">
        <v>9</v>
      </c>
      <c r="L11" s="99">
        <v>180.89999999999998</v>
      </c>
      <c r="N11" s="115" t="s">
        <v>164</v>
      </c>
      <c r="O11" s="125">
        <f>IF(P11=0,0,Q11/P11)</f>
        <v>22.175000000000001</v>
      </c>
      <c r="P11" s="119">
        <v>8</v>
      </c>
      <c r="Q11" s="107">
        <v>177.4</v>
      </c>
    </row>
    <row r="12" spans="1:17" x14ac:dyDescent="0.4">
      <c r="A12" s="57" t="s">
        <v>159</v>
      </c>
      <c r="B12" s="49">
        <v>4</v>
      </c>
      <c r="C12" s="42">
        <f t="shared" si="1"/>
        <v>0.2</v>
      </c>
      <c r="E12" s="63" t="s">
        <v>71</v>
      </c>
      <c r="F12" s="60" t="s">
        <v>26</v>
      </c>
      <c r="G12" s="47">
        <v>4</v>
      </c>
      <c r="H12" s="133">
        <f>IF(B$17=0,0,G12/B$17)</f>
        <v>5.7142857142857141E-2</v>
      </c>
      <c r="I12" s="94">
        <v>6</v>
      </c>
      <c r="K12" s="38">
        <v>10</v>
      </c>
      <c r="L12" s="99">
        <v>158.19999999999999</v>
      </c>
      <c r="N12" s="116" t="s">
        <v>165</v>
      </c>
      <c r="O12" s="126">
        <f>IF(P12=0,0,Q12/P12)</f>
        <v>18.749999999999996</v>
      </c>
      <c r="P12" s="120">
        <v>6</v>
      </c>
      <c r="Q12" s="108">
        <v>112.49999999999999</v>
      </c>
    </row>
    <row r="13" spans="1:17" x14ac:dyDescent="0.4">
      <c r="A13" s="58" t="s">
        <v>122</v>
      </c>
      <c r="B13" s="50">
        <v>52</v>
      </c>
      <c r="C13" s="44">
        <f>IF(B$3=0,0,B13/B$3)</f>
        <v>0.27956989247311825</v>
      </c>
      <c r="E13" s="63" t="s">
        <v>87</v>
      </c>
      <c r="F13" s="60" t="s">
        <v>42</v>
      </c>
      <c r="G13" s="47">
        <v>4</v>
      </c>
      <c r="H13" s="133">
        <f>IF(B$17=0,0,G13/B$17)</f>
        <v>5.7142857142857141E-2</v>
      </c>
      <c r="I13" s="94">
        <v>2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41</v>
      </c>
      <c r="C14" s="39">
        <f>IF(B$3=0,0,B14/B$3)</f>
        <v>0.22043010752688172</v>
      </c>
      <c r="E14" s="63" t="s">
        <v>78</v>
      </c>
      <c r="F14" s="60" t="s">
        <v>33</v>
      </c>
      <c r="G14" s="47">
        <v>2</v>
      </c>
      <c r="H14" s="133">
        <f>IF(B$17=0,0,G14/B$17)</f>
        <v>2.8571428571428571E-2</v>
      </c>
      <c r="I14" s="94">
        <v>1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31</v>
      </c>
      <c r="C15" s="37">
        <f>IF(B$13=0,0,B15/B$13)</f>
        <v>0.59615384615384615</v>
      </c>
      <c r="E15" s="63" t="s">
        <v>79</v>
      </c>
      <c r="F15" s="60" t="s">
        <v>34</v>
      </c>
      <c r="G15" s="47">
        <v>2</v>
      </c>
      <c r="H15" s="133">
        <f>IF(B$17=0,0,G15/B$17)</f>
        <v>2.8571428571428571E-2</v>
      </c>
      <c r="I15" s="94">
        <v>2</v>
      </c>
      <c r="K15" s="38">
        <v>13</v>
      </c>
      <c r="L15" s="99">
        <v>206.39999999999998</v>
      </c>
      <c r="N15" s="114" t="s">
        <v>179</v>
      </c>
      <c r="O15" s="124">
        <f>IF(P15=0,0,Q15/P15)</f>
        <v>100</v>
      </c>
      <c r="P15" s="118">
        <v>1</v>
      </c>
      <c r="Q15" s="106">
        <v>100</v>
      </c>
    </row>
    <row r="16" spans="1:17" x14ac:dyDescent="0.4">
      <c r="A16" s="54" t="s">
        <v>125</v>
      </c>
      <c r="B16" s="46">
        <v>24</v>
      </c>
      <c r="C16" s="37">
        <f>IF(B$14=0,0,B16/B$14)</f>
        <v>0.58536585365853655</v>
      </c>
      <c r="E16" s="63" t="s">
        <v>84</v>
      </c>
      <c r="F16" s="60" t="s">
        <v>39</v>
      </c>
      <c r="G16" s="47">
        <v>2</v>
      </c>
      <c r="H16" s="133">
        <f>IF(B$17=0,0,G16/B$17)</f>
        <v>2.8571428571428571E-2</v>
      </c>
      <c r="I16" s="94">
        <v>6</v>
      </c>
      <c r="K16" s="38">
        <v>14</v>
      </c>
      <c r="L16" s="99">
        <v>240.09999999999997</v>
      </c>
      <c r="N16" s="115" t="s">
        <v>180</v>
      </c>
      <c r="O16" s="125">
        <f>IF(P16=0,0,Q16/P16)</f>
        <v>38.118181818181817</v>
      </c>
      <c r="P16" s="119">
        <v>11</v>
      </c>
      <c r="Q16" s="107">
        <v>419.3</v>
      </c>
    </row>
    <row r="17" spans="1:17" x14ac:dyDescent="0.4">
      <c r="A17" s="54" t="s">
        <v>10</v>
      </c>
      <c r="B17" s="46">
        <f>B19+B18</f>
        <v>70</v>
      </c>
      <c r="C17" s="37">
        <f>IF(B$3=0,0,B17/B$3)</f>
        <v>0.37634408602150538</v>
      </c>
      <c r="E17" s="63" t="s">
        <v>85</v>
      </c>
      <c r="F17" s="60" t="s">
        <v>40</v>
      </c>
      <c r="G17" s="47">
        <v>2</v>
      </c>
      <c r="H17" s="133">
        <f>IF(B$17=0,0,G17/B$17)</f>
        <v>2.8571428571428571E-2</v>
      </c>
      <c r="I17" s="94">
        <v>1</v>
      </c>
      <c r="K17" s="38">
        <v>15</v>
      </c>
      <c r="L17" s="99">
        <v>269.49999999999994</v>
      </c>
      <c r="N17" s="115" t="s">
        <v>182</v>
      </c>
      <c r="O17" s="125">
        <f>IF(P17=0,0,Q17/P17)</f>
        <v>27.7</v>
      </c>
      <c r="P17" s="119">
        <v>1</v>
      </c>
      <c r="Q17" s="107">
        <v>27.7</v>
      </c>
    </row>
    <row r="18" spans="1:17" x14ac:dyDescent="0.4">
      <c r="A18" s="55" t="s">
        <v>12</v>
      </c>
      <c r="B18" s="47">
        <v>33</v>
      </c>
      <c r="C18" s="39">
        <f>IF(B$17=0,0,B18/B$17)</f>
        <v>0.47142857142857142</v>
      </c>
      <c r="E18" s="63" t="s">
        <v>82</v>
      </c>
      <c r="F18" s="60" t="s">
        <v>37</v>
      </c>
      <c r="G18" s="47">
        <v>1</v>
      </c>
      <c r="H18" s="133">
        <f>IF(B$17=0,0,G18/B$17)</f>
        <v>1.4285714285714285E-2</v>
      </c>
      <c r="I18" s="94">
        <v>5</v>
      </c>
      <c r="K18" s="38">
        <v>16</v>
      </c>
      <c r="L18" s="99">
        <v>323.69999999999993</v>
      </c>
      <c r="N18" s="115" t="s">
        <v>128</v>
      </c>
      <c r="O18" s="125">
        <f>IF(P18=0,0,Q18/P18)</f>
        <v>22.147368421052629</v>
      </c>
      <c r="P18" s="119">
        <v>19</v>
      </c>
      <c r="Q18" s="107">
        <v>420.79999999999995</v>
      </c>
    </row>
    <row r="19" spans="1:17" x14ac:dyDescent="0.4">
      <c r="A19" s="55" t="s">
        <v>11</v>
      </c>
      <c r="B19" s="47">
        <v>37</v>
      </c>
      <c r="C19" s="39">
        <f>IF(B$17=0,0,B19/B$17)</f>
        <v>0.52857142857142858</v>
      </c>
      <c r="E19" s="63" t="s">
        <v>86</v>
      </c>
      <c r="F19" s="60" t="s">
        <v>41</v>
      </c>
      <c r="G19" s="47">
        <v>1</v>
      </c>
      <c r="H19" s="133">
        <f>IF(B$17=0,0,G19/B$17)</f>
        <v>1.4285714285714285E-2</v>
      </c>
      <c r="I19" s="94">
        <v>2</v>
      </c>
      <c r="K19" s="38">
        <v>17</v>
      </c>
      <c r="L19" s="99">
        <v>359.09999999999991</v>
      </c>
      <c r="N19" s="115" t="s">
        <v>167</v>
      </c>
      <c r="O19" s="125">
        <f>IF(P19=0,0,Q19/P19)</f>
        <v>16.087499999999999</v>
      </c>
      <c r="P19" s="119">
        <v>8</v>
      </c>
      <c r="Q19" s="107">
        <v>128.69999999999999</v>
      </c>
    </row>
    <row r="20" spans="1:17" x14ac:dyDescent="0.4">
      <c r="A20" s="55" t="s">
        <v>13</v>
      </c>
      <c r="B20" s="47">
        <v>25</v>
      </c>
      <c r="C20" s="39">
        <f>IF(B$3=0,0,B20/B$3)</f>
        <v>0.13440860215053763</v>
      </c>
      <c r="E20" s="63" t="s">
        <v>89</v>
      </c>
      <c r="F20" s="60" t="s">
        <v>44</v>
      </c>
      <c r="G20" s="47">
        <v>1</v>
      </c>
      <c r="H20" s="133">
        <f>IF(B$17=0,0,G20/B$17)</f>
        <v>1.4285714285714285E-2</v>
      </c>
      <c r="I20" s="94">
        <v>1</v>
      </c>
      <c r="K20" s="38">
        <v>18</v>
      </c>
      <c r="L20" s="99">
        <v>352.39999999999992</v>
      </c>
    </row>
    <row r="21" spans="1:17" x14ac:dyDescent="0.4">
      <c r="A21" s="55" t="s">
        <v>170</v>
      </c>
      <c r="B21" s="47">
        <v>5</v>
      </c>
      <c r="C21" s="135">
        <v>0</v>
      </c>
      <c r="E21" s="63" t="s">
        <v>92</v>
      </c>
      <c r="F21" s="60" t="s">
        <v>47</v>
      </c>
      <c r="G21" s="47">
        <v>1</v>
      </c>
      <c r="H21" s="133">
        <f>IF(B$17=0,0,G21/B$17)</f>
        <v>1.4285714285714285E-2</v>
      </c>
      <c r="I21" s="94">
        <v>3</v>
      </c>
      <c r="K21" s="38">
        <v>19</v>
      </c>
      <c r="L21" s="99">
        <v>383.19999999999993</v>
      </c>
    </row>
    <row r="22" spans="1:17" x14ac:dyDescent="0.4">
      <c r="A22" s="55" t="s">
        <v>171</v>
      </c>
      <c r="B22" s="47">
        <v>27</v>
      </c>
      <c r="C22" s="135">
        <v>5</v>
      </c>
      <c r="E22" s="63" t="s">
        <v>93</v>
      </c>
      <c r="F22" s="60" t="s">
        <v>48</v>
      </c>
      <c r="G22" s="47">
        <v>1</v>
      </c>
      <c r="H22" s="133">
        <f>IF(B$17=0,0,G22/B$17)</f>
        <v>1.4285714285714285E-2</v>
      </c>
      <c r="I22" s="94">
        <v>1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7888.5714285714284</v>
      </c>
      <c r="C23" s="41">
        <v>552200</v>
      </c>
      <c r="E23" s="63" t="s">
        <v>96</v>
      </c>
      <c r="F23" s="60" t="s">
        <v>51</v>
      </c>
      <c r="G23" s="47">
        <v>1</v>
      </c>
      <c r="H23" s="133">
        <f>IF(B$17=0,0,G23/B$17)</f>
        <v>1.4285714285714285E-2</v>
      </c>
      <c r="I23" s="94">
        <v>1</v>
      </c>
    </row>
    <row r="24" spans="1:17" x14ac:dyDescent="0.4">
      <c r="A24" s="57" t="s">
        <v>14</v>
      </c>
      <c r="B24" s="52">
        <f>IF(B$20=0,0,C24/B$20)</f>
        <v>-6096</v>
      </c>
      <c r="C24" s="45">
        <v>-152400</v>
      </c>
      <c r="E24" s="63" t="s">
        <v>168</v>
      </c>
      <c r="F24" s="60" t="s">
        <v>169</v>
      </c>
      <c r="G24" s="47">
        <v>1</v>
      </c>
      <c r="H24" s="133">
        <f>IF(B$17=0,0,G24/B$17)</f>
        <v>1.4285714285714285E-2</v>
      </c>
      <c r="I24" s="94">
        <v>1</v>
      </c>
    </row>
    <row r="25" spans="1:17" x14ac:dyDescent="0.4">
      <c r="A25" s="90" t="s">
        <v>141</v>
      </c>
      <c r="B25" s="144">
        <v>6</v>
      </c>
      <c r="C25" s="145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2">
        <v>86200</v>
      </c>
      <c r="C26" s="143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76</v>
      </c>
      <c r="F27" s="60" t="s">
        <v>31</v>
      </c>
      <c r="G27" s="47">
        <v>0</v>
      </c>
      <c r="H27" s="133">
        <f>IF(B$17=0,0,G27/B$17)</f>
        <v>0</v>
      </c>
      <c r="I27" s="94">
        <v>1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80</v>
      </c>
      <c r="F29" s="60" t="s">
        <v>35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9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E8546-6488-42B1-BC55-9078E526E9BA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20</v>
      </c>
      <c r="C2" s="151"/>
      <c r="E2" s="62" t="s">
        <v>67</v>
      </c>
      <c r="F2" s="59" t="s">
        <v>23</v>
      </c>
      <c r="G2" s="46">
        <v>57</v>
      </c>
      <c r="H2" s="132">
        <f>IF(B$17=0,0,G2/B$17)</f>
        <v>1.0178571428571428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1315</v>
      </c>
      <c r="P2" s="118">
        <v>20</v>
      </c>
      <c r="Q2" s="102">
        <v>26300</v>
      </c>
    </row>
    <row r="3" spans="1:17" x14ac:dyDescent="0.4">
      <c r="A3" s="55" t="s">
        <v>8</v>
      </c>
      <c r="B3" s="152">
        <v>183</v>
      </c>
      <c r="C3" s="153"/>
      <c r="E3" s="63" t="s">
        <v>73</v>
      </c>
      <c r="F3" s="60" t="s">
        <v>28</v>
      </c>
      <c r="G3" s="47">
        <v>36</v>
      </c>
      <c r="H3" s="133">
        <f>IF(B$17=0,0,G3/B$17)</f>
        <v>0.6428571428571429</v>
      </c>
      <c r="I3" s="94">
        <v>3</v>
      </c>
      <c r="K3" s="38">
        <v>1</v>
      </c>
      <c r="L3" s="99">
        <v>-45.6</v>
      </c>
      <c r="N3" s="115" t="s">
        <v>132</v>
      </c>
      <c r="O3" s="122">
        <f t="shared" si="0"/>
        <v>1889.4736842105262</v>
      </c>
      <c r="P3" s="119">
        <v>19</v>
      </c>
      <c r="Q3" s="103">
        <v>35900</v>
      </c>
    </row>
    <row r="4" spans="1:17" x14ac:dyDescent="0.4">
      <c r="A4" s="55" t="s">
        <v>6</v>
      </c>
      <c r="B4" s="154">
        <v>-96.000000000000028</v>
      </c>
      <c r="C4" s="155"/>
      <c r="E4" s="63" t="s">
        <v>65</v>
      </c>
      <c r="F4" s="60" t="s">
        <v>21</v>
      </c>
      <c r="G4" s="47">
        <v>22</v>
      </c>
      <c r="H4" s="133">
        <f>IF(B$17=0,0,G4/B$17)</f>
        <v>0.39285714285714285</v>
      </c>
      <c r="I4" s="94">
        <v>8</v>
      </c>
      <c r="K4" s="38">
        <v>2</v>
      </c>
      <c r="L4" s="99">
        <v>-34.299999999999997</v>
      </c>
      <c r="N4" s="115" t="s">
        <v>133</v>
      </c>
      <c r="O4" s="122">
        <f t="shared" si="0"/>
        <v>-1347.3684210526317</v>
      </c>
      <c r="P4" s="119">
        <v>19</v>
      </c>
      <c r="Q4" s="103">
        <v>-25600</v>
      </c>
    </row>
    <row r="5" spans="1:17" x14ac:dyDescent="0.4">
      <c r="A5" s="55" t="s">
        <v>7</v>
      </c>
      <c r="B5" s="156">
        <f>IF(B$2=0,0,B$4/B$2)</f>
        <v>-4.8000000000000016</v>
      </c>
      <c r="C5" s="157"/>
      <c r="E5" s="63" t="s">
        <v>172</v>
      </c>
      <c r="F5" s="60" t="s">
        <v>173</v>
      </c>
      <c r="G5" s="47">
        <v>20</v>
      </c>
      <c r="H5" s="133">
        <f>IF(B$17=0,0,G5/B$17)</f>
        <v>0.35714285714285715</v>
      </c>
      <c r="I5" s="94">
        <v>5</v>
      </c>
      <c r="K5" s="38">
        <v>3</v>
      </c>
      <c r="L5" s="99">
        <v>-58.599999999999994</v>
      </c>
      <c r="N5" s="115" t="s">
        <v>134</v>
      </c>
      <c r="O5" s="122">
        <f t="shared" si="0"/>
        <v>4663.1578947368425</v>
      </c>
      <c r="P5" s="119">
        <v>19</v>
      </c>
      <c r="Q5" s="103">
        <v>88600</v>
      </c>
    </row>
    <row r="6" spans="1:17" x14ac:dyDescent="0.4">
      <c r="A6" s="55" t="s">
        <v>1</v>
      </c>
      <c r="B6" s="146">
        <f>IF(B$2=0,0,(B$7*1+B$8*2+B$9*3)/B$2)</f>
        <v>2.2000000000000002</v>
      </c>
      <c r="C6" s="147"/>
      <c r="E6" s="63" t="s">
        <v>68</v>
      </c>
      <c r="F6" s="60" t="s">
        <v>24</v>
      </c>
      <c r="G6" s="47">
        <v>15</v>
      </c>
      <c r="H6" s="133">
        <f>IF(B$17=0,0,G6/B$17)</f>
        <v>0.26785714285714285</v>
      </c>
      <c r="I6" s="94">
        <v>6</v>
      </c>
      <c r="K6" s="38">
        <v>4</v>
      </c>
      <c r="L6" s="99">
        <v>-38.099999999999994</v>
      </c>
      <c r="N6" s="115" t="s">
        <v>135</v>
      </c>
      <c r="O6" s="122">
        <f t="shared" si="0"/>
        <v>-3988.8888888888887</v>
      </c>
      <c r="P6" s="119">
        <v>18</v>
      </c>
      <c r="Q6" s="103">
        <v>-71800</v>
      </c>
    </row>
    <row r="7" spans="1:17" x14ac:dyDescent="0.4">
      <c r="A7" s="55" t="s">
        <v>2</v>
      </c>
      <c r="B7" s="47">
        <v>4</v>
      </c>
      <c r="C7" s="39">
        <f t="shared" ref="C7:C12" si="1">IF(B$2=0,0,B7/B$2)</f>
        <v>0.2</v>
      </c>
      <c r="E7" s="63" t="s">
        <v>69</v>
      </c>
      <c r="F7" s="60" t="s">
        <v>12</v>
      </c>
      <c r="G7" s="47">
        <v>12</v>
      </c>
      <c r="H7" s="133">
        <f>IF(B$17=0,0,G7/B$17)</f>
        <v>0.21428571428571427</v>
      </c>
      <c r="I7" s="94">
        <v>6</v>
      </c>
      <c r="K7" s="38">
        <v>5</v>
      </c>
      <c r="L7" s="99">
        <v>-11.299999999999994</v>
      </c>
      <c r="N7" s="116" t="s">
        <v>136</v>
      </c>
      <c r="O7" s="123">
        <f t="shared" si="0"/>
        <v>-6820</v>
      </c>
      <c r="P7" s="120">
        <v>15</v>
      </c>
      <c r="Q7" s="104">
        <v>-102300</v>
      </c>
    </row>
    <row r="8" spans="1:17" x14ac:dyDescent="0.4">
      <c r="A8" s="55" t="s">
        <v>3</v>
      </c>
      <c r="B8" s="47">
        <v>8</v>
      </c>
      <c r="C8" s="39">
        <f t="shared" si="1"/>
        <v>0.4</v>
      </c>
      <c r="E8" s="63" t="s">
        <v>70</v>
      </c>
      <c r="F8" s="60" t="s">
        <v>25</v>
      </c>
      <c r="G8" s="47">
        <v>8</v>
      </c>
      <c r="H8" s="133">
        <f>IF(B$17=0,0,G8/B$17)</f>
        <v>0.14285714285714285</v>
      </c>
      <c r="I8" s="94">
        <v>5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si="1"/>
        <v>0.4</v>
      </c>
      <c r="E9" s="63" t="s">
        <v>90</v>
      </c>
      <c r="F9" s="60" t="s">
        <v>45</v>
      </c>
      <c r="G9" s="47">
        <v>7</v>
      </c>
      <c r="H9" s="133">
        <f>IF(B$17=0,0,G9/B$17)</f>
        <v>0.125</v>
      </c>
      <c r="I9" s="94">
        <v>3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0.2</v>
      </c>
      <c r="E10" s="63" t="s">
        <v>87</v>
      </c>
      <c r="F10" s="60" t="s">
        <v>42</v>
      </c>
      <c r="G10" s="47">
        <v>5</v>
      </c>
      <c r="H10" s="133">
        <f>IF(B$17=0,0,G10/B$17)</f>
        <v>8.9285714285714288E-2</v>
      </c>
      <c r="I10" s="94">
        <v>1</v>
      </c>
      <c r="K10" s="38">
        <v>8</v>
      </c>
      <c r="L10" s="99">
        <v>-56.79999999999999</v>
      </c>
      <c r="N10" s="114" t="s">
        <v>163</v>
      </c>
      <c r="O10" s="124">
        <f>IF(P10=0,0,Q10/P10)</f>
        <v>2.9000000000000008</v>
      </c>
      <c r="P10" s="118">
        <v>6</v>
      </c>
      <c r="Q10" s="106">
        <v>17.400000000000006</v>
      </c>
    </row>
    <row r="11" spans="1:17" x14ac:dyDescent="0.4">
      <c r="A11" s="56" t="s">
        <v>139</v>
      </c>
      <c r="B11" s="48">
        <v>2</v>
      </c>
      <c r="C11" s="40">
        <f t="shared" si="1"/>
        <v>0.1</v>
      </c>
      <c r="E11" s="63" t="s">
        <v>66</v>
      </c>
      <c r="F11" s="60" t="s">
        <v>22</v>
      </c>
      <c r="G11" s="47">
        <v>4</v>
      </c>
      <c r="H11" s="133">
        <f>IF(B$17=0,0,G11/B$17)</f>
        <v>7.1428571428571425E-2</v>
      </c>
      <c r="I11" s="94">
        <v>7</v>
      </c>
      <c r="K11" s="38">
        <v>9</v>
      </c>
      <c r="L11" s="99">
        <v>-83.699999999999989</v>
      </c>
      <c r="N11" s="115" t="s">
        <v>164</v>
      </c>
      <c r="O11" s="125">
        <f>IF(P11=0,0,Q11/P11)</f>
        <v>8.7333333333333325</v>
      </c>
      <c r="P11" s="119">
        <v>6</v>
      </c>
      <c r="Q11" s="107">
        <v>52.4</v>
      </c>
    </row>
    <row r="12" spans="1:17" x14ac:dyDescent="0.4">
      <c r="A12" s="57" t="s">
        <v>159</v>
      </c>
      <c r="B12" s="49">
        <v>2</v>
      </c>
      <c r="C12" s="42">
        <f t="shared" si="1"/>
        <v>0.1</v>
      </c>
      <c r="E12" s="63" t="s">
        <v>84</v>
      </c>
      <c r="F12" s="60" t="s">
        <v>39</v>
      </c>
      <c r="G12" s="47">
        <v>2</v>
      </c>
      <c r="H12" s="133">
        <f>IF(B$17=0,0,G12/B$17)</f>
        <v>3.5714285714285712E-2</v>
      </c>
      <c r="I12" s="94">
        <v>5</v>
      </c>
      <c r="K12" s="38">
        <v>10</v>
      </c>
      <c r="L12" s="99">
        <v>-78.399999999999991</v>
      </c>
      <c r="N12" s="116" t="s">
        <v>165</v>
      </c>
      <c r="O12" s="126">
        <f>IF(P12=0,0,Q12/P12)</f>
        <v>-20.725000000000001</v>
      </c>
      <c r="P12" s="120">
        <v>8</v>
      </c>
      <c r="Q12" s="108">
        <v>-165.8</v>
      </c>
    </row>
    <row r="13" spans="1:17" x14ac:dyDescent="0.4">
      <c r="A13" s="58" t="s">
        <v>122</v>
      </c>
      <c r="B13" s="50">
        <v>38</v>
      </c>
      <c r="C13" s="44">
        <f>IF(B$3=0,0,B13/B$3)</f>
        <v>0.20765027322404372</v>
      </c>
      <c r="E13" s="63" t="s">
        <v>92</v>
      </c>
      <c r="F13" s="60" t="s">
        <v>47</v>
      </c>
      <c r="G13" s="47">
        <v>2</v>
      </c>
      <c r="H13" s="133">
        <f>IF(B$17=0,0,G13/B$17)</f>
        <v>3.5714285714285712E-2</v>
      </c>
      <c r="I13" s="94">
        <v>1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51</v>
      </c>
      <c r="C14" s="39">
        <f>IF(B$3=0,0,B14/B$3)</f>
        <v>0.27868852459016391</v>
      </c>
      <c r="E14" s="63" t="s">
        <v>71</v>
      </c>
      <c r="F14" s="60" t="s">
        <v>26</v>
      </c>
      <c r="G14" s="47">
        <v>1</v>
      </c>
      <c r="H14" s="133">
        <f>IF(B$17=0,0,G14/B$17)</f>
        <v>1.7857142857142856E-2</v>
      </c>
      <c r="I14" s="94">
        <v>7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20</v>
      </c>
      <c r="C15" s="37">
        <f>IF(B$13=0,0,B15/B$13)</f>
        <v>0.52631578947368418</v>
      </c>
      <c r="E15" s="63" t="s">
        <v>72</v>
      </c>
      <c r="F15" s="60" t="s">
        <v>27</v>
      </c>
      <c r="G15" s="47">
        <v>1</v>
      </c>
      <c r="H15" s="133">
        <f>IF(B$17=0,0,G15/B$17)</f>
        <v>1.7857142857142856E-2</v>
      </c>
      <c r="I15" s="94">
        <v>7</v>
      </c>
      <c r="K15" s="38">
        <v>13</v>
      </c>
      <c r="L15" s="99">
        <v>-86.8</v>
      </c>
      <c r="N15" s="114" t="s">
        <v>180</v>
      </c>
      <c r="O15" s="124">
        <f>IF(P15=0,0,Q15/P15)</f>
        <v>10.424999999999999</v>
      </c>
      <c r="P15" s="118">
        <v>12</v>
      </c>
      <c r="Q15" s="106">
        <v>125.1</v>
      </c>
    </row>
    <row r="16" spans="1:17" x14ac:dyDescent="0.4">
      <c r="A16" s="54" t="s">
        <v>125</v>
      </c>
      <c r="B16" s="46">
        <v>25</v>
      </c>
      <c r="C16" s="37">
        <f>IF(B$14=0,0,B16/B$14)</f>
        <v>0.49019607843137253</v>
      </c>
      <c r="E16" s="63" t="s">
        <v>79</v>
      </c>
      <c r="F16" s="60" t="s">
        <v>34</v>
      </c>
      <c r="G16" s="47">
        <v>1</v>
      </c>
      <c r="H16" s="133">
        <f>IF(B$17=0,0,G16/B$17)</f>
        <v>1.7857142857142856E-2</v>
      </c>
      <c r="I16" s="94">
        <v>4</v>
      </c>
      <c r="K16" s="38">
        <v>14</v>
      </c>
      <c r="L16" s="99">
        <v>-138.4</v>
      </c>
      <c r="N16" s="115" t="s">
        <v>167</v>
      </c>
      <c r="O16" s="125">
        <f>IF(P16=0,0,Q16/P16)</f>
        <v>3.7874999999999988</v>
      </c>
      <c r="P16" s="119">
        <v>8</v>
      </c>
      <c r="Q16" s="107">
        <v>30.29999999999999</v>
      </c>
    </row>
    <row r="17" spans="1:17" x14ac:dyDescent="0.4">
      <c r="A17" s="54" t="s">
        <v>10</v>
      </c>
      <c r="B17" s="46">
        <f>B19+B18</f>
        <v>56</v>
      </c>
      <c r="C17" s="37">
        <f>IF(B$3=0,0,B17/B$3)</f>
        <v>0.30601092896174864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1</v>
      </c>
      <c r="K17" s="38">
        <v>15</v>
      </c>
      <c r="L17" s="99">
        <v>-144.30000000000001</v>
      </c>
      <c r="N17" s="115" t="s">
        <v>127</v>
      </c>
      <c r="O17" s="125">
        <f>IF(P17=0,0,Q17/P17)</f>
        <v>-22.147368421052626</v>
      </c>
      <c r="P17" s="119">
        <v>19</v>
      </c>
      <c r="Q17" s="107">
        <v>-420.7999999999999</v>
      </c>
    </row>
    <row r="18" spans="1:17" x14ac:dyDescent="0.4">
      <c r="A18" s="55" t="s">
        <v>12</v>
      </c>
      <c r="B18" s="47">
        <v>16</v>
      </c>
      <c r="C18" s="39">
        <f>IF(B$17=0,0,B18/B$17)</f>
        <v>0.2857142857142857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-187.3</v>
      </c>
      <c r="N18" s="115" t="s">
        <v>182</v>
      </c>
      <c r="O18" s="125">
        <f>IF(P18=0,0,Q18/P18)</f>
        <v>-22.6</v>
      </c>
      <c r="P18" s="119">
        <v>1</v>
      </c>
      <c r="Q18" s="107">
        <v>-22.6</v>
      </c>
    </row>
    <row r="19" spans="1:17" x14ac:dyDescent="0.4">
      <c r="A19" s="55" t="s">
        <v>11</v>
      </c>
      <c r="B19" s="47">
        <v>40</v>
      </c>
      <c r="C19" s="39">
        <f>IF(B$17=0,0,B19/B$17)</f>
        <v>0.7142857142857143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-179.70000000000002</v>
      </c>
    </row>
    <row r="20" spans="1:17" x14ac:dyDescent="0.4">
      <c r="A20" s="55" t="s">
        <v>13</v>
      </c>
      <c r="B20" s="47">
        <v>36</v>
      </c>
      <c r="C20" s="39">
        <f>IF(B$3=0,0,B20/B$3)</f>
        <v>0.19672131147540983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-112.90000000000002</v>
      </c>
    </row>
    <row r="21" spans="1:17" x14ac:dyDescent="0.4">
      <c r="A21" s="55" t="s">
        <v>170</v>
      </c>
      <c r="B21" s="47">
        <v>4</v>
      </c>
      <c r="C21" s="135">
        <v>1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-162.40000000000003</v>
      </c>
    </row>
    <row r="22" spans="1:17" x14ac:dyDescent="0.4">
      <c r="A22" s="55" t="s">
        <v>171</v>
      </c>
      <c r="B22" s="47">
        <v>23</v>
      </c>
      <c r="C22" s="135">
        <v>10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-96.000000000000028</v>
      </c>
    </row>
    <row r="23" spans="1:17" x14ac:dyDescent="0.4">
      <c r="A23" s="55" t="s">
        <v>5</v>
      </c>
      <c r="B23" s="51">
        <f>IF(B$17=0,0,C23/B$17)</f>
        <v>8237.5</v>
      </c>
      <c r="C23" s="41">
        <v>461300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-7880.5555555555557</v>
      </c>
      <c r="C24" s="45">
        <v>-283700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6</v>
      </c>
    </row>
    <row r="25" spans="1:17" x14ac:dyDescent="0.4">
      <c r="A25" s="90" t="s">
        <v>141</v>
      </c>
      <c r="B25" s="144">
        <v>5</v>
      </c>
      <c r="C25" s="145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2">
        <v>91800</v>
      </c>
      <c r="C26" s="143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1</v>
      </c>
      <c r="C27" s="42">
        <f>IF(B$3=0,0,B27/B$3)</f>
        <v>5.4644808743169399E-3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4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B6371-8558-42A4-A975-4857D325F966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180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13</v>
      </c>
      <c r="C2" s="151"/>
      <c r="E2" s="62" t="s">
        <v>67</v>
      </c>
      <c r="F2" s="59" t="s">
        <v>23</v>
      </c>
      <c r="G2" s="46">
        <v>23</v>
      </c>
      <c r="H2" s="132">
        <f>IF(B$17=0,0,G2/B$17)</f>
        <v>0.8214285714285714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2638.4615384615386</v>
      </c>
      <c r="P2" s="118">
        <v>13</v>
      </c>
      <c r="Q2" s="102">
        <v>34300</v>
      </c>
    </row>
    <row r="3" spans="1:17" x14ac:dyDescent="0.4">
      <c r="A3" s="55" t="s">
        <v>8</v>
      </c>
      <c r="B3" s="152">
        <v>119</v>
      </c>
      <c r="C3" s="153"/>
      <c r="E3" s="63" t="s">
        <v>65</v>
      </c>
      <c r="F3" s="60" t="s">
        <v>21</v>
      </c>
      <c r="G3" s="47">
        <v>19</v>
      </c>
      <c r="H3" s="133">
        <f>IF(B$17=0,0,G3/B$17)</f>
        <v>0.6785714285714286</v>
      </c>
      <c r="I3" s="94">
        <v>1</v>
      </c>
      <c r="K3" s="38">
        <v>1</v>
      </c>
      <c r="L3" s="99">
        <v>-37.799999999999997</v>
      </c>
      <c r="N3" s="115" t="s">
        <v>132</v>
      </c>
      <c r="O3" s="122">
        <f t="shared" si="0"/>
        <v>-2150</v>
      </c>
      <c r="P3" s="119">
        <v>12</v>
      </c>
      <c r="Q3" s="103">
        <v>-25800</v>
      </c>
    </row>
    <row r="4" spans="1:17" x14ac:dyDescent="0.4">
      <c r="A4" s="55" t="s">
        <v>6</v>
      </c>
      <c r="B4" s="154">
        <v>-207.3</v>
      </c>
      <c r="C4" s="155"/>
      <c r="E4" s="63" t="s">
        <v>73</v>
      </c>
      <c r="F4" s="60" t="s">
        <v>28</v>
      </c>
      <c r="G4" s="47">
        <v>13</v>
      </c>
      <c r="H4" s="133">
        <f>IF(B$17=0,0,G4/B$17)</f>
        <v>0.4642857142857143</v>
      </c>
      <c r="I4" s="94">
        <v>7</v>
      </c>
      <c r="K4" s="38">
        <v>2</v>
      </c>
      <c r="L4" s="99">
        <v>-30.099999999999998</v>
      </c>
      <c r="N4" s="115" t="s">
        <v>133</v>
      </c>
      <c r="O4" s="122">
        <f t="shared" si="0"/>
        <v>666.66666666666663</v>
      </c>
      <c r="P4" s="119">
        <v>12</v>
      </c>
      <c r="Q4" s="103">
        <v>8000</v>
      </c>
    </row>
    <row r="5" spans="1:17" x14ac:dyDescent="0.4">
      <c r="A5" s="55" t="s">
        <v>7</v>
      </c>
      <c r="B5" s="156">
        <f>IF(B$2=0,0,B$4/B$2)</f>
        <v>-15.946153846153846</v>
      </c>
      <c r="C5" s="157"/>
      <c r="E5" s="63" t="s">
        <v>172</v>
      </c>
      <c r="F5" s="60" t="s">
        <v>173</v>
      </c>
      <c r="G5" s="47">
        <v>11</v>
      </c>
      <c r="H5" s="133">
        <f>IF(B$17=0,0,G5/B$17)</f>
        <v>0.39285714285714285</v>
      </c>
      <c r="I5" s="94">
        <v>4</v>
      </c>
      <c r="K5" s="38">
        <v>3</v>
      </c>
      <c r="L5" s="99">
        <v>-17.599999999999998</v>
      </c>
      <c r="N5" s="115" t="s">
        <v>134</v>
      </c>
      <c r="O5" s="122">
        <f t="shared" si="0"/>
        <v>-5000</v>
      </c>
      <c r="P5" s="119">
        <v>12</v>
      </c>
      <c r="Q5" s="103">
        <v>-60000</v>
      </c>
    </row>
    <row r="6" spans="1:17" x14ac:dyDescent="0.4">
      <c r="A6" s="55" t="s">
        <v>1</v>
      </c>
      <c r="B6" s="146">
        <f>IF(B$2=0,0,(B$7*1+B$8*2+B$9*3)/B$2)</f>
        <v>2.4615384615384617</v>
      </c>
      <c r="C6" s="147"/>
      <c r="E6" s="63" t="s">
        <v>68</v>
      </c>
      <c r="F6" s="60" t="s">
        <v>24</v>
      </c>
      <c r="G6" s="47">
        <v>8</v>
      </c>
      <c r="H6" s="133">
        <f>IF(B$17=0,0,G6/B$17)</f>
        <v>0.2857142857142857</v>
      </c>
      <c r="I6" s="94">
        <v>2</v>
      </c>
      <c r="K6" s="38">
        <v>4</v>
      </c>
      <c r="L6" s="99">
        <v>-54.899999999999991</v>
      </c>
      <c r="N6" s="115" t="s">
        <v>135</v>
      </c>
      <c r="O6" s="122">
        <f t="shared" si="0"/>
        <v>-7754.545454545455</v>
      </c>
      <c r="P6" s="119">
        <v>11</v>
      </c>
      <c r="Q6" s="103">
        <v>-85300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7.6923076923076927E-2</v>
      </c>
      <c r="E7" s="63" t="s">
        <v>69</v>
      </c>
      <c r="F7" s="60" t="s">
        <v>12</v>
      </c>
      <c r="G7" s="47">
        <v>6</v>
      </c>
      <c r="H7" s="133">
        <f>IF(B$17=0,0,G7/B$17)</f>
        <v>0.21428571428571427</v>
      </c>
      <c r="I7" s="94">
        <v>6</v>
      </c>
      <c r="K7" s="38">
        <v>5</v>
      </c>
      <c r="L7" s="99">
        <v>-33.699999999999989</v>
      </c>
      <c r="N7" s="116" t="s">
        <v>136</v>
      </c>
      <c r="O7" s="123">
        <f t="shared" si="0"/>
        <v>-1850</v>
      </c>
      <c r="P7" s="120">
        <v>10</v>
      </c>
      <c r="Q7" s="104">
        <v>-18500</v>
      </c>
    </row>
    <row r="8" spans="1:17" x14ac:dyDescent="0.4">
      <c r="A8" s="55" t="s">
        <v>3</v>
      </c>
      <c r="B8" s="47">
        <v>5</v>
      </c>
      <c r="C8" s="39">
        <f t="shared" si="1"/>
        <v>0.38461538461538464</v>
      </c>
      <c r="E8" s="63" t="s">
        <v>70</v>
      </c>
      <c r="F8" s="60" t="s">
        <v>25</v>
      </c>
      <c r="G8" s="47">
        <v>5</v>
      </c>
      <c r="H8" s="133">
        <f>IF(B$17=0,0,G8/B$17)</f>
        <v>0.17857142857142858</v>
      </c>
      <c r="I8" s="94">
        <v>3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si="1"/>
        <v>0.53846153846153844</v>
      </c>
      <c r="E9" s="63" t="s">
        <v>66</v>
      </c>
      <c r="F9" s="60" t="s">
        <v>22</v>
      </c>
      <c r="G9" s="47">
        <v>4</v>
      </c>
      <c r="H9" s="133">
        <f>IF(B$17=0,0,G9/B$17)</f>
        <v>0.14285714285714285</v>
      </c>
      <c r="I9" s="94">
        <v>3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0.15384615384615385</v>
      </c>
      <c r="E10" s="63" t="s">
        <v>71</v>
      </c>
      <c r="F10" s="60" t="s">
        <v>26</v>
      </c>
      <c r="G10" s="47">
        <v>3</v>
      </c>
      <c r="H10" s="133">
        <f>IF(B$17=0,0,G10/B$17)</f>
        <v>0.10714285714285714</v>
      </c>
      <c r="I10" s="94">
        <v>4</v>
      </c>
      <c r="K10" s="38">
        <v>8</v>
      </c>
      <c r="L10" s="99">
        <v>-62.999999999999993</v>
      </c>
      <c r="N10" s="114" t="s">
        <v>163</v>
      </c>
      <c r="O10" s="124">
        <f>IF(P10=0,0,Q10/P10)</f>
        <v>-4.0000000000000009</v>
      </c>
      <c r="P10" s="118">
        <v>6</v>
      </c>
      <c r="Q10" s="106">
        <v>-24.000000000000004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72</v>
      </c>
      <c r="F11" s="60" t="s">
        <v>27</v>
      </c>
      <c r="G11" s="47">
        <v>3</v>
      </c>
      <c r="H11" s="133">
        <f>IF(B$17=0,0,G11/B$17)</f>
        <v>0.10714285714285714</v>
      </c>
      <c r="I11" s="94">
        <v>4</v>
      </c>
      <c r="K11" s="38">
        <v>9</v>
      </c>
      <c r="L11" s="99">
        <v>-74.199999999999989</v>
      </c>
      <c r="N11" s="115" t="s">
        <v>164</v>
      </c>
      <c r="O11" s="125">
        <f>IF(P11=0,0,Q11/P11)</f>
        <v>-19.940000000000001</v>
      </c>
      <c r="P11" s="119">
        <v>5</v>
      </c>
      <c r="Q11" s="107">
        <v>-99.7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84</v>
      </c>
      <c r="F12" s="60" t="s">
        <v>39</v>
      </c>
      <c r="G12" s="47">
        <v>3</v>
      </c>
      <c r="H12" s="133">
        <f>IF(B$17=0,0,G12/B$17)</f>
        <v>0.10714285714285714</v>
      </c>
      <c r="I12" s="94">
        <v>2</v>
      </c>
      <c r="K12" s="38">
        <v>10</v>
      </c>
      <c r="L12" s="99">
        <v>-117.19999999999999</v>
      </c>
      <c r="N12" s="116" t="s">
        <v>165</v>
      </c>
      <c r="O12" s="126">
        <f>IF(P12=0,0,Q12/P12)</f>
        <v>-41.8</v>
      </c>
      <c r="P12" s="120">
        <v>2</v>
      </c>
      <c r="Q12" s="108">
        <v>-83.6</v>
      </c>
    </row>
    <row r="13" spans="1:17" x14ac:dyDescent="0.4">
      <c r="A13" s="58" t="s">
        <v>122</v>
      </c>
      <c r="B13" s="50">
        <v>31</v>
      </c>
      <c r="C13" s="44">
        <f>IF(B$3=0,0,B13/B$3)</f>
        <v>0.26050420168067229</v>
      </c>
      <c r="E13" s="63" t="s">
        <v>79</v>
      </c>
      <c r="F13" s="60" t="s">
        <v>34</v>
      </c>
      <c r="G13" s="47">
        <v>2</v>
      </c>
      <c r="H13" s="133">
        <f>IF(B$17=0,0,G13/B$17)</f>
        <v>7.1428571428571425E-2</v>
      </c>
      <c r="I13" s="94">
        <v>1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0.15966386554621848</v>
      </c>
      <c r="E14" s="63" t="s">
        <v>90</v>
      </c>
      <c r="F14" s="60" t="s">
        <v>45</v>
      </c>
      <c r="G14" s="47">
        <v>2</v>
      </c>
      <c r="H14" s="133">
        <f>IF(B$17=0,0,G14/B$17)</f>
        <v>7.1428571428571425E-2</v>
      </c>
      <c r="I14" s="94">
        <v>5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18</v>
      </c>
      <c r="C15" s="37">
        <f>IF(B$13=0,0,B15/B$13)</f>
        <v>0.58064516129032262</v>
      </c>
      <c r="E15" s="63" t="s">
        <v>82</v>
      </c>
      <c r="F15" s="60" t="s">
        <v>37</v>
      </c>
      <c r="G15" s="47">
        <v>1</v>
      </c>
      <c r="H15" s="133">
        <f>IF(B$17=0,0,G15/B$17)</f>
        <v>3.5714285714285712E-2</v>
      </c>
      <c r="I15" s="94">
        <v>3</v>
      </c>
      <c r="K15" s="38">
        <v>13</v>
      </c>
      <c r="L15" s="99">
        <v>-207.3</v>
      </c>
      <c r="N15" s="114" t="s">
        <v>167</v>
      </c>
      <c r="O15" s="124">
        <f>IF(P15=0,0,Q15/P15)</f>
        <v>35.9</v>
      </c>
      <c r="P15" s="118">
        <v>1</v>
      </c>
      <c r="Q15" s="106">
        <v>35.9</v>
      </c>
    </row>
    <row r="16" spans="1:17" x14ac:dyDescent="0.4">
      <c r="A16" s="54" t="s">
        <v>125</v>
      </c>
      <c r="B16" s="46">
        <v>3</v>
      </c>
      <c r="C16" s="37">
        <f>IF(B$14=0,0,B16/B$14)</f>
        <v>0.15789473684210525</v>
      </c>
      <c r="E16" s="63" t="s">
        <v>87</v>
      </c>
      <c r="F16" s="60" t="s">
        <v>42</v>
      </c>
      <c r="G16" s="47">
        <v>1</v>
      </c>
      <c r="H16" s="133">
        <f>IF(B$17=0,0,G16/B$17)</f>
        <v>3.5714285714285712E-2</v>
      </c>
      <c r="I16" s="94">
        <v>4</v>
      </c>
      <c r="N16" s="115" t="s">
        <v>128</v>
      </c>
      <c r="O16" s="125">
        <f>IF(P16=0,0,Q16/P16)</f>
        <v>-10.425000000000001</v>
      </c>
      <c r="P16" s="119">
        <v>12</v>
      </c>
      <c r="Q16" s="107">
        <v>-125.10000000000001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0.23529411764705882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1</v>
      </c>
      <c r="N17" s="115" t="s">
        <v>178</v>
      </c>
      <c r="O17" s="125">
        <f>IF(P17=0,0,Q17/P17)</f>
        <v>-28.699999999999996</v>
      </c>
      <c r="P17" s="119">
        <v>1</v>
      </c>
      <c r="Q17" s="107">
        <v>-28.699999999999996</v>
      </c>
    </row>
    <row r="18" spans="1:17" x14ac:dyDescent="0.4">
      <c r="A18" s="55" t="s">
        <v>12</v>
      </c>
      <c r="B18" s="47">
        <v>9</v>
      </c>
      <c r="C18" s="39">
        <f>IF(B$17=0,0,B18/B$17)</f>
        <v>0.32142857142857145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-38.118181818181824</v>
      </c>
      <c r="P18" s="119">
        <v>11</v>
      </c>
      <c r="Q18" s="107">
        <v>-419.30000000000007</v>
      </c>
    </row>
    <row r="19" spans="1:17" x14ac:dyDescent="0.4">
      <c r="A19" s="55" t="s">
        <v>11</v>
      </c>
      <c r="B19" s="47">
        <v>19</v>
      </c>
      <c r="C19" s="39">
        <f>IF(B$17=0,0,B19/B$17)</f>
        <v>0.6785714285714286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1</v>
      </c>
      <c r="N19" s="115" t="s">
        <v>179</v>
      </c>
      <c r="O19" s="125">
        <f>IF(P19=0,0,Q19/P19)</f>
        <v>-84.699999999999989</v>
      </c>
      <c r="P19" s="119">
        <v>1</v>
      </c>
      <c r="Q19" s="107">
        <v>-84.699999999999989</v>
      </c>
    </row>
    <row r="20" spans="1:17" x14ac:dyDescent="0.4">
      <c r="A20" s="55" t="s">
        <v>13</v>
      </c>
      <c r="B20" s="47">
        <v>29</v>
      </c>
      <c r="C20" s="39">
        <f>IF(B$3=0,0,B20/B$3)</f>
        <v>0.24369747899159663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3</v>
      </c>
    </row>
    <row r="22" spans="1:17" x14ac:dyDescent="0.4">
      <c r="A22" s="55" t="s">
        <v>171</v>
      </c>
      <c r="B22" s="47">
        <v>8</v>
      </c>
      <c r="C22" s="135">
        <v>0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7928.5714285714284</v>
      </c>
      <c r="C23" s="41">
        <v>222000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-8551.7241379310344</v>
      </c>
      <c r="C24" s="45">
        <v>-248000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4">
        <v>3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53700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9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9E1F6-F37C-4DF7-BE5A-7B9F86CAAD43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</v>
      </c>
      <c r="C2" s="151"/>
      <c r="E2" s="62" t="s">
        <v>67</v>
      </c>
      <c r="F2" s="59" t="s">
        <v>23</v>
      </c>
      <c r="G2" s="46">
        <v>6</v>
      </c>
      <c r="H2" s="132">
        <f>IF(B$17=0,0,G2/B$17)</f>
        <v>1.2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-5400</v>
      </c>
      <c r="P2" s="118">
        <v>2</v>
      </c>
      <c r="Q2" s="102">
        <v>-10800</v>
      </c>
    </row>
    <row r="3" spans="1:17" x14ac:dyDescent="0.4">
      <c r="A3" s="55" t="s">
        <v>8</v>
      </c>
      <c r="B3" s="152">
        <v>20</v>
      </c>
      <c r="C3" s="153"/>
      <c r="E3" s="63" t="s">
        <v>65</v>
      </c>
      <c r="F3" s="60" t="s">
        <v>21</v>
      </c>
      <c r="G3" s="47">
        <v>2</v>
      </c>
      <c r="H3" s="133">
        <f>IF(B$17=0,0,G3/B$17)</f>
        <v>0.4</v>
      </c>
      <c r="I3" s="94">
        <v>7</v>
      </c>
      <c r="K3" s="38">
        <v>1</v>
      </c>
      <c r="L3" s="99">
        <v>-9.1</v>
      </c>
      <c r="N3" s="115" t="s">
        <v>132</v>
      </c>
      <c r="O3" s="122">
        <f t="shared" si="0"/>
        <v>-5850</v>
      </c>
      <c r="P3" s="119">
        <v>2</v>
      </c>
      <c r="Q3" s="103">
        <v>-11700</v>
      </c>
    </row>
    <row r="4" spans="1:17" x14ac:dyDescent="0.4">
      <c r="A4" s="55" t="s">
        <v>6</v>
      </c>
      <c r="B4" s="154">
        <v>-67.3</v>
      </c>
      <c r="C4" s="155"/>
      <c r="E4" s="63" t="s">
        <v>69</v>
      </c>
      <c r="F4" s="60" t="s">
        <v>12</v>
      </c>
      <c r="G4" s="47">
        <v>2</v>
      </c>
      <c r="H4" s="133">
        <f>IF(B$17=0,0,G4/B$17)</f>
        <v>0.4</v>
      </c>
      <c r="I4" s="94">
        <v>1</v>
      </c>
      <c r="K4" s="38">
        <v>2</v>
      </c>
      <c r="L4" s="99">
        <v>-67.3</v>
      </c>
      <c r="N4" s="115" t="s">
        <v>133</v>
      </c>
      <c r="O4" s="122">
        <f t="shared" si="0"/>
        <v>-5650</v>
      </c>
      <c r="P4" s="119">
        <v>2</v>
      </c>
      <c r="Q4" s="103">
        <v>-11300</v>
      </c>
    </row>
    <row r="5" spans="1:17" x14ac:dyDescent="0.4">
      <c r="A5" s="55" t="s">
        <v>7</v>
      </c>
      <c r="B5" s="156">
        <f>IF(B$2=0,0,B$4/B$2)</f>
        <v>-33.65</v>
      </c>
      <c r="C5" s="157"/>
      <c r="E5" s="63" t="s">
        <v>90</v>
      </c>
      <c r="F5" s="60" t="s">
        <v>45</v>
      </c>
      <c r="G5" s="47">
        <v>2</v>
      </c>
      <c r="H5" s="133">
        <f>IF(B$17=0,0,G5/B$17)</f>
        <v>0.4</v>
      </c>
      <c r="I5" s="94">
        <v>1</v>
      </c>
      <c r="N5" s="115" t="s">
        <v>134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72</v>
      </c>
      <c r="F6" s="60" t="s">
        <v>27</v>
      </c>
      <c r="G6" s="47">
        <v>1</v>
      </c>
      <c r="H6" s="133">
        <f>IF(B$17=0,0,G6/B$17)</f>
        <v>0.2</v>
      </c>
      <c r="I6" s="94">
        <v>2</v>
      </c>
      <c r="N6" s="115" t="s">
        <v>135</v>
      </c>
      <c r="O6" s="122">
        <f t="shared" si="0"/>
        <v>-750</v>
      </c>
      <c r="P6" s="119">
        <v>2</v>
      </c>
      <c r="Q6" s="103">
        <v>-1500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73</v>
      </c>
      <c r="F7" s="60" t="s">
        <v>28</v>
      </c>
      <c r="G7" s="47">
        <v>1</v>
      </c>
      <c r="H7" s="133">
        <f>IF(B$17=0,0,G7/B$17)</f>
        <v>0.2</v>
      </c>
      <c r="I7" s="94">
        <v>8</v>
      </c>
      <c r="N7" s="116" t="s">
        <v>136</v>
      </c>
      <c r="O7" s="123">
        <f t="shared" si="0"/>
        <v>-20000</v>
      </c>
      <c r="P7" s="120">
        <v>1</v>
      </c>
      <c r="Q7" s="104">
        <v>-20000</v>
      </c>
    </row>
    <row r="8" spans="1:17" x14ac:dyDescent="0.4">
      <c r="A8" s="55" t="s">
        <v>3</v>
      </c>
      <c r="B8" s="47">
        <v>1</v>
      </c>
      <c r="C8" s="39">
        <f t="shared" si="1"/>
        <v>0.5</v>
      </c>
      <c r="E8" s="63" t="s">
        <v>82</v>
      </c>
      <c r="F8" s="60" t="s">
        <v>37</v>
      </c>
      <c r="G8" s="47">
        <v>1</v>
      </c>
      <c r="H8" s="133">
        <f>IF(B$17=0,0,G8/B$17)</f>
        <v>0.2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0.5</v>
      </c>
      <c r="E9" s="63" t="s">
        <v>66</v>
      </c>
      <c r="F9" s="60" t="s">
        <v>22</v>
      </c>
      <c r="G9" s="47">
        <v>0</v>
      </c>
      <c r="H9" s="133">
        <f>IF(B$17=0,0,G9/B$17)</f>
        <v>0</v>
      </c>
      <c r="I9" s="94">
        <v>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0.5</v>
      </c>
      <c r="E10" s="63" t="s">
        <v>68</v>
      </c>
      <c r="F10" s="60" t="s">
        <v>24</v>
      </c>
      <c r="G10" s="47">
        <v>0</v>
      </c>
      <c r="H10" s="133">
        <f>IF(B$17=0,0,G10/B$17)</f>
        <v>0</v>
      </c>
      <c r="I10" s="94">
        <v>8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70</v>
      </c>
      <c r="F11" s="60" t="s">
        <v>25</v>
      </c>
      <c r="G11" s="47">
        <v>0</v>
      </c>
      <c r="H11" s="133">
        <f>IF(B$17=0,0,G11/B$17)</f>
        <v>0</v>
      </c>
      <c r="I11" s="94">
        <v>7</v>
      </c>
      <c r="N11" s="115" t="s">
        <v>164</v>
      </c>
      <c r="O11" s="125">
        <f>IF(P11=0,0,Q11/P11)</f>
        <v>-9.1</v>
      </c>
      <c r="P11" s="119">
        <v>1</v>
      </c>
      <c r="Q11" s="107">
        <v>-9.1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71</v>
      </c>
      <c r="F12" s="60" t="s">
        <v>26</v>
      </c>
      <c r="G12" s="47">
        <v>0</v>
      </c>
      <c r="H12" s="133">
        <f>IF(B$17=0,0,G12/B$17)</f>
        <v>0</v>
      </c>
      <c r="I12" s="94">
        <v>8</v>
      </c>
      <c r="N12" s="116" t="s">
        <v>165</v>
      </c>
      <c r="O12" s="126">
        <f>IF(P12=0,0,Q12/P12)</f>
        <v>-58.2</v>
      </c>
      <c r="P12" s="120">
        <v>1</v>
      </c>
      <c r="Q12" s="108">
        <v>-58.2</v>
      </c>
    </row>
    <row r="13" spans="1:17" x14ac:dyDescent="0.4">
      <c r="A13" s="58" t="s">
        <v>122</v>
      </c>
      <c r="B13" s="50">
        <v>3</v>
      </c>
      <c r="C13" s="44">
        <f>IF(B$3=0,0,B13/B$3)</f>
        <v>0.15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</v>
      </c>
      <c r="C14" s="39">
        <f>IF(B$3=0,0,B14/B$3)</f>
        <v>0.1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</v>
      </c>
      <c r="C15" s="37">
        <f>IF(B$13=0,0,B15/B$13)</f>
        <v>0.66666666666666663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1</v>
      </c>
      <c r="N15" s="114" t="s">
        <v>180</v>
      </c>
      <c r="O15" s="124">
        <f>IF(P15=0,0,Q15/P15)</f>
        <v>28.699999999999996</v>
      </c>
      <c r="P15" s="118">
        <v>1</v>
      </c>
      <c r="Q15" s="106">
        <v>28.699999999999996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183</v>
      </c>
      <c r="O16" s="125">
        <f>IF(P16=0,0,Q16/P16)</f>
        <v>-46.2</v>
      </c>
      <c r="P16" s="119">
        <v>1</v>
      </c>
      <c r="Q16" s="107">
        <v>-46.2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3</v>
      </c>
      <c r="N17" s="115" t="s">
        <v>179</v>
      </c>
      <c r="O17" s="125">
        <f>IF(P17=0,0,Q17/P17)</f>
        <v>-56</v>
      </c>
      <c r="P17" s="119">
        <v>1</v>
      </c>
      <c r="Q17" s="107">
        <v>-56</v>
      </c>
    </row>
    <row r="18" spans="1:17" x14ac:dyDescent="0.4">
      <c r="A18" s="55" t="s">
        <v>12</v>
      </c>
      <c r="B18" s="47">
        <v>2</v>
      </c>
      <c r="C18" s="39">
        <f>IF(B$17=0,0,B18/B$17)</f>
        <v>0.4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5</v>
      </c>
      <c r="N18" s="115" t="s">
        <v>182</v>
      </c>
      <c r="O18" s="125">
        <f>IF(P18=0,0,Q18/P18)</f>
        <v>-128.4</v>
      </c>
      <c r="P18" s="119">
        <v>1</v>
      </c>
      <c r="Q18" s="107">
        <v>-128.4</v>
      </c>
    </row>
    <row r="19" spans="1:17" x14ac:dyDescent="0.4">
      <c r="A19" s="55" t="s">
        <v>11</v>
      </c>
      <c r="B19" s="47">
        <v>3</v>
      </c>
      <c r="C19" s="39">
        <f>IF(B$17=0,0,B19/B$17)</f>
        <v>0.6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3</v>
      </c>
    </row>
    <row r="20" spans="1:17" x14ac:dyDescent="0.4">
      <c r="A20" s="55" t="s">
        <v>13</v>
      </c>
      <c r="B20" s="47">
        <v>6</v>
      </c>
      <c r="C20" s="39">
        <f>IF(B$3=0,0,B20/B$3)</f>
        <v>0.3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4</v>
      </c>
      <c r="C22" s="135">
        <v>0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8100</v>
      </c>
      <c r="C23" s="41">
        <v>40500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3</v>
      </c>
    </row>
    <row r="24" spans="1:17" x14ac:dyDescent="0.4">
      <c r="A24" s="57" t="s">
        <v>14</v>
      </c>
      <c r="B24" s="52">
        <f>IF(B$20=0,0,C24/B$20)</f>
        <v>-14300</v>
      </c>
      <c r="C24" s="45">
        <v>-85800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4</v>
      </c>
    </row>
    <row r="25" spans="1:17" x14ac:dyDescent="0.4">
      <c r="A25" s="90" t="s">
        <v>141</v>
      </c>
      <c r="B25" s="144">
        <v>4</v>
      </c>
      <c r="C25" s="145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151</v>
      </c>
      <c r="B26" s="142">
        <v>25900</v>
      </c>
      <c r="C26" s="143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929A9-3C62-4631-A441-71BE338F04F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179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</v>
      </c>
      <c r="C2" s="151"/>
      <c r="E2" s="62" t="s">
        <v>73</v>
      </c>
      <c r="F2" s="59" t="s">
        <v>28</v>
      </c>
      <c r="G2" s="46">
        <v>5</v>
      </c>
      <c r="H2" s="132">
        <f>IF(B$17=0,0,G2/B$17)</f>
        <v>1.25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-7400</v>
      </c>
      <c r="P2" s="118">
        <v>2</v>
      </c>
      <c r="Q2" s="102">
        <v>-14800</v>
      </c>
    </row>
    <row r="3" spans="1:17" x14ac:dyDescent="0.4">
      <c r="A3" s="55" t="s">
        <v>8</v>
      </c>
      <c r="B3" s="152">
        <v>22</v>
      </c>
      <c r="C3" s="153"/>
      <c r="E3" s="63" t="s">
        <v>80</v>
      </c>
      <c r="F3" s="60" t="s">
        <v>35</v>
      </c>
      <c r="G3" s="47">
        <v>2</v>
      </c>
      <c r="H3" s="133">
        <f>IF(B$17=0,0,G3/B$17)</f>
        <v>0.5</v>
      </c>
      <c r="I3" s="94">
        <v>1</v>
      </c>
      <c r="K3" s="38">
        <v>1</v>
      </c>
      <c r="L3" s="99">
        <v>46.9</v>
      </c>
      <c r="N3" s="115" t="s">
        <v>132</v>
      </c>
      <c r="O3" s="122">
        <f t="shared" si="0"/>
        <v>-2150</v>
      </c>
      <c r="P3" s="119">
        <v>2</v>
      </c>
      <c r="Q3" s="103">
        <v>-4300</v>
      </c>
    </row>
    <row r="4" spans="1:17" x14ac:dyDescent="0.4">
      <c r="A4" s="55" t="s">
        <v>6</v>
      </c>
      <c r="B4" s="154">
        <v>8.1000000000000014</v>
      </c>
      <c r="C4" s="155"/>
      <c r="E4" s="63" t="s">
        <v>84</v>
      </c>
      <c r="F4" s="60" t="s">
        <v>39</v>
      </c>
      <c r="G4" s="47">
        <v>2</v>
      </c>
      <c r="H4" s="133">
        <f>IF(B$17=0,0,G4/B$17)</f>
        <v>0.5</v>
      </c>
      <c r="I4" s="94">
        <v>1</v>
      </c>
      <c r="K4" s="38">
        <v>2</v>
      </c>
      <c r="L4" s="99">
        <v>8.1000000000000014</v>
      </c>
      <c r="N4" s="115" t="s">
        <v>133</v>
      </c>
      <c r="O4" s="122">
        <f t="shared" si="0"/>
        <v>6500</v>
      </c>
      <c r="P4" s="119">
        <v>2</v>
      </c>
      <c r="Q4" s="103">
        <v>13000</v>
      </c>
    </row>
    <row r="5" spans="1:17" x14ac:dyDescent="0.4">
      <c r="A5" s="55" t="s">
        <v>7</v>
      </c>
      <c r="B5" s="156">
        <f>IF(B$2=0,0,B$4/B$2)</f>
        <v>4.0500000000000007</v>
      </c>
      <c r="C5" s="157"/>
      <c r="E5" s="63" t="s">
        <v>65</v>
      </c>
      <c r="F5" s="60" t="s">
        <v>21</v>
      </c>
      <c r="G5" s="47">
        <v>1</v>
      </c>
      <c r="H5" s="133">
        <f>IF(B$17=0,0,G5/B$17)</f>
        <v>0.25</v>
      </c>
      <c r="I5" s="94">
        <v>9</v>
      </c>
      <c r="N5" s="115" t="s">
        <v>134</v>
      </c>
      <c r="O5" s="122">
        <f t="shared" si="0"/>
        <v>-2300</v>
      </c>
      <c r="P5" s="119">
        <v>2</v>
      </c>
      <c r="Q5" s="103">
        <v>-4600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71</v>
      </c>
      <c r="F6" s="60" t="s">
        <v>26</v>
      </c>
      <c r="G6" s="47">
        <v>1</v>
      </c>
      <c r="H6" s="133">
        <f>IF(B$17=0,0,G6/B$17)</f>
        <v>0.25</v>
      </c>
      <c r="I6" s="94">
        <v>1</v>
      </c>
      <c r="N6" s="115" t="s">
        <v>135</v>
      </c>
      <c r="O6" s="122">
        <f t="shared" si="0"/>
        <v>-750</v>
      </c>
      <c r="P6" s="119">
        <v>2</v>
      </c>
      <c r="Q6" s="103">
        <v>-1500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0.5</v>
      </c>
      <c r="E7" s="63" t="s">
        <v>86</v>
      </c>
      <c r="F7" s="60" t="s">
        <v>41</v>
      </c>
      <c r="G7" s="47">
        <v>1</v>
      </c>
      <c r="H7" s="133">
        <f>IF(B$17=0,0,G7/B$17)</f>
        <v>0.25</v>
      </c>
      <c r="I7" s="94">
        <v>1</v>
      </c>
      <c r="N7" s="116" t="s">
        <v>136</v>
      </c>
      <c r="O7" s="123">
        <f t="shared" si="0"/>
        <v>10150</v>
      </c>
      <c r="P7" s="120">
        <v>2</v>
      </c>
      <c r="Q7" s="104">
        <v>20300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8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0.5</v>
      </c>
      <c r="E9" s="63" t="s">
        <v>67</v>
      </c>
      <c r="F9" s="60" t="s">
        <v>23</v>
      </c>
      <c r="G9" s="47">
        <v>0</v>
      </c>
      <c r="H9" s="133">
        <f>IF(B$17=0,0,G9/B$17)</f>
        <v>0</v>
      </c>
      <c r="I9" s="94">
        <v>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68</v>
      </c>
      <c r="F10" s="60" t="s">
        <v>24</v>
      </c>
      <c r="G10" s="47">
        <v>0</v>
      </c>
      <c r="H10" s="133">
        <f>IF(B$17=0,0,G10/B$17)</f>
        <v>0</v>
      </c>
      <c r="I10" s="94">
        <v>8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69</v>
      </c>
      <c r="F11" s="60" t="s">
        <v>12</v>
      </c>
      <c r="G11" s="47">
        <v>0</v>
      </c>
      <c r="H11" s="133">
        <f>IF(B$17=0,0,G11/B$17)</f>
        <v>0</v>
      </c>
      <c r="I11" s="94">
        <v>8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70</v>
      </c>
      <c r="F12" s="60" t="s">
        <v>25</v>
      </c>
      <c r="G12" s="47">
        <v>0</v>
      </c>
      <c r="H12" s="133">
        <f>IF(B$17=0,0,G12/B$17)</f>
        <v>0</v>
      </c>
      <c r="I12" s="94">
        <v>7</v>
      </c>
      <c r="N12" s="116" t="s">
        <v>165</v>
      </c>
      <c r="O12" s="126">
        <f>IF(P12=0,0,Q12/P12)</f>
        <v>4.0500000000000007</v>
      </c>
      <c r="P12" s="120">
        <v>2</v>
      </c>
      <c r="Q12" s="108">
        <v>8.1000000000000014</v>
      </c>
    </row>
    <row r="13" spans="1:17" x14ac:dyDescent="0.4">
      <c r="A13" s="58" t="s">
        <v>122</v>
      </c>
      <c r="B13" s="50">
        <v>2</v>
      </c>
      <c r="C13" s="44">
        <f>IF(B$3=0,0,B13/B$3)</f>
        <v>9.0909090909090912E-2</v>
      </c>
      <c r="E13" s="63" t="s">
        <v>72</v>
      </c>
      <c r="F13" s="60" t="s">
        <v>27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0.18181818181818182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</v>
      </c>
      <c r="C15" s="37">
        <f>IF(B$13=0,0,B15/B$13)</f>
        <v>0.5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1</v>
      </c>
      <c r="N15" s="114" t="s">
        <v>180</v>
      </c>
      <c r="O15" s="124">
        <f>IF(P15=0,0,Q15/P15)</f>
        <v>84.699999999999989</v>
      </c>
      <c r="P15" s="118">
        <v>1</v>
      </c>
      <c r="Q15" s="106">
        <v>84.699999999999989</v>
      </c>
    </row>
    <row r="16" spans="1:17" x14ac:dyDescent="0.4">
      <c r="A16" s="54" t="s">
        <v>125</v>
      </c>
      <c r="B16" s="46">
        <v>3</v>
      </c>
      <c r="C16" s="37">
        <f>IF(B$14=0,0,B16/B$14)</f>
        <v>0.75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1</v>
      </c>
      <c r="N16" s="115" t="s">
        <v>178</v>
      </c>
      <c r="O16" s="125">
        <f>IF(P16=0,0,Q16/P16)</f>
        <v>56</v>
      </c>
      <c r="P16" s="119">
        <v>1</v>
      </c>
      <c r="Q16" s="107">
        <v>56</v>
      </c>
    </row>
    <row r="17" spans="1:17" x14ac:dyDescent="0.4">
      <c r="A17" s="54" t="s">
        <v>10</v>
      </c>
      <c r="B17" s="46">
        <f>B19+B18</f>
        <v>4</v>
      </c>
      <c r="C17" s="37">
        <f>IF(B$3=0,0,B17/B$3)</f>
        <v>0.18181818181818182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167</v>
      </c>
      <c r="O17" s="125">
        <f>IF(P17=0,0,Q17/P17)</f>
        <v>-16.399999999999999</v>
      </c>
      <c r="P17" s="119">
        <v>1</v>
      </c>
      <c r="Q17" s="107">
        <v>-16.399999999999999</v>
      </c>
    </row>
    <row r="18" spans="1:17" x14ac:dyDescent="0.4">
      <c r="A18" s="55" t="s">
        <v>12</v>
      </c>
      <c r="B18" s="47">
        <v>1</v>
      </c>
      <c r="C18" s="39">
        <f>IF(B$17=0,0,B18/B$17)</f>
        <v>0.25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3</v>
      </c>
      <c r="N18" s="115" t="s">
        <v>127</v>
      </c>
      <c r="O18" s="125">
        <f>IF(P18=0,0,Q18/P18)</f>
        <v>-100</v>
      </c>
      <c r="P18" s="119">
        <v>1</v>
      </c>
      <c r="Q18" s="107">
        <v>-100</v>
      </c>
    </row>
    <row r="19" spans="1:17" x14ac:dyDescent="0.4">
      <c r="A19" s="55" t="s">
        <v>11</v>
      </c>
      <c r="B19" s="47">
        <v>3</v>
      </c>
      <c r="C19" s="39">
        <f>IF(B$17=0,0,B19/B$17)</f>
        <v>0.75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5</v>
      </c>
    </row>
    <row r="20" spans="1:17" x14ac:dyDescent="0.4">
      <c r="A20" s="55" t="s">
        <v>13</v>
      </c>
      <c r="B20" s="47">
        <v>1</v>
      </c>
      <c r="C20" s="39">
        <f>IF(B$3=0,0,B20/B$3)</f>
        <v>4.5454545454545456E-2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6</v>
      </c>
    </row>
    <row r="22" spans="1:17" x14ac:dyDescent="0.4">
      <c r="A22" s="55" t="s">
        <v>171</v>
      </c>
      <c r="B22" s="47">
        <v>15</v>
      </c>
      <c r="C22" s="135">
        <v>6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8950</v>
      </c>
      <c r="C23" s="41">
        <v>35800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3</v>
      </c>
    </row>
    <row r="24" spans="1:17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5</v>
      </c>
    </row>
    <row r="25" spans="1:17" x14ac:dyDescent="0.4">
      <c r="A25" s="90" t="s">
        <v>141</v>
      </c>
      <c r="B25" s="144">
        <v>0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71900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CD9DB-615D-40D9-BF44-9A36D24B2C39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</v>
      </c>
      <c r="C2" s="151"/>
      <c r="E2" s="62" t="s">
        <v>68</v>
      </c>
      <c r="F2" s="59" t="s">
        <v>24</v>
      </c>
      <c r="G2" s="46">
        <v>4</v>
      </c>
      <c r="H2" s="132">
        <f>IF(B$17=0,0,G2/B$17)</f>
        <v>1.3333333333333333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2300</v>
      </c>
      <c r="P2" s="118">
        <v>1</v>
      </c>
      <c r="Q2" s="102">
        <v>2300</v>
      </c>
    </row>
    <row r="3" spans="1:17" x14ac:dyDescent="0.4">
      <c r="A3" s="55" t="s">
        <v>8</v>
      </c>
      <c r="B3" s="152">
        <v>9</v>
      </c>
      <c r="C3" s="153"/>
      <c r="E3" s="63" t="s">
        <v>65</v>
      </c>
      <c r="F3" s="60" t="s">
        <v>21</v>
      </c>
      <c r="G3" s="47">
        <v>2</v>
      </c>
      <c r="H3" s="133">
        <f>IF(B$17=0,0,G3/B$17)</f>
        <v>0.66666666666666663</v>
      </c>
      <c r="I3" s="94">
        <v>2</v>
      </c>
      <c r="K3" s="38">
        <v>1</v>
      </c>
      <c r="L3" s="99">
        <v>-12</v>
      </c>
      <c r="N3" s="115" t="s">
        <v>132</v>
      </c>
      <c r="O3" s="122">
        <f t="shared" si="0"/>
        <v>-23000</v>
      </c>
      <c r="P3" s="119">
        <v>1</v>
      </c>
      <c r="Q3" s="103">
        <v>-23000</v>
      </c>
    </row>
    <row r="4" spans="1:17" x14ac:dyDescent="0.4">
      <c r="A4" s="55" t="s">
        <v>6</v>
      </c>
      <c r="B4" s="154">
        <v>-12</v>
      </c>
      <c r="C4" s="155"/>
      <c r="E4" s="63" t="s">
        <v>73</v>
      </c>
      <c r="F4" s="60" t="s">
        <v>28</v>
      </c>
      <c r="G4" s="47">
        <v>2</v>
      </c>
      <c r="H4" s="133">
        <f>IF(B$17=0,0,G4/B$17)</f>
        <v>0.66666666666666663</v>
      </c>
      <c r="I4" s="94">
        <v>2</v>
      </c>
      <c r="N4" s="115" t="s">
        <v>133</v>
      </c>
      <c r="O4" s="122">
        <f t="shared" si="0"/>
        <v>2200</v>
      </c>
      <c r="P4" s="119">
        <v>1</v>
      </c>
      <c r="Q4" s="103">
        <v>2200</v>
      </c>
    </row>
    <row r="5" spans="1:17" x14ac:dyDescent="0.4">
      <c r="A5" s="55" t="s">
        <v>7</v>
      </c>
      <c r="B5" s="156">
        <f>IF(B$2=0,0,B$4/B$2)</f>
        <v>-12</v>
      </c>
      <c r="C5" s="157"/>
      <c r="E5" s="63" t="s">
        <v>172</v>
      </c>
      <c r="F5" s="60" t="s">
        <v>173</v>
      </c>
      <c r="G5" s="47">
        <v>2</v>
      </c>
      <c r="H5" s="133">
        <f>IF(B$17=0,0,G5/B$17)</f>
        <v>0.66666666666666663</v>
      </c>
      <c r="I5" s="94">
        <v>1</v>
      </c>
      <c r="N5" s="115" t="s">
        <v>134</v>
      </c>
      <c r="O5" s="122">
        <f t="shared" si="0"/>
        <v>6500</v>
      </c>
      <c r="P5" s="119">
        <v>1</v>
      </c>
      <c r="Q5" s="103">
        <v>6500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66</v>
      </c>
      <c r="F6" s="60" t="s">
        <v>22</v>
      </c>
      <c r="G6" s="47">
        <v>1</v>
      </c>
      <c r="H6" s="133">
        <f>IF(B$17=0,0,G6/B$17)</f>
        <v>0.33333333333333331</v>
      </c>
      <c r="I6" s="94">
        <v>1</v>
      </c>
      <c r="N6" s="115" t="s">
        <v>135</v>
      </c>
      <c r="O6" s="122">
        <f t="shared" si="0"/>
        <v>0</v>
      </c>
      <c r="P6" s="119">
        <v>1</v>
      </c>
      <c r="Q6" s="103">
        <v>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67</v>
      </c>
      <c r="F7" s="60" t="s">
        <v>23</v>
      </c>
      <c r="G7" s="47">
        <v>0</v>
      </c>
      <c r="H7" s="133">
        <f>IF(B$17=0,0,G7/B$17)</f>
        <v>0</v>
      </c>
      <c r="I7" s="94">
        <v>8</v>
      </c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 t="shared" si="1"/>
        <v>1</v>
      </c>
      <c r="E8" s="63" t="s">
        <v>69</v>
      </c>
      <c r="F8" s="60" t="s">
        <v>12</v>
      </c>
      <c r="G8" s="47">
        <v>0</v>
      </c>
      <c r="H8" s="133">
        <f>IF(B$17=0,0,G8/B$17)</f>
        <v>0</v>
      </c>
      <c r="I8" s="94">
        <v>8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8</v>
      </c>
      <c r="N10" s="114" t="s">
        <v>163</v>
      </c>
      <c r="O10" s="124">
        <f>IF(P10=0,0,Q10/P10)</f>
        <v>-12</v>
      </c>
      <c r="P10" s="118">
        <v>1</v>
      </c>
      <c r="Q10" s="106">
        <v>-12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8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74</v>
      </c>
      <c r="F12" s="60" t="s">
        <v>29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4</v>
      </c>
      <c r="C13" s="44">
        <f>IF(B$3=0,0,B13/B$3)</f>
        <v>0.44444444444444442</v>
      </c>
      <c r="E13" s="63" t="s">
        <v>75</v>
      </c>
      <c r="F13" s="60" t="s">
        <v>30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</v>
      </c>
      <c r="C14" s="39">
        <f>IF(B$3=0,0,B14/B$3)</f>
        <v>0.22222222222222221</v>
      </c>
      <c r="E14" s="63" t="s">
        <v>76</v>
      </c>
      <c r="F14" s="60" t="s">
        <v>31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</v>
      </c>
      <c r="C15" s="37">
        <f>IF(B$13=0,0,B15/B$13)</f>
        <v>0.5</v>
      </c>
      <c r="E15" s="63" t="s">
        <v>77</v>
      </c>
      <c r="F15" s="60" t="s">
        <v>32</v>
      </c>
      <c r="G15" s="47">
        <v>0</v>
      </c>
      <c r="H15" s="133">
        <f>IF(B$17=0,0,G15/B$17)</f>
        <v>0</v>
      </c>
      <c r="I15" s="94">
        <v>1</v>
      </c>
      <c r="N15" s="114" t="s">
        <v>178</v>
      </c>
      <c r="O15" s="124">
        <f>IF(P15=0,0,Q15/P15)</f>
        <v>46.2</v>
      </c>
      <c r="P15" s="118">
        <v>1</v>
      </c>
      <c r="Q15" s="106">
        <v>46.2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78</v>
      </c>
      <c r="F16" s="60" t="s">
        <v>33</v>
      </c>
      <c r="G16" s="47">
        <v>0</v>
      </c>
      <c r="H16" s="133">
        <f>IF(B$17=0,0,G16/B$17)</f>
        <v>0</v>
      </c>
      <c r="I16" s="94">
        <v>3</v>
      </c>
      <c r="N16" s="115" t="s">
        <v>182</v>
      </c>
      <c r="O16" s="125">
        <f>IF(P16=0,0,Q16/P16)</f>
        <v>-82.2</v>
      </c>
      <c r="P16" s="119">
        <v>1</v>
      </c>
      <c r="Q16" s="107">
        <v>-82.2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0.33333333333333331</v>
      </c>
      <c r="E17" s="63" t="s">
        <v>79</v>
      </c>
      <c r="F17" s="60" t="s">
        <v>34</v>
      </c>
      <c r="G17" s="47">
        <v>0</v>
      </c>
      <c r="H17" s="133">
        <f>IF(B$17=0,0,G17/B$17)</f>
        <v>0</v>
      </c>
      <c r="I17" s="94">
        <v>5</v>
      </c>
    </row>
    <row r="18" spans="1:9" x14ac:dyDescent="0.4">
      <c r="A18" s="55" t="s">
        <v>12</v>
      </c>
      <c r="B18" s="47">
        <v>1</v>
      </c>
      <c r="C18" s="39">
        <f>IF(B$17=0,0,B18/B$17)</f>
        <v>0.33333333333333331</v>
      </c>
      <c r="E18" s="63" t="s">
        <v>80</v>
      </c>
      <c r="F18" s="60" t="s">
        <v>35</v>
      </c>
      <c r="G18" s="47">
        <v>0</v>
      </c>
      <c r="H18" s="133">
        <f>IF(B$17=0,0,G18/B$17)</f>
        <v>0</v>
      </c>
      <c r="I18" s="94">
        <v>3</v>
      </c>
    </row>
    <row r="19" spans="1:9" x14ac:dyDescent="0.4">
      <c r="A19" s="55" t="s">
        <v>11</v>
      </c>
      <c r="B19" s="47">
        <v>2</v>
      </c>
      <c r="C19" s="39">
        <f>IF(B$17=0,0,B19/B$17)</f>
        <v>0.66666666666666663</v>
      </c>
      <c r="E19" s="63" t="s">
        <v>81</v>
      </c>
      <c r="F19" s="60" t="s">
        <v>36</v>
      </c>
      <c r="G19" s="47">
        <v>0</v>
      </c>
      <c r="H19" s="133">
        <f>IF(B$17=0,0,G19/B$17)</f>
        <v>0</v>
      </c>
      <c r="I19" s="94">
        <v>1</v>
      </c>
    </row>
    <row r="20" spans="1:9" x14ac:dyDescent="0.4">
      <c r="A20" s="55" t="s">
        <v>13</v>
      </c>
      <c r="B20" s="47">
        <v>3</v>
      </c>
      <c r="C20" s="39">
        <f>IF(B$3=0,0,B20/B$3)</f>
        <v>0.33333333333333331</v>
      </c>
      <c r="E20" s="63" t="s">
        <v>82</v>
      </c>
      <c r="F20" s="60" t="s">
        <v>37</v>
      </c>
      <c r="G20" s="47">
        <v>0</v>
      </c>
      <c r="H20" s="133">
        <f>IF(B$17=0,0,G20/B$17)</f>
        <v>0</v>
      </c>
      <c r="I20" s="94">
        <v>6</v>
      </c>
    </row>
    <row r="21" spans="1:9" x14ac:dyDescent="0.4">
      <c r="A21" s="55" t="s">
        <v>170</v>
      </c>
      <c r="B21" s="47">
        <v>2</v>
      </c>
      <c r="C21" s="135">
        <v>0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171</v>
      </c>
      <c r="B22" s="47">
        <v>4</v>
      </c>
      <c r="C22" s="135">
        <v>4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7</v>
      </c>
    </row>
    <row r="23" spans="1:9" x14ac:dyDescent="0.4">
      <c r="A23" s="55" t="s">
        <v>5</v>
      </c>
      <c r="B23" s="51">
        <f>IF(B$17=0,0,C23/B$17)</f>
        <v>8400</v>
      </c>
      <c r="C23" s="41">
        <v>25200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-9233.3333333333339</v>
      </c>
      <c r="C24" s="45">
        <v>-27700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4</v>
      </c>
    </row>
    <row r="25" spans="1:9" x14ac:dyDescent="0.4">
      <c r="A25" s="90" t="s">
        <v>141</v>
      </c>
      <c r="B25" s="144">
        <v>4</v>
      </c>
      <c r="C25" s="145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5</v>
      </c>
    </row>
    <row r="26" spans="1:9" x14ac:dyDescent="0.4">
      <c r="A26" s="58" t="s">
        <v>151</v>
      </c>
      <c r="B26" s="142">
        <v>23000</v>
      </c>
      <c r="C26" s="143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3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3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7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4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471A-0CF4-40E3-AFDD-127B55705D3E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182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</v>
      </c>
      <c r="C2" s="151"/>
      <c r="E2" s="62" t="s">
        <v>67</v>
      </c>
      <c r="F2" s="59" t="s">
        <v>23</v>
      </c>
      <c r="G2" s="46">
        <v>9</v>
      </c>
      <c r="H2" s="132">
        <f>IF(B$17=0,0,G2/B$17)</f>
        <v>1.125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3600</v>
      </c>
      <c r="P2" s="118">
        <v>2</v>
      </c>
      <c r="Q2" s="102">
        <v>7200</v>
      </c>
    </row>
    <row r="3" spans="1:17" x14ac:dyDescent="0.4">
      <c r="A3" s="55" t="s">
        <v>8</v>
      </c>
      <c r="B3" s="152">
        <v>16</v>
      </c>
      <c r="C3" s="153"/>
      <c r="E3" s="63" t="s">
        <v>172</v>
      </c>
      <c r="F3" s="60" t="s">
        <v>173</v>
      </c>
      <c r="G3" s="47">
        <v>5</v>
      </c>
      <c r="H3" s="133">
        <f>IF(B$17=0,0,G3/B$17)</f>
        <v>0.625</v>
      </c>
      <c r="I3" s="94">
        <v>2</v>
      </c>
      <c r="K3" s="38">
        <v>1</v>
      </c>
      <c r="L3" s="99">
        <v>70.2</v>
      </c>
      <c r="N3" s="115" t="s">
        <v>132</v>
      </c>
      <c r="O3" s="122">
        <f t="shared" si="0"/>
        <v>15100</v>
      </c>
      <c r="P3" s="119">
        <v>2</v>
      </c>
      <c r="Q3" s="103">
        <v>30200</v>
      </c>
    </row>
    <row r="4" spans="1:17" x14ac:dyDescent="0.4">
      <c r="A4" s="55" t="s">
        <v>6</v>
      </c>
      <c r="B4" s="154">
        <v>68.5</v>
      </c>
      <c r="C4" s="155"/>
      <c r="E4" s="63" t="s">
        <v>65</v>
      </c>
      <c r="F4" s="60" t="s">
        <v>21</v>
      </c>
      <c r="G4" s="47">
        <v>4</v>
      </c>
      <c r="H4" s="133">
        <f>IF(B$17=0,0,G4/B$17)</f>
        <v>0.5</v>
      </c>
      <c r="I4" s="94">
        <v>3</v>
      </c>
      <c r="K4" s="38">
        <v>2</v>
      </c>
      <c r="L4" s="99">
        <v>68.5</v>
      </c>
      <c r="N4" s="115" t="s">
        <v>133</v>
      </c>
      <c r="O4" s="122">
        <f t="shared" si="0"/>
        <v>-100</v>
      </c>
      <c r="P4" s="119">
        <v>2</v>
      </c>
      <c r="Q4" s="103">
        <v>-200</v>
      </c>
    </row>
    <row r="5" spans="1:17" x14ac:dyDescent="0.4">
      <c r="A5" s="55" t="s">
        <v>7</v>
      </c>
      <c r="B5" s="156">
        <f>IF(B$2=0,0,B$4/B$2)</f>
        <v>34.25</v>
      </c>
      <c r="C5" s="157"/>
      <c r="E5" s="63" t="s">
        <v>72</v>
      </c>
      <c r="F5" s="60" t="s">
        <v>27</v>
      </c>
      <c r="G5" s="47">
        <v>4</v>
      </c>
      <c r="H5" s="133">
        <f>IF(B$17=0,0,G5/B$17)</f>
        <v>0.5</v>
      </c>
      <c r="I5" s="94">
        <v>1</v>
      </c>
      <c r="N5" s="115" t="s">
        <v>134</v>
      </c>
      <c r="O5" s="122">
        <f t="shared" si="0"/>
        <v>-4000</v>
      </c>
      <c r="P5" s="119">
        <v>2</v>
      </c>
      <c r="Q5" s="103">
        <v>-8000</v>
      </c>
    </row>
    <row r="6" spans="1:17" x14ac:dyDescent="0.4">
      <c r="A6" s="55" t="s">
        <v>1</v>
      </c>
      <c r="B6" s="146">
        <f>IF(B$2=0,0,(B$7*1+B$8*2+B$9*3)/B$2)</f>
        <v>1.5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0.375</v>
      </c>
      <c r="I6" s="94">
        <v>2</v>
      </c>
      <c r="N6" s="115" t="s">
        <v>135</v>
      </c>
      <c r="O6" s="122">
        <f t="shared" si="0"/>
        <v>14650</v>
      </c>
      <c r="P6" s="119">
        <v>2</v>
      </c>
      <c r="Q6" s="103">
        <v>29300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3</v>
      </c>
      <c r="H7" s="133">
        <f>IF(B$17=0,0,G7/B$17)</f>
        <v>0.375</v>
      </c>
      <c r="I7" s="94">
        <v>1</v>
      </c>
      <c r="N7" s="116" t="s">
        <v>136</v>
      </c>
      <c r="O7" s="123">
        <f t="shared" si="0"/>
        <v>0</v>
      </c>
      <c r="P7" s="120">
        <v>1</v>
      </c>
      <c r="Q7" s="104">
        <v>0</v>
      </c>
    </row>
    <row r="8" spans="1:17" x14ac:dyDescent="0.4">
      <c r="A8" s="55" t="s">
        <v>3</v>
      </c>
      <c r="B8" s="47">
        <v>1</v>
      </c>
      <c r="C8" s="39">
        <f t="shared" si="1"/>
        <v>0.5</v>
      </c>
      <c r="E8" s="63" t="s">
        <v>66</v>
      </c>
      <c r="F8" s="60" t="s">
        <v>22</v>
      </c>
      <c r="G8" s="47">
        <v>1</v>
      </c>
      <c r="H8" s="133">
        <f>IF(B$17=0,0,G8/B$17)</f>
        <v>0.125</v>
      </c>
      <c r="I8" s="94">
        <v>4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68</v>
      </c>
      <c r="F9" s="60" t="s">
        <v>24</v>
      </c>
      <c r="G9" s="47">
        <v>1</v>
      </c>
      <c r="H9" s="133">
        <f>IF(B$17=0,0,G9/B$17)</f>
        <v>0.125</v>
      </c>
      <c r="I9" s="94">
        <v>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71</v>
      </c>
      <c r="F10" s="60" t="s">
        <v>26</v>
      </c>
      <c r="G10" s="47">
        <v>1</v>
      </c>
      <c r="H10" s="133">
        <f>IF(B$17=0,0,G10/B$17)</f>
        <v>0.125</v>
      </c>
      <c r="I10" s="94">
        <v>3</v>
      </c>
      <c r="N10" s="114" t="s">
        <v>163</v>
      </c>
      <c r="O10" s="124">
        <f>IF(P10=0,0,Q10/P10)</f>
        <v>-1.7</v>
      </c>
      <c r="P10" s="118">
        <v>1</v>
      </c>
      <c r="Q10" s="106">
        <v>-1.7</v>
      </c>
    </row>
    <row r="11" spans="1:17" x14ac:dyDescent="0.4">
      <c r="A11" s="56" t="s">
        <v>139</v>
      </c>
      <c r="B11" s="48">
        <v>1</v>
      </c>
      <c r="C11" s="40">
        <f t="shared" si="1"/>
        <v>0.5</v>
      </c>
      <c r="E11" s="63" t="s">
        <v>73</v>
      </c>
      <c r="F11" s="60" t="s">
        <v>28</v>
      </c>
      <c r="G11" s="47">
        <v>1</v>
      </c>
      <c r="H11" s="133">
        <f>IF(B$17=0,0,G11/B$17)</f>
        <v>0.125</v>
      </c>
      <c r="I11" s="94">
        <v>9</v>
      </c>
      <c r="N11" s="115" t="s">
        <v>164</v>
      </c>
      <c r="O11" s="125">
        <f>IF(P11=0,0,Q11/P11)</f>
        <v>70.2</v>
      </c>
      <c r="P11" s="119">
        <v>1</v>
      </c>
      <c r="Q11" s="107">
        <v>70.2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88</v>
      </c>
      <c r="F12" s="60" t="s">
        <v>43</v>
      </c>
      <c r="G12" s="47">
        <v>1</v>
      </c>
      <c r="H12" s="133">
        <f>IF(B$17=0,0,G12/B$17)</f>
        <v>0.125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6</v>
      </c>
      <c r="C13" s="44">
        <f>IF(B$3=0,0,B13/B$3)</f>
        <v>0.375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0</v>
      </c>
      <c r="C14" s="39">
        <f>IF(B$3=0,0,B14/B$3)</f>
        <v>0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</v>
      </c>
      <c r="C15" s="37">
        <f>IF(B$13=0,0,B15/B$13)</f>
        <v>0.83333333333333337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1</v>
      </c>
      <c r="N15" s="114" t="s">
        <v>178</v>
      </c>
      <c r="O15" s="124">
        <f>IF(P15=0,0,Q15/P15)</f>
        <v>128.4</v>
      </c>
      <c r="P15" s="118">
        <v>1</v>
      </c>
      <c r="Q15" s="106">
        <v>128.4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183</v>
      </c>
      <c r="O16" s="125">
        <f>IF(P16=0,0,Q16/P16)</f>
        <v>82.2</v>
      </c>
      <c r="P16" s="119">
        <v>1</v>
      </c>
      <c r="Q16" s="107">
        <v>82.2</v>
      </c>
    </row>
    <row r="17" spans="1:17" x14ac:dyDescent="0.4">
      <c r="A17" s="54" t="s">
        <v>10</v>
      </c>
      <c r="B17" s="46">
        <f>B19+B18</f>
        <v>8</v>
      </c>
      <c r="C17" s="37">
        <f>IF(B$3=0,0,B17/B$3)</f>
        <v>0.5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3</v>
      </c>
      <c r="N17" s="115" t="s">
        <v>128</v>
      </c>
      <c r="O17" s="125">
        <f>IF(P17=0,0,Q17/P17)</f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3</v>
      </c>
      <c r="C18" s="39">
        <f>IF(B$17=0,0,B18/B$17)</f>
        <v>0.375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-27.7</v>
      </c>
      <c r="P18" s="119">
        <v>1</v>
      </c>
      <c r="Q18" s="107">
        <v>-27.7</v>
      </c>
    </row>
    <row r="19" spans="1:17" x14ac:dyDescent="0.4">
      <c r="A19" s="55" t="s">
        <v>11</v>
      </c>
      <c r="B19" s="47">
        <v>5</v>
      </c>
      <c r="C19" s="39">
        <f>IF(B$17=0,0,B19/B$17)</f>
        <v>0.625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3</v>
      </c>
    </row>
    <row r="20" spans="1:17" x14ac:dyDescent="0.4">
      <c r="A20" s="55" t="s">
        <v>13</v>
      </c>
      <c r="B20" s="47">
        <v>1</v>
      </c>
      <c r="C20" s="39">
        <f>IF(B$3=0,0,B20/B$3)</f>
        <v>6.25E-2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6</v>
      </c>
    </row>
    <row r="22" spans="1:17" x14ac:dyDescent="0.4">
      <c r="A22" s="55" t="s">
        <v>171</v>
      </c>
      <c r="B22" s="47">
        <v>9</v>
      </c>
      <c r="C22" s="135">
        <v>9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9800</v>
      </c>
      <c r="C23" s="41">
        <v>78400</v>
      </c>
      <c r="E23" s="63" t="s">
        <v>84</v>
      </c>
      <c r="F23" s="60" t="s">
        <v>39</v>
      </c>
      <c r="G23" s="47">
        <v>0</v>
      </c>
      <c r="H23" s="133">
        <f>IF(B$17=0,0,G23/B$17)</f>
        <v>0</v>
      </c>
      <c r="I23" s="94">
        <v>7</v>
      </c>
    </row>
    <row r="24" spans="1:17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141</v>
      </c>
      <c r="B25" s="144">
        <v>7</v>
      </c>
      <c r="C25" s="145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151</v>
      </c>
      <c r="B26" s="142">
        <v>95200</v>
      </c>
      <c r="C26" s="143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7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CDB3B-A64D-4420-9DD1-03B571055DD1}">
  <sheetPr codeName="Sheet22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274A4-C451-4F7E-8BE8-EEF2F5FC9B1C}">
  <sheetPr codeName="Sheet2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6BE43-86D8-4840-AF3B-468C065733F1}">
  <sheetPr codeName="Sheet18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FF45-0476-4547-83B9-13704A1B557F}">
  <sheetPr codeName="Sheet16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74043-41AF-4853-8621-1FB5E451354E}">
  <sheetPr codeName="Sheet14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46B8E-4B66-4BFC-99AB-21B66AD74733}">
  <sheetPr codeName="Sheet12"/>
  <dimension ref="A1:Q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66276-1FD8-451C-B820-D6057F46E871}">
  <sheetPr codeName="Sheet10"/>
  <dimension ref="A1:Q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5C1E-6888-4E77-8314-EE1303D3ECF6}">
  <sheetPr codeName="Sheet8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5625D-ED1E-4AF4-B528-9E96F6E47C26}">
  <sheetPr codeName="Sheet6"/>
  <dimension ref="A1:Q2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390</vt:i4>
      </vt:variant>
    </vt:vector>
  </HeadingPairs>
  <TitlesOfParts>
    <vt:vector size="429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2019-09-29T11:58:38Z</dcterms:modified>
</cp:coreProperties>
</file>