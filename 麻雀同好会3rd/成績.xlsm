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752682F0-C33A-42FB-AE41-E16A2A290440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57" l="1"/>
  <c r="O18" i="5661"/>
  <c r="O16" i="5651" l="1"/>
  <c r="O17" i="5657"/>
  <c r="O16" i="5659"/>
  <c r="O17" i="5659"/>
  <c r="O18" i="5647" l="1"/>
  <c r="O19" i="5661"/>
  <c r="O20" i="5661"/>
  <c r="O17" i="5653"/>
  <c r="O18" i="5651" l="1"/>
  <c r="O18" i="5655"/>
  <c r="O16" i="5655" l="1"/>
  <c r="O20" i="5649"/>
  <c r="O19" i="5659"/>
  <c r="O16" i="5663"/>
  <c r="O15" i="5663"/>
  <c r="O21" i="5661"/>
  <c r="O15" i="5651" l="1"/>
  <c r="O17" i="5651"/>
  <c r="O17" i="5663"/>
  <c r="O18" i="5663"/>
  <c r="H47" i="5663"/>
  <c r="C27" i="5663"/>
  <c r="B24" i="5663"/>
  <c r="C20" i="5663"/>
  <c r="B17" i="5663"/>
  <c r="H50" i="5663" s="1"/>
  <c r="H16" i="5663"/>
  <c r="C16" i="5663"/>
  <c r="C15" i="5663"/>
  <c r="C14" i="5663"/>
  <c r="C13" i="5663"/>
  <c r="O12" i="5663"/>
  <c r="C12" i="5663"/>
  <c r="O11" i="5663"/>
  <c r="C11" i="5663"/>
  <c r="O10" i="5663"/>
  <c r="C10" i="5663"/>
  <c r="C9" i="5663"/>
  <c r="H8" i="5663"/>
  <c r="C8" i="5663"/>
  <c r="O7" i="5663"/>
  <c r="C7" i="5663"/>
  <c r="O6" i="5663"/>
  <c r="B6" i="5663"/>
  <c r="O5" i="5663"/>
  <c r="B5" i="5663"/>
  <c r="O4" i="5663"/>
  <c r="O3" i="5663"/>
  <c r="O2" i="5663"/>
  <c r="O21" i="5657"/>
  <c r="O15" i="5657"/>
  <c r="O17" i="5645"/>
  <c r="H32" i="5663" l="1"/>
  <c r="H12" i="5663"/>
  <c r="H24" i="5663"/>
  <c r="H2" i="5663"/>
  <c r="H11" i="5663"/>
  <c r="H15" i="5663"/>
  <c r="H35" i="5663"/>
  <c r="H36" i="5663"/>
  <c r="H5" i="5663"/>
  <c r="H19" i="5663"/>
  <c r="H37" i="5663"/>
  <c r="H44" i="5663"/>
  <c r="H43" i="5663"/>
  <c r="H6" i="5663"/>
  <c r="H18" i="5663"/>
  <c r="H45" i="5663"/>
  <c r="H9" i="5663"/>
  <c r="H25" i="5663"/>
  <c r="C18" i="5663"/>
  <c r="H3" i="5663"/>
  <c r="H27" i="5663"/>
  <c r="H14" i="5663"/>
  <c r="C19" i="5663"/>
  <c r="H31" i="5663"/>
  <c r="H46" i="5663"/>
  <c r="H48" i="5663"/>
  <c r="H39" i="5663"/>
  <c r="H4" i="5663"/>
  <c r="H10" i="5663"/>
  <c r="H22" i="5663"/>
  <c r="H28" i="5663"/>
  <c r="H38" i="5663"/>
  <c r="H7" i="5663"/>
  <c r="H13" i="5663"/>
  <c r="C17" i="5663"/>
  <c r="B23" i="5663"/>
  <c r="H29" i="5663"/>
  <c r="H51" i="5663"/>
  <c r="H17" i="5663"/>
  <c r="H23" i="5663"/>
  <c r="H30" i="5663"/>
  <c r="H40" i="5663"/>
  <c r="H52" i="5663"/>
  <c r="H20" i="5663"/>
  <c r="H26" i="5663"/>
  <c r="H33" i="5663"/>
  <c r="H41" i="5663"/>
  <c r="H49" i="5663"/>
  <c r="H21" i="5663"/>
  <c r="H34" i="5663"/>
  <c r="H42" i="5663"/>
  <c r="O16" i="5649" l="1"/>
  <c r="O19" i="5653"/>
  <c r="O17" i="5649" l="1"/>
  <c r="O20" i="5657"/>
  <c r="O22" i="5657"/>
  <c r="O15" i="5647"/>
  <c r="O19" i="5651"/>
  <c r="O15" i="5653"/>
  <c r="O16" i="5653"/>
  <c r="O17" i="5647"/>
  <c r="O22" i="5651"/>
  <c r="O15" i="5649"/>
  <c r="O17" i="5661"/>
  <c r="O22" i="5661"/>
  <c r="O20" i="5655" l="1"/>
  <c r="O19" i="5655"/>
  <c r="O16" i="5661"/>
  <c r="O15" i="5661"/>
  <c r="C27" i="5661"/>
  <c r="B24" i="5661"/>
  <c r="C20" i="5661"/>
  <c r="B17" i="5661"/>
  <c r="H51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8" i="5659"/>
  <c r="C27" i="5659"/>
  <c r="B24" i="5659"/>
  <c r="C20" i="5659"/>
  <c r="B17" i="5659"/>
  <c r="H51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22" i="5661" l="1"/>
  <c r="C17" i="5661"/>
  <c r="H17" i="5661"/>
  <c r="H2" i="5661"/>
  <c r="H33" i="5661"/>
  <c r="H41" i="5661"/>
  <c r="H49" i="5661"/>
  <c r="H27" i="5661"/>
  <c r="H36" i="5661"/>
  <c r="H44" i="5661"/>
  <c r="H7" i="5661"/>
  <c r="H18" i="5661"/>
  <c r="C18" i="5661"/>
  <c r="H29" i="5661"/>
  <c r="H52" i="5661"/>
  <c r="H3" i="5661"/>
  <c r="H9" i="5661"/>
  <c r="H16" i="5661"/>
  <c r="H46" i="5661"/>
  <c r="H21" i="5661"/>
  <c r="C19" i="5661"/>
  <c r="H31" i="5661"/>
  <c r="H39" i="5661"/>
  <c r="H47" i="5661"/>
  <c r="H6" i="5661"/>
  <c r="H23" i="5661"/>
  <c r="H13" i="5661"/>
  <c r="H5" i="5661"/>
  <c r="H20" i="5661"/>
  <c r="B23" i="5661"/>
  <c r="H37" i="5661"/>
  <c r="H45" i="5661"/>
  <c r="H24" i="5661"/>
  <c r="H30" i="5661"/>
  <c r="H38" i="5661"/>
  <c r="H11" i="5661"/>
  <c r="H4" i="5661"/>
  <c r="H10" i="5661"/>
  <c r="H19" i="5661"/>
  <c r="H15" i="5661"/>
  <c r="H12" i="5661"/>
  <c r="H32" i="5661"/>
  <c r="H40" i="5661"/>
  <c r="H48" i="5661"/>
  <c r="H25" i="5661"/>
  <c r="H28" i="5661"/>
  <c r="H34" i="5661"/>
  <c r="H42" i="5661"/>
  <c r="H50" i="5661"/>
  <c r="H8" i="5661"/>
  <c r="H14" i="5661"/>
  <c r="H26" i="5661"/>
  <c r="H35" i="5661"/>
  <c r="H43" i="5661"/>
  <c r="H31" i="5659"/>
  <c r="B23" i="5659"/>
  <c r="H8" i="5659"/>
  <c r="H5" i="5659"/>
  <c r="H15" i="5659"/>
  <c r="H36" i="5659"/>
  <c r="H2" i="5659"/>
  <c r="H12" i="5659"/>
  <c r="H23" i="5659"/>
  <c r="H9" i="5659"/>
  <c r="H39" i="5659"/>
  <c r="H44" i="5659"/>
  <c r="H37" i="5659"/>
  <c r="C17" i="5659"/>
  <c r="H3" i="5659"/>
  <c r="H6" i="5659"/>
  <c r="C18" i="5659"/>
  <c r="H24" i="5659"/>
  <c r="H18" i="5659"/>
  <c r="H45" i="5659"/>
  <c r="H4" i="5659"/>
  <c r="H14" i="5659"/>
  <c r="C19" i="5659"/>
  <c r="H28" i="5659"/>
  <c r="H47" i="5659"/>
  <c r="H11" i="5659"/>
  <c r="H19" i="5659"/>
  <c r="H29" i="5659"/>
  <c r="H52" i="5659"/>
  <c r="H30" i="5659"/>
  <c r="H38" i="5659"/>
  <c r="H46" i="5659"/>
  <c r="H16" i="5659"/>
  <c r="H25" i="5659"/>
  <c r="H32" i="5659"/>
  <c r="H40" i="5659"/>
  <c r="H48" i="5659"/>
  <c r="H26" i="5659"/>
  <c r="H41" i="5659"/>
  <c r="H7" i="5659"/>
  <c r="H13" i="5659"/>
  <c r="H21" i="5659"/>
  <c r="H34" i="5659"/>
  <c r="H42" i="5659"/>
  <c r="H50" i="5659"/>
  <c r="H10" i="5659"/>
  <c r="H20" i="5659"/>
  <c r="H33" i="5659"/>
  <c r="H49" i="5659"/>
  <c r="H17" i="5659"/>
  <c r="H22" i="5659"/>
  <c r="H27" i="5659"/>
  <c r="H35" i="5659"/>
  <c r="H43" i="5659"/>
  <c r="O18" i="5657" l="1"/>
  <c r="O16" i="5657"/>
  <c r="C27" i="5657"/>
  <c r="B24" i="5657"/>
  <c r="C20" i="5657"/>
  <c r="B17" i="5657"/>
  <c r="H51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5" i="5655"/>
  <c r="O17" i="5655"/>
  <c r="C27" i="5655"/>
  <c r="B24" i="5655"/>
  <c r="C20" i="5655"/>
  <c r="B17" i="5655"/>
  <c r="H50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6" i="5645"/>
  <c r="O20" i="5653"/>
  <c r="O18" i="5653"/>
  <c r="C27" i="5653"/>
  <c r="B24" i="5653"/>
  <c r="C20" i="5653"/>
  <c r="B17" i="5653"/>
  <c r="H18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0" i="5645"/>
  <c r="O18" i="5645"/>
  <c r="H2" i="5653" l="1"/>
  <c r="B23" i="5653"/>
  <c r="H34" i="5653"/>
  <c r="H22" i="5653"/>
  <c r="H33" i="5653"/>
  <c r="H19" i="5653"/>
  <c r="H14" i="5653"/>
  <c r="H42" i="5653"/>
  <c r="H41" i="5653"/>
  <c r="H10" i="5653"/>
  <c r="H26" i="5653"/>
  <c r="H12" i="5653"/>
  <c r="H46" i="5653"/>
  <c r="H6" i="5653"/>
  <c r="H28" i="5653"/>
  <c r="H17" i="5653"/>
  <c r="H13" i="5653"/>
  <c r="H49" i="5653"/>
  <c r="H45" i="5653"/>
  <c r="H3" i="5653"/>
  <c r="C18" i="5653"/>
  <c r="H4" i="5653"/>
  <c r="H15" i="5653"/>
  <c r="H30" i="5653"/>
  <c r="H21" i="5655"/>
  <c r="H27" i="5655"/>
  <c r="H8" i="5655"/>
  <c r="H15" i="5655"/>
  <c r="H2" i="5655"/>
  <c r="H6" i="5655"/>
  <c r="H3" i="5655"/>
  <c r="H16" i="5655"/>
  <c r="H6" i="5657"/>
  <c r="B23" i="5657"/>
  <c r="H32" i="5657"/>
  <c r="H12" i="5657"/>
  <c r="H21" i="5657"/>
  <c r="H9" i="5657"/>
  <c r="H3" i="5657"/>
  <c r="H16" i="5657"/>
  <c r="H36" i="5657"/>
  <c r="H37" i="5657"/>
  <c r="H4" i="5657"/>
  <c r="H7" i="5657"/>
  <c r="H40" i="5657"/>
  <c r="H44" i="5657"/>
  <c r="H5" i="5657"/>
  <c r="H11" i="5657"/>
  <c r="H14" i="5657"/>
  <c r="H18" i="5657"/>
  <c r="H45" i="5657"/>
  <c r="H23" i="5657"/>
  <c r="H13" i="5657"/>
  <c r="C18" i="5657"/>
  <c r="H2" i="5657"/>
  <c r="H8" i="5657"/>
  <c r="C19" i="5657"/>
  <c r="H28" i="5657"/>
  <c r="H48" i="5657"/>
  <c r="H10" i="5657"/>
  <c r="C17" i="5657"/>
  <c r="H25" i="5657"/>
  <c r="H15" i="5657"/>
  <c r="H29" i="5657"/>
  <c r="H52" i="5657"/>
  <c r="H30" i="5657"/>
  <c r="H38" i="5657"/>
  <c r="H46" i="5657"/>
  <c r="H19" i="5657"/>
  <c r="H24" i="5657"/>
  <c r="H31" i="5657"/>
  <c r="H39" i="5657"/>
  <c r="H47" i="5657"/>
  <c r="H20" i="5657"/>
  <c r="H26" i="5657"/>
  <c r="H33" i="5657"/>
  <c r="H41" i="5657"/>
  <c r="H49" i="5657"/>
  <c r="H34" i="5657"/>
  <c r="H42" i="5657"/>
  <c r="H50" i="5657"/>
  <c r="H17" i="5657"/>
  <c r="H22" i="5657"/>
  <c r="H27" i="5657"/>
  <c r="H35" i="5657"/>
  <c r="H43" i="5657"/>
  <c r="H12" i="5655"/>
  <c r="H28" i="5655"/>
  <c r="H32" i="5655"/>
  <c r="C19" i="5655"/>
  <c r="H9" i="5655"/>
  <c r="H19" i="5655"/>
  <c r="H48" i="5655"/>
  <c r="H36" i="5655"/>
  <c r="H39" i="5655"/>
  <c r="H43" i="5655"/>
  <c r="H4" i="5655"/>
  <c r="H10" i="5655"/>
  <c r="H7" i="5655"/>
  <c r="H13" i="5655"/>
  <c r="C17" i="5655"/>
  <c r="H24" i="5655"/>
  <c r="H40" i="5655"/>
  <c r="H17" i="5655"/>
  <c r="H25" i="5655"/>
  <c r="H5" i="5655"/>
  <c r="H11" i="5655"/>
  <c r="H14" i="5655"/>
  <c r="C18" i="5655"/>
  <c r="H44" i="5655"/>
  <c r="H51" i="5655"/>
  <c r="B23" i="5655"/>
  <c r="H35" i="5655"/>
  <c r="H52" i="5655"/>
  <c r="H22" i="5655"/>
  <c r="H31" i="5655"/>
  <c r="H47" i="5655"/>
  <c r="H18" i="5655"/>
  <c r="H23" i="5655"/>
  <c r="H29" i="5655"/>
  <c r="H37" i="5655"/>
  <c r="H45" i="5655"/>
  <c r="H30" i="5655"/>
  <c r="H38" i="5655"/>
  <c r="H46" i="5655"/>
  <c r="H20" i="5655"/>
  <c r="H26" i="5655"/>
  <c r="H33" i="5655"/>
  <c r="H41" i="5655"/>
  <c r="H49" i="5655"/>
  <c r="H34" i="5655"/>
  <c r="H42" i="5655"/>
  <c r="H50" i="5653"/>
  <c r="H37" i="5653"/>
  <c r="H5" i="5653"/>
  <c r="H20" i="5653"/>
  <c r="H9" i="5653"/>
  <c r="H7" i="5653"/>
  <c r="C17" i="5653"/>
  <c r="H16" i="5653"/>
  <c r="H38" i="5653"/>
  <c r="H52" i="5653"/>
  <c r="H24" i="5653"/>
  <c r="H27" i="5653"/>
  <c r="H31" i="5653"/>
  <c r="H39" i="5653"/>
  <c r="H47" i="5653"/>
  <c r="H23" i="5653"/>
  <c r="C19" i="5653"/>
  <c r="H32" i="5653"/>
  <c r="H40" i="5653"/>
  <c r="H48" i="5653"/>
  <c r="H25" i="5653"/>
  <c r="H29" i="5653"/>
  <c r="H35" i="5653"/>
  <c r="H43" i="5653"/>
  <c r="H51" i="5653"/>
  <c r="H8" i="5653"/>
  <c r="H21" i="5653"/>
  <c r="H11" i="5653"/>
  <c r="H36" i="5653"/>
  <c r="H44" i="5653"/>
  <c r="O21" i="5651" l="1"/>
  <c r="O20" i="5651"/>
  <c r="C27" i="5651"/>
  <c r="B24" i="5651"/>
  <c r="C20" i="5651"/>
  <c r="B17" i="5651"/>
  <c r="H52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8" i="5649"/>
  <c r="O19" i="5649"/>
  <c r="C27" i="5649"/>
  <c r="B24" i="5649"/>
  <c r="C20" i="5649"/>
  <c r="B17" i="5649"/>
  <c r="H16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9" i="5647"/>
  <c r="C27" i="5647"/>
  <c r="B24" i="5647"/>
  <c r="C20" i="5647"/>
  <c r="B17" i="5647"/>
  <c r="H49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2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8" i="5651" l="1"/>
  <c r="H15" i="5651"/>
  <c r="H21" i="5651"/>
  <c r="H29" i="5651"/>
  <c r="H30" i="5651"/>
  <c r="H19" i="5651"/>
  <c r="H34" i="5651"/>
  <c r="H2" i="5651"/>
  <c r="H35" i="5651"/>
  <c r="C17" i="5651"/>
  <c r="H3" i="5651"/>
  <c r="H24" i="5651"/>
  <c r="H38" i="5651"/>
  <c r="H12" i="5651"/>
  <c r="H6" i="5651"/>
  <c r="H37" i="5651"/>
  <c r="H13" i="5651"/>
  <c r="H18" i="5651"/>
  <c r="H42" i="5651"/>
  <c r="H23" i="5651"/>
  <c r="H9" i="5651"/>
  <c r="H17" i="5651"/>
  <c r="H10" i="5651"/>
  <c r="H4" i="5651"/>
  <c r="H7" i="5651"/>
  <c r="C19" i="5651"/>
  <c r="H27" i="5651"/>
  <c r="H45" i="5651"/>
  <c r="H46" i="5651"/>
  <c r="H22" i="5651"/>
  <c r="H31" i="5651"/>
  <c r="H50" i="5651"/>
  <c r="H39" i="5651"/>
  <c r="H47" i="5651"/>
  <c r="H16" i="5651"/>
  <c r="H25" i="5651"/>
  <c r="H32" i="5651"/>
  <c r="H40" i="5651"/>
  <c r="H48" i="5651"/>
  <c r="H20" i="5651"/>
  <c r="H26" i="5651"/>
  <c r="H33" i="5651"/>
  <c r="H41" i="5651"/>
  <c r="H49" i="5651"/>
  <c r="H43" i="5651"/>
  <c r="H51" i="5651"/>
  <c r="H5" i="5651"/>
  <c r="H11" i="5651"/>
  <c r="H14" i="5651"/>
  <c r="C18" i="5651"/>
  <c r="B23" i="5651"/>
  <c r="H28" i="5651"/>
  <c r="H36" i="5651"/>
  <c r="H44" i="5651"/>
  <c r="H19" i="5645"/>
  <c r="H28" i="5645"/>
  <c r="H21" i="5645"/>
  <c r="H11" i="5649"/>
  <c r="H29" i="5649"/>
  <c r="H18" i="5649"/>
  <c r="H27" i="5649"/>
  <c r="H34" i="5649"/>
  <c r="H7" i="5649"/>
  <c r="B23" i="5649"/>
  <c r="H2" i="5649"/>
  <c r="H14" i="5649"/>
  <c r="H35" i="5649"/>
  <c r="H20" i="5649"/>
  <c r="H41" i="5649"/>
  <c r="H12" i="5649"/>
  <c r="H42" i="5649"/>
  <c r="H46" i="5649"/>
  <c r="H45" i="5649"/>
  <c r="H49" i="5649"/>
  <c r="H33" i="5649"/>
  <c r="H4" i="5649"/>
  <c r="H30" i="5649"/>
  <c r="H3" i="5649"/>
  <c r="C18" i="5649"/>
  <c r="H8" i="5649"/>
  <c r="H21" i="5649"/>
  <c r="H24" i="5649"/>
  <c r="H50" i="5649"/>
  <c r="H37" i="5649"/>
  <c r="H5" i="5649"/>
  <c r="H10" i="5649"/>
  <c r="H6" i="5649"/>
  <c r="C17" i="5649"/>
  <c r="H15" i="5649"/>
  <c r="H38" i="5649"/>
  <c r="H52" i="5649"/>
  <c r="H31" i="5649"/>
  <c r="H22" i="5649"/>
  <c r="H25" i="5649"/>
  <c r="H39" i="5649"/>
  <c r="H47" i="5649"/>
  <c r="H17" i="5649"/>
  <c r="C19" i="5649"/>
  <c r="H19" i="5649"/>
  <c r="H40" i="5649"/>
  <c r="H48" i="5649"/>
  <c r="H32" i="5649"/>
  <c r="H23" i="5649"/>
  <c r="H26" i="5649"/>
  <c r="H43" i="5649"/>
  <c r="H51" i="5649"/>
  <c r="H9" i="5649"/>
  <c r="H28" i="5649"/>
  <c r="H13" i="5649"/>
  <c r="H36" i="5649"/>
  <c r="H44" i="5649"/>
  <c r="H15" i="5645"/>
  <c r="H10" i="5645"/>
  <c r="H2" i="5645"/>
  <c r="H12" i="5645"/>
  <c r="H25" i="5645"/>
  <c r="H16" i="5645"/>
  <c r="H13" i="5645"/>
  <c r="H6" i="5645"/>
  <c r="H9" i="5647"/>
  <c r="H21" i="5647"/>
  <c r="H34" i="5647"/>
  <c r="H4" i="5647"/>
  <c r="H25" i="5647"/>
  <c r="H6" i="5647"/>
  <c r="H3" i="5647"/>
  <c r="H16" i="5647"/>
  <c r="H35" i="5647"/>
  <c r="H43" i="5647"/>
  <c r="H12" i="5647"/>
  <c r="H19" i="5647"/>
  <c r="H44" i="5647"/>
  <c r="H46" i="5647"/>
  <c r="H36" i="5647"/>
  <c r="H22" i="5647"/>
  <c r="H47" i="5647"/>
  <c r="B23" i="5647"/>
  <c r="H13" i="5647"/>
  <c r="H28" i="5647"/>
  <c r="H38" i="5647"/>
  <c r="H11" i="5647"/>
  <c r="H23" i="5647"/>
  <c r="H50" i="5647"/>
  <c r="H10" i="5647"/>
  <c r="C17" i="5647"/>
  <c r="H17" i="5647"/>
  <c r="H48" i="5647"/>
  <c r="H30" i="5647"/>
  <c r="H2" i="5647"/>
  <c r="H31" i="5647"/>
  <c r="H40" i="5647"/>
  <c r="H51" i="5647"/>
  <c r="H27" i="5647"/>
  <c r="H7" i="5647"/>
  <c r="H37" i="5647"/>
  <c r="H29" i="5647"/>
  <c r="H5" i="5647"/>
  <c r="H14" i="5647"/>
  <c r="C18" i="5647"/>
  <c r="H39" i="5647"/>
  <c r="H8" i="5647"/>
  <c r="H18" i="5647"/>
  <c r="H15" i="5647"/>
  <c r="C19" i="5647"/>
  <c r="H24" i="5647"/>
  <c r="H32" i="5647"/>
  <c r="H42" i="5647"/>
  <c r="H52" i="5647"/>
  <c r="H45" i="5647"/>
  <c r="H20" i="5647"/>
  <c r="H26" i="5647"/>
  <c r="H33" i="5647"/>
  <c r="H41" i="5647"/>
  <c r="H36" i="5645"/>
  <c r="H9" i="5645"/>
  <c r="H40" i="5645"/>
  <c r="H3" i="5645"/>
  <c r="H37" i="5645"/>
  <c r="H26" i="5645"/>
  <c r="H38" i="5645"/>
  <c r="H14" i="5645"/>
  <c r="H41" i="5645"/>
  <c r="B23" i="5645"/>
  <c r="C17" i="5645"/>
  <c r="H17" i="5645"/>
  <c r="H7" i="5645"/>
  <c r="H30" i="5645"/>
  <c r="H31" i="5645"/>
  <c r="C18" i="5645"/>
  <c r="H4" i="5645"/>
  <c r="H11" i="5645"/>
  <c r="C19" i="5645"/>
  <c r="H8" i="5645"/>
  <c r="H44" i="5645"/>
  <c r="H45" i="5645"/>
  <c r="H23" i="5645"/>
  <c r="H34" i="5645"/>
  <c r="H46" i="5645"/>
  <c r="H32" i="5645"/>
  <c r="H22" i="5645"/>
  <c r="H18" i="5645"/>
  <c r="H39" i="5645"/>
  <c r="H47" i="5645"/>
  <c r="H48" i="5645"/>
  <c r="H49" i="5645"/>
  <c r="H27" i="5645"/>
  <c r="H35" i="5645"/>
  <c r="H42" i="5645"/>
  <c r="H50" i="5645"/>
  <c r="H33" i="5645"/>
  <c r="H24" i="5645"/>
  <c r="H29" i="5645"/>
  <c r="H43" i="5645"/>
  <c r="H51" i="5645"/>
  <c r="H20" i="5645"/>
  <c r="H5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<sst xmlns="http://schemas.openxmlformats.org/spreadsheetml/2006/main" count="2428" uniqueCount="208">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</sst>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全体!$L$2:$L$161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9-42D2-A1D5-70C2F327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-18.867924528301888</c:v>
                </c:pt>
                <c:pt idx="1">
                  <c:v>13.071895424836601</c:v>
                </c:pt>
                <c:pt idx="2">
                  <c:v>-26.666666666666668</c:v>
                </c:pt>
                <c:pt idx="3">
                  <c:v>20.833333333333332</c:v>
                </c:pt>
                <c:pt idx="4">
                  <c:v>15.503875968992247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238-95E8-66FB12B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7-429F-A33C-D0C6048B3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1-4ECD-AF1B-6EDD18BF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だいち!$L$2:$L$36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9-448F-AE20-D969CC98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-391.1764705882353</c:v>
                </c:pt>
                <c:pt idx="1">
                  <c:v>-687.5</c:v>
                </c:pt>
                <c:pt idx="2">
                  <c:v>312.5</c:v>
                </c:pt>
                <c:pt idx="3">
                  <c:v>-606.45161290322585</c:v>
                </c:pt>
                <c:pt idx="4">
                  <c:v>5251.7241379310344</c:v>
                </c:pt>
                <c:pt idx="5">
                  <c:v>6631.818181818182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7-4F33-BF56-76650E57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5-4A6F-AC7F-57950412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-1920.8333333333333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C-4876-AF24-A4330C9A6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りくと!$L$2:$L$20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D-458A-B2C9-634AD21F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905.55555555555554</c:v>
                </c:pt>
                <c:pt idx="1">
                  <c:v>-2335.294117647059</c:v>
                </c:pt>
                <c:pt idx="2">
                  <c:v>1617.6470588235295</c:v>
                </c:pt>
                <c:pt idx="3">
                  <c:v>-2376.4705882352941</c:v>
                </c:pt>
                <c:pt idx="4">
                  <c:v>-5506.25</c:v>
                </c:pt>
                <c:pt idx="5">
                  <c:v>-1900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0-43B0-8A69-EBE52EB04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C-4DA4-9427-EF145FB2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-11300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0-4501-B12D-6FB2B26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C-4082-91EE-65B5DC9A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647.05882352941171</c:v>
                </c:pt>
                <c:pt idx="1">
                  <c:v>35.294117647058826</c:v>
                </c:pt>
                <c:pt idx="2">
                  <c:v>-2631.25</c:v>
                </c:pt>
                <c:pt idx="3">
                  <c:v>2314.2857142857142</c:v>
                </c:pt>
                <c:pt idx="4">
                  <c:v>-4910</c:v>
                </c:pt>
                <c:pt idx="5">
                  <c:v>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9-4F04-8A17-19943804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A6C-8AF0-46CC533D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5-49D8-A5C7-482F10D4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C-4A47-AD67-DC738613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8-44F1-A147-62AA71B62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0-4277-964F-F11AC992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4-445D-A635-600CE2CA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3.197442310920450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2.010970006868208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307909604519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70903954802259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356.3855421686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989.2561983471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49685534591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49685534591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37994350282485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1412429378531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4896142433234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21348314606741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1445783132530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431800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328125" style="1" customWidth="1"/>
    <col min="11" max="11" width="3.453125" style="5" customWidth="1"/>
    <col min="12" max="12" width="9" style="99" customWidth="1"/>
    <col min="13" max="13" width="3.6328125" style="1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1"/>
  </cols>
  <sheetData>
    <row r="1" spans="1:17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9"/>
  <sheetViews>
    <sheetView workbookViewId="0"/>
  </sheetViews>
  <sheetFormatPr defaultColWidth="9" defaultRowHeight="14.5"/>
  <cols>
    <col min="1" max="1" width="19.26953125" style="30" customWidth="1"/>
    <col min="2" max="2" width="19.26953125" style="31" customWidth="1"/>
    <col min="3" max="16384" width="9" style="30"/>
  </cols>
  <sheetData>
    <row r="1" spans="1:12">
      <c r="A1" s="29">
        <v>32874</v>
      </c>
      <c r="B1" s="29">
        <v>2958465</v>
      </c>
    </row>
    <row r="2" spans="1:12">
      <c r="A2" s="30" t="s">
        <v>176</v>
      </c>
      <c r="B2" s="31">
        <v>43737.495439814818</v>
      </c>
      <c r="C2" s="30" t="s">
        <v>129</v>
      </c>
      <c r="D2" s="30" t="s">
        <v>130</v>
      </c>
    </row>
    <row r="3" spans="1:12">
      <c r="A3" s="30" t="s">
        <v>177</v>
      </c>
      <c r="B3" s="31">
        <v>43737.495439814818</v>
      </c>
      <c r="C3" s="30" t="s">
        <v>129</v>
      </c>
    </row>
    <row r="4" spans="1:12">
      <c r="A4" s="30" t="s">
        <v>181</v>
      </c>
      <c r="B4" s="31">
        <v>43737.495439814818</v>
      </c>
      <c r="C4" s="30" t="s">
        <v>129</v>
      </c>
    </row>
    <row r="5" spans="1:12">
      <c r="A5" s="30" t="s">
        <v>184</v>
      </c>
      <c r="B5" s="31">
        <v>43737.495439814818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>
      <c r="A6" s="30" t="s">
        <v>189</v>
      </c>
      <c r="B6" s="31">
        <v>43737.495439814818</v>
      </c>
      <c r="C6" s="30" t="s">
        <v>129</v>
      </c>
      <c r="D6" s="30" t="s">
        <v>130</v>
      </c>
      <c r="E6" s="30" t="s">
        <v>185</v>
      </c>
    </row>
    <row r="7" spans="1:12">
      <c r="A7" s="30" t="s">
        <v>190</v>
      </c>
      <c r="B7" s="31">
        <v>43742.970972222225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>
      <c r="A8" s="30" t="s">
        <v>198</v>
      </c>
      <c r="B8" s="31">
        <v>43742.970972222225</v>
      </c>
      <c r="C8" s="30" t="s">
        <v>129</v>
      </c>
    </row>
    <row r="9" spans="1:12">
      <c r="A9" s="30" t="s">
        <v>195</v>
      </c>
      <c r="B9" s="31">
        <v>43742.970972222225</v>
      </c>
      <c r="C9" s="30" t="s">
        <v>130</v>
      </c>
      <c r="D9" s="30" t="s">
        <v>185</v>
      </c>
      <c r="E9" s="30" t="s">
        <v>129</v>
      </c>
    </row>
    <row r="10" spans="1:12">
      <c r="A10" s="30" t="s">
        <v>197</v>
      </c>
      <c r="B10" s="31">
        <v>43742.970972222225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>
      <c r="A11" s="30" t="s">
        <v>199</v>
      </c>
      <c r="B11" s="31">
        <v>43742.970972222225</v>
      </c>
      <c r="C11" s="30" t="s">
        <v>129</v>
      </c>
    </row>
    <row r="12" spans="1:12">
      <c r="A12" s="30" t="s">
        <v>200</v>
      </c>
      <c r="B12" s="31">
        <v>43742.970972222225</v>
      </c>
      <c r="C12" s="30" t="s">
        <v>129</v>
      </c>
      <c r="D12" s="30" t="s">
        <v>130</v>
      </c>
      <c r="E12" s="30" t="s">
        <v>185</v>
      </c>
    </row>
    <row r="13" spans="1:12">
      <c r="A13" s="30" t="s">
        <v>202</v>
      </c>
      <c r="B13" s="31">
        <v>43742.970972222225</v>
      </c>
      <c r="C13" s="30" t="s">
        <v>129</v>
      </c>
      <c r="D13" s="30" t="s">
        <v>130</v>
      </c>
    </row>
    <row r="14" spans="1:12">
      <c r="A14" s="30" t="s">
        <v>201</v>
      </c>
      <c r="B14" s="31">
        <v>43745.944965277777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>
      <c r="A15" s="30" t="s">
        <v>203</v>
      </c>
      <c r="B15" s="31">
        <v>43743.069490740738</v>
      </c>
      <c r="C15" s="30" t="s">
        <v>129</v>
      </c>
      <c r="D15" s="30" t="s">
        <v>130</v>
      </c>
    </row>
    <row r="16" spans="1:12">
      <c r="A16" s="30" t="s">
        <v>204</v>
      </c>
      <c r="B16" s="31">
        <v>43745.944965277777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>
      <c r="A17" s="30" t="s">
        <v>205</v>
      </c>
      <c r="B17" s="31">
        <v>43745.944965277777</v>
      </c>
      <c r="C17" s="30" t="s">
        <v>129</v>
      </c>
      <c r="D17" s="30" t="s">
        <v>130</v>
      </c>
    </row>
    <row r="18" spans="1:4">
      <c r="A18" s="30" t="s">
        <v>206</v>
      </c>
      <c r="B18" s="31">
        <v>43744.985231481478</v>
      </c>
      <c r="C18" s="30" t="s">
        <v>129</v>
      </c>
    </row>
    <row r="19" spans="1:4">
      <c r="A19" s="30" t="s">
        <v>207</v>
      </c>
      <c r="B19" s="31">
        <v>43745.990891203706</v>
      </c>
      <c r="C19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144</v>
      </c>
      <c r="B1">
        <v>159</v>
      </c>
    </row>
    <row r="2" spans="1:2">
      <c r="A2" t="s">
        <v>167</v>
      </c>
      <c r="B2">
        <v>15</v>
      </c>
    </row>
    <row r="3" spans="1:2">
      <c r="A3" t="s">
        <v>127</v>
      </c>
      <c r="B3">
        <v>34</v>
      </c>
    </row>
    <row r="4" spans="1:2">
      <c r="A4" t="s">
        <v>128</v>
      </c>
      <c r="B4">
        <v>38</v>
      </c>
    </row>
    <row r="5" spans="1:2">
      <c r="A5" t="s">
        <v>180</v>
      </c>
      <c r="B5">
        <v>18</v>
      </c>
    </row>
    <row r="6" spans="1:2">
      <c r="A6" t="s">
        <v>178</v>
      </c>
      <c r="B6">
        <v>14</v>
      </c>
    </row>
    <row r="7" spans="1:2">
      <c r="A7" t="s">
        <v>179</v>
      </c>
      <c r="B7">
        <v>17</v>
      </c>
    </row>
    <row r="8" spans="1:2">
      <c r="A8" t="s">
        <v>183</v>
      </c>
      <c r="B8">
        <v>8</v>
      </c>
    </row>
    <row r="9" spans="1:2">
      <c r="A9" t="s">
        <v>182</v>
      </c>
      <c r="B9">
        <v>11</v>
      </c>
    </row>
    <row r="10" spans="1:2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D26" sqref="D26"/>
    </sheetView>
  </sheetViews>
  <sheetFormatPr defaultColWidth="9" defaultRowHeight="14.5"/>
  <cols>
    <col min="1" max="1" width="6" style="82" customWidth="1"/>
    <col min="2" max="2" width="10.7265625" style="83" customWidth="1"/>
    <col min="3" max="3" width="10.7265625" style="84" customWidth="1"/>
    <col min="4" max="4" width="10.7265625" style="85" customWidth="1"/>
    <col min="5" max="5" width="10.7265625" style="97" customWidth="1"/>
    <col min="6" max="6" width="10.7265625" style="85" customWidth="1"/>
    <col min="7" max="7" width="10.7265625" style="86" customWidth="1"/>
    <col min="8" max="8" width="10.7265625" style="85" customWidth="1"/>
    <col min="9" max="9" width="10.7265625" style="87" customWidth="1"/>
    <col min="10" max="10" width="10.7265625" style="85" customWidth="1"/>
    <col min="11" max="11" width="10.7265625" style="87" customWidth="1"/>
    <col min="12" max="12" width="10.7265625" style="85" customWidth="1"/>
    <col min="13" max="13" width="10.7265625" style="88" customWidth="1"/>
    <col min="14" max="14" width="10.7265625" style="85" customWidth="1"/>
    <col min="15" max="15" width="10.7265625" style="88" customWidth="1"/>
    <col min="16" max="16" width="10.7265625" style="85" customWidth="1"/>
    <col min="17" max="17" width="10.7265625" style="89" customWidth="1"/>
    <col min="18" max="18" width="10.7265625" style="85" customWidth="1"/>
    <col min="19" max="19" width="10.7265625" style="89" customWidth="1"/>
    <col min="20" max="20" width="10.7265625" style="85" customWidth="1"/>
    <col min="21" max="21" width="10.7265625" style="87" customWidth="1"/>
    <col min="22" max="22" width="10.7265625" style="85" customWidth="1"/>
    <col min="23" max="23" width="10.7265625" style="87" customWidth="1"/>
    <col min="24" max="24" width="10.7265625" style="85" customWidth="1"/>
    <col min="25" max="25" width="10.7265625" style="88" customWidth="1"/>
    <col min="26" max="26" width="10.7265625" style="85" customWidth="1"/>
    <col min="27" max="27" width="10.7265625" style="88" customWidth="1"/>
    <col min="28" max="28" width="10.7265625" style="85" customWidth="1"/>
    <col min="29" max="29" width="10.7265625" style="88" customWidth="1"/>
    <col min="30" max="30" width="10.7265625" style="85" customWidth="1"/>
    <col min="31" max="31" width="10.7265625" style="88" customWidth="1"/>
    <col min="32" max="32" width="10.7265625" style="85" customWidth="1"/>
    <col min="33" max="33" width="10.7265625" style="88" customWidth="1"/>
    <col min="34" max="34" width="10.7265625" style="85" customWidth="1"/>
    <col min="35" max="35" width="10.7265625" style="92" customWidth="1"/>
    <col min="36" max="16384" width="9" style="73"/>
  </cols>
  <sheetData>
    <row r="1" spans="1:35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>
      <c r="A2" s="72" t="s">
        <v>160</v>
      </c>
      <c r="B2" s="160"/>
      <c r="C2" s="161"/>
      <c r="D2" s="160"/>
      <c r="E2" s="161"/>
      <c r="F2" s="162">
        <v>0.9688714199581786</v>
      </c>
      <c r="G2" s="163"/>
      <c r="H2" s="162">
        <v>0.9253568787512606</v>
      </c>
      <c r="I2" s="163"/>
      <c r="J2" s="162">
        <v>0.9621072152577288</v>
      </c>
      <c r="K2" s="163"/>
      <c r="L2" s="162">
        <v>0.85990377365238957</v>
      </c>
      <c r="M2" s="163"/>
      <c r="N2" s="162">
        <v>0.77445825590116946</v>
      </c>
      <c r="O2" s="163"/>
      <c r="P2" s="162">
        <v>-0.19132725436573592</v>
      </c>
      <c r="Q2" s="163"/>
      <c r="R2" s="162">
        <v>0.49787706279888377</v>
      </c>
      <c r="S2" s="163"/>
      <c r="T2" s="162">
        <v>0.49127527355209744</v>
      </c>
      <c r="U2" s="163"/>
      <c r="V2" s="162">
        <v>0.35045127903848744</v>
      </c>
      <c r="W2" s="163"/>
      <c r="X2" s="162">
        <v>0.41241026780157175</v>
      </c>
      <c r="Y2" s="163"/>
      <c r="Z2" s="162">
        <v>-0.10385669506949365</v>
      </c>
      <c r="AA2" s="163"/>
      <c r="AB2" s="162">
        <v>0.42939628580726935</v>
      </c>
      <c r="AC2" s="163"/>
      <c r="AD2" s="162">
        <v>0.23180570752299756</v>
      </c>
      <c r="AE2" s="163"/>
      <c r="AF2" s="162">
        <v>0.47452663507837106</v>
      </c>
      <c r="AG2" s="163"/>
      <c r="AH2" s="162">
        <v>0.76934267933825673</v>
      </c>
      <c r="AI2" s="163"/>
    </row>
    <row r="3" spans="1:35">
      <c r="A3" s="74">
        <v>1</v>
      </c>
      <c r="B3" s="75" t="s">
        <v>127</v>
      </c>
      <c r="C3" s="76">
        <v>374.49999999999994</v>
      </c>
      <c r="D3" s="77" t="s">
        <v>182</v>
      </c>
      <c r="E3" s="96">
        <v>11.463636363636365</v>
      </c>
      <c r="F3" s="77" t="s">
        <v>127</v>
      </c>
      <c r="G3" s="78">
        <v>1.7058823529411764</v>
      </c>
      <c r="H3" s="77" t="s">
        <v>127</v>
      </c>
      <c r="I3" s="79">
        <v>0.52941176470588236</v>
      </c>
      <c r="J3" s="77" t="s">
        <v>182</v>
      </c>
      <c r="K3" s="79">
        <v>0.18181818181818182</v>
      </c>
      <c r="L3" s="77" t="s">
        <v>127</v>
      </c>
      <c r="M3" s="80">
        <v>0.34883720930232559</v>
      </c>
      <c r="N3" s="77" t="s">
        <v>182</v>
      </c>
      <c r="O3" s="80">
        <v>0.11650485436893204</v>
      </c>
      <c r="P3" s="77" t="s">
        <v>178</v>
      </c>
      <c r="Q3" s="81">
        <v>13370.833333333334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0.29126213592233008</v>
      </c>
      <c r="Z3" s="77" t="s">
        <v>196</v>
      </c>
      <c r="AA3" s="80">
        <v>0.35</v>
      </c>
      <c r="AB3" s="77" t="s">
        <v>182</v>
      </c>
      <c r="AC3" s="80">
        <v>0.66666666666666663</v>
      </c>
      <c r="AD3" s="77" t="s">
        <v>179</v>
      </c>
      <c r="AE3" s="80">
        <v>0.54054054054054057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>
      <c r="A4" s="82">
        <v>2</v>
      </c>
      <c r="B4" s="83" t="s">
        <v>182</v>
      </c>
      <c r="C4" s="84">
        <v>126.10000000000001</v>
      </c>
      <c r="D4" s="85" t="s">
        <v>127</v>
      </c>
      <c r="E4" s="97">
        <v>11.01470588235294</v>
      </c>
      <c r="F4" s="85" t="s">
        <v>182</v>
      </c>
      <c r="G4" s="86">
        <v>1.7272727272727273</v>
      </c>
      <c r="H4" s="85" t="s">
        <v>196</v>
      </c>
      <c r="I4" s="87">
        <v>0.5</v>
      </c>
      <c r="J4" s="85" t="s">
        <v>127</v>
      </c>
      <c r="K4" s="87">
        <v>0.23529411764705882</v>
      </c>
      <c r="L4" s="85" t="s">
        <v>182</v>
      </c>
      <c r="M4" s="88">
        <v>0.3300970873786408</v>
      </c>
      <c r="N4" s="85" t="s">
        <v>179</v>
      </c>
      <c r="O4" s="88">
        <v>0.11842105263157894</v>
      </c>
      <c r="P4" s="85" t="s">
        <v>183</v>
      </c>
      <c r="Q4" s="89">
        <v>9742.8571428571431</v>
      </c>
      <c r="R4" s="85" t="s">
        <v>167</v>
      </c>
      <c r="S4" s="89">
        <v>-7108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127</v>
      </c>
      <c r="AC4" s="88">
        <v>0.61333333333333329</v>
      </c>
      <c r="AD4" s="85" t="s">
        <v>127</v>
      </c>
      <c r="AE4" s="88">
        <v>0.53623188405797106</v>
      </c>
      <c r="AF4" s="85" t="s">
        <v>182</v>
      </c>
      <c r="AG4" s="88">
        <v>0.52941176470588236</v>
      </c>
      <c r="AH4" s="85" t="s">
        <v>144</v>
      </c>
      <c r="AI4" s="92">
        <v>95200</v>
      </c>
    </row>
    <row r="5" spans="1:35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182</v>
      </c>
      <c r="I5" s="87">
        <v>0.45454545454545453</v>
      </c>
      <c r="J5" s="85" t="s">
        <v>128</v>
      </c>
      <c r="K5" s="87">
        <v>0.26315789473684209</v>
      </c>
      <c r="L5" s="85" t="s">
        <v>128</v>
      </c>
      <c r="M5" s="88">
        <v>0.31736526946107785</v>
      </c>
      <c r="N5" s="85" t="s">
        <v>127</v>
      </c>
      <c r="O5" s="88">
        <v>0.12624584717607973</v>
      </c>
      <c r="P5" s="85" t="s">
        <v>128</v>
      </c>
      <c r="Q5" s="89">
        <v>8576.4150943396235</v>
      </c>
      <c r="R5" s="85" t="s">
        <v>179</v>
      </c>
      <c r="S5" s="89">
        <v>-7383.333333333333</v>
      </c>
      <c r="T5" s="85" t="s">
        <v>127</v>
      </c>
      <c r="U5" s="87">
        <v>2.9411764705882353E-2</v>
      </c>
      <c r="V5" s="85" t="s">
        <v>182</v>
      </c>
      <c r="W5" s="87">
        <v>0.18181818181818182</v>
      </c>
      <c r="X5" s="85" t="s">
        <v>196</v>
      </c>
      <c r="Y5" s="88">
        <v>0.27500000000000002</v>
      </c>
      <c r="Z5" s="85" t="s">
        <v>167</v>
      </c>
      <c r="AA5" s="88">
        <v>0.25694444444444442</v>
      </c>
      <c r="AB5" s="85" t="s">
        <v>180</v>
      </c>
      <c r="AC5" s="88">
        <v>0.59523809523809523</v>
      </c>
      <c r="AD5" s="85" t="s">
        <v>178</v>
      </c>
      <c r="AE5" s="88">
        <v>0.48</v>
      </c>
      <c r="AF5" s="85" t="s">
        <v>167</v>
      </c>
      <c r="AG5" s="88">
        <v>0.5</v>
      </c>
      <c r="AH5" s="85" t="s">
        <v>128</v>
      </c>
      <c r="AI5" s="92">
        <v>91800</v>
      </c>
    </row>
    <row r="6" spans="1:35">
      <c r="A6" s="82">
        <v>4</v>
      </c>
      <c r="B6" s="83" t="s">
        <v>144</v>
      </c>
      <c r="C6" s="84">
        <v>-3.1974423109204508E-14</v>
      </c>
      <c r="D6" s="85" t="s">
        <v>144</v>
      </c>
      <c r="E6" s="97">
        <v>-2.0109700068682081E-16</v>
      </c>
      <c r="F6" s="85" t="s">
        <v>167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0.29307909604519772</v>
      </c>
      <c r="N6" s="85" t="s">
        <v>144</v>
      </c>
      <c r="O6" s="88">
        <v>0.17090395480225989</v>
      </c>
      <c r="P6" s="85" t="s">
        <v>144</v>
      </c>
      <c r="Q6" s="89">
        <v>8356.3855421686749</v>
      </c>
      <c r="R6" s="85" t="s">
        <v>128</v>
      </c>
      <c r="S6" s="89">
        <v>-7552.3076923076924</v>
      </c>
      <c r="T6" s="85" t="s">
        <v>180</v>
      </c>
      <c r="U6" s="87">
        <v>0.1111111111111111</v>
      </c>
      <c r="V6" s="85" t="s">
        <v>128</v>
      </c>
      <c r="W6" s="87">
        <v>0.15789473684210525</v>
      </c>
      <c r="X6" s="85" t="s">
        <v>180</v>
      </c>
      <c r="Y6" s="88">
        <v>0.25149700598802394</v>
      </c>
      <c r="Z6" s="85" t="s">
        <v>144</v>
      </c>
      <c r="AA6" s="88">
        <v>0.25141242937853109</v>
      </c>
      <c r="AB6" s="85" t="s">
        <v>167</v>
      </c>
      <c r="AC6" s="88">
        <v>0.59259259259259256</v>
      </c>
      <c r="AD6" s="85" t="s">
        <v>144</v>
      </c>
      <c r="AE6" s="88">
        <v>0.42134831460674155</v>
      </c>
      <c r="AF6" s="85" t="s">
        <v>127</v>
      </c>
      <c r="AG6" s="88">
        <v>0.42857142857142855</v>
      </c>
      <c r="AH6" s="85" t="s">
        <v>127</v>
      </c>
      <c r="AI6" s="92">
        <v>86200</v>
      </c>
    </row>
    <row r="7" spans="1:35">
      <c r="A7" s="82">
        <v>5</v>
      </c>
      <c r="B7" s="83" t="s">
        <v>179</v>
      </c>
      <c r="C7" s="84">
        <v>-29.799999999999986</v>
      </c>
      <c r="D7" s="85" t="s">
        <v>179</v>
      </c>
      <c r="E7" s="97">
        <v>-1.7529411764705873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0.27631578947368424</v>
      </c>
      <c r="N7" s="85" t="s">
        <v>167</v>
      </c>
      <c r="O7" s="88">
        <v>0.1736111111111111</v>
      </c>
      <c r="P7" s="85" t="s">
        <v>127</v>
      </c>
      <c r="Q7" s="89">
        <v>8053.333333333333</v>
      </c>
      <c r="R7" s="85" t="s">
        <v>127</v>
      </c>
      <c r="S7" s="89">
        <v>-7636.8421052631575</v>
      </c>
      <c r="T7" s="85" t="s">
        <v>144</v>
      </c>
      <c r="U7" s="87">
        <v>0.11949685534591195</v>
      </c>
      <c r="V7" s="85" t="s">
        <v>183</v>
      </c>
      <c r="W7" s="87">
        <v>0.125</v>
      </c>
      <c r="X7" s="85" t="s">
        <v>179</v>
      </c>
      <c r="Y7" s="88">
        <v>0.25</v>
      </c>
      <c r="Z7" s="85" t="s">
        <v>179</v>
      </c>
      <c r="AA7" s="88">
        <v>0.24342105263157895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0.41445783132530123</v>
      </c>
      <c r="AH7" s="85" t="s">
        <v>183</v>
      </c>
      <c r="AI7" s="92">
        <v>85100</v>
      </c>
    </row>
    <row r="8" spans="1:35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-4.3466666666666667</v>
      </c>
      <c r="F8" s="85" t="s">
        <v>196</v>
      </c>
      <c r="G8" s="86">
        <v>2</v>
      </c>
      <c r="H8" s="85" t="s">
        <v>128</v>
      </c>
      <c r="I8" s="87">
        <v>0.31578947368421051</v>
      </c>
      <c r="J8" s="85" t="s">
        <v>179</v>
      </c>
      <c r="K8" s="87">
        <v>0.35294117647058826</v>
      </c>
      <c r="L8" s="85" t="s">
        <v>180</v>
      </c>
      <c r="M8" s="88">
        <v>0.26347305389221559</v>
      </c>
      <c r="N8" s="85" t="s">
        <v>196</v>
      </c>
      <c r="O8" s="88">
        <v>0.17499999999999999</v>
      </c>
      <c r="P8" s="85" t="s">
        <v>196</v>
      </c>
      <c r="Q8" s="89">
        <v>7780</v>
      </c>
      <c r="R8" s="85" t="s">
        <v>180</v>
      </c>
      <c r="S8" s="89">
        <v>-7931.5789473684208</v>
      </c>
      <c r="T8" s="85" t="s">
        <v>128</v>
      </c>
      <c r="U8" s="87">
        <v>0.13157894736842105</v>
      </c>
      <c r="V8" s="85" t="s">
        <v>144</v>
      </c>
      <c r="W8" s="87">
        <v>0.11949685534591195</v>
      </c>
      <c r="X8" s="85" t="s">
        <v>127</v>
      </c>
      <c r="Y8" s="88">
        <v>0.24916943521594684</v>
      </c>
      <c r="Z8" s="85" t="s">
        <v>178</v>
      </c>
      <c r="AA8" s="88">
        <v>0.23584905660377359</v>
      </c>
      <c r="AB8" s="85" t="s">
        <v>144</v>
      </c>
      <c r="AC8" s="88">
        <v>0.54896142433234418</v>
      </c>
      <c r="AD8" s="85" t="s">
        <v>180</v>
      </c>
      <c r="AE8" s="88">
        <v>0.34375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2.0588235294117645</v>
      </c>
      <c r="H9" s="85" t="s">
        <v>179</v>
      </c>
      <c r="I9" s="87">
        <v>0.29411764705882354</v>
      </c>
      <c r="J9" s="85" t="s">
        <v>178</v>
      </c>
      <c r="K9" s="87">
        <v>0.42857142857142855</v>
      </c>
      <c r="L9" s="85" t="s">
        <v>167</v>
      </c>
      <c r="M9" s="88">
        <v>0.25</v>
      </c>
      <c r="N9" s="85" t="s">
        <v>128</v>
      </c>
      <c r="O9" s="88">
        <v>0.19461077844311378</v>
      </c>
      <c r="P9" s="85" t="s">
        <v>182</v>
      </c>
      <c r="Q9" s="89">
        <v>7779.411764705882</v>
      </c>
      <c r="R9" s="85" t="s">
        <v>144</v>
      </c>
      <c r="S9" s="89">
        <v>-7989.2561983471078</v>
      </c>
      <c r="T9" s="85" t="s">
        <v>179</v>
      </c>
      <c r="U9" s="87">
        <v>0.17647058823529413</v>
      </c>
      <c r="V9" s="85" t="s">
        <v>127</v>
      </c>
      <c r="W9" s="87">
        <v>0.11764705882352941</v>
      </c>
      <c r="X9" s="85" t="s">
        <v>144</v>
      </c>
      <c r="Y9" s="88">
        <v>0.23799435028248589</v>
      </c>
      <c r="Z9" s="85" t="s">
        <v>127</v>
      </c>
      <c r="AA9" s="88">
        <v>0.2292358803986711</v>
      </c>
      <c r="AB9" s="85" t="s">
        <v>179</v>
      </c>
      <c r="AC9" s="88">
        <v>0.47368421052631576</v>
      </c>
      <c r="AD9" s="85" t="s">
        <v>182</v>
      </c>
      <c r="AE9" s="88">
        <v>0.33333333333333331</v>
      </c>
      <c r="AF9" s="85" t="s">
        <v>180</v>
      </c>
      <c r="AG9" s="88">
        <v>0.38636363636363635</v>
      </c>
      <c r="AH9" s="85" t="s">
        <v>179</v>
      </c>
      <c r="AI9" s="92">
        <v>75000</v>
      </c>
    </row>
    <row r="10" spans="1:35">
      <c r="A10" s="82">
        <v>8</v>
      </c>
      <c r="B10" s="83" t="s">
        <v>178</v>
      </c>
      <c r="C10" s="84">
        <v>-86.499999999999972</v>
      </c>
      <c r="D10" s="85" t="s">
        <v>196</v>
      </c>
      <c r="E10" s="97">
        <v>-9.3500000000000014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180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0.20754716981132076</v>
      </c>
      <c r="P10" s="85" t="s">
        <v>179</v>
      </c>
      <c r="Q10" s="89">
        <v>7554.7619047619046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5.8823529411764705E-2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183</v>
      </c>
      <c r="AE10" s="88">
        <v>0.33333333333333331</v>
      </c>
      <c r="AF10" s="85" t="s">
        <v>128</v>
      </c>
      <c r="AG10" s="88">
        <v>0.36792452830188677</v>
      </c>
      <c r="AH10" s="85" t="s">
        <v>196</v>
      </c>
      <c r="AI10" s="92">
        <v>59500</v>
      </c>
    </row>
    <row r="11" spans="1:35">
      <c r="A11" s="82">
        <v>9</v>
      </c>
      <c r="B11" s="83" t="s">
        <v>183</v>
      </c>
      <c r="C11" s="84">
        <v>-152.6</v>
      </c>
      <c r="D11" s="85" t="s">
        <v>180</v>
      </c>
      <c r="E11" s="97">
        <v>-13.333333333333334</v>
      </c>
      <c r="F11" s="85" t="s">
        <v>180</v>
      </c>
      <c r="G11" s="86">
        <v>2.4444444444444446</v>
      </c>
      <c r="H11" s="85" t="s">
        <v>183</v>
      </c>
      <c r="I11" s="87">
        <v>0.125</v>
      </c>
      <c r="J11" s="85" t="s">
        <v>196</v>
      </c>
      <c r="K11" s="87">
        <v>0.5</v>
      </c>
      <c r="L11" s="85" t="s">
        <v>178</v>
      </c>
      <c r="M11" s="88">
        <v>0.22641509433962265</v>
      </c>
      <c r="N11" s="85" t="s">
        <v>180</v>
      </c>
      <c r="O11" s="88">
        <v>0.22754491017964071</v>
      </c>
      <c r="P11" s="85" t="s">
        <v>167</v>
      </c>
      <c r="Q11" s="89">
        <v>7527.7777777777774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167</v>
      </c>
      <c r="W11" s="87">
        <v>0</v>
      </c>
      <c r="X11" s="85" t="s">
        <v>128</v>
      </c>
      <c r="Y11" s="88">
        <v>0.21257485029940121</v>
      </c>
      <c r="Z11" s="85" t="s">
        <v>180</v>
      </c>
      <c r="AA11" s="88">
        <v>0.19161676646706588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179</v>
      </c>
      <c r="AG11" s="88">
        <v>0.35714285714285715</v>
      </c>
      <c r="AH11" s="85" t="s">
        <v>180</v>
      </c>
      <c r="AI11" s="92">
        <v>53700</v>
      </c>
    </row>
    <row r="12" spans="1:35">
      <c r="A12" s="82">
        <v>10</v>
      </c>
      <c r="B12" s="83" t="s">
        <v>180</v>
      </c>
      <c r="C12" s="84">
        <v>-240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180</v>
      </c>
      <c r="I12" s="87">
        <v>5.5555555555555552E-2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180</v>
      </c>
      <c r="Q12" s="89">
        <v>7393.181818181818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180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0.14563106796116504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D3B6-A6F2-46F8-AB5B-DFDB7C57E2A9}">
  <sheetPr codeName="Sheet4"/>
  <dimension ref="A1:Q161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323</v>
      </c>
      <c r="H2" s="132">
        <f>IF(B$17=0,0,G2/B$17)</f>
        <v>0.77831325301204823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-18.867924528301888</v>
      </c>
      <c r="P2" s="118">
        <v>159</v>
      </c>
      <c r="Q2" s="102">
        <v>-3000</v>
      </c>
    </row>
    <row r="3" spans="1:17">
      <c r="A3" s="55" t="s">
        <v>8</v>
      </c>
      <c r="B3" s="152">
        <v>1416</v>
      </c>
      <c r="C3" s="153"/>
      <c r="E3" s="63" t="s">
        <v>73</v>
      </c>
      <c r="F3" s="60" t="s">
        <v>28</v>
      </c>
      <c r="G3" s="47">
        <v>245</v>
      </c>
      <c r="H3" s="133">
        <f>IF(B$17=0,0,G3/B$17)</f>
        <v>0.59036144578313254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13.071895424836601</v>
      </c>
      <c r="P3" s="119">
        <v>153</v>
      </c>
      <c r="Q3" s="103">
        <v>2000</v>
      </c>
    </row>
    <row r="4" spans="1:17">
      <c r="A4" s="55" t="s">
        <v>6</v>
      </c>
      <c r="B4" s="154">
        <v>-3.1974423109204508E-14</v>
      </c>
      <c r="C4" s="155"/>
      <c r="E4" s="63" t="s">
        <v>65</v>
      </c>
      <c r="F4" s="60" t="s">
        <v>21</v>
      </c>
      <c r="G4" s="47">
        <v>181</v>
      </c>
      <c r="H4" s="133">
        <f>IF(B$17=0,0,G4/B$17)</f>
        <v>0.43614457831325304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-26.666666666666668</v>
      </c>
      <c r="P4" s="119">
        <v>150</v>
      </c>
      <c r="Q4" s="103">
        <v>-4000</v>
      </c>
    </row>
    <row r="5" spans="1:17">
      <c r="A5" s="55" t="s">
        <v>7</v>
      </c>
      <c r="B5" s="156">
        <f>IF(B$2=0,0,B$4/B$2)</f>
        <v>-2.0109700068682081E-16</v>
      </c>
      <c r="C5" s="157"/>
      <c r="E5" s="63" t="s">
        <v>172</v>
      </c>
      <c r="F5" s="60" t="s">
        <v>173</v>
      </c>
      <c r="G5" s="47">
        <v>145</v>
      </c>
      <c r="H5" s="133">
        <f>IF(B$17=0,0,G5/B$17)</f>
        <v>0.3493975903614458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20.833333333333332</v>
      </c>
      <c r="P5" s="119">
        <v>144</v>
      </c>
      <c r="Q5" s="103">
        <v>3000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120</v>
      </c>
      <c r="H6" s="133">
        <f>IF(B$17=0,0,G6/B$17)</f>
        <v>0.28915662650602408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15.503875968992247</v>
      </c>
      <c r="P6" s="119">
        <v>129</v>
      </c>
      <c r="Q6" s="103">
        <v>2000</v>
      </c>
    </row>
    <row r="7" spans="1:17">
      <c r="A7" s="55" t="s">
        <v>2</v>
      </c>
      <c r="B7" s="47">
        <v>53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104</v>
      </c>
      <c r="H7" s="133">
        <f>IF(B$17=0,0,G7/B$17)</f>
        <v>0.25060240963855424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99</v>
      </c>
      <c r="Q7" s="104">
        <v>0</v>
      </c>
    </row>
    <row r="8" spans="1:17">
      <c r="A8" s="55" t="s">
        <v>3</v>
      </c>
      <c r="B8" s="47">
        <v>53</v>
      </c>
      <c r="C8" s="39">
        <f t="shared" si="1"/>
        <v>0.33333333333333331</v>
      </c>
      <c r="E8" s="63" t="s">
        <v>90</v>
      </c>
      <c r="F8" s="60" t="s">
        <v>45</v>
      </c>
      <c r="G8" s="47">
        <v>56</v>
      </c>
      <c r="H8" s="133">
        <f>IF(B$17=0,0,G8/B$17)</f>
        <v>0.13493975903614458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>
      <c r="A9" s="56" t="s">
        <v>4</v>
      </c>
      <c r="B9" s="48">
        <v>53</v>
      </c>
      <c r="C9" s="40">
        <f t="shared" si="1"/>
        <v>0.33333333333333331</v>
      </c>
      <c r="E9" s="63" t="s">
        <v>70</v>
      </c>
      <c r="F9" s="60" t="s">
        <v>25</v>
      </c>
      <c r="G9" s="47">
        <v>53</v>
      </c>
      <c r="H9" s="133">
        <f>IF(B$17=0,0,G9/B$17)</f>
        <v>0.12771084337349398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19</v>
      </c>
      <c r="C10" s="40">
        <f t="shared" si="1"/>
        <v>0.11949685534591195</v>
      </c>
      <c r="E10" s="63" t="s">
        <v>66</v>
      </c>
      <c r="F10" s="60" t="s">
        <v>22</v>
      </c>
      <c r="G10" s="47">
        <v>40</v>
      </c>
      <c r="H10" s="133">
        <f>IF(B$17=0,0,G10/B$17)</f>
        <v>9.6385542168674704E-2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2.3113207547169807</v>
      </c>
      <c r="P10" s="118">
        <v>53</v>
      </c>
      <c r="Q10" s="106">
        <v>122.49999999999999</v>
      </c>
    </row>
    <row r="11" spans="1:17">
      <c r="A11" s="56" t="s">
        <v>139</v>
      </c>
      <c r="B11" s="48">
        <v>19</v>
      </c>
      <c r="C11" s="40">
        <f t="shared" si="1"/>
        <v>0.11949685534591195</v>
      </c>
      <c r="E11" s="63" t="s">
        <v>71</v>
      </c>
      <c r="F11" s="60" t="s">
        <v>26</v>
      </c>
      <c r="G11" s="47">
        <v>30</v>
      </c>
      <c r="H11" s="133">
        <f>IF(B$17=0,0,G11/B$17)</f>
        <v>7.2289156626506021E-2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-1.5490566037735849</v>
      </c>
      <c r="P11" s="119">
        <v>53</v>
      </c>
      <c r="Q11" s="107">
        <v>-82.1</v>
      </c>
    </row>
    <row r="12" spans="1:17">
      <c r="A12" s="57" t="s">
        <v>159</v>
      </c>
      <c r="B12" s="49">
        <v>17</v>
      </c>
      <c r="C12" s="42">
        <f t="shared" si="1"/>
        <v>0.1069182389937107</v>
      </c>
      <c r="E12" s="63" t="s">
        <v>84</v>
      </c>
      <c r="F12" s="60" t="s">
        <v>39</v>
      </c>
      <c r="G12" s="47">
        <v>25</v>
      </c>
      <c r="H12" s="133">
        <f>IF(B$17=0,0,G12/B$17)</f>
        <v>6.0240963855421686E-2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-0.76226415094339495</v>
      </c>
      <c r="P12" s="120">
        <v>53</v>
      </c>
      <c r="Q12" s="108">
        <v>-40.399999999999935</v>
      </c>
    </row>
    <row r="13" spans="1:17">
      <c r="A13" s="58" t="s">
        <v>122</v>
      </c>
      <c r="B13" s="50">
        <v>337</v>
      </c>
      <c r="C13" s="44">
        <f>IF(B$3=0,0,B13/B$3)</f>
        <v>0.23799435028248589</v>
      </c>
      <c r="E13" s="63" t="s">
        <v>72</v>
      </c>
      <c r="F13" s="60" t="s">
        <v>27</v>
      </c>
      <c r="G13" s="47">
        <v>24</v>
      </c>
      <c r="H13" s="133">
        <f>IF(B$17=0,0,G13/B$17)</f>
        <v>5.7831325301204821E-2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>
      <c r="A14" s="55" t="s">
        <v>119</v>
      </c>
      <c r="B14" s="47">
        <v>356</v>
      </c>
      <c r="C14" s="39">
        <f>IF(B$3=0,0,B14/B$3)</f>
        <v>0.25141242937853109</v>
      </c>
      <c r="E14" s="63" t="s">
        <v>87</v>
      </c>
      <c r="F14" s="60" t="s">
        <v>42</v>
      </c>
      <c r="G14" s="47">
        <v>21</v>
      </c>
      <c r="H14" s="133">
        <f>IF(B$17=0,0,G14/B$17)</f>
        <v>5.0602409638554217E-2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185</v>
      </c>
      <c r="C15" s="37">
        <f>IF(B$13=0,0,B15/B$13)</f>
        <v>0.54896142433234418</v>
      </c>
      <c r="E15" s="63" t="s">
        <v>79</v>
      </c>
      <c r="F15" s="60" t="s">
        <v>34</v>
      </c>
      <c r="G15" s="47">
        <v>13</v>
      </c>
      <c r="H15" s="133">
        <f>IF(B$17=0,0,G15/B$17)</f>
        <v>3.1325301204819279E-2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>
      <c r="A16" s="54" t="s">
        <v>125</v>
      </c>
      <c r="B16" s="46">
        <v>150</v>
      </c>
      <c r="C16" s="37">
        <f>IF(B$14=0,0,B16/B$14)</f>
        <v>0.42134831460674155</v>
      </c>
      <c r="E16" s="63" t="s">
        <v>82</v>
      </c>
      <c r="F16" s="60" t="s">
        <v>37</v>
      </c>
      <c r="G16" s="47">
        <v>9</v>
      </c>
      <c r="H16" s="133">
        <f>IF(B$17=0,0,G16/B$17)</f>
        <v>2.1686746987951807E-2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20</v>
      </c>
      <c r="P16" s="119">
        <v>36</v>
      </c>
      <c r="Q16" s="107">
        <v>720</v>
      </c>
    </row>
    <row r="17" spans="1:17">
      <c r="A17" s="54" t="s">
        <v>10</v>
      </c>
      <c r="B17" s="46">
        <f>B19+B18</f>
        <v>415</v>
      </c>
      <c r="C17" s="37">
        <f>IF(B$3=0,0,B17/B$3)</f>
        <v>0.29307909604519772</v>
      </c>
      <c r="E17" s="63" t="s">
        <v>80</v>
      </c>
      <c r="F17" s="60" t="s">
        <v>35</v>
      </c>
      <c r="G17" s="47">
        <v>7</v>
      </c>
      <c r="H17" s="133">
        <f>IF(B$17=0,0,G17/B$17)</f>
        <v>1.6867469879518072E-2</v>
      </c>
      <c r="I17" s="94">
        <v>5</v>
      </c>
      <c r="K17" s="38">
        <v>15</v>
      </c>
      <c r="L17" s="99">
        <v>0</v>
      </c>
      <c r="N17" s="115" t="s">
        <v>196</v>
      </c>
      <c r="O17" s="125">
        <f>IF(P17=0,0,Q17/P17)</f>
        <v>14.025000000000006</v>
      </c>
      <c r="P17" s="119">
        <v>8</v>
      </c>
      <c r="Q17" s="107">
        <v>112.20000000000005</v>
      </c>
    </row>
    <row r="18" spans="1:17">
      <c r="A18" s="55" t="s">
        <v>12</v>
      </c>
      <c r="B18" s="47">
        <v>172</v>
      </c>
      <c r="C18" s="39">
        <f>IF(B$17=0,0,B18/B$17)</f>
        <v>0.41445783132530123</v>
      </c>
      <c r="E18" s="63" t="s">
        <v>92</v>
      </c>
      <c r="F18" s="60" t="s">
        <v>47</v>
      </c>
      <c r="G18" s="47">
        <v>5</v>
      </c>
      <c r="H18" s="133">
        <f>IF(B$17=0,0,G18/B$17)</f>
        <v>1.2048192771084338E-2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>
      <c r="A19" s="55" t="s">
        <v>11</v>
      </c>
      <c r="B19" s="47">
        <v>243</v>
      </c>
      <c r="C19" s="39">
        <f>IF(B$17=0,0,B19/B$17)</f>
        <v>0.58554216867469877</v>
      </c>
      <c r="E19" s="63" t="s">
        <v>93</v>
      </c>
      <c r="F19" s="60" t="s">
        <v>48</v>
      </c>
      <c r="G19" s="47">
        <v>5</v>
      </c>
      <c r="H19" s="133">
        <f>IF(B$17=0,0,G19/B$17)</f>
        <v>1.2048192771084338E-2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6.5200000000000005</v>
      </c>
      <c r="P19" s="119">
        <v>30</v>
      </c>
      <c r="Q19" s="107">
        <v>195.60000000000002</v>
      </c>
    </row>
    <row r="20" spans="1:17">
      <c r="A20" s="55" t="s">
        <v>13</v>
      </c>
      <c r="B20" s="47">
        <v>242</v>
      </c>
      <c r="C20" s="39">
        <f>IF(B$3=0,0,B20/B$3)</f>
        <v>0.17090395480225989</v>
      </c>
      <c r="E20" s="63" t="s">
        <v>168</v>
      </c>
      <c r="F20" s="60" t="s">
        <v>169</v>
      </c>
      <c r="G20" s="47">
        <v>5</v>
      </c>
      <c r="H20" s="133">
        <f>IF(B$17=0,0,G20/B$17)</f>
        <v>1.2048192771084338E-2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2.6294117647058814</v>
      </c>
      <c r="P20" s="119">
        <v>34</v>
      </c>
      <c r="Q20" s="107">
        <v>89.399999999999963</v>
      </c>
    </row>
    <row r="21" spans="1:17">
      <c r="A21" s="55" t="s">
        <v>170</v>
      </c>
      <c r="B21" s="47">
        <v>7</v>
      </c>
      <c r="C21" s="135">
        <v>1</v>
      </c>
      <c r="E21" s="63" t="s">
        <v>78</v>
      </c>
      <c r="F21" s="60" t="s">
        <v>33</v>
      </c>
      <c r="G21" s="47">
        <v>3</v>
      </c>
      <c r="H21" s="133">
        <f>IF(B$17=0,0,G21/B$17)</f>
        <v>7.2289156626506026E-3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-4.3776315789473701</v>
      </c>
      <c r="P21" s="119">
        <v>76</v>
      </c>
      <c r="Q21" s="107">
        <v>-332.7000000000001</v>
      </c>
    </row>
    <row r="22" spans="1:17">
      <c r="A22" s="55" t="s">
        <v>171</v>
      </c>
      <c r="B22" s="47">
        <v>26</v>
      </c>
      <c r="C22" s="135">
        <v>11</v>
      </c>
      <c r="E22" s="63" t="s">
        <v>86</v>
      </c>
      <c r="F22" s="60" t="s">
        <v>41</v>
      </c>
      <c r="G22" s="47">
        <v>3</v>
      </c>
      <c r="H22" s="133">
        <f>IF(B$17=0,0,G22/B$17)</f>
        <v>7.2289156626506026E-3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-16.522058823529417</v>
      </c>
      <c r="P22" s="119">
        <v>68</v>
      </c>
      <c r="Q22" s="107">
        <v>-1123.5000000000002</v>
      </c>
    </row>
    <row r="23" spans="1:17">
      <c r="A23" s="55" t="s">
        <v>5</v>
      </c>
      <c r="B23" s="51">
        <f>IF(B$17=0,0,C23/B$17)</f>
        <v>8356.3855421686749</v>
      </c>
      <c r="C23" s="41">
        <v>3467900</v>
      </c>
      <c r="E23" s="63" t="s">
        <v>85</v>
      </c>
      <c r="F23" s="60" t="s">
        <v>40</v>
      </c>
      <c r="G23" s="47">
        <v>2</v>
      </c>
      <c r="H23" s="133">
        <f>IF(B$17=0,0,G23/B$17)</f>
        <v>4.8192771084337354E-3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>
      <c r="A24" s="57" t="s">
        <v>14</v>
      </c>
      <c r="B24" s="52">
        <f>IF(B$20=0,0,C24/B$20)</f>
        <v>-7989.2561983471078</v>
      </c>
      <c r="C24" s="45">
        <v>-1933400</v>
      </c>
      <c r="E24" s="63" t="s">
        <v>89</v>
      </c>
      <c r="F24" s="60" t="s">
        <v>44</v>
      </c>
      <c r="G24" s="47">
        <v>2</v>
      </c>
      <c r="H24" s="133">
        <f>IF(B$17=0,0,G24/B$17)</f>
        <v>4.8192771084337354E-3</v>
      </c>
      <c r="I24" s="94">
        <v>3</v>
      </c>
      <c r="K24" s="38">
        <v>22</v>
      </c>
      <c r="L24" s="99">
        <v>-25.099999999999994</v>
      </c>
    </row>
    <row r="25" spans="1:17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2.4096385542168677E-3</v>
      </c>
      <c r="I25" s="94">
        <v>2</v>
      </c>
      <c r="K25" s="38">
        <v>23</v>
      </c>
      <c r="L25" s="99">
        <v>-26.799999999999994</v>
      </c>
    </row>
    <row r="26" spans="1:17">
      <c r="A26" s="58" t="s">
        <v>151</v>
      </c>
      <c r="B26" s="142">
        <v>95200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2.4096385542168677E-3</v>
      </c>
      <c r="I26" s="94">
        <v>2</v>
      </c>
      <c r="K26" s="38">
        <v>24</v>
      </c>
      <c r="L26" s="99">
        <v>7.1054273576010019E-15</v>
      </c>
    </row>
    <row r="27" spans="1:17">
      <c r="A27" s="57" t="s">
        <v>142</v>
      </c>
      <c r="B27" s="65">
        <v>4</v>
      </c>
      <c r="C27" s="42">
        <f>IF(B$3=0,0,B27/B$3)</f>
        <v>2.8248587570621469E-3</v>
      </c>
      <c r="E27" s="63" t="s">
        <v>88</v>
      </c>
      <c r="F27" s="60" t="s">
        <v>43</v>
      </c>
      <c r="G27" s="47">
        <v>1</v>
      </c>
      <c r="H27" s="133">
        <f>IF(B$17=0,0,G27/B$17)</f>
        <v>2.4096385542168677E-3</v>
      </c>
      <c r="I27" s="94">
        <v>2</v>
      </c>
      <c r="K27" s="38">
        <v>25</v>
      </c>
      <c r="L27" s="99">
        <v>15.000000000000007</v>
      </c>
    </row>
    <row r="28" spans="1:17">
      <c r="E28" s="63" t="s">
        <v>91</v>
      </c>
      <c r="F28" s="60" t="s">
        <v>46</v>
      </c>
      <c r="G28" s="47">
        <v>1</v>
      </c>
      <c r="H28" s="133">
        <f>IF(B$17=0,0,G28/B$17)</f>
        <v>2.4096385542168677E-3</v>
      </c>
      <c r="I28" s="94">
        <v>2</v>
      </c>
      <c r="K28" s="38">
        <v>26</v>
      </c>
      <c r="L28" s="99">
        <v>0.60000000000000675</v>
      </c>
    </row>
    <row r="29" spans="1:17">
      <c r="E29" s="63" t="s">
        <v>96</v>
      </c>
      <c r="F29" s="60" t="s">
        <v>51</v>
      </c>
      <c r="G29" s="47">
        <v>1</v>
      </c>
      <c r="H29" s="133">
        <f>IF(B$17=0,0,G29/B$17)</f>
        <v>2.4096385542168677E-3</v>
      </c>
      <c r="I29" s="94">
        <v>2</v>
      </c>
      <c r="K29" s="38">
        <v>27</v>
      </c>
      <c r="L29" s="99">
        <v>6.7723604502134549E-15</v>
      </c>
    </row>
    <row r="30" spans="1:17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>
      <c r="K53" s="38">
        <v>51</v>
      </c>
      <c r="L53" s="99">
        <v>1.4210854715202004E-14</v>
      </c>
    </row>
    <row r="54" spans="5:12">
      <c r="K54" s="38">
        <v>52</v>
      </c>
      <c r="L54" s="99">
        <v>-5.8999999999999861</v>
      </c>
    </row>
    <row r="55" spans="5:12">
      <c r="K55" s="38">
        <v>53</v>
      </c>
      <c r="L55" s="99">
        <v>-29.399999999999984</v>
      </c>
    </row>
    <row r="56" spans="5:12">
      <c r="K56" s="38">
        <v>54</v>
      </c>
      <c r="L56" s="99">
        <v>1.4210854715202004E-14</v>
      </c>
    </row>
    <row r="57" spans="5:12">
      <c r="K57" s="38">
        <v>55</v>
      </c>
      <c r="L57" s="99">
        <v>-42.999999999999986</v>
      </c>
    </row>
    <row r="58" spans="5:12">
      <c r="K58" s="38">
        <v>56</v>
      </c>
      <c r="L58" s="99">
        <v>-54.199999999999989</v>
      </c>
    </row>
    <row r="59" spans="5:12">
      <c r="K59" s="38">
        <v>57</v>
      </c>
      <c r="L59" s="99">
        <v>1.4210854715202004E-14</v>
      </c>
    </row>
    <row r="60" spans="5:12">
      <c r="K60" s="38">
        <v>58</v>
      </c>
      <c r="L60" s="99">
        <v>7.6000000000000139</v>
      </c>
    </row>
    <row r="61" spans="5:12">
      <c r="K61" s="38">
        <v>59</v>
      </c>
      <c r="L61" s="99">
        <v>-35.399999999999984</v>
      </c>
    </row>
    <row r="62" spans="5:12">
      <c r="K62" s="38">
        <v>60</v>
      </c>
      <c r="L62" s="99">
        <v>1.4210854715202004E-14</v>
      </c>
    </row>
    <row r="63" spans="5:12">
      <c r="K63" s="38">
        <v>61</v>
      </c>
      <c r="L63" s="99">
        <v>66.800000000000011</v>
      </c>
    </row>
    <row r="64" spans="5:12">
      <c r="K64" s="38">
        <v>62</v>
      </c>
      <c r="L64" s="99">
        <v>6.7000000000000099</v>
      </c>
    </row>
    <row r="65" spans="11:12">
      <c r="K65" s="38">
        <v>63</v>
      </c>
      <c r="L65" s="99">
        <v>9.7699626167013776E-15</v>
      </c>
    </row>
    <row r="66" spans="11:12">
      <c r="K66" s="38">
        <v>64</v>
      </c>
      <c r="L66" s="99">
        <v>-49.499999999999993</v>
      </c>
    </row>
    <row r="67" spans="11:12">
      <c r="K67" s="38">
        <v>65</v>
      </c>
      <c r="L67" s="99">
        <v>-30.799999999999994</v>
      </c>
    </row>
    <row r="68" spans="11:12">
      <c r="K68" s="38">
        <v>66</v>
      </c>
      <c r="L68" s="99">
        <v>7.1054273576010019E-15</v>
      </c>
    </row>
    <row r="69" spans="11:12">
      <c r="K69" s="38">
        <v>67</v>
      </c>
      <c r="L69" s="99">
        <v>66.400000000000006</v>
      </c>
    </row>
    <row r="70" spans="11:12">
      <c r="K70" s="38">
        <v>68</v>
      </c>
      <c r="L70" s="99">
        <v>17.700000000000003</v>
      </c>
    </row>
    <row r="71" spans="11:12">
      <c r="K71" s="38">
        <v>69</v>
      </c>
      <c r="L71" s="99">
        <v>3.5527136788005009E-15</v>
      </c>
    </row>
    <row r="72" spans="11:12">
      <c r="K72" s="38">
        <v>70</v>
      </c>
      <c r="L72" s="99">
        <v>17.700000000000003</v>
      </c>
    </row>
    <row r="73" spans="11:12">
      <c r="K73" s="38">
        <v>71</v>
      </c>
      <c r="L73" s="99">
        <v>-28.799999999999997</v>
      </c>
    </row>
    <row r="74" spans="11:12">
      <c r="K74" s="38">
        <v>72</v>
      </c>
      <c r="L74" s="99">
        <v>3.5527136788005009E-15</v>
      </c>
    </row>
    <row r="75" spans="11:12">
      <c r="K75" s="38">
        <v>73</v>
      </c>
      <c r="L75" s="99">
        <v>7.5000000000000036</v>
      </c>
    </row>
    <row r="76" spans="11:12">
      <c r="K76" s="38">
        <v>74</v>
      </c>
      <c r="L76" s="99">
        <v>28.600000000000005</v>
      </c>
    </row>
    <row r="77" spans="11:12">
      <c r="K77" s="38">
        <v>75</v>
      </c>
      <c r="L77" s="99">
        <v>3.5527136788005009E-15</v>
      </c>
    </row>
    <row r="78" spans="11:12">
      <c r="K78" s="38">
        <v>76</v>
      </c>
      <c r="L78" s="99">
        <v>39.5</v>
      </c>
    </row>
    <row r="79" spans="11:12">
      <c r="K79" s="38">
        <v>77</v>
      </c>
      <c r="L79" s="99">
        <v>-7</v>
      </c>
    </row>
    <row r="80" spans="11:12">
      <c r="K80" s="38">
        <v>78</v>
      </c>
      <c r="L80" s="99">
        <v>0</v>
      </c>
    </row>
    <row r="81" spans="11:12">
      <c r="K81" s="38">
        <v>79</v>
      </c>
      <c r="L81" s="99">
        <v>-45.1</v>
      </c>
    </row>
    <row r="82" spans="11:12">
      <c r="K82" s="38">
        <v>80</v>
      </c>
      <c r="L82" s="99">
        <v>-39.200000000000003</v>
      </c>
    </row>
    <row r="83" spans="11:12">
      <c r="K83" s="38">
        <v>81</v>
      </c>
      <c r="L83" s="99">
        <v>0</v>
      </c>
    </row>
    <row r="84" spans="11:12">
      <c r="K84" s="38">
        <v>82</v>
      </c>
      <c r="L84" s="99">
        <v>17.7</v>
      </c>
    </row>
    <row r="85" spans="11:12">
      <c r="K85" s="38">
        <v>83</v>
      </c>
      <c r="L85" s="99">
        <v>-28.8</v>
      </c>
    </row>
    <row r="86" spans="11:12">
      <c r="K86" s="38">
        <v>84</v>
      </c>
      <c r="L86" s="99">
        <v>0</v>
      </c>
    </row>
    <row r="87" spans="11:12">
      <c r="K87" s="38">
        <v>85</v>
      </c>
      <c r="L87" s="99">
        <v>42.9</v>
      </c>
    </row>
    <row r="88" spans="11:12">
      <c r="K88" s="38">
        <v>86</v>
      </c>
      <c r="L88" s="99">
        <v>-0.80000000000000426</v>
      </c>
    </row>
    <row r="89" spans="11:12">
      <c r="K89" s="38">
        <v>87</v>
      </c>
      <c r="L89" s="99">
        <v>-4.2188474935755949E-15</v>
      </c>
    </row>
    <row r="90" spans="11:12">
      <c r="K90" s="38">
        <v>88</v>
      </c>
      <c r="L90" s="99">
        <v>-58.000000000000007</v>
      </c>
    </row>
    <row r="91" spans="11:12">
      <c r="K91" s="38">
        <v>89</v>
      </c>
      <c r="L91" s="99">
        <v>-7.1054273576010019E-15</v>
      </c>
    </row>
    <row r="92" spans="11:12">
      <c r="K92" s="38">
        <v>90</v>
      </c>
      <c r="L92" s="99">
        <v>-7.1054273576010019E-15</v>
      </c>
    </row>
    <row r="93" spans="11:12">
      <c r="K93" s="38">
        <v>91</v>
      </c>
      <c r="L93" s="99">
        <v>-26.400000000000006</v>
      </c>
    </row>
    <row r="94" spans="11:12">
      <c r="K94" s="38">
        <v>92</v>
      </c>
      <c r="L94" s="99">
        <v>-26.900000000000006</v>
      </c>
    </row>
    <row r="95" spans="11:12">
      <c r="K95" s="38">
        <v>93</v>
      </c>
      <c r="L95" s="99">
        <v>-7.1054273576010019E-15</v>
      </c>
    </row>
    <row r="96" spans="11:12">
      <c r="K96" s="38">
        <v>94</v>
      </c>
      <c r="L96" s="99">
        <v>-34.900000000000006</v>
      </c>
    </row>
    <row r="97" spans="11:12">
      <c r="K97" s="38">
        <v>95</v>
      </c>
      <c r="L97" s="99">
        <v>-8.100000000000005</v>
      </c>
    </row>
    <row r="98" spans="11:12">
      <c r="K98" s="38">
        <v>96</v>
      </c>
      <c r="L98" s="99">
        <v>-5.3290705182007514E-15</v>
      </c>
    </row>
    <row r="99" spans="11:12">
      <c r="K99" s="38">
        <v>97</v>
      </c>
      <c r="L99" s="99">
        <v>34.29999999999999</v>
      </c>
    </row>
    <row r="100" spans="11:12">
      <c r="K100" s="38">
        <v>98</v>
      </c>
      <c r="L100" s="99">
        <v>31.499999999999989</v>
      </c>
    </row>
    <row r="101" spans="11:12">
      <c r="K101" s="38">
        <v>99</v>
      </c>
      <c r="L101" s="99">
        <v>-1.0658141036401503E-14</v>
      </c>
    </row>
    <row r="102" spans="11:12">
      <c r="K102" s="38">
        <v>100</v>
      </c>
      <c r="L102" s="99">
        <v>34.499999999999986</v>
      </c>
    </row>
    <row r="103" spans="11:12">
      <c r="K103" s="38">
        <v>101</v>
      </c>
      <c r="L103" s="99">
        <v>46.899999999999984</v>
      </c>
    </row>
    <row r="104" spans="11:12">
      <c r="K104" s="38">
        <v>102</v>
      </c>
      <c r="L104" s="99">
        <v>-1.4210854715202004E-14</v>
      </c>
    </row>
    <row r="105" spans="11:12">
      <c r="K105" s="38">
        <v>103</v>
      </c>
      <c r="L105" s="99">
        <v>-49.400000000000013</v>
      </c>
    </row>
    <row r="106" spans="11:12">
      <c r="K106" s="38">
        <v>104</v>
      </c>
      <c r="L106" s="99">
        <v>-18.000000000000014</v>
      </c>
    </row>
    <row r="107" spans="11:12">
      <c r="K107" s="38">
        <v>105</v>
      </c>
      <c r="L107" s="99">
        <v>-1.4210854715202004E-14</v>
      </c>
    </row>
    <row r="108" spans="11:12">
      <c r="K108" s="38">
        <v>106</v>
      </c>
      <c r="L108" s="99">
        <v>-10.800000000000015</v>
      </c>
    </row>
    <row r="109" spans="11:12">
      <c r="K109" s="38">
        <v>107</v>
      </c>
      <c r="L109" s="99">
        <v>-56.90000000000002</v>
      </c>
    </row>
    <row r="110" spans="11:12">
      <c r="K110" s="38">
        <v>108</v>
      </c>
      <c r="L110" s="99">
        <v>-2.1316282072803006E-14</v>
      </c>
    </row>
    <row r="111" spans="11:12">
      <c r="K111" s="38">
        <v>109</v>
      </c>
      <c r="L111" s="99">
        <v>7.6999999999999789</v>
      </c>
    </row>
    <row r="112" spans="11:12">
      <c r="K112" s="38">
        <v>110</v>
      </c>
      <c r="L112" s="99">
        <v>-22.700000000000021</v>
      </c>
    </row>
    <row r="113" spans="11:12">
      <c r="K113" s="38">
        <v>111</v>
      </c>
      <c r="L113" s="99">
        <v>-2.1316282072803006E-14</v>
      </c>
    </row>
    <row r="114" spans="11:12">
      <c r="K114" s="38">
        <v>112</v>
      </c>
      <c r="L114" s="99">
        <v>2.4999999999999787</v>
      </c>
    </row>
    <row r="115" spans="11:12">
      <c r="K115" s="38">
        <v>113</v>
      </c>
      <c r="L115" s="99">
        <v>23.999999999999979</v>
      </c>
    </row>
    <row r="116" spans="11:12">
      <c r="K116" s="38">
        <v>114</v>
      </c>
      <c r="L116" s="99">
        <v>-2.1316282072803006E-14</v>
      </c>
    </row>
    <row r="117" spans="11:12">
      <c r="K117" s="38">
        <v>115</v>
      </c>
      <c r="L117" s="99">
        <v>33.09999999999998</v>
      </c>
    </row>
    <row r="118" spans="11:12">
      <c r="K118" s="38">
        <v>116</v>
      </c>
      <c r="L118" s="99">
        <v>6.6999999999999815</v>
      </c>
    </row>
    <row r="119" spans="11:12">
      <c r="K119" s="38">
        <v>117</v>
      </c>
      <c r="L119" s="99">
        <v>-1.865174681370263E-14</v>
      </c>
    </row>
    <row r="120" spans="11:12">
      <c r="K120" s="38">
        <v>118</v>
      </c>
      <c r="L120" s="99">
        <v>-44.200000000000024</v>
      </c>
    </row>
    <row r="121" spans="11:12">
      <c r="K121" s="38">
        <v>119</v>
      </c>
      <c r="L121" s="99">
        <v>-30.800000000000026</v>
      </c>
    </row>
    <row r="122" spans="11:12">
      <c r="K122" s="38">
        <v>120</v>
      </c>
      <c r="L122" s="99">
        <v>-2.4868995751603507E-14</v>
      </c>
    </row>
    <row r="123" spans="11:12">
      <c r="K123" s="38">
        <v>121</v>
      </c>
      <c r="L123" s="99">
        <v>-55.800000000000026</v>
      </c>
    </row>
    <row r="124" spans="11:12">
      <c r="K124" s="38">
        <v>122</v>
      </c>
      <c r="L124" s="99">
        <v>-50.500000000000028</v>
      </c>
    </row>
    <row r="125" spans="11:12">
      <c r="K125" s="38">
        <v>123</v>
      </c>
      <c r="L125" s="99">
        <v>-2.8421709430404007E-14</v>
      </c>
    </row>
    <row r="126" spans="11:12">
      <c r="K126" s="38">
        <v>124</v>
      </c>
      <c r="L126" s="99">
        <v>31.699999999999971</v>
      </c>
    </row>
    <row r="127" spans="11:12">
      <c r="K127" s="38">
        <v>125</v>
      </c>
      <c r="L127" s="99">
        <v>-8.6000000000000263</v>
      </c>
    </row>
    <row r="128" spans="11:12">
      <c r="K128" s="38">
        <v>126</v>
      </c>
      <c r="L128" s="99">
        <v>-2.6645352591003757E-14</v>
      </c>
    </row>
    <row r="129" spans="11:12">
      <c r="K129" s="38">
        <v>127</v>
      </c>
      <c r="L129" s="99">
        <v>-3.4000000000000266</v>
      </c>
    </row>
    <row r="130" spans="11:12">
      <c r="K130" s="38">
        <v>128</v>
      </c>
      <c r="L130" s="99">
        <v>-24.700000000000028</v>
      </c>
    </row>
    <row r="131" spans="11:12">
      <c r="K131" s="38">
        <v>129</v>
      </c>
      <c r="L131" s="99">
        <v>-2.8421709430404007E-14</v>
      </c>
    </row>
    <row r="132" spans="11:12">
      <c r="K132" s="38">
        <v>130</v>
      </c>
      <c r="L132" s="99">
        <v>-16.700000000000028</v>
      </c>
    </row>
    <row r="133" spans="11:12">
      <c r="K133" s="38">
        <v>131</v>
      </c>
      <c r="L133" s="99">
        <v>-15.100000000000028</v>
      </c>
    </row>
    <row r="134" spans="11:12">
      <c r="K134" s="38">
        <v>132</v>
      </c>
      <c r="L134" s="99">
        <v>-2.8421709430404007E-14</v>
      </c>
    </row>
    <row r="135" spans="11:12">
      <c r="K135" s="38">
        <v>133</v>
      </c>
      <c r="L135" s="99">
        <v>-2.8000000000000282</v>
      </c>
    </row>
    <row r="136" spans="11:12">
      <c r="K136" s="38">
        <v>134</v>
      </c>
      <c r="L136" s="99">
        <v>14.099999999999969</v>
      </c>
    </row>
    <row r="137" spans="11:12">
      <c r="K137" s="38">
        <v>135</v>
      </c>
      <c r="L137" s="99">
        <v>-3.0198066269804258E-14</v>
      </c>
    </row>
    <row r="138" spans="11:12">
      <c r="K138" s="38">
        <v>136</v>
      </c>
      <c r="L138" s="99">
        <v>-43.800000000000026</v>
      </c>
    </row>
    <row r="139" spans="11:12">
      <c r="K139" s="38">
        <v>137</v>
      </c>
      <c r="L139" s="99">
        <v>6.1999999999999744</v>
      </c>
    </row>
    <row r="140" spans="11:12">
      <c r="K140" s="38">
        <v>138</v>
      </c>
      <c r="L140" s="99">
        <v>-2.5757174171303632E-14</v>
      </c>
    </row>
    <row r="141" spans="11:12">
      <c r="K141" s="38">
        <v>139</v>
      </c>
      <c r="L141" s="99">
        <v>-35.300000000000026</v>
      </c>
    </row>
    <row r="142" spans="11:12">
      <c r="K142" s="38">
        <v>140</v>
      </c>
      <c r="L142" s="99">
        <v>7.2999999999999758</v>
      </c>
    </row>
    <row r="143" spans="11:12">
      <c r="K143" s="38">
        <v>141</v>
      </c>
      <c r="L143" s="99">
        <v>-2.3980817331903381E-14</v>
      </c>
    </row>
    <row r="144" spans="11:12">
      <c r="K144" s="38">
        <v>142</v>
      </c>
      <c r="L144" s="99">
        <v>60.09999999999998</v>
      </c>
    </row>
    <row r="145" spans="11:12">
      <c r="K145" s="38">
        <v>143</v>
      </c>
      <c r="L145" s="99">
        <v>50.399999999999977</v>
      </c>
    </row>
    <row r="146" spans="11:12">
      <c r="K146" s="38">
        <v>144</v>
      </c>
      <c r="L146" s="99">
        <v>-2.1316282072803006E-14</v>
      </c>
    </row>
    <row r="147" spans="11:12">
      <c r="K147" s="38">
        <v>145</v>
      </c>
      <c r="L147" s="99">
        <v>-53.100000000000023</v>
      </c>
    </row>
    <row r="148" spans="11:12">
      <c r="K148" s="38">
        <v>146</v>
      </c>
      <c r="L148" s="99">
        <v>-53.200000000000024</v>
      </c>
    </row>
    <row r="149" spans="11:12">
      <c r="K149" s="38">
        <v>147</v>
      </c>
      <c r="L149" s="99">
        <v>-2.1316282072803006E-14</v>
      </c>
    </row>
    <row r="150" spans="11:12">
      <c r="K150" s="38">
        <v>148</v>
      </c>
      <c r="L150" s="99">
        <v>-21.90000000000002</v>
      </c>
    </row>
    <row r="151" spans="11:12">
      <c r="K151" s="38">
        <v>149</v>
      </c>
      <c r="L151" s="99">
        <v>7.9999999999999787</v>
      </c>
    </row>
    <row r="152" spans="11:12">
      <c r="K152" s="38">
        <v>150</v>
      </c>
      <c r="L152" s="99">
        <v>-2.1316282072803006E-14</v>
      </c>
    </row>
    <row r="153" spans="11:12">
      <c r="K153" s="38">
        <v>151</v>
      </c>
      <c r="L153" s="99">
        <v>45.899999999999977</v>
      </c>
    </row>
    <row r="154" spans="11:12">
      <c r="K154" s="38">
        <v>152</v>
      </c>
      <c r="L154" s="99">
        <v>45.699999999999974</v>
      </c>
    </row>
    <row r="155" spans="11:12">
      <c r="K155" s="38">
        <v>153</v>
      </c>
      <c r="L155" s="99">
        <v>-2.8421709430404007E-14</v>
      </c>
    </row>
    <row r="156" spans="11:12">
      <c r="K156" s="38">
        <v>154</v>
      </c>
      <c r="L156" s="99">
        <v>-27.10000000000003</v>
      </c>
    </row>
    <row r="157" spans="11:12">
      <c r="K157" s="38">
        <v>155</v>
      </c>
      <c r="L157" s="99">
        <v>-5.8000000000000291</v>
      </c>
    </row>
    <row r="158" spans="11:12">
      <c r="K158" s="38">
        <v>156</v>
      </c>
      <c r="L158" s="99">
        <v>-2.9309887850104133E-14</v>
      </c>
    </row>
    <row r="159" spans="11:12">
      <c r="K159" s="38">
        <v>157</v>
      </c>
      <c r="L159" s="99">
        <v>11.39999999999997</v>
      </c>
    </row>
    <row r="160" spans="11:12">
      <c r="K160" s="38">
        <v>158</v>
      </c>
      <c r="L160" s="99">
        <v>-25.300000000000033</v>
      </c>
    </row>
    <row r="161" spans="11:12">
      <c r="K161" s="38">
        <v>159</v>
      </c>
      <c r="L161" s="99">
        <v>-3.1974423109204508E-14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D9A38-4F8F-4D3E-96C5-D611969715B9}">
  <sheetPr codeName="Sheet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0.3888888888888889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>
      <c r="A3" s="55" t="s">
        <v>8</v>
      </c>
      <c r="B3" s="152">
        <v>144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0.16666666666666666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>
      <c r="A4" s="55" t="s">
        <v>6</v>
      </c>
      <c r="B4" s="154">
        <v>-65.2</v>
      </c>
      <c r="C4" s="155"/>
      <c r="E4" s="63" t="s">
        <v>67</v>
      </c>
      <c r="F4" s="60" t="s">
        <v>23</v>
      </c>
      <c r="G4" s="47">
        <v>21</v>
      </c>
      <c r="H4" s="133">
        <f>IF(B$17=0,0,G4/B$17)</f>
        <v>0.58333333333333337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>
      <c r="A5" s="55" t="s">
        <v>7</v>
      </c>
      <c r="B5" s="156">
        <f>IF(B$2=0,0,B$4/B$2)</f>
        <v>-4.3466666666666667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0.16666666666666666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-2666.6666666666665</v>
      </c>
      <c r="P7" s="120">
        <v>12</v>
      </c>
      <c r="Q7" s="104">
        <v>-32000</v>
      </c>
    </row>
    <row r="8" spans="1:17">
      <c r="A8" s="55" t="s">
        <v>3</v>
      </c>
      <c r="B8" s="47">
        <v>5</v>
      </c>
      <c r="C8" s="39">
        <f t="shared" si="1"/>
        <v>0.33333333333333331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0.33333333333333331</v>
      </c>
      <c r="E9" s="63" t="s">
        <v>72</v>
      </c>
      <c r="F9" s="60" t="s">
        <v>27</v>
      </c>
      <c r="G9" s="47">
        <v>5</v>
      </c>
      <c r="H9" s="133">
        <f>IF(B$17=0,0,G9/B$17)</f>
        <v>0.1388888888888889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0.55555555555555558</v>
      </c>
      <c r="I10" s="94">
        <v>6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>
      <c r="A12" s="57" t="s">
        <v>159</v>
      </c>
      <c r="B12" s="49">
        <v>3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>
      <c r="A13" s="58" t="s">
        <v>122</v>
      </c>
      <c r="B13" s="50">
        <v>27</v>
      </c>
      <c r="C13" s="44">
        <f>IF(B$3=0,0,B13/B$3)</f>
        <v>0.1875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0.25694444444444442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>
      <c r="A16" s="54" t="s">
        <v>125</v>
      </c>
      <c r="B16" s="46">
        <v>10</v>
      </c>
      <c r="C16" s="37">
        <f>IF(B$14=0,0,B16/B$14)</f>
        <v>0.27027027027027029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>
      <c r="A17" s="54" t="s">
        <v>10</v>
      </c>
      <c r="B17" s="46">
        <f>B19+B18</f>
        <v>36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5.5555555555555552E-2</v>
      </c>
      <c r="I19" s="94">
        <v>2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>
      <c r="A20" s="55" t="s">
        <v>13</v>
      </c>
      <c r="B20" s="47">
        <v>25</v>
      </c>
      <c r="C20" s="39">
        <f>IF(B$3=0,0,B20/B$3)</f>
        <v>0.1736111111111111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8.3333333333333329E-2</v>
      </c>
      <c r="I21" s="94">
        <v>3</v>
      </c>
    </row>
    <row r="22" spans="1:17">
      <c r="A22" s="55" t="s">
        <v>171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7527.7777777777774</v>
      </c>
      <c r="C23" s="41">
        <v>271000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-7108</v>
      </c>
      <c r="C24" s="45">
        <v>-177700</v>
      </c>
      <c r="E24" s="63" t="s">
        <v>87</v>
      </c>
      <c r="F24" s="60" t="s">
        <v>42</v>
      </c>
      <c r="G24" s="47">
        <v>1</v>
      </c>
      <c r="H24" s="133">
        <f>IF(B$17=0,0,G24/B$17)</f>
        <v>2.7777777777777776E-2</v>
      </c>
      <c r="I24" s="94">
        <v>9</v>
      </c>
    </row>
    <row r="25" spans="1:17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51800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2.7777777777777776E-2</v>
      </c>
      <c r="I26" s="94">
        <v>1</v>
      </c>
    </row>
    <row r="27" spans="1:17">
      <c r="A27" s="57" t="s">
        <v>142</v>
      </c>
      <c r="B27" s="65">
        <v>2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2</v>
      </c>
      <c r="H27" s="133">
        <f>IF(B$17=0,0,G27/B$17)</f>
        <v>5.5555555555555552E-2</v>
      </c>
      <c r="I27" s="94">
        <v>9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17</v>
      </c>
      <c r="H51" s="138">
        <f>IF(B$17=0,0,G51/B$17)</f>
        <v>0.47222222222222221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4563-924E-4BC7-A8DF-B45F62501561}">
  <sheetPr codeName="Sheet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34</v>
      </c>
      <c r="C2" s="151"/>
      <c r="E2" s="62" t="s">
        <v>67</v>
      </c>
      <c r="F2" s="59" t="s">
        <v>23</v>
      </c>
      <c r="G2" s="46">
        <v>54</v>
      </c>
      <c r="H2" s="132">
        <f>IF(B$17=0,0,G2/B$17)</f>
        <v>0.51428571428571423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-391.1764705882353</v>
      </c>
      <c r="P2" s="118">
        <v>34</v>
      </c>
      <c r="Q2" s="102">
        <v>-13300</v>
      </c>
    </row>
    <row r="3" spans="1:17">
      <c r="A3" s="55" t="s">
        <v>8</v>
      </c>
      <c r="B3" s="152">
        <v>301</v>
      </c>
      <c r="C3" s="153"/>
      <c r="E3" s="63" t="s">
        <v>73</v>
      </c>
      <c r="F3" s="60" t="s">
        <v>28</v>
      </c>
      <c r="G3" s="47">
        <v>51</v>
      </c>
      <c r="H3" s="133">
        <f>IF(B$17=0,0,G3/B$17)</f>
        <v>0.48571428571428571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-687.5</v>
      </c>
      <c r="P3" s="119">
        <v>32</v>
      </c>
      <c r="Q3" s="103">
        <v>-22000</v>
      </c>
    </row>
    <row r="4" spans="1:17">
      <c r="A4" s="55" t="s">
        <v>6</v>
      </c>
      <c r="B4" s="154">
        <v>374.49999999999994</v>
      </c>
      <c r="C4" s="155"/>
      <c r="E4" s="63" t="s">
        <v>65</v>
      </c>
      <c r="F4" s="60" t="s">
        <v>21</v>
      </c>
      <c r="G4" s="47">
        <v>41</v>
      </c>
      <c r="H4" s="133">
        <f>IF(B$17=0,0,G4/B$17)</f>
        <v>0.39047619047619048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312.5</v>
      </c>
      <c r="P4" s="119">
        <v>32</v>
      </c>
      <c r="Q4" s="103">
        <v>10000</v>
      </c>
    </row>
    <row r="5" spans="1:17">
      <c r="A5" s="55" t="s">
        <v>7</v>
      </c>
      <c r="B5" s="156">
        <f>IF(B$2=0,0,B$4/B$2)</f>
        <v>11.01470588235294</v>
      </c>
      <c r="C5" s="157"/>
      <c r="E5" s="63" t="s">
        <v>172</v>
      </c>
      <c r="F5" s="60" t="s">
        <v>173</v>
      </c>
      <c r="G5" s="47">
        <v>32</v>
      </c>
      <c r="H5" s="133">
        <f>IF(B$17=0,0,G5/B$17)</f>
        <v>0.30476190476190479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-606.45161290322585</v>
      </c>
      <c r="P5" s="119">
        <v>31</v>
      </c>
      <c r="Q5" s="103">
        <v>-18800</v>
      </c>
    </row>
    <row r="6" spans="1:17">
      <c r="A6" s="55" t="s">
        <v>1</v>
      </c>
      <c r="B6" s="146">
        <f>IF(B$2=0,0,(B$7*1+B$8*2+B$9*3)/B$2)</f>
        <v>1.7058823529411764</v>
      </c>
      <c r="C6" s="147"/>
      <c r="E6" s="63" t="s">
        <v>69</v>
      </c>
      <c r="F6" s="60" t="s">
        <v>12</v>
      </c>
      <c r="G6" s="47">
        <v>28</v>
      </c>
      <c r="H6" s="133">
        <f>IF(B$17=0,0,G6/B$17)</f>
        <v>0.26666666666666666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5251.7241379310344</v>
      </c>
      <c r="P6" s="119">
        <v>29</v>
      </c>
      <c r="Q6" s="103">
        <v>152300</v>
      </c>
    </row>
    <row r="7" spans="1:17">
      <c r="A7" s="55" t="s">
        <v>2</v>
      </c>
      <c r="B7" s="47">
        <v>18</v>
      </c>
      <c r="C7" s="39">
        <f t="shared" ref="C7:C12" si="1">IF(B$2=0,0,B7/B$2)</f>
        <v>0.52941176470588236</v>
      </c>
      <c r="E7" s="63" t="s">
        <v>68</v>
      </c>
      <c r="F7" s="60" t="s">
        <v>24</v>
      </c>
      <c r="G7" s="47">
        <v>25</v>
      </c>
      <c r="H7" s="133">
        <f>IF(B$17=0,0,G7/B$17)</f>
        <v>0.23809523809523808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6631.818181818182</v>
      </c>
      <c r="P7" s="120">
        <v>22</v>
      </c>
      <c r="Q7" s="104">
        <v>145900</v>
      </c>
    </row>
    <row r="8" spans="1:17">
      <c r="A8" s="55" t="s">
        <v>3</v>
      </c>
      <c r="B8" s="47">
        <v>8</v>
      </c>
      <c r="C8" s="39">
        <f t="shared" si="1"/>
        <v>0.23529411764705882</v>
      </c>
      <c r="E8" s="63" t="s">
        <v>90</v>
      </c>
      <c r="F8" s="60" t="s">
        <v>45</v>
      </c>
      <c r="G8" s="47">
        <v>18</v>
      </c>
      <c r="H8" s="133">
        <f>IF(B$17=0,0,G8/B$17)</f>
        <v>0.17142857142857143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>
      <c r="A9" s="56" t="s">
        <v>4</v>
      </c>
      <c r="B9" s="48">
        <v>8</v>
      </c>
      <c r="C9" s="40">
        <f t="shared" si="1"/>
        <v>0.23529411764705882</v>
      </c>
      <c r="E9" s="63" t="s">
        <v>70</v>
      </c>
      <c r="F9" s="60" t="s">
        <v>25</v>
      </c>
      <c r="G9" s="47">
        <v>16</v>
      </c>
      <c r="H9" s="133">
        <f>IF(B$17=0,0,G9/B$17)</f>
        <v>0.15238095238095239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2.9411764705882353E-2</v>
      </c>
      <c r="E10" s="63" t="s">
        <v>66</v>
      </c>
      <c r="F10" s="60" t="s">
        <v>22</v>
      </c>
      <c r="G10" s="47">
        <v>10</v>
      </c>
      <c r="H10" s="133">
        <f>IF(B$17=0,0,G10/B$17)</f>
        <v>9.5238095238095233E-2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>
      <c r="A11" s="56" t="s">
        <v>139</v>
      </c>
      <c r="B11" s="48">
        <v>4</v>
      </c>
      <c r="C11" s="40">
        <f t="shared" si="1"/>
        <v>0.11764705882352941</v>
      </c>
      <c r="E11" s="63" t="s">
        <v>71</v>
      </c>
      <c r="F11" s="60" t="s">
        <v>26</v>
      </c>
      <c r="G11" s="47">
        <v>7</v>
      </c>
      <c r="H11" s="133">
        <f>IF(B$17=0,0,G11/B$17)</f>
        <v>6.6666666666666666E-2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9.5466666666666686</v>
      </c>
      <c r="P11" s="119">
        <v>15</v>
      </c>
      <c r="Q11" s="107">
        <v>143.20000000000002</v>
      </c>
    </row>
    <row r="12" spans="1:17">
      <c r="A12" s="57" t="s">
        <v>159</v>
      </c>
      <c r="B12" s="49">
        <v>6</v>
      </c>
      <c r="C12" s="42">
        <f t="shared" si="1"/>
        <v>0.17647058823529413</v>
      </c>
      <c r="E12" s="63" t="s">
        <v>72</v>
      </c>
      <c r="F12" s="60" t="s">
        <v>27</v>
      </c>
      <c r="G12" s="47">
        <v>7</v>
      </c>
      <c r="H12" s="133">
        <f>IF(B$17=0,0,G12/B$17)</f>
        <v>6.6666666666666666E-2</v>
      </c>
      <c r="I12" s="94">
        <v>4</v>
      </c>
      <c r="K12" s="38">
        <v>10</v>
      </c>
      <c r="L12" s="99">
        <v>158.19999999999999</v>
      </c>
      <c r="N12" s="116" t="s">
        <v>165</v>
      </c>
      <c r="O12" s="126">
        <f>IF(P12=0,0,Q12/P12)</f>
        <v>9.3999999999999986</v>
      </c>
      <c r="P12" s="120">
        <v>12</v>
      </c>
      <c r="Q12" s="108">
        <v>112.79999999999998</v>
      </c>
    </row>
    <row r="13" spans="1:17">
      <c r="A13" s="58" t="s">
        <v>122</v>
      </c>
      <c r="B13" s="50">
        <v>75</v>
      </c>
      <c r="C13" s="44">
        <f>IF(B$3=0,0,B13/B$3)</f>
        <v>0.24916943521594684</v>
      </c>
      <c r="E13" s="63" t="s">
        <v>84</v>
      </c>
      <c r="F13" s="60" t="s">
        <v>39</v>
      </c>
      <c r="G13" s="47">
        <v>6</v>
      </c>
      <c r="H13" s="133">
        <f>IF(B$17=0,0,G13/B$17)</f>
        <v>5.7142857142857141E-2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>
      <c r="A14" s="55" t="s">
        <v>119</v>
      </c>
      <c r="B14" s="47">
        <v>69</v>
      </c>
      <c r="C14" s="39">
        <f>IF(B$3=0,0,B14/B$3)</f>
        <v>0.2292358803986711</v>
      </c>
      <c r="E14" s="63" t="s">
        <v>79</v>
      </c>
      <c r="F14" s="60" t="s">
        <v>34</v>
      </c>
      <c r="G14" s="47">
        <v>4</v>
      </c>
      <c r="H14" s="133">
        <f>IF(B$17=0,0,G14/B$17)</f>
        <v>3.8095238095238099E-2</v>
      </c>
      <c r="I14" s="94">
        <v>4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46</v>
      </c>
      <c r="C15" s="37">
        <f>IF(B$13=0,0,B15/B$13)</f>
        <v>0.61333333333333329</v>
      </c>
      <c r="E15" s="63" t="s">
        <v>87</v>
      </c>
      <c r="F15" s="60" t="s">
        <v>42</v>
      </c>
      <c r="G15" s="47">
        <v>4</v>
      </c>
      <c r="H15" s="133">
        <f>IF(B$17=0,0,G15/B$17)</f>
        <v>3.8095238095238099E-2</v>
      </c>
      <c r="I15" s="94">
        <v>8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>
      <c r="A16" s="54" t="s">
        <v>125</v>
      </c>
      <c r="B16" s="46">
        <v>37</v>
      </c>
      <c r="C16" s="37">
        <f>IF(B$14=0,0,B16/B$14)</f>
        <v>0.53623188405797106</v>
      </c>
      <c r="E16" s="63" t="s">
        <v>168</v>
      </c>
      <c r="F16" s="60" t="s">
        <v>169</v>
      </c>
      <c r="G16" s="47">
        <v>4</v>
      </c>
      <c r="H16" s="133">
        <f>IF(B$17=0,0,G16/B$17)</f>
        <v>3.8095238095238099E-2</v>
      </c>
      <c r="I16" s="94">
        <v>1</v>
      </c>
      <c r="K16" s="38">
        <v>14</v>
      </c>
      <c r="L16" s="99">
        <v>240.09999999999997</v>
      </c>
      <c r="N16" s="115" t="s">
        <v>180</v>
      </c>
      <c r="O16" s="125">
        <f>IF(P16=0,0,Q16/P16)</f>
        <v>36.1</v>
      </c>
      <c r="P16" s="119">
        <v>12</v>
      </c>
      <c r="Q16" s="107">
        <v>433.20000000000005</v>
      </c>
    </row>
    <row r="17" spans="1:17">
      <c r="A17" s="54" t="s">
        <v>10</v>
      </c>
      <c r="B17" s="46">
        <f>B19+B18</f>
        <v>105</v>
      </c>
      <c r="C17" s="37">
        <f>IF(B$3=0,0,B17/B$3)</f>
        <v>0.34883720930232559</v>
      </c>
      <c r="E17" s="63" t="s">
        <v>78</v>
      </c>
      <c r="F17" s="60" t="s">
        <v>33</v>
      </c>
      <c r="G17" s="47">
        <v>2</v>
      </c>
      <c r="H17" s="133">
        <f>IF(B$17=0,0,G17/B$17)</f>
        <v>1.9047619047619049E-2</v>
      </c>
      <c r="I17" s="94">
        <v>2</v>
      </c>
      <c r="K17" s="38">
        <v>15</v>
      </c>
      <c r="L17" s="99">
        <v>269.49999999999994</v>
      </c>
      <c r="N17" s="115" t="s">
        <v>179</v>
      </c>
      <c r="O17" s="125">
        <f>IF(P17=0,0,Q17/P17)</f>
        <v>29.966666666666672</v>
      </c>
      <c r="P17" s="119">
        <v>6</v>
      </c>
      <c r="Q17" s="107">
        <v>179.80000000000004</v>
      </c>
    </row>
    <row r="18" spans="1:17">
      <c r="A18" s="55" t="s">
        <v>12</v>
      </c>
      <c r="B18" s="47">
        <v>45</v>
      </c>
      <c r="C18" s="39">
        <f>IF(B$17=0,0,B18/B$17)</f>
        <v>0.42857142857142855</v>
      </c>
      <c r="E18" s="63" t="s">
        <v>85</v>
      </c>
      <c r="F18" s="60" t="s">
        <v>40</v>
      </c>
      <c r="G18" s="47">
        <v>2</v>
      </c>
      <c r="H18" s="133">
        <f>IF(B$17=0,0,G18/B$17)</f>
        <v>1.9047619047619049E-2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>IF(P18=0,0,Q18/P18)</f>
        <v>13.08181818181818</v>
      </c>
      <c r="P18" s="119">
        <v>11</v>
      </c>
      <c r="Q18" s="107">
        <v>143.89999999999998</v>
      </c>
    </row>
    <row r="19" spans="1:17">
      <c r="A19" s="55" t="s">
        <v>11</v>
      </c>
      <c r="B19" s="47">
        <v>60</v>
      </c>
      <c r="C19" s="39">
        <f>IF(B$17=0,0,B19/B$17)</f>
        <v>0.5714285714285714</v>
      </c>
      <c r="E19" s="63" t="s">
        <v>93</v>
      </c>
      <c r="F19" s="60" t="s">
        <v>48</v>
      </c>
      <c r="G19" s="47">
        <v>2</v>
      </c>
      <c r="H19" s="133">
        <f>IF(B$17=0,0,G19/B$17)</f>
        <v>1.9047619047619049E-2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10.009999999999998</v>
      </c>
      <c r="P19" s="119">
        <v>30</v>
      </c>
      <c r="Q19" s="107">
        <v>300.29999999999995</v>
      </c>
    </row>
    <row r="20" spans="1:17">
      <c r="A20" s="55" t="s">
        <v>13</v>
      </c>
      <c r="B20" s="47">
        <v>38</v>
      </c>
      <c r="C20" s="39">
        <f>IF(B$3=0,0,B20/B$3)</f>
        <v>0.12624584717607973</v>
      </c>
      <c r="E20" s="63" t="s">
        <v>75</v>
      </c>
      <c r="F20" s="60" t="s">
        <v>30</v>
      </c>
      <c r="G20" s="47">
        <v>1</v>
      </c>
      <c r="H20" s="133">
        <f>IF(B$17=0,0,G20/B$17)</f>
        <v>9.5238095238095247E-3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-13.816666666666668</v>
      </c>
      <c r="P20" s="119">
        <v>6</v>
      </c>
      <c r="Q20" s="107">
        <v>-82.9</v>
      </c>
    </row>
    <row r="21" spans="1:17">
      <c r="A21" s="55" t="s">
        <v>170</v>
      </c>
      <c r="B21" s="47">
        <v>5</v>
      </c>
      <c r="C21" s="135">
        <v>1</v>
      </c>
      <c r="E21" s="63" t="s">
        <v>82</v>
      </c>
      <c r="F21" s="60" t="s">
        <v>37</v>
      </c>
      <c r="G21" s="47">
        <v>1</v>
      </c>
      <c r="H21" s="133">
        <f>IF(B$17=0,0,G21/B$17)</f>
        <v>9.5238095238095247E-3</v>
      </c>
      <c r="I21" s="94">
        <v>7</v>
      </c>
      <c r="K21" s="38">
        <v>19</v>
      </c>
      <c r="L21" s="99">
        <v>383.19999999999993</v>
      </c>
    </row>
    <row r="22" spans="1:17">
      <c r="A22" s="55" t="s">
        <v>171</v>
      </c>
      <c r="B22" s="47">
        <v>27</v>
      </c>
      <c r="C22" s="135">
        <v>26</v>
      </c>
      <c r="E22" s="63" t="s">
        <v>86</v>
      </c>
      <c r="F22" s="60" t="s">
        <v>41</v>
      </c>
      <c r="G22" s="47">
        <v>1</v>
      </c>
      <c r="H22" s="133">
        <f>IF(B$17=0,0,G22/B$17)</f>
        <v>9.5238095238095247E-3</v>
      </c>
      <c r="I22" s="94">
        <v>3</v>
      </c>
      <c r="K22" s="38">
        <v>20</v>
      </c>
      <c r="L22" s="99">
        <v>365.49999999999994</v>
      </c>
    </row>
    <row r="23" spans="1:17">
      <c r="A23" s="55" t="s">
        <v>5</v>
      </c>
      <c r="B23" s="51">
        <f>IF(B$17=0,0,C23/B$17)</f>
        <v>8053.333333333333</v>
      </c>
      <c r="C23" s="41">
        <v>845600</v>
      </c>
      <c r="E23" s="63" t="s">
        <v>89</v>
      </c>
      <c r="F23" s="60" t="s">
        <v>44</v>
      </c>
      <c r="G23" s="47">
        <v>1</v>
      </c>
      <c r="H23" s="133">
        <f>IF(B$17=0,0,G23/B$17)</f>
        <v>9.5238095238095247E-3</v>
      </c>
      <c r="I23" s="94">
        <v>2</v>
      </c>
      <c r="K23" s="38">
        <v>21</v>
      </c>
      <c r="L23" s="99">
        <v>371.39999999999992</v>
      </c>
    </row>
    <row r="24" spans="1:17">
      <c r="A24" s="57" t="s">
        <v>14</v>
      </c>
      <c r="B24" s="52">
        <f>IF(B$20=0,0,C24/B$20)</f>
        <v>-7636.8421052631575</v>
      </c>
      <c r="C24" s="45">
        <v>-290200</v>
      </c>
      <c r="E24" s="63" t="s">
        <v>91</v>
      </c>
      <c r="F24" s="60" t="s">
        <v>46</v>
      </c>
      <c r="G24" s="47">
        <v>1</v>
      </c>
      <c r="H24" s="133">
        <f>IF(B$17=0,0,G24/B$17)</f>
        <v>9.5238095238095247E-3</v>
      </c>
      <c r="I24" s="94">
        <v>1</v>
      </c>
      <c r="K24" s="38">
        <v>22</v>
      </c>
      <c r="L24" s="99">
        <v>414.2999999999999</v>
      </c>
    </row>
    <row r="25" spans="1:17">
      <c r="A25" s="90" t="s">
        <v>141</v>
      </c>
      <c r="B25" s="144">
        <v>6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9.5238095238095247E-3</v>
      </c>
      <c r="I25" s="94">
        <v>4</v>
      </c>
      <c r="K25" s="38">
        <v>23</v>
      </c>
      <c r="L25" s="99">
        <v>356.2999999999999</v>
      </c>
    </row>
    <row r="26" spans="1:17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9.5238095238095247E-3</v>
      </c>
      <c r="I26" s="94">
        <v>1</v>
      </c>
      <c r="K26" s="38">
        <v>24</v>
      </c>
      <c r="L26" s="99">
        <v>329.89999999999992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329.29999999999995</v>
      </c>
    </row>
    <row r="29" spans="1:17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C632-7738-46B8-A315-6C2E8ECBC157}">
  <sheetPr codeName="Sheet1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38</v>
      </c>
      <c r="C2" s="151"/>
      <c r="E2" s="62" t="s">
        <v>65</v>
      </c>
      <c r="F2" s="59" t="s">
        <v>21</v>
      </c>
      <c r="G2" s="46">
        <v>42</v>
      </c>
      <c r="H2" s="132">
        <f>IF(B$17=0,0,G2/B$17)</f>
        <v>0.39622641509433965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>
      <c r="A3" s="55" t="s">
        <v>8</v>
      </c>
      <c r="B3" s="152">
        <v>334</v>
      </c>
      <c r="C3" s="153"/>
      <c r="E3" s="63" t="s">
        <v>66</v>
      </c>
      <c r="F3" s="60" t="s">
        <v>22</v>
      </c>
      <c r="G3" s="47">
        <v>8</v>
      </c>
      <c r="H3" s="133">
        <f>IF(B$17=0,0,G3/B$17)</f>
        <v>7.5471698113207544E-2</v>
      </c>
      <c r="I3" s="94">
        <v>8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>
      <c r="A4" s="55" t="s">
        <v>6</v>
      </c>
      <c r="B4" s="154">
        <v>110.89999999999993</v>
      </c>
      <c r="C4" s="155"/>
      <c r="E4" s="63" t="s">
        <v>67</v>
      </c>
      <c r="F4" s="60" t="s">
        <v>23</v>
      </c>
      <c r="G4" s="47">
        <v>110</v>
      </c>
      <c r="H4" s="133">
        <f>IF(B$17=0,0,G4/B$17)</f>
        <v>1.0377358490566038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>
      <c r="A5" s="55" t="s">
        <v>7</v>
      </c>
      <c r="B5" s="156">
        <f>IF(B$2=0,0,B$4/B$2)</f>
        <v>2.9184210526315773</v>
      </c>
      <c r="C5" s="157"/>
      <c r="E5" s="63" t="s">
        <v>68</v>
      </c>
      <c r="F5" s="60" t="s">
        <v>24</v>
      </c>
      <c r="G5" s="47">
        <v>24</v>
      </c>
      <c r="H5" s="133">
        <f>IF(B$17=0,0,G5/B$17)</f>
        <v>0.22641509433962265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>
      <c r="A6" s="55" t="s">
        <v>1</v>
      </c>
      <c r="B6" s="146">
        <f>IF(B$2=0,0,(B$7*1+B$8*2+B$9*3)/B$2)</f>
        <v>1.9473684210526316</v>
      </c>
      <c r="C6" s="147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70</v>
      </c>
      <c r="F7" s="60" t="s">
        <v>25</v>
      </c>
      <c r="G7" s="47">
        <v>8</v>
      </c>
      <c r="H7" s="133">
        <f>IF(B$17=0,0,G7/B$17)</f>
        <v>7.5471698113207544E-2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-1920.8333333333333</v>
      </c>
      <c r="P7" s="120">
        <v>24</v>
      </c>
      <c r="Q7" s="104">
        <v>-46100</v>
      </c>
    </row>
    <row r="8" spans="1:17">
      <c r="A8" s="55" t="s">
        <v>3</v>
      </c>
      <c r="B8" s="47">
        <v>16</v>
      </c>
      <c r="C8" s="39">
        <f t="shared" si="1"/>
        <v>0.42105263157894735</v>
      </c>
      <c r="E8" s="63" t="s">
        <v>71</v>
      </c>
      <c r="F8" s="60" t="s">
        <v>26</v>
      </c>
      <c r="G8" s="47">
        <v>3</v>
      </c>
      <c r="H8" s="133">
        <f>IF(B$17=0,0,G8/B$17)</f>
        <v>2.8301886792452831E-2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>
      <c r="A9" s="56" t="s">
        <v>4</v>
      </c>
      <c r="B9" s="48">
        <v>10</v>
      </c>
      <c r="C9" s="40">
        <f t="shared" si="1"/>
        <v>0.26315789473684209</v>
      </c>
      <c r="E9" s="63" t="s">
        <v>72</v>
      </c>
      <c r="F9" s="60" t="s">
        <v>27</v>
      </c>
      <c r="G9" s="47">
        <v>3</v>
      </c>
      <c r="H9" s="133">
        <f>IF(B$17=0,0,G9/B$17)</f>
        <v>2.8301886792452831E-2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5</v>
      </c>
      <c r="C10" s="40">
        <f t="shared" si="1"/>
        <v>0.13157894736842105</v>
      </c>
      <c r="E10" s="63" t="s">
        <v>73</v>
      </c>
      <c r="F10" s="60" t="s">
        <v>28</v>
      </c>
      <c r="G10" s="47">
        <v>71</v>
      </c>
      <c r="H10" s="133">
        <f>IF(B$17=0,0,G10/B$17)</f>
        <v>0.66981132075471694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>
      <c r="A11" s="56" t="s">
        <v>139</v>
      </c>
      <c r="B11" s="48">
        <v>6</v>
      </c>
      <c r="C11" s="40">
        <f t="shared" si="1"/>
        <v>0.15789473684210525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>
      <c r="A12" s="57" t="s">
        <v>159</v>
      </c>
      <c r="B12" s="49">
        <v>8</v>
      </c>
      <c r="C12" s="42">
        <f t="shared" si="1"/>
        <v>0.21052631578947367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>
      <c r="A13" s="58" t="s">
        <v>122</v>
      </c>
      <c r="B13" s="50">
        <v>71</v>
      </c>
      <c r="C13" s="44">
        <f>IF(B$3=0,0,B13/B$3)</f>
        <v>0.21257485029940121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>
      <c r="A14" s="55" t="s">
        <v>119</v>
      </c>
      <c r="B14" s="47">
        <v>112</v>
      </c>
      <c r="C14" s="39">
        <f>IF(B$3=0,0,B14/B$3)</f>
        <v>0.33532934131736525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2" si="2">IF(P15=0,0,Q15/P15)</f>
        <v>75.3</v>
      </c>
      <c r="P15" s="118">
        <v>2</v>
      </c>
      <c r="Q15" s="106">
        <v>150.6</v>
      </c>
    </row>
    <row r="16" spans="1:17">
      <c r="A16" s="54" t="s">
        <v>125</v>
      </c>
      <c r="B16" s="46">
        <v>46</v>
      </c>
      <c r="C16" s="37">
        <f>IF(B$14=0,0,B16/B$14)</f>
        <v>0.4107142857142857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5</v>
      </c>
      <c r="K16" s="38">
        <v>14</v>
      </c>
      <c r="L16" s="99">
        <v>-138.4</v>
      </c>
      <c r="N16" s="115" t="s">
        <v>183</v>
      </c>
      <c r="O16" s="125">
        <f t="shared" si="2"/>
        <v>32.799999999999997</v>
      </c>
      <c r="P16" s="119">
        <v>2</v>
      </c>
      <c r="Q16" s="107">
        <v>65.599999999999994</v>
      </c>
    </row>
    <row r="17" spans="1:17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4</v>
      </c>
      <c r="K17" s="38">
        <v>15</v>
      </c>
      <c r="L17" s="99">
        <v>-144.30000000000001</v>
      </c>
      <c r="N17" s="115" t="s">
        <v>179</v>
      </c>
      <c r="O17" s="125">
        <f t="shared" si="2"/>
        <v>22.281818181818185</v>
      </c>
      <c r="P17" s="119">
        <v>11</v>
      </c>
      <c r="Q17" s="107">
        <v>245.10000000000005</v>
      </c>
    </row>
    <row r="18" spans="1:17">
      <c r="A18" s="55" t="s">
        <v>12</v>
      </c>
      <c r="B18" s="47">
        <v>39</v>
      </c>
      <c r="C18" s="39">
        <f>IF(B$17=0,0,B18/B$17)</f>
        <v>0.36792452830188677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 t="shared" si="2"/>
        <v>10.787499999999998</v>
      </c>
      <c r="P18" s="119">
        <v>8</v>
      </c>
      <c r="Q18" s="107">
        <v>86.299999999999983</v>
      </c>
    </row>
    <row r="19" spans="1:17">
      <c r="A19" s="55" t="s">
        <v>11</v>
      </c>
      <c r="B19" s="47">
        <v>67</v>
      </c>
      <c r="C19" s="39">
        <f>IF(B$17=0,0,B19/B$17)</f>
        <v>0.63207547169811318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8</v>
      </c>
      <c r="K19" s="38">
        <v>17</v>
      </c>
      <c r="L19" s="99">
        <v>-179.70000000000002</v>
      </c>
      <c r="N19" s="115" t="s">
        <v>180</v>
      </c>
      <c r="O19" s="125">
        <f t="shared" si="2"/>
        <v>10.424999999999999</v>
      </c>
      <c r="P19" s="119">
        <v>12</v>
      </c>
      <c r="Q19" s="107">
        <v>125.1</v>
      </c>
    </row>
    <row r="20" spans="1:17">
      <c r="A20" s="55" t="s">
        <v>13</v>
      </c>
      <c r="B20" s="47">
        <v>65</v>
      </c>
      <c r="C20" s="39">
        <f>IF(B$3=0,0,B20/B$3)</f>
        <v>0.19461077844311378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 t="shared" si="2"/>
        <v>-1.7100000000000009</v>
      </c>
      <c r="P20" s="119">
        <v>10</v>
      </c>
      <c r="Q20" s="107">
        <v>-17.100000000000009</v>
      </c>
    </row>
    <row r="21" spans="1:17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3.7735849056603772E-2</v>
      </c>
      <c r="I21" s="94">
        <v>8</v>
      </c>
      <c r="K21" s="38">
        <v>19</v>
      </c>
      <c r="L21" s="99">
        <v>-162.40000000000003</v>
      </c>
      <c r="N21" s="115" t="s">
        <v>127</v>
      </c>
      <c r="O21" s="125">
        <f t="shared" si="2"/>
        <v>-10.009999999999996</v>
      </c>
      <c r="P21" s="119">
        <v>30</v>
      </c>
      <c r="Q21" s="107">
        <v>-300.2999999999999</v>
      </c>
    </row>
    <row r="22" spans="1:17">
      <c r="A22" s="55" t="s">
        <v>171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 t="shared" si="2"/>
        <v>-22.6</v>
      </c>
      <c r="P22" s="119">
        <v>1</v>
      </c>
      <c r="Q22" s="107">
        <v>-22.6</v>
      </c>
    </row>
    <row r="23" spans="1:17">
      <c r="A23" s="55" t="s">
        <v>5</v>
      </c>
      <c r="B23" s="51">
        <f>IF(B$17=0,0,C23/B$17)</f>
        <v>8576.4150943396235</v>
      </c>
      <c r="C23" s="41">
        <v>909100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>
      <c r="A24" s="57" t="s">
        <v>14</v>
      </c>
      <c r="B24" s="52">
        <f>IF(B$20=0,0,C24/B$20)</f>
        <v>-7552.3076923076924</v>
      </c>
      <c r="C24" s="45">
        <v>-490900</v>
      </c>
      <c r="E24" s="63" t="s">
        <v>87</v>
      </c>
      <c r="F24" s="60" t="s">
        <v>42</v>
      </c>
      <c r="G24" s="47">
        <v>7</v>
      </c>
      <c r="H24" s="133">
        <f>IF(B$17=0,0,G24/B$17)</f>
        <v>6.6037735849056603E-2</v>
      </c>
      <c r="I24" s="94">
        <v>3</v>
      </c>
      <c r="K24" s="38">
        <v>22</v>
      </c>
      <c r="L24" s="99">
        <v>-38.400000000000034</v>
      </c>
    </row>
    <row r="25" spans="1:17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-37.600000000000037</v>
      </c>
    </row>
    <row r="26" spans="1:17">
      <c r="A26" s="58" t="s">
        <v>151</v>
      </c>
      <c r="B26" s="142">
        <v>91800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-37.600000000000037</v>
      </c>
    </row>
    <row r="27" spans="1:17">
      <c r="A27" s="57" t="s">
        <v>142</v>
      </c>
      <c r="B27" s="65">
        <v>1</v>
      </c>
      <c r="C27" s="42">
        <f>IF(B$3=0,0,B27/B$3)</f>
        <v>2.9940119760479044E-3</v>
      </c>
      <c r="E27" s="63" t="s">
        <v>90</v>
      </c>
      <c r="F27" s="60" t="s">
        <v>45</v>
      </c>
      <c r="G27" s="47">
        <v>15</v>
      </c>
      <c r="H27" s="133">
        <f>IF(B$17=0,0,G27/B$17)</f>
        <v>0.14150943396226415</v>
      </c>
      <c r="I27" s="94">
        <v>3</v>
      </c>
      <c r="K27" s="38">
        <v>25</v>
      </c>
      <c r="L27" s="99">
        <v>-10.700000000000038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-2.6000000000000387</v>
      </c>
    </row>
    <row r="29" spans="1:17">
      <c r="E29" s="63" t="s">
        <v>92</v>
      </c>
      <c r="F29" s="60" t="s">
        <v>47</v>
      </c>
      <c r="G29" s="47">
        <v>3</v>
      </c>
      <c r="H29" s="133">
        <f>IF(B$17=0,0,G29/B$17)</f>
        <v>2.8301886792452831E-2</v>
      </c>
      <c r="I29" s="94">
        <v>2</v>
      </c>
      <c r="K29" s="38">
        <v>27</v>
      </c>
      <c r="L29" s="99">
        <v>-34.100000000000037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42</v>
      </c>
      <c r="H51" s="138">
        <f>IF(B$17=0,0,G51/B$17)</f>
        <v>0.39622641509433965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258F-5E20-4FD3-8825-270D27173BCA}">
  <sheetPr codeName="Sheet1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18</v>
      </c>
      <c r="C2" s="151"/>
      <c r="E2" s="62" t="s">
        <v>67</v>
      </c>
      <c r="F2" s="59" t="s">
        <v>23</v>
      </c>
      <c r="G2" s="46">
        <v>28</v>
      </c>
      <c r="H2" s="132">
        <f>IF(B$17=0,0,G2/B$17)</f>
        <v>0.63636363636363635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905.55555555555554</v>
      </c>
      <c r="P2" s="118">
        <v>18</v>
      </c>
      <c r="Q2" s="102">
        <v>16300</v>
      </c>
    </row>
    <row r="3" spans="1:17">
      <c r="A3" s="55" t="s">
        <v>8</v>
      </c>
      <c r="B3" s="152">
        <v>167</v>
      </c>
      <c r="C3" s="153"/>
      <c r="E3" s="63" t="s">
        <v>65</v>
      </c>
      <c r="F3" s="60" t="s">
        <v>21</v>
      </c>
      <c r="G3" s="47">
        <v>25</v>
      </c>
      <c r="H3" s="133">
        <f>IF(B$17=0,0,G3/B$17)</f>
        <v>0.56818181818181823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-2335.294117647059</v>
      </c>
      <c r="P3" s="119">
        <v>17</v>
      </c>
      <c r="Q3" s="103">
        <v>-39700</v>
      </c>
    </row>
    <row r="4" spans="1:17">
      <c r="A4" s="55" t="s">
        <v>6</v>
      </c>
      <c r="B4" s="154">
        <v>-240</v>
      </c>
      <c r="C4" s="155"/>
      <c r="E4" s="63" t="s">
        <v>73</v>
      </c>
      <c r="F4" s="60" t="s">
        <v>28</v>
      </c>
      <c r="G4" s="47">
        <v>23</v>
      </c>
      <c r="H4" s="133">
        <f>IF(B$17=0,0,G4/B$17)</f>
        <v>0.52272727272727271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1617.6470588235295</v>
      </c>
      <c r="P4" s="119">
        <v>17</v>
      </c>
      <c r="Q4" s="103">
        <v>27500</v>
      </c>
    </row>
    <row r="5" spans="1:17">
      <c r="A5" s="55" t="s">
        <v>7</v>
      </c>
      <c r="B5" s="156">
        <f>IF(B$2=0,0,B$4/B$2)</f>
        <v>-13.333333333333334</v>
      </c>
      <c r="C5" s="157"/>
      <c r="E5" s="63" t="s">
        <v>172</v>
      </c>
      <c r="F5" s="60" t="s">
        <v>173</v>
      </c>
      <c r="G5" s="47">
        <v>15</v>
      </c>
      <c r="H5" s="133">
        <f>IF(B$17=0,0,G5/B$17)</f>
        <v>0.34090909090909088</v>
      </c>
      <c r="I5" s="94">
        <v>6</v>
      </c>
      <c r="K5" s="38">
        <v>3</v>
      </c>
      <c r="L5" s="99">
        <v>-17.599999999999998</v>
      </c>
      <c r="N5" s="115" t="s">
        <v>134</v>
      </c>
      <c r="O5" s="122">
        <f t="shared" si="0"/>
        <v>-2376.4705882352941</v>
      </c>
      <c r="P5" s="119">
        <v>17</v>
      </c>
      <c r="Q5" s="103">
        <v>-40400</v>
      </c>
    </row>
    <row r="6" spans="1:17">
      <c r="A6" s="55" t="s">
        <v>1</v>
      </c>
      <c r="B6" s="146">
        <f>IF(B$2=0,0,(B$7*1+B$8*2+B$9*3)/B$2)</f>
        <v>2.4444444444444446</v>
      </c>
      <c r="C6" s="147"/>
      <c r="E6" s="63" t="s">
        <v>68</v>
      </c>
      <c r="F6" s="60" t="s">
        <v>24</v>
      </c>
      <c r="G6" s="47">
        <v>11</v>
      </c>
      <c r="H6" s="133">
        <f>IF(B$17=0,0,G6/B$17)</f>
        <v>0.25</v>
      </c>
      <c r="I6" s="94">
        <v>5</v>
      </c>
      <c r="K6" s="38">
        <v>4</v>
      </c>
      <c r="L6" s="99">
        <v>-54.899999999999991</v>
      </c>
      <c r="N6" s="115" t="s">
        <v>135</v>
      </c>
      <c r="O6" s="122">
        <f t="shared" si="0"/>
        <v>-5506.25</v>
      </c>
      <c r="P6" s="119">
        <v>16</v>
      </c>
      <c r="Q6" s="103">
        <v>-88100</v>
      </c>
    </row>
    <row r="7" spans="1:17">
      <c r="A7" s="55" t="s">
        <v>2</v>
      </c>
      <c r="B7" s="47">
        <v>1</v>
      </c>
      <c r="C7" s="39">
        <f t="shared" ref="C7:C12" si="1">IF(B$2=0,0,B7/B$2)</f>
        <v>5.5555555555555552E-2</v>
      </c>
      <c r="E7" s="63" t="s">
        <v>69</v>
      </c>
      <c r="F7" s="60" t="s">
        <v>12</v>
      </c>
      <c r="G7" s="47">
        <v>10</v>
      </c>
      <c r="H7" s="133">
        <f>IF(B$17=0,0,G7/B$17)</f>
        <v>0.22727272727272727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-1900</v>
      </c>
      <c r="P7" s="120">
        <v>14</v>
      </c>
      <c r="Q7" s="104">
        <v>-26600</v>
      </c>
    </row>
    <row r="8" spans="1:17">
      <c r="A8" s="55" t="s">
        <v>3</v>
      </c>
      <c r="B8" s="47">
        <v>8</v>
      </c>
      <c r="C8" s="39">
        <f t="shared" si="1"/>
        <v>0.44444444444444442</v>
      </c>
      <c r="E8" s="63" t="s">
        <v>70</v>
      </c>
      <c r="F8" s="60" t="s">
        <v>25</v>
      </c>
      <c r="G8" s="47">
        <v>7</v>
      </c>
      <c r="H8" s="133">
        <f>IF(B$17=0,0,G8/B$17)</f>
        <v>0.15909090909090909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>
      <c r="A9" s="56" t="s">
        <v>4</v>
      </c>
      <c r="B9" s="48">
        <v>9</v>
      </c>
      <c r="C9" s="40">
        <f t="shared" si="1"/>
        <v>0.5</v>
      </c>
      <c r="E9" s="63" t="s">
        <v>66</v>
      </c>
      <c r="F9" s="60" t="s">
        <v>22</v>
      </c>
      <c r="G9" s="47">
        <v>6</v>
      </c>
      <c r="H9" s="133">
        <f>IF(B$17=0,0,G9/B$17)</f>
        <v>0.13636363636363635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0.1111111111111111</v>
      </c>
      <c r="E10" s="63" t="s">
        <v>71</v>
      </c>
      <c r="F10" s="60" t="s">
        <v>26</v>
      </c>
      <c r="G10" s="47">
        <v>6</v>
      </c>
      <c r="H10" s="133">
        <f>IF(B$17=0,0,G10/B$17)</f>
        <v>0.13636363636363635</v>
      </c>
      <c r="I10" s="94">
        <v>3</v>
      </c>
      <c r="K10" s="38">
        <v>8</v>
      </c>
      <c r="L10" s="99">
        <v>-62.999999999999993</v>
      </c>
      <c r="N10" s="114" t="s">
        <v>163</v>
      </c>
      <c r="O10" s="124">
        <f>IF(P10=0,0,Q10/P10)</f>
        <v>-3.6625000000000005</v>
      </c>
      <c r="P10" s="118">
        <v>8</v>
      </c>
      <c r="Q10" s="106">
        <v>-29.300000000000004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0.11363636363636363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6.8181818181818177E-2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-27.049999999999997</v>
      </c>
      <c r="P12" s="120">
        <v>4</v>
      </c>
      <c r="Q12" s="108">
        <v>-108.19999999999999</v>
      </c>
    </row>
    <row r="13" spans="1:17">
      <c r="A13" s="58" t="s">
        <v>122</v>
      </c>
      <c r="B13" s="50">
        <v>42</v>
      </c>
      <c r="C13" s="44">
        <f>IF(B$3=0,0,B13/B$3)</f>
        <v>0.25149700598802394</v>
      </c>
      <c r="E13" s="63" t="s">
        <v>90</v>
      </c>
      <c r="F13" s="60" t="s">
        <v>45</v>
      </c>
      <c r="G13" s="47">
        <v>3</v>
      </c>
      <c r="H13" s="133">
        <f>IF(B$17=0,0,G13/B$17)</f>
        <v>6.8181818181818177E-2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>
      <c r="A14" s="55" t="s">
        <v>119</v>
      </c>
      <c r="B14" s="47">
        <v>32</v>
      </c>
      <c r="C14" s="39">
        <f>IF(B$3=0,0,B14/B$3)</f>
        <v>0.19161676646706588</v>
      </c>
      <c r="E14" s="63" t="s">
        <v>79</v>
      </c>
      <c r="F14" s="60" t="s">
        <v>34</v>
      </c>
      <c r="G14" s="47">
        <v>2</v>
      </c>
      <c r="H14" s="133">
        <f>IF(B$17=0,0,G14/B$17)</f>
        <v>4.5454545454545456E-2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25</v>
      </c>
      <c r="C15" s="37">
        <f>IF(B$13=0,0,B15/B$13)</f>
        <v>0.59523809523809523</v>
      </c>
      <c r="E15" s="63" t="s">
        <v>82</v>
      </c>
      <c r="F15" s="60" t="s">
        <v>37</v>
      </c>
      <c r="G15" s="47">
        <v>2</v>
      </c>
      <c r="H15" s="133">
        <f>IF(B$17=0,0,G15/B$17)</f>
        <v>4.5454545454545456E-2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>
      <c r="A16" s="54" t="s">
        <v>125</v>
      </c>
      <c r="B16" s="46">
        <v>11</v>
      </c>
      <c r="C16" s="37">
        <f>IF(B$14=0,0,B16/B$14)</f>
        <v>0.34375</v>
      </c>
      <c r="E16" s="63" t="s">
        <v>87</v>
      </c>
      <c r="F16" s="60" t="s">
        <v>42</v>
      </c>
      <c r="G16" s="47">
        <v>2</v>
      </c>
      <c r="H16" s="133">
        <f>IF(B$17=0,0,G16/B$17)</f>
        <v>4.5454545454545456E-2</v>
      </c>
      <c r="I16" s="94">
        <v>7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>
      <c r="A17" s="54" t="s">
        <v>10</v>
      </c>
      <c r="B17" s="46">
        <f>B19+B18</f>
        <v>44</v>
      </c>
      <c r="C17" s="37">
        <f>IF(B$3=0,0,B17/B$3)</f>
        <v>0.26347305389221559</v>
      </c>
      <c r="E17" s="63" t="s">
        <v>80</v>
      </c>
      <c r="F17" s="60" t="s">
        <v>35</v>
      </c>
      <c r="G17" s="47">
        <v>1</v>
      </c>
      <c r="H17" s="133">
        <f>IF(B$17=0,0,G17/B$17)</f>
        <v>2.2727272727272728E-2</v>
      </c>
      <c r="I17" s="94">
        <v>3</v>
      </c>
      <c r="K17" s="38">
        <v>15</v>
      </c>
      <c r="L17" s="99">
        <v>-221.5</v>
      </c>
      <c r="N17" s="115" t="s">
        <v>182</v>
      </c>
      <c r="O17" s="125">
        <f>IF(P17=0,0,Q17/P17)</f>
        <v>-11.459999999999997</v>
      </c>
      <c r="P17" s="119">
        <v>5</v>
      </c>
      <c r="Q17" s="107">
        <v>-57.299999999999983</v>
      </c>
    </row>
    <row r="18" spans="1:17">
      <c r="A18" s="55" t="s">
        <v>12</v>
      </c>
      <c r="B18" s="47">
        <v>17</v>
      </c>
      <c r="C18" s="39">
        <f>IF(B$17=0,0,B18/B$17)</f>
        <v>0.38636363636363635</v>
      </c>
      <c r="E18" s="63" t="s">
        <v>168</v>
      </c>
      <c r="F18" s="60" t="s">
        <v>169</v>
      </c>
      <c r="G18" s="47">
        <v>1</v>
      </c>
      <c r="H18" s="133">
        <f>IF(B$17=0,0,G18/B$17)</f>
        <v>2.2727272727272728E-2</v>
      </c>
      <c r="I18" s="94">
        <v>2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>
      <c r="A19" s="55" t="s">
        <v>11</v>
      </c>
      <c r="B19" s="47">
        <v>27</v>
      </c>
      <c r="C19" s="39">
        <f>IF(B$17=0,0,B19/B$17)</f>
        <v>0.61363636363636365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-251.4</v>
      </c>
      <c r="N19" s="115" t="s">
        <v>127</v>
      </c>
      <c r="O19" s="125">
        <f>IF(P19=0,0,Q19/P19)</f>
        <v>-36.100000000000009</v>
      </c>
      <c r="P19" s="119">
        <v>12</v>
      </c>
      <c r="Q19" s="107">
        <v>-433.2000000000001</v>
      </c>
    </row>
    <row r="20" spans="1:17">
      <c r="A20" s="55" t="s">
        <v>13</v>
      </c>
      <c r="B20" s="47">
        <v>38</v>
      </c>
      <c r="C20" s="39">
        <f>IF(B$3=0,0,B20/B$3)</f>
        <v>0.22754491017964071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-240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>
      <c r="A21" s="55" t="s">
        <v>170</v>
      </c>
      <c r="B21" s="47">
        <v>3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3</v>
      </c>
    </row>
    <row r="22" spans="1:17">
      <c r="A22" s="55" t="s">
        <v>171</v>
      </c>
      <c r="B22" s="47">
        <v>13</v>
      </c>
      <c r="C22" s="135">
        <v>10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</row>
    <row r="23" spans="1:17">
      <c r="A23" s="55" t="s">
        <v>5</v>
      </c>
      <c r="B23" s="51">
        <f>IF(B$17=0,0,C23/B$17)</f>
        <v>7393.181818181818</v>
      </c>
      <c r="C23" s="41">
        <v>325300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</row>
    <row r="24" spans="1:17">
      <c r="A24" s="57" t="s">
        <v>14</v>
      </c>
      <c r="B24" s="52">
        <f>IF(B$20=0,0,C24/B$20)</f>
        <v>-7931.5789473684208</v>
      </c>
      <c r="C24" s="45">
        <v>-301400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4">
        <v>4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2">
        <v>53700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137F-7E1C-474B-A848-02C5A720DE74}">
  <sheetPr codeName="Sheet15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6</v>
      </c>
      <c r="H2" s="132">
        <f>IF(B$17=0,0,G2/B$17)</f>
        <v>0.25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>
      <c r="A3" s="55" t="s">
        <v>8</v>
      </c>
      <c r="B3" s="152">
        <v>106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4.1666666666666664E-2</v>
      </c>
      <c r="I3" s="94">
        <v>10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>
      <c r="A4" s="55" t="s">
        <v>6</v>
      </c>
      <c r="B4" s="154">
        <v>-86.499999999999972</v>
      </c>
      <c r="C4" s="155"/>
      <c r="E4" s="63" t="s">
        <v>67</v>
      </c>
      <c r="F4" s="60" t="s">
        <v>23</v>
      </c>
      <c r="G4" s="47">
        <v>18</v>
      </c>
      <c r="H4" s="133">
        <f>IF(B$17=0,0,G4/B$17)</f>
        <v>0.75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>
      <c r="A5" s="55" t="s">
        <v>7</v>
      </c>
      <c r="B5" s="156">
        <f>IF(B$2=0,0,B$4/B$2)</f>
        <v>-6.1785714285714262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6</v>
      </c>
      <c r="H6" s="133">
        <f>IF(B$17=0,0,G6/B$17)</f>
        <v>0.25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70</v>
      </c>
      <c r="F7" s="60" t="s">
        <v>25</v>
      </c>
      <c r="G7" s="47">
        <v>2</v>
      </c>
      <c r="H7" s="133">
        <f>IF(B$17=0,0,G7/B$17)</f>
        <v>8.3333333333333329E-2</v>
      </c>
      <c r="I7" s="94">
        <v>6</v>
      </c>
      <c r="K7" s="38">
        <v>5</v>
      </c>
      <c r="L7" s="99">
        <v>-118.3</v>
      </c>
      <c r="N7" s="116" t="s">
        <v>136</v>
      </c>
      <c r="O7" s="123">
        <f t="shared" si="0"/>
        <v>-11300</v>
      </c>
      <c r="P7" s="120">
        <v>6</v>
      </c>
      <c r="Q7" s="104">
        <v>-67800</v>
      </c>
    </row>
    <row r="8" spans="1:17">
      <c r="A8" s="55" t="s">
        <v>3</v>
      </c>
      <c r="B8" s="47">
        <v>4</v>
      </c>
      <c r="C8" s="39">
        <f t="shared" si="1"/>
        <v>0.2857142857142857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0.42857142857142855</v>
      </c>
      <c r="E9" s="63" t="s">
        <v>72</v>
      </c>
      <c r="F9" s="60" t="s">
        <v>27</v>
      </c>
      <c r="G9" s="47">
        <v>1</v>
      </c>
      <c r="H9" s="133">
        <f>IF(B$17=0,0,G9/B$17)</f>
        <v>4.1666666666666664E-2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4</v>
      </c>
      <c r="C10" s="40">
        <f t="shared" si="1"/>
        <v>0.2857142857142857</v>
      </c>
      <c r="E10" s="63" t="s">
        <v>73</v>
      </c>
      <c r="F10" s="60" t="s">
        <v>28</v>
      </c>
      <c r="G10" s="47">
        <v>20</v>
      </c>
      <c r="H10" s="133">
        <f>IF(B$17=0,0,G10/B$17)</f>
        <v>0.83333333333333337</v>
      </c>
      <c r="I10" s="94">
        <v>2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>
      <c r="A11" s="56" t="s">
        <v>139</v>
      </c>
      <c r="B11" s="48">
        <v>4</v>
      </c>
      <c r="C11" s="40">
        <f t="shared" si="1"/>
        <v>0.2857142857142857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>
      <c r="A13" s="58" t="s">
        <v>122</v>
      </c>
      <c r="B13" s="50">
        <v>24</v>
      </c>
      <c r="C13" s="44">
        <f>IF(B$3=0,0,B13/B$3)</f>
        <v>0.22641509433962265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>
      <c r="A14" s="55" t="s">
        <v>119</v>
      </c>
      <c r="B14" s="47">
        <v>25</v>
      </c>
      <c r="C14" s="39">
        <f>IF(B$3=0,0,B14/B$3)</f>
        <v>0.23584905660377359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6</v>
      </c>
      <c r="C15" s="37">
        <f>IF(B$13=0,0,B15/B$13)</f>
        <v>0.25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127</v>
      </c>
      <c r="O16" s="125">
        <f t="shared" si="2"/>
        <v>13.816666666666665</v>
      </c>
      <c r="P16" s="119">
        <v>6</v>
      </c>
      <c r="Q16" s="107">
        <v>82.899999999999991</v>
      </c>
    </row>
    <row r="17" spans="1:17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 t="shared" si="2"/>
        <v>4.7857142857142865</v>
      </c>
      <c r="P17" s="119">
        <v>7</v>
      </c>
      <c r="Q17" s="107">
        <v>33.500000000000007</v>
      </c>
    </row>
    <row r="18" spans="1:17">
      <c r="A18" s="55" t="s">
        <v>12</v>
      </c>
      <c r="B18" s="47">
        <v>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-10.7875</v>
      </c>
      <c r="P18" s="119">
        <v>8</v>
      </c>
      <c r="Q18" s="107">
        <v>-86.3</v>
      </c>
    </row>
    <row r="19" spans="1:17">
      <c r="A19" s="55" t="s">
        <v>11</v>
      </c>
      <c r="B19" s="47">
        <v>16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4.1666666666666664E-2</v>
      </c>
      <c r="I19" s="94">
        <v>4</v>
      </c>
      <c r="N19" s="115" t="s">
        <v>183</v>
      </c>
      <c r="O19" s="125">
        <f t="shared" si="2"/>
        <v>-25.975000000000001</v>
      </c>
      <c r="P19" s="119">
        <v>4</v>
      </c>
      <c r="Q19" s="107">
        <v>-103.9</v>
      </c>
    </row>
    <row r="20" spans="1:17">
      <c r="A20" s="55" t="s">
        <v>13</v>
      </c>
      <c r="B20" s="47">
        <v>22</v>
      </c>
      <c r="C20" s="39">
        <f>IF(B$3=0,0,B20/B$3)</f>
        <v>0.20754716981132076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8.3333333333333329E-2</v>
      </c>
      <c r="I21" s="94">
        <v>3</v>
      </c>
    </row>
    <row r="22" spans="1:17">
      <c r="A22" s="55" t="s">
        <v>171</v>
      </c>
      <c r="B22" s="47">
        <v>14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13370.833333333334</v>
      </c>
      <c r="C23" s="41">
        <v>320900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-10600</v>
      </c>
      <c r="C24" s="45">
        <v>-233200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10</v>
      </c>
    </row>
    <row r="25" spans="1:17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11</v>
      </c>
      <c r="H27" s="133">
        <f>IF(B$17=0,0,G27/B$17)</f>
        <v>0.45833333333333331</v>
      </c>
      <c r="I27" s="94">
        <v>1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4.1666666666666664E-2</v>
      </c>
      <c r="I29" s="94">
        <v>1</v>
      </c>
    </row>
    <row r="30" spans="1:17">
      <c r="E30" s="63" t="s">
        <v>93</v>
      </c>
      <c r="F30" s="60" t="s">
        <v>48</v>
      </c>
      <c r="G30" s="47">
        <v>3</v>
      </c>
      <c r="H30" s="133">
        <f>IF(B$17=0,0,G30/B$17)</f>
        <v>0.125</v>
      </c>
      <c r="I30" s="94">
        <v>1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</v>
      </c>
      <c r="H51" s="138">
        <f>IF(B$17=0,0,G51/B$17)</f>
        <v>0.125</v>
      </c>
      <c r="I51" s="139">
        <v>10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344D-3567-4021-B80E-524E4C349148}">
  <sheetPr codeName="Sheet1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17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0.42857142857142855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647.05882352941171</v>
      </c>
      <c r="P2" s="118">
        <v>17</v>
      </c>
      <c r="Q2" s="102">
        <v>11000</v>
      </c>
    </row>
    <row r="3" spans="1:17">
      <c r="A3" s="55" t="s">
        <v>8</v>
      </c>
      <c r="B3" s="152">
        <v>152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4.7619047619047616E-2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35.294117647058826</v>
      </c>
      <c r="P3" s="119">
        <v>17</v>
      </c>
      <c r="Q3" s="103">
        <v>600</v>
      </c>
    </row>
    <row r="4" spans="1:17">
      <c r="A4" s="55" t="s">
        <v>6</v>
      </c>
      <c r="B4" s="154">
        <v>-29.799999999999986</v>
      </c>
      <c r="C4" s="155"/>
      <c r="E4" s="63" t="s">
        <v>67</v>
      </c>
      <c r="F4" s="60" t="s">
        <v>23</v>
      </c>
      <c r="G4" s="47">
        <v>33</v>
      </c>
      <c r="H4" s="133">
        <f>IF(B$17=0,0,G4/B$17)</f>
        <v>0.7857142857142857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-2631.25</v>
      </c>
      <c r="P4" s="119">
        <v>16</v>
      </c>
      <c r="Q4" s="103">
        <v>-42100</v>
      </c>
    </row>
    <row r="5" spans="1:17">
      <c r="A5" s="55" t="s">
        <v>7</v>
      </c>
      <c r="B5" s="156">
        <f>IF(B$2=0,0,B$4/B$2)</f>
        <v>-1.7529411764705873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0.16666666666666666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2314.2857142857142</v>
      </c>
      <c r="P5" s="119">
        <v>14</v>
      </c>
      <c r="Q5" s="103">
        <v>32400</v>
      </c>
    </row>
    <row r="6" spans="1:17">
      <c r="A6" s="55" t="s">
        <v>1</v>
      </c>
      <c r="B6" s="146">
        <f>IF(B$2=0,0,(B$7*1+B$8*2+B$9*3)/B$2)</f>
        <v>2.0588235294117645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0.2857142857142857</v>
      </c>
      <c r="I6" s="94">
        <v>5</v>
      </c>
      <c r="K6" s="38">
        <v>4</v>
      </c>
      <c r="L6" s="99">
        <v>-19.3</v>
      </c>
      <c r="N6" s="115" t="s">
        <v>135</v>
      </c>
      <c r="O6" s="122">
        <f t="shared" si="0"/>
        <v>-4910</v>
      </c>
      <c r="P6" s="119">
        <v>10</v>
      </c>
      <c r="Q6" s="103">
        <v>-49100</v>
      </c>
    </row>
    <row r="7" spans="1:17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70</v>
      </c>
      <c r="F7" s="60" t="s">
        <v>25</v>
      </c>
      <c r="G7" s="47">
        <v>3</v>
      </c>
      <c r="H7" s="133">
        <f>IF(B$17=0,0,G7/B$17)</f>
        <v>7.1428571428571425E-2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3425</v>
      </c>
      <c r="P7" s="120">
        <v>8</v>
      </c>
      <c r="Q7" s="104">
        <v>27400</v>
      </c>
    </row>
    <row r="8" spans="1:17">
      <c r="A8" s="55" t="s">
        <v>3</v>
      </c>
      <c r="B8" s="47">
        <v>6</v>
      </c>
      <c r="C8" s="39">
        <f t="shared" si="1"/>
        <v>0.35294117647058826</v>
      </c>
      <c r="E8" s="63" t="s">
        <v>71</v>
      </c>
      <c r="F8" s="60" t="s">
        <v>26</v>
      </c>
      <c r="G8" s="47">
        <v>2</v>
      </c>
      <c r="H8" s="133">
        <f>IF(B$17=0,0,G8/B$17)</f>
        <v>4.7619047619047616E-2</v>
      </c>
      <c r="I8" s="94">
        <v>8</v>
      </c>
      <c r="K8" s="38">
        <v>6</v>
      </c>
      <c r="L8" s="99">
        <v>29.799999999999997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0.35294117647058826</v>
      </c>
      <c r="E9" s="63" t="s">
        <v>72</v>
      </c>
      <c r="F9" s="60" t="s">
        <v>27</v>
      </c>
      <c r="G9" s="47">
        <v>1</v>
      </c>
      <c r="H9" s="133">
        <f>IF(B$17=0,0,G9/B$17)</f>
        <v>2.3809523809523808E-2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3</v>
      </c>
      <c r="C10" s="40">
        <f t="shared" si="1"/>
        <v>0.17647058823529413</v>
      </c>
      <c r="E10" s="63" t="s">
        <v>73</v>
      </c>
      <c r="F10" s="60" t="s">
        <v>28</v>
      </c>
      <c r="G10" s="47">
        <v>37</v>
      </c>
      <c r="H10" s="133">
        <f>IF(B$17=0,0,G10/B$17)</f>
        <v>0.88095238095238093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>
      <c r="A11" s="56" t="s">
        <v>139</v>
      </c>
      <c r="B11" s="48">
        <v>1</v>
      </c>
      <c r="C11" s="40">
        <f t="shared" si="1"/>
        <v>5.8823529411764705E-2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>
      <c r="A13" s="58" t="s">
        <v>122</v>
      </c>
      <c r="B13" s="50">
        <v>38</v>
      </c>
      <c r="C13" s="44">
        <f>IF(B$3=0,0,B13/B$3)</f>
        <v>0.25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0.24342105263157895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18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2">IF(P15=0,0,Q15/P15)</f>
        <v>64.2</v>
      </c>
      <c r="P15" s="118">
        <v>2</v>
      </c>
      <c r="Q15" s="106">
        <v>128.4</v>
      </c>
    </row>
    <row r="16" spans="1:17">
      <c r="A16" s="54" t="s">
        <v>125</v>
      </c>
      <c r="B16" s="46">
        <v>20</v>
      </c>
      <c r="C16" s="37">
        <f>IF(B$14=0,0,B16/B$14)</f>
        <v>0.54054054054054057</v>
      </c>
      <c r="E16" s="63" t="s">
        <v>79</v>
      </c>
      <c r="F16" s="60" t="s">
        <v>34</v>
      </c>
      <c r="G16" s="47">
        <v>2</v>
      </c>
      <c r="H16" s="133">
        <f>IF(B$17=0,0,G16/B$17)</f>
        <v>4.7619047619047616E-2</v>
      </c>
      <c r="I16" s="94">
        <v>2</v>
      </c>
      <c r="K16" s="38">
        <v>14</v>
      </c>
      <c r="L16" s="99">
        <v>-25.79999999999999</v>
      </c>
      <c r="N16" s="115" t="s">
        <v>180</v>
      </c>
      <c r="O16" s="125">
        <f t="shared" si="2"/>
        <v>58.8</v>
      </c>
      <c r="P16" s="119">
        <v>2</v>
      </c>
      <c r="Q16" s="107">
        <v>117.6</v>
      </c>
    </row>
    <row r="17" spans="1:17">
      <c r="A17" s="54" t="s">
        <v>10</v>
      </c>
      <c r="B17" s="46">
        <f>B19+B18</f>
        <v>42</v>
      </c>
      <c r="C17" s="37">
        <f>IF(B$3=0,0,B17/B$3)</f>
        <v>0.27631578947368424</v>
      </c>
      <c r="E17" s="63" t="s">
        <v>80</v>
      </c>
      <c r="F17" s="60" t="s">
        <v>35</v>
      </c>
      <c r="G17" s="47">
        <v>3</v>
      </c>
      <c r="H17" s="133">
        <f>IF(B$17=0,0,G17/B$17)</f>
        <v>7.1428571428571425E-2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2"/>
        <v>38.725000000000001</v>
      </c>
      <c r="P17" s="119">
        <v>4</v>
      </c>
      <c r="Q17" s="107">
        <v>154.9</v>
      </c>
    </row>
    <row r="18" spans="1:17">
      <c r="A18" s="55" t="s">
        <v>12</v>
      </c>
      <c r="B18" s="47">
        <v>15</v>
      </c>
      <c r="C18" s="39">
        <f>IF(B$17=0,0,B18/B$17)</f>
        <v>0.35714285714285715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 t="shared" si="2"/>
        <v>-4.7857142857142874</v>
      </c>
      <c r="P18" s="119">
        <v>7</v>
      </c>
      <c r="Q18" s="107">
        <v>-33.500000000000014</v>
      </c>
    </row>
    <row r="19" spans="1:17">
      <c r="A19" s="55" t="s">
        <v>11</v>
      </c>
      <c r="B19" s="47">
        <v>27</v>
      </c>
      <c r="C19" s="39">
        <f>IF(B$17=0,0,B19/B$17)</f>
        <v>0.6428571428571429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-29.799999999999986</v>
      </c>
      <c r="N19" s="115" t="s">
        <v>182</v>
      </c>
      <c r="O19" s="125">
        <f t="shared" si="2"/>
        <v>-15.5</v>
      </c>
      <c r="P19" s="119">
        <v>1</v>
      </c>
      <c r="Q19" s="107">
        <v>-15.5</v>
      </c>
    </row>
    <row r="20" spans="1:17">
      <c r="A20" s="55" t="s">
        <v>13</v>
      </c>
      <c r="B20" s="47">
        <v>18</v>
      </c>
      <c r="C20" s="39">
        <f>IF(B$3=0,0,B20/B$3)</f>
        <v>0.11842105263157894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-16.399999999999999</v>
      </c>
      <c r="P20" s="119">
        <v>1</v>
      </c>
      <c r="Q20" s="107">
        <v>-16.399999999999999</v>
      </c>
    </row>
    <row r="21" spans="1:17">
      <c r="A21" s="55" t="s">
        <v>170</v>
      </c>
      <c r="B21" s="47">
        <v>5</v>
      </c>
      <c r="C21" s="135">
        <v>1</v>
      </c>
      <c r="E21" s="63" t="s">
        <v>84</v>
      </c>
      <c r="F21" s="60" t="s">
        <v>39</v>
      </c>
      <c r="G21" s="47">
        <v>4</v>
      </c>
      <c r="H21" s="133">
        <f>IF(B$17=0,0,G21/B$17)</f>
        <v>9.5238095238095233E-2</v>
      </c>
      <c r="I21" s="94">
        <v>2</v>
      </c>
      <c r="N21" s="115" t="s">
        <v>128</v>
      </c>
      <c r="O21" s="125">
        <f t="shared" si="2"/>
        <v>-22.281818181818185</v>
      </c>
      <c r="P21" s="119">
        <v>11</v>
      </c>
      <c r="Q21" s="107">
        <v>-245.10000000000005</v>
      </c>
    </row>
    <row r="22" spans="1:17">
      <c r="A22" s="55" t="s">
        <v>171</v>
      </c>
      <c r="B22" s="47">
        <v>44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-29.966666666666665</v>
      </c>
      <c r="P22" s="119">
        <v>6</v>
      </c>
      <c r="Q22" s="107">
        <v>-179.79999999999998</v>
      </c>
    </row>
    <row r="23" spans="1:17">
      <c r="A23" s="55" t="s">
        <v>5</v>
      </c>
      <c r="B23" s="51">
        <f>IF(B$17=0,0,C23/B$17)</f>
        <v>7554.7619047619046</v>
      </c>
      <c r="C23" s="41">
        <v>317300</v>
      </c>
      <c r="E23" s="63" t="s">
        <v>86</v>
      </c>
      <c r="F23" s="60" t="s">
        <v>41</v>
      </c>
      <c r="G23" s="47">
        <v>1</v>
      </c>
      <c r="H23" s="133">
        <f>IF(B$17=0,0,G23/B$17)</f>
        <v>2.3809523809523808E-2</v>
      </c>
      <c r="I23" s="94">
        <v>2</v>
      </c>
    </row>
    <row r="24" spans="1:17">
      <c r="A24" s="57" t="s">
        <v>14</v>
      </c>
      <c r="B24" s="52">
        <f>IF(B$20=0,0,C24/B$20)</f>
        <v>-7383.333333333333</v>
      </c>
      <c r="C24" s="45">
        <v>-132900</v>
      </c>
      <c r="E24" s="63" t="s">
        <v>87</v>
      </c>
      <c r="F24" s="60" t="s">
        <v>42</v>
      </c>
      <c r="G24" s="47">
        <v>2</v>
      </c>
      <c r="H24" s="133">
        <f>IF(B$17=0,0,G24/B$17)</f>
        <v>4.7619047619047616E-2</v>
      </c>
      <c r="I24" s="94">
        <v>6</v>
      </c>
    </row>
    <row r="25" spans="1:17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75000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1</v>
      </c>
      <c r="C27" s="42">
        <f>IF(B$3=0,0,B27/B$3)</f>
        <v>6.5789473684210523E-3</v>
      </c>
      <c r="E27" s="63" t="s">
        <v>90</v>
      </c>
      <c r="F27" s="60" t="s">
        <v>45</v>
      </c>
      <c r="G27" s="47">
        <v>4</v>
      </c>
      <c r="H27" s="133">
        <f>IF(B$17=0,0,G27/B$17)</f>
        <v>9.5238095238095233E-2</v>
      </c>
      <c r="I27" s="94">
        <v>6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14</v>
      </c>
      <c r="H51" s="138">
        <f>IF(B$17=0,0,G51/B$17)</f>
        <v>0.33333333333333331</v>
      </c>
      <c r="I51" s="139">
        <v>7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E79-F6E7-4FD2-819A-978B7E8D8679}">
  <sheetPr codeName="Sheet1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>
      <c r="A3" s="55" t="s">
        <v>8</v>
      </c>
      <c r="B3" s="152">
        <v>69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0.14285714285714285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>
      <c r="A4" s="55" t="s">
        <v>6</v>
      </c>
      <c r="B4" s="154">
        <v>-152.6</v>
      </c>
      <c r="C4" s="155"/>
      <c r="E4" s="63" t="s">
        <v>67</v>
      </c>
      <c r="F4" s="60" t="s">
        <v>23</v>
      </c>
      <c r="G4" s="47">
        <v>13</v>
      </c>
      <c r="H4" s="133">
        <f>IF(B$17=0,0,G4/B$17)</f>
        <v>0.9285714285714286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>
      <c r="A5" s="55" t="s">
        <v>7</v>
      </c>
      <c r="B5" s="156">
        <f>IF(B$2=0,0,B$4/B$2)</f>
        <v>-19.074999999999999</v>
      </c>
      <c r="C5" s="157"/>
      <c r="E5" s="63" t="s">
        <v>68</v>
      </c>
      <c r="F5" s="60" t="s">
        <v>24</v>
      </c>
      <c r="G5" s="47">
        <v>10</v>
      </c>
      <c r="H5" s="133">
        <f>IF(B$17=0,0,G5/B$17)</f>
        <v>0.7142857142857143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0.35714285714285715</v>
      </c>
      <c r="I6" s="94">
        <v>3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>
      <c r="A7" s="55" t="s">
        <v>2</v>
      </c>
      <c r="B7" s="47">
        <v>1</v>
      </c>
      <c r="C7" s="39">
        <f t="shared" ref="C7:C12" si="1">IF(B$2=0,0,B7/B$2)</f>
        <v>0.125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6</v>
      </c>
      <c r="K8" s="38">
        <v>6</v>
      </c>
      <c r="L8" s="99">
        <v>-159.6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0.625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0.5714285714285714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>
      <c r="A13" s="58" t="s">
        <v>122</v>
      </c>
      <c r="B13" s="50">
        <v>19</v>
      </c>
      <c r="C13" s="44">
        <f>IF(B$3=0,0,B13/B$3)</f>
        <v>0.27536231884057971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>
      <c r="A14" s="55" t="s">
        <v>119</v>
      </c>
      <c r="B14" s="47">
        <v>15</v>
      </c>
      <c r="C14" s="39">
        <f>IF(B$3=0,0,B14/B$3)</f>
        <v>0.21739130434782608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9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>
      <c r="A18" s="55" t="s">
        <v>12</v>
      </c>
      <c r="B18" s="47">
        <v>8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>
      <c r="A19" s="55" t="s">
        <v>11</v>
      </c>
      <c r="B19" s="47">
        <v>6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1</v>
      </c>
      <c r="H19" s="133">
        <f>IF(B$17=0,0,G19/B$17)</f>
        <v>7.1428571428571425E-2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>
      <c r="A20" s="55" t="s">
        <v>13</v>
      </c>
      <c r="B20" s="47">
        <v>17</v>
      </c>
      <c r="C20" s="39">
        <f>IF(B$3=0,0,B20/B$3)</f>
        <v>0.24637681159420291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5</v>
      </c>
    </row>
    <row r="22" spans="1:17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9742.8571428571431</v>
      </c>
      <c r="C23" s="41">
        <v>136400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-10035.294117647059</v>
      </c>
      <c r="C24" s="45">
        <v>-170600</v>
      </c>
      <c r="E24" s="63" t="s">
        <v>87</v>
      </c>
      <c r="F24" s="60" t="s">
        <v>42</v>
      </c>
      <c r="G24" s="47">
        <v>2</v>
      </c>
      <c r="H24" s="133">
        <f>IF(B$17=0,0,G24/B$17)</f>
        <v>0.14285714285714285</v>
      </c>
      <c r="I24" s="94">
        <v>1</v>
      </c>
    </row>
    <row r="25" spans="1:17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6</v>
      </c>
      <c r="H51" s="138">
        <f>IF(B$17=0,0,G51/B$17)</f>
        <v>0.42857142857142855</v>
      </c>
      <c r="I51" s="139">
        <v>2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4BCC-8A72-4BDC-869A-0063609CA81C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3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1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7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8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5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9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24-8C20-4846-9D5C-E7EF15B4B5F3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>
      <c r="A3" s="55" t="s">
        <v>8</v>
      </c>
      <c r="B3" s="152">
        <v>40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>
      <c r="A4" s="55" t="s">
        <v>6</v>
      </c>
      <c r="B4" s="154">
        <v>-37.400000000000006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>
      <c r="A5" s="55" t="s">
        <v>7</v>
      </c>
      <c r="B5" s="156">
        <f>IF(B$2=0,0,B$4/B$2)</f>
        <v>-9.3500000000000014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5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68B1-55DE-4516-9416-A6830A49187F}">
  <sheetPr codeName="Sheet24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A9B4-3CEF-4057-B48F-7D763D56FEA5}">
  <sheetPr codeName="Sheet22"/>
  <dimension ref="A1:Q14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5FEDB-3C6C-4BB6-AFB3-76FEFE68A70E}">
  <sheetPr codeName="Sheet20"/>
  <dimension ref="A1:Q1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2DF-837D-450C-A84D-B9E16C14B0FA}">
  <sheetPr codeName="Sheet18"/>
  <dimension ref="A1:Q20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D078-CFD4-4E95-90C5-72D9DA2A0314}">
  <sheetPr codeName="Sheet16"/>
  <dimension ref="A1:Q1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0073-F59A-4CF5-A5A8-E6A9D522410B}">
  <sheetPr codeName="Sheet14"/>
  <dimension ref="A1:Q2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27004-6DF1-41C8-B066-845D83FDEC9C}">
  <sheetPr codeName="Sheet12"/>
  <dimension ref="A1:Q4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2757-6349-42A0-892B-7964F95DC5E6}">
  <sheetPr codeName="Sheet10"/>
  <dimension ref="A1:Q3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7B25-C5CE-42C7-8BB2-D941CEF55F88}">
  <sheetPr codeName="Sheet8"/>
  <dimension ref="A1:Q18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729-2F7E-47E3-9773-0731796D1FC5}">
  <sheetPr codeName="Sheet6"/>
  <dimension ref="A1:Q56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2019-10-07T14:50:16Z</dcterms:modified>
</cp:coreProperties>
</file>