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4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15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6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7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8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0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1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3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5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6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7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63CBC423-D1EF-4648-B6E2-61A3B24A307C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89" r:id="rId6"/>
    <sheet name="たかの" sheetId="5591" r:id="rId7"/>
    <sheet name="だいち" sheetId="5593" r:id="rId8"/>
    <sheet name="ただ" sheetId="5595" r:id="rId9"/>
    <sheet name="りくと" sheetId="5597" r:id="rId10"/>
    <sheet name="れんたろう" sheetId="5599" r:id="rId11"/>
    <sheet name="まっつん" sheetId="5601" r:id="rId12"/>
    <sheet name="のり" sheetId="5603" r:id="rId13"/>
    <sheet name="ぱぱ" sheetId="5605" r:id="rId14"/>
    <sheet name="ぱぱ2" sheetId="5606" state="hidden" r:id="rId15"/>
    <sheet name="のり2" sheetId="5604" state="hidden" r:id="rId16"/>
    <sheet name="まっつん2" sheetId="5602" state="hidden" r:id="rId17"/>
    <sheet name="れんたろう2" sheetId="5600" state="hidden" r:id="rId18"/>
    <sheet name="りくと2" sheetId="5598" state="hidden" r:id="rId19"/>
    <sheet name="ただ2" sheetId="5596" state="hidden" r:id="rId20"/>
    <sheet name="だいち2" sheetId="5594" state="hidden" r:id="rId21"/>
    <sheet name="たかの2" sheetId="5592" state="hidden" r:id="rId22"/>
    <sheet name="全体2" sheetId="5590" state="hidden" r:id="rId23"/>
    <sheet name="通算スコア" sheetId="3331" state="hidden" r:id="rId24"/>
    <sheet name="平均スコア" sheetId="3493" state="hidden" r:id="rId25"/>
    <sheet name="平均順位" sheetId="3183" state="hidden" r:id="rId26"/>
    <sheet name="トップ率" sheetId="3185" state="hidden" r:id="rId27"/>
    <sheet name="ラス率" sheetId="4886" state="hidden" r:id="rId28"/>
    <sheet name="アガリ率" sheetId="3189" state="hidden" r:id="rId29"/>
    <sheet name="放銃率" sheetId="3190" state="hidden" r:id="rId30"/>
    <sheet name="平均アガリ点" sheetId="3520" state="hidden" r:id="rId31"/>
    <sheet name="平均放銃点" sheetId="3521" state="hidden" r:id="rId32"/>
    <sheet name="ふっとび率" sheetId="3522" state="hidden" r:id="rId33"/>
    <sheet name="ふっとばし率" sheetId="3523" state="hidden" r:id="rId34"/>
    <sheet name="リーチ率" sheetId="3524" state="hidden" r:id="rId35"/>
    <sheet name="副露率" sheetId="3525" state="hidden" r:id="rId36"/>
    <sheet name="リーチ成功率" sheetId="4841" state="hidden" r:id="rId37"/>
    <sheet name="副露成功率" sheetId="3527" state="hidden" r:id="rId38"/>
    <sheet name="ツモ率" sheetId="3528" state="hidden" r:id="rId39"/>
  </sheets>
  <definedNames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7">だいち!$B$27</definedName>
    <definedName name="チョンボ数" localSheetId="6">たかの!$B$27</definedName>
    <definedName name="チョンボ数" localSheetId="8">ただ!$B$27</definedName>
    <definedName name="チョンボ数" localSheetId="12">のり!$B$27</definedName>
    <definedName name="チョンボ数" localSheetId="13">ぱぱ!$B$27</definedName>
    <definedName name="チョンボ数" localSheetId="11">まっつん!$B$27</definedName>
    <definedName name="チョンボ数" localSheetId="9">りくと!$B$27</definedName>
    <definedName name="チョンボ数" localSheetId="10">れんたろう!$B$27</definedName>
    <definedName name="チョンボ数" localSheetId="5">全体!$B$27</definedName>
    <definedName name="チョンボ数">Template1!$B$27</definedName>
    <definedName name="チョンボ率" localSheetId="7">だいち!$C$27</definedName>
    <definedName name="チョンボ率" localSheetId="6">たかの!$C$27</definedName>
    <definedName name="チョンボ率" localSheetId="8">ただ!$C$27</definedName>
    <definedName name="チョンボ率" localSheetId="12">のり!$C$27</definedName>
    <definedName name="チョンボ率" localSheetId="13">ぱぱ!$C$27</definedName>
    <definedName name="チョンボ率" localSheetId="11">まっつん!$C$27</definedName>
    <definedName name="チョンボ率" localSheetId="9">りくと!$C$27</definedName>
    <definedName name="チョンボ率" localSheetId="10">れんたろう!$C$27</definedName>
    <definedName name="チョンボ率" localSheetId="5">全体!$C$27</definedName>
    <definedName name="チョンボ率">Template1!$C$27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7">だいち!$B$25</definedName>
    <definedName name="最大ドラ数" localSheetId="6">たかの!$B$25</definedName>
    <definedName name="最大ドラ数" localSheetId="8">ただ!$B$25</definedName>
    <definedName name="最大ドラ数" localSheetId="12">のり!$B$25</definedName>
    <definedName name="最大ドラ数" localSheetId="13">ぱぱ!$B$25</definedName>
    <definedName name="最大ドラ数" localSheetId="11">まっつん!$B$25</definedName>
    <definedName name="最大ドラ数" localSheetId="9">りくと!$B$25</definedName>
    <definedName name="最大ドラ数" localSheetId="10">れんたろう!$B$25</definedName>
    <definedName name="最大ドラ数" localSheetId="5">全体!$B$25</definedName>
    <definedName name="最大ドラ数">Template1!$B$25</definedName>
    <definedName name="最大点数" localSheetId="7">だいち!$B$26</definedName>
    <definedName name="最大点数" localSheetId="6">たかの!$B$26</definedName>
    <definedName name="最大点数" localSheetId="8">ただ!$B$26</definedName>
    <definedName name="最大点数" localSheetId="12">のり!$B$26</definedName>
    <definedName name="最大点数" localSheetId="13">ぱぱ!$B$26</definedName>
    <definedName name="最大点数" localSheetId="11">まっつん!$B$26</definedName>
    <definedName name="最大点数" localSheetId="9">りくと!$B$26</definedName>
    <definedName name="最大点数" localSheetId="10">れんたろう!$B$26</definedName>
    <definedName name="最大点数" localSheetId="5">全体!$B$26</definedName>
    <definedName name="最大点数">Template1!$B$26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7">だいち!$B$24</definedName>
    <definedName name="平均放銃点" localSheetId="6">たかの!$B$24</definedName>
    <definedName name="平均放銃点" localSheetId="8">ただ!$B$24</definedName>
    <definedName name="平均放銃点" localSheetId="12">のり!$B$24</definedName>
    <definedName name="平均放銃点" localSheetId="13">ぱぱ!$B$24</definedName>
    <definedName name="平均放銃点" localSheetId="11">まっつん!$B$24</definedName>
    <definedName name="平均放銃点" localSheetId="9">りくと!$B$24</definedName>
    <definedName name="平均放銃点" localSheetId="10">れんたろう!$B$24</definedName>
    <definedName name="平均放銃点" localSheetId="5">全体!$B$24</definedName>
    <definedName name="平均放銃点">Template1!$B$24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599" l="1"/>
  <c r="O16" i="5599"/>
  <c r="O16" i="5605"/>
  <c r="O15" i="5605"/>
  <c r="C27" i="5605"/>
  <c r="B24" i="5605"/>
  <c r="C20" i="5605"/>
  <c r="B17" i="5605"/>
  <c r="H50" i="5605" s="1"/>
  <c r="H18" i="5605"/>
  <c r="C16" i="5605"/>
  <c r="C15" i="5605"/>
  <c r="C14" i="5605"/>
  <c r="C13" i="5605"/>
  <c r="O12" i="5605"/>
  <c r="C12" i="5605"/>
  <c r="O11" i="5605"/>
  <c r="C11" i="5605"/>
  <c r="O10" i="5605"/>
  <c r="C10" i="5605"/>
  <c r="C9" i="5605"/>
  <c r="C8" i="5605"/>
  <c r="O7" i="5605"/>
  <c r="C7" i="5605"/>
  <c r="O6" i="5605"/>
  <c r="B6" i="5605"/>
  <c r="O5" i="5605"/>
  <c r="B5" i="5605"/>
  <c r="O4" i="5605"/>
  <c r="O3" i="5605"/>
  <c r="O2" i="5605"/>
  <c r="O18" i="5589"/>
  <c r="O15" i="5603"/>
  <c r="O16" i="5603"/>
  <c r="C27" i="5603"/>
  <c r="B24" i="5603"/>
  <c r="C20" i="5603"/>
  <c r="B17" i="5603"/>
  <c r="H50" i="5603" s="1"/>
  <c r="C16" i="5603"/>
  <c r="C15" i="5603"/>
  <c r="C14" i="5603"/>
  <c r="C13" i="5603"/>
  <c r="O12" i="5603"/>
  <c r="C12" i="5603"/>
  <c r="O11" i="5603"/>
  <c r="C11" i="5603"/>
  <c r="O10" i="5603"/>
  <c r="C10" i="5603"/>
  <c r="C9" i="5603"/>
  <c r="C8" i="5603"/>
  <c r="O7" i="5603"/>
  <c r="C7" i="5603"/>
  <c r="O6" i="5603"/>
  <c r="B6" i="5603"/>
  <c r="O5" i="5603"/>
  <c r="B5" i="5603"/>
  <c r="O4" i="5603"/>
  <c r="O3" i="5603"/>
  <c r="O2" i="5603"/>
  <c r="O22" i="5589"/>
  <c r="H8" i="5605" l="1"/>
  <c r="H10" i="5605"/>
  <c r="H14" i="5605"/>
  <c r="H6" i="5605"/>
  <c r="H24" i="5605"/>
  <c r="H13" i="5605"/>
  <c r="H17" i="5605"/>
  <c r="H29" i="5605"/>
  <c r="H35" i="5605"/>
  <c r="H33" i="5605"/>
  <c r="H41" i="5605"/>
  <c r="H4" i="5605"/>
  <c r="C19" i="5605"/>
  <c r="H7" i="5605"/>
  <c r="H16" i="5605"/>
  <c r="H23" i="5605"/>
  <c r="H43" i="5605"/>
  <c r="H44" i="5605"/>
  <c r="H45" i="5605"/>
  <c r="H9" i="5605"/>
  <c r="H12" i="5605"/>
  <c r="H11" i="5605"/>
  <c r="H19" i="5605"/>
  <c r="H2" i="5605"/>
  <c r="C18" i="5605"/>
  <c r="H28" i="5605"/>
  <c r="H49" i="5605"/>
  <c r="H51" i="5605"/>
  <c r="B23" i="5605"/>
  <c r="H36" i="5605"/>
  <c r="H3" i="5605"/>
  <c r="H5" i="5605"/>
  <c r="H15" i="5605"/>
  <c r="C17" i="5605"/>
  <c r="H37" i="5605"/>
  <c r="H52" i="5605"/>
  <c r="H20" i="5605"/>
  <c r="H25" i="5605"/>
  <c r="H30" i="5605"/>
  <c r="H38" i="5605"/>
  <c r="H46" i="5605"/>
  <c r="H31" i="5605"/>
  <c r="H39" i="5605"/>
  <c r="H47" i="5605"/>
  <c r="H21" i="5605"/>
  <c r="H26" i="5605"/>
  <c r="H32" i="5605"/>
  <c r="H40" i="5605"/>
  <c r="H48" i="5605"/>
  <c r="H22" i="5605"/>
  <c r="H27" i="5605"/>
  <c r="H34" i="5605"/>
  <c r="H42" i="5605"/>
  <c r="H4" i="5603"/>
  <c r="H23" i="5603"/>
  <c r="H5" i="5603"/>
  <c r="H14" i="5603"/>
  <c r="B23" i="5603"/>
  <c r="H43" i="5603"/>
  <c r="H18" i="5603"/>
  <c r="H33" i="5603"/>
  <c r="H44" i="5603"/>
  <c r="H2" i="5603"/>
  <c r="H12" i="5603"/>
  <c r="H15" i="5603"/>
  <c r="C18" i="5603"/>
  <c r="H25" i="5603"/>
  <c r="H35" i="5603"/>
  <c r="H45" i="5603"/>
  <c r="H7" i="5603"/>
  <c r="H41" i="5603"/>
  <c r="H9" i="5603"/>
  <c r="H32" i="5603"/>
  <c r="C19" i="5603"/>
  <c r="H47" i="5603"/>
  <c r="H20" i="5603"/>
  <c r="H37" i="5603"/>
  <c r="H11" i="5603"/>
  <c r="H28" i="5603"/>
  <c r="H39" i="5603"/>
  <c r="H49" i="5603"/>
  <c r="H31" i="5603"/>
  <c r="C17" i="5603"/>
  <c r="H52" i="5603"/>
  <c r="H3" i="5603"/>
  <c r="H10" i="5603"/>
  <c r="H26" i="5603"/>
  <c r="H36" i="5603"/>
  <c r="H16" i="5603"/>
  <c r="H48" i="5603"/>
  <c r="H6" i="5603"/>
  <c r="H8" i="5603"/>
  <c r="H13" i="5603"/>
  <c r="H17" i="5603"/>
  <c r="H22" i="5603"/>
  <c r="H29" i="5603"/>
  <c r="H40" i="5603"/>
  <c r="H51" i="5603"/>
  <c r="H19" i="5603"/>
  <c r="H24" i="5603"/>
  <c r="H30" i="5603"/>
  <c r="H38" i="5603"/>
  <c r="H46" i="5603"/>
  <c r="H21" i="5603"/>
  <c r="H27" i="5603"/>
  <c r="H34" i="5603"/>
  <c r="H42" i="5603"/>
  <c r="O16" i="5601" l="1"/>
  <c r="O15" i="5601"/>
  <c r="C27" i="5601"/>
  <c r="B24" i="5601"/>
  <c r="C20" i="5601"/>
  <c r="C17" i="5601"/>
  <c r="B17" i="5601"/>
  <c r="H52" i="5601" s="1"/>
  <c r="C16" i="5601"/>
  <c r="C15" i="5601"/>
  <c r="C14" i="5601"/>
  <c r="H13" i="5601"/>
  <c r="C13" i="5601"/>
  <c r="O12" i="5601"/>
  <c r="C12" i="5601"/>
  <c r="O11" i="5601"/>
  <c r="C11" i="5601"/>
  <c r="O10" i="5601"/>
  <c r="H10" i="5601"/>
  <c r="C10" i="5601"/>
  <c r="H9" i="5601"/>
  <c r="C9" i="5601"/>
  <c r="H8" i="5601"/>
  <c r="C8" i="5601"/>
  <c r="O7" i="5601"/>
  <c r="H7" i="5601"/>
  <c r="C7" i="5601"/>
  <c r="O6" i="5601"/>
  <c r="H6" i="5601"/>
  <c r="B6" i="5601"/>
  <c r="O5" i="5601"/>
  <c r="B5" i="5601"/>
  <c r="O4" i="5601"/>
  <c r="H4" i="5601"/>
  <c r="O3" i="5601"/>
  <c r="H3" i="5601"/>
  <c r="O2" i="5601"/>
  <c r="H2" i="5601"/>
  <c r="O15" i="5599"/>
  <c r="O17" i="5599"/>
  <c r="C27" i="5599"/>
  <c r="B24" i="5599"/>
  <c r="C20" i="5599"/>
  <c r="B17" i="5599"/>
  <c r="H52" i="5599" s="1"/>
  <c r="C16" i="5599"/>
  <c r="C15" i="5599"/>
  <c r="C14" i="5599"/>
  <c r="C13" i="5599"/>
  <c r="O12" i="5599"/>
  <c r="C12" i="5599"/>
  <c r="O11" i="5599"/>
  <c r="C11" i="5599"/>
  <c r="O10" i="5599"/>
  <c r="C10" i="5599"/>
  <c r="C9" i="5599"/>
  <c r="C8" i="5599"/>
  <c r="O7" i="5599"/>
  <c r="C7" i="5599"/>
  <c r="O6" i="5599"/>
  <c r="B6" i="5599"/>
  <c r="O5" i="5599"/>
  <c r="B5" i="5599"/>
  <c r="O4" i="5599"/>
  <c r="O3" i="5599"/>
  <c r="O2" i="5599"/>
  <c r="O15" i="5589"/>
  <c r="O16" i="5597"/>
  <c r="O15" i="5597"/>
  <c r="C27" i="5597"/>
  <c r="B24" i="5597"/>
  <c r="B23" i="5597"/>
  <c r="C20" i="5597"/>
  <c r="C18" i="5597"/>
  <c r="B17" i="5597"/>
  <c r="H52" i="5597" s="1"/>
  <c r="H16" i="5597"/>
  <c r="C16" i="5597"/>
  <c r="C15" i="5597"/>
  <c r="C14" i="5597"/>
  <c r="C13" i="5597"/>
  <c r="O12" i="5597"/>
  <c r="C12" i="5597"/>
  <c r="O11" i="5597"/>
  <c r="C11" i="5597"/>
  <c r="O10" i="5597"/>
  <c r="C10" i="5597"/>
  <c r="C9" i="5597"/>
  <c r="C8" i="5597"/>
  <c r="O7" i="5597"/>
  <c r="C7" i="5597"/>
  <c r="O6" i="5597"/>
  <c r="B6" i="5597"/>
  <c r="O5" i="5597"/>
  <c r="B5" i="5597"/>
  <c r="O4" i="5597"/>
  <c r="H4" i="5597"/>
  <c r="O3" i="5597"/>
  <c r="O2" i="5597"/>
  <c r="H2" i="5597"/>
  <c r="O21" i="5589"/>
  <c r="O16" i="5589"/>
  <c r="H18" i="5601" l="1"/>
  <c r="H20" i="5601"/>
  <c r="H23" i="5601"/>
  <c r="H26" i="5601"/>
  <c r="H29" i="5601"/>
  <c r="H33" i="5601"/>
  <c r="H37" i="5601"/>
  <c r="H41" i="5601"/>
  <c r="H45" i="5601"/>
  <c r="H49" i="5601"/>
  <c r="H15" i="5601"/>
  <c r="C19" i="5601"/>
  <c r="H21" i="5601"/>
  <c r="H30" i="5601"/>
  <c r="H34" i="5601"/>
  <c r="H38" i="5601"/>
  <c r="H42" i="5601"/>
  <c r="H46" i="5601"/>
  <c r="H50" i="5601"/>
  <c r="H12" i="5601"/>
  <c r="H17" i="5601"/>
  <c r="H19" i="5601"/>
  <c r="H22" i="5601"/>
  <c r="H24" i="5601"/>
  <c r="H27" i="5601"/>
  <c r="H31" i="5601"/>
  <c r="H35" i="5601"/>
  <c r="H39" i="5601"/>
  <c r="H43" i="5601"/>
  <c r="H47" i="5601"/>
  <c r="H51" i="5601"/>
  <c r="H5" i="5601"/>
  <c r="H11" i="5601"/>
  <c r="H14" i="5601"/>
  <c r="H16" i="5601"/>
  <c r="C18" i="5601"/>
  <c r="B23" i="5601"/>
  <c r="H25" i="5601"/>
  <c r="H28" i="5601"/>
  <c r="H32" i="5601"/>
  <c r="H36" i="5601"/>
  <c r="H40" i="5601"/>
  <c r="H44" i="5601"/>
  <c r="H48" i="5601"/>
  <c r="H13" i="5599"/>
  <c r="H7" i="5599"/>
  <c r="H2" i="5599"/>
  <c r="H26" i="5599"/>
  <c r="H3" i="5599"/>
  <c r="H12" i="5599"/>
  <c r="H16" i="5599"/>
  <c r="C18" i="5599"/>
  <c r="H36" i="5599"/>
  <c r="H18" i="5599"/>
  <c r="H40" i="5599"/>
  <c r="B23" i="5599"/>
  <c r="H28" i="5599"/>
  <c r="H44" i="5599"/>
  <c r="H10" i="5599"/>
  <c r="C17" i="5599"/>
  <c r="H32" i="5599"/>
  <c r="H48" i="5599"/>
  <c r="H21" i="5599"/>
  <c r="H24" i="5599"/>
  <c r="H29" i="5599"/>
  <c r="H33" i="5599"/>
  <c r="H37" i="5599"/>
  <c r="H41" i="5599"/>
  <c r="H45" i="5599"/>
  <c r="H11" i="5599"/>
  <c r="H15" i="5599"/>
  <c r="H17" i="5599"/>
  <c r="C19" i="5599"/>
  <c r="H22" i="5599"/>
  <c r="H30" i="5599"/>
  <c r="H34" i="5599"/>
  <c r="H38" i="5599"/>
  <c r="H42" i="5599"/>
  <c r="H46" i="5599"/>
  <c r="H50" i="5599"/>
  <c r="H20" i="5599"/>
  <c r="H27" i="5599"/>
  <c r="H49" i="5599"/>
  <c r="H9" i="5599"/>
  <c r="H4" i="5599"/>
  <c r="H6" i="5599"/>
  <c r="H14" i="5599"/>
  <c r="H19" i="5599"/>
  <c r="H8" i="5599"/>
  <c r="H23" i="5599"/>
  <c r="H25" i="5599"/>
  <c r="H5" i="5599"/>
  <c r="H31" i="5599"/>
  <c r="H35" i="5599"/>
  <c r="H39" i="5599"/>
  <c r="H43" i="5599"/>
  <c r="H47" i="5599"/>
  <c r="H51" i="5599"/>
  <c r="H27" i="5597"/>
  <c r="H9" i="5597"/>
  <c r="H12" i="5597"/>
  <c r="H14" i="5597"/>
  <c r="H19" i="5597"/>
  <c r="H11" i="5597"/>
  <c r="H24" i="5597"/>
  <c r="H35" i="5597"/>
  <c r="H31" i="5597"/>
  <c r="H3" i="5597"/>
  <c r="H6" i="5597"/>
  <c r="C17" i="5597"/>
  <c r="H5" i="5597"/>
  <c r="H8" i="5597"/>
  <c r="H10" i="5597"/>
  <c r="H17" i="5597"/>
  <c r="H22" i="5597"/>
  <c r="H39" i="5597"/>
  <c r="H18" i="5597"/>
  <c r="H20" i="5597"/>
  <c r="H23" i="5597"/>
  <c r="H26" i="5597"/>
  <c r="H29" i="5597"/>
  <c r="H33" i="5597"/>
  <c r="H37" i="5597"/>
  <c r="H41" i="5597"/>
  <c r="H45" i="5597"/>
  <c r="H49" i="5597"/>
  <c r="H7" i="5597"/>
  <c r="H13" i="5597"/>
  <c r="H15" i="5597"/>
  <c r="C19" i="5597"/>
  <c r="H21" i="5597"/>
  <c r="H30" i="5597"/>
  <c r="H34" i="5597"/>
  <c r="H38" i="5597"/>
  <c r="H42" i="5597"/>
  <c r="H46" i="5597"/>
  <c r="H50" i="5597"/>
  <c r="H43" i="5597"/>
  <c r="H47" i="5597"/>
  <c r="H51" i="5597"/>
  <c r="H25" i="5597"/>
  <c r="H28" i="5597"/>
  <c r="H32" i="5597"/>
  <c r="H36" i="5597"/>
  <c r="H40" i="5597"/>
  <c r="H44" i="5597"/>
  <c r="H48" i="5597"/>
  <c r="O15" i="5595" l="1"/>
  <c r="O16" i="5595"/>
  <c r="C27" i="5595"/>
  <c r="B24" i="5595"/>
  <c r="C20" i="5595"/>
  <c r="B17" i="5595"/>
  <c r="H50" i="5595" s="1"/>
  <c r="C16" i="5595"/>
  <c r="C15" i="5595"/>
  <c r="C14" i="5595"/>
  <c r="C13" i="5595"/>
  <c r="O12" i="5595"/>
  <c r="C12" i="5595"/>
  <c r="O11" i="5595"/>
  <c r="C11" i="5595"/>
  <c r="O10" i="5595"/>
  <c r="C10" i="5595"/>
  <c r="C9" i="5595"/>
  <c r="C8" i="5595"/>
  <c r="O7" i="5595"/>
  <c r="C7" i="5595"/>
  <c r="O6" i="5595"/>
  <c r="B6" i="5595"/>
  <c r="O5" i="5595"/>
  <c r="B5" i="5595"/>
  <c r="O4" i="5595"/>
  <c r="O3" i="5595"/>
  <c r="O2" i="5595"/>
  <c r="O16" i="5593"/>
  <c r="O15" i="5593"/>
  <c r="C27" i="5593"/>
  <c r="B24" i="5593"/>
  <c r="C20" i="5593"/>
  <c r="B17" i="5593"/>
  <c r="H52" i="5593" s="1"/>
  <c r="C16" i="5593"/>
  <c r="C15" i="5593"/>
  <c r="C14" i="5593"/>
  <c r="C13" i="5593"/>
  <c r="O12" i="5593"/>
  <c r="C12" i="5593"/>
  <c r="O11" i="5593"/>
  <c r="C11" i="5593"/>
  <c r="O10" i="5593"/>
  <c r="C10" i="5593"/>
  <c r="C9" i="5593"/>
  <c r="C8" i="5593"/>
  <c r="O7" i="5593"/>
  <c r="C7" i="5593"/>
  <c r="O6" i="5593"/>
  <c r="B6" i="5593"/>
  <c r="O5" i="5593"/>
  <c r="B5" i="5593"/>
  <c r="O4" i="5593"/>
  <c r="O3" i="5593"/>
  <c r="O2" i="5593"/>
  <c r="O20" i="5589"/>
  <c r="O15" i="5591"/>
  <c r="O16" i="5591"/>
  <c r="C27" i="5591"/>
  <c r="B24" i="5591"/>
  <c r="C20" i="5591"/>
  <c r="B17" i="5591"/>
  <c r="H52" i="5591" s="1"/>
  <c r="C16" i="5591"/>
  <c r="C15" i="5591"/>
  <c r="C14" i="5591"/>
  <c r="C13" i="5591"/>
  <c r="O12" i="5591"/>
  <c r="C12" i="5591"/>
  <c r="O11" i="5591"/>
  <c r="C11" i="5591"/>
  <c r="O10" i="5591"/>
  <c r="C10" i="5591"/>
  <c r="H9" i="5591"/>
  <c r="C9" i="5591"/>
  <c r="C8" i="5591"/>
  <c r="O7" i="5591"/>
  <c r="C7" i="5591"/>
  <c r="O6" i="5591"/>
  <c r="H6" i="5591"/>
  <c r="B6" i="5591"/>
  <c r="O5" i="5591"/>
  <c r="B5" i="5591"/>
  <c r="O4" i="5591"/>
  <c r="O3" i="5591"/>
  <c r="O2" i="5591"/>
  <c r="O17" i="5589"/>
  <c r="O19" i="5589"/>
  <c r="C27" i="5589"/>
  <c r="B24" i="5589"/>
  <c r="C20" i="5589"/>
  <c r="B17" i="5589"/>
  <c r="H52" i="5589" s="1"/>
  <c r="C16" i="5589"/>
  <c r="C15" i="5589"/>
  <c r="C14" i="5589"/>
  <c r="C13" i="5589"/>
  <c r="O12" i="5589"/>
  <c r="C12" i="5589"/>
  <c r="O11" i="5589"/>
  <c r="C11" i="5589"/>
  <c r="O10" i="5589"/>
  <c r="C10" i="5589"/>
  <c r="C9" i="5589"/>
  <c r="C8" i="5589"/>
  <c r="O7" i="5589"/>
  <c r="C7" i="5589"/>
  <c r="O6" i="5589"/>
  <c r="B6" i="5589"/>
  <c r="O5" i="5589"/>
  <c r="B5" i="5589"/>
  <c r="O4" i="5589"/>
  <c r="O3" i="5589"/>
  <c r="O2" i="5589"/>
  <c r="H30" i="5595" l="1"/>
  <c r="H8" i="5595"/>
  <c r="H15" i="5595"/>
  <c r="H12" i="5595"/>
  <c r="H5" i="5595"/>
  <c r="H35" i="5595"/>
  <c r="H31" i="5595"/>
  <c r="H40" i="5595"/>
  <c r="C19" i="5595"/>
  <c r="H19" i="5595"/>
  <c r="H14" i="5595"/>
  <c r="H23" i="5595"/>
  <c r="H32" i="5595"/>
  <c r="H3" i="5595"/>
  <c r="H11" i="5595"/>
  <c r="H24" i="5595"/>
  <c r="H43" i="5595"/>
  <c r="C18" i="5595"/>
  <c r="H25" i="5595"/>
  <c r="H44" i="5595"/>
  <c r="H2" i="5595"/>
  <c r="H9" i="5595"/>
  <c r="H6" i="5595"/>
  <c r="H18" i="5595"/>
  <c r="H45" i="5595"/>
  <c r="H16" i="5595"/>
  <c r="H36" i="5595"/>
  <c r="H46" i="5595"/>
  <c r="H27" i="5595"/>
  <c r="H37" i="5595"/>
  <c r="H47" i="5595"/>
  <c r="C17" i="5595"/>
  <c r="H22" i="5595"/>
  <c r="H28" i="5595"/>
  <c r="H38" i="5595"/>
  <c r="H51" i="5595"/>
  <c r="H4" i="5595"/>
  <c r="H10" i="5595"/>
  <c r="H21" i="5595"/>
  <c r="H7" i="5595"/>
  <c r="H13" i="5595"/>
  <c r="H17" i="5595"/>
  <c r="B23" i="5595"/>
  <c r="H29" i="5595"/>
  <c r="H39" i="5595"/>
  <c r="H52" i="5595"/>
  <c r="H48" i="5595"/>
  <c r="H20" i="5595"/>
  <c r="H26" i="5595"/>
  <c r="H33" i="5595"/>
  <c r="H41" i="5595"/>
  <c r="H49" i="5595"/>
  <c r="H34" i="5595"/>
  <c r="H42" i="5595"/>
  <c r="H29" i="5593"/>
  <c r="H30" i="5593"/>
  <c r="H18" i="5593"/>
  <c r="C19" i="5593"/>
  <c r="H38" i="5593"/>
  <c r="H4" i="5593"/>
  <c r="H32" i="5593"/>
  <c r="H10" i="5593"/>
  <c r="H23" i="5593"/>
  <c r="H40" i="5593"/>
  <c r="C17" i="5593"/>
  <c r="H8" i="5593"/>
  <c r="H37" i="5593"/>
  <c r="H2" i="5593"/>
  <c r="H15" i="5593"/>
  <c r="H48" i="5593"/>
  <c r="H16" i="5593"/>
  <c r="H25" i="5593"/>
  <c r="H45" i="5593"/>
  <c r="H46" i="5593"/>
  <c r="H3" i="5593"/>
  <c r="H6" i="5593"/>
  <c r="H9" i="5593"/>
  <c r="H12" i="5593"/>
  <c r="H19" i="5593"/>
  <c r="H24" i="5593"/>
  <c r="H31" i="5593"/>
  <c r="H39" i="5593"/>
  <c r="H47" i="5593"/>
  <c r="H20" i="5593"/>
  <c r="H26" i="5593"/>
  <c r="H33" i="5593"/>
  <c r="H41" i="5593"/>
  <c r="H49" i="5593"/>
  <c r="H7" i="5593"/>
  <c r="H13" i="5593"/>
  <c r="H21" i="5593"/>
  <c r="H34" i="5593"/>
  <c r="H42" i="5593"/>
  <c r="H50" i="5593"/>
  <c r="H17" i="5593"/>
  <c r="H22" i="5593"/>
  <c r="H27" i="5593"/>
  <c r="H35" i="5593"/>
  <c r="H43" i="5593"/>
  <c r="H51" i="5593"/>
  <c r="H5" i="5593"/>
  <c r="H11" i="5593"/>
  <c r="H14" i="5593"/>
  <c r="C18" i="5593"/>
  <c r="B23" i="5593"/>
  <c r="H28" i="5593"/>
  <c r="H36" i="5593"/>
  <c r="H44" i="5593"/>
  <c r="H38" i="5591"/>
  <c r="H4" i="5591"/>
  <c r="H25" i="5591"/>
  <c r="H7" i="5591"/>
  <c r="H45" i="5591"/>
  <c r="H37" i="5591"/>
  <c r="H24" i="5591"/>
  <c r="H10" i="5591"/>
  <c r="H18" i="5591"/>
  <c r="H40" i="5591"/>
  <c r="H46" i="5591"/>
  <c r="H39" i="5591"/>
  <c r="H29" i="5591"/>
  <c r="H47" i="5591"/>
  <c r="H3" i="5591"/>
  <c r="C17" i="5591"/>
  <c r="H13" i="5591"/>
  <c r="C19" i="5591"/>
  <c r="H19" i="5591"/>
  <c r="H5" i="5591"/>
  <c r="H15" i="5591"/>
  <c r="H30" i="5591"/>
  <c r="H2" i="5591"/>
  <c r="H8" i="5591"/>
  <c r="H21" i="5591"/>
  <c r="H31" i="5591"/>
  <c r="H12" i="5591"/>
  <c r="H16" i="5591"/>
  <c r="H23" i="5591"/>
  <c r="H32" i="5591"/>
  <c r="H48" i="5591"/>
  <c r="H20" i="5591"/>
  <c r="H26" i="5591"/>
  <c r="H33" i="5591"/>
  <c r="H41" i="5591"/>
  <c r="H49" i="5591"/>
  <c r="H34" i="5591"/>
  <c r="H42" i="5591"/>
  <c r="H50" i="5591"/>
  <c r="H17" i="5591"/>
  <c r="H22" i="5591"/>
  <c r="H27" i="5591"/>
  <c r="H35" i="5591"/>
  <c r="H43" i="5591"/>
  <c r="H51" i="5591"/>
  <c r="H11" i="5591"/>
  <c r="H14" i="5591"/>
  <c r="C18" i="5591"/>
  <c r="B23" i="5591"/>
  <c r="H28" i="5591"/>
  <c r="H36" i="5591"/>
  <c r="H44" i="5591"/>
  <c r="H3" i="5589"/>
  <c r="H14" i="5589"/>
  <c r="C17" i="5589"/>
  <c r="H27" i="5589"/>
  <c r="H2" i="5589"/>
  <c r="H13" i="5589"/>
  <c r="H4" i="5589"/>
  <c r="H25" i="5589"/>
  <c r="H30" i="5589"/>
  <c r="H46" i="5589"/>
  <c r="H23" i="5589"/>
  <c r="C19" i="5589"/>
  <c r="H31" i="5589"/>
  <c r="H39" i="5589"/>
  <c r="H47" i="5589"/>
  <c r="H16" i="5589"/>
  <c r="H38" i="5589"/>
  <c r="H12" i="5589"/>
  <c r="H7" i="5589"/>
  <c r="H9" i="5589"/>
  <c r="H20" i="5589"/>
  <c r="H15" i="5589"/>
  <c r="H17" i="5589"/>
  <c r="H32" i="5589"/>
  <c r="H40" i="5589"/>
  <c r="H48" i="5589"/>
  <c r="H24" i="5589"/>
  <c r="H18" i="5589"/>
  <c r="H33" i="5589"/>
  <c r="H41" i="5589"/>
  <c r="H49" i="5589"/>
  <c r="H26" i="5589"/>
  <c r="H28" i="5589"/>
  <c r="H34" i="5589"/>
  <c r="H42" i="5589"/>
  <c r="H50" i="5589"/>
  <c r="H8" i="5589"/>
  <c r="H21" i="5589"/>
  <c r="H10" i="5589"/>
  <c r="H35" i="5589"/>
  <c r="H43" i="5589"/>
  <c r="H51" i="5589"/>
  <c r="H11" i="5589"/>
  <c r="H36" i="5589"/>
  <c r="H44" i="5589"/>
  <c r="H5" i="5589"/>
  <c r="H6" i="5589"/>
  <c r="H19" i="5589"/>
  <c r="H22" i="5589"/>
  <c r="C18" i="5589"/>
  <c r="B23" i="5589"/>
  <c r="H29" i="5589"/>
  <c r="H37" i="5589"/>
  <c r="H45" i="558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<sst xmlns="http://schemas.openxmlformats.org/spreadsheetml/2006/main" count="2115" uniqueCount="184">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</sst>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3.xml"/><Relationship Id="rId39" Type="http://schemas.openxmlformats.org/officeDocument/2006/relationships/chartsheet" Target="chartsheets/sheet1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1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2.xml"/><Relationship Id="rId33" Type="http://schemas.openxmlformats.org/officeDocument/2006/relationships/chartsheet" Target="chartsheets/sheet10.xml"/><Relationship Id="rId38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6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1.xml"/><Relationship Id="rId32" Type="http://schemas.openxmlformats.org/officeDocument/2006/relationships/chartsheet" Target="chartsheets/sheet9.xml"/><Relationship Id="rId37" Type="http://schemas.openxmlformats.org/officeDocument/2006/relationships/chartsheet" Target="chartsheets/sheet14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5.xml"/><Relationship Id="rId36" Type="http://schemas.openxmlformats.org/officeDocument/2006/relationships/chartsheet" Target="chartsheets/sheet1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8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hartsheet" Target="chartsheets/sheet4.xml"/><Relationship Id="rId30" Type="http://schemas.openxmlformats.org/officeDocument/2006/relationships/chartsheet" Target="chartsheets/sheet7.xml"/><Relationship Id="rId35" Type="http://schemas.openxmlformats.org/officeDocument/2006/relationships/chartsheet" Target="chartsheets/sheet12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全体!$L$2:$L$14</c:f>
              <c:numCache>
                <c:formatCode>\+0.0;\-0.0;\±0</c:formatCode>
                <c:ptCount val="13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2E-402D-BBDB-E9B219BA9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0-4BEE-BA7B-0D8C06F67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たかの!$L$2:$L$4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4B-4C7C-ADA0-081914DA8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-2800</c:v>
                </c:pt>
                <c:pt idx="1">
                  <c:v>-1500</c:v>
                </c:pt>
                <c:pt idx="2">
                  <c:v>7250</c:v>
                </c:pt>
                <c:pt idx="3">
                  <c:v>1150</c:v>
                </c:pt>
                <c:pt idx="4">
                  <c:v>6350</c:v>
                </c:pt>
                <c:pt idx="5">
                  <c:v>-5500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7-4FAD-8E09-2136424F9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だいち!$L$2:$L$4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53-4E77-B7D3-8E8DC64CB2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5350</c:v>
                </c:pt>
                <c:pt idx="1">
                  <c:v>-3200</c:v>
                </c:pt>
                <c:pt idx="2">
                  <c:v>-1250</c:v>
                </c:pt>
                <c:pt idx="3">
                  <c:v>-500</c:v>
                </c:pt>
                <c:pt idx="4">
                  <c:v>-2700</c:v>
                </c:pt>
                <c:pt idx="5">
                  <c:v>9500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3B-48A1-BDAC-EE85AF5DA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ただ!$L$2:$L$4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39-4D5C-BBEE-93CFDF79E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-2550</c:v>
                </c:pt>
                <c:pt idx="1">
                  <c:v>4700</c:v>
                </c:pt>
                <c:pt idx="2">
                  <c:v>-6000</c:v>
                </c:pt>
                <c:pt idx="3">
                  <c:v>-650</c:v>
                </c:pt>
                <c:pt idx="4">
                  <c:v>-3650</c:v>
                </c:pt>
                <c:pt idx="5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D-46AA-86F5-E220AFED6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りくと!$L$2:$L$3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C-4AF0-BBA8-A7F71C0F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-700</c:v>
                </c:pt>
                <c:pt idx="1">
                  <c:v>-5300</c:v>
                </c:pt>
                <c:pt idx="2">
                  <c:v>1100</c:v>
                </c:pt>
                <c:pt idx="3">
                  <c:v>-900</c:v>
                </c:pt>
                <c:pt idx="4">
                  <c:v>-21000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E6-40EA-B80F-3AB013C20F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れんたろう!$L$2:$L$4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BC-401A-8C7D-B30DA4ABC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-5400</c:v>
                </c:pt>
                <c:pt idx="1">
                  <c:v>-5850</c:v>
                </c:pt>
                <c:pt idx="2">
                  <c:v>-5650</c:v>
                </c:pt>
                <c:pt idx="3">
                  <c:v>-1000</c:v>
                </c:pt>
                <c:pt idx="4">
                  <c:v>22500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44-4425-92A5-CEC4FC56D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まっつん!$L$2:$L$3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9-4BB7-A64F-65C712F48F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-500</c:v>
                </c:pt>
                <c:pt idx="1">
                  <c:v>9000</c:v>
                </c:pt>
                <c:pt idx="2">
                  <c:v>9500</c:v>
                </c:pt>
                <c:pt idx="3">
                  <c:v>-600</c:v>
                </c:pt>
                <c:pt idx="4">
                  <c:v>-1500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25-4F63-A48F-DF11322174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のり!$L$2:$L$3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A9-431D-827A-EE5619DF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2300</c:v>
                </c:pt>
                <c:pt idx="1">
                  <c:v>-23000</c:v>
                </c:pt>
                <c:pt idx="2">
                  <c:v>2200</c:v>
                </c:pt>
                <c:pt idx="3">
                  <c:v>6500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C-41EE-B046-69C3DFE5F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70.2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1B-4AAA-A657-7D9AD8581B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9700</c:v>
                </c:pt>
                <c:pt idx="1">
                  <c:v>31000</c:v>
                </c:pt>
                <c:pt idx="2">
                  <c:v>-1500</c:v>
                </c:pt>
                <c:pt idx="3">
                  <c:v>-3000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D2-4595-83B6-1269DF8C3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ぱぱ2!$B$3:$B$4</c:f>
              <c:numCache>
                <c:formatCode>\+0.0;\-0.0;\±0</c:formatCode>
                <c:ptCount val="2"/>
                <c:pt idx="0">
                  <c:v>0</c:v>
                </c:pt>
                <c:pt idx="1">
                  <c:v>70.2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ぱぱ2!$C$3:$C$4</c:f>
              <c:numCache>
                <c:formatCode>\+0.0;\-0.0;\±0</c:formatCode>
                <c:ptCount val="2"/>
                <c:pt idx="1">
                  <c:v>70.2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ぱぱ2!$D$3:$D$4</c:f>
              <c:numCache>
                <c:formatCode>0.00\ "位"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ぱぱ2!$E$3:$E$4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ぱぱ2!$F$3:$F$4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ぱぱ2!$G$3:$G$4</c:f>
              <c:numCache>
                <c:formatCode>0.0%</c:formatCode>
                <c:ptCount val="2"/>
                <c:pt idx="1">
                  <c:v>0.55555555555555558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05982905982906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ぱぱ2!$H$3:$H$4</c:f>
              <c:numCache>
                <c:formatCode>0.0%</c:formatCode>
                <c:ptCount val="2"/>
                <c:pt idx="1">
                  <c:v>0.1111111111111111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965811965811965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ぱぱ2!$I$3:$I$4</c:f>
              <c:numCache>
                <c:formatCode>0</c:formatCode>
                <c:ptCount val="2"/>
                <c:pt idx="1">
                  <c:v>13940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064.70588235294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ぱぱ2!$J$3:$J$4</c:f>
              <c:numCache>
                <c:formatCode>0</c:formatCode>
                <c:ptCount val="2"/>
                <c:pt idx="1">
                  <c:v>-12000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9934.7826086956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ぱぱ2!$K$3:$K$4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ぱぱ2!$L$3:$L$4</c:f>
              <c:numCache>
                <c:formatCode>0.0%</c:formatCode>
                <c:ptCount val="2"/>
                <c:pt idx="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666666666666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ぱぱ2!$M$3:$M$4</c:f>
              <c:numCache>
                <c:formatCode>0.0%</c:formatCode>
                <c:ptCount val="2"/>
                <c:pt idx="1">
                  <c:v>0.44444444444444442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478632478632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ぱぱ2!$N$3:$N$4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2393162393162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ぱぱ2!$O$3:$O$4</c:f>
              <c:numCache>
                <c:formatCode>0.0%</c:formatCode>
                <c:ptCount val="2"/>
                <c:pt idx="1">
                  <c:v>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ぱぱ2!$P$3:$P$4</c:f>
              <c:numCache>
                <c:formatCode>0.0%</c:formatCode>
                <c:ptCount val="2"/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1052631578947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</c:f>
              <c:numCache>
                <c:formatCode>0\ "回"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ぱぱ2!$Q$3:$Q$4</c:f>
              <c:numCache>
                <c:formatCode>0.0%</c:formatCode>
                <c:ptCount val="2"/>
                <c:pt idx="1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2352941176470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52"/>
      <c r="C1" s="153"/>
      <c r="E1" s="129" t="s">
        <v>166</v>
      </c>
      <c r="F1" s="12" t="s">
        <v>116</v>
      </c>
      <c r="G1" s="26" t="s">
        <v>117</v>
      </c>
      <c r="H1" s="130" t="s">
        <v>118</v>
      </c>
      <c r="I1" s="100" t="s">
        <v>153</v>
      </c>
      <c r="K1" s="2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158</v>
      </c>
    </row>
    <row r="2" spans="1:17" x14ac:dyDescent="0.4">
      <c r="A2" s="21" t="s">
        <v>9</v>
      </c>
      <c r="B2" s="154">
        <v>0</v>
      </c>
      <c r="C2" s="155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131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6">
        <v>0</v>
      </c>
      <c r="C3" s="157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132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8">
        <v>0</v>
      </c>
      <c r="C4" s="159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133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60">
        <f>IF(B$2=0,0,B$4/B$2)</f>
        <v>0</v>
      </c>
      <c r="C5" s="161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134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50">
        <f>IF(B$2=0,0,(B$7*1+B$8*2+B$9*3)/B$2)</f>
        <v>0</v>
      </c>
      <c r="C6" s="151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135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136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154</v>
      </c>
      <c r="O14" s="34" t="s">
        <v>155</v>
      </c>
      <c r="P14" s="117" t="s">
        <v>156</v>
      </c>
      <c r="Q14" s="105" t="s">
        <v>157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170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171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141</v>
      </c>
      <c r="B25" s="148">
        <v>0</v>
      </c>
      <c r="C25" s="149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151</v>
      </c>
      <c r="B26" s="146">
        <v>-1000000</v>
      </c>
      <c r="C26" s="147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142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172</v>
      </c>
      <c r="F51" s="137" t="s">
        <v>173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174</v>
      </c>
      <c r="F52" s="61" t="s">
        <v>175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D4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4" x14ac:dyDescent="0.4">
      <c r="A1" s="29">
        <v>32874</v>
      </c>
      <c r="B1" s="29">
        <v>2958465</v>
      </c>
    </row>
    <row r="2" spans="1:4" x14ac:dyDescent="0.4">
      <c r="A2" s="30" t="s">
        <v>176</v>
      </c>
      <c r="B2" s="31">
        <v>43732.363425925927</v>
      </c>
      <c r="C2" s="30" t="s">
        <v>129</v>
      </c>
      <c r="D2" s="30" t="s">
        <v>130</v>
      </c>
    </row>
    <row r="3" spans="1:4" x14ac:dyDescent="0.4">
      <c r="A3" s="30" t="s">
        <v>177</v>
      </c>
      <c r="B3" s="31">
        <v>43734.956354166665</v>
      </c>
      <c r="C3" s="30" t="s">
        <v>129</v>
      </c>
    </row>
    <row r="4" spans="1:4" x14ac:dyDescent="0.4">
      <c r="A4" s="30" t="s">
        <v>181</v>
      </c>
      <c r="B4" s="31">
        <v>43735.002986111111</v>
      </c>
      <c r="C4" s="30" t="s">
        <v>129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9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144</v>
      </c>
      <c r="B1">
        <v>12</v>
      </c>
    </row>
    <row r="2" spans="1:2" x14ac:dyDescent="0.4">
      <c r="A2" t="s">
        <v>167</v>
      </c>
      <c r="B2">
        <v>2</v>
      </c>
    </row>
    <row r="3" spans="1:2" x14ac:dyDescent="0.4">
      <c r="A3" t="s">
        <v>127</v>
      </c>
      <c r="B3">
        <v>2</v>
      </c>
    </row>
    <row r="4" spans="1:2" x14ac:dyDescent="0.4">
      <c r="A4" t="s">
        <v>128</v>
      </c>
      <c r="B4">
        <v>2</v>
      </c>
    </row>
    <row r="5" spans="1:2" x14ac:dyDescent="0.4">
      <c r="A5" t="s">
        <v>180</v>
      </c>
      <c r="B5">
        <v>1</v>
      </c>
    </row>
    <row r="6" spans="1:2" x14ac:dyDescent="0.4">
      <c r="A6" t="s">
        <v>178</v>
      </c>
      <c r="B6">
        <v>2</v>
      </c>
    </row>
    <row r="7" spans="1:2" x14ac:dyDescent="0.4">
      <c r="A7" t="s">
        <v>179</v>
      </c>
      <c r="B7">
        <v>1</v>
      </c>
    </row>
    <row r="8" spans="1:2" x14ac:dyDescent="0.4">
      <c r="A8" t="s">
        <v>183</v>
      </c>
      <c r="B8">
        <v>1</v>
      </c>
    </row>
    <row r="9" spans="1:2" x14ac:dyDescent="0.4">
      <c r="A9" t="s">
        <v>182</v>
      </c>
      <c r="B9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1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2" t="s">
        <v>6</v>
      </c>
      <c r="C1" s="163"/>
      <c r="D1" s="162" t="s">
        <v>7</v>
      </c>
      <c r="E1" s="163"/>
      <c r="F1" s="162" t="s">
        <v>16</v>
      </c>
      <c r="G1" s="163"/>
      <c r="H1" s="162" t="s">
        <v>15</v>
      </c>
      <c r="I1" s="163"/>
      <c r="J1" s="162" t="s">
        <v>161</v>
      </c>
      <c r="K1" s="163"/>
      <c r="L1" s="162" t="s">
        <v>148</v>
      </c>
      <c r="M1" s="163"/>
      <c r="N1" s="162" t="s">
        <v>149</v>
      </c>
      <c r="O1" s="163"/>
      <c r="P1" s="162" t="s">
        <v>5</v>
      </c>
      <c r="Q1" s="163"/>
      <c r="R1" s="162" t="s">
        <v>17</v>
      </c>
      <c r="S1" s="163"/>
      <c r="T1" s="162" t="s">
        <v>18</v>
      </c>
      <c r="U1" s="163"/>
      <c r="V1" s="162" t="s">
        <v>140</v>
      </c>
      <c r="W1" s="163"/>
      <c r="X1" s="162" t="s">
        <v>123</v>
      </c>
      <c r="Y1" s="163"/>
      <c r="Z1" s="162" t="s">
        <v>120</v>
      </c>
      <c r="AA1" s="163"/>
      <c r="AB1" s="162" t="s">
        <v>126</v>
      </c>
      <c r="AC1" s="163"/>
      <c r="AD1" s="162" t="s">
        <v>150</v>
      </c>
      <c r="AE1" s="163"/>
      <c r="AF1" s="162" t="s">
        <v>143</v>
      </c>
      <c r="AG1" s="163"/>
      <c r="AH1" s="162" t="s">
        <v>152</v>
      </c>
      <c r="AI1" s="163"/>
    </row>
    <row r="2" spans="1:35" x14ac:dyDescent="0.4">
      <c r="A2" s="72" t="s">
        <v>160</v>
      </c>
      <c r="B2" s="164"/>
      <c r="C2" s="165"/>
      <c r="D2" s="164"/>
      <c r="E2" s="165"/>
      <c r="F2" s="166" t="e">
        <v>#DIV/0!</v>
      </c>
      <c r="G2" s="167"/>
      <c r="H2" s="166" t="e">
        <v>#DIV/0!</v>
      </c>
      <c r="I2" s="167"/>
      <c r="J2" s="166" t="e">
        <v>#DIV/0!</v>
      </c>
      <c r="K2" s="167"/>
      <c r="L2" s="166" t="e">
        <v>#DIV/0!</v>
      </c>
      <c r="M2" s="167"/>
      <c r="N2" s="166" t="e">
        <v>#DIV/0!</v>
      </c>
      <c r="O2" s="167"/>
      <c r="P2" s="166" t="e">
        <v>#DIV/0!</v>
      </c>
      <c r="Q2" s="167"/>
      <c r="R2" s="166" t="e">
        <v>#DIV/0!</v>
      </c>
      <c r="S2" s="167"/>
      <c r="T2" s="166" t="e">
        <v>#DIV/0!</v>
      </c>
      <c r="U2" s="167"/>
      <c r="V2" s="166" t="e">
        <v>#DIV/0!</v>
      </c>
      <c r="W2" s="167"/>
      <c r="X2" s="166" t="e">
        <v>#DIV/0!</v>
      </c>
      <c r="Y2" s="167"/>
      <c r="Z2" s="166" t="e">
        <v>#DIV/0!</v>
      </c>
      <c r="AA2" s="167"/>
      <c r="AB2" s="166" t="e">
        <v>#DIV/0!</v>
      </c>
      <c r="AC2" s="167"/>
      <c r="AD2" s="166" t="e">
        <v>#DIV/0!</v>
      </c>
      <c r="AE2" s="167"/>
      <c r="AF2" s="166" t="e">
        <v>#DIV/0!</v>
      </c>
      <c r="AG2" s="167"/>
      <c r="AH2" s="166" t="e">
        <v>#DIV/0!</v>
      </c>
      <c r="AI2" s="167"/>
    </row>
    <row r="3" spans="1:35" x14ac:dyDescent="0.4">
      <c r="A3" s="74">
        <v>1</v>
      </c>
      <c r="B3" s="75" t="s">
        <v>182</v>
      </c>
      <c r="C3" s="76">
        <v>70.2</v>
      </c>
      <c r="D3" s="77" t="s">
        <v>182</v>
      </c>
      <c r="E3" s="96">
        <v>70.2</v>
      </c>
      <c r="F3" s="77" t="s">
        <v>179</v>
      </c>
      <c r="G3" s="78">
        <v>1</v>
      </c>
      <c r="H3" s="77" t="s">
        <v>179</v>
      </c>
      <c r="I3" s="79">
        <v>1</v>
      </c>
      <c r="J3" s="77" t="s">
        <v>167</v>
      </c>
      <c r="K3" s="79">
        <v>0</v>
      </c>
      <c r="L3" s="77" t="s">
        <v>182</v>
      </c>
      <c r="M3" s="80">
        <v>0.55555555555555558</v>
      </c>
      <c r="N3" s="77" t="s">
        <v>179</v>
      </c>
      <c r="O3" s="80">
        <v>0</v>
      </c>
      <c r="P3" s="77" t="s">
        <v>182</v>
      </c>
      <c r="Q3" s="81">
        <v>13940</v>
      </c>
      <c r="R3" s="77" t="s">
        <v>179</v>
      </c>
      <c r="S3" s="81">
        <v>0</v>
      </c>
      <c r="T3" s="77" t="s">
        <v>167</v>
      </c>
      <c r="U3" s="79">
        <v>0</v>
      </c>
      <c r="V3" s="77" t="s">
        <v>182</v>
      </c>
      <c r="W3" s="79">
        <v>1</v>
      </c>
      <c r="X3" s="77" t="s">
        <v>128</v>
      </c>
      <c r="Y3" s="80">
        <v>0.47368421052631576</v>
      </c>
      <c r="Z3" s="77" t="s">
        <v>179</v>
      </c>
      <c r="AA3" s="80">
        <v>0.27272727272727271</v>
      </c>
      <c r="AB3" s="77" t="s">
        <v>179</v>
      </c>
      <c r="AC3" s="80">
        <v>1</v>
      </c>
      <c r="AD3" s="77" t="s">
        <v>179</v>
      </c>
      <c r="AE3" s="80">
        <v>1</v>
      </c>
      <c r="AF3" s="77" t="s">
        <v>180</v>
      </c>
      <c r="AG3" s="80">
        <v>1</v>
      </c>
      <c r="AH3" s="77" t="s">
        <v>144</v>
      </c>
      <c r="AI3" s="91">
        <v>95200</v>
      </c>
    </row>
    <row r="4" spans="1:35" x14ac:dyDescent="0.4">
      <c r="A4" s="82">
        <v>2</v>
      </c>
      <c r="B4" s="83" t="s">
        <v>179</v>
      </c>
      <c r="C4" s="84">
        <v>46.9</v>
      </c>
      <c r="D4" s="85" t="s">
        <v>179</v>
      </c>
      <c r="E4" s="97">
        <v>46.9</v>
      </c>
      <c r="F4" s="85" t="s">
        <v>182</v>
      </c>
      <c r="G4" s="86">
        <v>1</v>
      </c>
      <c r="H4" s="85" t="s">
        <v>182</v>
      </c>
      <c r="I4" s="87">
        <v>1</v>
      </c>
      <c r="J4" s="85" t="s">
        <v>179</v>
      </c>
      <c r="K4" s="87">
        <v>0</v>
      </c>
      <c r="L4" s="85" t="s">
        <v>179</v>
      </c>
      <c r="M4" s="88">
        <v>0.36363636363636365</v>
      </c>
      <c r="N4" s="85" t="s">
        <v>167</v>
      </c>
      <c r="O4" s="88">
        <v>0.10526315789473684</v>
      </c>
      <c r="P4" s="85" t="s">
        <v>128</v>
      </c>
      <c r="Q4" s="89">
        <v>9320</v>
      </c>
      <c r="R4" s="85" t="s">
        <v>127</v>
      </c>
      <c r="S4" s="89">
        <v>-5000</v>
      </c>
      <c r="T4" s="85" t="s">
        <v>127</v>
      </c>
      <c r="U4" s="87">
        <v>0</v>
      </c>
      <c r="V4" s="85" t="s">
        <v>127</v>
      </c>
      <c r="W4" s="87">
        <v>0.5</v>
      </c>
      <c r="X4" s="85" t="s">
        <v>183</v>
      </c>
      <c r="Y4" s="88">
        <v>0.44444444444444442</v>
      </c>
      <c r="Z4" s="85" t="s">
        <v>167</v>
      </c>
      <c r="AA4" s="88">
        <v>0.26315789473684209</v>
      </c>
      <c r="AB4" s="85" t="s">
        <v>182</v>
      </c>
      <c r="AC4" s="88">
        <v>0.75</v>
      </c>
      <c r="AD4" s="85" t="s">
        <v>178</v>
      </c>
      <c r="AE4" s="88">
        <v>0.5</v>
      </c>
      <c r="AF4" s="85" t="s">
        <v>128</v>
      </c>
      <c r="AG4" s="88">
        <v>0.4</v>
      </c>
      <c r="AH4" s="85" t="s">
        <v>182</v>
      </c>
      <c r="AI4" s="92">
        <v>95200</v>
      </c>
    </row>
    <row r="5" spans="1:35" x14ac:dyDescent="0.4">
      <c r="A5" s="82">
        <v>3</v>
      </c>
      <c r="B5" s="83" t="s">
        <v>167</v>
      </c>
      <c r="C5" s="84">
        <v>19.899999999999999</v>
      </c>
      <c r="D5" s="85" t="s">
        <v>167</v>
      </c>
      <c r="E5" s="97">
        <v>9.9499999999999993</v>
      </c>
      <c r="F5" s="85" t="s">
        <v>167</v>
      </c>
      <c r="G5" s="86">
        <v>1.5</v>
      </c>
      <c r="H5" s="85" t="s">
        <v>167</v>
      </c>
      <c r="I5" s="87">
        <v>0.5</v>
      </c>
      <c r="J5" s="85" t="s">
        <v>183</v>
      </c>
      <c r="K5" s="87">
        <v>0</v>
      </c>
      <c r="L5" s="85" t="s">
        <v>183</v>
      </c>
      <c r="M5" s="88">
        <v>0.33333333333333331</v>
      </c>
      <c r="N5" s="85" t="s">
        <v>182</v>
      </c>
      <c r="O5" s="88">
        <v>0.1111111111111111</v>
      </c>
      <c r="P5" s="85" t="s">
        <v>127</v>
      </c>
      <c r="Q5" s="89">
        <v>9260</v>
      </c>
      <c r="R5" s="85" t="s">
        <v>128</v>
      </c>
      <c r="S5" s="89">
        <v>-7266.666666666667</v>
      </c>
      <c r="T5" s="85" t="s">
        <v>180</v>
      </c>
      <c r="U5" s="87">
        <v>0</v>
      </c>
      <c r="V5" s="85" t="s">
        <v>144</v>
      </c>
      <c r="W5" s="87">
        <v>0.16666666666666666</v>
      </c>
      <c r="X5" s="85" t="s">
        <v>182</v>
      </c>
      <c r="Y5" s="88">
        <v>0.44444444444444442</v>
      </c>
      <c r="Z5" s="85" t="s">
        <v>183</v>
      </c>
      <c r="AA5" s="88">
        <v>0.22222222222222221</v>
      </c>
      <c r="AB5" s="85" t="s">
        <v>178</v>
      </c>
      <c r="AC5" s="88">
        <v>0.66666666666666663</v>
      </c>
      <c r="AD5" s="85" t="s">
        <v>183</v>
      </c>
      <c r="AE5" s="88">
        <v>0.5</v>
      </c>
      <c r="AF5" s="85" t="s">
        <v>178</v>
      </c>
      <c r="AG5" s="88">
        <v>0.4</v>
      </c>
      <c r="AH5" s="85" t="s">
        <v>127</v>
      </c>
      <c r="AI5" s="92">
        <v>75200</v>
      </c>
    </row>
    <row r="6" spans="1:35" x14ac:dyDescent="0.4">
      <c r="A6" s="82">
        <v>4</v>
      </c>
      <c r="B6" s="83" t="s">
        <v>127</v>
      </c>
      <c r="C6" s="84">
        <v>14.400000000000006</v>
      </c>
      <c r="D6" s="85" t="s">
        <v>127</v>
      </c>
      <c r="E6" s="97">
        <v>7.2000000000000028</v>
      </c>
      <c r="F6" s="85" t="s">
        <v>144</v>
      </c>
      <c r="G6" s="86">
        <v>2</v>
      </c>
      <c r="H6" s="85" t="s">
        <v>127</v>
      </c>
      <c r="I6" s="87">
        <v>0.5</v>
      </c>
      <c r="J6" s="85" t="s">
        <v>182</v>
      </c>
      <c r="K6" s="87">
        <v>0</v>
      </c>
      <c r="L6" s="85" t="s">
        <v>167</v>
      </c>
      <c r="M6" s="88">
        <v>0.31578947368421051</v>
      </c>
      <c r="N6" s="85" t="s">
        <v>127</v>
      </c>
      <c r="O6" s="88">
        <v>0.15789473684210525</v>
      </c>
      <c r="P6" s="85" t="s">
        <v>144</v>
      </c>
      <c r="Q6" s="89">
        <v>9064.7058823529405</v>
      </c>
      <c r="R6" s="85" t="s">
        <v>167</v>
      </c>
      <c r="S6" s="89">
        <v>-7300</v>
      </c>
      <c r="T6" s="85" t="s">
        <v>179</v>
      </c>
      <c r="U6" s="87">
        <v>0</v>
      </c>
      <c r="V6" s="85" t="s">
        <v>167</v>
      </c>
      <c r="W6" s="87">
        <v>0</v>
      </c>
      <c r="X6" s="85" t="s">
        <v>167</v>
      </c>
      <c r="Y6" s="88">
        <v>0.36842105263157893</v>
      </c>
      <c r="Z6" s="85" t="s">
        <v>128</v>
      </c>
      <c r="AA6" s="88">
        <v>0.21052631578947367</v>
      </c>
      <c r="AB6" s="85" t="s">
        <v>127</v>
      </c>
      <c r="AC6" s="88">
        <v>0.5714285714285714</v>
      </c>
      <c r="AD6" s="85" t="s">
        <v>144</v>
      </c>
      <c r="AE6" s="88">
        <v>0.42105263157894735</v>
      </c>
      <c r="AF6" s="85" t="s">
        <v>167</v>
      </c>
      <c r="AG6" s="88">
        <v>0.33333333333333331</v>
      </c>
      <c r="AH6" s="85" t="s">
        <v>179</v>
      </c>
      <c r="AI6" s="92">
        <v>71900</v>
      </c>
    </row>
    <row r="7" spans="1:35" x14ac:dyDescent="0.4">
      <c r="A7" s="82">
        <v>5</v>
      </c>
      <c r="B7" s="83" t="s">
        <v>144</v>
      </c>
      <c r="C7" s="84">
        <v>0</v>
      </c>
      <c r="D7" s="85" t="s">
        <v>144</v>
      </c>
      <c r="E7" s="97">
        <v>0</v>
      </c>
      <c r="F7" s="85" t="s">
        <v>127</v>
      </c>
      <c r="G7" s="86">
        <v>2</v>
      </c>
      <c r="H7" s="85" t="s">
        <v>144</v>
      </c>
      <c r="I7" s="87">
        <v>0.33333333333333331</v>
      </c>
      <c r="J7" s="85" t="s">
        <v>144</v>
      </c>
      <c r="K7" s="87">
        <v>0.33333333333333331</v>
      </c>
      <c r="L7" s="85" t="s">
        <v>144</v>
      </c>
      <c r="M7" s="88">
        <v>0.29059829059829062</v>
      </c>
      <c r="N7" s="85" t="s">
        <v>180</v>
      </c>
      <c r="O7" s="88">
        <v>0.18181818181818182</v>
      </c>
      <c r="P7" s="85" t="s">
        <v>179</v>
      </c>
      <c r="Q7" s="89">
        <v>8950</v>
      </c>
      <c r="R7" s="85" t="s">
        <v>183</v>
      </c>
      <c r="S7" s="89">
        <v>-9233.3333333333339</v>
      </c>
      <c r="T7" s="85" t="s">
        <v>183</v>
      </c>
      <c r="U7" s="87">
        <v>0</v>
      </c>
      <c r="V7" s="85" t="s">
        <v>128</v>
      </c>
      <c r="W7" s="87">
        <v>0</v>
      </c>
      <c r="X7" s="85" t="s">
        <v>127</v>
      </c>
      <c r="Y7" s="88">
        <v>0.36842105263157893</v>
      </c>
      <c r="Z7" s="85" t="s">
        <v>144</v>
      </c>
      <c r="AA7" s="88">
        <v>0.1623931623931624</v>
      </c>
      <c r="AB7" s="85" t="s">
        <v>144</v>
      </c>
      <c r="AC7" s="88">
        <v>0.5</v>
      </c>
      <c r="AD7" s="85" t="s">
        <v>167</v>
      </c>
      <c r="AE7" s="88">
        <v>0.4</v>
      </c>
      <c r="AF7" s="85" t="s">
        <v>183</v>
      </c>
      <c r="AG7" s="88">
        <v>0.33333333333333331</v>
      </c>
      <c r="AH7" s="85" t="s">
        <v>167</v>
      </c>
      <c r="AI7" s="92">
        <v>49500</v>
      </c>
    </row>
    <row r="8" spans="1:35" x14ac:dyDescent="0.4">
      <c r="A8" s="82">
        <v>6</v>
      </c>
      <c r="B8" s="83" t="s">
        <v>183</v>
      </c>
      <c r="C8" s="84">
        <v>-12</v>
      </c>
      <c r="D8" s="85" t="s">
        <v>183</v>
      </c>
      <c r="E8" s="97">
        <v>-12</v>
      </c>
      <c r="F8" s="85" t="s">
        <v>183</v>
      </c>
      <c r="G8" s="86">
        <v>2</v>
      </c>
      <c r="H8" s="85" t="s">
        <v>128</v>
      </c>
      <c r="I8" s="87">
        <v>0</v>
      </c>
      <c r="J8" s="85" t="s">
        <v>127</v>
      </c>
      <c r="K8" s="87">
        <v>0.5</v>
      </c>
      <c r="L8" s="85" t="s">
        <v>127</v>
      </c>
      <c r="M8" s="88">
        <v>0.26315789473684209</v>
      </c>
      <c r="N8" s="85" t="s">
        <v>144</v>
      </c>
      <c r="O8" s="88">
        <v>0.19658119658119658</v>
      </c>
      <c r="P8" s="85" t="s">
        <v>183</v>
      </c>
      <c r="Q8" s="89">
        <v>8400</v>
      </c>
      <c r="R8" s="85" t="s">
        <v>144</v>
      </c>
      <c r="S8" s="89">
        <v>-9934.782608695652</v>
      </c>
      <c r="T8" s="85" t="s">
        <v>182</v>
      </c>
      <c r="U8" s="87">
        <v>0</v>
      </c>
      <c r="V8" s="85" t="s">
        <v>180</v>
      </c>
      <c r="W8" s="87">
        <v>0</v>
      </c>
      <c r="X8" s="85" t="s">
        <v>144</v>
      </c>
      <c r="Y8" s="88">
        <v>0.3247863247863248</v>
      </c>
      <c r="Z8" s="85" t="s">
        <v>127</v>
      </c>
      <c r="AA8" s="88">
        <v>0.15789473684210525</v>
      </c>
      <c r="AB8" s="85" t="s">
        <v>183</v>
      </c>
      <c r="AC8" s="88">
        <v>0.5</v>
      </c>
      <c r="AD8" s="85" t="s">
        <v>128</v>
      </c>
      <c r="AE8" s="88">
        <v>0.25</v>
      </c>
      <c r="AF8" s="85" t="s">
        <v>144</v>
      </c>
      <c r="AG8" s="88">
        <v>0.3235294117647059</v>
      </c>
      <c r="AH8" s="85" t="s">
        <v>128</v>
      </c>
      <c r="AI8" s="92">
        <v>46300</v>
      </c>
    </row>
    <row r="9" spans="1:35" x14ac:dyDescent="0.4">
      <c r="A9" s="82">
        <v>7</v>
      </c>
      <c r="B9" s="83" t="s">
        <v>128</v>
      </c>
      <c r="C9" s="84">
        <v>-34.299999999999997</v>
      </c>
      <c r="D9" s="85" t="s">
        <v>128</v>
      </c>
      <c r="E9" s="97">
        <v>-17.149999999999999</v>
      </c>
      <c r="F9" s="85" t="s">
        <v>128</v>
      </c>
      <c r="G9" s="86">
        <v>2.5</v>
      </c>
      <c r="H9" s="85" t="s">
        <v>180</v>
      </c>
      <c r="I9" s="87">
        <v>0</v>
      </c>
      <c r="J9" s="85" t="s">
        <v>128</v>
      </c>
      <c r="K9" s="87">
        <v>0.5</v>
      </c>
      <c r="L9" s="85" t="s">
        <v>128</v>
      </c>
      <c r="M9" s="88">
        <v>0.26315789473684209</v>
      </c>
      <c r="N9" s="85" t="s">
        <v>178</v>
      </c>
      <c r="O9" s="88">
        <v>0.3</v>
      </c>
      <c r="P9" s="85" t="s">
        <v>178</v>
      </c>
      <c r="Q9" s="89">
        <v>8100</v>
      </c>
      <c r="R9" s="85" t="s">
        <v>182</v>
      </c>
      <c r="S9" s="89">
        <v>-12000</v>
      </c>
      <c r="T9" s="85" t="s">
        <v>144</v>
      </c>
      <c r="U9" s="87">
        <v>0.16666666666666666</v>
      </c>
      <c r="V9" s="85" t="s">
        <v>178</v>
      </c>
      <c r="W9" s="87">
        <v>0</v>
      </c>
      <c r="X9" s="85" t="s">
        <v>180</v>
      </c>
      <c r="Y9" s="88">
        <v>0.27272727272727271</v>
      </c>
      <c r="Z9" s="85" t="s">
        <v>178</v>
      </c>
      <c r="AA9" s="88">
        <v>0.1</v>
      </c>
      <c r="AB9" s="85" t="s">
        <v>128</v>
      </c>
      <c r="AC9" s="88">
        <v>0.44444444444444442</v>
      </c>
      <c r="AD9" s="85" t="s">
        <v>127</v>
      </c>
      <c r="AE9" s="88">
        <v>0</v>
      </c>
      <c r="AF9" s="85" t="s">
        <v>179</v>
      </c>
      <c r="AG9" s="88">
        <v>0.25</v>
      </c>
      <c r="AH9" s="85" t="s">
        <v>178</v>
      </c>
      <c r="AI9" s="92">
        <v>25900</v>
      </c>
    </row>
    <row r="10" spans="1:35" x14ac:dyDescent="0.4">
      <c r="A10" s="82">
        <v>8</v>
      </c>
      <c r="B10" s="83" t="s">
        <v>180</v>
      </c>
      <c r="C10" s="84">
        <v>-37.799999999999997</v>
      </c>
      <c r="D10" s="85" t="s">
        <v>178</v>
      </c>
      <c r="E10" s="97">
        <v>-33.65</v>
      </c>
      <c r="F10" s="85" t="s">
        <v>178</v>
      </c>
      <c r="G10" s="86">
        <v>2.5</v>
      </c>
      <c r="H10" s="85" t="s">
        <v>178</v>
      </c>
      <c r="I10" s="87">
        <v>0</v>
      </c>
      <c r="J10" s="85" t="s">
        <v>178</v>
      </c>
      <c r="K10" s="87">
        <v>0.5</v>
      </c>
      <c r="L10" s="85" t="s">
        <v>178</v>
      </c>
      <c r="M10" s="88">
        <v>0.25</v>
      </c>
      <c r="N10" s="85" t="s">
        <v>128</v>
      </c>
      <c r="O10" s="88">
        <v>0.31578947368421051</v>
      </c>
      <c r="P10" s="85" t="s">
        <v>167</v>
      </c>
      <c r="Q10" s="89">
        <v>7000</v>
      </c>
      <c r="R10" s="85" t="s">
        <v>178</v>
      </c>
      <c r="S10" s="89">
        <v>-14300</v>
      </c>
      <c r="T10" s="85" t="s">
        <v>128</v>
      </c>
      <c r="U10" s="87">
        <v>0.5</v>
      </c>
      <c r="V10" s="85" t="s">
        <v>179</v>
      </c>
      <c r="W10" s="87">
        <v>0</v>
      </c>
      <c r="X10" s="85" t="s">
        <v>178</v>
      </c>
      <c r="Y10" s="88">
        <v>0.15</v>
      </c>
      <c r="Z10" s="85" t="s">
        <v>180</v>
      </c>
      <c r="AA10" s="88">
        <v>0</v>
      </c>
      <c r="AB10" s="85" t="s">
        <v>167</v>
      </c>
      <c r="AC10" s="88">
        <v>0.42857142857142855</v>
      </c>
      <c r="AD10" s="85" t="s">
        <v>180</v>
      </c>
      <c r="AE10" s="88">
        <v>0</v>
      </c>
      <c r="AF10" s="85" t="s">
        <v>127</v>
      </c>
      <c r="AG10" s="88">
        <v>0.2</v>
      </c>
      <c r="AH10" s="85" t="s">
        <v>183</v>
      </c>
      <c r="AI10" s="92">
        <v>23000</v>
      </c>
    </row>
    <row r="11" spans="1:35" x14ac:dyDescent="0.4">
      <c r="A11" s="82">
        <v>9</v>
      </c>
      <c r="B11" s="83" t="s">
        <v>178</v>
      </c>
      <c r="C11" s="84">
        <v>-67.3</v>
      </c>
      <c r="D11" s="85" t="s">
        <v>180</v>
      </c>
      <c r="E11" s="97">
        <v>-37.799999999999997</v>
      </c>
      <c r="F11" s="85" t="s">
        <v>180</v>
      </c>
      <c r="G11" s="86">
        <v>3</v>
      </c>
      <c r="H11" s="85" t="s">
        <v>183</v>
      </c>
      <c r="I11" s="87">
        <v>0</v>
      </c>
      <c r="J11" s="85" t="s">
        <v>180</v>
      </c>
      <c r="K11" s="87">
        <v>1</v>
      </c>
      <c r="L11" s="85" t="s">
        <v>180</v>
      </c>
      <c r="M11" s="88">
        <v>9.0909090909090912E-2</v>
      </c>
      <c r="N11" s="85" t="s">
        <v>183</v>
      </c>
      <c r="O11" s="88">
        <v>0.33333333333333331</v>
      </c>
      <c r="P11" s="85" t="s">
        <v>180</v>
      </c>
      <c r="Q11" s="89">
        <v>2100</v>
      </c>
      <c r="R11" s="85" t="s">
        <v>180</v>
      </c>
      <c r="S11" s="89">
        <v>-14900</v>
      </c>
      <c r="T11" s="85" t="s">
        <v>178</v>
      </c>
      <c r="U11" s="87">
        <v>0.5</v>
      </c>
      <c r="V11" s="85" t="s">
        <v>183</v>
      </c>
      <c r="W11" s="87">
        <v>0</v>
      </c>
      <c r="X11" s="85" t="s">
        <v>179</v>
      </c>
      <c r="Y11" s="88">
        <v>9.0909090909090912E-2</v>
      </c>
      <c r="Z11" s="85" t="s">
        <v>182</v>
      </c>
      <c r="AA11" s="88">
        <v>0</v>
      </c>
      <c r="AB11" s="85" t="s">
        <v>180</v>
      </c>
      <c r="AC11" s="88">
        <v>0</v>
      </c>
      <c r="AD11" s="85" t="s">
        <v>182</v>
      </c>
      <c r="AE11" s="88">
        <v>0</v>
      </c>
      <c r="AF11" s="85" t="s">
        <v>182</v>
      </c>
      <c r="AG11" s="88">
        <v>0.2</v>
      </c>
      <c r="AH11" s="85" t="s">
        <v>180</v>
      </c>
      <c r="AI11" s="92">
        <v>7200</v>
      </c>
    </row>
  </sheetData>
  <sortState xmlns:xlrd2="http://schemas.microsoft.com/office/spreadsheetml/2017/richdata2" ref="AH3:AI37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F14FC-94C8-4A14-BCAB-FF9B789E0BF8}">
  <sheetPr codeName="Sheet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144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12</v>
      </c>
      <c r="C2" s="155"/>
      <c r="E2" s="62" t="s">
        <v>67</v>
      </c>
      <c r="F2" s="59" t="s">
        <v>23</v>
      </c>
      <c r="G2" s="46">
        <v>30</v>
      </c>
      <c r="H2" s="132">
        <f t="shared" ref="H2:H33" si="0">IF(B$17=0,0,G2/B$17)</f>
        <v>0.88235294117647056</v>
      </c>
      <c r="I2" s="93">
        <v>5</v>
      </c>
      <c r="K2" s="36">
        <v>0</v>
      </c>
      <c r="L2" s="98">
        <v>0</v>
      </c>
      <c r="N2" s="114" t="s">
        <v>131</v>
      </c>
      <c r="O2" s="121">
        <f t="shared" ref="O2:O7" si="1">IF(P2=0,0,Q2/P2)</f>
        <v>0</v>
      </c>
      <c r="P2" s="118">
        <v>12</v>
      </c>
      <c r="Q2" s="102">
        <v>0</v>
      </c>
    </row>
    <row r="3" spans="1:17" x14ac:dyDescent="0.4">
      <c r="A3" s="55" t="s">
        <v>8</v>
      </c>
      <c r="B3" s="156">
        <v>117</v>
      </c>
      <c r="C3" s="157"/>
      <c r="E3" s="63" t="s">
        <v>65</v>
      </c>
      <c r="F3" s="60" t="s">
        <v>21</v>
      </c>
      <c r="G3" s="47">
        <v>17</v>
      </c>
      <c r="H3" s="133">
        <f t="shared" si="0"/>
        <v>0.5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1"/>
        <v>0</v>
      </c>
      <c r="P3" s="119">
        <v>12</v>
      </c>
      <c r="Q3" s="103">
        <v>0</v>
      </c>
    </row>
    <row r="4" spans="1:17" x14ac:dyDescent="0.4">
      <c r="A4" s="55" t="s">
        <v>6</v>
      </c>
      <c r="B4" s="158">
        <v>0</v>
      </c>
      <c r="C4" s="159"/>
      <c r="E4" s="63" t="s">
        <v>73</v>
      </c>
      <c r="F4" s="60" t="s">
        <v>28</v>
      </c>
      <c r="G4" s="47">
        <v>17</v>
      </c>
      <c r="H4" s="133">
        <f t="shared" si="0"/>
        <v>0.5</v>
      </c>
      <c r="I4" s="94">
        <v>4</v>
      </c>
      <c r="K4" s="38">
        <v>2</v>
      </c>
      <c r="L4" s="99">
        <v>45.6</v>
      </c>
      <c r="N4" s="115" t="s">
        <v>133</v>
      </c>
      <c r="O4" s="122">
        <f t="shared" si="1"/>
        <v>0</v>
      </c>
      <c r="P4" s="119">
        <v>12</v>
      </c>
      <c r="Q4" s="103">
        <v>0</v>
      </c>
    </row>
    <row r="5" spans="1:17" x14ac:dyDescent="0.4">
      <c r="A5" s="55" t="s">
        <v>7</v>
      </c>
      <c r="B5" s="160">
        <f>IF(B$2=0,0,B$4/B$2)</f>
        <v>0</v>
      </c>
      <c r="C5" s="161"/>
      <c r="E5" s="63" t="s">
        <v>172</v>
      </c>
      <c r="F5" s="60" t="s">
        <v>173</v>
      </c>
      <c r="G5" s="47">
        <v>15</v>
      </c>
      <c r="H5" s="133">
        <f t="shared" si="0"/>
        <v>0.44117647058823528</v>
      </c>
      <c r="I5" s="94">
        <v>6</v>
      </c>
      <c r="K5" s="38">
        <v>3</v>
      </c>
      <c r="L5" s="99">
        <v>0</v>
      </c>
      <c r="N5" s="115" t="s">
        <v>134</v>
      </c>
      <c r="O5" s="122">
        <f t="shared" si="1"/>
        <v>0</v>
      </c>
      <c r="P5" s="119">
        <v>12</v>
      </c>
      <c r="Q5" s="103">
        <v>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68</v>
      </c>
      <c r="F6" s="60" t="s">
        <v>24</v>
      </c>
      <c r="G6" s="47">
        <v>11</v>
      </c>
      <c r="H6" s="133">
        <f t="shared" si="0"/>
        <v>0.3235294117647059</v>
      </c>
      <c r="I6" s="94">
        <v>3</v>
      </c>
      <c r="K6" s="38">
        <v>4</v>
      </c>
      <c r="L6" s="99">
        <v>24.5</v>
      </c>
      <c r="N6" s="115" t="s">
        <v>135</v>
      </c>
      <c r="O6" s="122">
        <f t="shared" si="1"/>
        <v>0</v>
      </c>
      <c r="P6" s="119">
        <v>9</v>
      </c>
      <c r="Q6" s="103">
        <v>0</v>
      </c>
    </row>
    <row r="7" spans="1:17" x14ac:dyDescent="0.4">
      <c r="A7" s="55" t="s">
        <v>2</v>
      </c>
      <c r="B7" s="47">
        <v>4</v>
      </c>
      <c r="C7" s="39">
        <f t="shared" ref="C7:C12" si="2">IF(B$2=0,0,B7/B$2)</f>
        <v>0.33333333333333331</v>
      </c>
      <c r="E7" s="63" t="s">
        <v>69</v>
      </c>
      <c r="F7" s="60" t="s">
        <v>12</v>
      </c>
      <c r="G7" s="47">
        <v>6</v>
      </c>
      <c r="H7" s="133">
        <f t="shared" si="0"/>
        <v>0.17647058823529413</v>
      </c>
      <c r="I7" s="94">
        <v>6</v>
      </c>
      <c r="K7" s="38">
        <v>5</v>
      </c>
      <c r="L7" s="99">
        <v>-11.299999999999997</v>
      </c>
      <c r="N7" s="116" t="s">
        <v>136</v>
      </c>
      <c r="O7" s="123">
        <f t="shared" si="1"/>
        <v>0</v>
      </c>
      <c r="P7" s="120">
        <v>6</v>
      </c>
      <c r="Q7" s="104">
        <v>0</v>
      </c>
    </row>
    <row r="8" spans="1:17" x14ac:dyDescent="0.4">
      <c r="A8" s="55" t="s">
        <v>3</v>
      </c>
      <c r="B8" s="47">
        <v>4</v>
      </c>
      <c r="C8" s="39">
        <f t="shared" si="2"/>
        <v>0.33333333333333331</v>
      </c>
      <c r="E8" s="63" t="s">
        <v>70</v>
      </c>
      <c r="F8" s="60" t="s">
        <v>25</v>
      </c>
      <c r="G8" s="47">
        <v>5</v>
      </c>
      <c r="H8" s="133">
        <f t="shared" si="0"/>
        <v>0.14705882352941177</v>
      </c>
      <c r="I8" s="94">
        <v>5</v>
      </c>
      <c r="K8" s="38">
        <v>6</v>
      </c>
      <c r="L8" s="99">
        <v>3.5527136788005009E-15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2"/>
        <v>0.33333333333333331</v>
      </c>
      <c r="E9" s="63" t="s">
        <v>72</v>
      </c>
      <c r="F9" s="60" t="s">
        <v>27</v>
      </c>
      <c r="G9" s="47">
        <v>5</v>
      </c>
      <c r="H9" s="133">
        <f t="shared" si="0"/>
        <v>0.14705882352941177</v>
      </c>
      <c r="I9" s="94">
        <v>5</v>
      </c>
      <c r="K9" s="38">
        <v>7</v>
      </c>
      <c r="L9" s="99">
        <v>-37.799999999999997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2</v>
      </c>
      <c r="C10" s="40">
        <f t="shared" si="2"/>
        <v>0.16666666666666666</v>
      </c>
      <c r="E10" s="63" t="s">
        <v>84</v>
      </c>
      <c r="F10" s="60" t="s">
        <v>39</v>
      </c>
      <c r="G10" s="47">
        <v>4</v>
      </c>
      <c r="H10" s="133">
        <f t="shared" si="0"/>
        <v>0.11764705882352941</v>
      </c>
      <c r="I10" s="94">
        <v>4</v>
      </c>
      <c r="K10" s="38">
        <v>8</v>
      </c>
      <c r="L10" s="99">
        <v>-46.9</v>
      </c>
      <c r="N10" s="114" t="s">
        <v>163</v>
      </c>
      <c r="O10" s="124">
        <f>IF(P10=0,0,Q10/P10)</f>
        <v>-8.8499999999999979</v>
      </c>
      <c r="P10" s="118">
        <v>4</v>
      </c>
      <c r="Q10" s="106">
        <v>-35.399999999999991</v>
      </c>
    </row>
    <row r="11" spans="1:17" x14ac:dyDescent="0.4">
      <c r="A11" s="56" t="s">
        <v>139</v>
      </c>
      <c r="B11" s="48">
        <v>2</v>
      </c>
      <c r="C11" s="40">
        <f t="shared" si="2"/>
        <v>0.16666666666666666</v>
      </c>
      <c r="E11" s="63" t="s">
        <v>90</v>
      </c>
      <c r="F11" s="60" t="s">
        <v>45</v>
      </c>
      <c r="G11" s="47">
        <v>3</v>
      </c>
      <c r="H11" s="133">
        <f t="shared" si="0"/>
        <v>8.8235294117647065E-2</v>
      </c>
      <c r="I11" s="94">
        <v>3</v>
      </c>
      <c r="K11" s="38">
        <v>9</v>
      </c>
      <c r="L11" s="99">
        <v>0</v>
      </c>
      <c r="N11" s="115" t="s">
        <v>164</v>
      </c>
      <c r="O11" s="125">
        <f>IF(P11=0,0,Q11/P11)</f>
        <v>6.7000000000000011</v>
      </c>
      <c r="P11" s="119">
        <v>4</v>
      </c>
      <c r="Q11" s="107">
        <v>26.800000000000004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66</v>
      </c>
      <c r="F12" s="60" t="s">
        <v>22</v>
      </c>
      <c r="G12" s="47">
        <v>2</v>
      </c>
      <c r="H12" s="133">
        <f t="shared" si="0"/>
        <v>5.8823529411764705E-2</v>
      </c>
      <c r="I12" s="94">
        <v>3</v>
      </c>
      <c r="K12" s="38">
        <v>10</v>
      </c>
      <c r="L12" s="99">
        <v>-12</v>
      </c>
      <c r="N12" s="116" t="s">
        <v>165</v>
      </c>
      <c r="O12" s="126">
        <f>IF(P12=0,0,Q12/P12)</f>
        <v>2.1499999999999986</v>
      </c>
      <c r="P12" s="120">
        <v>4</v>
      </c>
      <c r="Q12" s="108">
        <v>8.5999999999999943</v>
      </c>
    </row>
    <row r="13" spans="1:17" x14ac:dyDescent="0.4">
      <c r="A13" s="58" t="s">
        <v>122</v>
      </c>
      <c r="B13" s="50">
        <v>38</v>
      </c>
      <c r="C13" s="44">
        <f>IF(B$3=0,0,B13/B$3)</f>
        <v>0.3247863247863248</v>
      </c>
      <c r="E13" s="63" t="s">
        <v>71</v>
      </c>
      <c r="F13" s="60" t="s">
        <v>26</v>
      </c>
      <c r="G13" s="47">
        <v>2</v>
      </c>
      <c r="H13" s="133">
        <f t="shared" si="0"/>
        <v>5.8823529411764705E-2</v>
      </c>
      <c r="I13" s="94">
        <v>3</v>
      </c>
      <c r="K13" s="38">
        <v>11</v>
      </c>
      <c r="L13" s="99">
        <v>58.2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0.1623931623931624</v>
      </c>
      <c r="E14" s="63" t="s">
        <v>80</v>
      </c>
      <c r="F14" s="60" t="s">
        <v>35</v>
      </c>
      <c r="G14" s="47">
        <v>2</v>
      </c>
      <c r="H14" s="133">
        <f t="shared" si="0"/>
        <v>5.8823529411764705E-2</v>
      </c>
      <c r="I14" s="94">
        <v>2</v>
      </c>
      <c r="K14" s="38">
        <v>12</v>
      </c>
      <c r="L14" s="99">
        <v>0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19</v>
      </c>
      <c r="C15" s="37">
        <f>IF(B$13=0,0,B15/B$13)</f>
        <v>0.5</v>
      </c>
      <c r="E15" s="63" t="s">
        <v>82</v>
      </c>
      <c r="F15" s="60" t="s">
        <v>37</v>
      </c>
      <c r="G15" s="47">
        <v>2</v>
      </c>
      <c r="H15" s="133">
        <f t="shared" si="0"/>
        <v>5.8823529411764705E-2</v>
      </c>
      <c r="I15" s="94">
        <v>3</v>
      </c>
      <c r="N15" s="114" t="s">
        <v>180</v>
      </c>
      <c r="O15" s="124">
        <f t="shared" ref="O15:O22" si="3">IF(P15=0,0,Q15/P15)</f>
        <v>56.699999999999996</v>
      </c>
      <c r="P15" s="118">
        <v>2</v>
      </c>
      <c r="Q15" s="106">
        <v>113.39999999999999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86</v>
      </c>
      <c r="F16" s="60" t="s">
        <v>41</v>
      </c>
      <c r="G16" s="47">
        <v>1</v>
      </c>
      <c r="H16" s="133">
        <f t="shared" si="0"/>
        <v>2.9411764705882353E-2</v>
      </c>
      <c r="I16" s="94">
        <v>2</v>
      </c>
      <c r="N16" s="115" t="s">
        <v>178</v>
      </c>
      <c r="O16" s="125">
        <f t="shared" si="3"/>
        <v>50.474999999999994</v>
      </c>
      <c r="P16" s="119">
        <v>4</v>
      </c>
      <c r="Q16" s="107">
        <v>201.89999999999998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0.29059829059829062</v>
      </c>
      <c r="E17" s="63" t="s">
        <v>87</v>
      </c>
      <c r="F17" s="60" t="s">
        <v>42</v>
      </c>
      <c r="G17" s="47">
        <v>1</v>
      </c>
      <c r="H17" s="133">
        <f t="shared" si="0"/>
        <v>2.9411764705882353E-2</v>
      </c>
      <c r="I17" s="94">
        <v>2</v>
      </c>
      <c r="N17" s="115" t="s">
        <v>128</v>
      </c>
      <c r="O17" s="125">
        <f t="shared" si="3"/>
        <v>25.725000000000001</v>
      </c>
      <c r="P17" s="119">
        <v>4</v>
      </c>
      <c r="Q17" s="107">
        <v>102.9</v>
      </c>
    </row>
    <row r="18" spans="1:17" x14ac:dyDescent="0.4">
      <c r="A18" s="55" t="s">
        <v>12</v>
      </c>
      <c r="B18" s="47">
        <v>11</v>
      </c>
      <c r="C18" s="39">
        <f>IF(B$17=0,0,B18/B$17)</f>
        <v>0.3235294117647059</v>
      </c>
      <c r="E18" s="63" t="s">
        <v>88</v>
      </c>
      <c r="F18" s="60" t="s">
        <v>43</v>
      </c>
      <c r="G18" s="47">
        <v>1</v>
      </c>
      <c r="H18" s="133">
        <f t="shared" si="0"/>
        <v>2.9411764705882353E-2</v>
      </c>
      <c r="I18" s="94">
        <v>2</v>
      </c>
      <c r="N18" s="115" t="s">
        <v>183</v>
      </c>
      <c r="O18" s="125">
        <f t="shared" si="3"/>
        <v>18</v>
      </c>
      <c r="P18" s="119">
        <v>2</v>
      </c>
      <c r="Q18" s="107">
        <v>36</v>
      </c>
    </row>
    <row r="19" spans="1:17" x14ac:dyDescent="0.4">
      <c r="A19" s="55" t="s">
        <v>11</v>
      </c>
      <c r="B19" s="47">
        <v>23</v>
      </c>
      <c r="C19" s="39">
        <f>IF(B$17=0,0,B19/B$17)</f>
        <v>0.67647058823529416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1</v>
      </c>
      <c r="N19" s="115" t="s">
        <v>127</v>
      </c>
      <c r="O19" s="125">
        <f t="shared" si="3"/>
        <v>-10.800000000000008</v>
      </c>
      <c r="P19" s="119">
        <v>4</v>
      </c>
      <c r="Q19" s="107">
        <v>-43.200000000000031</v>
      </c>
    </row>
    <row r="20" spans="1:17" x14ac:dyDescent="0.4">
      <c r="A20" s="55" t="s">
        <v>13</v>
      </c>
      <c r="B20" s="47">
        <v>23</v>
      </c>
      <c r="C20" s="39">
        <f>IF(B$3=0,0,B20/B$3)</f>
        <v>0.19658119658119658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1</v>
      </c>
      <c r="N20" s="115" t="s">
        <v>167</v>
      </c>
      <c r="O20" s="125">
        <f t="shared" si="3"/>
        <v>-14.924999999999997</v>
      </c>
      <c r="P20" s="119">
        <v>4</v>
      </c>
      <c r="Q20" s="107">
        <v>-59.699999999999989</v>
      </c>
    </row>
    <row r="21" spans="1:17" x14ac:dyDescent="0.4">
      <c r="A21" s="55" t="s">
        <v>170</v>
      </c>
      <c r="B21" s="47">
        <v>3</v>
      </c>
      <c r="C21" s="135">
        <v>0</v>
      </c>
      <c r="E21" s="63" t="s">
        <v>76</v>
      </c>
      <c r="F21" s="60" t="s">
        <v>31</v>
      </c>
      <c r="G21" s="47">
        <v>0</v>
      </c>
      <c r="H21" s="133">
        <f t="shared" si="0"/>
        <v>0</v>
      </c>
      <c r="I21" s="94">
        <v>1</v>
      </c>
      <c r="N21" s="115" t="s">
        <v>179</v>
      </c>
      <c r="O21" s="125">
        <f t="shared" si="3"/>
        <v>-70.349999999999994</v>
      </c>
      <c r="P21" s="119">
        <v>2</v>
      </c>
      <c r="Q21" s="107">
        <v>-140.69999999999999</v>
      </c>
    </row>
    <row r="22" spans="1:17" x14ac:dyDescent="0.4">
      <c r="A22" s="55" t="s">
        <v>171</v>
      </c>
      <c r="B22" s="47">
        <v>12</v>
      </c>
      <c r="C22" s="135">
        <v>0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N22" s="115" t="s">
        <v>182</v>
      </c>
      <c r="O22" s="125">
        <f t="shared" si="3"/>
        <v>-105.30000000000001</v>
      </c>
      <c r="P22" s="119">
        <v>2</v>
      </c>
      <c r="Q22" s="107">
        <v>-210.60000000000002</v>
      </c>
    </row>
    <row r="23" spans="1:17" x14ac:dyDescent="0.4">
      <c r="A23" s="55" t="s">
        <v>5</v>
      </c>
      <c r="B23" s="51">
        <f>IF(B$17=0,0,C23/B$17)</f>
        <v>9064.7058823529405</v>
      </c>
      <c r="C23" s="41">
        <v>308200</v>
      </c>
      <c r="E23" s="63" t="s">
        <v>78</v>
      </c>
      <c r="F23" s="60" t="s">
        <v>33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-9934.782608695652</v>
      </c>
      <c r="C24" s="45">
        <v>-228500</v>
      </c>
      <c r="E24" s="63" t="s">
        <v>79</v>
      </c>
      <c r="F24" s="60" t="s">
        <v>34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141</v>
      </c>
      <c r="B25" s="148">
        <v>7</v>
      </c>
      <c r="C25" s="149"/>
      <c r="E25" s="63" t="s">
        <v>81</v>
      </c>
      <c r="F25" s="60" t="s">
        <v>36</v>
      </c>
      <c r="G25" s="47">
        <v>0</v>
      </c>
      <c r="H25" s="133">
        <f t="shared" si="0"/>
        <v>0</v>
      </c>
      <c r="I25" s="94">
        <v>1</v>
      </c>
    </row>
    <row r="26" spans="1:17" x14ac:dyDescent="0.4">
      <c r="A26" s="58" t="s">
        <v>151</v>
      </c>
      <c r="B26" s="146">
        <v>95200</v>
      </c>
      <c r="C26" s="147"/>
      <c r="E26" s="63" t="s">
        <v>83</v>
      </c>
      <c r="F26" s="60" t="s">
        <v>38</v>
      </c>
      <c r="G26" s="47">
        <v>0</v>
      </c>
      <c r="H26" s="133">
        <f t="shared" si="0"/>
        <v>0</v>
      </c>
      <c r="I26" s="94">
        <v>1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85</v>
      </c>
      <c r="F27" s="60" t="s">
        <v>40</v>
      </c>
      <c r="G27" s="47">
        <v>0</v>
      </c>
      <c r="H27" s="133">
        <f t="shared" si="0"/>
        <v>0</v>
      </c>
      <c r="I27" s="94">
        <v>1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1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1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4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DABCE-7EE4-4C9D-934A-BB088E309340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167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2</v>
      </c>
      <c r="H2" s="132">
        <f t="shared" ref="H2:H33" si="0">IF(B$17=0,0,G2/B$17)</f>
        <v>0.33333333333333331</v>
      </c>
      <c r="I2" s="93">
        <v>7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-2800</v>
      </c>
      <c r="P2" s="118">
        <v>2</v>
      </c>
      <c r="Q2" s="102">
        <v>-5600</v>
      </c>
    </row>
    <row r="3" spans="1:17" x14ac:dyDescent="0.4">
      <c r="A3" s="55" t="s">
        <v>8</v>
      </c>
      <c r="B3" s="156">
        <v>19</v>
      </c>
      <c r="C3" s="157"/>
      <c r="E3" s="63" t="s">
        <v>66</v>
      </c>
      <c r="F3" s="60" t="s">
        <v>22</v>
      </c>
      <c r="G3" s="47">
        <v>0</v>
      </c>
      <c r="H3" s="133">
        <f t="shared" si="0"/>
        <v>0</v>
      </c>
      <c r="I3" s="94">
        <v>4</v>
      </c>
      <c r="K3" s="38">
        <v>1</v>
      </c>
      <c r="L3" s="99">
        <v>-4.5999999999999996</v>
      </c>
      <c r="N3" s="115" t="s">
        <v>132</v>
      </c>
      <c r="O3" s="122">
        <f t="shared" si="1"/>
        <v>-1500</v>
      </c>
      <c r="P3" s="119">
        <v>2</v>
      </c>
      <c r="Q3" s="103">
        <v>-3000</v>
      </c>
    </row>
    <row r="4" spans="1:17" x14ac:dyDescent="0.4">
      <c r="A4" s="55" t="s">
        <v>6</v>
      </c>
      <c r="B4" s="158">
        <v>19.899999999999999</v>
      </c>
      <c r="C4" s="159"/>
      <c r="E4" s="63" t="s">
        <v>67</v>
      </c>
      <c r="F4" s="60" t="s">
        <v>23</v>
      </c>
      <c r="G4" s="47">
        <v>3</v>
      </c>
      <c r="H4" s="133">
        <f t="shared" si="0"/>
        <v>0.5</v>
      </c>
      <c r="I4" s="94">
        <v>6</v>
      </c>
      <c r="K4" s="38">
        <v>2</v>
      </c>
      <c r="L4" s="99">
        <v>19.899999999999999</v>
      </c>
      <c r="N4" s="115" t="s">
        <v>133</v>
      </c>
      <c r="O4" s="122">
        <f t="shared" si="1"/>
        <v>7250</v>
      </c>
      <c r="P4" s="119">
        <v>2</v>
      </c>
      <c r="Q4" s="103">
        <v>14500</v>
      </c>
    </row>
    <row r="5" spans="1:17" x14ac:dyDescent="0.4">
      <c r="A5" s="55" t="s">
        <v>7</v>
      </c>
      <c r="B5" s="160">
        <f>IF(B$2=0,0,B$4/B$2)</f>
        <v>9.9499999999999993</v>
      </c>
      <c r="C5" s="161"/>
      <c r="E5" s="63" t="s">
        <v>68</v>
      </c>
      <c r="F5" s="60" t="s">
        <v>24</v>
      </c>
      <c r="G5" s="47">
        <v>0</v>
      </c>
      <c r="H5" s="133">
        <f t="shared" si="0"/>
        <v>0</v>
      </c>
      <c r="I5" s="94">
        <v>6</v>
      </c>
      <c r="N5" s="115" t="s">
        <v>134</v>
      </c>
      <c r="O5" s="122">
        <f t="shared" si="1"/>
        <v>1150</v>
      </c>
      <c r="P5" s="119">
        <v>2</v>
      </c>
      <c r="Q5" s="103">
        <v>2300</v>
      </c>
    </row>
    <row r="6" spans="1:17" x14ac:dyDescent="0.4">
      <c r="A6" s="55" t="s">
        <v>1</v>
      </c>
      <c r="B6" s="150">
        <f>IF(B$2=0,0,(B$7*1+B$8*2+B$9*3)/B$2)</f>
        <v>1.5</v>
      </c>
      <c r="C6" s="151"/>
      <c r="E6" s="63" t="s">
        <v>69</v>
      </c>
      <c r="F6" s="60" t="s">
        <v>12</v>
      </c>
      <c r="G6" s="47">
        <v>0</v>
      </c>
      <c r="H6" s="133">
        <f t="shared" si="0"/>
        <v>0</v>
      </c>
      <c r="I6" s="94">
        <v>7</v>
      </c>
      <c r="N6" s="115" t="s">
        <v>135</v>
      </c>
      <c r="O6" s="122">
        <f t="shared" si="1"/>
        <v>6350</v>
      </c>
      <c r="P6" s="119">
        <v>2</v>
      </c>
      <c r="Q6" s="103">
        <v>12700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0.5</v>
      </c>
      <c r="E7" s="63" t="s">
        <v>70</v>
      </c>
      <c r="F7" s="60" t="s">
        <v>25</v>
      </c>
      <c r="G7" s="47">
        <v>1</v>
      </c>
      <c r="H7" s="133">
        <f t="shared" si="0"/>
        <v>0.16666666666666666</v>
      </c>
      <c r="I7" s="94">
        <v>4</v>
      </c>
      <c r="N7" s="116" t="s">
        <v>136</v>
      </c>
      <c r="O7" s="123">
        <f t="shared" si="1"/>
        <v>-5500</v>
      </c>
      <c r="P7" s="120">
        <v>2</v>
      </c>
      <c r="Q7" s="104">
        <v>-11000</v>
      </c>
    </row>
    <row r="8" spans="1:17" x14ac:dyDescent="0.4">
      <c r="A8" s="55" t="s">
        <v>3</v>
      </c>
      <c r="B8" s="47">
        <v>1</v>
      </c>
      <c r="C8" s="39">
        <f t="shared" si="2"/>
        <v>0.5</v>
      </c>
      <c r="E8" s="63" t="s">
        <v>71</v>
      </c>
      <c r="F8" s="60" t="s">
        <v>26</v>
      </c>
      <c r="G8" s="47">
        <v>0</v>
      </c>
      <c r="H8" s="133">
        <f t="shared" si="0"/>
        <v>0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2"/>
        <v>0</v>
      </c>
      <c r="E9" s="63" t="s">
        <v>72</v>
      </c>
      <c r="F9" s="60" t="s">
        <v>27</v>
      </c>
      <c r="G9" s="47">
        <v>1</v>
      </c>
      <c r="H9" s="133">
        <f t="shared" si="0"/>
        <v>0.16666666666666666</v>
      </c>
      <c r="I9" s="94">
        <v>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73</v>
      </c>
      <c r="F10" s="60" t="s">
        <v>28</v>
      </c>
      <c r="G10" s="47">
        <v>3</v>
      </c>
      <c r="H10" s="133">
        <f t="shared" si="0"/>
        <v>0.5</v>
      </c>
      <c r="I10" s="94">
        <v>4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1</v>
      </c>
      <c r="N12" s="116" t="s">
        <v>165</v>
      </c>
      <c r="O12" s="126">
        <f>IF(P12=0,0,Q12/P12)</f>
        <v>9.9499999999999993</v>
      </c>
      <c r="P12" s="120">
        <v>2</v>
      </c>
      <c r="Q12" s="108">
        <v>19.899999999999999</v>
      </c>
    </row>
    <row r="13" spans="1:17" x14ac:dyDescent="0.4">
      <c r="A13" s="58" t="s">
        <v>122</v>
      </c>
      <c r="B13" s="50">
        <v>7</v>
      </c>
      <c r="C13" s="44">
        <f>IF(B$3=0,0,B13/B$3)</f>
        <v>0.36842105263157893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</v>
      </c>
      <c r="C14" s="39">
        <f>IF(B$3=0,0,B14/B$3)</f>
        <v>0.26315789473684209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</v>
      </c>
      <c r="C15" s="37">
        <f>IF(B$13=0,0,B15/B$13)</f>
        <v>0.42857142857142855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1</v>
      </c>
      <c r="N15" s="114" t="s">
        <v>128</v>
      </c>
      <c r="O15" s="124">
        <f>IF(P15=0,0,Q15/P15)</f>
        <v>27.1</v>
      </c>
      <c r="P15" s="118">
        <v>2</v>
      </c>
      <c r="Q15" s="106">
        <v>54.2</v>
      </c>
    </row>
    <row r="16" spans="1:17" x14ac:dyDescent="0.4">
      <c r="A16" s="54" t="s">
        <v>125</v>
      </c>
      <c r="B16" s="46">
        <v>2</v>
      </c>
      <c r="C16" s="37">
        <f>IF(B$14=0,0,B16/B$14)</f>
        <v>0.4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</v>
      </c>
      <c r="N16" s="115" t="s">
        <v>127</v>
      </c>
      <c r="O16" s="125">
        <f>IF(P16=0,0,Q16/P16)</f>
        <v>2.7499999999999964</v>
      </c>
      <c r="P16" s="119">
        <v>2</v>
      </c>
      <c r="Q16" s="107">
        <v>5.4999999999999929</v>
      </c>
    </row>
    <row r="17" spans="1:9" x14ac:dyDescent="0.4">
      <c r="A17" s="54" t="s">
        <v>10</v>
      </c>
      <c r="B17" s="46">
        <f>B19+B18</f>
        <v>6</v>
      </c>
      <c r="C17" s="37">
        <f>IF(B$3=0,0,B17/B$3)</f>
        <v>0.31578947368421051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3</v>
      </c>
    </row>
    <row r="18" spans="1:9" x14ac:dyDescent="0.4">
      <c r="A18" s="55" t="s">
        <v>12</v>
      </c>
      <c r="B18" s="47">
        <v>2</v>
      </c>
      <c r="C18" s="39">
        <f>IF(B$17=0,0,B18/B$17)</f>
        <v>0.33333333333333331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0.66666666666666663</v>
      </c>
      <c r="E19" s="63" t="s">
        <v>82</v>
      </c>
      <c r="F19" s="60" t="s">
        <v>37</v>
      </c>
      <c r="G19" s="47">
        <v>1</v>
      </c>
      <c r="H19" s="133">
        <f t="shared" si="0"/>
        <v>0.16666666666666666</v>
      </c>
      <c r="I19" s="94">
        <v>2</v>
      </c>
    </row>
    <row r="20" spans="1:9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 t="shared" si="0"/>
        <v>0.16666666666666666</v>
      </c>
      <c r="I21" s="94">
        <v>3</v>
      </c>
    </row>
    <row r="22" spans="1:9" x14ac:dyDescent="0.4">
      <c r="A22" s="55" t="s">
        <v>171</v>
      </c>
      <c r="B22" s="47">
        <v>15</v>
      </c>
      <c r="C22" s="135">
        <v>0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1</v>
      </c>
    </row>
    <row r="23" spans="1:9" x14ac:dyDescent="0.4">
      <c r="A23" s="55" t="s">
        <v>5</v>
      </c>
      <c r="B23" s="51">
        <f>IF(B$17=0,0,C23/B$17)</f>
        <v>7000</v>
      </c>
      <c r="C23" s="41">
        <v>42000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3</v>
      </c>
    </row>
    <row r="24" spans="1:9" x14ac:dyDescent="0.4">
      <c r="A24" s="57" t="s">
        <v>14</v>
      </c>
      <c r="B24" s="52">
        <f>IF(B$20=0,0,C24/B$20)</f>
        <v>-7300</v>
      </c>
      <c r="C24" s="45">
        <v>-14600</v>
      </c>
      <c r="E24" s="63" t="s">
        <v>87</v>
      </c>
      <c r="F24" s="60" t="s">
        <v>42</v>
      </c>
      <c r="G24" s="47">
        <v>0</v>
      </c>
      <c r="H24" s="133">
        <f t="shared" si="0"/>
        <v>0</v>
      </c>
      <c r="I24" s="94">
        <v>3</v>
      </c>
    </row>
    <row r="25" spans="1:9" x14ac:dyDescent="0.4">
      <c r="A25" s="90" t="s">
        <v>141</v>
      </c>
      <c r="B25" s="148">
        <v>2</v>
      </c>
      <c r="C25" s="149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3</v>
      </c>
    </row>
    <row r="26" spans="1:9" x14ac:dyDescent="0.4">
      <c r="A26" s="58" t="s">
        <v>151</v>
      </c>
      <c r="B26" s="146">
        <v>49500</v>
      </c>
      <c r="C26" s="147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 t="shared" si="0"/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3</v>
      </c>
      <c r="H51" s="138">
        <f t="shared" si="3"/>
        <v>0.5</v>
      </c>
      <c r="I51" s="139">
        <v>5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5F1D-F3B9-486F-83EC-74DEB4BFC46A}">
  <sheetPr codeName="Sheet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127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4</v>
      </c>
      <c r="H2" s="132">
        <f t="shared" ref="H2:H33" si="0">IF(B$17=0,0,G2/B$17)</f>
        <v>0.8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1">IF(P2=0,0,Q2/P2)</f>
        <v>5350</v>
      </c>
      <c r="P2" s="118">
        <v>2</v>
      </c>
      <c r="Q2" s="102">
        <v>10700</v>
      </c>
    </row>
    <row r="3" spans="1:17" x14ac:dyDescent="0.4">
      <c r="A3" s="55" t="s">
        <v>8</v>
      </c>
      <c r="B3" s="156">
        <v>19</v>
      </c>
      <c r="C3" s="157"/>
      <c r="E3" s="63" t="s">
        <v>66</v>
      </c>
      <c r="F3" s="60" t="s">
        <v>22</v>
      </c>
      <c r="G3" s="47">
        <v>0</v>
      </c>
      <c r="H3" s="133">
        <f t="shared" si="0"/>
        <v>0</v>
      </c>
      <c r="I3" s="94">
        <v>4</v>
      </c>
      <c r="K3" s="38">
        <v>1</v>
      </c>
      <c r="L3" s="99">
        <v>50.2</v>
      </c>
      <c r="N3" s="115" t="s">
        <v>132</v>
      </c>
      <c r="O3" s="122">
        <f t="shared" si="1"/>
        <v>-3200</v>
      </c>
      <c r="P3" s="119">
        <v>2</v>
      </c>
      <c r="Q3" s="103">
        <v>-6400</v>
      </c>
    </row>
    <row r="4" spans="1:17" x14ac:dyDescent="0.4">
      <c r="A4" s="55" t="s">
        <v>6</v>
      </c>
      <c r="B4" s="158">
        <v>14.400000000000006</v>
      </c>
      <c r="C4" s="159"/>
      <c r="E4" s="63" t="s">
        <v>67</v>
      </c>
      <c r="F4" s="60" t="s">
        <v>23</v>
      </c>
      <c r="G4" s="47">
        <v>5</v>
      </c>
      <c r="H4" s="133">
        <f t="shared" si="0"/>
        <v>1</v>
      </c>
      <c r="I4" s="94">
        <v>4</v>
      </c>
      <c r="K4" s="38">
        <v>2</v>
      </c>
      <c r="L4" s="99">
        <v>14.400000000000006</v>
      </c>
      <c r="N4" s="115" t="s">
        <v>133</v>
      </c>
      <c r="O4" s="122">
        <f t="shared" si="1"/>
        <v>-1250</v>
      </c>
      <c r="P4" s="119">
        <v>2</v>
      </c>
      <c r="Q4" s="103">
        <v>-2500</v>
      </c>
    </row>
    <row r="5" spans="1:17" x14ac:dyDescent="0.4">
      <c r="A5" s="55" t="s">
        <v>7</v>
      </c>
      <c r="B5" s="160">
        <f>IF(B$2=0,0,B$4/B$2)</f>
        <v>7.2000000000000028</v>
      </c>
      <c r="C5" s="161"/>
      <c r="E5" s="63" t="s">
        <v>68</v>
      </c>
      <c r="F5" s="60" t="s">
        <v>24</v>
      </c>
      <c r="G5" s="47">
        <v>5</v>
      </c>
      <c r="H5" s="133">
        <f t="shared" si="0"/>
        <v>1</v>
      </c>
      <c r="I5" s="94">
        <v>2</v>
      </c>
      <c r="N5" s="115" t="s">
        <v>134</v>
      </c>
      <c r="O5" s="122">
        <f t="shared" si="1"/>
        <v>-500</v>
      </c>
      <c r="P5" s="119">
        <v>2</v>
      </c>
      <c r="Q5" s="103">
        <v>-1000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69</v>
      </c>
      <c r="F6" s="60" t="s">
        <v>12</v>
      </c>
      <c r="G6" s="47">
        <v>1</v>
      </c>
      <c r="H6" s="133">
        <f t="shared" si="0"/>
        <v>0.2</v>
      </c>
      <c r="I6" s="94">
        <v>3</v>
      </c>
      <c r="N6" s="115" t="s">
        <v>135</v>
      </c>
      <c r="O6" s="122">
        <f t="shared" si="1"/>
        <v>-2700</v>
      </c>
      <c r="P6" s="119">
        <v>2</v>
      </c>
      <c r="Q6" s="103">
        <v>-5400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0.5</v>
      </c>
      <c r="E7" s="63" t="s">
        <v>70</v>
      </c>
      <c r="F7" s="60" t="s">
        <v>25</v>
      </c>
      <c r="G7" s="47">
        <v>1</v>
      </c>
      <c r="H7" s="133">
        <f t="shared" si="0"/>
        <v>0.2</v>
      </c>
      <c r="I7" s="94">
        <v>2</v>
      </c>
      <c r="N7" s="116" t="s">
        <v>136</v>
      </c>
      <c r="O7" s="123">
        <f t="shared" si="1"/>
        <v>9500</v>
      </c>
      <c r="P7" s="120">
        <v>2</v>
      </c>
      <c r="Q7" s="104">
        <v>19000</v>
      </c>
    </row>
    <row r="8" spans="1:17" x14ac:dyDescent="0.4">
      <c r="A8" s="55" t="s">
        <v>3</v>
      </c>
      <c r="B8" s="47">
        <v>0</v>
      </c>
      <c r="C8" s="39">
        <f t="shared" si="2"/>
        <v>0</v>
      </c>
      <c r="E8" s="63" t="s">
        <v>71</v>
      </c>
      <c r="F8" s="60" t="s">
        <v>26</v>
      </c>
      <c r="G8" s="47">
        <v>0</v>
      </c>
      <c r="H8" s="133">
        <f t="shared" si="0"/>
        <v>0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2"/>
        <v>0.5</v>
      </c>
      <c r="E9" s="63" t="s">
        <v>72</v>
      </c>
      <c r="F9" s="60" t="s">
        <v>27</v>
      </c>
      <c r="G9" s="47">
        <v>1</v>
      </c>
      <c r="H9" s="133">
        <f t="shared" si="0"/>
        <v>0.2</v>
      </c>
      <c r="I9" s="94">
        <v>2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73</v>
      </c>
      <c r="F10" s="60" t="s">
        <v>28</v>
      </c>
      <c r="G10" s="47">
        <v>3</v>
      </c>
      <c r="H10" s="133">
        <f t="shared" si="0"/>
        <v>0.6</v>
      </c>
      <c r="I10" s="94">
        <v>3</v>
      </c>
      <c r="N10" s="114" t="s">
        <v>163</v>
      </c>
      <c r="O10" s="124">
        <f>IF(P10=0,0,Q10/P10)</f>
        <v>7.2000000000000028</v>
      </c>
      <c r="P10" s="118">
        <v>2</v>
      </c>
      <c r="Q10" s="106">
        <v>14.400000000000006</v>
      </c>
    </row>
    <row r="11" spans="1:17" x14ac:dyDescent="0.4">
      <c r="A11" s="56" t="s">
        <v>139</v>
      </c>
      <c r="B11" s="48">
        <v>1</v>
      </c>
      <c r="C11" s="40">
        <f t="shared" si="2"/>
        <v>0.5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7</v>
      </c>
      <c r="C13" s="44">
        <f>IF(B$3=0,0,B13/B$3)</f>
        <v>0.36842105263157893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</v>
      </c>
      <c r="C14" s="39">
        <f>IF(B$3=0,0,B14/B$3)</f>
        <v>0.15789473684210525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0.5714285714285714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1</v>
      </c>
      <c r="N15" s="114" t="s">
        <v>128</v>
      </c>
      <c r="O15" s="124">
        <f>IF(P15=0,0,Q15/P15)</f>
        <v>24.350000000000009</v>
      </c>
      <c r="P15" s="118">
        <v>2</v>
      </c>
      <c r="Q15" s="106">
        <v>48.700000000000017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</v>
      </c>
      <c r="N16" s="115" t="s">
        <v>167</v>
      </c>
      <c r="O16" s="125">
        <f>IF(P16=0,0,Q16/P16)</f>
        <v>-2.7499999999999964</v>
      </c>
      <c r="P16" s="119">
        <v>2</v>
      </c>
      <c r="Q16" s="107">
        <v>-5.4999999999999929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3</v>
      </c>
    </row>
    <row r="18" spans="1:9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4</v>
      </c>
    </row>
    <row r="20" spans="1:9" x14ac:dyDescent="0.4">
      <c r="A20" s="55" t="s">
        <v>13</v>
      </c>
      <c r="B20" s="47">
        <v>3</v>
      </c>
      <c r="C20" s="39">
        <f>IF(B$3=0,0,B20/B$3)</f>
        <v>0.15789473684210525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84</v>
      </c>
      <c r="F21" s="60" t="s">
        <v>39</v>
      </c>
      <c r="G21" s="47">
        <v>1</v>
      </c>
      <c r="H21" s="133">
        <f t="shared" si="0"/>
        <v>0.2</v>
      </c>
      <c r="I21" s="94">
        <v>2</v>
      </c>
    </row>
    <row r="22" spans="1:9" x14ac:dyDescent="0.4">
      <c r="A22" s="55" t="s">
        <v>171</v>
      </c>
      <c r="B22" s="47">
        <v>8</v>
      </c>
      <c r="C22" s="135">
        <v>8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1</v>
      </c>
    </row>
    <row r="23" spans="1:9" x14ac:dyDescent="0.4">
      <c r="A23" s="55" t="s">
        <v>5</v>
      </c>
      <c r="B23" s="51">
        <f>IF(B$17=0,0,C23/B$17)</f>
        <v>9260</v>
      </c>
      <c r="C23" s="41">
        <v>46300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3</v>
      </c>
    </row>
    <row r="24" spans="1:9" x14ac:dyDescent="0.4">
      <c r="A24" s="57" t="s">
        <v>14</v>
      </c>
      <c r="B24" s="52">
        <f>IF(B$20=0,0,C24/B$20)</f>
        <v>-5000</v>
      </c>
      <c r="C24" s="45">
        <v>-15000</v>
      </c>
      <c r="E24" s="63" t="s">
        <v>87</v>
      </c>
      <c r="F24" s="60" t="s">
        <v>42</v>
      </c>
      <c r="G24" s="47">
        <v>0</v>
      </c>
      <c r="H24" s="133">
        <f t="shared" si="0"/>
        <v>0</v>
      </c>
      <c r="I24" s="94">
        <v>3</v>
      </c>
    </row>
    <row r="25" spans="1:9" x14ac:dyDescent="0.4">
      <c r="A25" s="90" t="s">
        <v>141</v>
      </c>
      <c r="B25" s="148">
        <v>6</v>
      </c>
      <c r="C25" s="149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3</v>
      </c>
    </row>
    <row r="26" spans="1:9" x14ac:dyDescent="0.4">
      <c r="A26" s="58" t="s">
        <v>151</v>
      </c>
      <c r="B26" s="146">
        <v>75200</v>
      </c>
      <c r="C26" s="147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 t="shared" si="0"/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1</v>
      </c>
      <c r="H51" s="138">
        <f t="shared" si="3"/>
        <v>0.2</v>
      </c>
      <c r="I51" s="139">
        <v>7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0957B-A844-46E1-B4B8-F7D204D5BB54}">
  <sheetPr codeName="Sheet1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128</v>
      </c>
      <c r="C1" s="153"/>
      <c r="E1" s="129" t="s">
        <v>166</v>
      </c>
      <c r="F1" s="141" t="s">
        <v>116</v>
      </c>
      <c r="G1" s="140" t="s">
        <v>117</v>
      </c>
      <c r="H1" s="130" t="s">
        <v>118</v>
      </c>
      <c r="I1" s="141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65</v>
      </c>
      <c r="F2" s="59" t="s">
        <v>21</v>
      </c>
      <c r="G2" s="46">
        <v>4</v>
      </c>
      <c r="H2" s="132">
        <f t="shared" ref="H2:H33" si="0">IF(B$17=0,0,G2/B$17)</f>
        <v>0.8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-2550</v>
      </c>
      <c r="P2" s="118">
        <v>2</v>
      </c>
      <c r="Q2" s="102">
        <v>-5100</v>
      </c>
    </row>
    <row r="3" spans="1:17" x14ac:dyDescent="0.4">
      <c r="A3" s="55" t="s">
        <v>8</v>
      </c>
      <c r="B3" s="156">
        <v>19</v>
      </c>
      <c r="C3" s="157"/>
      <c r="E3" s="63" t="s">
        <v>66</v>
      </c>
      <c r="F3" s="60" t="s">
        <v>22</v>
      </c>
      <c r="G3" s="47">
        <v>0</v>
      </c>
      <c r="H3" s="133">
        <f t="shared" si="0"/>
        <v>0</v>
      </c>
      <c r="I3" s="94">
        <v>4</v>
      </c>
      <c r="K3" s="38">
        <v>1</v>
      </c>
      <c r="L3" s="99">
        <v>-45.6</v>
      </c>
      <c r="N3" s="115" t="s">
        <v>132</v>
      </c>
      <c r="O3" s="122">
        <f t="shared" si="1"/>
        <v>4700</v>
      </c>
      <c r="P3" s="119">
        <v>2</v>
      </c>
      <c r="Q3" s="103">
        <v>9400</v>
      </c>
    </row>
    <row r="4" spans="1:17" x14ac:dyDescent="0.4">
      <c r="A4" s="55" t="s">
        <v>6</v>
      </c>
      <c r="B4" s="158">
        <v>-34.299999999999997</v>
      </c>
      <c r="C4" s="159"/>
      <c r="E4" s="63" t="s">
        <v>67</v>
      </c>
      <c r="F4" s="60" t="s">
        <v>23</v>
      </c>
      <c r="G4" s="47">
        <v>7</v>
      </c>
      <c r="H4" s="133">
        <f t="shared" si="0"/>
        <v>1.4</v>
      </c>
      <c r="I4" s="94">
        <v>2</v>
      </c>
      <c r="K4" s="38">
        <v>2</v>
      </c>
      <c r="L4" s="99">
        <v>-34.299999999999997</v>
      </c>
      <c r="N4" s="115" t="s">
        <v>133</v>
      </c>
      <c r="O4" s="122">
        <f t="shared" si="1"/>
        <v>-6000</v>
      </c>
      <c r="P4" s="119">
        <v>2</v>
      </c>
      <c r="Q4" s="103">
        <v>-12000</v>
      </c>
    </row>
    <row r="5" spans="1:17" x14ac:dyDescent="0.4">
      <c r="A5" s="55" t="s">
        <v>7</v>
      </c>
      <c r="B5" s="160">
        <f>IF(B$2=0,0,B$4/B$2)</f>
        <v>-17.149999999999999</v>
      </c>
      <c r="C5" s="161"/>
      <c r="E5" s="63" t="s">
        <v>68</v>
      </c>
      <c r="F5" s="60" t="s">
        <v>24</v>
      </c>
      <c r="G5" s="47">
        <v>1</v>
      </c>
      <c r="H5" s="133">
        <f t="shared" si="0"/>
        <v>0.2</v>
      </c>
      <c r="I5" s="94">
        <v>4</v>
      </c>
      <c r="N5" s="115" t="s">
        <v>134</v>
      </c>
      <c r="O5" s="122">
        <f t="shared" si="1"/>
        <v>-650</v>
      </c>
      <c r="P5" s="119">
        <v>2</v>
      </c>
      <c r="Q5" s="103">
        <v>-1300</v>
      </c>
    </row>
    <row r="6" spans="1:17" x14ac:dyDescent="0.4">
      <c r="A6" s="55" t="s">
        <v>1</v>
      </c>
      <c r="B6" s="150">
        <f>IF(B$2=0,0,(B$7*1+B$8*2+B$9*3)/B$2)</f>
        <v>2.5</v>
      </c>
      <c r="C6" s="151"/>
      <c r="E6" s="63" t="s">
        <v>69</v>
      </c>
      <c r="F6" s="60" t="s">
        <v>12</v>
      </c>
      <c r="G6" s="47">
        <v>1</v>
      </c>
      <c r="H6" s="133">
        <f t="shared" si="0"/>
        <v>0.2</v>
      </c>
      <c r="I6" s="94">
        <v>3</v>
      </c>
      <c r="N6" s="115" t="s">
        <v>135</v>
      </c>
      <c r="O6" s="122">
        <f t="shared" si="1"/>
        <v>-3650</v>
      </c>
      <c r="P6" s="119">
        <v>2</v>
      </c>
      <c r="Q6" s="103">
        <v>-7300</v>
      </c>
    </row>
    <row r="7" spans="1:17" x14ac:dyDescent="0.4">
      <c r="A7" s="55" t="s">
        <v>2</v>
      </c>
      <c r="B7" s="47">
        <v>0</v>
      </c>
      <c r="C7" s="39">
        <f t="shared" ref="C7:C12" si="2">IF(B$2=0,0,B7/B$2)</f>
        <v>0</v>
      </c>
      <c r="E7" s="63" t="s">
        <v>70</v>
      </c>
      <c r="F7" s="60" t="s">
        <v>25</v>
      </c>
      <c r="G7" s="47">
        <v>1</v>
      </c>
      <c r="H7" s="133">
        <f t="shared" si="0"/>
        <v>0.2</v>
      </c>
      <c r="I7" s="94">
        <v>2</v>
      </c>
      <c r="N7" s="116" t="s">
        <v>136</v>
      </c>
      <c r="O7" s="123">
        <f t="shared" si="1"/>
        <v>-4000</v>
      </c>
      <c r="P7" s="120">
        <v>2</v>
      </c>
      <c r="Q7" s="104">
        <v>-8000</v>
      </c>
    </row>
    <row r="8" spans="1:17" x14ac:dyDescent="0.4">
      <c r="A8" s="55" t="s">
        <v>3</v>
      </c>
      <c r="B8" s="47">
        <v>1</v>
      </c>
      <c r="C8" s="39">
        <f t="shared" si="2"/>
        <v>0.5</v>
      </c>
      <c r="E8" s="63" t="s">
        <v>71</v>
      </c>
      <c r="F8" s="60" t="s">
        <v>26</v>
      </c>
      <c r="G8" s="47">
        <v>0</v>
      </c>
      <c r="H8" s="133">
        <f t="shared" si="0"/>
        <v>0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2"/>
        <v>0.5</v>
      </c>
      <c r="E9" s="63" t="s">
        <v>72</v>
      </c>
      <c r="F9" s="60" t="s">
        <v>27</v>
      </c>
      <c r="G9" s="47">
        <v>0</v>
      </c>
      <c r="H9" s="133">
        <f t="shared" si="0"/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2"/>
        <v>0.5</v>
      </c>
      <c r="E10" s="63" t="s">
        <v>73</v>
      </c>
      <c r="F10" s="60" t="s">
        <v>28</v>
      </c>
      <c r="G10" s="47">
        <v>2</v>
      </c>
      <c r="H10" s="133">
        <f t="shared" si="0"/>
        <v>0.4</v>
      </c>
      <c r="I10" s="94">
        <v>6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1</v>
      </c>
      <c r="N11" s="115" t="s">
        <v>164</v>
      </c>
      <c r="O11" s="125">
        <f>IF(P11=0,0,Q11/P11)</f>
        <v>-17.149999999999999</v>
      </c>
      <c r="P11" s="119">
        <v>2</v>
      </c>
      <c r="Q11" s="107">
        <v>-34.299999999999997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9</v>
      </c>
      <c r="C13" s="44">
        <f>IF(B$3=0,0,B13/B$3)</f>
        <v>0.47368421052631576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4</v>
      </c>
      <c r="C15" s="37">
        <f>IF(B$13=0,0,B15/B$13)</f>
        <v>0.44444444444444442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1</v>
      </c>
      <c r="N15" s="114" t="s">
        <v>127</v>
      </c>
      <c r="O15" s="124">
        <f>IF(P15=0,0,Q15/P15)</f>
        <v>-24.350000000000009</v>
      </c>
      <c r="P15" s="118">
        <v>2</v>
      </c>
      <c r="Q15" s="106">
        <v>-48.700000000000017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</v>
      </c>
      <c r="N16" s="115" t="s">
        <v>167</v>
      </c>
      <c r="O16" s="125">
        <f>IF(P16=0,0,Q16/P16)</f>
        <v>-27.1</v>
      </c>
      <c r="P16" s="119">
        <v>2</v>
      </c>
      <c r="Q16" s="107">
        <v>-54.2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3</v>
      </c>
    </row>
    <row r="18" spans="1:9" x14ac:dyDescent="0.4">
      <c r="A18" s="55" t="s">
        <v>12</v>
      </c>
      <c r="B18" s="47">
        <v>2</v>
      </c>
      <c r="C18" s="39">
        <f>IF(B$17=0,0,B18/B$17)</f>
        <v>0.4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</row>
    <row r="19" spans="1:9" x14ac:dyDescent="0.4">
      <c r="A19" s="55" t="s">
        <v>11</v>
      </c>
      <c r="B19" s="47">
        <v>3</v>
      </c>
      <c r="C19" s="39">
        <f>IF(B$17=0,0,B19/B$17)</f>
        <v>0.6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4</v>
      </c>
    </row>
    <row r="20" spans="1:9" x14ac:dyDescent="0.4">
      <c r="A20" s="55" t="s">
        <v>13</v>
      </c>
      <c r="B20" s="47">
        <v>6</v>
      </c>
      <c r="C20" s="39">
        <f>IF(B$3=0,0,B20/B$3)</f>
        <v>0.31578947368421051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170</v>
      </c>
      <c r="B21" s="47">
        <v>2</v>
      </c>
      <c r="C21" s="135">
        <v>1</v>
      </c>
      <c r="E21" s="63" t="s">
        <v>84</v>
      </c>
      <c r="F21" s="60" t="s">
        <v>39</v>
      </c>
      <c r="G21" s="47">
        <v>0</v>
      </c>
      <c r="H21" s="133">
        <f t="shared" si="0"/>
        <v>0</v>
      </c>
      <c r="I21" s="94">
        <v>5</v>
      </c>
    </row>
    <row r="22" spans="1:9" x14ac:dyDescent="0.4">
      <c r="A22" s="55" t="s">
        <v>171</v>
      </c>
      <c r="B22" s="47">
        <v>4</v>
      </c>
      <c r="C22" s="135">
        <v>2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1</v>
      </c>
    </row>
    <row r="23" spans="1:9" x14ac:dyDescent="0.4">
      <c r="A23" s="55" t="s">
        <v>5</v>
      </c>
      <c r="B23" s="51">
        <f>IF(B$17=0,0,C23/B$17)</f>
        <v>9320</v>
      </c>
      <c r="C23" s="41">
        <v>46600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3</v>
      </c>
    </row>
    <row r="24" spans="1:9" x14ac:dyDescent="0.4">
      <c r="A24" s="57" t="s">
        <v>14</v>
      </c>
      <c r="B24" s="52">
        <f>IF(B$20=0,0,C24/B$20)</f>
        <v>-7266.666666666667</v>
      </c>
      <c r="C24" s="45">
        <v>-43600</v>
      </c>
      <c r="E24" s="63" t="s">
        <v>87</v>
      </c>
      <c r="F24" s="60" t="s">
        <v>42</v>
      </c>
      <c r="G24" s="47">
        <v>1</v>
      </c>
      <c r="H24" s="133">
        <f t="shared" si="0"/>
        <v>0.2</v>
      </c>
      <c r="I24" s="94">
        <v>1</v>
      </c>
    </row>
    <row r="25" spans="1:9" x14ac:dyDescent="0.4">
      <c r="A25" s="90" t="s">
        <v>141</v>
      </c>
      <c r="B25" s="148">
        <v>5</v>
      </c>
      <c r="C25" s="149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3</v>
      </c>
    </row>
    <row r="26" spans="1:9" x14ac:dyDescent="0.4">
      <c r="A26" s="58" t="s">
        <v>151</v>
      </c>
      <c r="B26" s="146">
        <v>46300</v>
      </c>
      <c r="C26" s="147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 t="shared" si="0"/>
        <v>0.2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3</v>
      </c>
      <c r="H51" s="138">
        <f t="shared" si="3"/>
        <v>0.6</v>
      </c>
      <c r="I51" s="139">
        <v>4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A1AB4-A646-4AB5-BD06-57A653396387}">
  <sheetPr codeName="Sheet1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180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65</v>
      </c>
      <c r="F2" s="59" t="s">
        <v>21</v>
      </c>
      <c r="G2" s="46">
        <v>0</v>
      </c>
      <c r="H2" s="132">
        <f t="shared" ref="H2:H33" si="0">IF(B$17=0,0,G2/B$17)</f>
        <v>0</v>
      </c>
      <c r="I2" s="93">
        <v>9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-700</v>
      </c>
      <c r="P2" s="118">
        <v>1</v>
      </c>
      <c r="Q2" s="102">
        <v>-700</v>
      </c>
    </row>
    <row r="3" spans="1:17" x14ac:dyDescent="0.4">
      <c r="A3" s="55" t="s">
        <v>8</v>
      </c>
      <c r="B3" s="156">
        <v>11</v>
      </c>
      <c r="C3" s="157"/>
      <c r="E3" s="63" t="s">
        <v>66</v>
      </c>
      <c r="F3" s="60" t="s">
        <v>22</v>
      </c>
      <c r="G3" s="47">
        <v>0</v>
      </c>
      <c r="H3" s="133">
        <f t="shared" si="0"/>
        <v>0</v>
      </c>
      <c r="I3" s="94">
        <v>4</v>
      </c>
      <c r="K3" s="38">
        <v>1</v>
      </c>
      <c r="L3" s="99">
        <v>-37.799999999999997</v>
      </c>
      <c r="N3" s="115" t="s">
        <v>132</v>
      </c>
      <c r="O3" s="122">
        <f t="shared" si="1"/>
        <v>-5300</v>
      </c>
      <c r="P3" s="119">
        <v>1</v>
      </c>
      <c r="Q3" s="103">
        <v>-5300</v>
      </c>
    </row>
    <row r="4" spans="1:17" x14ac:dyDescent="0.4">
      <c r="A4" s="55" t="s">
        <v>6</v>
      </c>
      <c r="B4" s="158">
        <v>-37.799999999999997</v>
      </c>
      <c r="C4" s="159"/>
      <c r="E4" s="63" t="s">
        <v>67</v>
      </c>
      <c r="F4" s="60" t="s">
        <v>23</v>
      </c>
      <c r="G4" s="47">
        <v>0</v>
      </c>
      <c r="H4" s="133">
        <f t="shared" si="0"/>
        <v>0</v>
      </c>
      <c r="I4" s="94">
        <v>7</v>
      </c>
      <c r="N4" s="115" t="s">
        <v>133</v>
      </c>
      <c r="O4" s="122">
        <f t="shared" si="1"/>
        <v>1100</v>
      </c>
      <c r="P4" s="119">
        <v>1</v>
      </c>
      <c r="Q4" s="103">
        <v>1100</v>
      </c>
    </row>
    <row r="5" spans="1:17" x14ac:dyDescent="0.4">
      <c r="A5" s="55" t="s">
        <v>7</v>
      </c>
      <c r="B5" s="160">
        <f>IF(B$2=0,0,B$4/B$2)</f>
        <v>-37.799999999999997</v>
      </c>
      <c r="C5" s="161"/>
      <c r="E5" s="63" t="s">
        <v>68</v>
      </c>
      <c r="F5" s="60" t="s">
        <v>24</v>
      </c>
      <c r="G5" s="47">
        <v>0</v>
      </c>
      <c r="H5" s="133">
        <f t="shared" si="0"/>
        <v>0</v>
      </c>
      <c r="I5" s="94">
        <v>6</v>
      </c>
      <c r="N5" s="115" t="s">
        <v>134</v>
      </c>
      <c r="O5" s="122">
        <f t="shared" si="1"/>
        <v>-900</v>
      </c>
      <c r="P5" s="119">
        <v>1</v>
      </c>
      <c r="Q5" s="103">
        <v>-900</v>
      </c>
    </row>
    <row r="6" spans="1:17" x14ac:dyDescent="0.4">
      <c r="A6" s="55" t="s">
        <v>1</v>
      </c>
      <c r="B6" s="150">
        <f>IF(B$2=0,0,(B$7*1+B$8*2+B$9*3)/B$2)</f>
        <v>3</v>
      </c>
      <c r="C6" s="151"/>
      <c r="E6" s="63" t="s">
        <v>69</v>
      </c>
      <c r="F6" s="60" t="s">
        <v>12</v>
      </c>
      <c r="G6" s="47">
        <v>1</v>
      </c>
      <c r="H6" s="133">
        <f t="shared" si="0"/>
        <v>1</v>
      </c>
      <c r="I6" s="94">
        <v>1</v>
      </c>
      <c r="N6" s="115" t="s">
        <v>135</v>
      </c>
      <c r="O6" s="122">
        <f t="shared" si="1"/>
        <v>-21000</v>
      </c>
      <c r="P6" s="119">
        <v>1</v>
      </c>
      <c r="Q6" s="103">
        <v>-21000</v>
      </c>
    </row>
    <row r="7" spans="1:17" x14ac:dyDescent="0.4">
      <c r="A7" s="55" t="s">
        <v>2</v>
      </c>
      <c r="B7" s="47">
        <v>0</v>
      </c>
      <c r="C7" s="39">
        <f t="shared" ref="C7:C12" si="2">IF(B$2=0,0,B7/B$2)</f>
        <v>0</v>
      </c>
      <c r="E7" s="63" t="s">
        <v>70</v>
      </c>
      <c r="F7" s="60" t="s">
        <v>25</v>
      </c>
      <c r="G7" s="47">
        <v>0</v>
      </c>
      <c r="H7" s="133">
        <f t="shared" si="0"/>
        <v>0</v>
      </c>
      <c r="I7" s="94">
        <v>6</v>
      </c>
      <c r="N7" s="116" t="s">
        <v>136</v>
      </c>
      <c r="O7" s="123">
        <f t="shared" si="1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 t="shared" si="2"/>
        <v>0</v>
      </c>
      <c r="E8" s="63" t="s">
        <v>71</v>
      </c>
      <c r="F8" s="60" t="s">
        <v>26</v>
      </c>
      <c r="G8" s="47">
        <v>0</v>
      </c>
      <c r="H8" s="133">
        <f t="shared" si="0"/>
        <v>0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2"/>
        <v>1</v>
      </c>
      <c r="E9" s="63" t="s">
        <v>72</v>
      </c>
      <c r="F9" s="60" t="s">
        <v>27</v>
      </c>
      <c r="G9" s="47">
        <v>0</v>
      </c>
      <c r="H9" s="133">
        <f t="shared" si="0"/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73</v>
      </c>
      <c r="F10" s="60" t="s">
        <v>28</v>
      </c>
      <c r="G10" s="47">
        <v>0</v>
      </c>
      <c r="H10" s="133">
        <f t="shared" si="0"/>
        <v>0</v>
      </c>
      <c r="I10" s="94">
        <v>9</v>
      </c>
      <c r="N10" s="114" t="s">
        <v>163</v>
      </c>
      <c r="O10" s="124">
        <f>IF(P10=0,0,Q10/P10)</f>
        <v>-37.799999999999997</v>
      </c>
      <c r="P10" s="118">
        <v>1</v>
      </c>
      <c r="Q10" s="106">
        <v>-37.799999999999997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0.27272727272727271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0</v>
      </c>
      <c r="C15" s="37">
        <f>IF(B$13=0,0,B15/B$13)</f>
        <v>0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1</v>
      </c>
      <c r="N15" s="114" t="s">
        <v>178</v>
      </c>
      <c r="O15" s="124">
        <f>IF(P15=0,0,Q15/P15)</f>
        <v>-28.699999999999996</v>
      </c>
      <c r="P15" s="118">
        <v>1</v>
      </c>
      <c r="Q15" s="106">
        <v>-28.699999999999996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</v>
      </c>
      <c r="N16" s="115" t="s">
        <v>179</v>
      </c>
      <c r="O16" s="125">
        <f>IF(P16=0,0,Q16/P16)</f>
        <v>-84.699999999999989</v>
      </c>
      <c r="P16" s="119">
        <v>1</v>
      </c>
      <c r="Q16" s="107">
        <v>-84.699999999999989</v>
      </c>
    </row>
    <row r="17" spans="1:9" x14ac:dyDescent="0.4">
      <c r="A17" s="54" t="s">
        <v>10</v>
      </c>
      <c r="B17" s="46">
        <f>B19+B18</f>
        <v>1</v>
      </c>
      <c r="C17" s="37">
        <f>IF(B$3=0,0,B17/B$3)</f>
        <v>9.0909090909090912E-2</v>
      </c>
      <c r="E17" s="63" t="s">
        <v>80</v>
      </c>
      <c r="F17" s="60" t="s">
        <v>35</v>
      </c>
      <c r="G17" s="47">
        <v>0</v>
      </c>
      <c r="H17" s="133">
        <f t="shared" si="0"/>
        <v>0</v>
      </c>
      <c r="I17" s="94">
        <v>3</v>
      </c>
    </row>
    <row r="18" spans="1:9" x14ac:dyDescent="0.4">
      <c r="A18" s="55" t="s">
        <v>12</v>
      </c>
      <c r="B18" s="47">
        <v>1</v>
      </c>
      <c r="C18" s="39">
        <f>IF(B$17=0,0,B18/B$17)</f>
        <v>1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</row>
    <row r="19" spans="1:9" x14ac:dyDescent="0.4">
      <c r="A19" s="55" t="s">
        <v>11</v>
      </c>
      <c r="B19" s="47">
        <v>0</v>
      </c>
      <c r="C19" s="39">
        <f>IF(B$17=0,0,B19/B$17)</f>
        <v>0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4</v>
      </c>
    </row>
    <row r="20" spans="1:9" x14ac:dyDescent="0.4">
      <c r="A20" s="55" t="s">
        <v>13</v>
      </c>
      <c r="B20" s="47">
        <v>2</v>
      </c>
      <c r="C20" s="39">
        <f>IF(B$3=0,0,B20/B$3)</f>
        <v>0.18181818181818182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170</v>
      </c>
      <c r="B21" s="47">
        <v>1</v>
      </c>
      <c r="C21" s="135">
        <v>0</v>
      </c>
      <c r="E21" s="63" t="s">
        <v>84</v>
      </c>
      <c r="F21" s="60" t="s">
        <v>39</v>
      </c>
      <c r="G21" s="47">
        <v>0</v>
      </c>
      <c r="H21" s="133">
        <f t="shared" si="0"/>
        <v>0</v>
      </c>
      <c r="I21" s="94">
        <v>5</v>
      </c>
    </row>
    <row r="22" spans="1:9" x14ac:dyDescent="0.4">
      <c r="A22" s="55" t="s">
        <v>171</v>
      </c>
      <c r="B22" s="47">
        <v>6</v>
      </c>
      <c r="C22" s="135">
        <v>2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1</v>
      </c>
    </row>
    <row r="23" spans="1:9" x14ac:dyDescent="0.4">
      <c r="A23" s="55" t="s">
        <v>5</v>
      </c>
      <c r="B23" s="51">
        <f>IF(B$17=0,0,C23/B$17)</f>
        <v>2100</v>
      </c>
      <c r="C23" s="41">
        <v>2100</v>
      </c>
      <c r="E23" s="63" t="s">
        <v>86</v>
      </c>
      <c r="F23" s="60" t="s">
        <v>41</v>
      </c>
      <c r="G23" s="47">
        <v>0</v>
      </c>
      <c r="H23" s="133">
        <f t="shared" si="0"/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-14900</v>
      </c>
      <c r="C24" s="45">
        <v>-29800</v>
      </c>
      <c r="E24" s="63" t="s">
        <v>87</v>
      </c>
      <c r="F24" s="60" t="s">
        <v>42</v>
      </c>
      <c r="G24" s="47">
        <v>0</v>
      </c>
      <c r="H24" s="133">
        <f t="shared" si="0"/>
        <v>0</v>
      </c>
      <c r="I24" s="94">
        <v>3</v>
      </c>
    </row>
    <row r="25" spans="1:9" x14ac:dyDescent="0.4">
      <c r="A25" s="90" t="s">
        <v>141</v>
      </c>
      <c r="B25" s="148">
        <v>1</v>
      </c>
      <c r="C25" s="149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3</v>
      </c>
    </row>
    <row r="26" spans="1:9" x14ac:dyDescent="0.4">
      <c r="A26" s="58" t="s">
        <v>151</v>
      </c>
      <c r="B26" s="146">
        <v>7200</v>
      </c>
      <c r="C26" s="147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 t="shared" si="0"/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1</v>
      </c>
      <c r="H51" s="138">
        <f t="shared" si="3"/>
        <v>1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C3C70-A83E-4EE1-94D3-97540FFF4A4E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178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2</v>
      </c>
      <c r="C2" s="155"/>
      <c r="E2" s="62" t="s">
        <v>67</v>
      </c>
      <c r="F2" s="59" t="s">
        <v>23</v>
      </c>
      <c r="G2" s="46">
        <v>6</v>
      </c>
      <c r="H2" s="132">
        <f t="shared" ref="H2:H33" si="0">IF(B$17=0,0,G2/B$17)</f>
        <v>1.2</v>
      </c>
      <c r="I2" s="93">
        <v>3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-5400</v>
      </c>
      <c r="P2" s="118">
        <v>2</v>
      </c>
      <c r="Q2" s="102">
        <v>-10800</v>
      </c>
    </row>
    <row r="3" spans="1:17" x14ac:dyDescent="0.4">
      <c r="A3" s="55" t="s">
        <v>8</v>
      </c>
      <c r="B3" s="156">
        <v>20</v>
      </c>
      <c r="C3" s="157"/>
      <c r="E3" s="63" t="s">
        <v>65</v>
      </c>
      <c r="F3" s="60" t="s">
        <v>21</v>
      </c>
      <c r="G3" s="47">
        <v>2</v>
      </c>
      <c r="H3" s="133">
        <f t="shared" si="0"/>
        <v>0.4</v>
      </c>
      <c r="I3" s="94">
        <v>5</v>
      </c>
      <c r="K3" s="38">
        <v>1</v>
      </c>
      <c r="L3" s="99">
        <v>-9.1</v>
      </c>
      <c r="N3" s="115" t="s">
        <v>132</v>
      </c>
      <c r="O3" s="122">
        <f t="shared" si="1"/>
        <v>-5850</v>
      </c>
      <c r="P3" s="119">
        <v>2</v>
      </c>
      <c r="Q3" s="103">
        <v>-11700</v>
      </c>
    </row>
    <row r="4" spans="1:17" x14ac:dyDescent="0.4">
      <c r="A4" s="55" t="s">
        <v>6</v>
      </c>
      <c r="B4" s="158">
        <v>-67.3</v>
      </c>
      <c r="C4" s="159"/>
      <c r="E4" s="63" t="s">
        <v>69</v>
      </c>
      <c r="F4" s="60" t="s">
        <v>12</v>
      </c>
      <c r="G4" s="47">
        <v>2</v>
      </c>
      <c r="H4" s="133">
        <f t="shared" si="0"/>
        <v>0.4</v>
      </c>
      <c r="I4" s="94">
        <v>2</v>
      </c>
      <c r="K4" s="38">
        <v>2</v>
      </c>
      <c r="L4" s="99">
        <v>-67.3</v>
      </c>
      <c r="N4" s="115" t="s">
        <v>133</v>
      </c>
      <c r="O4" s="122">
        <f t="shared" si="1"/>
        <v>-5650</v>
      </c>
      <c r="P4" s="119">
        <v>2</v>
      </c>
      <c r="Q4" s="103">
        <v>-11300</v>
      </c>
    </row>
    <row r="5" spans="1:17" x14ac:dyDescent="0.4">
      <c r="A5" s="55" t="s">
        <v>7</v>
      </c>
      <c r="B5" s="160">
        <f>IF(B$2=0,0,B$4/B$2)</f>
        <v>-33.65</v>
      </c>
      <c r="C5" s="161"/>
      <c r="E5" s="63" t="s">
        <v>90</v>
      </c>
      <c r="F5" s="60" t="s">
        <v>45</v>
      </c>
      <c r="G5" s="47">
        <v>2</v>
      </c>
      <c r="H5" s="133">
        <f t="shared" si="0"/>
        <v>0.4</v>
      </c>
      <c r="I5" s="94">
        <v>1</v>
      </c>
      <c r="N5" s="115" t="s">
        <v>134</v>
      </c>
      <c r="O5" s="122">
        <f t="shared" si="1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50">
        <f>IF(B$2=0,0,(B$7*1+B$8*2+B$9*3)/B$2)</f>
        <v>2.5</v>
      </c>
      <c r="C6" s="151"/>
      <c r="E6" s="63" t="s">
        <v>72</v>
      </c>
      <c r="F6" s="60" t="s">
        <v>27</v>
      </c>
      <c r="G6" s="47">
        <v>1</v>
      </c>
      <c r="H6" s="133">
        <f t="shared" si="0"/>
        <v>0.2</v>
      </c>
      <c r="I6" s="94">
        <v>2</v>
      </c>
      <c r="N6" s="115" t="s">
        <v>135</v>
      </c>
      <c r="O6" s="122">
        <f t="shared" si="1"/>
        <v>22500</v>
      </c>
      <c r="P6" s="119">
        <v>1</v>
      </c>
      <c r="Q6" s="103">
        <v>22500</v>
      </c>
    </row>
    <row r="7" spans="1:17" x14ac:dyDescent="0.4">
      <c r="A7" s="55" t="s">
        <v>2</v>
      </c>
      <c r="B7" s="47">
        <v>0</v>
      </c>
      <c r="C7" s="39">
        <f t="shared" ref="C7:C12" si="2">IF(B$2=0,0,B7/B$2)</f>
        <v>0</v>
      </c>
      <c r="E7" s="63" t="s">
        <v>73</v>
      </c>
      <c r="F7" s="60" t="s">
        <v>28</v>
      </c>
      <c r="G7" s="47">
        <v>1</v>
      </c>
      <c r="H7" s="133">
        <f t="shared" si="0"/>
        <v>0.2</v>
      </c>
      <c r="I7" s="94">
        <v>7</v>
      </c>
      <c r="N7" s="116" t="s">
        <v>136</v>
      </c>
      <c r="O7" s="123">
        <f t="shared" si="1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2"/>
        <v>0.5</v>
      </c>
      <c r="E8" s="63" t="s">
        <v>82</v>
      </c>
      <c r="F8" s="60" t="s">
        <v>37</v>
      </c>
      <c r="G8" s="47">
        <v>1</v>
      </c>
      <c r="H8" s="133">
        <f t="shared" si="0"/>
        <v>0.2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si="2"/>
        <v>0.5</v>
      </c>
      <c r="E9" s="63" t="s">
        <v>66</v>
      </c>
      <c r="F9" s="60" t="s">
        <v>22</v>
      </c>
      <c r="G9" s="47">
        <v>0</v>
      </c>
      <c r="H9" s="133">
        <f t="shared" si="0"/>
        <v>0</v>
      </c>
      <c r="I9" s="94">
        <v>4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1</v>
      </c>
      <c r="C10" s="40">
        <f t="shared" si="2"/>
        <v>0.5</v>
      </c>
      <c r="E10" s="63" t="s">
        <v>68</v>
      </c>
      <c r="F10" s="60" t="s">
        <v>24</v>
      </c>
      <c r="G10" s="47">
        <v>0</v>
      </c>
      <c r="H10" s="133">
        <f t="shared" si="0"/>
        <v>0</v>
      </c>
      <c r="I10" s="94">
        <v>6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70</v>
      </c>
      <c r="F11" s="60" t="s">
        <v>25</v>
      </c>
      <c r="G11" s="47">
        <v>0</v>
      </c>
      <c r="H11" s="133">
        <f t="shared" si="0"/>
        <v>0</v>
      </c>
      <c r="I11" s="94">
        <v>6</v>
      </c>
      <c r="N11" s="115" t="s">
        <v>164</v>
      </c>
      <c r="O11" s="125">
        <f>IF(P11=0,0,Q11/P11)</f>
        <v>-9.1</v>
      </c>
      <c r="P11" s="119">
        <v>1</v>
      </c>
      <c r="Q11" s="107">
        <v>-9.1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71</v>
      </c>
      <c r="F12" s="60" t="s">
        <v>26</v>
      </c>
      <c r="G12" s="47">
        <v>0</v>
      </c>
      <c r="H12" s="133">
        <f t="shared" si="0"/>
        <v>0</v>
      </c>
      <c r="I12" s="94">
        <v>4</v>
      </c>
      <c r="N12" s="116" t="s">
        <v>165</v>
      </c>
      <c r="O12" s="126">
        <f>IF(P12=0,0,Q12/P12)</f>
        <v>-58.2</v>
      </c>
      <c r="P12" s="120">
        <v>1</v>
      </c>
      <c r="Q12" s="108">
        <v>-58.2</v>
      </c>
    </row>
    <row r="13" spans="1:17" x14ac:dyDescent="0.4">
      <c r="A13" s="58" t="s">
        <v>122</v>
      </c>
      <c r="B13" s="50">
        <v>3</v>
      </c>
      <c r="C13" s="44">
        <f>IF(B$3=0,0,B13/B$3)</f>
        <v>0.15</v>
      </c>
      <c r="E13" s="63" t="s">
        <v>74</v>
      </c>
      <c r="F13" s="60" t="s">
        <v>29</v>
      </c>
      <c r="G13" s="47">
        <v>0</v>
      </c>
      <c r="H13" s="133">
        <f t="shared" si="0"/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0.1</v>
      </c>
      <c r="E14" s="63" t="s">
        <v>75</v>
      </c>
      <c r="F14" s="60" t="s">
        <v>30</v>
      </c>
      <c r="G14" s="47">
        <v>0</v>
      </c>
      <c r="H14" s="133">
        <f t="shared" si="0"/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0.66666666666666663</v>
      </c>
      <c r="E15" s="63" t="s">
        <v>76</v>
      </c>
      <c r="F15" s="60" t="s">
        <v>31</v>
      </c>
      <c r="G15" s="47">
        <v>0</v>
      </c>
      <c r="H15" s="133">
        <f t="shared" si="0"/>
        <v>0</v>
      </c>
      <c r="I15" s="94">
        <v>1</v>
      </c>
      <c r="N15" s="114" t="s">
        <v>180</v>
      </c>
      <c r="O15" s="124">
        <f>IF(P15=0,0,Q15/P15)</f>
        <v>28.699999999999996</v>
      </c>
      <c r="P15" s="118">
        <v>1</v>
      </c>
      <c r="Q15" s="106">
        <v>28.699999999999996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77</v>
      </c>
      <c r="F16" s="60" t="s">
        <v>32</v>
      </c>
      <c r="G16" s="47">
        <v>0</v>
      </c>
      <c r="H16" s="133">
        <f t="shared" si="0"/>
        <v>0</v>
      </c>
      <c r="I16" s="94">
        <v>1</v>
      </c>
      <c r="N16" s="115" t="s">
        <v>183</v>
      </c>
      <c r="O16" s="125">
        <f>IF(P16=0,0,Q16/P16)</f>
        <v>-46.2</v>
      </c>
      <c r="P16" s="119">
        <v>1</v>
      </c>
      <c r="Q16" s="107">
        <v>-46.2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0.25</v>
      </c>
      <c r="E17" s="63" t="s">
        <v>78</v>
      </c>
      <c r="F17" s="60" t="s">
        <v>33</v>
      </c>
      <c r="G17" s="47">
        <v>0</v>
      </c>
      <c r="H17" s="133">
        <f t="shared" si="0"/>
        <v>0</v>
      </c>
      <c r="I17" s="94">
        <v>1</v>
      </c>
      <c r="N17" s="115" t="s">
        <v>179</v>
      </c>
      <c r="O17" s="125">
        <f>IF(P17=0,0,Q17/P17)</f>
        <v>-56</v>
      </c>
      <c r="P17" s="119">
        <v>1</v>
      </c>
      <c r="Q17" s="107">
        <v>-56</v>
      </c>
    </row>
    <row r="18" spans="1:17" x14ac:dyDescent="0.4">
      <c r="A18" s="55" t="s">
        <v>12</v>
      </c>
      <c r="B18" s="47">
        <v>2</v>
      </c>
      <c r="C18" s="39">
        <f>IF(B$17=0,0,B18/B$17)</f>
        <v>0.4</v>
      </c>
      <c r="E18" s="63" t="s">
        <v>79</v>
      </c>
      <c r="F18" s="60" t="s">
        <v>34</v>
      </c>
      <c r="G18" s="47">
        <v>0</v>
      </c>
      <c r="H18" s="133">
        <f t="shared" si="0"/>
        <v>0</v>
      </c>
      <c r="I18" s="94">
        <v>1</v>
      </c>
      <c r="N18" s="115" t="s">
        <v>182</v>
      </c>
      <c r="O18" s="125">
        <f>IF(P18=0,0,Q18/P18)</f>
        <v>-128.4</v>
      </c>
      <c r="P18" s="119">
        <v>1</v>
      </c>
      <c r="Q18" s="107">
        <v>-128.4</v>
      </c>
    </row>
    <row r="19" spans="1:17" x14ac:dyDescent="0.4">
      <c r="A19" s="55" t="s">
        <v>11</v>
      </c>
      <c r="B19" s="47">
        <v>3</v>
      </c>
      <c r="C19" s="39">
        <f>IF(B$17=0,0,B19/B$17)</f>
        <v>0.6</v>
      </c>
      <c r="E19" s="63" t="s">
        <v>80</v>
      </c>
      <c r="F19" s="60" t="s">
        <v>35</v>
      </c>
      <c r="G19" s="47">
        <v>0</v>
      </c>
      <c r="H19" s="133">
        <f t="shared" si="0"/>
        <v>0</v>
      </c>
      <c r="I19" s="94">
        <v>3</v>
      </c>
    </row>
    <row r="20" spans="1:17" x14ac:dyDescent="0.4">
      <c r="A20" s="55" t="s">
        <v>13</v>
      </c>
      <c r="B20" s="47">
        <v>6</v>
      </c>
      <c r="C20" s="39">
        <f>IF(B$3=0,0,B20/B$3)</f>
        <v>0.3</v>
      </c>
      <c r="E20" s="63" t="s">
        <v>81</v>
      </c>
      <c r="F20" s="60" t="s">
        <v>36</v>
      </c>
      <c r="G20" s="47">
        <v>0</v>
      </c>
      <c r="H20" s="133">
        <f t="shared" si="0"/>
        <v>0</v>
      </c>
      <c r="I20" s="94">
        <v>1</v>
      </c>
    </row>
    <row r="21" spans="1:17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 t="shared" si="0"/>
        <v>0</v>
      </c>
      <c r="I21" s="94">
        <v>1</v>
      </c>
    </row>
    <row r="22" spans="1:17" x14ac:dyDescent="0.4">
      <c r="A22" s="55" t="s">
        <v>171</v>
      </c>
      <c r="B22" s="47">
        <v>4</v>
      </c>
      <c r="C22" s="135">
        <v>0</v>
      </c>
      <c r="E22" s="63" t="s">
        <v>84</v>
      </c>
      <c r="F22" s="60" t="s">
        <v>39</v>
      </c>
      <c r="G22" s="47">
        <v>0</v>
      </c>
      <c r="H22" s="133">
        <f t="shared" si="0"/>
        <v>0</v>
      </c>
      <c r="I22" s="94">
        <v>5</v>
      </c>
    </row>
    <row r="23" spans="1:17" x14ac:dyDescent="0.4">
      <c r="A23" s="55" t="s">
        <v>5</v>
      </c>
      <c r="B23" s="51">
        <f>IF(B$17=0,0,C23/B$17)</f>
        <v>8100</v>
      </c>
      <c r="C23" s="41">
        <v>40500</v>
      </c>
      <c r="E23" s="63" t="s">
        <v>85</v>
      </c>
      <c r="F23" s="60" t="s">
        <v>40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-14300</v>
      </c>
      <c r="C24" s="45">
        <v>-85800</v>
      </c>
      <c r="E24" s="63" t="s">
        <v>86</v>
      </c>
      <c r="F24" s="60" t="s">
        <v>41</v>
      </c>
      <c r="G24" s="47">
        <v>0</v>
      </c>
      <c r="H24" s="133">
        <f t="shared" si="0"/>
        <v>0</v>
      </c>
      <c r="I24" s="94">
        <v>3</v>
      </c>
    </row>
    <row r="25" spans="1:17" x14ac:dyDescent="0.4">
      <c r="A25" s="90" t="s">
        <v>141</v>
      </c>
      <c r="B25" s="148">
        <v>4</v>
      </c>
      <c r="C25" s="149"/>
      <c r="E25" s="63" t="s">
        <v>87</v>
      </c>
      <c r="F25" s="60" t="s">
        <v>42</v>
      </c>
      <c r="G25" s="47">
        <v>0</v>
      </c>
      <c r="H25" s="133">
        <f t="shared" si="0"/>
        <v>0</v>
      </c>
      <c r="I25" s="94">
        <v>3</v>
      </c>
    </row>
    <row r="26" spans="1:17" x14ac:dyDescent="0.4">
      <c r="A26" s="58" t="s">
        <v>151</v>
      </c>
      <c r="B26" s="146">
        <v>25900</v>
      </c>
      <c r="C26" s="147"/>
      <c r="E26" s="63" t="s">
        <v>88</v>
      </c>
      <c r="F26" s="60" t="s">
        <v>43</v>
      </c>
      <c r="G26" s="47">
        <v>0</v>
      </c>
      <c r="H26" s="133">
        <f t="shared" si="0"/>
        <v>0</v>
      </c>
      <c r="I26" s="94">
        <v>3</v>
      </c>
    </row>
    <row r="27" spans="1:17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 t="shared" si="0"/>
        <v>0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1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1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0F31F-D947-4E83-A80B-F3C7EABE6693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179</v>
      </c>
      <c r="C1" s="153"/>
      <c r="E1" s="129" t="s">
        <v>166</v>
      </c>
      <c r="F1" s="143" t="s">
        <v>116</v>
      </c>
      <c r="G1" s="142" t="s">
        <v>117</v>
      </c>
      <c r="H1" s="130" t="s">
        <v>118</v>
      </c>
      <c r="I1" s="143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65</v>
      </c>
      <c r="F2" s="59" t="s">
        <v>21</v>
      </c>
      <c r="G2" s="46">
        <v>1</v>
      </c>
      <c r="H2" s="132">
        <f t="shared" ref="H2:H33" si="0">IF(B$17=0,0,G2/B$17)</f>
        <v>0.25</v>
      </c>
      <c r="I2" s="93">
        <v>8</v>
      </c>
      <c r="K2" s="36">
        <v>0</v>
      </c>
      <c r="L2" s="98">
        <v>0</v>
      </c>
      <c r="N2" s="114" t="s">
        <v>131</v>
      </c>
      <c r="O2" s="121">
        <f t="shared" ref="O2:O7" si="1">IF(P2=0,0,Q2/P2)</f>
        <v>-500</v>
      </c>
      <c r="P2" s="118">
        <v>1</v>
      </c>
      <c r="Q2" s="102">
        <v>-500</v>
      </c>
    </row>
    <row r="3" spans="1:17" x14ac:dyDescent="0.4">
      <c r="A3" s="55" t="s">
        <v>8</v>
      </c>
      <c r="B3" s="156">
        <v>11</v>
      </c>
      <c r="C3" s="157"/>
      <c r="E3" s="63" t="s">
        <v>66</v>
      </c>
      <c r="F3" s="60" t="s">
        <v>22</v>
      </c>
      <c r="G3" s="47">
        <v>0</v>
      </c>
      <c r="H3" s="133">
        <f t="shared" si="0"/>
        <v>0</v>
      </c>
      <c r="I3" s="94">
        <v>4</v>
      </c>
      <c r="K3" s="38">
        <v>1</v>
      </c>
      <c r="L3" s="99">
        <v>46.9</v>
      </c>
      <c r="N3" s="115" t="s">
        <v>132</v>
      </c>
      <c r="O3" s="122">
        <f t="shared" si="1"/>
        <v>9000</v>
      </c>
      <c r="P3" s="119">
        <v>1</v>
      </c>
      <c r="Q3" s="103">
        <v>9000</v>
      </c>
    </row>
    <row r="4" spans="1:17" x14ac:dyDescent="0.4">
      <c r="A4" s="55" t="s">
        <v>6</v>
      </c>
      <c r="B4" s="158">
        <v>46.9</v>
      </c>
      <c r="C4" s="159"/>
      <c r="E4" s="63" t="s">
        <v>67</v>
      </c>
      <c r="F4" s="60" t="s">
        <v>23</v>
      </c>
      <c r="G4" s="47">
        <v>0</v>
      </c>
      <c r="H4" s="133">
        <f t="shared" si="0"/>
        <v>0</v>
      </c>
      <c r="I4" s="94">
        <v>7</v>
      </c>
      <c r="N4" s="115" t="s">
        <v>133</v>
      </c>
      <c r="O4" s="122">
        <f t="shared" si="1"/>
        <v>9500</v>
      </c>
      <c r="P4" s="119">
        <v>1</v>
      </c>
      <c r="Q4" s="103">
        <v>9500</v>
      </c>
    </row>
    <row r="5" spans="1:17" x14ac:dyDescent="0.4">
      <c r="A5" s="55" t="s">
        <v>7</v>
      </c>
      <c r="B5" s="160">
        <f>IF(B$2=0,0,B$4/B$2)</f>
        <v>46.9</v>
      </c>
      <c r="C5" s="161"/>
      <c r="E5" s="63" t="s">
        <v>68</v>
      </c>
      <c r="F5" s="60" t="s">
        <v>24</v>
      </c>
      <c r="G5" s="47">
        <v>0</v>
      </c>
      <c r="H5" s="133">
        <f t="shared" si="0"/>
        <v>0</v>
      </c>
      <c r="I5" s="94">
        <v>6</v>
      </c>
      <c r="N5" s="115" t="s">
        <v>134</v>
      </c>
      <c r="O5" s="122">
        <f t="shared" si="1"/>
        <v>-600</v>
      </c>
      <c r="P5" s="119">
        <v>1</v>
      </c>
      <c r="Q5" s="103">
        <v>-600</v>
      </c>
    </row>
    <row r="6" spans="1:17" x14ac:dyDescent="0.4">
      <c r="A6" s="55" t="s">
        <v>1</v>
      </c>
      <c r="B6" s="150">
        <f>IF(B$2=0,0,(B$7*1+B$8*2+B$9*3)/B$2)</f>
        <v>1</v>
      </c>
      <c r="C6" s="151"/>
      <c r="E6" s="63" t="s">
        <v>69</v>
      </c>
      <c r="F6" s="60" t="s">
        <v>12</v>
      </c>
      <c r="G6" s="47">
        <v>0</v>
      </c>
      <c r="H6" s="133">
        <f t="shared" si="0"/>
        <v>0</v>
      </c>
      <c r="I6" s="94">
        <v>7</v>
      </c>
      <c r="N6" s="115" t="s">
        <v>135</v>
      </c>
      <c r="O6" s="122">
        <f t="shared" si="1"/>
        <v>-1500</v>
      </c>
      <c r="P6" s="119">
        <v>1</v>
      </c>
      <c r="Q6" s="103">
        <v>-1500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1</v>
      </c>
      <c r="E7" s="63" t="s">
        <v>70</v>
      </c>
      <c r="F7" s="60" t="s">
        <v>25</v>
      </c>
      <c r="G7" s="47">
        <v>0</v>
      </c>
      <c r="H7" s="133">
        <f t="shared" si="0"/>
        <v>0</v>
      </c>
      <c r="I7" s="94">
        <v>6</v>
      </c>
      <c r="N7" s="116" t="s">
        <v>136</v>
      </c>
      <c r="O7" s="123">
        <f t="shared" si="1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 t="shared" si="2"/>
        <v>0</v>
      </c>
      <c r="E8" s="63" t="s">
        <v>71</v>
      </c>
      <c r="F8" s="60" t="s">
        <v>26</v>
      </c>
      <c r="G8" s="47">
        <v>1</v>
      </c>
      <c r="H8" s="133">
        <f t="shared" si="0"/>
        <v>0.25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2"/>
        <v>0</v>
      </c>
      <c r="E9" s="63" t="s">
        <v>72</v>
      </c>
      <c r="F9" s="60" t="s">
        <v>27</v>
      </c>
      <c r="G9" s="47">
        <v>0</v>
      </c>
      <c r="H9" s="133">
        <f t="shared" si="0"/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73</v>
      </c>
      <c r="F10" s="60" t="s">
        <v>28</v>
      </c>
      <c r="G10" s="47">
        <v>5</v>
      </c>
      <c r="H10" s="133">
        <f t="shared" si="0"/>
        <v>1.25</v>
      </c>
      <c r="I10" s="94">
        <v>1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74</v>
      </c>
      <c r="F11" s="60" t="s">
        <v>29</v>
      </c>
      <c r="G11" s="47">
        <v>0</v>
      </c>
      <c r="H11" s="133">
        <f t="shared" si="0"/>
        <v>0</v>
      </c>
      <c r="I11" s="94">
        <v>1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75</v>
      </c>
      <c r="F12" s="60" t="s">
        <v>30</v>
      </c>
      <c r="G12" s="47">
        <v>0</v>
      </c>
      <c r="H12" s="133">
        <f t="shared" si="0"/>
        <v>0</v>
      </c>
      <c r="I12" s="94">
        <v>1</v>
      </c>
      <c r="N12" s="116" t="s">
        <v>165</v>
      </c>
      <c r="O12" s="126">
        <f>IF(P12=0,0,Q12/P12)</f>
        <v>46.9</v>
      </c>
      <c r="P12" s="120">
        <v>1</v>
      </c>
      <c r="Q12" s="108">
        <v>46.9</v>
      </c>
    </row>
    <row r="13" spans="1:17" x14ac:dyDescent="0.4">
      <c r="A13" s="58" t="s">
        <v>122</v>
      </c>
      <c r="B13" s="50">
        <v>1</v>
      </c>
      <c r="C13" s="44">
        <f>IF(B$3=0,0,B13/B$3)</f>
        <v>9.0909090909090912E-2</v>
      </c>
      <c r="E13" s="63" t="s">
        <v>76</v>
      </c>
      <c r="F13" s="60" t="s">
        <v>31</v>
      </c>
      <c r="G13" s="47">
        <v>0</v>
      </c>
      <c r="H13" s="133">
        <f t="shared" si="0"/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</v>
      </c>
      <c r="C14" s="39">
        <f>IF(B$3=0,0,B14/B$3)</f>
        <v>0.27272727272727271</v>
      </c>
      <c r="E14" s="63" t="s">
        <v>77</v>
      </c>
      <c r="F14" s="60" t="s">
        <v>32</v>
      </c>
      <c r="G14" s="47">
        <v>0</v>
      </c>
      <c r="H14" s="133">
        <f t="shared" si="0"/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1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 t="shared" si="0"/>
        <v>0</v>
      </c>
      <c r="I15" s="94">
        <v>1</v>
      </c>
      <c r="N15" s="114" t="s">
        <v>180</v>
      </c>
      <c r="O15" s="124">
        <f>IF(P15=0,0,Q15/P15)</f>
        <v>84.699999999999989</v>
      </c>
      <c r="P15" s="118">
        <v>1</v>
      </c>
      <c r="Q15" s="106">
        <v>84.699999999999989</v>
      </c>
    </row>
    <row r="16" spans="1:17" x14ac:dyDescent="0.4">
      <c r="A16" s="54" t="s">
        <v>125</v>
      </c>
      <c r="B16" s="46">
        <v>3</v>
      </c>
      <c r="C16" s="37">
        <f>IF(B$14=0,0,B16/B$14)</f>
        <v>1</v>
      </c>
      <c r="E16" s="63" t="s">
        <v>79</v>
      </c>
      <c r="F16" s="60" t="s">
        <v>34</v>
      </c>
      <c r="G16" s="47">
        <v>0</v>
      </c>
      <c r="H16" s="133">
        <f t="shared" si="0"/>
        <v>0</v>
      </c>
      <c r="I16" s="94">
        <v>1</v>
      </c>
      <c r="N16" s="115" t="s">
        <v>178</v>
      </c>
      <c r="O16" s="125">
        <f>IF(P16=0,0,Q16/P16)</f>
        <v>56</v>
      </c>
      <c r="P16" s="119">
        <v>1</v>
      </c>
      <c r="Q16" s="107">
        <v>56</v>
      </c>
    </row>
    <row r="17" spans="1:9" x14ac:dyDescent="0.4">
      <c r="A17" s="54" t="s">
        <v>10</v>
      </c>
      <c r="B17" s="46">
        <f>B19+B18</f>
        <v>4</v>
      </c>
      <c r="C17" s="37">
        <f>IF(B$3=0,0,B17/B$3)</f>
        <v>0.36363636363636365</v>
      </c>
      <c r="E17" s="63" t="s">
        <v>80</v>
      </c>
      <c r="F17" s="60" t="s">
        <v>35</v>
      </c>
      <c r="G17" s="47">
        <v>2</v>
      </c>
      <c r="H17" s="133">
        <f t="shared" si="0"/>
        <v>0.5</v>
      </c>
      <c r="I17" s="94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0.25</v>
      </c>
      <c r="E18" s="63" t="s">
        <v>81</v>
      </c>
      <c r="F18" s="60" t="s">
        <v>36</v>
      </c>
      <c r="G18" s="47">
        <v>0</v>
      </c>
      <c r="H18" s="133">
        <f t="shared" si="0"/>
        <v>0</v>
      </c>
      <c r="I18" s="94">
        <v>1</v>
      </c>
    </row>
    <row r="19" spans="1:9" x14ac:dyDescent="0.4">
      <c r="A19" s="55" t="s">
        <v>11</v>
      </c>
      <c r="B19" s="47">
        <v>3</v>
      </c>
      <c r="C19" s="39">
        <f>IF(B$17=0,0,B19/B$17)</f>
        <v>0.75</v>
      </c>
      <c r="E19" s="63" t="s">
        <v>82</v>
      </c>
      <c r="F19" s="60" t="s">
        <v>37</v>
      </c>
      <c r="G19" s="47">
        <v>0</v>
      </c>
      <c r="H19" s="133">
        <f t="shared" si="0"/>
        <v>0</v>
      </c>
      <c r="I19" s="94">
        <v>4</v>
      </c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60" t="s">
        <v>38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170</v>
      </c>
      <c r="B21" s="47">
        <v>3</v>
      </c>
      <c r="C21" s="135">
        <v>1</v>
      </c>
      <c r="E21" s="63" t="s">
        <v>84</v>
      </c>
      <c r="F21" s="60" t="s">
        <v>39</v>
      </c>
      <c r="G21" s="47">
        <v>2</v>
      </c>
      <c r="H21" s="133">
        <f t="shared" si="0"/>
        <v>0.5</v>
      </c>
      <c r="I21" s="94">
        <v>1</v>
      </c>
    </row>
    <row r="22" spans="1:9" x14ac:dyDescent="0.4">
      <c r="A22" s="55" t="s">
        <v>171</v>
      </c>
      <c r="B22" s="47">
        <v>11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 t="shared" si="0"/>
        <v>0</v>
      </c>
      <c r="I22" s="94">
        <v>1</v>
      </c>
    </row>
    <row r="23" spans="1:9" x14ac:dyDescent="0.4">
      <c r="A23" s="55" t="s">
        <v>5</v>
      </c>
      <c r="B23" s="51">
        <f>IF(B$17=0,0,C23/B$17)</f>
        <v>8950</v>
      </c>
      <c r="C23" s="41">
        <v>35800</v>
      </c>
      <c r="E23" s="63" t="s">
        <v>86</v>
      </c>
      <c r="F23" s="60" t="s">
        <v>41</v>
      </c>
      <c r="G23" s="47">
        <v>1</v>
      </c>
      <c r="H23" s="133">
        <f t="shared" si="0"/>
        <v>0.25</v>
      </c>
      <c r="I23" s="94">
        <v>1</v>
      </c>
    </row>
    <row r="24" spans="1:9" x14ac:dyDescent="0.4">
      <c r="A24" s="57" t="s">
        <v>14</v>
      </c>
      <c r="B24" s="52">
        <f>IF(B$20=0,0,C24/B$20)</f>
        <v>0</v>
      </c>
      <c r="C24" s="45">
        <v>0</v>
      </c>
      <c r="E24" s="63" t="s">
        <v>87</v>
      </c>
      <c r="F24" s="60" t="s">
        <v>42</v>
      </c>
      <c r="G24" s="47">
        <v>0</v>
      </c>
      <c r="H24" s="133">
        <f t="shared" si="0"/>
        <v>0</v>
      </c>
      <c r="I24" s="94">
        <v>3</v>
      </c>
    </row>
    <row r="25" spans="1:9" x14ac:dyDescent="0.4">
      <c r="A25" s="90" t="s">
        <v>141</v>
      </c>
      <c r="B25" s="148">
        <v>0</v>
      </c>
      <c r="C25" s="149"/>
      <c r="E25" s="63" t="s">
        <v>88</v>
      </c>
      <c r="F25" s="60" t="s">
        <v>43</v>
      </c>
      <c r="G25" s="47">
        <v>0</v>
      </c>
      <c r="H25" s="133">
        <f t="shared" si="0"/>
        <v>0</v>
      </c>
      <c r="I25" s="94">
        <v>3</v>
      </c>
    </row>
    <row r="26" spans="1:9" x14ac:dyDescent="0.4">
      <c r="A26" s="58" t="s">
        <v>151</v>
      </c>
      <c r="B26" s="146">
        <v>71900</v>
      </c>
      <c r="C26" s="147"/>
      <c r="E26" s="63" t="s">
        <v>89</v>
      </c>
      <c r="F26" s="60" t="s">
        <v>44</v>
      </c>
      <c r="G26" s="47">
        <v>0</v>
      </c>
      <c r="H26" s="133">
        <f t="shared" si="0"/>
        <v>0</v>
      </c>
      <c r="I26" s="94">
        <v>1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 t="shared" si="0"/>
        <v>0</v>
      </c>
      <c r="I27" s="94">
        <v>4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 t="shared" si="0"/>
        <v>0</v>
      </c>
      <c r="I28" s="94">
        <v>1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 t="shared" si="0"/>
        <v>0</v>
      </c>
      <c r="I29" s="94">
        <v>1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 t="shared" si="0"/>
        <v>0</v>
      </c>
      <c r="I30" s="94">
        <v>1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 t="shared" si="0"/>
        <v>0</v>
      </c>
      <c r="I31" s="94">
        <v>1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168</v>
      </c>
      <c r="F50" s="60" t="s">
        <v>169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172</v>
      </c>
      <c r="F51" s="137" t="s">
        <v>173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79CB1-8F95-4ADD-8488-5F38D2F45E6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183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68</v>
      </c>
      <c r="F2" s="59" t="s">
        <v>24</v>
      </c>
      <c r="G2" s="46">
        <v>4</v>
      </c>
      <c r="H2" s="132">
        <f t="shared" ref="H2:H33" si="0">IF(B$17=0,0,G2/B$17)</f>
        <v>1.3333333333333333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1">IF(P2=0,0,Q2/P2)</f>
        <v>2300</v>
      </c>
      <c r="P2" s="118">
        <v>1</v>
      </c>
      <c r="Q2" s="102">
        <v>2300</v>
      </c>
    </row>
    <row r="3" spans="1:17" x14ac:dyDescent="0.4">
      <c r="A3" s="55" t="s">
        <v>8</v>
      </c>
      <c r="B3" s="156">
        <v>9</v>
      </c>
      <c r="C3" s="157"/>
      <c r="E3" s="63" t="s">
        <v>65</v>
      </c>
      <c r="F3" s="60" t="s">
        <v>21</v>
      </c>
      <c r="G3" s="47">
        <v>2</v>
      </c>
      <c r="H3" s="133">
        <f t="shared" si="0"/>
        <v>0.66666666666666663</v>
      </c>
      <c r="I3" s="94">
        <v>3</v>
      </c>
      <c r="K3" s="38">
        <v>1</v>
      </c>
      <c r="L3" s="99">
        <v>-12</v>
      </c>
      <c r="N3" s="115" t="s">
        <v>132</v>
      </c>
      <c r="O3" s="122">
        <f t="shared" si="1"/>
        <v>-23000</v>
      </c>
      <c r="P3" s="119">
        <v>1</v>
      </c>
      <c r="Q3" s="103">
        <v>-23000</v>
      </c>
    </row>
    <row r="4" spans="1:17" x14ac:dyDescent="0.4">
      <c r="A4" s="55" t="s">
        <v>6</v>
      </c>
      <c r="B4" s="158">
        <v>-12</v>
      </c>
      <c r="C4" s="159"/>
      <c r="E4" s="63" t="s">
        <v>73</v>
      </c>
      <c r="F4" s="60" t="s">
        <v>28</v>
      </c>
      <c r="G4" s="47">
        <v>2</v>
      </c>
      <c r="H4" s="133">
        <f t="shared" si="0"/>
        <v>0.66666666666666663</v>
      </c>
      <c r="I4" s="94">
        <v>2</v>
      </c>
      <c r="N4" s="115" t="s">
        <v>133</v>
      </c>
      <c r="O4" s="122">
        <f t="shared" si="1"/>
        <v>2200</v>
      </c>
      <c r="P4" s="119">
        <v>1</v>
      </c>
      <c r="Q4" s="103">
        <v>2200</v>
      </c>
    </row>
    <row r="5" spans="1:17" x14ac:dyDescent="0.4">
      <c r="A5" s="55" t="s">
        <v>7</v>
      </c>
      <c r="B5" s="160">
        <f>IF(B$2=0,0,B$4/B$2)</f>
        <v>-12</v>
      </c>
      <c r="C5" s="161"/>
      <c r="E5" s="63" t="s">
        <v>172</v>
      </c>
      <c r="F5" s="60" t="s">
        <v>173</v>
      </c>
      <c r="G5" s="47">
        <v>2</v>
      </c>
      <c r="H5" s="133">
        <f t="shared" si="0"/>
        <v>0.66666666666666663</v>
      </c>
      <c r="I5" s="94">
        <v>3</v>
      </c>
      <c r="N5" s="115" t="s">
        <v>134</v>
      </c>
      <c r="O5" s="122">
        <f t="shared" si="1"/>
        <v>6500</v>
      </c>
      <c r="P5" s="119">
        <v>1</v>
      </c>
      <c r="Q5" s="103">
        <v>6500</v>
      </c>
    </row>
    <row r="6" spans="1:17" x14ac:dyDescent="0.4">
      <c r="A6" s="55" t="s">
        <v>1</v>
      </c>
      <c r="B6" s="150">
        <f>IF(B$2=0,0,(B$7*1+B$8*2+B$9*3)/B$2)</f>
        <v>2</v>
      </c>
      <c r="C6" s="151"/>
      <c r="E6" s="63" t="s">
        <v>66</v>
      </c>
      <c r="F6" s="60" t="s">
        <v>22</v>
      </c>
      <c r="G6" s="47">
        <v>1</v>
      </c>
      <c r="H6" s="133">
        <f t="shared" si="0"/>
        <v>0.33333333333333331</v>
      </c>
      <c r="I6" s="94">
        <v>1</v>
      </c>
      <c r="N6" s="115" t="s">
        <v>135</v>
      </c>
      <c r="O6" s="122">
        <f t="shared" si="1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0</v>
      </c>
      <c r="C7" s="39">
        <f t="shared" ref="C7:C12" si="2">IF(B$2=0,0,B7/B$2)</f>
        <v>0</v>
      </c>
      <c r="E7" s="63" t="s">
        <v>67</v>
      </c>
      <c r="F7" s="60" t="s">
        <v>23</v>
      </c>
      <c r="G7" s="47">
        <v>0</v>
      </c>
      <c r="H7" s="133">
        <f t="shared" si="0"/>
        <v>0</v>
      </c>
      <c r="I7" s="94">
        <v>7</v>
      </c>
      <c r="N7" s="116" t="s">
        <v>136</v>
      </c>
      <c r="O7" s="123">
        <f t="shared" si="1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2"/>
        <v>1</v>
      </c>
      <c r="E8" s="63" t="s">
        <v>69</v>
      </c>
      <c r="F8" s="60" t="s">
        <v>12</v>
      </c>
      <c r="G8" s="47">
        <v>0</v>
      </c>
      <c r="H8" s="133">
        <f t="shared" si="0"/>
        <v>0</v>
      </c>
      <c r="I8" s="94">
        <v>7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2"/>
        <v>0</v>
      </c>
      <c r="E9" s="63" t="s">
        <v>70</v>
      </c>
      <c r="F9" s="60" t="s">
        <v>25</v>
      </c>
      <c r="G9" s="47">
        <v>0</v>
      </c>
      <c r="H9" s="133">
        <f t="shared" si="0"/>
        <v>0</v>
      </c>
      <c r="I9" s="94">
        <v>6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71</v>
      </c>
      <c r="F10" s="60" t="s">
        <v>26</v>
      </c>
      <c r="G10" s="47">
        <v>0</v>
      </c>
      <c r="H10" s="133">
        <f t="shared" si="0"/>
        <v>0</v>
      </c>
      <c r="I10" s="94">
        <v>4</v>
      </c>
      <c r="N10" s="114" t="s">
        <v>163</v>
      </c>
      <c r="O10" s="124">
        <f>IF(P10=0,0,Q10/P10)</f>
        <v>-12</v>
      </c>
      <c r="P10" s="118">
        <v>1</v>
      </c>
      <c r="Q10" s="106">
        <v>-12</v>
      </c>
    </row>
    <row r="11" spans="1:17" x14ac:dyDescent="0.4">
      <c r="A11" s="56" t="s">
        <v>139</v>
      </c>
      <c r="B11" s="48">
        <v>0</v>
      </c>
      <c r="C11" s="40">
        <f t="shared" si="2"/>
        <v>0</v>
      </c>
      <c r="E11" s="63" t="s">
        <v>72</v>
      </c>
      <c r="F11" s="60" t="s">
        <v>27</v>
      </c>
      <c r="G11" s="47">
        <v>0</v>
      </c>
      <c r="H11" s="133">
        <f t="shared" si="0"/>
        <v>0</v>
      </c>
      <c r="I11" s="94">
        <v>6</v>
      </c>
      <c r="N11" s="115" t="s">
        <v>164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74</v>
      </c>
      <c r="F12" s="60" t="s">
        <v>29</v>
      </c>
      <c r="G12" s="47">
        <v>0</v>
      </c>
      <c r="H12" s="133">
        <f t="shared" si="0"/>
        <v>0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4</v>
      </c>
      <c r="C13" s="44">
        <f>IF(B$3=0,0,B13/B$3)</f>
        <v>0.44444444444444442</v>
      </c>
      <c r="E13" s="63" t="s">
        <v>75</v>
      </c>
      <c r="F13" s="60" t="s">
        <v>30</v>
      </c>
      <c r="G13" s="47">
        <v>0</v>
      </c>
      <c r="H13" s="133">
        <f t="shared" si="0"/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</v>
      </c>
      <c r="C14" s="39">
        <f>IF(B$3=0,0,B14/B$3)</f>
        <v>0.22222222222222221</v>
      </c>
      <c r="E14" s="63" t="s">
        <v>76</v>
      </c>
      <c r="F14" s="60" t="s">
        <v>31</v>
      </c>
      <c r="G14" s="47">
        <v>0</v>
      </c>
      <c r="H14" s="133">
        <f t="shared" si="0"/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2</v>
      </c>
      <c r="C15" s="37">
        <f>IF(B$13=0,0,B15/B$13)</f>
        <v>0.5</v>
      </c>
      <c r="E15" s="63" t="s">
        <v>77</v>
      </c>
      <c r="F15" s="60" t="s">
        <v>32</v>
      </c>
      <c r="G15" s="47">
        <v>0</v>
      </c>
      <c r="H15" s="133">
        <f t="shared" si="0"/>
        <v>0</v>
      </c>
      <c r="I15" s="94">
        <v>1</v>
      </c>
      <c r="N15" s="114" t="s">
        <v>178</v>
      </c>
      <c r="O15" s="124">
        <f>IF(P15=0,0,Q15/P15)</f>
        <v>46.2</v>
      </c>
      <c r="P15" s="118">
        <v>1</v>
      </c>
      <c r="Q15" s="106">
        <v>46.2</v>
      </c>
    </row>
    <row r="16" spans="1:17" x14ac:dyDescent="0.4">
      <c r="A16" s="54" t="s">
        <v>125</v>
      </c>
      <c r="B16" s="46">
        <v>1</v>
      </c>
      <c r="C16" s="37">
        <f>IF(B$14=0,0,B16/B$14)</f>
        <v>0.5</v>
      </c>
      <c r="E16" s="63" t="s">
        <v>78</v>
      </c>
      <c r="F16" s="60" t="s">
        <v>33</v>
      </c>
      <c r="G16" s="47">
        <v>0</v>
      </c>
      <c r="H16" s="133">
        <f t="shared" si="0"/>
        <v>0</v>
      </c>
      <c r="I16" s="94">
        <v>1</v>
      </c>
      <c r="N16" s="115" t="s">
        <v>182</v>
      </c>
      <c r="O16" s="125">
        <f>IF(P16=0,0,Q16/P16)</f>
        <v>-82.2</v>
      </c>
      <c r="P16" s="119">
        <v>1</v>
      </c>
      <c r="Q16" s="107">
        <v>-82.2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0.33333333333333331</v>
      </c>
      <c r="E17" s="63" t="s">
        <v>79</v>
      </c>
      <c r="F17" s="60" t="s">
        <v>34</v>
      </c>
      <c r="G17" s="47">
        <v>0</v>
      </c>
      <c r="H17" s="133">
        <f t="shared" si="0"/>
        <v>0</v>
      </c>
      <c r="I17" s="94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0.33333333333333331</v>
      </c>
      <c r="E18" s="63" t="s">
        <v>80</v>
      </c>
      <c r="F18" s="60" t="s">
        <v>35</v>
      </c>
      <c r="G18" s="47">
        <v>0</v>
      </c>
      <c r="H18" s="133">
        <f t="shared" si="0"/>
        <v>0</v>
      </c>
      <c r="I18" s="94">
        <v>3</v>
      </c>
    </row>
    <row r="19" spans="1:9" x14ac:dyDescent="0.4">
      <c r="A19" s="55" t="s">
        <v>11</v>
      </c>
      <c r="B19" s="47">
        <v>2</v>
      </c>
      <c r="C19" s="39">
        <f>IF(B$17=0,0,B19/B$17)</f>
        <v>0.66666666666666663</v>
      </c>
      <c r="E19" s="63" t="s">
        <v>81</v>
      </c>
      <c r="F19" s="60" t="s">
        <v>36</v>
      </c>
      <c r="G19" s="47">
        <v>0</v>
      </c>
      <c r="H19" s="133">
        <f t="shared" si="0"/>
        <v>0</v>
      </c>
      <c r="I19" s="94">
        <v>1</v>
      </c>
    </row>
    <row r="20" spans="1:9" x14ac:dyDescent="0.4">
      <c r="A20" s="55" t="s">
        <v>13</v>
      </c>
      <c r="B20" s="47">
        <v>3</v>
      </c>
      <c r="C20" s="39">
        <f>IF(B$3=0,0,B20/B$3)</f>
        <v>0.33333333333333331</v>
      </c>
      <c r="E20" s="63" t="s">
        <v>82</v>
      </c>
      <c r="F20" s="60" t="s">
        <v>37</v>
      </c>
      <c r="G20" s="47">
        <v>0</v>
      </c>
      <c r="H20" s="133">
        <f t="shared" si="0"/>
        <v>0</v>
      </c>
      <c r="I20" s="94">
        <v>4</v>
      </c>
    </row>
    <row r="21" spans="1:9" x14ac:dyDescent="0.4">
      <c r="A21" s="55" t="s">
        <v>170</v>
      </c>
      <c r="B21" s="47">
        <v>2</v>
      </c>
      <c r="C21" s="135">
        <v>0</v>
      </c>
      <c r="E21" s="63" t="s">
        <v>83</v>
      </c>
      <c r="F21" s="60" t="s">
        <v>38</v>
      </c>
      <c r="G21" s="47">
        <v>0</v>
      </c>
      <c r="H21" s="133">
        <f t="shared" si="0"/>
        <v>0</v>
      </c>
      <c r="I21" s="94">
        <v>1</v>
      </c>
    </row>
    <row r="22" spans="1:9" x14ac:dyDescent="0.4">
      <c r="A22" s="55" t="s">
        <v>171</v>
      </c>
      <c r="B22" s="47">
        <v>4</v>
      </c>
      <c r="C22" s="135">
        <v>4</v>
      </c>
      <c r="E22" s="63" t="s">
        <v>84</v>
      </c>
      <c r="F22" s="60" t="s">
        <v>39</v>
      </c>
      <c r="G22" s="47">
        <v>0</v>
      </c>
      <c r="H22" s="133">
        <f t="shared" si="0"/>
        <v>0</v>
      </c>
      <c r="I22" s="94">
        <v>5</v>
      </c>
    </row>
    <row r="23" spans="1:9" x14ac:dyDescent="0.4">
      <c r="A23" s="55" t="s">
        <v>5</v>
      </c>
      <c r="B23" s="51">
        <f>IF(B$17=0,0,C23/B$17)</f>
        <v>8400</v>
      </c>
      <c r="C23" s="41">
        <v>25200</v>
      </c>
      <c r="E23" s="63" t="s">
        <v>85</v>
      </c>
      <c r="F23" s="60" t="s">
        <v>40</v>
      </c>
      <c r="G23" s="47">
        <v>0</v>
      </c>
      <c r="H23" s="133">
        <f t="shared" si="0"/>
        <v>0</v>
      </c>
      <c r="I23" s="94">
        <v>1</v>
      </c>
    </row>
    <row r="24" spans="1:9" x14ac:dyDescent="0.4">
      <c r="A24" s="57" t="s">
        <v>14</v>
      </c>
      <c r="B24" s="52">
        <f>IF(B$20=0,0,C24/B$20)</f>
        <v>-9233.3333333333339</v>
      </c>
      <c r="C24" s="45">
        <v>-27700</v>
      </c>
      <c r="E24" s="63" t="s">
        <v>86</v>
      </c>
      <c r="F24" s="60" t="s">
        <v>41</v>
      </c>
      <c r="G24" s="47">
        <v>0</v>
      </c>
      <c r="H24" s="133">
        <f t="shared" si="0"/>
        <v>0</v>
      </c>
      <c r="I24" s="94">
        <v>3</v>
      </c>
    </row>
    <row r="25" spans="1:9" x14ac:dyDescent="0.4">
      <c r="A25" s="90" t="s">
        <v>141</v>
      </c>
      <c r="B25" s="148">
        <v>4</v>
      </c>
      <c r="C25" s="149"/>
      <c r="E25" s="63" t="s">
        <v>87</v>
      </c>
      <c r="F25" s="60" t="s">
        <v>42</v>
      </c>
      <c r="G25" s="47">
        <v>0</v>
      </c>
      <c r="H25" s="133">
        <f t="shared" si="0"/>
        <v>0</v>
      </c>
      <c r="I25" s="94">
        <v>3</v>
      </c>
    </row>
    <row r="26" spans="1:9" x14ac:dyDescent="0.4">
      <c r="A26" s="58" t="s">
        <v>151</v>
      </c>
      <c r="B26" s="146">
        <v>23000</v>
      </c>
      <c r="C26" s="147"/>
      <c r="E26" s="63" t="s">
        <v>88</v>
      </c>
      <c r="F26" s="60" t="s">
        <v>43</v>
      </c>
      <c r="G26" s="47">
        <v>0</v>
      </c>
      <c r="H26" s="133">
        <f t="shared" si="0"/>
        <v>0</v>
      </c>
      <c r="I26" s="94">
        <v>3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 t="shared" si="0"/>
        <v>0</v>
      </c>
      <c r="I27" s="94">
        <v>1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 t="shared" si="0"/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3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724AB-7406-40D3-891A-C8A5F8E32FC5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52" t="s">
        <v>182</v>
      </c>
      <c r="C1" s="153"/>
      <c r="E1" s="129" t="s">
        <v>166</v>
      </c>
      <c r="F1" s="145" t="s">
        <v>116</v>
      </c>
      <c r="G1" s="144" t="s">
        <v>117</v>
      </c>
      <c r="H1" s="130" t="s">
        <v>118</v>
      </c>
      <c r="I1" s="145" t="s">
        <v>153</v>
      </c>
      <c r="K1" s="34" t="s">
        <v>20</v>
      </c>
      <c r="L1" s="35" t="s">
        <v>121</v>
      </c>
      <c r="M1" s="131"/>
      <c r="N1" s="113" t="s">
        <v>137</v>
      </c>
      <c r="O1" s="34" t="s">
        <v>138</v>
      </c>
      <c r="P1" s="117" t="s">
        <v>117</v>
      </c>
      <c r="Q1" s="101" t="s">
        <v>157</v>
      </c>
    </row>
    <row r="2" spans="1:17" x14ac:dyDescent="0.4">
      <c r="A2" s="54" t="s">
        <v>9</v>
      </c>
      <c r="B2" s="154">
        <v>1</v>
      </c>
      <c r="C2" s="155"/>
      <c r="E2" s="62" t="s">
        <v>67</v>
      </c>
      <c r="F2" s="59" t="s">
        <v>23</v>
      </c>
      <c r="G2" s="46">
        <v>9</v>
      </c>
      <c r="H2" s="132">
        <f t="shared" ref="H2:H33" si="0">IF(B$17=0,0,G2/B$17)</f>
        <v>1.8</v>
      </c>
      <c r="I2" s="93">
        <v>1</v>
      </c>
      <c r="K2" s="36">
        <v>0</v>
      </c>
      <c r="L2" s="98">
        <v>0</v>
      </c>
      <c r="N2" s="114" t="s">
        <v>131</v>
      </c>
      <c r="O2" s="121">
        <f t="shared" ref="O2:O7" si="1">IF(P2=0,0,Q2/P2)</f>
        <v>9700</v>
      </c>
      <c r="P2" s="118">
        <v>1</v>
      </c>
      <c r="Q2" s="102">
        <v>9700</v>
      </c>
    </row>
    <row r="3" spans="1:17" x14ac:dyDescent="0.4">
      <c r="A3" s="55" t="s">
        <v>8</v>
      </c>
      <c r="B3" s="156">
        <v>9</v>
      </c>
      <c r="C3" s="157"/>
      <c r="E3" s="63" t="s">
        <v>172</v>
      </c>
      <c r="F3" s="60" t="s">
        <v>173</v>
      </c>
      <c r="G3" s="47">
        <v>5</v>
      </c>
      <c r="H3" s="133">
        <f t="shared" si="0"/>
        <v>1</v>
      </c>
      <c r="I3" s="94">
        <v>1</v>
      </c>
      <c r="K3" s="38">
        <v>1</v>
      </c>
      <c r="L3" s="99">
        <v>70.2</v>
      </c>
      <c r="N3" s="115" t="s">
        <v>132</v>
      </c>
      <c r="O3" s="122">
        <f t="shared" si="1"/>
        <v>31000</v>
      </c>
      <c r="P3" s="119">
        <v>1</v>
      </c>
      <c r="Q3" s="103">
        <v>31000</v>
      </c>
    </row>
    <row r="4" spans="1:17" x14ac:dyDescent="0.4">
      <c r="A4" s="55" t="s">
        <v>6</v>
      </c>
      <c r="B4" s="158">
        <v>70.2</v>
      </c>
      <c r="C4" s="159"/>
      <c r="E4" s="63" t="s">
        <v>65</v>
      </c>
      <c r="F4" s="60" t="s">
        <v>21</v>
      </c>
      <c r="G4" s="47">
        <v>2</v>
      </c>
      <c r="H4" s="133">
        <f t="shared" si="0"/>
        <v>0.4</v>
      </c>
      <c r="I4" s="94">
        <v>5</v>
      </c>
      <c r="N4" s="115" t="s">
        <v>133</v>
      </c>
      <c r="O4" s="122">
        <f t="shared" si="1"/>
        <v>-1500</v>
      </c>
      <c r="P4" s="119">
        <v>1</v>
      </c>
      <c r="Q4" s="103">
        <v>-1500</v>
      </c>
    </row>
    <row r="5" spans="1:17" x14ac:dyDescent="0.4">
      <c r="A5" s="55" t="s">
        <v>7</v>
      </c>
      <c r="B5" s="160">
        <f>IF(B$2=0,0,B$4/B$2)</f>
        <v>70.2</v>
      </c>
      <c r="C5" s="161"/>
      <c r="E5" s="63" t="s">
        <v>70</v>
      </c>
      <c r="F5" s="60" t="s">
        <v>25</v>
      </c>
      <c r="G5" s="47">
        <v>2</v>
      </c>
      <c r="H5" s="133">
        <f t="shared" si="0"/>
        <v>0.4</v>
      </c>
      <c r="I5" s="94">
        <v>1</v>
      </c>
      <c r="N5" s="115" t="s">
        <v>134</v>
      </c>
      <c r="O5" s="122">
        <f t="shared" si="1"/>
        <v>-3000</v>
      </c>
      <c r="P5" s="119">
        <v>1</v>
      </c>
      <c r="Q5" s="103">
        <v>-3000</v>
      </c>
    </row>
    <row r="6" spans="1:17" x14ac:dyDescent="0.4">
      <c r="A6" s="55" t="s">
        <v>1</v>
      </c>
      <c r="B6" s="150">
        <f>IF(B$2=0,0,(B$7*1+B$8*2+B$9*3)/B$2)</f>
        <v>1</v>
      </c>
      <c r="C6" s="151"/>
      <c r="E6" s="63" t="s">
        <v>72</v>
      </c>
      <c r="F6" s="60" t="s">
        <v>27</v>
      </c>
      <c r="G6" s="47">
        <v>2</v>
      </c>
      <c r="H6" s="133">
        <f t="shared" si="0"/>
        <v>0.4</v>
      </c>
      <c r="I6" s="94">
        <v>1</v>
      </c>
      <c r="N6" s="115" t="s">
        <v>135</v>
      </c>
      <c r="O6" s="122">
        <f t="shared" si="1"/>
        <v>0</v>
      </c>
      <c r="P6" s="119">
        <v>0</v>
      </c>
      <c r="Q6" s="103">
        <v>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1</v>
      </c>
      <c r="E7" s="63" t="s">
        <v>66</v>
      </c>
      <c r="F7" s="60" t="s">
        <v>22</v>
      </c>
      <c r="G7" s="47">
        <v>1</v>
      </c>
      <c r="H7" s="133">
        <f t="shared" si="0"/>
        <v>0.2</v>
      </c>
      <c r="I7" s="94">
        <v>2</v>
      </c>
      <c r="N7" s="116" t="s">
        <v>136</v>
      </c>
      <c r="O7" s="123">
        <f t="shared" si="1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0</v>
      </c>
      <c r="C8" s="39">
        <f t="shared" si="2"/>
        <v>0</v>
      </c>
      <c r="E8" s="63" t="s">
        <v>68</v>
      </c>
      <c r="F8" s="60" t="s">
        <v>24</v>
      </c>
      <c r="G8" s="47">
        <v>1</v>
      </c>
      <c r="H8" s="133">
        <f t="shared" si="0"/>
        <v>0.2</v>
      </c>
      <c r="I8" s="94">
        <v>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2"/>
        <v>0</v>
      </c>
      <c r="E9" s="63" t="s">
        <v>69</v>
      </c>
      <c r="F9" s="60" t="s">
        <v>12</v>
      </c>
      <c r="G9" s="47">
        <v>1</v>
      </c>
      <c r="H9" s="133">
        <f t="shared" si="0"/>
        <v>0.2</v>
      </c>
      <c r="I9" s="94">
        <v>3</v>
      </c>
      <c r="N9" s="113" t="s">
        <v>162</v>
      </c>
      <c r="O9" s="34" t="s">
        <v>121</v>
      </c>
      <c r="P9" s="117" t="s">
        <v>117</v>
      </c>
      <c r="Q9" s="105" t="s">
        <v>157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71</v>
      </c>
      <c r="F10" s="60" t="s">
        <v>26</v>
      </c>
      <c r="G10" s="47">
        <v>1</v>
      </c>
      <c r="H10" s="133">
        <f t="shared" si="0"/>
        <v>0.2</v>
      </c>
      <c r="I10" s="94">
        <v>2</v>
      </c>
      <c r="N10" s="114" t="s">
        <v>163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139</v>
      </c>
      <c r="B11" s="48">
        <v>1</v>
      </c>
      <c r="C11" s="40">
        <f t="shared" si="2"/>
        <v>1</v>
      </c>
      <c r="E11" s="63" t="s">
        <v>73</v>
      </c>
      <c r="F11" s="60" t="s">
        <v>28</v>
      </c>
      <c r="G11" s="47">
        <v>1</v>
      </c>
      <c r="H11" s="133">
        <f t="shared" si="0"/>
        <v>0.2</v>
      </c>
      <c r="I11" s="94">
        <v>7</v>
      </c>
      <c r="N11" s="115" t="s">
        <v>164</v>
      </c>
      <c r="O11" s="125">
        <f>IF(P11=0,0,Q11/P11)</f>
        <v>70.2</v>
      </c>
      <c r="P11" s="119">
        <v>1</v>
      </c>
      <c r="Q11" s="107">
        <v>70.2</v>
      </c>
    </row>
    <row r="12" spans="1:17" x14ac:dyDescent="0.4">
      <c r="A12" s="57" t="s">
        <v>159</v>
      </c>
      <c r="B12" s="49">
        <v>0</v>
      </c>
      <c r="C12" s="42">
        <f t="shared" si="2"/>
        <v>0</v>
      </c>
      <c r="E12" s="63" t="s">
        <v>88</v>
      </c>
      <c r="F12" s="60" t="s">
        <v>43</v>
      </c>
      <c r="G12" s="47">
        <v>1</v>
      </c>
      <c r="H12" s="133">
        <f t="shared" si="0"/>
        <v>0.2</v>
      </c>
      <c r="I12" s="94">
        <v>1</v>
      </c>
      <c r="N12" s="116" t="s">
        <v>165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4</v>
      </c>
      <c r="C13" s="44">
        <f>IF(B$3=0,0,B13/B$3)</f>
        <v>0.44444444444444442</v>
      </c>
      <c r="E13" s="63" t="s">
        <v>74</v>
      </c>
      <c r="F13" s="60" t="s">
        <v>29</v>
      </c>
      <c r="G13" s="47">
        <v>0</v>
      </c>
      <c r="H13" s="133">
        <f t="shared" si="0"/>
        <v>0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0</v>
      </c>
      <c r="C14" s="39">
        <f>IF(B$3=0,0,B14/B$3)</f>
        <v>0</v>
      </c>
      <c r="E14" s="63" t="s">
        <v>75</v>
      </c>
      <c r="F14" s="60" t="s">
        <v>30</v>
      </c>
      <c r="G14" s="47">
        <v>0</v>
      </c>
      <c r="H14" s="133">
        <f t="shared" si="0"/>
        <v>0</v>
      </c>
      <c r="I14" s="94">
        <v>1</v>
      </c>
      <c r="N14" s="113" t="s">
        <v>154</v>
      </c>
      <c r="O14" s="34" t="s">
        <v>121</v>
      </c>
      <c r="P14" s="117" t="s">
        <v>117</v>
      </c>
      <c r="Q14" s="105" t="s">
        <v>157</v>
      </c>
    </row>
    <row r="15" spans="1:17" x14ac:dyDescent="0.4">
      <c r="A15" s="54" t="s">
        <v>124</v>
      </c>
      <c r="B15" s="46">
        <v>3</v>
      </c>
      <c r="C15" s="37">
        <f>IF(B$13=0,0,B15/B$13)</f>
        <v>0.75</v>
      </c>
      <c r="E15" s="63" t="s">
        <v>76</v>
      </c>
      <c r="F15" s="60" t="s">
        <v>31</v>
      </c>
      <c r="G15" s="47">
        <v>0</v>
      </c>
      <c r="H15" s="133">
        <f t="shared" si="0"/>
        <v>0</v>
      </c>
      <c r="I15" s="94">
        <v>1</v>
      </c>
      <c r="N15" s="114" t="s">
        <v>178</v>
      </c>
      <c r="O15" s="124">
        <f>IF(P15=0,0,Q15/P15)</f>
        <v>128.4</v>
      </c>
      <c r="P15" s="118">
        <v>1</v>
      </c>
      <c r="Q15" s="106">
        <v>128.4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 t="shared" si="0"/>
        <v>0</v>
      </c>
      <c r="I16" s="94">
        <v>1</v>
      </c>
      <c r="N16" s="115" t="s">
        <v>183</v>
      </c>
      <c r="O16" s="125">
        <f>IF(P16=0,0,Q16/P16)</f>
        <v>82.2</v>
      </c>
      <c r="P16" s="119">
        <v>1</v>
      </c>
      <c r="Q16" s="107">
        <v>82.2</v>
      </c>
    </row>
    <row r="17" spans="1:9" x14ac:dyDescent="0.4">
      <c r="A17" s="54" t="s">
        <v>10</v>
      </c>
      <c r="B17" s="46">
        <f>B19+B18</f>
        <v>5</v>
      </c>
      <c r="C17" s="37">
        <f>IF(B$3=0,0,B17/B$3)</f>
        <v>0.55555555555555558</v>
      </c>
      <c r="E17" s="63" t="s">
        <v>78</v>
      </c>
      <c r="F17" s="60" t="s">
        <v>33</v>
      </c>
      <c r="G17" s="47">
        <v>0</v>
      </c>
      <c r="H17" s="133">
        <f t="shared" si="0"/>
        <v>0</v>
      </c>
      <c r="I17" s="94">
        <v>1</v>
      </c>
    </row>
    <row r="18" spans="1:9" x14ac:dyDescent="0.4">
      <c r="A18" s="55" t="s">
        <v>12</v>
      </c>
      <c r="B18" s="47">
        <v>1</v>
      </c>
      <c r="C18" s="39">
        <f>IF(B$17=0,0,B18/B$17)</f>
        <v>0.2</v>
      </c>
      <c r="E18" s="63" t="s">
        <v>79</v>
      </c>
      <c r="F18" s="60" t="s">
        <v>34</v>
      </c>
      <c r="G18" s="47">
        <v>0</v>
      </c>
      <c r="H18" s="133">
        <f t="shared" si="0"/>
        <v>0</v>
      </c>
      <c r="I18" s="94">
        <v>1</v>
      </c>
    </row>
    <row r="19" spans="1:9" x14ac:dyDescent="0.4">
      <c r="A19" s="55" t="s">
        <v>11</v>
      </c>
      <c r="B19" s="47">
        <v>4</v>
      </c>
      <c r="C19" s="39">
        <f>IF(B$17=0,0,B19/B$17)</f>
        <v>0.8</v>
      </c>
      <c r="E19" s="63" t="s">
        <v>80</v>
      </c>
      <c r="F19" s="60" t="s">
        <v>35</v>
      </c>
      <c r="G19" s="47">
        <v>0</v>
      </c>
      <c r="H19" s="133">
        <f t="shared" si="0"/>
        <v>0</v>
      </c>
      <c r="I19" s="94">
        <v>3</v>
      </c>
    </row>
    <row r="20" spans="1:9" x14ac:dyDescent="0.4">
      <c r="A20" s="55" t="s">
        <v>13</v>
      </c>
      <c r="B20" s="47">
        <v>1</v>
      </c>
      <c r="C20" s="39">
        <f>IF(B$3=0,0,B20/B$3)</f>
        <v>0.1111111111111111</v>
      </c>
      <c r="E20" s="63" t="s">
        <v>81</v>
      </c>
      <c r="F20" s="60" t="s">
        <v>36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170</v>
      </c>
      <c r="B21" s="47">
        <v>3</v>
      </c>
      <c r="C21" s="135">
        <v>2</v>
      </c>
      <c r="E21" s="63" t="s">
        <v>82</v>
      </c>
      <c r="F21" s="60" t="s">
        <v>37</v>
      </c>
      <c r="G21" s="47">
        <v>0</v>
      </c>
      <c r="H21" s="133">
        <f t="shared" si="0"/>
        <v>0</v>
      </c>
      <c r="I21" s="94">
        <v>4</v>
      </c>
    </row>
    <row r="22" spans="1:9" x14ac:dyDescent="0.4">
      <c r="A22" s="55" t="s">
        <v>171</v>
      </c>
      <c r="B22" s="47">
        <v>6</v>
      </c>
      <c r="C22" s="135">
        <v>2</v>
      </c>
      <c r="E22" s="63" t="s">
        <v>83</v>
      </c>
      <c r="F22" s="60" t="s">
        <v>38</v>
      </c>
      <c r="G22" s="47">
        <v>0</v>
      </c>
      <c r="H22" s="133">
        <f t="shared" si="0"/>
        <v>0</v>
      </c>
      <c r="I22" s="94">
        <v>1</v>
      </c>
    </row>
    <row r="23" spans="1:9" x14ac:dyDescent="0.4">
      <c r="A23" s="55" t="s">
        <v>5</v>
      </c>
      <c r="B23" s="51">
        <f>IF(B$17=0,0,C23/B$17)</f>
        <v>13940</v>
      </c>
      <c r="C23" s="41">
        <v>69700</v>
      </c>
      <c r="E23" s="63" t="s">
        <v>84</v>
      </c>
      <c r="F23" s="60" t="s">
        <v>39</v>
      </c>
      <c r="G23" s="47">
        <v>0</v>
      </c>
      <c r="H23" s="133">
        <f t="shared" si="0"/>
        <v>0</v>
      </c>
      <c r="I23" s="94">
        <v>5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85</v>
      </c>
      <c r="F24" s="60" t="s">
        <v>40</v>
      </c>
      <c r="G24" s="47">
        <v>0</v>
      </c>
      <c r="H24" s="133">
        <f t="shared" si="0"/>
        <v>0</v>
      </c>
      <c r="I24" s="94">
        <v>1</v>
      </c>
    </row>
    <row r="25" spans="1:9" x14ac:dyDescent="0.4">
      <c r="A25" s="90" t="s">
        <v>141</v>
      </c>
      <c r="B25" s="148">
        <v>7</v>
      </c>
      <c r="C25" s="149"/>
      <c r="E25" s="63" t="s">
        <v>86</v>
      </c>
      <c r="F25" s="60" t="s">
        <v>41</v>
      </c>
      <c r="G25" s="47">
        <v>0</v>
      </c>
      <c r="H25" s="133">
        <f t="shared" si="0"/>
        <v>0</v>
      </c>
      <c r="I25" s="94">
        <v>3</v>
      </c>
    </row>
    <row r="26" spans="1:9" x14ac:dyDescent="0.4">
      <c r="A26" s="58" t="s">
        <v>151</v>
      </c>
      <c r="B26" s="146">
        <v>95200</v>
      </c>
      <c r="C26" s="147"/>
      <c r="E26" s="63" t="s">
        <v>87</v>
      </c>
      <c r="F26" s="60" t="s">
        <v>42</v>
      </c>
      <c r="G26" s="47">
        <v>0</v>
      </c>
      <c r="H26" s="133">
        <f t="shared" si="0"/>
        <v>0</v>
      </c>
      <c r="I26" s="94">
        <v>3</v>
      </c>
    </row>
    <row r="27" spans="1:9" x14ac:dyDescent="0.4">
      <c r="A27" s="57" t="s">
        <v>142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 t="shared" si="0"/>
        <v>0</v>
      </c>
      <c r="I27" s="94">
        <v>1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 t="shared" si="0"/>
        <v>0</v>
      </c>
      <c r="I28" s="94">
        <v>4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1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1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1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168</v>
      </c>
      <c r="F51" s="137" t="s">
        <v>169</v>
      </c>
      <c r="G51" s="48">
        <v>0</v>
      </c>
      <c r="H51" s="138">
        <f t="shared" si="3"/>
        <v>0</v>
      </c>
      <c r="I51" s="139">
        <v>1</v>
      </c>
    </row>
    <row r="52" spans="5:9" x14ac:dyDescent="0.4">
      <c r="E52" s="64" t="s">
        <v>174</v>
      </c>
      <c r="F52" s="61" t="s">
        <v>175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E84-A5FA-42E2-A08B-9DB3078BA415}">
  <sheetPr codeName="Sheet22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182</v>
      </c>
      <c r="B1" s="70" t="s">
        <v>182</v>
      </c>
      <c r="C1" s="70" t="s">
        <v>182</v>
      </c>
      <c r="D1" s="71" t="s">
        <v>182</v>
      </c>
      <c r="E1" s="70" t="s">
        <v>182</v>
      </c>
      <c r="F1" s="70" t="s">
        <v>182</v>
      </c>
      <c r="G1" s="70" t="s">
        <v>182</v>
      </c>
      <c r="H1" s="70" t="s">
        <v>182</v>
      </c>
      <c r="I1" s="70" t="s">
        <v>182</v>
      </c>
      <c r="J1" s="70" t="s">
        <v>182</v>
      </c>
      <c r="K1" s="70" t="s">
        <v>182</v>
      </c>
      <c r="L1" s="70" t="s">
        <v>182</v>
      </c>
      <c r="M1" s="70" t="s">
        <v>182</v>
      </c>
      <c r="N1" s="70" t="s">
        <v>182</v>
      </c>
      <c r="O1" s="70" t="s">
        <v>182</v>
      </c>
      <c r="P1" s="70" t="s">
        <v>182</v>
      </c>
      <c r="Q1" s="70" t="s">
        <v>182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70.2</v>
      </c>
      <c r="C4" s="66">
        <v>70.2</v>
      </c>
      <c r="D4" s="71">
        <v>1</v>
      </c>
      <c r="E4" s="67">
        <v>1</v>
      </c>
      <c r="F4" s="67">
        <v>0</v>
      </c>
      <c r="G4" s="67">
        <v>0.55555555555555558</v>
      </c>
      <c r="H4" s="67">
        <v>0.1111111111111111</v>
      </c>
      <c r="I4" s="68">
        <v>13940</v>
      </c>
      <c r="J4" s="68">
        <v>-12000</v>
      </c>
      <c r="K4" s="67">
        <v>0</v>
      </c>
      <c r="L4" s="67">
        <v>1</v>
      </c>
      <c r="M4" s="67">
        <v>0.44444444444444442</v>
      </c>
      <c r="N4" s="67">
        <v>0</v>
      </c>
      <c r="O4" s="67">
        <v>0.75</v>
      </c>
      <c r="P4" s="67">
        <v>0</v>
      </c>
      <c r="Q4" s="67">
        <v>0.2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FCE1-B238-41DA-8A2D-6FDFE6207657}">
  <sheetPr codeName="Sheet2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</v>
      </c>
      <c r="C4" s="66">
        <v>-12</v>
      </c>
      <c r="D4" s="71">
        <v>2</v>
      </c>
      <c r="E4" s="67">
        <v>0</v>
      </c>
      <c r="F4" s="67">
        <v>0</v>
      </c>
      <c r="G4" s="67">
        <v>0.33333333333333331</v>
      </c>
      <c r="H4" s="67">
        <v>0.33333333333333331</v>
      </c>
      <c r="I4" s="68">
        <v>8400</v>
      </c>
      <c r="J4" s="68">
        <v>-9233.3333333333339</v>
      </c>
      <c r="K4" s="67">
        <v>0</v>
      </c>
      <c r="L4" s="67">
        <v>0</v>
      </c>
      <c r="M4" s="67">
        <v>0.44444444444444442</v>
      </c>
      <c r="N4" s="67">
        <v>0.22222222222222221</v>
      </c>
      <c r="O4" s="67">
        <v>0.5</v>
      </c>
      <c r="P4" s="67">
        <v>0.5</v>
      </c>
      <c r="Q4" s="67">
        <v>0.33333333333333331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A7F86-145A-4330-A866-151D22CDDF2E}">
  <sheetPr codeName="Sheet1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179</v>
      </c>
      <c r="B1" s="70" t="s">
        <v>179</v>
      </c>
      <c r="C1" s="70" t="s">
        <v>179</v>
      </c>
      <c r="D1" s="71" t="s">
        <v>179</v>
      </c>
      <c r="E1" s="70" t="s">
        <v>179</v>
      </c>
      <c r="F1" s="70" t="s">
        <v>179</v>
      </c>
      <c r="G1" s="70" t="s">
        <v>179</v>
      </c>
      <c r="H1" s="70" t="s">
        <v>179</v>
      </c>
      <c r="I1" s="70" t="s">
        <v>179</v>
      </c>
      <c r="J1" s="70" t="s">
        <v>179</v>
      </c>
      <c r="K1" s="70" t="s">
        <v>179</v>
      </c>
      <c r="L1" s="70" t="s">
        <v>179</v>
      </c>
      <c r="M1" s="70" t="s">
        <v>179</v>
      </c>
      <c r="N1" s="70" t="s">
        <v>179</v>
      </c>
      <c r="O1" s="70" t="s">
        <v>179</v>
      </c>
      <c r="P1" s="70" t="s">
        <v>179</v>
      </c>
      <c r="Q1" s="70" t="s">
        <v>179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46.9</v>
      </c>
      <c r="C4" s="66">
        <v>46.9</v>
      </c>
      <c r="D4" s="71">
        <v>1</v>
      </c>
      <c r="E4" s="67">
        <v>1</v>
      </c>
      <c r="F4" s="67">
        <v>0</v>
      </c>
      <c r="G4" s="67">
        <v>0.36363636363636365</v>
      </c>
      <c r="H4" s="67">
        <v>0</v>
      </c>
      <c r="I4" s="68">
        <v>8950</v>
      </c>
      <c r="J4" s="68">
        <v>0</v>
      </c>
      <c r="K4" s="67">
        <v>0</v>
      </c>
      <c r="L4" s="67">
        <v>0</v>
      </c>
      <c r="M4" s="67">
        <v>9.0909090909090912E-2</v>
      </c>
      <c r="N4" s="67">
        <v>0.27272727272727271</v>
      </c>
      <c r="O4" s="67">
        <v>1</v>
      </c>
      <c r="P4" s="67">
        <v>1</v>
      </c>
      <c r="Q4" s="67">
        <v>0.25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98016-58BF-4782-8F10-FEABBF3F1C4F}">
  <sheetPr codeName="Sheet16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178</v>
      </c>
      <c r="B1" s="70" t="s">
        <v>178</v>
      </c>
      <c r="C1" s="70" t="s">
        <v>178</v>
      </c>
      <c r="D1" s="71" t="s">
        <v>178</v>
      </c>
      <c r="E1" s="70" t="s">
        <v>178</v>
      </c>
      <c r="F1" s="70" t="s">
        <v>178</v>
      </c>
      <c r="G1" s="70" t="s">
        <v>178</v>
      </c>
      <c r="H1" s="70" t="s">
        <v>178</v>
      </c>
      <c r="I1" s="70" t="s">
        <v>178</v>
      </c>
      <c r="J1" s="70" t="s">
        <v>178</v>
      </c>
      <c r="K1" s="70" t="s">
        <v>178</v>
      </c>
      <c r="L1" s="70" t="s">
        <v>178</v>
      </c>
      <c r="M1" s="70" t="s">
        <v>178</v>
      </c>
      <c r="N1" s="70" t="s">
        <v>178</v>
      </c>
      <c r="O1" s="70" t="s">
        <v>178</v>
      </c>
      <c r="P1" s="70" t="s">
        <v>178</v>
      </c>
      <c r="Q1" s="70" t="s">
        <v>178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-9.1</v>
      </c>
      <c r="C4" s="66">
        <v>-9.1</v>
      </c>
      <c r="D4" s="71">
        <v>2</v>
      </c>
      <c r="E4" s="67">
        <v>0</v>
      </c>
      <c r="F4" s="67">
        <v>0</v>
      </c>
      <c r="G4" s="67">
        <v>0.36363636363636365</v>
      </c>
      <c r="H4" s="67">
        <v>0.27272727272727271</v>
      </c>
      <c r="I4" s="68">
        <v>8125</v>
      </c>
      <c r="J4" s="68">
        <v>-10600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-67.3</v>
      </c>
      <c r="C5" s="66">
        <v>-33.65</v>
      </c>
      <c r="D5" s="71">
        <v>2.5</v>
      </c>
      <c r="E5" s="67">
        <v>0</v>
      </c>
      <c r="F5" s="67">
        <v>0.5</v>
      </c>
      <c r="G5" s="67">
        <v>0.25</v>
      </c>
      <c r="H5" s="67">
        <v>0.3</v>
      </c>
      <c r="I5" s="68">
        <v>8100</v>
      </c>
      <c r="J5" s="68">
        <v>-14300</v>
      </c>
      <c r="K5" s="67">
        <v>0.5</v>
      </c>
      <c r="L5" s="67">
        <v>0</v>
      </c>
      <c r="M5" s="67">
        <v>0.15</v>
      </c>
      <c r="N5" s="67">
        <v>0.1</v>
      </c>
      <c r="O5" s="67">
        <v>0.66666666666666663</v>
      </c>
      <c r="P5" s="67">
        <v>0.5</v>
      </c>
      <c r="Q5" s="67">
        <v>0.4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CCF9C-9B30-452F-AE8A-CDF36A92032C}">
  <sheetPr codeName="Sheet14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180</v>
      </c>
      <c r="B1" s="70" t="s">
        <v>180</v>
      </c>
      <c r="C1" s="70" t="s">
        <v>180</v>
      </c>
      <c r="D1" s="71" t="s">
        <v>180</v>
      </c>
      <c r="E1" s="70" t="s">
        <v>180</v>
      </c>
      <c r="F1" s="70" t="s">
        <v>180</v>
      </c>
      <c r="G1" s="70" t="s">
        <v>180</v>
      </c>
      <c r="H1" s="70" t="s">
        <v>180</v>
      </c>
      <c r="I1" s="70" t="s">
        <v>180</v>
      </c>
      <c r="J1" s="70" t="s">
        <v>180</v>
      </c>
      <c r="K1" s="70" t="s">
        <v>180</v>
      </c>
      <c r="L1" s="70" t="s">
        <v>180</v>
      </c>
      <c r="M1" s="70" t="s">
        <v>180</v>
      </c>
      <c r="N1" s="70" t="s">
        <v>180</v>
      </c>
      <c r="O1" s="70" t="s">
        <v>180</v>
      </c>
      <c r="P1" s="70" t="s">
        <v>180</v>
      </c>
      <c r="Q1" s="70" t="s">
        <v>180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-37.799999999999997</v>
      </c>
      <c r="C4" s="66">
        <v>-37.799999999999997</v>
      </c>
      <c r="D4" s="71">
        <v>3</v>
      </c>
      <c r="E4" s="67">
        <v>0</v>
      </c>
      <c r="F4" s="67">
        <v>1</v>
      </c>
      <c r="G4" s="67">
        <v>9.0909090909090912E-2</v>
      </c>
      <c r="H4" s="67">
        <v>0.18181818181818182</v>
      </c>
      <c r="I4" s="68">
        <v>2100</v>
      </c>
      <c r="J4" s="68">
        <v>-14900</v>
      </c>
      <c r="K4" s="67">
        <v>0</v>
      </c>
      <c r="L4" s="67">
        <v>0</v>
      </c>
      <c r="M4" s="67">
        <v>0.27272727272727271</v>
      </c>
      <c r="N4" s="67">
        <v>0</v>
      </c>
      <c r="O4" s="67">
        <v>0</v>
      </c>
      <c r="P4" s="67">
        <v>0</v>
      </c>
      <c r="Q4" s="67">
        <v>1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0EE92-9D0D-457E-A0AD-27F31ABB1A77}">
  <sheetPr codeName="Sheet12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-45.6</v>
      </c>
      <c r="C4" s="66">
        <v>-45.6</v>
      </c>
      <c r="D4" s="71">
        <v>3</v>
      </c>
      <c r="E4" s="67">
        <v>0</v>
      </c>
      <c r="F4" s="67">
        <v>1</v>
      </c>
      <c r="G4" s="67">
        <v>0.2</v>
      </c>
      <c r="H4" s="67">
        <v>0.4</v>
      </c>
      <c r="I4" s="68">
        <v>7300</v>
      </c>
      <c r="J4" s="68">
        <v>-9925</v>
      </c>
      <c r="K4" s="67">
        <v>1</v>
      </c>
      <c r="L4" s="67">
        <v>0</v>
      </c>
      <c r="M4" s="67">
        <v>0.4</v>
      </c>
      <c r="N4" s="67">
        <v>0.3</v>
      </c>
      <c r="O4" s="67">
        <v>0.25</v>
      </c>
      <c r="P4" s="67">
        <v>0.33333333333333331</v>
      </c>
      <c r="Q4" s="67">
        <v>0.5</v>
      </c>
    </row>
    <row r="5" spans="1:17" x14ac:dyDescent="0.4">
      <c r="A5" s="69">
        <v>2</v>
      </c>
      <c r="B5" s="66">
        <v>-34.299999999999997</v>
      </c>
      <c r="C5" s="66">
        <v>-17.149999999999999</v>
      </c>
      <c r="D5" s="71">
        <v>2.5</v>
      </c>
      <c r="E5" s="67">
        <v>0</v>
      </c>
      <c r="F5" s="67">
        <v>0.5</v>
      </c>
      <c r="G5" s="67">
        <v>0.26315789473684209</v>
      </c>
      <c r="H5" s="67">
        <v>0.31578947368421051</v>
      </c>
      <c r="I5" s="68">
        <v>9320</v>
      </c>
      <c r="J5" s="68">
        <v>-7266.666666666667</v>
      </c>
      <c r="K5" s="67">
        <v>0.5</v>
      </c>
      <c r="L5" s="67">
        <v>0</v>
      </c>
      <c r="M5" s="67">
        <v>0.47368421052631576</v>
      </c>
      <c r="N5" s="67">
        <v>0.21052631578947367</v>
      </c>
      <c r="O5" s="67">
        <v>0.44444444444444442</v>
      </c>
      <c r="P5" s="67">
        <v>0.25</v>
      </c>
      <c r="Q5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FA2D4-56F3-45BE-B65C-A2EB526ADF24}">
  <sheetPr codeName="Sheet1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50.2</v>
      </c>
      <c r="C4" s="66">
        <v>50.2</v>
      </c>
      <c r="D4" s="71">
        <v>1</v>
      </c>
      <c r="E4" s="67">
        <v>1</v>
      </c>
      <c r="F4" s="67">
        <v>0</v>
      </c>
      <c r="G4" s="67">
        <v>0.4</v>
      </c>
      <c r="H4" s="67">
        <v>0.2</v>
      </c>
      <c r="I4" s="68">
        <v>10925</v>
      </c>
      <c r="J4" s="68">
        <v>-1500</v>
      </c>
      <c r="K4" s="67">
        <v>0</v>
      </c>
      <c r="L4" s="67">
        <v>1</v>
      </c>
      <c r="M4" s="67">
        <v>0.3</v>
      </c>
      <c r="N4" s="67">
        <v>0.1</v>
      </c>
      <c r="O4" s="67">
        <v>1</v>
      </c>
      <c r="P4" s="67">
        <v>0</v>
      </c>
      <c r="Q4" s="67">
        <v>0.25</v>
      </c>
    </row>
    <row r="5" spans="1:17" x14ac:dyDescent="0.4">
      <c r="A5" s="69">
        <v>2</v>
      </c>
      <c r="B5" s="66">
        <v>14.400000000000006</v>
      </c>
      <c r="C5" s="66">
        <v>7.2000000000000028</v>
      </c>
      <c r="D5" s="71">
        <v>2</v>
      </c>
      <c r="E5" s="67">
        <v>0.5</v>
      </c>
      <c r="F5" s="67">
        <v>0.5</v>
      </c>
      <c r="G5" s="67">
        <v>0.26315789473684209</v>
      </c>
      <c r="H5" s="67">
        <v>0.15789473684210525</v>
      </c>
      <c r="I5" s="68">
        <v>9260</v>
      </c>
      <c r="J5" s="68">
        <v>-5000</v>
      </c>
      <c r="K5" s="67">
        <v>0</v>
      </c>
      <c r="L5" s="67">
        <v>0.5</v>
      </c>
      <c r="M5" s="67">
        <v>0.36842105263157893</v>
      </c>
      <c r="N5" s="67">
        <v>0.15789473684210525</v>
      </c>
      <c r="O5" s="67">
        <v>0.5714285714285714</v>
      </c>
      <c r="P5" s="67">
        <v>0</v>
      </c>
      <c r="Q5" s="67">
        <v>0.2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54BE-C793-42AE-8E9A-E309C60C35B7}">
  <sheetPr codeName="Sheet8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167</v>
      </c>
      <c r="B1" s="70" t="s">
        <v>167</v>
      </c>
      <c r="C1" s="70" t="s">
        <v>167</v>
      </c>
      <c r="D1" s="71" t="s">
        <v>167</v>
      </c>
      <c r="E1" s="70" t="s">
        <v>167</v>
      </c>
      <c r="F1" s="70" t="s">
        <v>167</v>
      </c>
      <c r="G1" s="70" t="s">
        <v>167</v>
      </c>
      <c r="H1" s="70" t="s">
        <v>167</v>
      </c>
      <c r="I1" s="70" t="s">
        <v>167</v>
      </c>
      <c r="J1" s="70" t="s">
        <v>167</v>
      </c>
      <c r="K1" s="70" t="s">
        <v>167</v>
      </c>
      <c r="L1" s="70" t="s">
        <v>167</v>
      </c>
      <c r="M1" s="70" t="s">
        <v>167</v>
      </c>
      <c r="N1" s="70" t="s">
        <v>167</v>
      </c>
      <c r="O1" s="70" t="s">
        <v>167</v>
      </c>
      <c r="P1" s="70" t="s">
        <v>167</v>
      </c>
      <c r="Q1" s="70" t="s">
        <v>167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-4.5999999999999996</v>
      </c>
      <c r="C4" s="66">
        <v>-4.5999999999999996</v>
      </c>
      <c r="D4" s="71">
        <v>2</v>
      </c>
      <c r="E4" s="67">
        <v>0</v>
      </c>
      <c r="F4" s="67">
        <v>0</v>
      </c>
      <c r="G4" s="67">
        <v>0.3</v>
      </c>
      <c r="H4" s="67">
        <v>0.1</v>
      </c>
      <c r="I4" s="68">
        <v>5000</v>
      </c>
      <c r="J4" s="68">
        <v>-2600</v>
      </c>
      <c r="K4" s="67">
        <v>0</v>
      </c>
      <c r="L4" s="67">
        <v>0</v>
      </c>
      <c r="M4" s="67">
        <v>0.4</v>
      </c>
      <c r="N4" s="67">
        <v>0.2</v>
      </c>
      <c r="O4" s="67">
        <v>0.25</v>
      </c>
      <c r="P4" s="67">
        <v>0.5</v>
      </c>
      <c r="Q4" s="67">
        <v>0</v>
      </c>
    </row>
    <row r="5" spans="1:17" x14ac:dyDescent="0.4">
      <c r="A5" s="69">
        <v>2</v>
      </c>
      <c r="B5" s="66">
        <v>19.899999999999999</v>
      </c>
      <c r="C5" s="66">
        <v>9.9499999999999993</v>
      </c>
      <c r="D5" s="71">
        <v>1.5</v>
      </c>
      <c r="E5" s="67">
        <v>0.5</v>
      </c>
      <c r="F5" s="67">
        <v>0</v>
      </c>
      <c r="G5" s="67">
        <v>0.31578947368421051</v>
      </c>
      <c r="H5" s="67">
        <v>0.10526315789473684</v>
      </c>
      <c r="I5" s="68">
        <v>7000</v>
      </c>
      <c r="J5" s="68">
        <v>-7300</v>
      </c>
      <c r="K5" s="67">
        <v>0</v>
      </c>
      <c r="L5" s="67">
        <v>0</v>
      </c>
      <c r="M5" s="67">
        <v>0.36842105263157893</v>
      </c>
      <c r="N5" s="67">
        <v>0.26315789473684209</v>
      </c>
      <c r="O5" s="67">
        <v>0.42857142857142855</v>
      </c>
      <c r="P5" s="67">
        <v>0.4</v>
      </c>
      <c r="Q5" s="67">
        <v>0.33333333333333331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1FD8E-00FB-4419-83BE-7D7CA45ADE90}">
  <sheetPr codeName="Sheet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144</v>
      </c>
      <c r="B1" s="70" t="s">
        <v>144</v>
      </c>
      <c r="C1" s="70" t="s">
        <v>144</v>
      </c>
      <c r="D1" s="71" t="s">
        <v>144</v>
      </c>
      <c r="E1" s="70" t="s">
        <v>144</v>
      </c>
      <c r="F1" s="70" t="s">
        <v>144</v>
      </c>
      <c r="G1" s="70" t="s">
        <v>144</v>
      </c>
      <c r="H1" s="70" t="s">
        <v>144</v>
      </c>
      <c r="I1" s="70" t="s">
        <v>144</v>
      </c>
      <c r="J1" s="70" t="s">
        <v>144</v>
      </c>
      <c r="K1" s="70" t="s">
        <v>144</v>
      </c>
      <c r="L1" s="70" t="s">
        <v>144</v>
      </c>
      <c r="M1" s="70" t="s">
        <v>144</v>
      </c>
      <c r="N1" s="70" t="s">
        <v>144</v>
      </c>
      <c r="O1" s="70" t="s">
        <v>144</v>
      </c>
      <c r="P1" s="70" t="s">
        <v>144</v>
      </c>
      <c r="Q1" s="70" t="s">
        <v>144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161</v>
      </c>
      <c r="G2" s="70" t="s">
        <v>146</v>
      </c>
      <c r="H2" s="70" t="s">
        <v>145</v>
      </c>
      <c r="I2" s="70" t="s">
        <v>5</v>
      </c>
      <c r="J2" s="70" t="s">
        <v>17</v>
      </c>
      <c r="K2" s="70" t="s">
        <v>18</v>
      </c>
      <c r="L2" s="70" t="s">
        <v>140</v>
      </c>
      <c r="M2" s="70" t="s">
        <v>123</v>
      </c>
      <c r="N2" s="70" t="s">
        <v>120</v>
      </c>
      <c r="O2" s="70" t="s">
        <v>126</v>
      </c>
      <c r="P2" s="70" t="s">
        <v>147</v>
      </c>
      <c r="Q2" s="70" t="s">
        <v>143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</v>
      </c>
      <c r="H4" s="67">
        <v>0.23333333333333334</v>
      </c>
      <c r="I4" s="68">
        <v>8144.4444444444443</v>
      </c>
      <c r="J4" s="68">
        <v>-6471.4285714285716</v>
      </c>
      <c r="K4" s="67">
        <v>0.33333333333333331</v>
      </c>
      <c r="L4" s="67">
        <v>0.33333333333333331</v>
      </c>
      <c r="M4" s="67">
        <v>0.36666666666666664</v>
      </c>
      <c r="N4" s="67">
        <v>0.2</v>
      </c>
      <c r="O4" s="67">
        <v>0.45454545454545453</v>
      </c>
      <c r="P4" s="67">
        <v>0.33333333333333331</v>
      </c>
      <c r="Q4" s="67">
        <v>0.22222222222222221</v>
      </c>
    </row>
    <row r="5" spans="1:17" x14ac:dyDescent="0.4">
      <c r="A5" s="69">
        <v>2</v>
      </c>
      <c r="B5" s="66">
        <v>3.5527136788005009E-15</v>
      </c>
      <c r="C5" s="66">
        <v>5.9211894646675012E-16</v>
      </c>
      <c r="D5" s="71">
        <v>2</v>
      </c>
      <c r="E5" s="67">
        <v>0.33333333333333331</v>
      </c>
      <c r="F5" s="67">
        <v>0.33333333333333331</v>
      </c>
      <c r="G5" s="67">
        <v>0.2807017543859649</v>
      </c>
      <c r="H5" s="67">
        <v>0.19298245614035087</v>
      </c>
      <c r="I5" s="68">
        <v>8431.25</v>
      </c>
      <c r="J5" s="68">
        <v>-6654.545454545455</v>
      </c>
      <c r="K5" s="67">
        <v>0.16666666666666666</v>
      </c>
      <c r="L5" s="67">
        <v>0.16666666666666666</v>
      </c>
      <c r="M5" s="67">
        <v>0.40350877192982454</v>
      </c>
      <c r="N5" s="67">
        <v>0.21052631578947367</v>
      </c>
      <c r="O5" s="67">
        <v>0.47826086956521741</v>
      </c>
      <c r="P5" s="67">
        <v>0.25</v>
      </c>
      <c r="Q5" s="67">
        <v>0.3125</v>
      </c>
    </row>
    <row r="6" spans="1:17" x14ac:dyDescent="0.4">
      <c r="A6" s="69">
        <v>3</v>
      </c>
      <c r="B6" s="66">
        <v>0</v>
      </c>
      <c r="C6" s="66">
        <v>0</v>
      </c>
      <c r="D6" s="71">
        <v>2</v>
      </c>
      <c r="E6" s="67">
        <v>0.33333333333333331</v>
      </c>
      <c r="F6" s="67">
        <v>0.33333333333333331</v>
      </c>
      <c r="G6" s="67">
        <v>0.27777777777777779</v>
      </c>
      <c r="H6" s="67">
        <v>0.17777777777777778</v>
      </c>
      <c r="I6" s="68">
        <v>8212</v>
      </c>
      <c r="J6" s="68">
        <v>-8425</v>
      </c>
      <c r="K6" s="67">
        <v>0.1111111111111111</v>
      </c>
      <c r="L6" s="67">
        <v>0.1111111111111111</v>
      </c>
      <c r="M6" s="67">
        <v>0.32222222222222224</v>
      </c>
      <c r="N6" s="67">
        <v>0.18888888888888888</v>
      </c>
      <c r="O6" s="67">
        <v>0.44827586206896552</v>
      </c>
      <c r="P6" s="67">
        <v>0.41176470588235292</v>
      </c>
      <c r="Q6" s="67">
        <v>0.36</v>
      </c>
    </row>
    <row r="7" spans="1:17" x14ac:dyDescent="0.4">
      <c r="A7" s="69">
        <v>4</v>
      </c>
      <c r="B7" s="66">
        <v>0</v>
      </c>
      <c r="C7" s="66">
        <v>0</v>
      </c>
      <c r="D7" s="71">
        <v>2</v>
      </c>
      <c r="E7" s="67">
        <v>0.33333333333333331</v>
      </c>
      <c r="F7" s="67">
        <v>0.33333333333333331</v>
      </c>
      <c r="G7" s="67">
        <v>0.29059829059829062</v>
      </c>
      <c r="H7" s="67">
        <v>0.19658119658119658</v>
      </c>
      <c r="I7" s="68">
        <v>9064.7058823529405</v>
      </c>
      <c r="J7" s="68">
        <v>-9934.782608695652</v>
      </c>
      <c r="K7" s="67">
        <v>0.16666666666666666</v>
      </c>
      <c r="L7" s="67">
        <v>0.16666666666666666</v>
      </c>
      <c r="M7" s="67">
        <v>0.3247863247863248</v>
      </c>
      <c r="N7" s="67">
        <v>0.1623931623931624</v>
      </c>
      <c r="O7" s="67">
        <v>0.5</v>
      </c>
      <c r="P7" s="67">
        <v>0.42105263157894735</v>
      </c>
      <c r="Q7" s="67">
        <v>0.3235294117647059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23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390</vt:i4>
      </vt:variant>
    </vt:vector>
  </HeadingPairs>
  <TitlesOfParts>
    <vt:vector size="429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だいち!アガリ数</vt:lpstr>
      <vt:lpstr>たかの!アガリ数</vt:lpstr>
      <vt:lpstr>ただ!アガリ数</vt:lpstr>
      <vt:lpstr>のり!アガリ数</vt:lpstr>
      <vt:lpstr>ぱぱ!アガリ数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だいち!アガリ率</vt:lpstr>
      <vt:lpstr>たかの!アガリ率</vt:lpstr>
      <vt:lpstr>ただ!アガリ率</vt:lpstr>
      <vt:lpstr>のり!アガリ率</vt:lpstr>
      <vt:lpstr>ぱぱ!アガリ率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だいち!ツモ数</vt:lpstr>
      <vt:lpstr>たかの!ツモ数</vt:lpstr>
      <vt:lpstr>ただ!ツモ数</vt:lpstr>
      <vt:lpstr>のり!ツモ数</vt:lpstr>
      <vt:lpstr>ぱぱ!ツモ数</vt:lpstr>
      <vt:lpstr>まっつん!ツモ数</vt:lpstr>
      <vt:lpstr>りくと!ツモ数</vt:lpstr>
      <vt:lpstr>れんたろう!ツモ数</vt:lpstr>
      <vt:lpstr>全体!ツモ数</vt:lpstr>
      <vt:lpstr>ツモ数</vt:lpstr>
      <vt:lpstr>だいち!ツモ率</vt:lpstr>
      <vt:lpstr>たかの!ツモ率</vt:lpstr>
      <vt:lpstr>ただ!ツモ率</vt:lpstr>
      <vt:lpstr>のり!ツモ率</vt:lpstr>
      <vt:lpstr>ぱぱ!ツモ率</vt:lpstr>
      <vt:lpstr>まっつん!ツモ率</vt:lpstr>
      <vt:lpstr>りくと!ツモ率</vt:lpstr>
      <vt:lpstr>れんたろう!ツモ率</vt:lpstr>
      <vt:lpstr>全体!ツモ率</vt:lpstr>
      <vt:lpstr>ツモ率</vt:lpstr>
      <vt:lpstr>だいち!トップ数</vt:lpstr>
      <vt:lpstr>たかの!トップ数</vt:lpstr>
      <vt:lpstr>ただ!トップ数</vt:lpstr>
      <vt:lpstr>のり!トップ数</vt:lpstr>
      <vt:lpstr>ぱぱ!トップ数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だいち!トップ率</vt:lpstr>
      <vt:lpstr>たかの!トップ率</vt:lpstr>
      <vt:lpstr>ただ!トップ率</vt:lpstr>
      <vt:lpstr>のり!トップ率</vt:lpstr>
      <vt:lpstr>ぱぱ!トップ率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だいち!ラス数</vt:lpstr>
      <vt:lpstr>たかの!ラス数</vt:lpstr>
      <vt:lpstr>ただ!ラス数</vt:lpstr>
      <vt:lpstr>のり!ラス数</vt:lpstr>
      <vt:lpstr>ぱぱ!ラス数</vt:lpstr>
      <vt:lpstr>まっつん!ラス数</vt:lpstr>
      <vt:lpstr>りくと!ラス数</vt:lpstr>
      <vt:lpstr>れんたろう!ラス数</vt:lpstr>
      <vt:lpstr>全体!ラス数</vt:lpstr>
      <vt:lpstr>ラス数</vt:lpstr>
      <vt:lpstr>だいち!ラス率</vt:lpstr>
      <vt:lpstr>たかの!ラス率</vt:lpstr>
      <vt:lpstr>ただ!ラス率</vt:lpstr>
      <vt:lpstr>のり!ラス率</vt:lpstr>
      <vt:lpstr>ぱぱ!ラス率</vt:lpstr>
      <vt:lpstr>まっつん!ラス率</vt:lpstr>
      <vt:lpstr>りくと!ラス率</vt:lpstr>
      <vt:lpstr>れんたろう!ラス率</vt:lpstr>
      <vt:lpstr>全体!ラス率</vt:lpstr>
      <vt:lpstr>ラス率</vt:lpstr>
      <vt:lpstr>だいち!リーチ数</vt:lpstr>
      <vt:lpstr>たかの!リーチ数</vt:lpstr>
      <vt:lpstr>ただ!リーチ数</vt:lpstr>
      <vt:lpstr>のり!リーチ数</vt:lpstr>
      <vt:lpstr>ぱぱ!リーチ数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だいち!リーチ率</vt:lpstr>
      <vt:lpstr>たかの!リーチ率</vt:lpstr>
      <vt:lpstr>ただ!リーチ率</vt:lpstr>
      <vt:lpstr>のり!リーチ率</vt:lpstr>
      <vt:lpstr>ぱぱ!リーチ率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だいち!ロン数</vt:lpstr>
      <vt:lpstr>たかの!ロン数</vt:lpstr>
      <vt:lpstr>ただ!ロン数</vt:lpstr>
      <vt:lpstr>のり!ロン数</vt:lpstr>
      <vt:lpstr>ぱぱ!ロン数</vt:lpstr>
      <vt:lpstr>まっつん!ロン数</vt:lpstr>
      <vt:lpstr>りくと!ロン数</vt:lpstr>
      <vt:lpstr>れんたろう!ロン数</vt:lpstr>
      <vt:lpstr>全体!ロン数</vt:lpstr>
      <vt:lpstr>ロン数</vt:lpstr>
      <vt:lpstr>だいち!ロン率</vt:lpstr>
      <vt:lpstr>たかの!ロン率</vt:lpstr>
      <vt:lpstr>ただ!ロン率</vt:lpstr>
      <vt:lpstr>のり!ロン率</vt:lpstr>
      <vt:lpstr>ぱぱ!ロン率</vt:lpstr>
      <vt:lpstr>まっつん!ロン率</vt:lpstr>
      <vt:lpstr>りくと!ロン率</vt:lpstr>
      <vt:lpstr>れんたろう!ロン率</vt:lpstr>
      <vt:lpstr>全体!ロン率</vt:lpstr>
      <vt:lpstr>ロン率</vt:lpstr>
      <vt:lpstr>だいち!逆転数</vt:lpstr>
      <vt:lpstr>たかの!逆転数</vt:lpstr>
      <vt:lpstr>ただ!逆転数</vt:lpstr>
      <vt:lpstr>のり!逆転数</vt:lpstr>
      <vt:lpstr>ぱぱ!逆転数</vt:lpstr>
      <vt:lpstr>まっつん!逆転数</vt:lpstr>
      <vt:lpstr>りくと!逆転数</vt:lpstr>
      <vt:lpstr>れんたろう!逆転数</vt:lpstr>
      <vt:lpstr>全体!逆転数</vt:lpstr>
      <vt:lpstr>逆転数</vt:lpstr>
      <vt:lpstr>だいち!逆転率</vt:lpstr>
      <vt:lpstr>たかの!逆転率</vt:lpstr>
      <vt:lpstr>ただ!逆転率</vt:lpstr>
      <vt:lpstr>のり!逆転率</vt:lpstr>
      <vt:lpstr>ぱぱ!逆転率</vt:lpstr>
      <vt:lpstr>まっつん!逆転率</vt:lpstr>
      <vt:lpstr>りくと!逆転率</vt:lpstr>
      <vt:lpstr>れんたろう!逆転率</vt:lpstr>
      <vt:lpstr>全体!逆転率</vt:lpstr>
      <vt:lpstr>逆転率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だいち!最大点数</vt:lpstr>
      <vt:lpstr>たかの!最大点数</vt:lpstr>
      <vt:lpstr>ただ!最大点数</vt:lpstr>
      <vt:lpstr>のり!最大点数</vt:lpstr>
      <vt:lpstr>ぱぱ!最大点数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だいち!総局数</vt:lpstr>
      <vt:lpstr>たかの!総局数</vt:lpstr>
      <vt:lpstr>ただ!総局数</vt:lpstr>
      <vt:lpstr>のり!総局数</vt:lpstr>
      <vt:lpstr>ぱぱ!総局数</vt:lpstr>
      <vt:lpstr>まっつん!総局数</vt:lpstr>
      <vt:lpstr>りくと!総局数</vt:lpstr>
      <vt:lpstr>れんたろう!総局数</vt:lpstr>
      <vt:lpstr>全体!総局数</vt:lpstr>
      <vt:lpstr>総局数</vt:lpstr>
      <vt:lpstr>だいち!対戦数</vt:lpstr>
      <vt:lpstr>たかの!対戦数</vt:lpstr>
      <vt:lpstr>ただ!対戦数</vt:lpstr>
      <vt:lpstr>のり!対戦数</vt:lpstr>
      <vt:lpstr>ぱぱ!対戦数</vt:lpstr>
      <vt:lpstr>まっつん!対戦数</vt:lpstr>
      <vt:lpstr>りくと!対戦数</vt:lpstr>
      <vt:lpstr>れんたろう!対戦数</vt:lpstr>
      <vt:lpstr>全体!対戦数</vt:lpstr>
      <vt:lpstr>対戦数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だいち!副露数</vt:lpstr>
      <vt:lpstr>たかの!副露数</vt:lpstr>
      <vt:lpstr>ただ!副露数</vt:lpstr>
      <vt:lpstr>のり!副露数</vt:lpstr>
      <vt:lpstr>ぱぱ!副露数</vt:lpstr>
      <vt:lpstr>まっつん!副露数</vt:lpstr>
      <vt:lpstr>りくと!副露数</vt:lpstr>
      <vt:lpstr>れんたろう!副露数</vt:lpstr>
      <vt:lpstr>全体!副露数</vt:lpstr>
      <vt:lpstr>副露数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だいち!副露率</vt:lpstr>
      <vt:lpstr>たかの!副露率</vt:lpstr>
      <vt:lpstr>ただ!副露率</vt:lpstr>
      <vt:lpstr>のり!副露率</vt:lpstr>
      <vt:lpstr>ぱぱ!副露率</vt:lpstr>
      <vt:lpstr>まっつん!副露率</vt:lpstr>
      <vt:lpstr>りくと!副露率</vt:lpstr>
      <vt:lpstr>れんたろう!副露率</vt:lpstr>
      <vt:lpstr>全体!副露率</vt:lpstr>
      <vt:lpstr>副露率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だいち!平均順位</vt:lpstr>
      <vt:lpstr>たかの!平均順位</vt:lpstr>
      <vt:lpstr>ただ!平均順位</vt:lpstr>
      <vt:lpstr>のり!平均順位</vt:lpstr>
      <vt:lpstr>ぱぱ!平均順位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だいち!放銃数</vt:lpstr>
      <vt:lpstr>たかの!放銃数</vt:lpstr>
      <vt:lpstr>ただ!放銃数</vt:lpstr>
      <vt:lpstr>のり!放銃数</vt:lpstr>
      <vt:lpstr>ぱぱ!放銃数</vt:lpstr>
      <vt:lpstr>まっつん!放銃数</vt:lpstr>
      <vt:lpstr>りくと!放銃数</vt:lpstr>
      <vt:lpstr>れんたろう!放銃数</vt:lpstr>
      <vt:lpstr>全体!放銃数</vt:lpstr>
      <vt:lpstr>放銃数</vt:lpstr>
      <vt:lpstr>だいち!放銃率</vt:lpstr>
      <vt:lpstr>たかの!放銃率</vt:lpstr>
      <vt:lpstr>ただ!放銃率</vt:lpstr>
      <vt:lpstr>のり!放銃率</vt:lpstr>
      <vt:lpstr>ぱぱ!放銃率</vt:lpstr>
      <vt:lpstr>まっつん!放銃率</vt:lpstr>
      <vt:lpstr>りくと!放銃率</vt:lpstr>
      <vt:lpstr>れんたろう!放銃率</vt:lpstr>
      <vt:lpstr>全体!放銃率</vt:lpstr>
      <vt:lpstr>放銃率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2019-09-26T22:55:06Z</dcterms:modified>
</cp:coreProperties>
</file>