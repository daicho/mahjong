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6927564C-79A3-40BC-AA01-94FAA1FD280C}" xr6:coauthVersionLast="41" xr6:coauthVersionMax="41" xr10:uidLastSave="{00000000-0000-0000-0000-000000000000}"/>
  <bookViews>
    <workbookView xWindow="-120" yWindow="-120" windowWidth="29040" windowHeight="1644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625" r:id="rId6"/>
    <sheet name="たかの" sheetId="5627" r:id="rId7"/>
    <sheet name="だいち" sheetId="5629" r:id="rId8"/>
    <sheet name="ただ" sheetId="5631" r:id="rId9"/>
    <sheet name="りくと" sheetId="5633" r:id="rId10"/>
    <sheet name="れんたろう" sheetId="5635" r:id="rId11"/>
    <sheet name="まっつん" sheetId="5637" r:id="rId12"/>
    <sheet name="のり" sheetId="5639" r:id="rId13"/>
    <sheet name="ぱぱ" sheetId="5641" r:id="rId14"/>
    <sheet name="ほたに" sheetId="5643" r:id="rId15"/>
    <sheet name="ほたに2" sheetId="5644" state="hidden" r:id="rId16"/>
    <sheet name="ぱぱ2" sheetId="5642" state="hidden" r:id="rId17"/>
    <sheet name="のり2" sheetId="5640" state="hidden" r:id="rId18"/>
    <sheet name="まっつん2" sheetId="5638" state="hidden" r:id="rId19"/>
    <sheet name="れんたろう2" sheetId="5636" state="hidden" r:id="rId20"/>
    <sheet name="りくと2" sheetId="5634" state="hidden" r:id="rId21"/>
    <sheet name="ただ2" sheetId="5632" state="hidden" r:id="rId22"/>
    <sheet name="だいち2" sheetId="5630" state="hidden" r:id="rId23"/>
    <sheet name="たかの2" sheetId="5628" state="hidden" r:id="rId24"/>
    <sheet name="全体2" sheetId="5626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2">のり!$B$27</definedName>
    <definedName name="チョンボ数" localSheetId="13">ぱぱ!$B$27</definedName>
    <definedName name="チョンボ数" localSheetId="14">ほたに!$B$27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2">のり!$C$27</definedName>
    <definedName name="チョンボ率" localSheetId="13">ぱぱ!$C$27</definedName>
    <definedName name="チョンボ率" localSheetId="14">ほたに!$C$27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2">のり!$B$25</definedName>
    <definedName name="最大ドラ数" localSheetId="13">ぱぱ!$B$25</definedName>
    <definedName name="最大ドラ数" localSheetId="14">ほたに!$B$25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2">のり!$B$26</definedName>
    <definedName name="最大点数" localSheetId="13">ぱぱ!$B$26</definedName>
    <definedName name="最大点数" localSheetId="14">ほたに!$B$26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4">ほたに!$B$24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9" i="5637" l="1"/>
  <c r="O19" i="5641"/>
  <c r="O16" i="5631" l="1"/>
  <c r="O17" i="5637"/>
  <c r="O16" i="5639"/>
  <c r="O17" i="5639"/>
  <c r="O18" i="5627" l="1"/>
  <c r="O17" i="5641"/>
  <c r="O20" i="5641"/>
  <c r="O17" i="5633"/>
  <c r="O18" i="5631" l="1"/>
  <c r="O18" i="5635"/>
  <c r="O15" i="5631" l="1"/>
  <c r="O17" i="5631"/>
  <c r="O17" i="5643"/>
  <c r="O18" i="5643"/>
  <c r="O21" i="5637"/>
  <c r="O15" i="5637"/>
  <c r="O16" i="5635" l="1"/>
  <c r="O20" i="5629"/>
  <c r="O19" i="5639"/>
  <c r="O16" i="5643"/>
  <c r="O15" i="5643"/>
  <c r="C27" i="5643"/>
  <c r="B24" i="5643"/>
  <c r="C20" i="5643"/>
  <c r="B17" i="5643"/>
  <c r="H49" i="5643" s="1"/>
  <c r="C16" i="5643"/>
  <c r="C15" i="5643"/>
  <c r="C14" i="5643"/>
  <c r="C13" i="5643"/>
  <c r="O12" i="5643"/>
  <c r="C12" i="5643"/>
  <c r="O11" i="5643"/>
  <c r="C11" i="5643"/>
  <c r="O10" i="5643"/>
  <c r="C10" i="5643"/>
  <c r="C9" i="5643"/>
  <c r="C8" i="5643"/>
  <c r="O7" i="5643"/>
  <c r="C7" i="5643"/>
  <c r="O6" i="5643"/>
  <c r="B6" i="5643"/>
  <c r="O5" i="5643"/>
  <c r="B5" i="5643"/>
  <c r="O4" i="5643"/>
  <c r="O3" i="5643"/>
  <c r="O2" i="5643"/>
  <c r="O21" i="5641"/>
  <c r="O17" i="5625"/>
  <c r="H21" i="5643" l="1"/>
  <c r="H39" i="5643"/>
  <c r="H28" i="5643"/>
  <c r="H16" i="5643"/>
  <c r="H50" i="5643"/>
  <c r="H4" i="5643"/>
  <c r="H10" i="5643"/>
  <c r="H22" i="5643"/>
  <c r="H30" i="5643"/>
  <c r="H40" i="5643"/>
  <c r="H51" i="5643"/>
  <c r="H7" i="5643"/>
  <c r="H13" i="5643"/>
  <c r="C17" i="5643"/>
  <c r="B23" i="5643"/>
  <c r="H31" i="5643"/>
  <c r="H42" i="5643"/>
  <c r="H52" i="5643"/>
  <c r="H17" i="5643"/>
  <c r="H32" i="5643"/>
  <c r="H43" i="5643"/>
  <c r="H5" i="5643"/>
  <c r="H11" i="5643"/>
  <c r="H14" i="5643"/>
  <c r="C18" i="5643"/>
  <c r="H24" i="5643"/>
  <c r="H34" i="5643"/>
  <c r="H44" i="5643"/>
  <c r="H2" i="5643"/>
  <c r="H8" i="5643"/>
  <c r="C19" i="5643"/>
  <c r="H25" i="5643"/>
  <c r="H35" i="5643"/>
  <c r="H46" i="5643"/>
  <c r="H15" i="5643"/>
  <c r="H19" i="5643"/>
  <c r="H36" i="5643"/>
  <c r="H47" i="5643"/>
  <c r="H3" i="5643"/>
  <c r="H6" i="5643"/>
  <c r="H9" i="5643"/>
  <c r="H12" i="5643"/>
  <c r="H27" i="5643"/>
  <c r="H38" i="5643"/>
  <c r="H48" i="5643"/>
  <c r="H18" i="5643"/>
  <c r="H23" i="5643"/>
  <c r="H29" i="5643"/>
  <c r="H37" i="5643"/>
  <c r="H45" i="5643"/>
  <c r="H20" i="5643"/>
  <c r="H26" i="5643"/>
  <c r="H33" i="5643"/>
  <c r="H41" i="5643"/>
  <c r="O16" i="5629" l="1"/>
  <c r="O19" i="5633"/>
  <c r="O17" i="5629" l="1"/>
  <c r="O20" i="5637"/>
  <c r="O22" i="5637"/>
  <c r="O15" i="5627"/>
  <c r="O19" i="5631"/>
  <c r="O15" i="5633"/>
  <c r="O16" i="5633"/>
  <c r="O17" i="5627"/>
  <c r="O22" i="5631"/>
  <c r="O15" i="5629"/>
  <c r="O18" i="5641"/>
  <c r="O22" i="5641"/>
  <c r="O20" i="5635" l="1"/>
  <c r="O19" i="5635"/>
  <c r="O16" i="5641"/>
  <c r="O15" i="5641"/>
  <c r="C27" i="5641"/>
  <c r="B24" i="5641"/>
  <c r="C20" i="5641"/>
  <c r="B17" i="5641"/>
  <c r="H50" i="5641" s="1"/>
  <c r="C16" i="5641"/>
  <c r="C15" i="5641"/>
  <c r="C14" i="5641"/>
  <c r="C13" i="5641"/>
  <c r="O12" i="5641"/>
  <c r="C12" i="5641"/>
  <c r="O11" i="5641"/>
  <c r="C11" i="5641"/>
  <c r="O10" i="5641"/>
  <c r="C10" i="5641"/>
  <c r="C9" i="5641"/>
  <c r="C8" i="5641"/>
  <c r="O7" i="5641"/>
  <c r="C7" i="5641"/>
  <c r="O6" i="5641"/>
  <c r="B6" i="5641"/>
  <c r="O5" i="5641"/>
  <c r="B5" i="5641"/>
  <c r="O4" i="5641"/>
  <c r="O3" i="5641"/>
  <c r="O2" i="5641"/>
  <c r="O15" i="5625"/>
  <c r="O15" i="5639"/>
  <c r="O18" i="5639"/>
  <c r="C27" i="5639"/>
  <c r="B24" i="5639"/>
  <c r="C20" i="5639"/>
  <c r="B17" i="5639"/>
  <c r="H50" i="5639" s="1"/>
  <c r="C16" i="5639"/>
  <c r="C15" i="5639"/>
  <c r="H14" i="5639"/>
  <c r="C14" i="5639"/>
  <c r="C13" i="5639"/>
  <c r="O12" i="5639"/>
  <c r="C12" i="5639"/>
  <c r="O11" i="5639"/>
  <c r="C11" i="5639"/>
  <c r="O10" i="5639"/>
  <c r="C10" i="5639"/>
  <c r="C9" i="5639"/>
  <c r="C8" i="5639"/>
  <c r="O7" i="5639"/>
  <c r="C7" i="5639"/>
  <c r="O6" i="5639"/>
  <c r="B6" i="5639"/>
  <c r="O5" i="5639"/>
  <c r="B5" i="5639"/>
  <c r="O4" i="5639"/>
  <c r="O3" i="5639"/>
  <c r="O2" i="5639"/>
  <c r="O23" i="5625"/>
  <c r="H12" i="5639" l="1"/>
  <c r="H8" i="5639"/>
  <c r="H5" i="5639"/>
  <c r="H2" i="5641"/>
  <c r="H3" i="5641"/>
  <c r="H26" i="5641"/>
  <c r="H13" i="5641"/>
  <c r="H39" i="5641"/>
  <c r="H40" i="5641"/>
  <c r="H18" i="5641"/>
  <c r="H20" i="5641"/>
  <c r="H10" i="5641"/>
  <c r="H17" i="5641"/>
  <c r="H23" i="5641"/>
  <c r="H29" i="5641"/>
  <c r="H11" i="5641"/>
  <c r="H4" i="5641"/>
  <c r="C18" i="5641"/>
  <c r="H12" i="5641"/>
  <c r="H33" i="5641"/>
  <c r="H45" i="5641"/>
  <c r="H7" i="5641"/>
  <c r="H9" i="5641"/>
  <c r="H22" i="5641"/>
  <c r="H35" i="5641"/>
  <c r="H51" i="5641"/>
  <c r="H44" i="5641"/>
  <c r="H49" i="5641"/>
  <c r="H6" i="5641"/>
  <c r="C19" i="5641"/>
  <c r="H16" i="5641"/>
  <c r="H31" i="5641"/>
  <c r="H36" i="5641"/>
  <c r="H41" i="5641"/>
  <c r="H47" i="5641"/>
  <c r="H5" i="5641"/>
  <c r="H27" i="5641"/>
  <c r="H8" i="5641"/>
  <c r="H19" i="5641"/>
  <c r="H21" i="5641"/>
  <c r="C17" i="5641"/>
  <c r="H14" i="5641"/>
  <c r="B23" i="5641"/>
  <c r="H32" i="5641"/>
  <c r="H37" i="5641"/>
  <c r="H43" i="5641"/>
  <c r="H48" i="5641"/>
  <c r="H52" i="5641"/>
  <c r="H24" i="5641"/>
  <c r="H25" i="5641"/>
  <c r="H15" i="5641"/>
  <c r="H28" i="5641"/>
  <c r="H30" i="5641"/>
  <c r="H34" i="5641"/>
  <c r="H38" i="5641"/>
  <c r="H42" i="5641"/>
  <c r="H46" i="5641"/>
  <c r="C18" i="5639"/>
  <c r="H4" i="5639"/>
  <c r="H9" i="5639"/>
  <c r="H32" i="5639"/>
  <c r="H2" i="5639"/>
  <c r="H16" i="5639"/>
  <c r="B23" i="5639"/>
  <c r="H40" i="5639"/>
  <c r="H48" i="5639"/>
  <c r="H10" i="5639"/>
  <c r="H17" i="5639"/>
  <c r="H22" i="5639"/>
  <c r="H25" i="5639"/>
  <c r="H31" i="5639"/>
  <c r="H39" i="5639"/>
  <c r="H47" i="5639"/>
  <c r="H19" i="5639"/>
  <c r="H27" i="5639"/>
  <c r="H35" i="5639"/>
  <c r="H43" i="5639"/>
  <c r="H51" i="5639"/>
  <c r="H3" i="5639"/>
  <c r="H6" i="5639"/>
  <c r="H11" i="5639"/>
  <c r="C17" i="5639"/>
  <c r="H24" i="5639"/>
  <c r="H28" i="5639"/>
  <c r="H36" i="5639"/>
  <c r="H44" i="5639"/>
  <c r="H52" i="5639"/>
  <c r="H18" i="5639"/>
  <c r="H20" i="5639"/>
  <c r="H23" i="5639"/>
  <c r="H26" i="5639"/>
  <c r="H29" i="5639"/>
  <c r="H33" i="5639"/>
  <c r="H37" i="5639"/>
  <c r="H41" i="5639"/>
  <c r="H45" i="5639"/>
  <c r="H49" i="5639"/>
  <c r="H7" i="5639"/>
  <c r="H13" i="5639"/>
  <c r="H15" i="5639"/>
  <c r="C19" i="5639"/>
  <c r="H21" i="5639"/>
  <c r="H30" i="5639"/>
  <c r="H34" i="5639"/>
  <c r="H38" i="5639"/>
  <c r="H42" i="5639"/>
  <c r="H46" i="5639"/>
  <c r="O18" i="5637" l="1"/>
  <c r="O16" i="5637"/>
  <c r="C27" i="5637"/>
  <c r="B24" i="5637"/>
  <c r="C20" i="5637"/>
  <c r="B17" i="5637"/>
  <c r="H52" i="5637" s="1"/>
  <c r="C16" i="5637"/>
  <c r="C15" i="5637"/>
  <c r="C14" i="5637"/>
  <c r="C13" i="5637"/>
  <c r="O12" i="5637"/>
  <c r="C12" i="5637"/>
  <c r="O11" i="5637"/>
  <c r="C11" i="5637"/>
  <c r="O10" i="5637"/>
  <c r="C10" i="5637"/>
  <c r="C9" i="5637"/>
  <c r="C8" i="5637"/>
  <c r="O7" i="5637"/>
  <c r="C7" i="5637"/>
  <c r="O6" i="5637"/>
  <c r="B6" i="5637"/>
  <c r="O5" i="5637"/>
  <c r="B5" i="5637"/>
  <c r="O4" i="5637"/>
  <c r="O3" i="5637"/>
  <c r="O2" i="5637"/>
  <c r="O15" i="5635"/>
  <c r="O17" i="5635"/>
  <c r="C27" i="5635"/>
  <c r="B24" i="5635"/>
  <c r="C20" i="5635"/>
  <c r="B17" i="5635"/>
  <c r="H49" i="5635" s="1"/>
  <c r="C16" i="5635"/>
  <c r="C15" i="5635"/>
  <c r="C14" i="5635"/>
  <c r="C13" i="5635"/>
  <c r="O12" i="5635"/>
  <c r="C12" i="5635"/>
  <c r="O11" i="5635"/>
  <c r="C11" i="5635"/>
  <c r="O10" i="5635"/>
  <c r="C10" i="5635"/>
  <c r="C9" i="5635"/>
  <c r="C8" i="5635"/>
  <c r="O7" i="5635"/>
  <c r="C7" i="5635"/>
  <c r="O6" i="5635"/>
  <c r="B6" i="5635"/>
  <c r="O5" i="5635"/>
  <c r="B5" i="5635"/>
  <c r="O4" i="5635"/>
  <c r="O3" i="5635"/>
  <c r="O2" i="5635"/>
  <c r="O16" i="5625"/>
  <c r="O20" i="5633"/>
  <c r="O18" i="5633"/>
  <c r="C27" i="5633"/>
  <c r="B24" i="5633"/>
  <c r="C20" i="5633"/>
  <c r="B17" i="5633"/>
  <c r="H17" i="5633" s="1"/>
  <c r="C16" i="5633"/>
  <c r="C15" i="5633"/>
  <c r="C14" i="5633"/>
  <c r="C13" i="5633"/>
  <c r="O12" i="5633"/>
  <c r="C12" i="5633"/>
  <c r="O11" i="5633"/>
  <c r="C11" i="5633"/>
  <c r="O10" i="5633"/>
  <c r="C10" i="5633"/>
  <c r="C9" i="5633"/>
  <c r="C8" i="5633"/>
  <c r="O7" i="5633"/>
  <c r="C7" i="5633"/>
  <c r="O6" i="5633"/>
  <c r="B6" i="5633"/>
  <c r="O5" i="5633"/>
  <c r="B5" i="5633"/>
  <c r="O4" i="5633"/>
  <c r="O3" i="5633"/>
  <c r="O2" i="5633"/>
  <c r="O20" i="5625"/>
  <c r="O18" i="5625"/>
  <c r="H3" i="5633" l="1"/>
  <c r="H13" i="5637"/>
  <c r="H4" i="5637"/>
  <c r="H3" i="5637"/>
  <c r="H7" i="5637"/>
  <c r="H18" i="5637"/>
  <c r="H21" i="5637"/>
  <c r="H14" i="5637"/>
  <c r="C18" i="5637"/>
  <c r="H8" i="5637"/>
  <c r="H40" i="5637"/>
  <c r="H2" i="5637"/>
  <c r="H9" i="5637"/>
  <c r="C17" i="5637"/>
  <c r="H32" i="5637"/>
  <c r="H48" i="5637"/>
  <c r="C19" i="5637"/>
  <c r="H26" i="5637"/>
  <c r="H44" i="5637"/>
  <c r="H10" i="5637"/>
  <c r="H20" i="5637"/>
  <c r="H22" i="5637"/>
  <c r="H24" i="5637"/>
  <c r="H12" i="5637"/>
  <c r="H6" i="5637"/>
  <c r="H16" i="5637"/>
  <c r="H19" i="5637"/>
  <c r="H11" i="5637"/>
  <c r="H15" i="5637"/>
  <c r="H36" i="5637"/>
  <c r="H5" i="5637"/>
  <c r="H23" i="5637"/>
  <c r="H25" i="5637"/>
  <c r="H17" i="5637"/>
  <c r="H28" i="5637"/>
  <c r="H30" i="5637"/>
  <c r="H34" i="5637"/>
  <c r="H38" i="5637"/>
  <c r="H42" i="5637"/>
  <c r="H46" i="5637"/>
  <c r="H50" i="5637"/>
  <c r="H31" i="5637"/>
  <c r="H35" i="5637"/>
  <c r="H39" i="5637"/>
  <c r="H43" i="5637"/>
  <c r="H47" i="5637"/>
  <c r="H51" i="5637"/>
  <c r="B23" i="5637"/>
  <c r="H27" i="5637"/>
  <c r="H29" i="5637"/>
  <c r="H33" i="5637"/>
  <c r="H37" i="5637"/>
  <c r="H41" i="5637"/>
  <c r="H45" i="5637"/>
  <c r="H49" i="5637"/>
  <c r="H4" i="5635"/>
  <c r="H10" i="5635"/>
  <c r="H2" i="5635"/>
  <c r="H8" i="5635"/>
  <c r="H36" i="5635"/>
  <c r="H28" i="5635"/>
  <c r="H7" i="5635"/>
  <c r="H13" i="5635"/>
  <c r="H15" i="5635"/>
  <c r="C17" i="5635"/>
  <c r="H24" i="5635"/>
  <c r="H31" i="5635"/>
  <c r="H38" i="5635"/>
  <c r="H44" i="5635"/>
  <c r="H43" i="5635"/>
  <c r="H12" i="5635"/>
  <c r="H21" i="5635"/>
  <c r="H39" i="5635"/>
  <c r="H47" i="5635"/>
  <c r="H19" i="5635"/>
  <c r="H52" i="5635"/>
  <c r="H3" i="5635"/>
  <c r="H6" i="5635"/>
  <c r="H9" i="5635"/>
  <c r="H17" i="5635"/>
  <c r="H32" i="5635"/>
  <c r="H5" i="5635"/>
  <c r="H11" i="5635"/>
  <c r="H14" i="5635"/>
  <c r="H16" i="5635"/>
  <c r="C18" i="5635"/>
  <c r="B23" i="5635"/>
  <c r="H27" i="5635"/>
  <c r="H34" i="5635"/>
  <c r="H42" i="5635"/>
  <c r="H48" i="5635"/>
  <c r="H50" i="5635"/>
  <c r="C19" i="5635"/>
  <c r="H22" i="5635"/>
  <c r="H25" i="5635"/>
  <c r="H30" i="5635"/>
  <c r="H35" i="5635"/>
  <c r="H40" i="5635"/>
  <c r="H46" i="5635"/>
  <c r="H51" i="5635"/>
  <c r="H18" i="5635"/>
  <c r="H20" i="5635"/>
  <c r="H23" i="5635"/>
  <c r="H26" i="5635"/>
  <c r="H29" i="5635"/>
  <c r="H33" i="5635"/>
  <c r="H37" i="5635"/>
  <c r="H41" i="5635"/>
  <c r="H45" i="5635"/>
  <c r="H2" i="5633"/>
  <c r="H26" i="5633"/>
  <c r="H28" i="5633"/>
  <c r="H33" i="5633"/>
  <c r="H41" i="5633"/>
  <c r="H49" i="5633"/>
  <c r="B23" i="5633"/>
  <c r="H42" i="5633"/>
  <c r="H50" i="5633"/>
  <c r="H4" i="5633"/>
  <c r="C17" i="5633"/>
  <c r="H12" i="5633"/>
  <c r="H13" i="5633"/>
  <c r="H37" i="5633"/>
  <c r="H45" i="5633"/>
  <c r="H5" i="5633"/>
  <c r="H9" i="5633"/>
  <c r="C19" i="5633"/>
  <c r="H8" i="5633"/>
  <c r="H20" i="5633"/>
  <c r="H22" i="5633"/>
  <c r="H15" i="5633"/>
  <c r="H34" i="5633"/>
  <c r="H10" i="5633"/>
  <c r="H7" i="5633"/>
  <c r="H19" i="5633"/>
  <c r="H23" i="5633"/>
  <c r="H6" i="5633"/>
  <c r="H18" i="5633"/>
  <c r="H21" i="5633"/>
  <c r="H14" i="5633"/>
  <c r="C18" i="5633"/>
  <c r="H11" i="5633"/>
  <c r="H16" i="5633"/>
  <c r="H30" i="5633"/>
  <c r="H38" i="5633"/>
  <c r="H46" i="5633"/>
  <c r="H52" i="5633"/>
  <c r="H24" i="5633"/>
  <c r="H25" i="5633"/>
  <c r="H27" i="5633"/>
  <c r="H29" i="5633"/>
  <c r="H31" i="5633"/>
  <c r="H35" i="5633"/>
  <c r="H39" i="5633"/>
  <c r="H43" i="5633"/>
  <c r="H47" i="5633"/>
  <c r="H51" i="5633"/>
  <c r="H32" i="5633"/>
  <c r="H36" i="5633"/>
  <c r="H40" i="5633"/>
  <c r="H44" i="5633"/>
  <c r="H48" i="5633"/>
  <c r="O21" i="5631" l="1"/>
  <c r="O20" i="5631"/>
  <c r="C27" i="5631"/>
  <c r="B24" i="5631"/>
  <c r="C20" i="5631"/>
  <c r="B17" i="5631"/>
  <c r="H50" i="5631" s="1"/>
  <c r="C16" i="5631"/>
  <c r="C15" i="5631"/>
  <c r="C14" i="5631"/>
  <c r="C13" i="5631"/>
  <c r="O12" i="5631"/>
  <c r="C12" i="5631"/>
  <c r="O11" i="5631"/>
  <c r="C11" i="5631"/>
  <c r="O10" i="5631"/>
  <c r="C10" i="5631"/>
  <c r="C9" i="5631"/>
  <c r="C8" i="5631"/>
  <c r="O7" i="5631"/>
  <c r="C7" i="5631"/>
  <c r="O6" i="5631"/>
  <c r="B6" i="5631"/>
  <c r="O5" i="5631"/>
  <c r="B5" i="5631"/>
  <c r="O4" i="5631"/>
  <c r="O3" i="5631"/>
  <c r="O2" i="5631"/>
  <c r="O18" i="5629"/>
  <c r="O19" i="5629"/>
  <c r="C27" i="5629"/>
  <c r="B24" i="5629"/>
  <c r="C20" i="5629"/>
  <c r="B17" i="5629"/>
  <c r="H50" i="5629" s="1"/>
  <c r="C16" i="5629"/>
  <c r="C15" i="5629"/>
  <c r="C14" i="5629"/>
  <c r="C13" i="5629"/>
  <c r="O12" i="5629"/>
  <c r="C12" i="5629"/>
  <c r="O11" i="5629"/>
  <c r="C11" i="5629"/>
  <c r="O10" i="5629"/>
  <c r="C10" i="5629"/>
  <c r="C9" i="5629"/>
  <c r="C8" i="5629"/>
  <c r="O7" i="5629"/>
  <c r="C7" i="5629"/>
  <c r="O6" i="5629"/>
  <c r="B6" i="5629"/>
  <c r="O5" i="5629"/>
  <c r="B5" i="5629"/>
  <c r="O4" i="5629"/>
  <c r="O3" i="5629"/>
  <c r="O2" i="5629"/>
  <c r="O19" i="5625"/>
  <c r="O16" i="5627"/>
  <c r="O19" i="5627"/>
  <c r="C27" i="5627"/>
  <c r="B24" i="5627"/>
  <c r="C20" i="5627"/>
  <c r="B17" i="5627"/>
  <c r="H50" i="5627" s="1"/>
  <c r="C16" i="5627"/>
  <c r="C15" i="5627"/>
  <c r="C14" i="5627"/>
  <c r="C13" i="5627"/>
  <c r="O12" i="5627"/>
  <c r="C12" i="5627"/>
  <c r="O11" i="5627"/>
  <c r="C11" i="5627"/>
  <c r="O10" i="5627"/>
  <c r="C10" i="5627"/>
  <c r="C9" i="5627"/>
  <c r="C8" i="5627"/>
  <c r="O7" i="5627"/>
  <c r="C7" i="5627"/>
  <c r="O6" i="5627"/>
  <c r="B6" i="5627"/>
  <c r="O5" i="5627"/>
  <c r="B5" i="5627"/>
  <c r="O4" i="5627"/>
  <c r="O3" i="5627"/>
  <c r="O2" i="5627"/>
  <c r="O21" i="5625"/>
  <c r="O22" i="5625"/>
  <c r="C27" i="5625"/>
  <c r="B24" i="5625"/>
  <c r="C20" i="5625"/>
  <c r="B17" i="5625"/>
  <c r="H51" i="5625" s="1"/>
  <c r="C16" i="5625"/>
  <c r="C15" i="5625"/>
  <c r="C14" i="5625"/>
  <c r="C13" i="5625"/>
  <c r="O12" i="5625"/>
  <c r="C12" i="5625"/>
  <c r="O11" i="5625"/>
  <c r="C11" i="5625"/>
  <c r="O10" i="5625"/>
  <c r="C10" i="5625"/>
  <c r="C9" i="5625"/>
  <c r="C8" i="5625"/>
  <c r="O7" i="5625"/>
  <c r="C7" i="5625"/>
  <c r="O6" i="5625"/>
  <c r="B6" i="5625"/>
  <c r="O5" i="5625"/>
  <c r="B5" i="5625"/>
  <c r="O4" i="5625"/>
  <c r="O3" i="5625"/>
  <c r="O2" i="5625"/>
  <c r="H32" i="5631" l="1"/>
  <c r="H3" i="5631"/>
  <c r="H5" i="5631"/>
  <c r="H39" i="5631"/>
  <c r="H16" i="5631"/>
  <c r="H25" i="5631"/>
  <c r="H12" i="5631"/>
  <c r="C18" i="5631"/>
  <c r="H11" i="5625"/>
  <c r="H31" i="5625"/>
  <c r="H2" i="5625"/>
  <c r="H25" i="5625"/>
  <c r="H7" i="5625"/>
  <c r="H4" i="5625"/>
  <c r="H3" i="5625"/>
  <c r="H15" i="5625"/>
  <c r="H22" i="5631"/>
  <c r="H40" i="5631"/>
  <c r="H14" i="5631"/>
  <c r="H6" i="5631"/>
  <c r="H17" i="5631"/>
  <c r="B23" i="5631"/>
  <c r="H31" i="5631"/>
  <c r="H48" i="5631"/>
  <c r="H47" i="5631"/>
  <c r="H19" i="5631"/>
  <c r="H27" i="5631"/>
  <c r="H35" i="5631"/>
  <c r="H43" i="5631"/>
  <c r="H51" i="5631"/>
  <c r="H2" i="5631"/>
  <c r="H4" i="5631"/>
  <c r="H9" i="5631"/>
  <c r="H11" i="5631"/>
  <c r="C17" i="5631"/>
  <c r="H24" i="5631"/>
  <c r="H28" i="5631"/>
  <c r="H36" i="5631"/>
  <c r="H44" i="5631"/>
  <c r="H52" i="5631"/>
  <c r="H18" i="5631"/>
  <c r="H20" i="5631"/>
  <c r="H26" i="5631"/>
  <c r="H29" i="5631"/>
  <c r="H33" i="5631"/>
  <c r="H37" i="5631"/>
  <c r="H41" i="5631"/>
  <c r="H45" i="5631"/>
  <c r="H49" i="5631"/>
  <c r="H8" i="5631"/>
  <c r="H10" i="5631"/>
  <c r="H23" i="5631"/>
  <c r="H7" i="5631"/>
  <c r="H13" i="5631"/>
  <c r="H15" i="5631"/>
  <c r="C19" i="5631"/>
  <c r="H21" i="5631"/>
  <c r="H30" i="5631"/>
  <c r="H34" i="5631"/>
  <c r="H38" i="5631"/>
  <c r="H42" i="5631"/>
  <c r="H46" i="5631"/>
  <c r="H3" i="5629"/>
  <c r="H13" i="5629"/>
  <c r="H17" i="5629"/>
  <c r="H10" i="5629"/>
  <c r="H2" i="5629"/>
  <c r="H8" i="5629"/>
  <c r="H15" i="5629"/>
  <c r="H19" i="5629"/>
  <c r="H40" i="5629"/>
  <c r="H35" i="5629"/>
  <c r="H27" i="5629"/>
  <c r="H43" i="5629"/>
  <c r="H4" i="5629"/>
  <c r="H7" i="5629"/>
  <c r="H12" i="5629"/>
  <c r="H6" i="5629"/>
  <c r="H9" i="5629"/>
  <c r="C17" i="5629"/>
  <c r="B23" i="5629"/>
  <c r="H32" i="5629"/>
  <c r="H51" i="5629"/>
  <c r="C19" i="5629"/>
  <c r="H22" i="5629"/>
  <c r="H25" i="5629"/>
  <c r="H31" i="5629"/>
  <c r="H39" i="5629"/>
  <c r="H47" i="5629"/>
  <c r="H48" i="5629"/>
  <c r="H5" i="5629"/>
  <c r="H11" i="5629"/>
  <c r="H14" i="5629"/>
  <c r="H16" i="5629"/>
  <c r="C18" i="5629"/>
  <c r="H21" i="5629"/>
  <c r="H24" i="5629"/>
  <c r="H28" i="5629"/>
  <c r="H36" i="5629"/>
  <c r="H44" i="5629"/>
  <c r="H52" i="5629"/>
  <c r="H18" i="5629"/>
  <c r="H20" i="5629"/>
  <c r="H23" i="5629"/>
  <c r="H26" i="5629"/>
  <c r="H29" i="5629"/>
  <c r="H33" i="5629"/>
  <c r="H37" i="5629"/>
  <c r="H41" i="5629"/>
  <c r="H45" i="5629"/>
  <c r="H49" i="5629"/>
  <c r="H30" i="5629"/>
  <c r="H34" i="5629"/>
  <c r="H38" i="5629"/>
  <c r="H42" i="5629"/>
  <c r="H46" i="5629"/>
  <c r="H10" i="5627"/>
  <c r="H4" i="5627"/>
  <c r="H2" i="5627"/>
  <c r="H8" i="5627"/>
  <c r="C19" i="5627"/>
  <c r="H22" i="5627"/>
  <c r="H25" i="5627"/>
  <c r="H31" i="5627"/>
  <c r="H39" i="5627"/>
  <c r="H47" i="5627"/>
  <c r="C17" i="5627"/>
  <c r="H19" i="5627"/>
  <c r="B23" i="5627"/>
  <c r="H32" i="5627"/>
  <c r="H40" i="5627"/>
  <c r="H48" i="5627"/>
  <c r="H13" i="5627"/>
  <c r="H3" i="5627"/>
  <c r="H27" i="5627"/>
  <c r="H43" i="5627"/>
  <c r="H51" i="5627"/>
  <c r="H7" i="5627"/>
  <c r="H15" i="5627"/>
  <c r="H6" i="5627"/>
  <c r="H9" i="5627"/>
  <c r="H12" i="5627"/>
  <c r="H17" i="5627"/>
  <c r="H35" i="5627"/>
  <c r="H5" i="5627"/>
  <c r="H11" i="5627"/>
  <c r="H14" i="5627"/>
  <c r="H16" i="5627"/>
  <c r="C18" i="5627"/>
  <c r="H21" i="5627"/>
  <c r="H24" i="5627"/>
  <c r="H28" i="5627"/>
  <c r="H36" i="5627"/>
  <c r="H44" i="5627"/>
  <c r="H52" i="5627"/>
  <c r="H18" i="5627"/>
  <c r="H20" i="5627"/>
  <c r="H23" i="5627"/>
  <c r="H26" i="5627"/>
  <c r="H29" i="5627"/>
  <c r="H33" i="5627"/>
  <c r="H37" i="5627"/>
  <c r="H41" i="5627"/>
  <c r="H45" i="5627"/>
  <c r="H49" i="5627"/>
  <c r="H30" i="5627"/>
  <c r="H34" i="5627"/>
  <c r="H38" i="5627"/>
  <c r="H42" i="5627"/>
  <c r="H46" i="5627"/>
  <c r="H13" i="5625"/>
  <c r="C18" i="5625"/>
  <c r="H8" i="5625"/>
  <c r="H35" i="5625"/>
  <c r="H12" i="5625"/>
  <c r="H10" i="5625"/>
  <c r="H6" i="5625"/>
  <c r="H29" i="5625"/>
  <c r="H17" i="5625"/>
  <c r="H40" i="5625"/>
  <c r="H45" i="5625"/>
  <c r="H50" i="5625"/>
  <c r="H14" i="5625"/>
  <c r="H27" i="5625"/>
  <c r="H36" i="5625"/>
  <c r="H41" i="5625"/>
  <c r="H46" i="5625"/>
  <c r="H20" i="5625"/>
  <c r="C19" i="5625"/>
  <c r="H23" i="5625"/>
  <c r="H26" i="5625"/>
  <c r="H19" i="5625"/>
  <c r="H37" i="5625"/>
  <c r="H42" i="5625"/>
  <c r="H48" i="5625"/>
  <c r="H5" i="5625"/>
  <c r="H9" i="5625"/>
  <c r="H30" i="5625"/>
  <c r="H21" i="5625"/>
  <c r="C17" i="5625"/>
  <c r="H16" i="5625"/>
  <c r="B23" i="5625"/>
  <c r="H34" i="5625"/>
  <c r="H38" i="5625"/>
  <c r="H44" i="5625"/>
  <c r="H49" i="5625"/>
  <c r="H52" i="5625"/>
  <c r="H32" i="5625"/>
  <c r="H33" i="5625"/>
  <c r="H22" i="5625"/>
  <c r="H24" i="5625"/>
  <c r="H18" i="5625"/>
  <c r="H28" i="5625"/>
  <c r="H39" i="5625"/>
  <c r="H43" i="5625"/>
  <c r="H47" i="5625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<sst xmlns="http://schemas.openxmlformats.org/spreadsheetml/2006/main" count="2426" uniqueCount="207">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</sst>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全体!$K$2:$K$158</c:f>
              <c:numCache>
                <c:formatCode>General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全体!$L$2:$L$158</c:f>
              <c:numCache>
                <c:formatCode>\+0.0;\-0.0;\±0</c:formatCode>
                <c:ptCount val="157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7.5000000000000036</c:v>
                </c:pt>
                <c:pt idx="71">
                  <c:v>28.600000000000005</c:v>
                </c:pt>
                <c:pt idx="72">
                  <c:v>3.5527136788005009E-15</c:v>
                </c:pt>
                <c:pt idx="73">
                  <c:v>39.5</c:v>
                </c:pt>
                <c:pt idx="74">
                  <c:v>-7</c:v>
                </c:pt>
                <c:pt idx="75">
                  <c:v>0</c:v>
                </c:pt>
                <c:pt idx="76">
                  <c:v>-45.1</c:v>
                </c:pt>
                <c:pt idx="77">
                  <c:v>-39.200000000000003</c:v>
                </c:pt>
                <c:pt idx="78">
                  <c:v>0</c:v>
                </c:pt>
                <c:pt idx="79">
                  <c:v>17.7</c:v>
                </c:pt>
                <c:pt idx="80">
                  <c:v>-28.8</c:v>
                </c:pt>
                <c:pt idx="81">
                  <c:v>0</c:v>
                </c:pt>
                <c:pt idx="82">
                  <c:v>42.9</c:v>
                </c:pt>
                <c:pt idx="83">
                  <c:v>-0.80000000000000426</c:v>
                </c:pt>
                <c:pt idx="84">
                  <c:v>-4.2188474935755949E-15</c:v>
                </c:pt>
                <c:pt idx="85">
                  <c:v>-58.000000000000007</c:v>
                </c:pt>
                <c:pt idx="86">
                  <c:v>-7.1054273576010019E-15</c:v>
                </c:pt>
                <c:pt idx="87">
                  <c:v>-7.1054273576010019E-15</c:v>
                </c:pt>
                <c:pt idx="88">
                  <c:v>-26.400000000000006</c:v>
                </c:pt>
                <c:pt idx="89">
                  <c:v>-26.900000000000006</c:v>
                </c:pt>
                <c:pt idx="90">
                  <c:v>-7.1054273576010019E-15</c:v>
                </c:pt>
                <c:pt idx="91">
                  <c:v>-34.900000000000006</c:v>
                </c:pt>
                <c:pt idx="92">
                  <c:v>-8.100000000000005</c:v>
                </c:pt>
                <c:pt idx="93">
                  <c:v>-5.3290705182007514E-15</c:v>
                </c:pt>
                <c:pt idx="94">
                  <c:v>34.29999999999999</c:v>
                </c:pt>
                <c:pt idx="95">
                  <c:v>31.499999999999989</c:v>
                </c:pt>
                <c:pt idx="96">
                  <c:v>-1.0658141036401503E-14</c:v>
                </c:pt>
                <c:pt idx="97">
                  <c:v>17.699999999999989</c:v>
                </c:pt>
                <c:pt idx="98">
                  <c:v>-28.800000000000011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-44.200000000000024</c:v>
                </c:pt>
                <c:pt idx="113">
                  <c:v>-30.800000000000026</c:v>
                </c:pt>
                <c:pt idx="114">
                  <c:v>-2.4868995751603507E-14</c:v>
                </c:pt>
                <c:pt idx="115">
                  <c:v>-55.800000000000026</c:v>
                </c:pt>
                <c:pt idx="116">
                  <c:v>-50.500000000000028</c:v>
                </c:pt>
                <c:pt idx="117">
                  <c:v>-2.8421709430404007E-14</c:v>
                </c:pt>
                <c:pt idx="118">
                  <c:v>31.699999999999971</c:v>
                </c:pt>
                <c:pt idx="119">
                  <c:v>-8.6000000000000263</c:v>
                </c:pt>
                <c:pt idx="120">
                  <c:v>-2.6645352591003757E-14</c:v>
                </c:pt>
                <c:pt idx="121">
                  <c:v>-3.4000000000000266</c:v>
                </c:pt>
                <c:pt idx="122">
                  <c:v>-24.700000000000028</c:v>
                </c:pt>
                <c:pt idx="123">
                  <c:v>-2.8421709430404007E-14</c:v>
                </c:pt>
                <c:pt idx="124">
                  <c:v>2.4999999999999716</c:v>
                </c:pt>
                <c:pt idx="125">
                  <c:v>23.999999999999972</c:v>
                </c:pt>
                <c:pt idx="126">
                  <c:v>-2.8421709430404007E-14</c:v>
                </c:pt>
                <c:pt idx="127">
                  <c:v>33.099999999999973</c:v>
                </c:pt>
                <c:pt idx="128">
                  <c:v>6.6999999999999744</c:v>
                </c:pt>
                <c:pt idx="129">
                  <c:v>-2.5757174171303632E-14</c:v>
                </c:pt>
                <c:pt idx="130">
                  <c:v>-16.700000000000024</c:v>
                </c:pt>
                <c:pt idx="131">
                  <c:v>-15.100000000000025</c:v>
                </c:pt>
                <c:pt idx="132">
                  <c:v>-2.4868995751603507E-14</c:v>
                </c:pt>
                <c:pt idx="133">
                  <c:v>-2.8000000000000247</c:v>
                </c:pt>
                <c:pt idx="134">
                  <c:v>14.099999999999973</c:v>
                </c:pt>
                <c:pt idx="135">
                  <c:v>-2.6645352591003757E-14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B6-4020-AA09-27AE1864D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-19.23076923076923</c:v>
                </c:pt>
                <c:pt idx="1">
                  <c:v>13.333333333333334</c:v>
                </c:pt>
                <c:pt idx="2">
                  <c:v>-27.210884353741495</c:v>
                </c:pt>
                <c:pt idx="3">
                  <c:v>21.276595744680851</c:v>
                </c:pt>
                <c:pt idx="4">
                  <c:v>15.873015873015873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D1-4E29-B472-B9B5ADF36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A3-4DBF-8909-790CF5615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-1740</c:v>
                </c:pt>
                <c:pt idx="1">
                  <c:v>266.66666666666669</c:v>
                </c:pt>
                <c:pt idx="2">
                  <c:v>466.66666666666669</c:v>
                </c:pt>
                <c:pt idx="3">
                  <c:v>-446.66666666666669</c:v>
                </c:pt>
                <c:pt idx="4">
                  <c:v>-1086.6666666666667</c:v>
                </c:pt>
                <c:pt idx="5">
                  <c:v>-2666.6666666666665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AB-4EB1-82A8-5EEF18337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だいち!$L$2:$L$35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342.69999999999993</c:v>
                </c:pt>
                <c:pt idx="28">
                  <c:v>347.99999999999994</c:v>
                </c:pt>
                <c:pt idx="29">
                  <c:v>307.69999999999993</c:v>
                </c:pt>
                <c:pt idx="30">
                  <c:v>286.39999999999992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72-4FDB-AC53-35F118ED9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-221.21212121212122</c:v>
                </c:pt>
                <c:pt idx="1">
                  <c:v>-551.61290322580646</c:v>
                </c:pt>
                <c:pt idx="2">
                  <c:v>403.22580645161293</c:v>
                </c:pt>
                <c:pt idx="3">
                  <c:v>-983.33333333333337</c:v>
                </c:pt>
                <c:pt idx="4">
                  <c:v>5439.2857142857147</c:v>
                </c:pt>
                <c:pt idx="5">
                  <c:v>6631.818181818182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81-4487-B75E-9F97F6258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-66.400000000000034</c:v>
                </c:pt>
                <c:pt idx="23">
                  <c:v>-66.400000000000034</c:v>
                </c:pt>
                <c:pt idx="24">
                  <c:v>-39.500000000000036</c:v>
                </c:pt>
                <c:pt idx="25">
                  <c:v>-31.400000000000034</c:v>
                </c:pt>
                <c:pt idx="26">
                  <c:v>-62.900000000000034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A5-4F61-B340-95F628EA2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839.47368421052636</c:v>
                </c:pt>
                <c:pt idx="1">
                  <c:v>766.66666666666663</c:v>
                </c:pt>
                <c:pt idx="2">
                  <c:v>2611.4285714285716</c:v>
                </c:pt>
                <c:pt idx="3">
                  <c:v>2679.4117647058824</c:v>
                </c:pt>
                <c:pt idx="4">
                  <c:v>-3151.6129032258063</c:v>
                </c:pt>
                <c:pt idx="5">
                  <c:v>-3073.913043478261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B6-4FFC-9A56-383CA4B0B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りくと!$L$2:$L$19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2B-4124-A902-900535C91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1547.0588235294117</c:v>
                </c:pt>
                <c:pt idx="1">
                  <c:v>-2868.75</c:v>
                </c:pt>
                <c:pt idx="2">
                  <c:v>1875</c:v>
                </c:pt>
                <c:pt idx="3">
                  <c:v>-4031.25</c:v>
                </c:pt>
                <c:pt idx="4">
                  <c:v>-6046.666666666667</c:v>
                </c:pt>
                <c:pt idx="5">
                  <c:v>-1900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89-4345-8534-6B71988DF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れんたろう!$L$2:$L$16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D6-4CE9-854E-B48E7270E0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857.14285714285711</c:v>
                </c:pt>
                <c:pt idx="1">
                  <c:v>-1961.5384615384614</c:v>
                </c:pt>
                <c:pt idx="2">
                  <c:v>-3841.6666666666665</c:v>
                </c:pt>
                <c:pt idx="3">
                  <c:v>3918.181818181818</c:v>
                </c:pt>
                <c:pt idx="4">
                  <c:v>1977.7777777777778</c:v>
                </c:pt>
                <c:pt idx="5">
                  <c:v>-9900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33-45BA-8E86-1E4E75F26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-37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02-4179-8FCB-E68AE1E09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647.05882352941171</c:v>
                </c:pt>
                <c:pt idx="1">
                  <c:v>35.294117647058826</c:v>
                </c:pt>
                <c:pt idx="2">
                  <c:v>-2631.25</c:v>
                </c:pt>
                <c:pt idx="3">
                  <c:v>2314.2857142857142</c:v>
                </c:pt>
                <c:pt idx="4">
                  <c:v>-4910</c:v>
                </c:pt>
                <c:pt idx="5">
                  <c:v>4814.2857142857147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B2-4E8C-9F22-E83438CB1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のり!$L$2:$L$10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4E-48E5-BC3C-8EECD2C4E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-3912.5</c:v>
                </c:pt>
                <c:pt idx="1">
                  <c:v>-975</c:v>
                </c:pt>
                <c:pt idx="2">
                  <c:v>-1987.5</c:v>
                </c:pt>
                <c:pt idx="3">
                  <c:v>-6414.2857142857147</c:v>
                </c:pt>
                <c:pt idx="4">
                  <c:v>-283.33333333333331</c:v>
                </c:pt>
                <c:pt idx="5">
                  <c:v>-2750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D5-4165-9269-4D29F9209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4F-4FC3-AA41-3FC1C1C1A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-1650</c:v>
                </c:pt>
                <c:pt idx="1">
                  <c:v>5400</c:v>
                </c:pt>
                <c:pt idx="2">
                  <c:v>-40</c:v>
                </c:pt>
                <c:pt idx="3">
                  <c:v>-200</c:v>
                </c:pt>
                <c:pt idx="4">
                  <c:v>7300</c:v>
                </c:pt>
                <c:pt idx="5">
                  <c:v>1837.5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AF-416E-BDD8-78309E48B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21.1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99-4AF8-8B2F-30E29AAED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-750</c:v>
                </c:pt>
                <c:pt idx="1">
                  <c:v>3025</c:v>
                </c:pt>
                <c:pt idx="2">
                  <c:v>-10100</c:v>
                </c:pt>
                <c:pt idx="3">
                  <c:v>-4000</c:v>
                </c:pt>
                <c:pt idx="4">
                  <c:v>7200</c:v>
                </c:pt>
                <c:pt idx="5">
                  <c:v>-4500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93-4305-88F6-59E2653A8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ぱぱ2!$B$3:$B$13</c:f>
              <c:numCache>
                <c:formatCode>\+0.0;\-0.0;\±0</c:formatCode>
                <c:ptCount val="11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930988785010413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ぱぱ2!$C$3:$C$13</c:f>
              <c:numCache>
                <c:formatCode>\+0.0;\-0.0;\±0</c:formatCode>
                <c:ptCount val="11"/>
                <c:pt idx="1">
                  <c:v>70.2</c:v>
                </c:pt>
                <c:pt idx="2">
                  <c:v>34.25</c:v>
                </c:pt>
                <c:pt idx="3">
                  <c:v>25.333333333333332</c:v>
                </c:pt>
                <c:pt idx="4">
                  <c:v>28.875</c:v>
                </c:pt>
                <c:pt idx="5">
                  <c:v>25.580000000000002</c:v>
                </c:pt>
                <c:pt idx="6">
                  <c:v>24.900000000000002</c:v>
                </c:pt>
                <c:pt idx="7">
                  <c:v>17.571428571428573</c:v>
                </c:pt>
                <c:pt idx="8">
                  <c:v>15.574999999999999</c:v>
                </c:pt>
                <c:pt idx="9">
                  <c:v>15.722222222222221</c:v>
                </c:pt>
                <c:pt idx="10">
                  <c:v>16.28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8788389647502649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ぱぱ2!$D$3:$D$13</c:f>
              <c:numCache>
                <c:formatCode>0.00\ "位"</c:formatCode>
                <c:ptCount val="11"/>
                <c:pt idx="1">
                  <c:v>1</c:v>
                </c:pt>
                <c:pt idx="2">
                  <c:v>1.5</c:v>
                </c:pt>
                <c:pt idx="3">
                  <c:v>1.6666666666666667</c:v>
                </c:pt>
                <c:pt idx="4">
                  <c:v>1.5</c:v>
                </c:pt>
                <c:pt idx="5">
                  <c:v>1.6</c:v>
                </c:pt>
                <c:pt idx="6">
                  <c:v>1.5</c:v>
                </c:pt>
                <c:pt idx="7">
                  <c:v>1.7142857142857142</c:v>
                </c:pt>
                <c:pt idx="8">
                  <c:v>1.75</c:v>
                </c:pt>
                <c:pt idx="9">
                  <c:v>1.6666666666666667</c:v>
                </c:pt>
                <c:pt idx="10">
                  <c:v>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ぱぱ2!$E$3:$E$13</c:f>
              <c:numCache>
                <c:formatCode>0.0%</c:formatCode>
                <c:ptCount val="11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ぱぱ2!$F$3:$F$13</c:f>
              <c:numCache>
                <c:formatCode>0.0%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ぱぱ2!$G$3:$G$13</c:f>
              <c:numCache>
                <c:formatCode>0.0%</c:formatCode>
                <c:ptCount val="11"/>
                <c:pt idx="1">
                  <c:v>0.55555555555555558</c:v>
                </c:pt>
                <c:pt idx="2">
                  <c:v>0.5</c:v>
                </c:pt>
                <c:pt idx="3">
                  <c:v>0.47826086956521741</c:v>
                </c:pt>
                <c:pt idx="4">
                  <c:v>0.45454545454545453</c:v>
                </c:pt>
                <c:pt idx="5">
                  <c:v>0.38636363636363635</c:v>
                </c:pt>
                <c:pt idx="6">
                  <c:v>0.39622641509433965</c:v>
                </c:pt>
                <c:pt idx="7">
                  <c:v>0.34375</c:v>
                </c:pt>
                <c:pt idx="8">
                  <c:v>0.33783783783783783</c:v>
                </c:pt>
                <c:pt idx="9">
                  <c:v>0.32558139534883723</c:v>
                </c:pt>
                <c:pt idx="10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2929292929292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ぱぱ2!$H$3:$H$13</c:f>
              <c:numCache>
                <c:formatCode>0.0%</c:formatCode>
                <c:ptCount val="11"/>
                <c:pt idx="1">
                  <c:v>0.1111111111111111</c:v>
                </c:pt>
                <c:pt idx="2">
                  <c:v>6.25E-2</c:v>
                </c:pt>
                <c:pt idx="3">
                  <c:v>8.6956521739130432E-2</c:v>
                </c:pt>
                <c:pt idx="4">
                  <c:v>6.0606060606060608E-2</c:v>
                </c:pt>
                <c:pt idx="5">
                  <c:v>6.8181818181818177E-2</c:v>
                </c:pt>
                <c:pt idx="6">
                  <c:v>5.6603773584905662E-2</c:v>
                </c:pt>
                <c:pt idx="7">
                  <c:v>9.375E-2</c:v>
                </c:pt>
                <c:pt idx="8">
                  <c:v>9.45945945945946E-2</c:v>
                </c:pt>
                <c:pt idx="9">
                  <c:v>0.10465116279069768</c:v>
                </c:pt>
                <c:pt idx="10">
                  <c:v>9.6774193548387094E-2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2438672438672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ぱぱ2!$I$3:$I$13</c:f>
              <c:numCache>
                <c:formatCode>0</c:formatCode>
                <c:ptCount val="11"/>
                <c:pt idx="1">
                  <c:v>13940</c:v>
                </c:pt>
                <c:pt idx="2">
                  <c:v>9800</c:v>
                </c:pt>
                <c:pt idx="3">
                  <c:v>9200</c:v>
                </c:pt>
                <c:pt idx="4">
                  <c:v>8746.6666666666661</c:v>
                </c:pt>
                <c:pt idx="5">
                  <c:v>8894.1176470588234</c:v>
                </c:pt>
                <c:pt idx="6">
                  <c:v>8461.9047619047615</c:v>
                </c:pt>
                <c:pt idx="7">
                  <c:v>8622.7272727272721</c:v>
                </c:pt>
                <c:pt idx="8">
                  <c:v>8352</c:v>
                </c:pt>
                <c:pt idx="9">
                  <c:v>8175</c:v>
                </c:pt>
                <c:pt idx="10">
                  <c:v>7790.322580645161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37.43842364532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ぱぱ2!$J$3:$J$13</c:f>
              <c:numCache>
                <c:formatCode>0</c:formatCode>
                <c:ptCount val="11"/>
                <c:pt idx="1">
                  <c:v>-12000</c:v>
                </c:pt>
                <c:pt idx="2">
                  <c:v>-12000</c:v>
                </c:pt>
                <c:pt idx="3">
                  <c:v>-8900</c:v>
                </c:pt>
                <c:pt idx="4">
                  <c:v>-8900</c:v>
                </c:pt>
                <c:pt idx="5">
                  <c:v>-6800</c:v>
                </c:pt>
                <c:pt idx="6">
                  <c:v>-6800</c:v>
                </c:pt>
                <c:pt idx="7">
                  <c:v>-5550</c:v>
                </c:pt>
                <c:pt idx="8">
                  <c:v>-5128.5714285714284</c:v>
                </c:pt>
                <c:pt idx="9">
                  <c:v>-4433.333333333333</c:v>
                </c:pt>
                <c:pt idx="10">
                  <c:v>-4433.333333333333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53.13807531380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ぱぱ2!$K$3:$K$13</c:f>
              <c:numCache>
                <c:formatCode>0.0%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1794871794871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ぱぱ2!$L$3:$L$13</c:f>
              <c:numCache>
                <c:formatCode>0.0%</c:formatCode>
                <c:ptCount val="11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1794871794871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ぱぱ2!$M$3:$M$13</c:f>
              <c:numCache>
                <c:formatCode>0.0%</c:formatCode>
                <c:ptCount val="11"/>
                <c:pt idx="1">
                  <c:v>0.44444444444444442</c:v>
                </c:pt>
                <c:pt idx="2">
                  <c:v>0.375</c:v>
                </c:pt>
                <c:pt idx="3">
                  <c:v>0.39130434782608697</c:v>
                </c:pt>
                <c:pt idx="4">
                  <c:v>0.36363636363636365</c:v>
                </c:pt>
                <c:pt idx="5">
                  <c:v>0.36363636363636365</c:v>
                </c:pt>
                <c:pt idx="6">
                  <c:v>0.37735849056603776</c:v>
                </c:pt>
                <c:pt idx="7">
                  <c:v>0.359375</c:v>
                </c:pt>
                <c:pt idx="8">
                  <c:v>0.32432432432432434</c:v>
                </c:pt>
                <c:pt idx="9">
                  <c:v>0.29069767441860467</c:v>
                </c:pt>
                <c:pt idx="10">
                  <c:v>0.31182795698924731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8095238095238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ぱぱ2!$N$3:$N$13</c:f>
              <c:numCache>
                <c:formatCode>0.0%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4.3478260869565216E-2</c:v>
                </c:pt>
                <c:pt idx="4">
                  <c:v>6.0606060606060608E-2</c:v>
                </c:pt>
                <c:pt idx="5">
                  <c:v>9.0909090909090912E-2</c:v>
                </c:pt>
                <c:pt idx="6">
                  <c:v>0.11320754716981132</c:v>
                </c:pt>
                <c:pt idx="7">
                  <c:v>0.109375</c:v>
                </c:pt>
                <c:pt idx="8">
                  <c:v>0.13513513513513514</c:v>
                </c:pt>
                <c:pt idx="9">
                  <c:v>0.15116279069767441</c:v>
                </c:pt>
                <c:pt idx="10">
                  <c:v>0.15053763440860216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3968253968253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ぱぱ2!$O$3:$O$13</c:f>
              <c:numCache>
                <c:formatCode>0.0%</c:formatCode>
                <c:ptCount val="11"/>
                <c:pt idx="1">
                  <c:v>0.75</c:v>
                </c:pt>
                <c:pt idx="2">
                  <c:v>0.83333333333333337</c:v>
                </c:pt>
                <c:pt idx="3">
                  <c:v>0.77777777777777779</c:v>
                </c:pt>
                <c:pt idx="4">
                  <c:v>0.83333333333333337</c:v>
                </c:pt>
                <c:pt idx="5">
                  <c:v>0.6875</c:v>
                </c:pt>
                <c:pt idx="6">
                  <c:v>0.75</c:v>
                </c:pt>
                <c:pt idx="7">
                  <c:v>0.65217391304347827</c:v>
                </c:pt>
                <c:pt idx="8">
                  <c:v>0.66666666666666663</c:v>
                </c:pt>
                <c:pt idx="9">
                  <c:v>0.68</c:v>
                </c:pt>
                <c:pt idx="10">
                  <c:v>0.65517241379310343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5454545454545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ぱぱ2!$P$3:$P$13</c:f>
              <c:numCache>
                <c:formatCode>0.0%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0.25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</c:v>
                </c:pt>
                <c:pt idx="9">
                  <c:v>0.30769230769230771</c:v>
                </c:pt>
                <c:pt idx="10">
                  <c:v>0.35714285714285715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0454545454545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ぱぱ2!$Q$3:$Q$13</c:f>
              <c:numCache>
                <c:formatCode>0.0%</c:formatCode>
                <c:ptCount val="11"/>
                <c:pt idx="1">
                  <c:v>0.2</c:v>
                </c:pt>
                <c:pt idx="2">
                  <c:v>0.375</c:v>
                </c:pt>
                <c:pt idx="3">
                  <c:v>0.54545454545454541</c:v>
                </c:pt>
                <c:pt idx="4">
                  <c:v>0.46666666666666667</c:v>
                </c:pt>
                <c:pt idx="5">
                  <c:v>0.41176470588235292</c:v>
                </c:pt>
                <c:pt idx="6">
                  <c:v>0.42857142857142855</c:v>
                </c:pt>
                <c:pt idx="7">
                  <c:v>0.45454545454545453</c:v>
                </c:pt>
                <c:pt idx="8">
                  <c:v>0.44</c:v>
                </c:pt>
                <c:pt idx="9">
                  <c:v>0.5</c:v>
                </c:pt>
                <c:pt idx="10">
                  <c:v>0.4838709677419355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8866995073891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50"/>
      <c r="C1" s="151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 x14ac:dyDescent="0.4">
      <c r="A2" s="21" t="s">
        <v>9</v>
      </c>
      <c r="B2" s="152">
        <v>0</v>
      </c>
      <c r="C2" s="153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4">
        <v>0</v>
      </c>
      <c r="C3" s="155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6">
        <v>0</v>
      </c>
      <c r="C4" s="157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8">
        <f>IF(B$2=0,0,B$4/B$2)</f>
        <v>0</v>
      </c>
      <c r="C5" s="159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8">
        <f>IF(B$2=0,0,(B$7*1+B$8*2+B$9*3)/B$2)</f>
        <v>0</v>
      </c>
      <c r="C6" s="149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141</v>
      </c>
      <c r="B25" s="146">
        <v>0</v>
      </c>
      <c r="C25" s="147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151</v>
      </c>
      <c r="B26" s="144">
        <v>-1000000</v>
      </c>
      <c r="C26" s="145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8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2" x14ac:dyDescent="0.4">
      <c r="A1" s="29">
        <v>32874</v>
      </c>
      <c r="B1" s="29">
        <v>2958465</v>
      </c>
    </row>
    <row r="2" spans="1:12" x14ac:dyDescent="0.4">
      <c r="A2" s="30" t="s">
        <v>176</v>
      </c>
      <c r="B2" s="31">
        <v>43735.624351851853</v>
      </c>
      <c r="C2" s="30" t="s">
        <v>129</v>
      </c>
      <c r="D2" s="30" t="s">
        <v>130</v>
      </c>
    </row>
    <row r="3" spans="1:12" x14ac:dyDescent="0.4">
      <c r="A3" s="30" t="s">
        <v>177</v>
      </c>
      <c r="B3" s="31">
        <v>43735.624351851853</v>
      </c>
      <c r="C3" s="30" t="s">
        <v>129</v>
      </c>
    </row>
    <row r="4" spans="1:12" x14ac:dyDescent="0.4">
      <c r="A4" s="30" t="s">
        <v>181</v>
      </c>
      <c r="B4" s="31">
        <v>43735.624351851853</v>
      </c>
      <c r="C4" s="30" t="s">
        <v>129</v>
      </c>
    </row>
    <row r="5" spans="1:12" x14ac:dyDescent="0.4">
      <c r="A5" s="30" t="s">
        <v>184</v>
      </c>
      <c r="B5" s="31">
        <v>43736.046932870369</v>
      </c>
      <c r="C5" s="30" t="s">
        <v>129</v>
      </c>
      <c r="D5" s="30" t="s">
        <v>130</v>
      </c>
      <c r="E5" s="30" t="s">
        <v>185</v>
      </c>
      <c r="F5" s="30" t="s">
        <v>186</v>
      </c>
      <c r="G5" s="30" t="s">
        <v>187</v>
      </c>
      <c r="H5" s="30" t="s">
        <v>188</v>
      </c>
    </row>
    <row r="6" spans="1:12" x14ac:dyDescent="0.4">
      <c r="A6" s="30" t="s">
        <v>189</v>
      </c>
      <c r="B6" s="31">
        <v>43737.059895833336</v>
      </c>
      <c r="C6" s="30" t="s">
        <v>129</v>
      </c>
      <c r="D6" s="30" t="s">
        <v>130</v>
      </c>
      <c r="E6" s="30" t="s">
        <v>185</v>
      </c>
    </row>
    <row r="7" spans="1:12" x14ac:dyDescent="0.4">
      <c r="A7" s="30" t="s">
        <v>190</v>
      </c>
      <c r="B7" s="31">
        <v>43739.000706018516</v>
      </c>
      <c r="C7" s="30" t="s">
        <v>129</v>
      </c>
      <c r="D7" s="30" t="s">
        <v>130</v>
      </c>
      <c r="E7" s="30" t="s">
        <v>185</v>
      </c>
      <c r="F7" s="30" t="s">
        <v>186</v>
      </c>
      <c r="G7" s="30" t="s">
        <v>187</v>
      </c>
      <c r="H7" s="30" t="s">
        <v>188</v>
      </c>
      <c r="I7" s="30" t="s">
        <v>191</v>
      </c>
      <c r="J7" s="30" t="s">
        <v>192</v>
      </c>
      <c r="K7" s="30" t="s">
        <v>193</v>
      </c>
      <c r="L7" s="30" t="s">
        <v>194</v>
      </c>
    </row>
    <row r="8" spans="1:12" x14ac:dyDescent="0.4">
      <c r="A8" s="30" t="s">
        <v>195</v>
      </c>
      <c r="B8" s="31">
        <v>43739.660624999997</v>
      </c>
      <c r="C8" s="30" t="s">
        <v>130</v>
      </c>
      <c r="D8" s="30" t="s">
        <v>185</v>
      </c>
      <c r="E8" s="30" t="s">
        <v>129</v>
      </c>
    </row>
    <row r="9" spans="1:12" x14ac:dyDescent="0.4">
      <c r="A9" s="30" t="s">
        <v>197</v>
      </c>
      <c r="B9" s="31">
        <v>43740.021921296298</v>
      </c>
      <c r="C9" s="30" t="s">
        <v>129</v>
      </c>
      <c r="D9" s="30" t="s">
        <v>130</v>
      </c>
      <c r="E9" s="30" t="s">
        <v>185</v>
      </c>
      <c r="F9" s="30" t="s">
        <v>186</v>
      </c>
      <c r="G9" s="30" t="s">
        <v>187</v>
      </c>
      <c r="H9" s="30" t="s">
        <v>188</v>
      </c>
    </row>
    <row r="10" spans="1:12" x14ac:dyDescent="0.4">
      <c r="A10" s="30" t="s">
        <v>198</v>
      </c>
      <c r="B10" s="31">
        <v>43741.94121527778</v>
      </c>
      <c r="C10" s="30" t="s">
        <v>129</v>
      </c>
    </row>
    <row r="11" spans="1:12" x14ac:dyDescent="0.4">
      <c r="A11" s="30" t="s">
        <v>199</v>
      </c>
      <c r="B11" s="31">
        <v>43741.94121527778</v>
      </c>
      <c r="C11" s="30" t="s">
        <v>129</v>
      </c>
    </row>
    <row r="12" spans="1:12" x14ac:dyDescent="0.4">
      <c r="A12" s="30" t="s">
        <v>200</v>
      </c>
      <c r="B12" s="31">
        <v>43744.941354166665</v>
      </c>
      <c r="C12" s="30" t="s">
        <v>129</v>
      </c>
      <c r="D12" s="30" t="s">
        <v>130</v>
      </c>
      <c r="E12" s="30" t="s">
        <v>185</v>
      </c>
    </row>
    <row r="13" spans="1:12" x14ac:dyDescent="0.4">
      <c r="A13" s="30" t="s">
        <v>201</v>
      </c>
      <c r="B13" s="31">
        <v>43743.104375000003</v>
      </c>
      <c r="C13" s="30" t="s">
        <v>129</v>
      </c>
      <c r="D13" s="30" t="s">
        <v>130</v>
      </c>
      <c r="E13" s="30" t="s">
        <v>185</v>
      </c>
      <c r="F13" s="30" t="s">
        <v>186</v>
      </c>
    </row>
    <row r="14" spans="1:12" x14ac:dyDescent="0.4">
      <c r="A14" s="30" t="s">
        <v>202</v>
      </c>
      <c r="B14" s="31">
        <v>43744.941354166665</v>
      </c>
      <c r="C14" s="30" t="s">
        <v>129</v>
      </c>
      <c r="D14" s="30" t="s">
        <v>130</v>
      </c>
    </row>
    <row r="15" spans="1:12" x14ac:dyDescent="0.4">
      <c r="A15" s="30" t="s">
        <v>203</v>
      </c>
      <c r="B15" s="31">
        <v>43744.941354166665</v>
      </c>
      <c r="C15" s="30" t="s">
        <v>129</v>
      </c>
      <c r="D15" s="30" t="s">
        <v>130</v>
      </c>
    </row>
    <row r="16" spans="1:12" x14ac:dyDescent="0.4">
      <c r="A16" s="30" t="s">
        <v>204</v>
      </c>
      <c r="B16" s="31">
        <v>43743.786203703705</v>
      </c>
      <c r="C16" s="30" t="s">
        <v>129</v>
      </c>
      <c r="D16" s="30" t="s">
        <v>130</v>
      </c>
      <c r="E16" s="30" t="s">
        <v>185</v>
      </c>
      <c r="F16" s="30" t="s">
        <v>186</v>
      </c>
    </row>
    <row r="17" spans="1:4" x14ac:dyDescent="0.4">
      <c r="A17" s="30" t="s">
        <v>205</v>
      </c>
      <c r="B17" s="31">
        <v>43745.016377314816</v>
      </c>
      <c r="C17" s="30" t="s">
        <v>129</v>
      </c>
      <c r="D17" s="30" t="s">
        <v>130</v>
      </c>
    </row>
    <row r="18" spans="1:4" x14ac:dyDescent="0.4">
      <c r="A18" s="30" t="s">
        <v>206</v>
      </c>
      <c r="B18" s="31">
        <v>43745.531828703701</v>
      </c>
      <c r="C18" s="30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144</v>
      </c>
      <c r="B1">
        <v>156</v>
      </c>
    </row>
    <row r="2" spans="1:2" x14ac:dyDescent="0.4">
      <c r="A2" t="s">
        <v>167</v>
      </c>
      <c r="B2">
        <v>15</v>
      </c>
    </row>
    <row r="3" spans="1:2" x14ac:dyDescent="0.4">
      <c r="A3" t="s">
        <v>127</v>
      </c>
      <c r="B3">
        <v>33</v>
      </c>
    </row>
    <row r="4" spans="1:2" x14ac:dyDescent="0.4">
      <c r="A4" t="s">
        <v>128</v>
      </c>
      <c r="B4">
        <v>38</v>
      </c>
    </row>
    <row r="5" spans="1:2" x14ac:dyDescent="0.4">
      <c r="A5" t="s">
        <v>180</v>
      </c>
      <c r="B5">
        <v>17</v>
      </c>
    </row>
    <row r="6" spans="1:2" x14ac:dyDescent="0.4">
      <c r="A6" t="s">
        <v>178</v>
      </c>
      <c r="B6">
        <v>14</v>
      </c>
    </row>
    <row r="7" spans="1:2" x14ac:dyDescent="0.4">
      <c r="A7" t="s">
        <v>179</v>
      </c>
      <c r="B7">
        <v>17</v>
      </c>
    </row>
    <row r="8" spans="1:2" x14ac:dyDescent="0.4">
      <c r="A8" t="s">
        <v>183</v>
      </c>
      <c r="B8">
        <v>8</v>
      </c>
    </row>
    <row r="9" spans="1:2" x14ac:dyDescent="0.4">
      <c r="A9" t="s">
        <v>182</v>
      </c>
      <c r="B9">
        <v>10</v>
      </c>
    </row>
    <row r="10" spans="1:2" x14ac:dyDescent="0.4">
      <c r="A10" t="s">
        <v>196</v>
      </c>
      <c r="B10">
        <v>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tabSelected="1" zoomScale="115" zoomScaleNormal="115" workbookViewId="0">
      <selection activeCell="C12" sqref="C12"/>
    </sheetView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161</v>
      </c>
      <c r="K1" s="161"/>
      <c r="L1" s="160" t="s">
        <v>148</v>
      </c>
      <c r="M1" s="161"/>
      <c r="N1" s="160" t="s">
        <v>149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140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150</v>
      </c>
      <c r="AE1" s="161"/>
      <c r="AF1" s="160" t="s">
        <v>143</v>
      </c>
      <c r="AG1" s="161"/>
      <c r="AH1" s="160" t="s">
        <v>152</v>
      </c>
      <c r="AI1" s="161"/>
    </row>
    <row r="2" spans="1:35" x14ac:dyDescent="0.4">
      <c r="A2" s="72" t="s">
        <v>160</v>
      </c>
      <c r="B2" s="162"/>
      <c r="C2" s="163"/>
      <c r="D2" s="162"/>
      <c r="E2" s="163"/>
      <c r="F2" s="164">
        <v>0.9772963621980747</v>
      </c>
      <c r="G2" s="165"/>
      <c r="H2" s="164">
        <v>0.93547892315981573</v>
      </c>
      <c r="I2" s="165"/>
      <c r="J2" s="164">
        <v>0.97007620455089472</v>
      </c>
      <c r="K2" s="165"/>
      <c r="L2" s="164">
        <v>0.85473972055747693</v>
      </c>
      <c r="M2" s="165"/>
      <c r="N2" s="164">
        <v>0.82631619675224788</v>
      </c>
      <c r="O2" s="165"/>
      <c r="P2" s="164">
        <v>-0.1880911671165505</v>
      </c>
      <c r="Q2" s="165"/>
      <c r="R2" s="164">
        <v>0.63500338006772761</v>
      </c>
      <c r="S2" s="165"/>
      <c r="T2" s="164">
        <v>0.51247063586991148</v>
      </c>
      <c r="U2" s="165"/>
      <c r="V2" s="164">
        <v>0.41926356760679906</v>
      </c>
      <c r="W2" s="165"/>
      <c r="X2" s="164">
        <v>0.59845656267039904</v>
      </c>
      <c r="Y2" s="165"/>
      <c r="Z2" s="164">
        <v>-0.11754935261590409</v>
      </c>
      <c r="AA2" s="165"/>
      <c r="AB2" s="164">
        <v>0.3851840985410403</v>
      </c>
      <c r="AC2" s="165"/>
      <c r="AD2" s="164">
        <v>0.27650430166716156</v>
      </c>
      <c r="AE2" s="165"/>
      <c r="AF2" s="164">
        <v>0.47831192463884992</v>
      </c>
      <c r="AG2" s="165"/>
      <c r="AH2" s="164">
        <v>0.77434299764923686</v>
      </c>
      <c r="AI2" s="165"/>
    </row>
    <row r="3" spans="1:35" x14ac:dyDescent="0.4">
      <c r="A3" s="74">
        <v>1</v>
      </c>
      <c r="B3" s="75" t="s">
        <v>127</v>
      </c>
      <c r="C3" s="76">
        <v>349.19999999999993</v>
      </c>
      <c r="D3" s="77" t="s">
        <v>182</v>
      </c>
      <c r="E3" s="96">
        <v>16.28</v>
      </c>
      <c r="F3" s="77" t="s">
        <v>182</v>
      </c>
      <c r="G3" s="78">
        <v>1.6</v>
      </c>
      <c r="H3" s="77" t="s">
        <v>127</v>
      </c>
      <c r="I3" s="79">
        <v>0.51515151515151514</v>
      </c>
      <c r="J3" s="77" t="s">
        <v>182</v>
      </c>
      <c r="K3" s="79">
        <v>0.1</v>
      </c>
      <c r="L3" s="77" t="s">
        <v>127</v>
      </c>
      <c r="M3" s="80">
        <v>0.35395189003436428</v>
      </c>
      <c r="N3" s="77" t="s">
        <v>182</v>
      </c>
      <c r="O3" s="80">
        <v>9.6774193548387094E-2</v>
      </c>
      <c r="P3" s="77" t="s">
        <v>178</v>
      </c>
      <c r="Q3" s="81">
        <v>13370.833333333334</v>
      </c>
      <c r="R3" s="77" t="s">
        <v>182</v>
      </c>
      <c r="S3" s="81">
        <v>-4433.333333333333</v>
      </c>
      <c r="T3" s="77" t="s">
        <v>167</v>
      </c>
      <c r="U3" s="79">
        <v>0</v>
      </c>
      <c r="V3" s="77" t="s">
        <v>178</v>
      </c>
      <c r="W3" s="79">
        <v>0.2857142857142857</v>
      </c>
      <c r="X3" s="77" t="s">
        <v>182</v>
      </c>
      <c r="Y3" s="80">
        <v>0.31182795698924731</v>
      </c>
      <c r="Z3" s="77" t="s">
        <v>196</v>
      </c>
      <c r="AA3" s="80">
        <v>0.35</v>
      </c>
      <c r="AB3" s="77" t="s">
        <v>182</v>
      </c>
      <c r="AC3" s="80">
        <v>0.65517241379310343</v>
      </c>
      <c r="AD3" s="77" t="s">
        <v>179</v>
      </c>
      <c r="AE3" s="80">
        <v>0.54054054054054057</v>
      </c>
      <c r="AF3" s="77" t="s">
        <v>183</v>
      </c>
      <c r="AG3" s="80">
        <v>0.5714285714285714</v>
      </c>
      <c r="AH3" s="77" t="s">
        <v>182</v>
      </c>
      <c r="AI3" s="91">
        <v>95200</v>
      </c>
    </row>
    <row r="4" spans="1:35" x14ac:dyDescent="0.4">
      <c r="A4" s="82">
        <v>2</v>
      </c>
      <c r="B4" s="83" t="s">
        <v>182</v>
      </c>
      <c r="C4" s="84">
        <v>162.80000000000001</v>
      </c>
      <c r="D4" s="85" t="s">
        <v>127</v>
      </c>
      <c r="E4" s="97">
        <v>10.58181818181818</v>
      </c>
      <c r="F4" s="85" t="s">
        <v>127</v>
      </c>
      <c r="G4" s="86">
        <v>1.7272727272727273</v>
      </c>
      <c r="H4" s="85" t="s">
        <v>182</v>
      </c>
      <c r="I4" s="87">
        <v>0.5</v>
      </c>
      <c r="J4" s="85" t="s">
        <v>127</v>
      </c>
      <c r="K4" s="87">
        <v>0.24242424242424243</v>
      </c>
      <c r="L4" s="85" t="s">
        <v>182</v>
      </c>
      <c r="M4" s="88">
        <v>0.33333333333333331</v>
      </c>
      <c r="N4" s="85" t="s">
        <v>179</v>
      </c>
      <c r="O4" s="88">
        <v>0.11842105263157894</v>
      </c>
      <c r="P4" s="85" t="s">
        <v>183</v>
      </c>
      <c r="Q4" s="89">
        <v>9742.8571428571431</v>
      </c>
      <c r="R4" s="85" t="s">
        <v>167</v>
      </c>
      <c r="S4" s="89">
        <v>-7108</v>
      </c>
      <c r="T4" s="85" t="s">
        <v>182</v>
      </c>
      <c r="U4" s="87">
        <v>0</v>
      </c>
      <c r="V4" s="85" t="s">
        <v>196</v>
      </c>
      <c r="W4" s="87">
        <v>0.25</v>
      </c>
      <c r="X4" s="85" t="s">
        <v>183</v>
      </c>
      <c r="Y4" s="88">
        <v>0.27536231884057971</v>
      </c>
      <c r="Z4" s="85" t="s">
        <v>128</v>
      </c>
      <c r="AA4" s="88">
        <v>0.33532934131736525</v>
      </c>
      <c r="AB4" s="85" t="s">
        <v>180</v>
      </c>
      <c r="AC4" s="88">
        <v>0.60526315789473684</v>
      </c>
      <c r="AD4" s="85" t="s">
        <v>127</v>
      </c>
      <c r="AE4" s="88">
        <v>0.53623188405797106</v>
      </c>
      <c r="AF4" s="85" t="s">
        <v>167</v>
      </c>
      <c r="AG4" s="88">
        <v>0.5</v>
      </c>
      <c r="AH4" s="85" t="s">
        <v>144</v>
      </c>
      <c r="AI4" s="92">
        <v>95200</v>
      </c>
    </row>
    <row r="5" spans="1:35" x14ac:dyDescent="0.4">
      <c r="A5" s="82">
        <v>3</v>
      </c>
      <c r="B5" s="83" t="s">
        <v>128</v>
      </c>
      <c r="C5" s="84">
        <v>110.89999999999993</v>
      </c>
      <c r="D5" s="85" t="s">
        <v>128</v>
      </c>
      <c r="E5" s="97">
        <v>2.9184210526315773</v>
      </c>
      <c r="F5" s="85" t="s">
        <v>128</v>
      </c>
      <c r="G5" s="86">
        <v>1.9473684210526316</v>
      </c>
      <c r="H5" s="85" t="s">
        <v>196</v>
      </c>
      <c r="I5" s="87">
        <v>0.5</v>
      </c>
      <c r="J5" s="85" t="s">
        <v>128</v>
      </c>
      <c r="K5" s="87">
        <v>0.26315789473684209</v>
      </c>
      <c r="L5" s="85" t="s">
        <v>128</v>
      </c>
      <c r="M5" s="88">
        <v>0.31736526946107785</v>
      </c>
      <c r="N5" s="85" t="s">
        <v>127</v>
      </c>
      <c r="O5" s="88">
        <v>0.13058419243986255</v>
      </c>
      <c r="P5" s="85" t="s">
        <v>128</v>
      </c>
      <c r="Q5" s="89">
        <v>8576.4150943396235</v>
      </c>
      <c r="R5" s="85" t="s">
        <v>179</v>
      </c>
      <c r="S5" s="89">
        <v>-7383.333333333333</v>
      </c>
      <c r="T5" s="85" t="s">
        <v>127</v>
      </c>
      <c r="U5" s="87">
        <v>3.0303030303030304E-2</v>
      </c>
      <c r="V5" s="85" t="s">
        <v>182</v>
      </c>
      <c r="W5" s="87">
        <v>0.2</v>
      </c>
      <c r="X5" s="85" t="s">
        <v>196</v>
      </c>
      <c r="Y5" s="88">
        <v>0.27500000000000002</v>
      </c>
      <c r="Z5" s="85" t="s">
        <v>167</v>
      </c>
      <c r="AA5" s="88">
        <v>0.25694444444444442</v>
      </c>
      <c r="AB5" s="85" t="s">
        <v>127</v>
      </c>
      <c r="AC5" s="88">
        <v>0.60273972602739723</v>
      </c>
      <c r="AD5" s="85" t="s">
        <v>178</v>
      </c>
      <c r="AE5" s="88">
        <v>0.48</v>
      </c>
      <c r="AF5" s="85" t="s">
        <v>182</v>
      </c>
      <c r="AG5" s="88">
        <v>0.4838709677419355</v>
      </c>
      <c r="AH5" s="85" t="s">
        <v>128</v>
      </c>
      <c r="AI5" s="92">
        <v>91800</v>
      </c>
    </row>
    <row r="6" spans="1:35" x14ac:dyDescent="0.4">
      <c r="A6" s="82">
        <v>4</v>
      </c>
      <c r="B6" s="83" t="s">
        <v>144</v>
      </c>
      <c r="C6" s="84">
        <v>-2.9309887850104133E-14</v>
      </c>
      <c r="D6" s="85" t="s">
        <v>144</v>
      </c>
      <c r="E6" s="97">
        <v>-1.8788389647502649E-16</v>
      </c>
      <c r="F6" s="85" t="s">
        <v>167</v>
      </c>
      <c r="G6" s="86">
        <v>2</v>
      </c>
      <c r="H6" s="85" t="s">
        <v>167</v>
      </c>
      <c r="I6" s="87">
        <v>0.33333333333333331</v>
      </c>
      <c r="J6" s="85" t="s">
        <v>167</v>
      </c>
      <c r="K6" s="87">
        <v>0.33333333333333331</v>
      </c>
      <c r="L6" s="85" t="s">
        <v>144</v>
      </c>
      <c r="M6" s="88">
        <v>0.29292929292929293</v>
      </c>
      <c r="N6" s="85" t="s">
        <v>144</v>
      </c>
      <c r="O6" s="88">
        <v>0.17243867243867245</v>
      </c>
      <c r="P6" s="85" t="s">
        <v>144</v>
      </c>
      <c r="Q6" s="89">
        <v>8337.4384236453207</v>
      </c>
      <c r="R6" s="85" t="s">
        <v>128</v>
      </c>
      <c r="S6" s="89">
        <v>-7552.3076923076924</v>
      </c>
      <c r="T6" s="85" t="s">
        <v>180</v>
      </c>
      <c r="U6" s="87">
        <v>0.11764705882352941</v>
      </c>
      <c r="V6" s="85" t="s">
        <v>128</v>
      </c>
      <c r="W6" s="87">
        <v>0.15789473684210525</v>
      </c>
      <c r="X6" s="85" t="s">
        <v>127</v>
      </c>
      <c r="Y6" s="88">
        <v>0.25085910652920962</v>
      </c>
      <c r="Z6" s="85" t="s">
        <v>144</v>
      </c>
      <c r="AA6" s="88">
        <v>0.25396825396825395</v>
      </c>
      <c r="AB6" s="85" t="s">
        <v>167</v>
      </c>
      <c r="AC6" s="88">
        <v>0.59259259259259256</v>
      </c>
      <c r="AD6" s="85" t="s">
        <v>144</v>
      </c>
      <c r="AE6" s="88">
        <v>0.42045454545454547</v>
      </c>
      <c r="AF6" s="85" t="s">
        <v>127</v>
      </c>
      <c r="AG6" s="88">
        <v>0.42718446601941745</v>
      </c>
      <c r="AH6" s="85" t="s">
        <v>127</v>
      </c>
      <c r="AI6" s="92">
        <v>86200</v>
      </c>
    </row>
    <row r="7" spans="1:35" x14ac:dyDescent="0.4">
      <c r="A7" s="82">
        <v>5</v>
      </c>
      <c r="B7" s="83" t="s">
        <v>179</v>
      </c>
      <c r="C7" s="84">
        <v>-29.799999999999986</v>
      </c>
      <c r="D7" s="85" t="s">
        <v>179</v>
      </c>
      <c r="E7" s="97">
        <v>-1.7529411764705873</v>
      </c>
      <c r="F7" s="85" t="s">
        <v>144</v>
      </c>
      <c r="G7" s="86">
        <v>2</v>
      </c>
      <c r="H7" s="85" t="s">
        <v>144</v>
      </c>
      <c r="I7" s="87">
        <v>0.33333333333333331</v>
      </c>
      <c r="J7" s="85" t="s">
        <v>144</v>
      </c>
      <c r="K7" s="87">
        <v>0.33333333333333331</v>
      </c>
      <c r="L7" s="85" t="s">
        <v>179</v>
      </c>
      <c r="M7" s="88">
        <v>0.27631578947368424</v>
      </c>
      <c r="N7" s="85" t="s">
        <v>167</v>
      </c>
      <c r="O7" s="88">
        <v>0.1736111111111111</v>
      </c>
      <c r="P7" s="85" t="s">
        <v>127</v>
      </c>
      <c r="Q7" s="89">
        <v>7918.4466019417478</v>
      </c>
      <c r="R7" s="85" t="s">
        <v>127</v>
      </c>
      <c r="S7" s="89">
        <v>-7636.8421052631575</v>
      </c>
      <c r="T7" s="85" t="s">
        <v>144</v>
      </c>
      <c r="U7" s="87">
        <v>0.12179487179487179</v>
      </c>
      <c r="V7" s="85" t="s">
        <v>183</v>
      </c>
      <c r="W7" s="87">
        <v>0.125</v>
      </c>
      <c r="X7" s="85" t="s">
        <v>179</v>
      </c>
      <c r="Y7" s="88">
        <v>0.25</v>
      </c>
      <c r="Z7" s="85" t="s">
        <v>179</v>
      </c>
      <c r="AA7" s="88">
        <v>0.24342105263157895</v>
      </c>
      <c r="AB7" s="85" t="s">
        <v>128</v>
      </c>
      <c r="AC7" s="88">
        <v>0.56338028169014087</v>
      </c>
      <c r="AD7" s="85" t="s">
        <v>128</v>
      </c>
      <c r="AE7" s="88">
        <v>0.4107142857142857</v>
      </c>
      <c r="AF7" s="85" t="s">
        <v>144</v>
      </c>
      <c r="AG7" s="88">
        <v>0.40886699507389163</v>
      </c>
      <c r="AH7" s="85" t="s">
        <v>183</v>
      </c>
      <c r="AI7" s="92">
        <v>85100</v>
      </c>
    </row>
    <row r="8" spans="1:35" x14ac:dyDescent="0.4">
      <c r="A8" s="82">
        <v>6</v>
      </c>
      <c r="B8" s="83" t="s">
        <v>196</v>
      </c>
      <c r="C8" s="84">
        <v>-37.400000000000006</v>
      </c>
      <c r="D8" s="85" t="s">
        <v>167</v>
      </c>
      <c r="E8" s="97">
        <v>-4.3466666666666667</v>
      </c>
      <c r="F8" s="85" t="s">
        <v>196</v>
      </c>
      <c r="G8" s="86">
        <v>2</v>
      </c>
      <c r="H8" s="85" t="s">
        <v>128</v>
      </c>
      <c r="I8" s="87">
        <v>0.31578947368421051</v>
      </c>
      <c r="J8" s="85" t="s">
        <v>179</v>
      </c>
      <c r="K8" s="87">
        <v>0.35294117647058826</v>
      </c>
      <c r="L8" s="85" t="s">
        <v>180</v>
      </c>
      <c r="M8" s="88">
        <v>0.25477707006369427</v>
      </c>
      <c r="N8" s="85" t="s">
        <v>196</v>
      </c>
      <c r="O8" s="88">
        <v>0.17499999999999999</v>
      </c>
      <c r="P8" s="85" t="s">
        <v>182</v>
      </c>
      <c r="Q8" s="89">
        <v>7790.322580645161</v>
      </c>
      <c r="R8" s="85" t="s">
        <v>180</v>
      </c>
      <c r="S8" s="89">
        <v>-7931.5789473684208</v>
      </c>
      <c r="T8" s="85" t="s">
        <v>128</v>
      </c>
      <c r="U8" s="87">
        <v>0.13157894736842105</v>
      </c>
      <c r="V8" s="85" t="s">
        <v>144</v>
      </c>
      <c r="W8" s="87">
        <v>0.12179487179487179</v>
      </c>
      <c r="X8" s="85" t="s">
        <v>180</v>
      </c>
      <c r="Y8" s="88">
        <v>0.24203821656050956</v>
      </c>
      <c r="Z8" s="85" t="s">
        <v>127</v>
      </c>
      <c r="AA8" s="88">
        <v>0.23711340206185566</v>
      </c>
      <c r="AB8" s="85" t="s">
        <v>144</v>
      </c>
      <c r="AC8" s="88">
        <v>0.54545454545454541</v>
      </c>
      <c r="AD8" s="85" t="s">
        <v>182</v>
      </c>
      <c r="AE8" s="88">
        <v>0.35714285714285715</v>
      </c>
      <c r="AF8" s="85" t="s">
        <v>196</v>
      </c>
      <c r="AG8" s="88">
        <v>0.4</v>
      </c>
      <c r="AH8" s="85" t="s">
        <v>178</v>
      </c>
      <c r="AI8" s="92">
        <v>83000</v>
      </c>
    </row>
    <row r="9" spans="1:35" x14ac:dyDescent="0.4">
      <c r="A9" s="82">
        <v>7</v>
      </c>
      <c r="B9" s="83" t="s">
        <v>167</v>
      </c>
      <c r="C9" s="84">
        <v>-65.2</v>
      </c>
      <c r="D9" s="85" t="s">
        <v>178</v>
      </c>
      <c r="E9" s="97">
        <v>-6.1785714285714262</v>
      </c>
      <c r="F9" s="85" t="s">
        <v>179</v>
      </c>
      <c r="G9" s="86">
        <v>2.0588235294117645</v>
      </c>
      <c r="H9" s="85" t="s">
        <v>179</v>
      </c>
      <c r="I9" s="87">
        <v>0.29411764705882354</v>
      </c>
      <c r="J9" s="85" t="s">
        <v>178</v>
      </c>
      <c r="K9" s="87">
        <v>0.42857142857142855</v>
      </c>
      <c r="L9" s="85" t="s">
        <v>167</v>
      </c>
      <c r="M9" s="88">
        <v>0.25</v>
      </c>
      <c r="N9" s="85" t="s">
        <v>128</v>
      </c>
      <c r="O9" s="88">
        <v>0.19461077844311378</v>
      </c>
      <c r="P9" s="85" t="s">
        <v>196</v>
      </c>
      <c r="Q9" s="89">
        <v>7780</v>
      </c>
      <c r="R9" s="85" t="s">
        <v>144</v>
      </c>
      <c r="S9" s="89">
        <v>-7953.1380753138073</v>
      </c>
      <c r="T9" s="85" t="s">
        <v>179</v>
      </c>
      <c r="U9" s="87">
        <v>0.17647058823529413</v>
      </c>
      <c r="V9" s="85" t="s">
        <v>127</v>
      </c>
      <c r="W9" s="87">
        <v>0.12121212121212122</v>
      </c>
      <c r="X9" s="85" t="s">
        <v>144</v>
      </c>
      <c r="Y9" s="88">
        <v>0.23809523809523808</v>
      </c>
      <c r="Z9" s="85" t="s">
        <v>178</v>
      </c>
      <c r="AA9" s="88">
        <v>0.23584905660377359</v>
      </c>
      <c r="AB9" s="85" t="s">
        <v>179</v>
      </c>
      <c r="AC9" s="88">
        <v>0.47368421052631576</v>
      </c>
      <c r="AD9" s="85" t="s">
        <v>183</v>
      </c>
      <c r="AE9" s="88">
        <v>0.33333333333333331</v>
      </c>
      <c r="AF9" s="85" t="s">
        <v>180</v>
      </c>
      <c r="AG9" s="88">
        <v>0.375</v>
      </c>
      <c r="AH9" s="85" t="s">
        <v>179</v>
      </c>
      <c r="AI9" s="92">
        <v>75000</v>
      </c>
    </row>
    <row r="10" spans="1:35" x14ac:dyDescent="0.4">
      <c r="A10" s="82">
        <v>8</v>
      </c>
      <c r="B10" s="83" t="s">
        <v>178</v>
      </c>
      <c r="C10" s="84">
        <v>-86.499999999999972</v>
      </c>
      <c r="D10" s="85" t="s">
        <v>196</v>
      </c>
      <c r="E10" s="97">
        <v>-9.3500000000000014</v>
      </c>
      <c r="F10" s="85" t="s">
        <v>178</v>
      </c>
      <c r="G10" s="86">
        <v>2.1428571428571428</v>
      </c>
      <c r="H10" s="85" t="s">
        <v>178</v>
      </c>
      <c r="I10" s="87">
        <v>0.2857142857142857</v>
      </c>
      <c r="J10" s="85" t="s">
        <v>196</v>
      </c>
      <c r="K10" s="87">
        <v>0.5</v>
      </c>
      <c r="L10" s="85" t="s">
        <v>196</v>
      </c>
      <c r="M10" s="88">
        <v>0.25</v>
      </c>
      <c r="N10" s="85" t="s">
        <v>178</v>
      </c>
      <c r="O10" s="88">
        <v>0.20754716981132076</v>
      </c>
      <c r="P10" s="85" t="s">
        <v>179</v>
      </c>
      <c r="Q10" s="89">
        <v>7554.7619047619046</v>
      </c>
      <c r="R10" s="85" t="s">
        <v>196</v>
      </c>
      <c r="S10" s="89">
        <v>-9142.8571428571431</v>
      </c>
      <c r="T10" s="85" t="s">
        <v>183</v>
      </c>
      <c r="U10" s="87">
        <v>0.25</v>
      </c>
      <c r="V10" s="85" t="s">
        <v>179</v>
      </c>
      <c r="W10" s="87">
        <v>5.8823529411764705E-2</v>
      </c>
      <c r="X10" s="85" t="s">
        <v>178</v>
      </c>
      <c r="Y10" s="88">
        <v>0.22641509433962265</v>
      </c>
      <c r="Z10" s="85" t="s">
        <v>183</v>
      </c>
      <c r="AA10" s="88">
        <v>0.21739130434782608</v>
      </c>
      <c r="AB10" s="85" t="s">
        <v>183</v>
      </c>
      <c r="AC10" s="88">
        <v>0.47368421052631576</v>
      </c>
      <c r="AD10" s="85" t="s">
        <v>180</v>
      </c>
      <c r="AE10" s="88">
        <v>0.31034482758620691</v>
      </c>
      <c r="AF10" s="85" t="s">
        <v>128</v>
      </c>
      <c r="AG10" s="88">
        <v>0.36792452830188677</v>
      </c>
      <c r="AH10" s="85" t="s">
        <v>196</v>
      </c>
      <c r="AI10" s="92">
        <v>59500</v>
      </c>
    </row>
    <row r="11" spans="1:35" x14ac:dyDescent="0.4">
      <c r="A11" s="82">
        <v>9</v>
      </c>
      <c r="B11" s="83" t="s">
        <v>183</v>
      </c>
      <c r="C11" s="84">
        <v>-152.6</v>
      </c>
      <c r="D11" s="85" t="s">
        <v>180</v>
      </c>
      <c r="E11" s="97">
        <v>-14.788235294117648</v>
      </c>
      <c r="F11" s="85" t="s">
        <v>180</v>
      </c>
      <c r="G11" s="86">
        <v>2.4705882352941178</v>
      </c>
      <c r="H11" s="85" t="s">
        <v>183</v>
      </c>
      <c r="I11" s="87">
        <v>0.125</v>
      </c>
      <c r="J11" s="85" t="s">
        <v>180</v>
      </c>
      <c r="K11" s="87">
        <v>0.52941176470588236</v>
      </c>
      <c r="L11" s="85" t="s">
        <v>178</v>
      </c>
      <c r="M11" s="88">
        <v>0.22641509433962265</v>
      </c>
      <c r="N11" s="85" t="s">
        <v>180</v>
      </c>
      <c r="O11" s="88">
        <v>0.24203821656050956</v>
      </c>
      <c r="P11" s="85" t="s">
        <v>167</v>
      </c>
      <c r="Q11" s="89">
        <v>7527.7777777777774</v>
      </c>
      <c r="R11" s="85" t="s">
        <v>183</v>
      </c>
      <c r="S11" s="89">
        <v>-10035.294117647059</v>
      </c>
      <c r="T11" s="85" t="s">
        <v>178</v>
      </c>
      <c r="U11" s="87">
        <v>0.2857142857142857</v>
      </c>
      <c r="V11" s="85" t="s">
        <v>167</v>
      </c>
      <c r="W11" s="87">
        <v>0</v>
      </c>
      <c r="X11" s="85" t="s">
        <v>128</v>
      </c>
      <c r="Y11" s="88">
        <v>0.21257485029940121</v>
      </c>
      <c r="Z11" s="85" t="s">
        <v>180</v>
      </c>
      <c r="AA11" s="88">
        <v>0.18471337579617833</v>
      </c>
      <c r="AB11" s="85" t="s">
        <v>196</v>
      </c>
      <c r="AC11" s="88">
        <v>0.45454545454545453</v>
      </c>
      <c r="AD11" s="85" t="s">
        <v>196</v>
      </c>
      <c r="AE11" s="88">
        <v>0.2857142857142857</v>
      </c>
      <c r="AF11" s="85" t="s">
        <v>179</v>
      </c>
      <c r="AG11" s="88">
        <v>0.35714285714285715</v>
      </c>
      <c r="AH11" s="85" t="s">
        <v>180</v>
      </c>
      <c r="AI11" s="92">
        <v>53700</v>
      </c>
    </row>
    <row r="12" spans="1:35" x14ac:dyDescent="0.4">
      <c r="A12" s="82">
        <v>10</v>
      </c>
      <c r="B12" s="83" t="s">
        <v>180</v>
      </c>
      <c r="C12" s="84">
        <v>-251.4</v>
      </c>
      <c r="D12" s="85" t="s">
        <v>183</v>
      </c>
      <c r="E12" s="97">
        <v>-19.074999999999999</v>
      </c>
      <c r="F12" s="85" t="s">
        <v>183</v>
      </c>
      <c r="G12" s="86">
        <v>2.5</v>
      </c>
      <c r="H12" s="85" t="s">
        <v>180</v>
      </c>
      <c r="I12" s="87">
        <v>5.8823529411764705E-2</v>
      </c>
      <c r="J12" s="85" t="s">
        <v>183</v>
      </c>
      <c r="K12" s="87">
        <v>0.625</v>
      </c>
      <c r="L12" s="85" t="s">
        <v>183</v>
      </c>
      <c r="M12" s="88">
        <v>0.20289855072463769</v>
      </c>
      <c r="N12" s="85" t="s">
        <v>183</v>
      </c>
      <c r="O12" s="88">
        <v>0.24637681159420291</v>
      </c>
      <c r="P12" s="85" t="s">
        <v>180</v>
      </c>
      <c r="Q12" s="89">
        <v>7385</v>
      </c>
      <c r="R12" s="85" t="s">
        <v>178</v>
      </c>
      <c r="S12" s="89">
        <v>-10600</v>
      </c>
      <c r="T12" s="85" t="s">
        <v>196</v>
      </c>
      <c r="U12" s="87">
        <v>0.5</v>
      </c>
      <c r="V12" s="85" t="s">
        <v>180</v>
      </c>
      <c r="W12" s="87">
        <v>0</v>
      </c>
      <c r="X12" s="85" t="s">
        <v>167</v>
      </c>
      <c r="Y12" s="88">
        <v>0.1875</v>
      </c>
      <c r="Z12" s="85" t="s">
        <v>182</v>
      </c>
      <c r="AA12" s="88">
        <v>0.15053763440860216</v>
      </c>
      <c r="AB12" s="85" t="s">
        <v>178</v>
      </c>
      <c r="AC12" s="88">
        <v>0.25</v>
      </c>
      <c r="AD12" s="85" t="s">
        <v>167</v>
      </c>
      <c r="AE12" s="88">
        <v>0.27027027027027029</v>
      </c>
      <c r="AF12" s="85" t="s">
        <v>178</v>
      </c>
      <c r="AG12" s="88">
        <v>0.33333333333333331</v>
      </c>
      <c r="AH12" s="85" t="s">
        <v>167</v>
      </c>
      <c r="AI12" s="92">
        <v>51800</v>
      </c>
    </row>
  </sheetData>
  <sortState xmlns:xlrd2="http://schemas.microsoft.com/office/spreadsheetml/2017/richdata2" ref="AH3:AI39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3A95D-881F-4B8F-BE42-F1B610699F06}">
  <sheetPr codeName="Sheet4"/>
  <dimension ref="A1:Q15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144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156</v>
      </c>
      <c r="C2" s="153"/>
      <c r="E2" s="62" t="s">
        <v>67</v>
      </c>
      <c r="F2" s="59" t="s">
        <v>23</v>
      </c>
      <c r="G2" s="46">
        <v>313</v>
      </c>
      <c r="H2" s="132">
        <f>IF(B$17=0,0,G2/B$17)</f>
        <v>0.77093596059113301</v>
      </c>
      <c r="I2" s="93">
        <v>6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-19.23076923076923</v>
      </c>
      <c r="P2" s="118">
        <v>156</v>
      </c>
      <c r="Q2" s="102">
        <v>-3000</v>
      </c>
    </row>
    <row r="3" spans="1:17" x14ac:dyDescent="0.4">
      <c r="A3" s="55" t="s">
        <v>8</v>
      </c>
      <c r="B3" s="154">
        <v>1386</v>
      </c>
      <c r="C3" s="155"/>
      <c r="E3" s="63" t="s">
        <v>73</v>
      </c>
      <c r="F3" s="60" t="s">
        <v>28</v>
      </c>
      <c r="G3" s="47">
        <v>242</v>
      </c>
      <c r="H3" s="133">
        <f>IF(B$17=0,0,G3/B$17)</f>
        <v>0.59605911330049266</v>
      </c>
      <c r="I3" s="94">
        <v>4</v>
      </c>
      <c r="K3" s="38">
        <v>1</v>
      </c>
      <c r="L3" s="99">
        <v>-4.5999999999999996</v>
      </c>
      <c r="N3" s="115" t="s">
        <v>132</v>
      </c>
      <c r="O3" s="122">
        <f t="shared" si="0"/>
        <v>13.333333333333334</v>
      </c>
      <c r="P3" s="119">
        <v>150</v>
      </c>
      <c r="Q3" s="103">
        <v>2000</v>
      </c>
    </row>
    <row r="4" spans="1:17" x14ac:dyDescent="0.4">
      <c r="A4" s="55" t="s">
        <v>6</v>
      </c>
      <c r="B4" s="156">
        <v>-2.9309887850104133E-14</v>
      </c>
      <c r="C4" s="157"/>
      <c r="E4" s="63" t="s">
        <v>65</v>
      </c>
      <c r="F4" s="60" t="s">
        <v>21</v>
      </c>
      <c r="G4" s="47">
        <v>176</v>
      </c>
      <c r="H4" s="133">
        <f>IF(B$17=0,0,G4/B$17)</f>
        <v>0.43349753694581283</v>
      </c>
      <c r="I4" s="94">
        <v>5</v>
      </c>
      <c r="K4" s="38">
        <v>2</v>
      </c>
      <c r="L4" s="99">
        <v>45.6</v>
      </c>
      <c r="N4" s="115" t="s">
        <v>133</v>
      </c>
      <c r="O4" s="122">
        <f t="shared" si="0"/>
        <v>-27.210884353741495</v>
      </c>
      <c r="P4" s="119">
        <v>147</v>
      </c>
      <c r="Q4" s="103">
        <v>-4000</v>
      </c>
    </row>
    <row r="5" spans="1:17" x14ac:dyDescent="0.4">
      <c r="A5" s="55" t="s">
        <v>7</v>
      </c>
      <c r="B5" s="158">
        <f>IF(B$2=0,0,B$4/B$2)</f>
        <v>-1.8788389647502649E-16</v>
      </c>
      <c r="C5" s="159"/>
      <c r="E5" s="63" t="s">
        <v>172</v>
      </c>
      <c r="F5" s="60" t="s">
        <v>173</v>
      </c>
      <c r="G5" s="47">
        <v>142</v>
      </c>
      <c r="H5" s="133">
        <f>IF(B$17=0,0,G5/B$17)</f>
        <v>0.34975369458128081</v>
      </c>
      <c r="I5" s="94">
        <v>6</v>
      </c>
      <c r="K5" s="38">
        <v>3</v>
      </c>
      <c r="L5" s="99">
        <v>0</v>
      </c>
      <c r="N5" s="115" t="s">
        <v>134</v>
      </c>
      <c r="O5" s="122">
        <f t="shared" si="0"/>
        <v>21.276595744680851</v>
      </c>
      <c r="P5" s="119">
        <v>141</v>
      </c>
      <c r="Q5" s="103">
        <v>3000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69</v>
      </c>
      <c r="F6" s="60" t="s">
        <v>12</v>
      </c>
      <c r="G6" s="47">
        <v>116</v>
      </c>
      <c r="H6" s="133">
        <f>IF(B$17=0,0,G6/B$17)</f>
        <v>0.2857142857142857</v>
      </c>
      <c r="I6" s="94">
        <v>4</v>
      </c>
      <c r="K6" s="38">
        <v>4</v>
      </c>
      <c r="L6" s="99">
        <v>24.5</v>
      </c>
      <c r="N6" s="115" t="s">
        <v>135</v>
      </c>
      <c r="O6" s="122">
        <f t="shared" si="0"/>
        <v>15.873015873015873</v>
      </c>
      <c r="P6" s="119">
        <v>126</v>
      </c>
      <c r="Q6" s="103">
        <v>2000</v>
      </c>
    </row>
    <row r="7" spans="1:17" x14ac:dyDescent="0.4">
      <c r="A7" s="55" t="s">
        <v>2</v>
      </c>
      <c r="B7" s="47">
        <v>52</v>
      </c>
      <c r="C7" s="39">
        <f t="shared" ref="C7:C12" si="1">IF(B$2=0,0,B7/B$2)</f>
        <v>0.33333333333333331</v>
      </c>
      <c r="E7" s="63" t="s">
        <v>68</v>
      </c>
      <c r="F7" s="60" t="s">
        <v>24</v>
      </c>
      <c r="G7" s="47">
        <v>101</v>
      </c>
      <c r="H7" s="133">
        <f>IF(B$17=0,0,G7/B$17)</f>
        <v>0.24876847290640394</v>
      </c>
      <c r="I7" s="94">
        <v>4</v>
      </c>
      <c r="K7" s="38">
        <v>5</v>
      </c>
      <c r="L7" s="99">
        <v>-11.299999999999997</v>
      </c>
      <c r="N7" s="116" t="s">
        <v>136</v>
      </c>
      <c r="O7" s="123">
        <f t="shared" si="0"/>
        <v>0</v>
      </c>
      <c r="P7" s="120">
        <v>96</v>
      </c>
      <c r="Q7" s="104">
        <v>0</v>
      </c>
    </row>
    <row r="8" spans="1:17" x14ac:dyDescent="0.4">
      <c r="A8" s="55" t="s">
        <v>3</v>
      </c>
      <c r="B8" s="47">
        <v>52</v>
      </c>
      <c r="C8" s="39">
        <f t="shared" si="1"/>
        <v>0.33333333333333331</v>
      </c>
      <c r="E8" s="63" t="s">
        <v>90</v>
      </c>
      <c r="F8" s="60" t="s">
        <v>45</v>
      </c>
      <c r="G8" s="47">
        <v>55</v>
      </c>
      <c r="H8" s="133">
        <f>IF(B$17=0,0,G8/B$17)</f>
        <v>0.1354679802955665</v>
      </c>
      <c r="I8" s="94">
        <v>4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52</v>
      </c>
      <c r="C9" s="40">
        <f t="shared" si="1"/>
        <v>0.33333333333333331</v>
      </c>
      <c r="E9" s="63" t="s">
        <v>70</v>
      </c>
      <c r="F9" s="60" t="s">
        <v>25</v>
      </c>
      <c r="G9" s="47">
        <v>52</v>
      </c>
      <c r="H9" s="133">
        <f>IF(B$17=0,0,G9/B$17)</f>
        <v>0.12807881773399016</v>
      </c>
      <c r="I9" s="94">
        <v>5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19</v>
      </c>
      <c r="C10" s="40">
        <f t="shared" si="1"/>
        <v>0.12179487179487179</v>
      </c>
      <c r="E10" s="63" t="s">
        <v>66</v>
      </c>
      <c r="F10" s="60" t="s">
        <v>22</v>
      </c>
      <c r="G10" s="47">
        <v>37</v>
      </c>
      <c r="H10" s="133">
        <f>IF(B$17=0,0,G10/B$17)</f>
        <v>9.1133004926108374E-2</v>
      </c>
      <c r="I10" s="94">
        <v>5</v>
      </c>
      <c r="K10" s="38">
        <v>8</v>
      </c>
      <c r="L10" s="99">
        <v>-46.9</v>
      </c>
      <c r="N10" s="114" t="s">
        <v>163</v>
      </c>
      <c r="O10" s="124">
        <f>IF(P10=0,0,Q10/P10)</f>
        <v>2.1365384615384615</v>
      </c>
      <c r="P10" s="118">
        <v>52</v>
      </c>
      <c r="Q10" s="106">
        <v>111.10000000000001</v>
      </c>
    </row>
    <row r="11" spans="1:17" x14ac:dyDescent="0.4">
      <c r="A11" s="56" t="s">
        <v>139</v>
      </c>
      <c r="B11" s="48">
        <v>19</v>
      </c>
      <c r="C11" s="40">
        <f t="shared" si="1"/>
        <v>0.12179487179487179</v>
      </c>
      <c r="E11" s="63" t="s">
        <v>71</v>
      </c>
      <c r="F11" s="60" t="s">
        <v>26</v>
      </c>
      <c r="G11" s="47">
        <v>29</v>
      </c>
      <c r="H11" s="133">
        <f>IF(B$17=0,0,G11/B$17)</f>
        <v>7.1428571428571425E-2</v>
      </c>
      <c r="I11" s="94">
        <v>5</v>
      </c>
      <c r="K11" s="38">
        <v>9</v>
      </c>
      <c r="L11" s="99">
        <v>0</v>
      </c>
      <c r="N11" s="115" t="s">
        <v>164</v>
      </c>
      <c r="O11" s="125">
        <f>IF(P11=0,0,Q11/P11)</f>
        <v>-0.87307692307692275</v>
      </c>
      <c r="P11" s="119">
        <v>52</v>
      </c>
      <c r="Q11" s="107">
        <v>-45.399999999999984</v>
      </c>
    </row>
    <row r="12" spans="1:17" x14ac:dyDescent="0.4">
      <c r="A12" s="57" t="s">
        <v>159</v>
      </c>
      <c r="B12" s="49">
        <v>16</v>
      </c>
      <c r="C12" s="42">
        <f t="shared" si="1"/>
        <v>0.10256410256410256</v>
      </c>
      <c r="E12" s="63" t="s">
        <v>84</v>
      </c>
      <c r="F12" s="60" t="s">
        <v>39</v>
      </c>
      <c r="G12" s="47">
        <v>25</v>
      </c>
      <c r="H12" s="133">
        <f>IF(B$17=0,0,G12/B$17)</f>
        <v>6.1576354679802957E-2</v>
      </c>
      <c r="I12" s="94">
        <v>6</v>
      </c>
      <c r="K12" s="38">
        <v>10</v>
      </c>
      <c r="L12" s="99">
        <v>-12</v>
      </c>
      <c r="N12" s="116" t="s">
        <v>165</v>
      </c>
      <c r="O12" s="126">
        <f>IF(P12=0,0,Q12/P12)</f>
        <v>-1.263461538461536</v>
      </c>
      <c r="P12" s="120">
        <v>52</v>
      </c>
      <c r="Q12" s="108">
        <v>-65.699999999999875</v>
      </c>
    </row>
    <row r="13" spans="1:17" x14ac:dyDescent="0.4">
      <c r="A13" s="58" t="s">
        <v>122</v>
      </c>
      <c r="B13" s="50">
        <v>330</v>
      </c>
      <c r="C13" s="44">
        <f>IF(B$3=0,0,B13/B$3)</f>
        <v>0.23809523809523808</v>
      </c>
      <c r="E13" s="63" t="s">
        <v>72</v>
      </c>
      <c r="F13" s="60" t="s">
        <v>27</v>
      </c>
      <c r="G13" s="47">
        <v>24</v>
      </c>
      <c r="H13" s="133">
        <f>IF(B$17=0,0,G13/B$17)</f>
        <v>5.9113300492610835E-2</v>
      </c>
      <c r="I13" s="94">
        <v>5</v>
      </c>
      <c r="K13" s="38">
        <v>11</v>
      </c>
      <c r="L13" s="99">
        <v>58.2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352</v>
      </c>
      <c r="C14" s="39">
        <f>IF(B$3=0,0,B14/B$3)</f>
        <v>0.25396825396825395</v>
      </c>
      <c r="E14" s="63" t="s">
        <v>87</v>
      </c>
      <c r="F14" s="60" t="s">
        <v>42</v>
      </c>
      <c r="G14" s="47">
        <v>21</v>
      </c>
      <c r="H14" s="133">
        <f>IF(B$17=0,0,G14/B$17)</f>
        <v>5.1724137931034482E-2</v>
      </c>
      <c r="I14" s="94">
        <v>5</v>
      </c>
      <c r="K14" s="38">
        <v>12</v>
      </c>
      <c r="L14" s="99">
        <v>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180</v>
      </c>
      <c r="C15" s="37">
        <f>IF(B$13=0,0,B15/B$13)</f>
        <v>0.54545454545454541</v>
      </c>
      <c r="E15" s="63" t="s">
        <v>79</v>
      </c>
      <c r="F15" s="60" t="s">
        <v>34</v>
      </c>
      <c r="G15" s="47">
        <v>12</v>
      </c>
      <c r="H15" s="133">
        <f>IF(B$17=0,0,G15/B$17)</f>
        <v>2.9556650246305417E-2</v>
      </c>
      <c r="I15" s="94">
        <v>5</v>
      </c>
      <c r="K15" s="38">
        <v>13</v>
      </c>
      <c r="L15" s="99">
        <v>-1.7</v>
      </c>
      <c r="N15" s="114" t="s">
        <v>183</v>
      </c>
      <c r="O15" s="124">
        <f>IF(P15=0,0,Q15/P15)</f>
        <v>28.612500000000004</v>
      </c>
      <c r="P15" s="118">
        <v>16</v>
      </c>
      <c r="Q15" s="106">
        <v>457.80000000000007</v>
      </c>
    </row>
    <row r="16" spans="1:17" x14ac:dyDescent="0.4">
      <c r="A16" s="54" t="s">
        <v>125</v>
      </c>
      <c r="B16" s="46">
        <v>148</v>
      </c>
      <c r="C16" s="37">
        <f>IF(B$14=0,0,B16/B$14)</f>
        <v>0.42045454545454547</v>
      </c>
      <c r="E16" s="63" t="s">
        <v>82</v>
      </c>
      <c r="F16" s="60" t="s">
        <v>37</v>
      </c>
      <c r="G16" s="47">
        <v>9</v>
      </c>
      <c r="H16" s="133">
        <f>IF(B$17=0,0,G16/B$17)</f>
        <v>2.2167487684729065E-2</v>
      </c>
      <c r="I16" s="94">
        <v>6</v>
      </c>
      <c r="K16" s="38">
        <v>14</v>
      </c>
      <c r="L16" s="99">
        <v>24.3</v>
      </c>
      <c r="N16" s="115" t="s">
        <v>180</v>
      </c>
      <c r="O16" s="125">
        <f>IF(P16=0,0,Q16/P16)</f>
        <v>22.182352941176472</v>
      </c>
      <c r="P16" s="119">
        <v>34</v>
      </c>
      <c r="Q16" s="107">
        <v>754.2</v>
      </c>
    </row>
    <row r="17" spans="1:17" x14ac:dyDescent="0.4">
      <c r="A17" s="54" t="s">
        <v>10</v>
      </c>
      <c r="B17" s="46">
        <f>B19+B18</f>
        <v>406</v>
      </c>
      <c r="C17" s="37">
        <f>IF(B$3=0,0,B17/B$3)</f>
        <v>0.29292929292929293</v>
      </c>
      <c r="E17" s="63" t="s">
        <v>80</v>
      </c>
      <c r="F17" s="60" t="s">
        <v>35</v>
      </c>
      <c r="G17" s="47">
        <v>6</v>
      </c>
      <c r="H17" s="133">
        <f>IF(B$17=0,0,G17/B$17)</f>
        <v>1.4778325123152709E-2</v>
      </c>
      <c r="I17" s="94">
        <v>4</v>
      </c>
      <c r="K17" s="38">
        <v>15</v>
      </c>
      <c r="L17" s="99">
        <v>0</v>
      </c>
      <c r="N17" s="115" t="s">
        <v>196</v>
      </c>
      <c r="O17" s="125">
        <f>IF(P17=0,0,Q17/P17)</f>
        <v>14.024999999999999</v>
      </c>
      <c r="P17" s="119">
        <v>8</v>
      </c>
      <c r="Q17" s="107">
        <v>112.19999999999999</v>
      </c>
    </row>
    <row r="18" spans="1:17" x14ac:dyDescent="0.4">
      <c r="A18" s="55" t="s">
        <v>12</v>
      </c>
      <c r="B18" s="47">
        <v>166</v>
      </c>
      <c r="C18" s="39">
        <f>IF(B$17=0,0,B18/B$17)</f>
        <v>0.40886699507389163</v>
      </c>
      <c r="E18" s="63" t="s">
        <v>92</v>
      </c>
      <c r="F18" s="60" t="s">
        <v>47</v>
      </c>
      <c r="G18" s="47">
        <v>5</v>
      </c>
      <c r="H18" s="133">
        <f>IF(B$17=0,0,G18/B$17)</f>
        <v>1.2315270935960592E-2</v>
      </c>
      <c r="I18" s="94">
        <v>3</v>
      </c>
      <c r="K18" s="38">
        <v>16</v>
      </c>
      <c r="L18" s="99">
        <v>-28.2</v>
      </c>
      <c r="N18" s="115" t="s">
        <v>178</v>
      </c>
      <c r="O18" s="125">
        <f>IF(P18=0,0,Q18/P18)</f>
        <v>9.2678571428571388</v>
      </c>
      <c r="P18" s="119">
        <v>28</v>
      </c>
      <c r="Q18" s="107">
        <v>259.49999999999989</v>
      </c>
    </row>
    <row r="19" spans="1:17" x14ac:dyDescent="0.4">
      <c r="A19" s="55" t="s">
        <v>11</v>
      </c>
      <c r="B19" s="47">
        <v>240</v>
      </c>
      <c r="C19" s="39">
        <f>IF(B$17=0,0,B19/B$17)</f>
        <v>0.59113300492610843</v>
      </c>
      <c r="E19" s="63" t="s">
        <v>93</v>
      </c>
      <c r="F19" s="60" t="s">
        <v>48</v>
      </c>
      <c r="G19" s="47">
        <v>5</v>
      </c>
      <c r="H19" s="133">
        <f>IF(B$17=0,0,G19/B$17)</f>
        <v>1.2315270935960592E-2</v>
      </c>
      <c r="I19" s="94">
        <v>3</v>
      </c>
      <c r="K19" s="38">
        <v>17</v>
      </c>
      <c r="L19" s="99">
        <v>-20.5</v>
      </c>
      <c r="N19" s="115" t="s">
        <v>167</v>
      </c>
      <c r="O19" s="125">
        <f>IF(P19=0,0,Q19/P19)</f>
        <v>6.5200000000000005</v>
      </c>
      <c r="P19" s="119">
        <v>30</v>
      </c>
      <c r="Q19" s="107">
        <v>195.60000000000002</v>
      </c>
    </row>
    <row r="20" spans="1:17" x14ac:dyDescent="0.4">
      <c r="A20" s="55" t="s">
        <v>13</v>
      </c>
      <c r="B20" s="47">
        <v>239</v>
      </c>
      <c r="C20" s="39">
        <f>IF(B$3=0,0,B20/B$3)</f>
        <v>0.17243867243867245</v>
      </c>
      <c r="E20" s="63" t="s">
        <v>168</v>
      </c>
      <c r="F20" s="60" t="s">
        <v>169</v>
      </c>
      <c r="G20" s="47">
        <v>5</v>
      </c>
      <c r="H20" s="133">
        <f>IF(B$17=0,0,G20/B$17)</f>
        <v>1.2315270935960592E-2</v>
      </c>
      <c r="I20" s="94">
        <v>3</v>
      </c>
      <c r="K20" s="38">
        <v>18</v>
      </c>
      <c r="L20" s="99">
        <v>0</v>
      </c>
      <c r="N20" s="115" t="s">
        <v>179</v>
      </c>
      <c r="O20" s="125">
        <f>IF(P20=0,0,Q20/P20)</f>
        <v>2.6294117647058814</v>
      </c>
      <c r="P20" s="119">
        <v>34</v>
      </c>
      <c r="Q20" s="107">
        <v>89.399999999999963</v>
      </c>
    </row>
    <row r="21" spans="1:17" x14ac:dyDescent="0.4">
      <c r="A21" s="55" t="s">
        <v>170</v>
      </c>
      <c r="B21" s="47">
        <v>7</v>
      </c>
      <c r="C21" s="135">
        <v>1</v>
      </c>
      <c r="E21" s="63" t="s">
        <v>78</v>
      </c>
      <c r="F21" s="60" t="s">
        <v>33</v>
      </c>
      <c r="G21" s="47">
        <v>3</v>
      </c>
      <c r="H21" s="133">
        <f>IF(B$17=0,0,G21/B$17)</f>
        <v>7.3891625615763543E-3</v>
      </c>
      <c r="I21" s="94">
        <v>3</v>
      </c>
      <c r="K21" s="38">
        <v>19</v>
      </c>
      <c r="L21" s="99">
        <v>-22.4</v>
      </c>
      <c r="N21" s="115" t="s">
        <v>128</v>
      </c>
      <c r="O21" s="125">
        <f>IF(P21=0,0,Q21/P21)</f>
        <v>-4.377631578947371</v>
      </c>
      <c r="P21" s="119">
        <v>76</v>
      </c>
      <c r="Q21" s="107">
        <v>-332.70000000000022</v>
      </c>
    </row>
    <row r="22" spans="1:17" x14ac:dyDescent="0.4">
      <c r="A22" s="55" t="s">
        <v>171</v>
      </c>
      <c r="B22" s="47">
        <v>26</v>
      </c>
      <c r="C22" s="135">
        <v>6</v>
      </c>
      <c r="E22" s="63" t="s">
        <v>86</v>
      </c>
      <c r="F22" s="60" t="s">
        <v>41</v>
      </c>
      <c r="G22" s="47">
        <v>3</v>
      </c>
      <c r="H22" s="133">
        <f>IF(B$17=0,0,G22/B$17)</f>
        <v>7.3891625615763543E-3</v>
      </c>
      <c r="I22" s="94">
        <v>4</v>
      </c>
      <c r="K22" s="38">
        <v>20</v>
      </c>
      <c r="L22" s="99">
        <v>-61.199999999999996</v>
      </c>
      <c r="N22" s="115" t="s">
        <v>127</v>
      </c>
      <c r="O22" s="125">
        <f>IF(P22=0,0,Q22/P22)</f>
        <v>-15.872727272727275</v>
      </c>
      <c r="P22" s="119">
        <v>66</v>
      </c>
      <c r="Q22" s="107">
        <v>-1047.6000000000001</v>
      </c>
    </row>
    <row r="23" spans="1:17" x14ac:dyDescent="0.4">
      <c r="A23" s="55" t="s">
        <v>5</v>
      </c>
      <c r="B23" s="51">
        <f>IF(B$17=0,0,C23/B$17)</f>
        <v>8337.4384236453207</v>
      </c>
      <c r="C23" s="41">
        <v>3385000</v>
      </c>
      <c r="E23" s="63" t="s">
        <v>85</v>
      </c>
      <c r="F23" s="60" t="s">
        <v>40</v>
      </c>
      <c r="G23" s="47">
        <v>2</v>
      </c>
      <c r="H23" s="133">
        <f>IF(B$17=0,0,G23/B$17)</f>
        <v>4.9261083743842365E-3</v>
      </c>
      <c r="I23" s="94">
        <v>2</v>
      </c>
      <c r="K23" s="38">
        <v>21</v>
      </c>
      <c r="L23" s="99">
        <v>7.1054273576010019E-15</v>
      </c>
      <c r="N23" s="115" t="s">
        <v>182</v>
      </c>
      <c r="O23" s="125">
        <f>IF(P23=0,0,Q23/P23)</f>
        <v>-24.42</v>
      </c>
      <c r="P23" s="119">
        <v>20</v>
      </c>
      <c r="Q23" s="107">
        <v>-488.40000000000003</v>
      </c>
    </row>
    <row r="24" spans="1:17" x14ac:dyDescent="0.4">
      <c r="A24" s="57" t="s">
        <v>14</v>
      </c>
      <c r="B24" s="52">
        <f>IF(B$20=0,0,C24/B$20)</f>
        <v>-7953.1380753138073</v>
      </c>
      <c r="C24" s="45">
        <v>-1900800</v>
      </c>
      <c r="E24" s="63" t="s">
        <v>89</v>
      </c>
      <c r="F24" s="60" t="s">
        <v>44</v>
      </c>
      <c r="G24" s="47">
        <v>2</v>
      </c>
      <c r="H24" s="133">
        <f>IF(B$17=0,0,G24/B$17)</f>
        <v>4.9261083743842365E-3</v>
      </c>
      <c r="I24" s="94">
        <v>3</v>
      </c>
      <c r="K24" s="38">
        <v>22</v>
      </c>
      <c r="L24" s="99">
        <v>-25.099999999999994</v>
      </c>
    </row>
    <row r="25" spans="1:17" x14ac:dyDescent="0.4">
      <c r="A25" s="90" t="s">
        <v>141</v>
      </c>
      <c r="B25" s="146">
        <v>8</v>
      </c>
      <c r="C25" s="147"/>
      <c r="E25" s="63" t="s">
        <v>75</v>
      </c>
      <c r="F25" s="60" t="s">
        <v>30</v>
      </c>
      <c r="G25" s="47">
        <v>1</v>
      </c>
      <c r="H25" s="133">
        <f>IF(B$17=0,0,G25/B$17)</f>
        <v>2.4630541871921183E-3</v>
      </c>
      <c r="I25" s="94">
        <v>2</v>
      </c>
      <c r="K25" s="38">
        <v>23</v>
      </c>
      <c r="L25" s="99">
        <v>-26.799999999999994</v>
      </c>
    </row>
    <row r="26" spans="1:17" x14ac:dyDescent="0.4">
      <c r="A26" s="58" t="s">
        <v>151</v>
      </c>
      <c r="B26" s="144">
        <v>95200</v>
      </c>
      <c r="C26" s="145"/>
      <c r="E26" s="63" t="s">
        <v>88</v>
      </c>
      <c r="F26" s="60" t="s">
        <v>43</v>
      </c>
      <c r="G26" s="47">
        <v>1</v>
      </c>
      <c r="H26" s="133">
        <f>IF(B$17=0,0,G26/B$17)</f>
        <v>2.4630541871921183E-3</v>
      </c>
      <c r="I26" s="94">
        <v>2</v>
      </c>
      <c r="K26" s="38">
        <v>24</v>
      </c>
      <c r="L26" s="99">
        <v>7.1054273576010019E-15</v>
      </c>
    </row>
    <row r="27" spans="1:17" x14ac:dyDescent="0.4">
      <c r="A27" s="57" t="s">
        <v>142</v>
      </c>
      <c r="B27" s="65">
        <v>4</v>
      </c>
      <c r="C27" s="42">
        <f>IF(B$3=0,0,B27/B$3)</f>
        <v>2.886002886002886E-3</v>
      </c>
      <c r="E27" s="63" t="s">
        <v>91</v>
      </c>
      <c r="F27" s="60" t="s">
        <v>46</v>
      </c>
      <c r="G27" s="47">
        <v>1</v>
      </c>
      <c r="H27" s="133">
        <f>IF(B$17=0,0,G27/B$17)</f>
        <v>2.4630541871921183E-3</v>
      </c>
      <c r="I27" s="94">
        <v>2</v>
      </c>
      <c r="K27" s="38">
        <v>25</v>
      </c>
      <c r="L27" s="99">
        <v>15.000000000000007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2.4630541871921183E-3</v>
      </c>
      <c r="I28" s="94">
        <v>2</v>
      </c>
      <c r="K28" s="38">
        <v>26</v>
      </c>
      <c r="L28" s="99">
        <v>0.60000000000000675</v>
      </c>
    </row>
    <row r="29" spans="1:17" x14ac:dyDescent="0.4">
      <c r="E29" s="63" t="s">
        <v>74</v>
      </c>
      <c r="F29" s="60" t="s">
        <v>29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6.7723604502134549E-15</v>
      </c>
    </row>
    <row r="30" spans="1:17" x14ac:dyDescent="0.4">
      <c r="E30" s="63" t="s">
        <v>76</v>
      </c>
      <c r="F30" s="60" t="s">
        <v>31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-30.199999999999992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-2.3999999999999915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8.4376949871511897E-15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12.500000000000009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47.300000000000004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7.1054273576010019E-15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-5.8999999999999932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26.900000000000006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17.400000000000006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-5.2999999999999936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6.2172489379008766E-15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10.300000000000008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-26.999999999999989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1.0658141036401503E-14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-20.899999999999988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0.30000000000001137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1.1379786002407855E-14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2.2000000000000117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-21.499999999999986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1.4210854715202004E-14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-51.599999999999987</v>
      </c>
    </row>
    <row r="52" spans="5:12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-33.699999999999989</v>
      </c>
    </row>
    <row r="53" spans="5:12" x14ac:dyDescent="0.4">
      <c r="K53" s="38">
        <v>51</v>
      </c>
      <c r="L53" s="99">
        <v>1.4210854715202004E-14</v>
      </c>
    </row>
    <row r="54" spans="5:12" x14ac:dyDescent="0.4">
      <c r="K54" s="38">
        <v>52</v>
      </c>
      <c r="L54" s="99">
        <v>-5.8999999999999861</v>
      </c>
    </row>
    <row r="55" spans="5:12" x14ac:dyDescent="0.4">
      <c r="K55" s="38">
        <v>53</v>
      </c>
      <c r="L55" s="99">
        <v>-29.399999999999984</v>
      </c>
    </row>
    <row r="56" spans="5:12" x14ac:dyDescent="0.4">
      <c r="K56" s="38">
        <v>54</v>
      </c>
      <c r="L56" s="99">
        <v>1.4210854715202004E-14</v>
      </c>
    </row>
    <row r="57" spans="5:12" x14ac:dyDescent="0.4">
      <c r="K57" s="38">
        <v>55</v>
      </c>
      <c r="L57" s="99">
        <v>-42.999999999999986</v>
      </c>
    </row>
    <row r="58" spans="5:12" x14ac:dyDescent="0.4">
      <c r="K58" s="38">
        <v>56</v>
      </c>
      <c r="L58" s="99">
        <v>-54.199999999999989</v>
      </c>
    </row>
    <row r="59" spans="5:12" x14ac:dyDescent="0.4">
      <c r="K59" s="38">
        <v>57</v>
      </c>
      <c r="L59" s="99">
        <v>1.4210854715202004E-14</v>
      </c>
    </row>
    <row r="60" spans="5:12" x14ac:dyDescent="0.4">
      <c r="K60" s="38">
        <v>58</v>
      </c>
      <c r="L60" s="99">
        <v>7.6000000000000139</v>
      </c>
    </row>
    <row r="61" spans="5:12" x14ac:dyDescent="0.4">
      <c r="K61" s="38">
        <v>59</v>
      </c>
      <c r="L61" s="99">
        <v>-35.399999999999984</v>
      </c>
    </row>
    <row r="62" spans="5:12" x14ac:dyDescent="0.4">
      <c r="K62" s="38">
        <v>60</v>
      </c>
      <c r="L62" s="99">
        <v>1.4210854715202004E-14</v>
      </c>
    </row>
    <row r="63" spans="5:12" x14ac:dyDescent="0.4">
      <c r="K63" s="38">
        <v>61</v>
      </c>
      <c r="L63" s="99">
        <v>66.800000000000011</v>
      </c>
    </row>
    <row r="64" spans="5:12" x14ac:dyDescent="0.4">
      <c r="K64" s="38">
        <v>62</v>
      </c>
      <c r="L64" s="99">
        <v>6.7000000000000099</v>
      </c>
    </row>
    <row r="65" spans="11:12" x14ac:dyDescent="0.4">
      <c r="K65" s="38">
        <v>63</v>
      </c>
      <c r="L65" s="99">
        <v>9.7699626167013776E-15</v>
      </c>
    </row>
    <row r="66" spans="11:12" x14ac:dyDescent="0.4">
      <c r="K66" s="38">
        <v>64</v>
      </c>
      <c r="L66" s="99">
        <v>-49.499999999999993</v>
      </c>
    </row>
    <row r="67" spans="11:12" x14ac:dyDescent="0.4">
      <c r="K67" s="38">
        <v>65</v>
      </c>
      <c r="L67" s="99">
        <v>-30.799999999999994</v>
      </c>
    </row>
    <row r="68" spans="11:12" x14ac:dyDescent="0.4">
      <c r="K68" s="38">
        <v>66</v>
      </c>
      <c r="L68" s="99">
        <v>7.1054273576010019E-15</v>
      </c>
    </row>
    <row r="69" spans="11:12" x14ac:dyDescent="0.4">
      <c r="K69" s="38">
        <v>67</v>
      </c>
      <c r="L69" s="99">
        <v>66.400000000000006</v>
      </c>
    </row>
    <row r="70" spans="11:12" x14ac:dyDescent="0.4">
      <c r="K70" s="38">
        <v>68</v>
      </c>
      <c r="L70" s="99">
        <v>17.700000000000003</v>
      </c>
    </row>
    <row r="71" spans="11:12" x14ac:dyDescent="0.4">
      <c r="K71" s="38">
        <v>69</v>
      </c>
      <c r="L71" s="99">
        <v>3.5527136788005009E-15</v>
      </c>
    </row>
    <row r="72" spans="11:12" x14ac:dyDescent="0.4">
      <c r="K72" s="38">
        <v>70</v>
      </c>
      <c r="L72" s="99">
        <v>7.5000000000000036</v>
      </c>
    </row>
    <row r="73" spans="11:12" x14ac:dyDescent="0.4">
      <c r="K73" s="38">
        <v>71</v>
      </c>
      <c r="L73" s="99">
        <v>28.600000000000005</v>
      </c>
    </row>
    <row r="74" spans="11:12" x14ac:dyDescent="0.4">
      <c r="K74" s="38">
        <v>72</v>
      </c>
      <c r="L74" s="99">
        <v>3.5527136788005009E-15</v>
      </c>
    </row>
    <row r="75" spans="11:12" x14ac:dyDescent="0.4">
      <c r="K75" s="38">
        <v>73</v>
      </c>
      <c r="L75" s="99">
        <v>39.5</v>
      </c>
    </row>
    <row r="76" spans="11:12" x14ac:dyDescent="0.4">
      <c r="K76" s="38">
        <v>74</v>
      </c>
      <c r="L76" s="99">
        <v>-7</v>
      </c>
    </row>
    <row r="77" spans="11:12" x14ac:dyDescent="0.4">
      <c r="K77" s="38">
        <v>75</v>
      </c>
      <c r="L77" s="99">
        <v>0</v>
      </c>
    </row>
    <row r="78" spans="11:12" x14ac:dyDescent="0.4">
      <c r="K78" s="38">
        <v>76</v>
      </c>
      <c r="L78" s="99">
        <v>-45.1</v>
      </c>
    </row>
    <row r="79" spans="11:12" x14ac:dyDescent="0.4">
      <c r="K79" s="38">
        <v>77</v>
      </c>
      <c r="L79" s="99">
        <v>-39.200000000000003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17.7</v>
      </c>
    </row>
    <row r="82" spans="11:12" x14ac:dyDescent="0.4">
      <c r="K82" s="38">
        <v>80</v>
      </c>
      <c r="L82" s="99">
        <v>-28.8</v>
      </c>
    </row>
    <row r="83" spans="11:12" x14ac:dyDescent="0.4">
      <c r="K83" s="38">
        <v>81</v>
      </c>
      <c r="L83" s="99">
        <v>0</v>
      </c>
    </row>
    <row r="84" spans="11:12" x14ac:dyDescent="0.4">
      <c r="K84" s="38">
        <v>82</v>
      </c>
      <c r="L84" s="99">
        <v>42.9</v>
      </c>
    </row>
    <row r="85" spans="11:12" x14ac:dyDescent="0.4">
      <c r="K85" s="38">
        <v>83</v>
      </c>
      <c r="L85" s="99">
        <v>-0.80000000000000426</v>
      </c>
    </row>
    <row r="86" spans="11:12" x14ac:dyDescent="0.4">
      <c r="K86" s="38">
        <v>84</v>
      </c>
      <c r="L86" s="99">
        <v>-4.2188474935755949E-15</v>
      </c>
    </row>
    <row r="87" spans="11:12" x14ac:dyDescent="0.4">
      <c r="K87" s="38">
        <v>85</v>
      </c>
      <c r="L87" s="99">
        <v>-58.000000000000007</v>
      </c>
    </row>
    <row r="88" spans="11:12" x14ac:dyDescent="0.4">
      <c r="K88" s="38">
        <v>86</v>
      </c>
      <c r="L88" s="99">
        <v>-7.1054273576010019E-15</v>
      </c>
    </row>
    <row r="89" spans="11:12" x14ac:dyDescent="0.4">
      <c r="K89" s="38">
        <v>87</v>
      </c>
      <c r="L89" s="99">
        <v>-7.1054273576010019E-15</v>
      </c>
    </row>
    <row r="90" spans="11:12" x14ac:dyDescent="0.4">
      <c r="K90" s="38">
        <v>88</v>
      </c>
      <c r="L90" s="99">
        <v>-26.400000000000006</v>
      </c>
    </row>
    <row r="91" spans="11:12" x14ac:dyDescent="0.4">
      <c r="K91" s="38">
        <v>89</v>
      </c>
      <c r="L91" s="99">
        <v>-26.900000000000006</v>
      </c>
    </row>
    <row r="92" spans="11:12" x14ac:dyDescent="0.4">
      <c r="K92" s="38">
        <v>90</v>
      </c>
      <c r="L92" s="99">
        <v>-7.1054273576010019E-15</v>
      </c>
    </row>
    <row r="93" spans="11:12" x14ac:dyDescent="0.4">
      <c r="K93" s="38">
        <v>91</v>
      </c>
      <c r="L93" s="99">
        <v>-34.900000000000006</v>
      </c>
    </row>
    <row r="94" spans="11:12" x14ac:dyDescent="0.4">
      <c r="K94" s="38">
        <v>92</v>
      </c>
      <c r="L94" s="99">
        <v>-8.100000000000005</v>
      </c>
    </row>
    <row r="95" spans="11:12" x14ac:dyDescent="0.4">
      <c r="K95" s="38">
        <v>93</v>
      </c>
      <c r="L95" s="99">
        <v>-5.3290705182007514E-15</v>
      </c>
    </row>
    <row r="96" spans="11:12" x14ac:dyDescent="0.4">
      <c r="K96" s="38">
        <v>94</v>
      </c>
      <c r="L96" s="99">
        <v>34.29999999999999</v>
      </c>
    </row>
    <row r="97" spans="11:12" x14ac:dyDescent="0.4">
      <c r="K97" s="38">
        <v>95</v>
      </c>
      <c r="L97" s="99">
        <v>31.499999999999989</v>
      </c>
    </row>
    <row r="98" spans="11:12" x14ac:dyDescent="0.4">
      <c r="K98" s="38">
        <v>96</v>
      </c>
      <c r="L98" s="99">
        <v>-1.0658141036401503E-14</v>
      </c>
    </row>
    <row r="99" spans="11:12" x14ac:dyDescent="0.4">
      <c r="K99" s="38">
        <v>97</v>
      </c>
      <c r="L99" s="99">
        <v>17.699999999999989</v>
      </c>
    </row>
    <row r="100" spans="11:12" x14ac:dyDescent="0.4">
      <c r="K100" s="38">
        <v>98</v>
      </c>
      <c r="L100" s="99">
        <v>-28.800000000000011</v>
      </c>
    </row>
    <row r="101" spans="11:12" x14ac:dyDescent="0.4">
      <c r="K101" s="38">
        <v>99</v>
      </c>
      <c r="L101" s="99">
        <v>-1.0658141036401503E-14</v>
      </c>
    </row>
    <row r="102" spans="11:12" x14ac:dyDescent="0.4">
      <c r="K102" s="38">
        <v>100</v>
      </c>
      <c r="L102" s="99">
        <v>34.499999999999986</v>
      </c>
    </row>
    <row r="103" spans="11:12" x14ac:dyDescent="0.4">
      <c r="K103" s="38">
        <v>101</v>
      </c>
      <c r="L103" s="99">
        <v>46.899999999999984</v>
      </c>
    </row>
    <row r="104" spans="11:12" x14ac:dyDescent="0.4">
      <c r="K104" s="38">
        <v>102</v>
      </c>
      <c r="L104" s="99">
        <v>-1.4210854715202004E-14</v>
      </c>
    </row>
    <row r="105" spans="11:12" x14ac:dyDescent="0.4">
      <c r="K105" s="38">
        <v>103</v>
      </c>
      <c r="L105" s="99">
        <v>-49.400000000000013</v>
      </c>
    </row>
    <row r="106" spans="11:12" x14ac:dyDescent="0.4">
      <c r="K106" s="38">
        <v>104</v>
      </c>
      <c r="L106" s="99">
        <v>-18.000000000000014</v>
      </c>
    </row>
    <row r="107" spans="11:12" x14ac:dyDescent="0.4">
      <c r="K107" s="38">
        <v>105</v>
      </c>
      <c r="L107" s="99">
        <v>-1.4210854715202004E-14</v>
      </c>
    </row>
    <row r="108" spans="11:12" x14ac:dyDescent="0.4">
      <c r="K108" s="38">
        <v>106</v>
      </c>
      <c r="L108" s="99">
        <v>-10.800000000000015</v>
      </c>
    </row>
    <row r="109" spans="11:12" x14ac:dyDescent="0.4">
      <c r="K109" s="38">
        <v>107</v>
      </c>
      <c r="L109" s="99">
        <v>-56.90000000000002</v>
      </c>
    </row>
    <row r="110" spans="11:12" x14ac:dyDescent="0.4">
      <c r="K110" s="38">
        <v>108</v>
      </c>
      <c r="L110" s="99">
        <v>-2.1316282072803006E-14</v>
      </c>
    </row>
    <row r="111" spans="11:12" x14ac:dyDescent="0.4">
      <c r="K111" s="38">
        <v>109</v>
      </c>
      <c r="L111" s="99">
        <v>7.6999999999999789</v>
      </c>
    </row>
    <row r="112" spans="11:12" x14ac:dyDescent="0.4">
      <c r="K112" s="38">
        <v>110</v>
      </c>
      <c r="L112" s="99">
        <v>-22.700000000000021</v>
      </c>
    </row>
    <row r="113" spans="11:12" x14ac:dyDescent="0.4">
      <c r="K113" s="38">
        <v>111</v>
      </c>
      <c r="L113" s="99">
        <v>-2.1316282072803006E-14</v>
      </c>
    </row>
    <row r="114" spans="11:12" x14ac:dyDescent="0.4">
      <c r="K114" s="38">
        <v>112</v>
      </c>
      <c r="L114" s="99">
        <v>-44.200000000000024</v>
      </c>
    </row>
    <row r="115" spans="11:12" x14ac:dyDescent="0.4">
      <c r="K115" s="38">
        <v>113</v>
      </c>
      <c r="L115" s="99">
        <v>-30.800000000000026</v>
      </c>
    </row>
    <row r="116" spans="11:12" x14ac:dyDescent="0.4">
      <c r="K116" s="38">
        <v>114</v>
      </c>
      <c r="L116" s="99">
        <v>-2.4868995751603507E-14</v>
      </c>
    </row>
    <row r="117" spans="11:12" x14ac:dyDescent="0.4">
      <c r="K117" s="38">
        <v>115</v>
      </c>
      <c r="L117" s="99">
        <v>-55.800000000000026</v>
      </c>
    </row>
    <row r="118" spans="11:12" x14ac:dyDescent="0.4">
      <c r="K118" s="38">
        <v>116</v>
      </c>
      <c r="L118" s="99">
        <v>-50.500000000000028</v>
      </c>
    </row>
    <row r="119" spans="11:12" x14ac:dyDescent="0.4">
      <c r="K119" s="38">
        <v>117</v>
      </c>
      <c r="L119" s="99">
        <v>-2.8421709430404007E-14</v>
      </c>
    </row>
    <row r="120" spans="11:12" x14ac:dyDescent="0.4">
      <c r="K120" s="38">
        <v>118</v>
      </c>
      <c r="L120" s="99">
        <v>31.699999999999971</v>
      </c>
    </row>
    <row r="121" spans="11:12" x14ac:dyDescent="0.4">
      <c r="K121" s="38">
        <v>119</v>
      </c>
      <c r="L121" s="99">
        <v>-8.6000000000000263</v>
      </c>
    </row>
    <row r="122" spans="11:12" x14ac:dyDescent="0.4">
      <c r="K122" s="38">
        <v>120</v>
      </c>
      <c r="L122" s="99">
        <v>-2.6645352591003757E-14</v>
      </c>
    </row>
    <row r="123" spans="11:12" x14ac:dyDescent="0.4">
      <c r="K123" s="38">
        <v>121</v>
      </c>
      <c r="L123" s="99">
        <v>-3.4000000000000266</v>
      </c>
    </row>
    <row r="124" spans="11:12" x14ac:dyDescent="0.4">
      <c r="K124" s="38">
        <v>122</v>
      </c>
      <c r="L124" s="99">
        <v>-24.700000000000028</v>
      </c>
    </row>
    <row r="125" spans="11:12" x14ac:dyDescent="0.4">
      <c r="K125" s="38">
        <v>123</v>
      </c>
      <c r="L125" s="99">
        <v>-2.8421709430404007E-14</v>
      </c>
    </row>
    <row r="126" spans="11:12" x14ac:dyDescent="0.4">
      <c r="K126" s="38">
        <v>124</v>
      </c>
      <c r="L126" s="99">
        <v>2.4999999999999716</v>
      </c>
    </row>
    <row r="127" spans="11:12" x14ac:dyDescent="0.4">
      <c r="K127" s="38">
        <v>125</v>
      </c>
      <c r="L127" s="99">
        <v>23.999999999999972</v>
      </c>
    </row>
    <row r="128" spans="11:12" x14ac:dyDescent="0.4">
      <c r="K128" s="38">
        <v>126</v>
      </c>
      <c r="L128" s="99">
        <v>-2.8421709430404007E-14</v>
      </c>
    </row>
    <row r="129" spans="11:12" x14ac:dyDescent="0.4">
      <c r="K129" s="38">
        <v>127</v>
      </c>
      <c r="L129" s="99">
        <v>33.099999999999973</v>
      </c>
    </row>
    <row r="130" spans="11:12" x14ac:dyDescent="0.4">
      <c r="K130" s="38">
        <v>128</v>
      </c>
      <c r="L130" s="99">
        <v>6.6999999999999744</v>
      </c>
    </row>
    <row r="131" spans="11:12" x14ac:dyDescent="0.4">
      <c r="K131" s="38">
        <v>129</v>
      </c>
      <c r="L131" s="99">
        <v>-2.5757174171303632E-14</v>
      </c>
    </row>
    <row r="132" spans="11:12" x14ac:dyDescent="0.4">
      <c r="K132" s="38">
        <v>130</v>
      </c>
      <c r="L132" s="99">
        <v>-16.700000000000024</v>
      </c>
    </row>
    <row r="133" spans="11:12" x14ac:dyDescent="0.4">
      <c r="K133" s="38">
        <v>131</v>
      </c>
      <c r="L133" s="99">
        <v>-15.100000000000025</v>
      </c>
    </row>
    <row r="134" spans="11:12" x14ac:dyDescent="0.4">
      <c r="K134" s="38">
        <v>132</v>
      </c>
      <c r="L134" s="99">
        <v>-2.4868995751603507E-14</v>
      </c>
    </row>
    <row r="135" spans="11:12" x14ac:dyDescent="0.4">
      <c r="K135" s="38">
        <v>133</v>
      </c>
      <c r="L135" s="99">
        <v>-2.8000000000000247</v>
      </c>
    </row>
    <row r="136" spans="11:12" x14ac:dyDescent="0.4">
      <c r="K136" s="38">
        <v>134</v>
      </c>
      <c r="L136" s="99">
        <v>14.099999999999973</v>
      </c>
    </row>
    <row r="137" spans="11:12" x14ac:dyDescent="0.4">
      <c r="K137" s="38">
        <v>135</v>
      </c>
      <c r="L137" s="99">
        <v>-2.6645352591003757E-14</v>
      </c>
    </row>
    <row r="138" spans="11:12" x14ac:dyDescent="0.4">
      <c r="K138" s="38">
        <v>136</v>
      </c>
      <c r="L138" s="99">
        <v>-43.800000000000026</v>
      </c>
    </row>
    <row r="139" spans="11:12" x14ac:dyDescent="0.4">
      <c r="K139" s="38">
        <v>137</v>
      </c>
      <c r="L139" s="99">
        <v>6.1999999999999744</v>
      </c>
    </row>
    <row r="140" spans="11:12" x14ac:dyDescent="0.4">
      <c r="K140" s="38">
        <v>138</v>
      </c>
      <c r="L140" s="99">
        <v>-2.5757174171303632E-14</v>
      </c>
    </row>
    <row r="141" spans="11:12" x14ac:dyDescent="0.4">
      <c r="K141" s="38">
        <v>139</v>
      </c>
      <c r="L141" s="99">
        <v>-35.300000000000026</v>
      </c>
    </row>
    <row r="142" spans="11:12" x14ac:dyDescent="0.4">
      <c r="K142" s="38">
        <v>140</v>
      </c>
      <c r="L142" s="99">
        <v>7.2999999999999758</v>
      </c>
    </row>
    <row r="143" spans="11:12" x14ac:dyDescent="0.4">
      <c r="K143" s="38">
        <v>141</v>
      </c>
      <c r="L143" s="99">
        <v>-2.3980817331903381E-14</v>
      </c>
    </row>
    <row r="144" spans="11:12" x14ac:dyDescent="0.4">
      <c r="K144" s="38">
        <v>142</v>
      </c>
      <c r="L144" s="99">
        <v>60.09999999999998</v>
      </c>
    </row>
    <row r="145" spans="11:12" x14ac:dyDescent="0.4">
      <c r="K145" s="38">
        <v>143</v>
      </c>
      <c r="L145" s="99">
        <v>50.399999999999977</v>
      </c>
    </row>
    <row r="146" spans="11:12" x14ac:dyDescent="0.4">
      <c r="K146" s="38">
        <v>144</v>
      </c>
      <c r="L146" s="99">
        <v>-2.1316282072803006E-14</v>
      </c>
    </row>
    <row r="147" spans="11:12" x14ac:dyDescent="0.4">
      <c r="K147" s="38">
        <v>145</v>
      </c>
      <c r="L147" s="99">
        <v>-53.100000000000023</v>
      </c>
    </row>
    <row r="148" spans="11:12" x14ac:dyDescent="0.4">
      <c r="K148" s="38">
        <v>146</v>
      </c>
      <c r="L148" s="99">
        <v>-53.200000000000024</v>
      </c>
    </row>
    <row r="149" spans="11:12" x14ac:dyDescent="0.4">
      <c r="K149" s="38">
        <v>147</v>
      </c>
      <c r="L149" s="99">
        <v>-2.1316282072803006E-14</v>
      </c>
    </row>
    <row r="150" spans="11:12" x14ac:dyDescent="0.4">
      <c r="K150" s="38">
        <v>148</v>
      </c>
      <c r="L150" s="99">
        <v>-21.90000000000002</v>
      </c>
    </row>
    <row r="151" spans="11:12" x14ac:dyDescent="0.4">
      <c r="K151" s="38">
        <v>149</v>
      </c>
      <c r="L151" s="99">
        <v>7.9999999999999787</v>
      </c>
    </row>
    <row r="152" spans="11:12" x14ac:dyDescent="0.4">
      <c r="K152" s="38">
        <v>150</v>
      </c>
      <c r="L152" s="99">
        <v>-2.1316282072803006E-14</v>
      </c>
    </row>
    <row r="153" spans="11:12" x14ac:dyDescent="0.4">
      <c r="K153" s="38">
        <v>151</v>
      </c>
      <c r="L153" s="99">
        <v>45.899999999999977</v>
      </c>
    </row>
    <row r="154" spans="11:12" x14ac:dyDescent="0.4">
      <c r="K154" s="38">
        <v>152</v>
      </c>
      <c r="L154" s="99">
        <v>45.699999999999974</v>
      </c>
    </row>
    <row r="155" spans="11:12" x14ac:dyDescent="0.4">
      <c r="K155" s="38">
        <v>153</v>
      </c>
      <c r="L155" s="99">
        <v>-2.8421709430404007E-14</v>
      </c>
    </row>
    <row r="156" spans="11:12" x14ac:dyDescent="0.4">
      <c r="K156" s="38">
        <v>154</v>
      </c>
      <c r="L156" s="99">
        <v>-27.10000000000003</v>
      </c>
    </row>
    <row r="157" spans="11:12" x14ac:dyDescent="0.4">
      <c r="K157" s="38">
        <v>155</v>
      </c>
      <c r="L157" s="99">
        <v>-5.8000000000000291</v>
      </c>
    </row>
    <row r="158" spans="11:12" x14ac:dyDescent="0.4">
      <c r="K158" s="38">
        <v>156</v>
      </c>
      <c r="L158" s="99">
        <v>-2.9309887850104133E-14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9C229-444A-4C61-99A0-E0AB83F79FF0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167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15</v>
      </c>
      <c r="C2" s="153"/>
      <c r="E2" s="62" t="s">
        <v>65</v>
      </c>
      <c r="F2" s="59" t="s">
        <v>21</v>
      </c>
      <c r="G2" s="46">
        <v>14</v>
      </c>
      <c r="H2" s="132">
        <f>IF(B$17=0,0,G2/B$17)</f>
        <v>0.3888888888888889</v>
      </c>
      <c r="I2" s="93">
        <v>8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-1740</v>
      </c>
      <c r="P2" s="118">
        <v>15</v>
      </c>
      <c r="Q2" s="102">
        <v>-26100</v>
      </c>
    </row>
    <row r="3" spans="1:17" x14ac:dyDescent="0.4">
      <c r="A3" s="55" t="s">
        <v>8</v>
      </c>
      <c r="B3" s="154">
        <v>144</v>
      </c>
      <c r="C3" s="155"/>
      <c r="E3" s="63" t="s">
        <v>66</v>
      </c>
      <c r="F3" s="60" t="s">
        <v>22</v>
      </c>
      <c r="G3" s="47">
        <v>6</v>
      </c>
      <c r="H3" s="133">
        <f>IF(B$17=0,0,G3/B$17)</f>
        <v>0.16666666666666666</v>
      </c>
      <c r="I3" s="94">
        <v>2</v>
      </c>
      <c r="K3" s="38">
        <v>1</v>
      </c>
      <c r="L3" s="99">
        <v>-4.5999999999999996</v>
      </c>
      <c r="N3" s="115" t="s">
        <v>132</v>
      </c>
      <c r="O3" s="122">
        <f t="shared" si="0"/>
        <v>266.66666666666669</v>
      </c>
      <c r="P3" s="119">
        <v>15</v>
      </c>
      <c r="Q3" s="103">
        <v>4000</v>
      </c>
    </row>
    <row r="4" spans="1:17" x14ac:dyDescent="0.4">
      <c r="A4" s="55" t="s">
        <v>6</v>
      </c>
      <c r="B4" s="156">
        <v>-65.2</v>
      </c>
      <c r="C4" s="157"/>
      <c r="E4" s="63" t="s">
        <v>67</v>
      </c>
      <c r="F4" s="60" t="s">
        <v>23</v>
      </c>
      <c r="G4" s="47">
        <v>21</v>
      </c>
      <c r="H4" s="133">
        <f>IF(B$17=0,0,G4/B$17)</f>
        <v>0.58333333333333337</v>
      </c>
      <c r="I4" s="94">
        <v>9</v>
      </c>
      <c r="K4" s="38">
        <v>2</v>
      </c>
      <c r="L4" s="99">
        <v>19.899999999999999</v>
      </c>
      <c r="N4" s="115" t="s">
        <v>133</v>
      </c>
      <c r="O4" s="122">
        <f t="shared" si="0"/>
        <v>466.66666666666669</v>
      </c>
      <c r="P4" s="119">
        <v>15</v>
      </c>
      <c r="Q4" s="103">
        <v>7000</v>
      </c>
    </row>
    <row r="5" spans="1:17" x14ac:dyDescent="0.4">
      <c r="A5" s="55" t="s">
        <v>7</v>
      </c>
      <c r="B5" s="158">
        <f>IF(B$2=0,0,B$4/B$2)</f>
        <v>-4.3466666666666667</v>
      </c>
      <c r="C5" s="159"/>
      <c r="E5" s="63" t="s">
        <v>68</v>
      </c>
      <c r="F5" s="60" t="s">
        <v>24</v>
      </c>
      <c r="G5" s="47">
        <v>6</v>
      </c>
      <c r="H5" s="133">
        <f>IF(B$17=0,0,G5/B$17)</f>
        <v>0.16666666666666666</v>
      </c>
      <c r="I5" s="94">
        <v>9</v>
      </c>
      <c r="K5" s="38">
        <v>3</v>
      </c>
      <c r="L5" s="99">
        <v>-8.3000000000000007</v>
      </c>
      <c r="N5" s="115" t="s">
        <v>134</v>
      </c>
      <c r="O5" s="122">
        <f t="shared" si="0"/>
        <v>-446.66666666666669</v>
      </c>
      <c r="P5" s="119">
        <v>15</v>
      </c>
      <c r="Q5" s="103">
        <v>-6700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69</v>
      </c>
      <c r="F6" s="60" t="s">
        <v>12</v>
      </c>
      <c r="G6" s="47">
        <v>13</v>
      </c>
      <c r="H6" s="133">
        <f>IF(B$17=0,0,G6/B$17)</f>
        <v>0.3611111111111111</v>
      </c>
      <c r="I6" s="94">
        <v>2</v>
      </c>
      <c r="K6" s="38">
        <v>4</v>
      </c>
      <c r="L6" s="99">
        <v>-30.7</v>
      </c>
      <c r="N6" s="115" t="s">
        <v>135</v>
      </c>
      <c r="O6" s="122">
        <f t="shared" si="0"/>
        <v>-1086.6666666666667</v>
      </c>
      <c r="P6" s="119">
        <v>15</v>
      </c>
      <c r="Q6" s="103">
        <v>-16300</v>
      </c>
    </row>
    <row r="7" spans="1:17" x14ac:dyDescent="0.4">
      <c r="A7" s="55" t="s">
        <v>2</v>
      </c>
      <c r="B7" s="47">
        <v>5</v>
      </c>
      <c r="C7" s="39">
        <f t="shared" ref="C7:C12" si="1">IF(B$2=0,0,B7/B$2)</f>
        <v>0.33333333333333331</v>
      </c>
      <c r="E7" s="63" t="s">
        <v>70</v>
      </c>
      <c r="F7" s="60" t="s">
        <v>25</v>
      </c>
      <c r="G7" s="47">
        <v>10</v>
      </c>
      <c r="H7" s="133">
        <f>IF(B$17=0,0,G7/B$17)</f>
        <v>0.27777777777777779</v>
      </c>
      <c r="I7" s="94">
        <v>1</v>
      </c>
      <c r="K7" s="38">
        <v>5</v>
      </c>
      <c r="L7" s="99">
        <v>-55.8</v>
      </c>
      <c r="N7" s="116" t="s">
        <v>136</v>
      </c>
      <c r="O7" s="123">
        <f t="shared" si="0"/>
        <v>-2666.6666666666665</v>
      </c>
      <c r="P7" s="120">
        <v>12</v>
      </c>
      <c r="Q7" s="104">
        <v>-32000</v>
      </c>
    </row>
    <row r="8" spans="1:17" x14ac:dyDescent="0.4">
      <c r="A8" s="55" t="s">
        <v>3</v>
      </c>
      <c r="B8" s="47">
        <v>5</v>
      </c>
      <c r="C8" s="39">
        <f t="shared" si="1"/>
        <v>0.33333333333333331</v>
      </c>
      <c r="E8" s="63" t="s">
        <v>71</v>
      </c>
      <c r="F8" s="60" t="s">
        <v>26</v>
      </c>
      <c r="G8" s="47">
        <v>5</v>
      </c>
      <c r="H8" s="133">
        <f>IF(B$17=0,0,G8/B$17)</f>
        <v>0.1388888888888889</v>
      </c>
      <c r="I8" s="94">
        <v>2</v>
      </c>
      <c r="K8" s="38">
        <v>6</v>
      </c>
      <c r="L8" s="99">
        <v>-40.799999999999997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5</v>
      </c>
      <c r="C9" s="40">
        <f t="shared" si="1"/>
        <v>0.33333333333333331</v>
      </c>
      <c r="E9" s="63" t="s">
        <v>72</v>
      </c>
      <c r="F9" s="60" t="s">
        <v>27</v>
      </c>
      <c r="G9" s="47">
        <v>5</v>
      </c>
      <c r="H9" s="133">
        <f>IF(B$17=0,0,G9/B$17)</f>
        <v>0.1388888888888889</v>
      </c>
      <c r="I9" s="94">
        <v>1</v>
      </c>
      <c r="K9" s="38">
        <v>7</v>
      </c>
      <c r="L9" s="99">
        <v>-71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20</v>
      </c>
      <c r="H10" s="133">
        <f>IF(B$17=0,0,G10/B$17)</f>
        <v>0.55555555555555558</v>
      </c>
      <c r="I10" s="94">
        <v>6</v>
      </c>
      <c r="K10" s="38">
        <v>8</v>
      </c>
      <c r="L10" s="99">
        <v>-76.900000000000006</v>
      </c>
      <c r="N10" s="114" t="s">
        <v>163</v>
      </c>
      <c r="O10" s="124">
        <f>IF(P10=0,0,Q10/P10)</f>
        <v>-6.58</v>
      </c>
      <c r="P10" s="118">
        <v>5</v>
      </c>
      <c r="Q10" s="106">
        <v>-32.9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-59.500000000000007</v>
      </c>
      <c r="N11" s="115" t="s">
        <v>164</v>
      </c>
      <c r="O11" s="125">
        <f>IF(P11=0,0,Q11/P11)</f>
        <v>-20.824999999999999</v>
      </c>
      <c r="P11" s="119">
        <v>4</v>
      </c>
      <c r="Q11" s="107">
        <v>-83.3</v>
      </c>
    </row>
    <row r="12" spans="1:17" x14ac:dyDescent="0.4">
      <c r="A12" s="57" t="s">
        <v>159</v>
      </c>
      <c r="B12" s="49">
        <v>3</v>
      </c>
      <c r="C12" s="42">
        <f t="shared" si="1"/>
        <v>0.2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3</v>
      </c>
      <c r="K12" s="38">
        <v>10</v>
      </c>
      <c r="L12" s="99">
        <v>-32.700000000000003</v>
      </c>
      <c r="N12" s="116" t="s">
        <v>165</v>
      </c>
      <c r="O12" s="126">
        <f>IF(P12=0,0,Q12/P12)</f>
        <v>8.5</v>
      </c>
      <c r="P12" s="120">
        <v>6</v>
      </c>
      <c r="Q12" s="108">
        <v>51</v>
      </c>
    </row>
    <row r="13" spans="1:17" x14ac:dyDescent="0.4">
      <c r="A13" s="58" t="s">
        <v>122</v>
      </c>
      <c r="B13" s="50">
        <v>27</v>
      </c>
      <c r="C13" s="44">
        <f>IF(B$3=0,0,B13/B$3)</f>
        <v>0.1875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K13" s="38">
        <v>11</v>
      </c>
      <c r="L13" s="99">
        <v>-35.5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37</v>
      </c>
      <c r="C14" s="39">
        <f>IF(B$3=0,0,B14/B$3)</f>
        <v>0.25694444444444442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-59.5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16</v>
      </c>
      <c r="C15" s="37">
        <f>IF(B$13=0,0,B15/B$13)</f>
        <v>0.59259259259259256</v>
      </c>
      <c r="E15" s="63" t="s">
        <v>78</v>
      </c>
      <c r="F15" s="60" t="s">
        <v>33</v>
      </c>
      <c r="G15" s="47">
        <v>1</v>
      </c>
      <c r="H15" s="133">
        <f>IF(B$17=0,0,G15/B$17)</f>
        <v>2.7777777777777776E-2</v>
      </c>
      <c r="I15" s="94">
        <v>1</v>
      </c>
      <c r="K15" s="38">
        <v>13</v>
      </c>
      <c r="L15" s="99">
        <v>-66.2</v>
      </c>
      <c r="N15" s="114" t="s">
        <v>179</v>
      </c>
      <c r="O15" s="124">
        <f>IF(P15=0,0,Q15/P15)</f>
        <v>16.399999999999999</v>
      </c>
      <c r="P15" s="118">
        <v>1</v>
      </c>
      <c r="Q15" s="106">
        <v>16.399999999999999</v>
      </c>
    </row>
    <row r="16" spans="1:17" x14ac:dyDescent="0.4">
      <c r="A16" s="54" t="s">
        <v>125</v>
      </c>
      <c r="B16" s="46">
        <v>10</v>
      </c>
      <c r="C16" s="37">
        <f>IF(B$14=0,0,B16/B$14)</f>
        <v>0.27027027027027029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K16" s="38">
        <v>14</v>
      </c>
      <c r="L16" s="99">
        <v>-51.1</v>
      </c>
      <c r="N16" s="115" t="s">
        <v>128</v>
      </c>
      <c r="O16" s="125">
        <f>IF(P16=0,0,Q16/P16)</f>
        <v>1.7100000000000002</v>
      </c>
      <c r="P16" s="119">
        <v>10</v>
      </c>
      <c r="Q16" s="107">
        <v>17.100000000000001</v>
      </c>
    </row>
    <row r="17" spans="1:17" x14ac:dyDescent="0.4">
      <c r="A17" s="54" t="s">
        <v>10</v>
      </c>
      <c r="B17" s="46">
        <f>B19+B18</f>
        <v>36</v>
      </c>
      <c r="C17" s="37">
        <f>IF(B$3=0,0,B17/B$3)</f>
        <v>0.25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5</v>
      </c>
      <c r="K17" s="38">
        <v>15</v>
      </c>
      <c r="L17" s="99">
        <v>-65.2</v>
      </c>
      <c r="N17" s="115" t="s">
        <v>180</v>
      </c>
      <c r="O17" s="125">
        <f>IF(P17=0,0,Q17/P17)</f>
        <v>-10.475</v>
      </c>
      <c r="P17" s="119">
        <v>4</v>
      </c>
      <c r="Q17" s="107">
        <v>-41.9</v>
      </c>
    </row>
    <row r="18" spans="1:17" x14ac:dyDescent="0.4">
      <c r="A18" s="55" t="s">
        <v>12</v>
      </c>
      <c r="B18" s="47">
        <v>18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182</v>
      </c>
      <c r="O18" s="125">
        <f>IF(P18=0,0,Q18/P18)</f>
        <v>-10.825000000000001</v>
      </c>
      <c r="P18" s="119">
        <v>4</v>
      </c>
      <c r="Q18" s="107">
        <v>-43.300000000000004</v>
      </c>
    </row>
    <row r="19" spans="1:17" x14ac:dyDescent="0.4">
      <c r="A19" s="55" t="s">
        <v>11</v>
      </c>
      <c r="B19" s="47">
        <v>18</v>
      </c>
      <c r="C19" s="39">
        <f>IF(B$17=0,0,B19/B$17)</f>
        <v>0.5</v>
      </c>
      <c r="E19" s="63" t="s">
        <v>82</v>
      </c>
      <c r="F19" s="60" t="s">
        <v>37</v>
      </c>
      <c r="G19" s="47">
        <v>2</v>
      </c>
      <c r="H19" s="133">
        <f>IF(B$17=0,0,G19/B$17)</f>
        <v>5.5555555555555552E-2</v>
      </c>
      <c r="I19" s="94">
        <v>2</v>
      </c>
      <c r="N19" s="115" t="s">
        <v>127</v>
      </c>
      <c r="O19" s="125">
        <f>IF(P19=0,0,Q19/P19)</f>
        <v>-13.081818181818186</v>
      </c>
      <c r="P19" s="119">
        <v>11</v>
      </c>
      <c r="Q19" s="107">
        <v>-143.90000000000003</v>
      </c>
    </row>
    <row r="20" spans="1:17" x14ac:dyDescent="0.4">
      <c r="A20" s="55" t="s">
        <v>13</v>
      </c>
      <c r="B20" s="47">
        <v>25</v>
      </c>
      <c r="C20" s="39">
        <f>IF(B$3=0,0,B20/B$3)</f>
        <v>0.1736111111111111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84</v>
      </c>
      <c r="F21" s="60" t="s">
        <v>39</v>
      </c>
      <c r="G21" s="47">
        <v>3</v>
      </c>
      <c r="H21" s="133">
        <f>IF(B$17=0,0,G21/B$17)</f>
        <v>8.3333333333333329E-2</v>
      </c>
      <c r="I21" s="94">
        <v>3</v>
      </c>
    </row>
    <row r="22" spans="1:17" x14ac:dyDescent="0.4">
      <c r="A22" s="55" t="s">
        <v>171</v>
      </c>
      <c r="B22" s="47">
        <v>17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7527.7777777777774</v>
      </c>
      <c r="C23" s="41">
        <v>271000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-7108</v>
      </c>
      <c r="C24" s="45">
        <v>-177700</v>
      </c>
      <c r="E24" s="63" t="s">
        <v>87</v>
      </c>
      <c r="F24" s="60" t="s">
        <v>42</v>
      </c>
      <c r="G24" s="47">
        <v>1</v>
      </c>
      <c r="H24" s="133">
        <f>IF(B$17=0,0,G24/B$17)</f>
        <v>2.7777777777777776E-2</v>
      </c>
      <c r="I24" s="94">
        <v>9</v>
      </c>
    </row>
    <row r="25" spans="1:17" x14ac:dyDescent="0.4">
      <c r="A25" s="90" t="s">
        <v>141</v>
      </c>
      <c r="B25" s="146">
        <v>3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4">
        <v>51800</v>
      </c>
      <c r="C26" s="145"/>
      <c r="E26" s="63" t="s">
        <v>89</v>
      </c>
      <c r="F26" s="60" t="s">
        <v>44</v>
      </c>
      <c r="G26" s="47">
        <v>1</v>
      </c>
      <c r="H26" s="133">
        <f>IF(B$17=0,0,G26/B$17)</f>
        <v>2.7777777777777776E-2</v>
      </c>
      <c r="I26" s="94">
        <v>1</v>
      </c>
    </row>
    <row r="27" spans="1:17" x14ac:dyDescent="0.4">
      <c r="A27" s="57" t="s">
        <v>142</v>
      </c>
      <c r="B27" s="65">
        <v>2</v>
      </c>
      <c r="C27" s="42">
        <f>IF(B$3=0,0,B27/B$3)</f>
        <v>1.3888888888888888E-2</v>
      </c>
      <c r="E27" s="63" t="s">
        <v>90</v>
      </c>
      <c r="F27" s="60" t="s">
        <v>45</v>
      </c>
      <c r="G27" s="47">
        <v>2</v>
      </c>
      <c r="H27" s="133">
        <f>IF(B$17=0,0,G27/B$17)</f>
        <v>5.5555555555555552E-2</v>
      </c>
      <c r="I27" s="94">
        <v>9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4</v>
      </c>
    </row>
    <row r="51" spans="5:9" x14ac:dyDescent="0.4">
      <c r="E51" s="136" t="s">
        <v>172</v>
      </c>
      <c r="F51" s="137" t="s">
        <v>173</v>
      </c>
      <c r="G51" s="48">
        <v>17</v>
      </c>
      <c r="H51" s="138">
        <f>IF(B$17=0,0,G51/B$17)</f>
        <v>0.47222222222222221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DD9A9-F6B3-4DAF-8E82-0EC2A249DB19}">
  <sheetPr codeName="Sheet9"/>
  <dimension ref="A1:Q52"/>
  <sheetViews>
    <sheetView showGridLines="0" zoomScaleNormal="100" workbookViewId="0">
      <selection activeCell="B8" sqref="B8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127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33</v>
      </c>
      <c r="C2" s="153"/>
      <c r="E2" s="62" t="s">
        <v>65</v>
      </c>
      <c r="F2" s="59" t="s">
        <v>21</v>
      </c>
      <c r="G2" s="46">
        <v>39</v>
      </c>
      <c r="H2" s="132">
        <f>IF(B$17=0,0,G2/B$17)</f>
        <v>0.37864077669902912</v>
      </c>
      <c r="I2" s="93">
        <v>9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-221.21212121212122</v>
      </c>
      <c r="P2" s="118">
        <v>33</v>
      </c>
      <c r="Q2" s="102">
        <v>-7300</v>
      </c>
    </row>
    <row r="3" spans="1:17" x14ac:dyDescent="0.4">
      <c r="A3" s="55" t="s">
        <v>8</v>
      </c>
      <c r="B3" s="154">
        <v>291</v>
      </c>
      <c r="C3" s="155"/>
      <c r="E3" s="63" t="s">
        <v>66</v>
      </c>
      <c r="F3" s="60" t="s">
        <v>22</v>
      </c>
      <c r="G3" s="47">
        <v>9</v>
      </c>
      <c r="H3" s="133">
        <f>IF(B$17=0,0,G3/B$17)</f>
        <v>8.7378640776699032E-2</v>
      </c>
      <c r="I3" s="94">
        <v>6</v>
      </c>
      <c r="K3" s="38">
        <v>1</v>
      </c>
      <c r="L3" s="99">
        <v>50.2</v>
      </c>
      <c r="N3" s="115" t="s">
        <v>132</v>
      </c>
      <c r="O3" s="122">
        <f t="shared" si="0"/>
        <v>-551.61290322580646</v>
      </c>
      <c r="P3" s="119">
        <v>31</v>
      </c>
      <c r="Q3" s="103">
        <v>-17100</v>
      </c>
    </row>
    <row r="4" spans="1:17" x14ac:dyDescent="0.4">
      <c r="A4" s="55" t="s">
        <v>6</v>
      </c>
      <c r="B4" s="156">
        <v>349.19999999999993</v>
      </c>
      <c r="C4" s="157"/>
      <c r="E4" s="63" t="s">
        <v>67</v>
      </c>
      <c r="F4" s="60" t="s">
        <v>23</v>
      </c>
      <c r="G4" s="47">
        <v>52</v>
      </c>
      <c r="H4" s="133">
        <f>IF(B$17=0,0,G4/B$17)</f>
        <v>0.50485436893203883</v>
      </c>
      <c r="I4" s="94">
        <v>10</v>
      </c>
      <c r="K4" s="38">
        <v>2</v>
      </c>
      <c r="L4" s="99">
        <v>14.400000000000006</v>
      </c>
      <c r="N4" s="115" t="s">
        <v>133</v>
      </c>
      <c r="O4" s="122">
        <f t="shared" si="0"/>
        <v>403.22580645161293</v>
      </c>
      <c r="P4" s="119">
        <v>31</v>
      </c>
      <c r="Q4" s="103">
        <v>12500</v>
      </c>
    </row>
    <row r="5" spans="1:17" x14ac:dyDescent="0.4">
      <c r="A5" s="55" t="s">
        <v>7</v>
      </c>
      <c r="B5" s="158">
        <f>IF(B$2=0,0,B$4/B$2)</f>
        <v>10.58181818181818</v>
      </c>
      <c r="C5" s="159"/>
      <c r="E5" s="63" t="s">
        <v>68</v>
      </c>
      <c r="F5" s="60" t="s">
        <v>24</v>
      </c>
      <c r="G5" s="47">
        <v>24</v>
      </c>
      <c r="H5" s="133">
        <f>IF(B$17=0,0,G5/B$17)</f>
        <v>0.23300970873786409</v>
      </c>
      <c r="I5" s="94">
        <v>5</v>
      </c>
      <c r="K5" s="38">
        <v>3</v>
      </c>
      <c r="L5" s="99">
        <v>40.400000000000006</v>
      </c>
      <c r="N5" s="115" t="s">
        <v>134</v>
      </c>
      <c r="O5" s="122">
        <f t="shared" si="0"/>
        <v>-983.33333333333337</v>
      </c>
      <c r="P5" s="119">
        <v>30</v>
      </c>
      <c r="Q5" s="103">
        <v>-29500</v>
      </c>
    </row>
    <row r="6" spans="1:17" x14ac:dyDescent="0.4">
      <c r="A6" s="55" t="s">
        <v>1</v>
      </c>
      <c r="B6" s="148">
        <f>IF(B$2=0,0,(B$7*1+B$8*2+B$9*3)/B$2)</f>
        <v>1.7272727272727273</v>
      </c>
      <c r="C6" s="149"/>
      <c r="E6" s="63" t="s">
        <v>69</v>
      </c>
      <c r="F6" s="60" t="s">
        <v>12</v>
      </c>
      <c r="G6" s="47">
        <v>27</v>
      </c>
      <c r="H6" s="133">
        <f>IF(B$17=0,0,G6/B$17)</f>
        <v>0.26213592233009708</v>
      </c>
      <c r="I6" s="94">
        <v>7</v>
      </c>
      <c r="K6" s="38">
        <v>4</v>
      </c>
      <c r="L6" s="99">
        <v>101.60000000000001</v>
      </c>
      <c r="N6" s="115" t="s">
        <v>135</v>
      </c>
      <c r="O6" s="122">
        <f t="shared" si="0"/>
        <v>5439.2857142857147</v>
      </c>
      <c r="P6" s="119">
        <v>28</v>
      </c>
      <c r="Q6" s="103">
        <v>152300</v>
      </c>
    </row>
    <row r="7" spans="1:17" x14ac:dyDescent="0.4">
      <c r="A7" s="55" t="s">
        <v>2</v>
      </c>
      <c r="B7" s="47">
        <v>17</v>
      </c>
      <c r="C7" s="39">
        <f t="shared" ref="C7:C12" si="1">IF(B$2=0,0,B7/B$2)</f>
        <v>0.51515151515151514</v>
      </c>
      <c r="E7" s="63" t="s">
        <v>70</v>
      </c>
      <c r="F7" s="60" t="s">
        <v>25</v>
      </c>
      <c r="G7" s="47">
        <v>15</v>
      </c>
      <c r="H7" s="133">
        <f>IF(B$17=0,0,G7/B$17)</f>
        <v>0.14563106796116504</v>
      </c>
      <c r="I7" s="94">
        <v>4</v>
      </c>
      <c r="K7" s="38">
        <v>5</v>
      </c>
      <c r="L7" s="99">
        <v>99.9</v>
      </c>
      <c r="N7" s="116" t="s">
        <v>136</v>
      </c>
      <c r="O7" s="123">
        <f t="shared" si="0"/>
        <v>6631.818181818182</v>
      </c>
      <c r="P7" s="120">
        <v>22</v>
      </c>
      <c r="Q7" s="104">
        <v>145900</v>
      </c>
    </row>
    <row r="8" spans="1:17" x14ac:dyDescent="0.4">
      <c r="A8" s="55" t="s">
        <v>3</v>
      </c>
      <c r="B8" s="47">
        <v>8</v>
      </c>
      <c r="C8" s="39">
        <f t="shared" si="1"/>
        <v>0.24242424242424243</v>
      </c>
      <c r="E8" s="63" t="s">
        <v>71</v>
      </c>
      <c r="F8" s="60" t="s">
        <v>26</v>
      </c>
      <c r="G8" s="47">
        <v>7</v>
      </c>
      <c r="H8" s="133">
        <f>IF(B$17=0,0,G8/B$17)</f>
        <v>6.7961165048543687E-2</v>
      </c>
      <c r="I8" s="94">
        <v>7</v>
      </c>
      <c r="K8" s="38">
        <v>6</v>
      </c>
      <c r="L8" s="99">
        <v>85.5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si="1"/>
        <v>0.24242424242424243</v>
      </c>
      <c r="E9" s="63" t="s">
        <v>72</v>
      </c>
      <c r="F9" s="60" t="s">
        <v>27</v>
      </c>
      <c r="G9" s="47">
        <v>7</v>
      </c>
      <c r="H9" s="133">
        <f>IF(B$17=0,0,G9/B$17)</f>
        <v>6.7961165048543687E-2</v>
      </c>
      <c r="I9" s="94">
        <v>4</v>
      </c>
      <c r="K9" s="38">
        <v>7</v>
      </c>
      <c r="L9" s="99">
        <v>113.3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</v>
      </c>
      <c r="C10" s="40">
        <f t="shared" si="1"/>
        <v>3.0303030303030304E-2</v>
      </c>
      <c r="E10" s="63" t="s">
        <v>73</v>
      </c>
      <c r="F10" s="60" t="s">
        <v>28</v>
      </c>
      <c r="G10" s="47">
        <v>51</v>
      </c>
      <c r="H10" s="133">
        <f>IF(B$17=0,0,G10/B$17)</f>
        <v>0.49514563106796117</v>
      </c>
      <c r="I10" s="94">
        <v>9</v>
      </c>
      <c r="K10" s="38">
        <v>8</v>
      </c>
      <c r="L10" s="99">
        <v>148.1</v>
      </c>
      <c r="N10" s="114" t="s">
        <v>163</v>
      </c>
      <c r="O10" s="124">
        <f>IF(P10=0,0,Q10/P10)</f>
        <v>16.928571428571427</v>
      </c>
      <c r="P10" s="118">
        <v>7</v>
      </c>
      <c r="Q10" s="106">
        <v>118.5</v>
      </c>
    </row>
    <row r="11" spans="1:17" x14ac:dyDescent="0.4">
      <c r="A11" s="56" t="s">
        <v>139</v>
      </c>
      <c r="B11" s="48">
        <v>4</v>
      </c>
      <c r="C11" s="40">
        <f t="shared" si="1"/>
        <v>0.12121212121212122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180.89999999999998</v>
      </c>
      <c r="N11" s="115" t="s">
        <v>164</v>
      </c>
      <c r="O11" s="125">
        <f>IF(P11=0,0,Q11/P11)</f>
        <v>9.5466666666666686</v>
      </c>
      <c r="P11" s="119">
        <v>15</v>
      </c>
      <c r="Q11" s="107">
        <v>143.20000000000002</v>
      </c>
    </row>
    <row r="12" spans="1:17" x14ac:dyDescent="0.4">
      <c r="A12" s="57" t="s">
        <v>159</v>
      </c>
      <c r="B12" s="49">
        <v>5</v>
      </c>
      <c r="C12" s="42">
        <f t="shared" si="1"/>
        <v>0.15151515151515152</v>
      </c>
      <c r="E12" s="63" t="s">
        <v>75</v>
      </c>
      <c r="F12" s="60" t="s">
        <v>30</v>
      </c>
      <c r="G12" s="47">
        <v>1</v>
      </c>
      <c r="H12" s="133">
        <f>IF(B$17=0,0,G12/B$17)</f>
        <v>9.7087378640776691E-3</v>
      </c>
      <c r="I12" s="94">
        <v>1</v>
      </c>
      <c r="K12" s="38">
        <v>10</v>
      </c>
      <c r="L12" s="99">
        <v>158.19999999999999</v>
      </c>
      <c r="N12" s="116" t="s">
        <v>165</v>
      </c>
      <c r="O12" s="126">
        <f>IF(P12=0,0,Q12/P12)</f>
        <v>7.9545454545454541</v>
      </c>
      <c r="P12" s="120">
        <v>11</v>
      </c>
      <c r="Q12" s="108">
        <v>87.5</v>
      </c>
    </row>
    <row r="13" spans="1:17" x14ac:dyDescent="0.4">
      <c r="A13" s="58" t="s">
        <v>122</v>
      </c>
      <c r="B13" s="50">
        <v>73</v>
      </c>
      <c r="C13" s="44">
        <f>IF(B$3=0,0,B13/B$3)</f>
        <v>0.25085910652920962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K13" s="38">
        <v>11</v>
      </c>
      <c r="L13" s="99">
        <v>185.2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69</v>
      </c>
      <c r="C14" s="39">
        <f>IF(B$3=0,0,B14/B$3)</f>
        <v>0.23711340206185566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184.89999999999998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44</v>
      </c>
      <c r="C15" s="37">
        <f>IF(B$13=0,0,B15/B$13)</f>
        <v>0.60273972602739723</v>
      </c>
      <c r="E15" s="63" t="s">
        <v>78</v>
      </c>
      <c r="F15" s="60" t="s">
        <v>33</v>
      </c>
      <c r="G15" s="47">
        <v>2</v>
      </c>
      <c r="H15" s="133">
        <f>IF(B$17=0,0,G15/B$17)</f>
        <v>1.9417475728155338E-2</v>
      </c>
      <c r="I15" s="94">
        <v>2</v>
      </c>
      <c r="K15" s="38">
        <v>13</v>
      </c>
      <c r="L15" s="99">
        <v>206.39999999999998</v>
      </c>
      <c r="N15" s="114" t="s">
        <v>182</v>
      </c>
      <c r="O15" s="124">
        <f t="shared" ref="O15:O20" si="2">IF(P15=0,0,Q15/P15)</f>
        <v>43.599999999999994</v>
      </c>
      <c r="P15" s="118">
        <v>2</v>
      </c>
      <c r="Q15" s="106">
        <v>87.199999999999989</v>
      </c>
    </row>
    <row r="16" spans="1:17" x14ac:dyDescent="0.4">
      <c r="A16" s="54" t="s">
        <v>125</v>
      </c>
      <c r="B16" s="46">
        <v>37</v>
      </c>
      <c r="C16" s="37">
        <f>IF(B$14=0,0,B16/B$14)</f>
        <v>0.53623188405797106</v>
      </c>
      <c r="E16" s="63" t="s">
        <v>79</v>
      </c>
      <c r="F16" s="60" t="s">
        <v>34</v>
      </c>
      <c r="G16" s="47">
        <v>3</v>
      </c>
      <c r="H16" s="133">
        <f>IF(B$17=0,0,G16/B$17)</f>
        <v>2.9126213592233011E-2</v>
      </c>
      <c r="I16" s="94">
        <v>6</v>
      </c>
      <c r="K16" s="38">
        <v>14</v>
      </c>
      <c r="L16" s="99">
        <v>240.09999999999997</v>
      </c>
      <c r="N16" s="115" t="s">
        <v>180</v>
      </c>
      <c r="O16" s="125">
        <f t="shared" si="2"/>
        <v>38.118181818181817</v>
      </c>
      <c r="P16" s="119">
        <v>11</v>
      </c>
      <c r="Q16" s="107">
        <v>419.3</v>
      </c>
    </row>
    <row r="17" spans="1:17" x14ac:dyDescent="0.4">
      <c r="A17" s="54" t="s">
        <v>10</v>
      </c>
      <c r="B17" s="46">
        <f>B19+B18</f>
        <v>103</v>
      </c>
      <c r="C17" s="37">
        <f>IF(B$3=0,0,B17/B$3)</f>
        <v>0.35395189003436428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5</v>
      </c>
      <c r="K17" s="38">
        <v>15</v>
      </c>
      <c r="L17" s="99">
        <v>269.49999999999994</v>
      </c>
      <c r="N17" s="115" t="s">
        <v>179</v>
      </c>
      <c r="O17" s="125">
        <f t="shared" si="2"/>
        <v>29.966666666666672</v>
      </c>
      <c r="P17" s="119">
        <v>6</v>
      </c>
      <c r="Q17" s="107">
        <v>179.80000000000004</v>
      </c>
    </row>
    <row r="18" spans="1:17" x14ac:dyDescent="0.4">
      <c r="A18" s="55" t="s">
        <v>12</v>
      </c>
      <c r="B18" s="47">
        <v>44</v>
      </c>
      <c r="C18" s="39">
        <f>IF(B$17=0,0,B18/B$17)</f>
        <v>0.42718446601941745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323.69999999999993</v>
      </c>
      <c r="N18" s="115" t="s">
        <v>167</v>
      </c>
      <c r="O18" s="125">
        <f t="shared" si="2"/>
        <v>13.08181818181818</v>
      </c>
      <c r="P18" s="119">
        <v>11</v>
      </c>
      <c r="Q18" s="107">
        <v>143.89999999999998</v>
      </c>
    </row>
    <row r="19" spans="1:17" x14ac:dyDescent="0.4">
      <c r="A19" s="55" t="s">
        <v>11</v>
      </c>
      <c r="B19" s="47">
        <v>59</v>
      </c>
      <c r="C19" s="39">
        <f>IF(B$17=0,0,B19/B$17)</f>
        <v>0.57281553398058249</v>
      </c>
      <c r="E19" s="63" t="s">
        <v>82</v>
      </c>
      <c r="F19" s="60" t="s">
        <v>37</v>
      </c>
      <c r="G19" s="47">
        <v>1</v>
      </c>
      <c r="H19" s="133">
        <f>IF(B$17=0,0,G19/B$17)</f>
        <v>9.7087378640776691E-3</v>
      </c>
      <c r="I19" s="94">
        <v>7</v>
      </c>
      <c r="K19" s="38">
        <v>17</v>
      </c>
      <c r="L19" s="99">
        <v>359.09999999999991</v>
      </c>
      <c r="N19" s="115" t="s">
        <v>128</v>
      </c>
      <c r="O19" s="125">
        <f t="shared" si="2"/>
        <v>10.009999999999998</v>
      </c>
      <c r="P19" s="119">
        <v>30</v>
      </c>
      <c r="Q19" s="107">
        <v>300.29999999999995</v>
      </c>
    </row>
    <row r="20" spans="1:17" x14ac:dyDescent="0.4">
      <c r="A20" s="55" t="s">
        <v>13</v>
      </c>
      <c r="B20" s="47">
        <v>38</v>
      </c>
      <c r="C20" s="39">
        <f>IF(B$3=0,0,B20/B$3)</f>
        <v>0.13058419243986255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352.39999999999992</v>
      </c>
      <c r="N20" s="115" t="s">
        <v>178</v>
      </c>
      <c r="O20" s="125">
        <f t="shared" si="2"/>
        <v>-13.816666666666668</v>
      </c>
      <c r="P20" s="119">
        <v>6</v>
      </c>
      <c r="Q20" s="107">
        <v>-82.9</v>
      </c>
    </row>
    <row r="21" spans="1:17" x14ac:dyDescent="0.4">
      <c r="A21" s="55" t="s">
        <v>170</v>
      </c>
      <c r="B21" s="47">
        <v>5</v>
      </c>
      <c r="C21" s="135">
        <v>0</v>
      </c>
      <c r="E21" s="63" t="s">
        <v>84</v>
      </c>
      <c r="F21" s="60" t="s">
        <v>39</v>
      </c>
      <c r="G21" s="47">
        <v>6</v>
      </c>
      <c r="H21" s="133">
        <f>IF(B$17=0,0,G21/B$17)</f>
        <v>5.8252427184466021E-2</v>
      </c>
      <c r="I21" s="94">
        <v>7</v>
      </c>
      <c r="K21" s="38">
        <v>19</v>
      </c>
      <c r="L21" s="99">
        <v>383.19999999999993</v>
      </c>
    </row>
    <row r="22" spans="1:17" x14ac:dyDescent="0.4">
      <c r="A22" s="55" t="s">
        <v>171</v>
      </c>
      <c r="B22" s="47">
        <v>27</v>
      </c>
      <c r="C22" s="135">
        <v>21</v>
      </c>
      <c r="E22" s="63" t="s">
        <v>85</v>
      </c>
      <c r="F22" s="60" t="s">
        <v>40</v>
      </c>
      <c r="G22" s="47">
        <v>2</v>
      </c>
      <c r="H22" s="133">
        <f>IF(B$17=0,0,G22/B$17)</f>
        <v>1.9417475728155338E-2</v>
      </c>
      <c r="I22" s="94">
        <v>1</v>
      </c>
      <c r="K22" s="38">
        <v>20</v>
      </c>
      <c r="L22" s="99">
        <v>365.49999999999994</v>
      </c>
    </row>
    <row r="23" spans="1:17" x14ac:dyDescent="0.4">
      <c r="A23" s="55" t="s">
        <v>5</v>
      </c>
      <c r="B23" s="51">
        <f>IF(B$17=0,0,C23/B$17)</f>
        <v>7918.4466019417478</v>
      </c>
      <c r="C23" s="41">
        <v>815600</v>
      </c>
      <c r="E23" s="63" t="s">
        <v>86</v>
      </c>
      <c r="F23" s="60" t="s">
        <v>41</v>
      </c>
      <c r="G23" s="47">
        <v>1</v>
      </c>
      <c r="H23" s="133">
        <f>IF(B$17=0,0,G23/B$17)</f>
        <v>9.7087378640776691E-3</v>
      </c>
      <c r="I23" s="94">
        <v>3</v>
      </c>
      <c r="K23" s="38">
        <v>21</v>
      </c>
      <c r="L23" s="99">
        <v>371.39999999999992</v>
      </c>
    </row>
    <row r="24" spans="1:17" x14ac:dyDescent="0.4">
      <c r="A24" s="57" t="s">
        <v>14</v>
      </c>
      <c r="B24" s="52">
        <f>IF(B$20=0,0,C24/B$20)</f>
        <v>-7636.8421052631575</v>
      </c>
      <c r="C24" s="45">
        <v>-290200</v>
      </c>
      <c r="E24" s="63" t="s">
        <v>87</v>
      </c>
      <c r="F24" s="60" t="s">
        <v>42</v>
      </c>
      <c r="G24" s="47">
        <v>4</v>
      </c>
      <c r="H24" s="133">
        <f>IF(B$17=0,0,G24/B$17)</f>
        <v>3.8834951456310676E-2</v>
      </c>
      <c r="I24" s="94">
        <v>8</v>
      </c>
      <c r="K24" s="38">
        <v>22</v>
      </c>
      <c r="L24" s="99">
        <v>414.2999999999999</v>
      </c>
    </row>
    <row r="25" spans="1:17" x14ac:dyDescent="0.4">
      <c r="A25" s="90" t="s">
        <v>141</v>
      </c>
      <c r="B25" s="146">
        <v>6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  <c r="K25" s="38">
        <v>23</v>
      </c>
      <c r="L25" s="99">
        <v>356.2999999999999</v>
      </c>
    </row>
    <row r="26" spans="1:17" x14ac:dyDescent="0.4">
      <c r="A26" s="58" t="s">
        <v>151</v>
      </c>
      <c r="B26" s="144">
        <v>86200</v>
      </c>
      <c r="C26" s="145"/>
      <c r="E26" s="63" t="s">
        <v>89</v>
      </c>
      <c r="F26" s="60" t="s">
        <v>44</v>
      </c>
      <c r="G26" s="47">
        <v>1</v>
      </c>
      <c r="H26" s="133">
        <f>IF(B$17=0,0,G26/B$17)</f>
        <v>9.7087378640776691E-3</v>
      </c>
      <c r="I26" s="94">
        <v>2</v>
      </c>
      <c r="K26" s="38">
        <v>24</v>
      </c>
      <c r="L26" s="99">
        <v>329.89999999999992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17</v>
      </c>
      <c r="H27" s="133">
        <f>IF(B$17=0,0,G27/B$17)</f>
        <v>0.1650485436893204</v>
      </c>
      <c r="I27" s="94">
        <v>2</v>
      </c>
      <c r="K27" s="38">
        <v>25</v>
      </c>
      <c r="L27" s="99">
        <v>294.99999999999994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9.7087378640776691E-3</v>
      </c>
      <c r="I28" s="94">
        <v>1</v>
      </c>
      <c r="K28" s="38">
        <v>26</v>
      </c>
      <c r="L28" s="99">
        <v>329.29999999999995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9.7087378640776691E-3</v>
      </c>
      <c r="I29" s="94">
        <v>4</v>
      </c>
      <c r="K29" s="38">
        <v>27</v>
      </c>
      <c r="L29" s="99">
        <v>342.69999999999993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1.9417475728155338E-2</v>
      </c>
      <c r="I30" s="94">
        <v>2</v>
      </c>
      <c r="K30" s="38">
        <v>28</v>
      </c>
      <c r="L30" s="99">
        <v>347.99999999999994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307.69999999999993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286.39999999999992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9.7087378640776691E-3</v>
      </c>
      <c r="I33" s="94">
        <v>1</v>
      </c>
      <c r="K33" s="38">
        <v>31</v>
      </c>
      <c r="L33" s="99">
        <v>319.49999999999994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349.39999999999992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349.19999999999993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4</v>
      </c>
      <c r="H50" s="133">
        <f>IF(B$17=0,0,G50/B$17)</f>
        <v>3.8834951456310676E-2</v>
      </c>
      <c r="I50" s="94">
        <v>1</v>
      </c>
    </row>
    <row r="51" spans="5:9" x14ac:dyDescent="0.4">
      <c r="E51" s="136" t="s">
        <v>172</v>
      </c>
      <c r="F51" s="137" t="s">
        <v>173</v>
      </c>
      <c r="G51" s="48">
        <v>31</v>
      </c>
      <c r="H51" s="138">
        <f>IF(B$17=0,0,G51/B$17)</f>
        <v>0.30097087378640774</v>
      </c>
      <c r="I51" s="139">
        <v>8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E8546-6488-42B1-BC55-9078E526E9BA}">
  <sheetPr codeName="Sheet11"/>
  <dimension ref="A1:Q52"/>
  <sheetViews>
    <sheetView showGridLines="0" zoomScaleNormal="100" workbookViewId="0">
      <selection activeCell="G10" sqref="G10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128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38</v>
      </c>
      <c r="C2" s="153"/>
      <c r="E2" s="62" t="s">
        <v>65</v>
      </c>
      <c r="F2" s="59" t="s">
        <v>21</v>
      </c>
      <c r="G2" s="46">
        <v>42</v>
      </c>
      <c r="H2" s="132">
        <f>IF(B$17=0,0,G2/B$17)</f>
        <v>0.39622641509433965</v>
      </c>
      <c r="I2" s="93">
        <v>7</v>
      </c>
      <c r="K2" s="36">
        <v>0</v>
      </c>
      <c r="L2" s="98">
        <v>0</v>
      </c>
      <c r="N2" s="114" t="s">
        <v>131</v>
      </c>
      <c r="O2" s="121">
        <f t="shared" ref="O2:O7" si="0">IF(P2=0,0,Q2/P2)</f>
        <v>839.47368421052636</v>
      </c>
      <c r="P2" s="118">
        <v>38</v>
      </c>
      <c r="Q2" s="102">
        <v>31900</v>
      </c>
    </row>
    <row r="3" spans="1:17" x14ac:dyDescent="0.4">
      <c r="A3" s="55" t="s">
        <v>8</v>
      </c>
      <c r="B3" s="154">
        <v>334</v>
      </c>
      <c r="C3" s="155"/>
      <c r="E3" s="63" t="s">
        <v>66</v>
      </c>
      <c r="F3" s="60" t="s">
        <v>22</v>
      </c>
      <c r="G3" s="47">
        <v>8</v>
      </c>
      <c r="H3" s="133">
        <f>IF(B$17=0,0,G3/B$17)</f>
        <v>7.5471698113207544E-2</v>
      </c>
      <c r="I3" s="94">
        <v>7</v>
      </c>
      <c r="K3" s="38">
        <v>1</v>
      </c>
      <c r="L3" s="99">
        <v>-45.6</v>
      </c>
      <c r="N3" s="115" t="s">
        <v>132</v>
      </c>
      <c r="O3" s="122">
        <f t="shared" si="0"/>
        <v>766.66666666666663</v>
      </c>
      <c r="P3" s="119">
        <v>36</v>
      </c>
      <c r="Q3" s="103">
        <v>27600</v>
      </c>
    </row>
    <row r="4" spans="1:17" x14ac:dyDescent="0.4">
      <c r="A4" s="55" t="s">
        <v>6</v>
      </c>
      <c r="B4" s="156">
        <v>110.89999999999993</v>
      </c>
      <c r="C4" s="157"/>
      <c r="E4" s="63" t="s">
        <v>67</v>
      </c>
      <c r="F4" s="60" t="s">
        <v>23</v>
      </c>
      <c r="G4" s="47">
        <v>110</v>
      </c>
      <c r="H4" s="133">
        <f>IF(B$17=0,0,G4/B$17)</f>
        <v>1.0377358490566038</v>
      </c>
      <c r="I4" s="94">
        <v>2</v>
      </c>
      <c r="K4" s="38">
        <v>2</v>
      </c>
      <c r="L4" s="99">
        <v>-34.299999999999997</v>
      </c>
      <c r="N4" s="115" t="s">
        <v>133</v>
      </c>
      <c r="O4" s="122">
        <f t="shared" si="0"/>
        <v>2611.4285714285716</v>
      </c>
      <c r="P4" s="119">
        <v>35</v>
      </c>
      <c r="Q4" s="103">
        <v>91400</v>
      </c>
    </row>
    <row r="5" spans="1:17" x14ac:dyDescent="0.4">
      <c r="A5" s="55" t="s">
        <v>7</v>
      </c>
      <c r="B5" s="158">
        <f>IF(B$2=0,0,B$4/B$2)</f>
        <v>2.9184210526315773</v>
      </c>
      <c r="C5" s="159"/>
      <c r="E5" s="63" t="s">
        <v>68</v>
      </c>
      <c r="F5" s="60" t="s">
        <v>24</v>
      </c>
      <c r="G5" s="47">
        <v>24</v>
      </c>
      <c r="H5" s="133">
        <f>IF(B$17=0,0,G5/B$17)</f>
        <v>0.22641509433962265</v>
      </c>
      <c r="I5" s="94">
        <v>6</v>
      </c>
      <c r="K5" s="38">
        <v>3</v>
      </c>
      <c r="L5" s="99">
        <v>-58.599999999999994</v>
      </c>
      <c r="N5" s="115" t="s">
        <v>134</v>
      </c>
      <c r="O5" s="122">
        <f t="shared" si="0"/>
        <v>2679.4117647058824</v>
      </c>
      <c r="P5" s="119">
        <v>34</v>
      </c>
      <c r="Q5" s="103">
        <v>91100</v>
      </c>
    </row>
    <row r="6" spans="1:17" x14ac:dyDescent="0.4">
      <c r="A6" s="55" t="s">
        <v>1</v>
      </c>
      <c r="B6" s="148">
        <f>IF(B$2=0,0,(B$7*1+B$8*2+B$9*3)/B$2)</f>
        <v>1.9473684210526316</v>
      </c>
      <c r="C6" s="149"/>
      <c r="E6" s="63" t="s">
        <v>69</v>
      </c>
      <c r="F6" s="60" t="s">
        <v>12</v>
      </c>
      <c r="G6" s="47">
        <v>30</v>
      </c>
      <c r="H6" s="133">
        <f>IF(B$17=0,0,G6/B$17)</f>
        <v>0.28301886792452829</v>
      </c>
      <c r="I6" s="94">
        <v>6</v>
      </c>
      <c r="K6" s="38">
        <v>4</v>
      </c>
      <c r="L6" s="99">
        <v>-38.099999999999994</v>
      </c>
      <c r="N6" s="115" t="s">
        <v>135</v>
      </c>
      <c r="O6" s="122">
        <f t="shared" si="0"/>
        <v>-3151.6129032258063</v>
      </c>
      <c r="P6" s="119">
        <v>31</v>
      </c>
      <c r="Q6" s="103">
        <v>-97700</v>
      </c>
    </row>
    <row r="7" spans="1:17" x14ac:dyDescent="0.4">
      <c r="A7" s="55" t="s">
        <v>2</v>
      </c>
      <c r="B7" s="47">
        <v>12</v>
      </c>
      <c r="C7" s="39">
        <f t="shared" ref="C7:C12" si="1">IF(B$2=0,0,B7/B$2)</f>
        <v>0.31578947368421051</v>
      </c>
      <c r="E7" s="63" t="s">
        <v>70</v>
      </c>
      <c r="F7" s="60" t="s">
        <v>25</v>
      </c>
      <c r="G7" s="47">
        <v>8</v>
      </c>
      <c r="H7" s="133">
        <f>IF(B$17=0,0,G7/B$17)</f>
        <v>7.5471698113207544E-2</v>
      </c>
      <c r="I7" s="94">
        <v>7</v>
      </c>
      <c r="K7" s="38">
        <v>5</v>
      </c>
      <c r="L7" s="99">
        <v>-11.299999999999994</v>
      </c>
      <c r="N7" s="116" t="s">
        <v>136</v>
      </c>
      <c r="O7" s="123">
        <f t="shared" si="0"/>
        <v>-3073.913043478261</v>
      </c>
      <c r="P7" s="120">
        <v>23</v>
      </c>
      <c r="Q7" s="104">
        <v>-70700</v>
      </c>
    </row>
    <row r="8" spans="1:17" x14ac:dyDescent="0.4">
      <c r="A8" s="55" t="s">
        <v>3</v>
      </c>
      <c r="B8" s="47">
        <v>16</v>
      </c>
      <c r="C8" s="39">
        <f t="shared" si="1"/>
        <v>0.42105263157894735</v>
      </c>
      <c r="E8" s="63" t="s">
        <v>71</v>
      </c>
      <c r="F8" s="60" t="s">
        <v>26</v>
      </c>
      <c r="G8" s="47">
        <v>3</v>
      </c>
      <c r="H8" s="133">
        <f>IF(B$17=0,0,G8/B$17)</f>
        <v>2.8301886792452831E-2</v>
      </c>
      <c r="I8" s="94">
        <v>9</v>
      </c>
      <c r="K8" s="38">
        <v>6</v>
      </c>
      <c r="L8" s="99">
        <v>-11.899999999999993</v>
      </c>
      <c r="N8" s="43"/>
      <c r="O8" s="127"/>
      <c r="P8" s="111"/>
      <c r="Q8" s="109"/>
    </row>
    <row r="9" spans="1:17" x14ac:dyDescent="0.4">
      <c r="A9" s="56" t="s">
        <v>4</v>
      </c>
      <c r="B9" s="48">
        <v>10</v>
      </c>
      <c r="C9" s="40">
        <f t="shared" si="1"/>
        <v>0.26315789473684209</v>
      </c>
      <c r="E9" s="63" t="s">
        <v>72</v>
      </c>
      <c r="F9" s="60" t="s">
        <v>27</v>
      </c>
      <c r="G9" s="47">
        <v>3</v>
      </c>
      <c r="H9" s="133">
        <f>IF(B$17=0,0,G9/B$17)</f>
        <v>2.8301886792452831E-2</v>
      </c>
      <c r="I9" s="94">
        <v>7</v>
      </c>
      <c r="K9" s="38">
        <v>7</v>
      </c>
      <c r="L9" s="99">
        <v>-9.4999999999999929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5</v>
      </c>
      <c r="C10" s="40">
        <f t="shared" si="1"/>
        <v>0.13157894736842105</v>
      </c>
      <c r="E10" s="63" t="s">
        <v>73</v>
      </c>
      <c r="F10" s="60" t="s">
        <v>28</v>
      </c>
      <c r="G10" s="47">
        <v>71</v>
      </c>
      <c r="H10" s="133">
        <f>IF(B$17=0,0,G10/B$17)</f>
        <v>0.66981132075471694</v>
      </c>
      <c r="I10" s="94">
        <v>3</v>
      </c>
      <c r="K10" s="38">
        <v>8</v>
      </c>
      <c r="L10" s="99">
        <v>-56.79999999999999</v>
      </c>
      <c r="N10" s="114" t="s">
        <v>163</v>
      </c>
      <c r="O10" s="124">
        <f>IF(P10=0,0,Q10/P10)</f>
        <v>10.054545454545455</v>
      </c>
      <c r="P10" s="118">
        <v>11</v>
      </c>
      <c r="Q10" s="106">
        <v>110.60000000000001</v>
      </c>
    </row>
    <row r="11" spans="1:17" x14ac:dyDescent="0.4">
      <c r="A11" s="56" t="s">
        <v>139</v>
      </c>
      <c r="B11" s="48">
        <v>6</v>
      </c>
      <c r="C11" s="40">
        <f t="shared" si="1"/>
        <v>0.15789473684210525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-83.699999999999989</v>
      </c>
      <c r="N11" s="115" t="s">
        <v>164</v>
      </c>
      <c r="O11" s="125">
        <f>IF(P11=0,0,Q11/P11)</f>
        <v>3.2699999999999996</v>
      </c>
      <c r="P11" s="119">
        <v>10</v>
      </c>
      <c r="Q11" s="107">
        <v>32.699999999999996</v>
      </c>
    </row>
    <row r="12" spans="1:17" x14ac:dyDescent="0.4">
      <c r="A12" s="57" t="s">
        <v>159</v>
      </c>
      <c r="B12" s="49">
        <v>8</v>
      </c>
      <c r="C12" s="42">
        <f t="shared" si="1"/>
        <v>0.21052631578947367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3</v>
      </c>
      <c r="K12" s="38">
        <v>10</v>
      </c>
      <c r="L12" s="99">
        <v>-78.399999999999991</v>
      </c>
      <c r="N12" s="116" t="s">
        <v>165</v>
      </c>
      <c r="O12" s="126">
        <f>IF(P12=0,0,Q12/P12)</f>
        <v>-1.9058823529411759</v>
      </c>
      <c r="P12" s="120">
        <v>17</v>
      </c>
      <c r="Q12" s="108">
        <v>-32.399999999999991</v>
      </c>
    </row>
    <row r="13" spans="1:17" x14ac:dyDescent="0.4">
      <c r="A13" s="58" t="s">
        <v>122</v>
      </c>
      <c r="B13" s="50">
        <v>71</v>
      </c>
      <c r="C13" s="44">
        <f>IF(B$3=0,0,B13/B$3)</f>
        <v>0.21257485029940121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K13" s="38">
        <v>11</v>
      </c>
      <c r="L13" s="99">
        <v>-68.099999999999994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112</v>
      </c>
      <c r="C14" s="39">
        <f>IF(B$3=0,0,B14/B$3)</f>
        <v>0.33532934131736525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-89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40</v>
      </c>
      <c r="C15" s="37">
        <f>IF(B$13=0,0,B15/B$13)</f>
        <v>0.56338028169014087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K15" s="38">
        <v>13</v>
      </c>
      <c r="L15" s="99">
        <v>-86.8</v>
      </c>
      <c r="N15" s="114" t="s">
        <v>196</v>
      </c>
      <c r="O15" s="124">
        <f t="shared" ref="O15:O22" si="2">IF(P15=0,0,Q15/P15)</f>
        <v>75.3</v>
      </c>
      <c r="P15" s="118">
        <v>2</v>
      </c>
      <c r="Q15" s="106">
        <v>150.6</v>
      </c>
    </row>
    <row r="16" spans="1:17" x14ac:dyDescent="0.4">
      <c r="A16" s="54" t="s">
        <v>125</v>
      </c>
      <c r="B16" s="46">
        <v>46</v>
      </c>
      <c r="C16" s="37">
        <f>IF(B$14=0,0,B16/B$14)</f>
        <v>0.4107142857142857</v>
      </c>
      <c r="E16" s="63" t="s">
        <v>79</v>
      </c>
      <c r="F16" s="60" t="s">
        <v>34</v>
      </c>
      <c r="G16" s="47">
        <v>4</v>
      </c>
      <c r="H16" s="133">
        <f>IF(B$17=0,0,G16/B$17)</f>
        <v>3.7735849056603772E-2</v>
      </c>
      <c r="I16" s="94">
        <v>4</v>
      </c>
      <c r="K16" s="38">
        <v>14</v>
      </c>
      <c r="L16" s="99">
        <v>-138.4</v>
      </c>
      <c r="N16" s="115" t="s">
        <v>183</v>
      </c>
      <c r="O16" s="125">
        <f t="shared" si="2"/>
        <v>32.799999999999997</v>
      </c>
      <c r="P16" s="119">
        <v>2</v>
      </c>
      <c r="Q16" s="107">
        <v>65.599999999999994</v>
      </c>
    </row>
    <row r="17" spans="1:17" x14ac:dyDescent="0.4">
      <c r="A17" s="54" t="s">
        <v>10</v>
      </c>
      <c r="B17" s="46">
        <f>B19+B18</f>
        <v>106</v>
      </c>
      <c r="C17" s="37">
        <f>IF(B$3=0,0,B17/B$3)</f>
        <v>0.31736526946107785</v>
      </c>
      <c r="E17" s="63" t="s">
        <v>80</v>
      </c>
      <c r="F17" s="60" t="s">
        <v>35</v>
      </c>
      <c r="G17" s="47">
        <v>2</v>
      </c>
      <c r="H17" s="133">
        <f>IF(B$17=0,0,G17/B$17)</f>
        <v>1.8867924528301886E-2</v>
      </c>
      <c r="I17" s="94">
        <v>3</v>
      </c>
      <c r="K17" s="38">
        <v>15</v>
      </c>
      <c r="L17" s="99">
        <v>-144.30000000000001</v>
      </c>
      <c r="N17" s="115" t="s">
        <v>179</v>
      </c>
      <c r="O17" s="125">
        <f t="shared" si="2"/>
        <v>22.281818181818185</v>
      </c>
      <c r="P17" s="119">
        <v>11</v>
      </c>
      <c r="Q17" s="107">
        <v>245.10000000000005</v>
      </c>
    </row>
    <row r="18" spans="1:17" x14ac:dyDescent="0.4">
      <c r="A18" s="55" t="s">
        <v>12</v>
      </c>
      <c r="B18" s="47">
        <v>39</v>
      </c>
      <c r="C18" s="39">
        <f>IF(B$17=0,0,B18/B$17)</f>
        <v>0.36792452830188677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-187.3</v>
      </c>
      <c r="N18" s="115" t="s">
        <v>178</v>
      </c>
      <c r="O18" s="125">
        <f t="shared" si="2"/>
        <v>10.787499999999998</v>
      </c>
      <c r="P18" s="119">
        <v>8</v>
      </c>
      <c r="Q18" s="107">
        <v>86.299999999999983</v>
      </c>
    </row>
    <row r="19" spans="1:17" x14ac:dyDescent="0.4">
      <c r="A19" s="55" t="s">
        <v>11</v>
      </c>
      <c r="B19" s="47">
        <v>67</v>
      </c>
      <c r="C19" s="39">
        <f>IF(B$17=0,0,B19/B$17)</f>
        <v>0.63207547169811318</v>
      </c>
      <c r="E19" s="63" t="s">
        <v>82</v>
      </c>
      <c r="F19" s="60" t="s">
        <v>37</v>
      </c>
      <c r="G19" s="47">
        <v>1</v>
      </c>
      <c r="H19" s="133">
        <f>IF(B$17=0,0,G19/B$17)</f>
        <v>9.433962264150943E-3</v>
      </c>
      <c r="I19" s="94">
        <v>8</v>
      </c>
      <c r="K19" s="38">
        <v>17</v>
      </c>
      <c r="L19" s="99">
        <v>-179.70000000000002</v>
      </c>
      <c r="N19" s="115" t="s">
        <v>180</v>
      </c>
      <c r="O19" s="125">
        <f t="shared" si="2"/>
        <v>10.424999999999999</v>
      </c>
      <c r="P19" s="119">
        <v>12</v>
      </c>
      <c r="Q19" s="107">
        <v>125.1</v>
      </c>
    </row>
    <row r="20" spans="1:17" x14ac:dyDescent="0.4">
      <c r="A20" s="55" t="s">
        <v>13</v>
      </c>
      <c r="B20" s="47">
        <v>65</v>
      </c>
      <c r="C20" s="39">
        <f>IF(B$3=0,0,B20/B$3)</f>
        <v>0.19461077844311378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-112.90000000000002</v>
      </c>
      <c r="N20" s="115" t="s">
        <v>167</v>
      </c>
      <c r="O20" s="125">
        <f t="shared" si="2"/>
        <v>-1.7100000000000009</v>
      </c>
      <c r="P20" s="119">
        <v>10</v>
      </c>
      <c r="Q20" s="107">
        <v>-17.100000000000009</v>
      </c>
    </row>
    <row r="21" spans="1:17" x14ac:dyDescent="0.4">
      <c r="A21" s="55" t="s">
        <v>170</v>
      </c>
      <c r="B21" s="47">
        <v>7</v>
      </c>
      <c r="C21" s="135">
        <v>0</v>
      </c>
      <c r="E21" s="63" t="s">
        <v>84</v>
      </c>
      <c r="F21" s="60" t="s">
        <v>39</v>
      </c>
      <c r="G21" s="47">
        <v>4</v>
      </c>
      <c r="H21" s="133">
        <f>IF(B$17=0,0,G21/B$17)</f>
        <v>3.7735849056603772E-2</v>
      </c>
      <c r="I21" s="94">
        <v>8</v>
      </c>
      <c r="K21" s="38">
        <v>19</v>
      </c>
      <c r="L21" s="99">
        <v>-162.40000000000003</v>
      </c>
      <c r="N21" s="115" t="s">
        <v>127</v>
      </c>
      <c r="O21" s="125">
        <f t="shared" si="2"/>
        <v>-10.009999999999996</v>
      </c>
      <c r="P21" s="119">
        <v>30</v>
      </c>
      <c r="Q21" s="107">
        <v>-300.2999999999999</v>
      </c>
    </row>
    <row r="22" spans="1:17" x14ac:dyDescent="0.4">
      <c r="A22" s="55" t="s">
        <v>171</v>
      </c>
      <c r="B22" s="47">
        <v>23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-96.000000000000028</v>
      </c>
      <c r="N22" s="115" t="s">
        <v>182</v>
      </c>
      <c r="O22" s="125">
        <f t="shared" si="2"/>
        <v>-22.6</v>
      </c>
      <c r="P22" s="119">
        <v>1</v>
      </c>
      <c r="Q22" s="107">
        <v>-22.6</v>
      </c>
    </row>
    <row r="23" spans="1:17" x14ac:dyDescent="0.4">
      <c r="A23" s="55" t="s">
        <v>5</v>
      </c>
      <c r="B23" s="51">
        <f>IF(B$17=0,0,C23/B$17)</f>
        <v>8576.4150943396235</v>
      </c>
      <c r="C23" s="41">
        <v>909100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-67.200000000000031</v>
      </c>
    </row>
    <row r="24" spans="1:17" x14ac:dyDescent="0.4">
      <c r="A24" s="57" t="s">
        <v>14</v>
      </c>
      <c r="B24" s="52">
        <f>IF(B$20=0,0,C24/B$20)</f>
        <v>-7552.3076923076924</v>
      </c>
      <c r="C24" s="45">
        <v>-490900</v>
      </c>
      <c r="E24" s="63" t="s">
        <v>87</v>
      </c>
      <c r="F24" s="60" t="s">
        <v>42</v>
      </c>
      <c r="G24" s="47">
        <v>7</v>
      </c>
      <c r="H24" s="133">
        <f>IF(B$17=0,0,G24/B$17)</f>
        <v>6.6037735849056603E-2</v>
      </c>
      <c r="I24" s="94">
        <v>3</v>
      </c>
      <c r="K24" s="38">
        <v>22</v>
      </c>
      <c r="L24" s="99">
        <v>-66.400000000000034</v>
      </c>
    </row>
    <row r="25" spans="1:17" x14ac:dyDescent="0.4">
      <c r="A25" s="90" t="s">
        <v>141</v>
      </c>
      <c r="B25" s="146">
        <v>5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  <c r="K25" s="38">
        <v>23</v>
      </c>
      <c r="L25" s="99">
        <v>-66.400000000000034</v>
      </c>
    </row>
    <row r="26" spans="1:17" x14ac:dyDescent="0.4">
      <c r="A26" s="58" t="s">
        <v>151</v>
      </c>
      <c r="B26" s="144">
        <v>91800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-39.500000000000036</v>
      </c>
    </row>
    <row r="27" spans="1:17" x14ac:dyDescent="0.4">
      <c r="A27" s="57" t="s">
        <v>142</v>
      </c>
      <c r="B27" s="65">
        <v>1</v>
      </c>
      <c r="C27" s="42">
        <f>IF(B$3=0,0,B27/B$3)</f>
        <v>2.9940119760479044E-3</v>
      </c>
      <c r="E27" s="63" t="s">
        <v>90</v>
      </c>
      <c r="F27" s="60" t="s">
        <v>45</v>
      </c>
      <c r="G27" s="47">
        <v>15</v>
      </c>
      <c r="H27" s="133">
        <f>IF(B$17=0,0,G27/B$17)</f>
        <v>0.14150943396226415</v>
      </c>
      <c r="I27" s="94">
        <v>3</v>
      </c>
      <c r="K27" s="38">
        <v>25</v>
      </c>
      <c r="L27" s="99">
        <v>-31.400000000000034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-62.900000000000034</v>
      </c>
    </row>
    <row r="29" spans="1:17" x14ac:dyDescent="0.4">
      <c r="E29" s="63" t="s">
        <v>92</v>
      </c>
      <c r="F29" s="60" t="s">
        <v>47</v>
      </c>
      <c r="G29" s="47">
        <v>3</v>
      </c>
      <c r="H29" s="133">
        <f>IF(B$17=0,0,G29/B$17)</f>
        <v>2.8301886792452831E-2</v>
      </c>
      <c r="I29" s="94">
        <v>2</v>
      </c>
      <c r="K29" s="38">
        <v>27</v>
      </c>
      <c r="L29" s="99">
        <v>-34.100000000000037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-16.100000000000037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40.799999999999962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63.499999999999957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94.299999999999955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144.79999999999995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153.39999999999995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178.09999999999994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171.89999999999995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164.59999999999994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156.59999999999994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110.89999999999993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4</v>
      </c>
    </row>
    <row r="51" spans="5:9" x14ac:dyDescent="0.4">
      <c r="E51" s="136" t="s">
        <v>172</v>
      </c>
      <c r="F51" s="137" t="s">
        <v>173</v>
      </c>
      <c r="G51" s="48">
        <v>42</v>
      </c>
      <c r="H51" s="138">
        <f>IF(B$17=0,0,G51/B$17)</f>
        <v>0.39622641509433965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B6371-8558-42A4-A975-4857D325F966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180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17</v>
      </c>
      <c r="C2" s="153"/>
      <c r="E2" s="62" t="s">
        <v>67</v>
      </c>
      <c r="F2" s="59" t="s">
        <v>23</v>
      </c>
      <c r="G2" s="46">
        <v>24</v>
      </c>
      <c r="H2" s="132">
        <f>IF(B$17=0,0,G2/B$17)</f>
        <v>0.6</v>
      </c>
      <c r="I2" s="93">
        <v>8</v>
      </c>
      <c r="K2" s="36">
        <v>0</v>
      </c>
      <c r="L2" s="98">
        <v>0</v>
      </c>
      <c r="N2" s="114" t="s">
        <v>131</v>
      </c>
      <c r="O2" s="121">
        <f t="shared" ref="O2:O7" si="0">IF(P2=0,0,Q2/P2)</f>
        <v>1547.0588235294117</v>
      </c>
      <c r="P2" s="118">
        <v>17</v>
      </c>
      <c r="Q2" s="102">
        <v>26300</v>
      </c>
    </row>
    <row r="3" spans="1:17" x14ac:dyDescent="0.4">
      <c r="A3" s="55" t="s">
        <v>8</v>
      </c>
      <c r="B3" s="154">
        <v>157</v>
      </c>
      <c r="C3" s="155"/>
      <c r="E3" s="63" t="s">
        <v>65</v>
      </c>
      <c r="F3" s="60" t="s">
        <v>21</v>
      </c>
      <c r="G3" s="47">
        <v>23</v>
      </c>
      <c r="H3" s="133">
        <f>IF(B$17=0,0,G3/B$17)</f>
        <v>0.57499999999999996</v>
      </c>
      <c r="I3" s="94">
        <v>3</v>
      </c>
      <c r="K3" s="38">
        <v>1</v>
      </c>
      <c r="L3" s="99">
        <v>-37.799999999999997</v>
      </c>
      <c r="N3" s="115" t="s">
        <v>132</v>
      </c>
      <c r="O3" s="122">
        <f t="shared" si="0"/>
        <v>-2868.75</v>
      </c>
      <c r="P3" s="119">
        <v>16</v>
      </c>
      <c r="Q3" s="103">
        <v>-45900</v>
      </c>
    </row>
    <row r="4" spans="1:17" x14ac:dyDescent="0.4">
      <c r="A4" s="55" t="s">
        <v>6</v>
      </c>
      <c r="B4" s="156">
        <v>-251.4</v>
      </c>
      <c r="C4" s="157"/>
      <c r="E4" s="63" t="s">
        <v>73</v>
      </c>
      <c r="F4" s="60" t="s">
        <v>28</v>
      </c>
      <c r="G4" s="47">
        <v>21</v>
      </c>
      <c r="H4" s="133">
        <f>IF(B$17=0,0,G4/B$17)</f>
        <v>0.52500000000000002</v>
      </c>
      <c r="I4" s="94">
        <v>7</v>
      </c>
      <c r="K4" s="38">
        <v>2</v>
      </c>
      <c r="L4" s="99">
        <v>-30.099999999999998</v>
      </c>
      <c r="N4" s="115" t="s">
        <v>133</v>
      </c>
      <c r="O4" s="122">
        <f t="shared" si="0"/>
        <v>1875</v>
      </c>
      <c r="P4" s="119">
        <v>16</v>
      </c>
      <c r="Q4" s="103">
        <v>30000</v>
      </c>
    </row>
    <row r="5" spans="1:17" x14ac:dyDescent="0.4">
      <c r="A5" s="55" t="s">
        <v>7</v>
      </c>
      <c r="B5" s="158">
        <f>IF(B$2=0,0,B$4/B$2)</f>
        <v>-14.788235294117648</v>
      </c>
      <c r="C5" s="159"/>
      <c r="E5" s="63" t="s">
        <v>172</v>
      </c>
      <c r="F5" s="60" t="s">
        <v>173</v>
      </c>
      <c r="G5" s="47">
        <v>15</v>
      </c>
      <c r="H5" s="133">
        <f>IF(B$17=0,0,G5/B$17)</f>
        <v>0.375</v>
      </c>
      <c r="I5" s="94">
        <v>5</v>
      </c>
      <c r="K5" s="38">
        <v>3</v>
      </c>
      <c r="L5" s="99">
        <v>-17.599999999999998</v>
      </c>
      <c r="N5" s="115" t="s">
        <v>134</v>
      </c>
      <c r="O5" s="122">
        <f t="shared" si="0"/>
        <v>-4031.25</v>
      </c>
      <c r="P5" s="119">
        <v>16</v>
      </c>
      <c r="Q5" s="103">
        <v>-64500</v>
      </c>
    </row>
    <row r="6" spans="1:17" x14ac:dyDescent="0.4">
      <c r="A6" s="55" t="s">
        <v>1</v>
      </c>
      <c r="B6" s="148">
        <f>IF(B$2=0,0,(B$7*1+B$8*2+B$9*3)/B$2)</f>
        <v>2.4705882352941178</v>
      </c>
      <c r="C6" s="149"/>
      <c r="E6" s="63" t="s">
        <v>68</v>
      </c>
      <c r="F6" s="60" t="s">
        <v>24</v>
      </c>
      <c r="G6" s="47">
        <v>9</v>
      </c>
      <c r="H6" s="133">
        <f>IF(B$17=0,0,G6/B$17)</f>
        <v>0.22500000000000001</v>
      </c>
      <c r="I6" s="94">
        <v>8</v>
      </c>
      <c r="K6" s="38">
        <v>4</v>
      </c>
      <c r="L6" s="99">
        <v>-54.899999999999991</v>
      </c>
      <c r="N6" s="115" t="s">
        <v>135</v>
      </c>
      <c r="O6" s="122">
        <f t="shared" si="0"/>
        <v>-6046.666666666667</v>
      </c>
      <c r="P6" s="119">
        <v>15</v>
      </c>
      <c r="Q6" s="103">
        <v>-90700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5.8823529411764705E-2</v>
      </c>
      <c r="E7" s="63" t="s">
        <v>69</v>
      </c>
      <c r="F7" s="60" t="s">
        <v>12</v>
      </c>
      <c r="G7" s="47">
        <v>9</v>
      </c>
      <c r="H7" s="133">
        <f>IF(B$17=0,0,G7/B$17)</f>
        <v>0.22500000000000001</v>
      </c>
      <c r="I7" s="94">
        <v>9</v>
      </c>
      <c r="K7" s="38">
        <v>5</v>
      </c>
      <c r="L7" s="99">
        <v>-33.699999999999989</v>
      </c>
      <c r="N7" s="116" t="s">
        <v>136</v>
      </c>
      <c r="O7" s="123">
        <f t="shared" si="0"/>
        <v>-1900</v>
      </c>
      <c r="P7" s="120">
        <v>14</v>
      </c>
      <c r="Q7" s="104">
        <v>-26600</v>
      </c>
    </row>
    <row r="8" spans="1:17" x14ac:dyDescent="0.4">
      <c r="A8" s="55" t="s">
        <v>3</v>
      </c>
      <c r="B8" s="47">
        <v>7</v>
      </c>
      <c r="C8" s="39">
        <f t="shared" si="1"/>
        <v>0.41176470588235292</v>
      </c>
      <c r="E8" s="63" t="s">
        <v>70</v>
      </c>
      <c r="F8" s="60" t="s">
        <v>25</v>
      </c>
      <c r="G8" s="47">
        <v>7</v>
      </c>
      <c r="H8" s="133">
        <f>IF(B$17=0,0,G8/B$17)</f>
        <v>0.17499999999999999</v>
      </c>
      <c r="I8" s="94">
        <v>3</v>
      </c>
      <c r="K8" s="38">
        <v>6</v>
      </c>
      <c r="L8" s="99">
        <v>-57.399999999999991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si="1"/>
        <v>0.52941176470588236</v>
      </c>
      <c r="E9" s="63" t="s">
        <v>71</v>
      </c>
      <c r="F9" s="60" t="s">
        <v>26</v>
      </c>
      <c r="G9" s="47">
        <v>6</v>
      </c>
      <c r="H9" s="133">
        <f>IF(B$17=0,0,G9/B$17)</f>
        <v>0.15</v>
      </c>
      <c r="I9" s="94">
        <v>1</v>
      </c>
      <c r="K9" s="38">
        <v>7</v>
      </c>
      <c r="L9" s="99">
        <v>-39.499999999999993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0.11764705882352941</v>
      </c>
      <c r="E10" s="63" t="s">
        <v>66</v>
      </c>
      <c r="F10" s="60" t="s">
        <v>22</v>
      </c>
      <c r="G10" s="47">
        <v>5</v>
      </c>
      <c r="H10" s="133">
        <f>IF(B$17=0,0,G10/B$17)</f>
        <v>0.125</v>
      </c>
      <c r="I10" s="94">
        <v>4</v>
      </c>
      <c r="K10" s="38">
        <v>8</v>
      </c>
      <c r="L10" s="99">
        <v>-62.999999999999993</v>
      </c>
      <c r="N10" s="114" t="s">
        <v>163</v>
      </c>
      <c r="O10" s="124">
        <f>IF(P10=0,0,Q10/P10)</f>
        <v>-5.8142857142857149</v>
      </c>
      <c r="P10" s="118">
        <v>7</v>
      </c>
      <c r="Q10" s="106">
        <v>-40.700000000000003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84</v>
      </c>
      <c r="F11" s="60" t="s">
        <v>39</v>
      </c>
      <c r="G11" s="47">
        <v>5</v>
      </c>
      <c r="H11" s="133">
        <f>IF(B$17=0,0,G11/B$17)</f>
        <v>0.125</v>
      </c>
      <c r="I11" s="94">
        <v>1</v>
      </c>
      <c r="K11" s="38">
        <v>9</v>
      </c>
      <c r="L11" s="99">
        <v>-74.199999999999989</v>
      </c>
      <c r="N11" s="115" t="s">
        <v>164</v>
      </c>
      <c r="O11" s="125">
        <f>IF(P11=0,0,Q11/P11)</f>
        <v>-17.083333333333332</v>
      </c>
      <c r="P11" s="119">
        <v>6</v>
      </c>
      <c r="Q11" s="107">
        <v>-102.5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72</v>
      </c>
      <c r="F12" s="60" t="s">
        <v>27</v>
      </c>
      <c r="G12" s="47">
        <v>3</v>
      </c>
      <c r="H12" s="133">
        <f>IF(B$17=0,0,G12/B$17)</f>
        <v>7.4999999999999997E-2</v>
      </c>
      <c r="I12" s="94">
        <v>3</v>
      </c>
      <c r="K12" s="38">
        <v>10</v>
      </c>
      <c r="L12" s="99">
        <v>-117.19999999999999</v>
      </c>
      <c r="N12" s="116" t="s">
        <v>165</v>
      </c>
      <c r="O12" s="126">
        <f>IF(P12=0,0,Q12/P12)</f>
        <v>-27.049999999999997</v>
      </c>
      <c r="P12" s="120">
        <v>4</v>
      </c>
      <c r="Q12" s="108">
        <v>-108.19999999999999</v>
      </c>
    </row>
    <row r="13" spans="1:17" x14ac:dyDescent="0.4">
      <c r="A13" s="58" t="s">
        <v>122</v>
      </c>
      <c r="B13" s="50">
        <v>38</v>
      </c>
      <c r="C13" s="44">
        <f>IF(B$3=0,0,B13/B$3)</f>
        <v>0.24203821656050956</v>
      </c>
      <c r="E13" s="63" t="s">
        <v>90</v>
      </c>
      <c r="F13" s="60" t="s">
        <v>45</v>
      </c>
      <c r="G13" s="47">
        <v>3</v>
      </c>
      <c r="H13" s="133">
        <f>IF(B$17=0,0,G13/B$17)</f>
        <v>7.4999999999999997E-2</v>
      </c>
      <c r="I13" s="94">
        <v>7</v>
      </c>
      <c r="K13" s="38">
        <v>11</v>
      </c>
      <c r="L13" s="99">
        <v>-177.29999999999998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29</v>
      </c>
      <c r="C14" s="39">
        <f>IF(B$3=0,0,B14/B$3)</f>
        <v>0.18471337579617833</v>
      </c>
      <c r="E14" s="63" t="s">
        <v>79</v>
      </c>
      <c r="F14" s="60" t="s">
        <v>34</v>
      </c>
      <c r="G14" s="47">
        <v>2</v>
      </c>
      <c r="H14" s="133">
        <f>IF(B$17=0,0,G14/B$17)</f>
        <v>0.05</v>
      </c>
      <c r="I14" s="94">
        <v>2</v>
      </c>
      <c r="K14" s="38">
        <v>12</v>
      </c>
      <c r="L14" s="99">
        <v>-158.6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23</v>
      </c>
      <c r="C15" s="37">
        <f>IF(B$13=0,0,B15/B$13)</f>
        <v>0.60526315789473684</v>
      </c>
      <c r="E15" s="63" t="s">
        <v>82</v>
      </c>
      <c r="F15" s="60" t="s">
        <v>37</v>
      </c>
      <c r="G15" s="47">
        <v>2</v>
      </c>
      <c r="H15" s="133">
        <f>IF(B$17=0,0,G15/B$17)</f>
        <v>0.05</v>
      </c>
      <c r="I15" s="94">
        <v>3</v>
      </c>
      <c r="K15" s="38">
        <v>13</v>
      </c>
      <c r="L15" s="99">
        <v>-207.3</v>
      </c>
      <c r="N15" s="114" t="s">
        <v>167</v>
      </c>
      <c r="O15" s="124">
        <f>IF(P15=0,0,Q15/P15)</f>
        <v>10.475</v>
      </c>
      <c r="P15" s="118">
        <v>4</v>
      </c>
      <c r="Q15" s="106">
        <v>41.9</v>
      </c>
    </row>
    <row r="16" spans="1:17" x14ac:dyDescent="0.4">
      <c r="A16" s="54" t="s">
        <v>125</v>
      </c>
      <c r="B16" s="46">
        <v>9</v>
      </c>
      <c r="C16" s="37">
        <f>IF(B$14=0,0,B16/B$14)</f>
        <v>0.31034482758620691</v>
      </c>
      <c r="E16" s="63" t="s">
        <v>87</v>
      </c>
      <c r="F16" s="60" t="s">
        <v>42</v>
      </c>
      <c r="G16" s="47">
        <v>2</v>
      </c>
      <c r="H16" s="133">
        <f>IF(B$17=0,0,G16/B$17)</f>
        <v>0.05</v>
      </c>
      <c r="I16" s="94">
        <v>6</v>
      </c>
      <c r="K16" s="38">
        <v>14</v>
      </c>
      <c r="L16" s="99">
        <v>-204.8</v>
      </c>
      <c r="N16" s="115" t="s">
        <v>128</v>
      </c>
      <c r="O16" s="125">
        <f>IF(P16=0,0,Q16/P16)</f>
        <v>-10.425000000000001</v>
      </c>
      <c r="P16" s="119">
        <v>12</v>
      </c>
      <c r="Q16" s="107">
        <v>-125.10000000000001</v>
      </c>
    </row>
    <row r="17" spans="1:17" x14ac:dyDescent="0.4">
      <c r="A17" s="54" t="s">
        <v>10</v>
      </c>
      <c r="B17" s="46">
        <f>B19+B18</f>
        <v>40</v>
      </c>
      <c r="C17" s="37">
        <f>IF(B$3=0,0,B17/B$3)</f>
        <v>0.25477707006369427</v>
      </c>
      <c r="E17" s="63" t="s">
        <v>168</v>
      </c>
      <c r="F17" s="60" t="s">
        <v>169</v>
      </c>
      <c r="G17" s="47">
        <v>1</v>
      </c>
      <c r="H17" s="133">
        <f>IF(B$17=0,0,G17/B$17)</f>
        <v>2.5000000000000001E-2</v>
      </c>
      <c r="I17" s="94">
        <v>2</v>
      </c>
      <c r="K17" s="38">
        <v>15</v>
      </c>
      <c r="L17" s="99">
        <v>-221.5</v>
      </c>
      <c r="N17" s="115" t="s">
        <v>182</v>
      </c>
      <c r="O17" s="125">
        <f>IF(P17=0,0,Q17/P17)</f>
        <v>-26.349999999999998</v>
      </c>
      <c r="P17" s="119">
        <v>4</v>
      </c>
      <c r="Q17" s="107">
        <v>-105.39999999999999</v>
      </c>
    </row>
    <row r="18" spans="1:17" x14ac:dyDescent="0.4">
      <c r="A18" s="55" t="s">
        <v>12</v>
      </c>
      <c r="B18" s="47">
        <v>15</v>
      </c>
      <c r="C18" s="39">
        <f>IF(B$17=0,0,B18/B$17)</f>
        <v>0.375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-224.3</v>
      </c>
      <c r="N18" s="115" t="s">
        <v>178</v>
      </c>
      <c r="O18" s="125">
        <f>IF(P18=0,0,Q18/P18)</f>
        <v>-28.699999999999996</v>
      </c>
      <c r="P18" s="119">
        <v>1</v>
      </c>
      <c r="Q18" s="107">
        <v>-28.699999999999996</v>
      </c>
    </row>
    <row r="19" spans="1:17" x14ac:dyDescent="0.4">
      <c r="A19" s="55" t="s">
        <v>11</v>
      </c>
      <c r="B19" s="47">
        <v>25</v>
      </c>
      <c r="C19" s="39">
        <f>IF(B$17=0,0,B19/B$17)</f>
        <v>0.625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3</v>
      </c>
      <c r="K19" s="38">
        <v>17</v>
      </c>
      <c r="L19" s="99">
        <v>-251.4</v>
      </c>
      <c r="N19" s="115" t="s">
        <v>127</v>
      </c>
      <c r="O19" s="125">
        <f>IF(P19=0,0,Q19/P19)</f>
        <v>-38.118181818181824</v>
      </c>
      <c r="P19" s="119">
        <v>11</v>
      </c>
      <c r="Q19" s="107">
        <v>-419.30000000000007</v>
      </c>
    </row>
    <row r="20" spans="1:17" x14ac:dyDescent="0.4">
      <c r="A20" s="55" t="s">
        <v>13</v>
      </c>
      <c r="B20" s="47">
        <v>38</v>
      </c>
      <c r="C20" s="39">
        <f>IF(B$3=0,0,B20/B$3)</f>
        <v>0.24203821656050956</v>
      </c>
      <c r="E20" s="63" t="s">
        <v>76</v>
      </c>
      <c r="F20" s="60" t="s">
        <v>31</v>
      </c>
      <c r="G20" s="47">
        <v>0</v>
      </c>
      <c r="H20" s="133">
        <f>IF(B$17=0,0,G20/B$17)</f>
        <v>0</v>
      </c>
      <c r="I20" s="94">
        <v>1</v>
      </c>
      <c r="N20" s="115" t="s">
        <v>179</v>
      </c>
      <c r="O20" s="125">
        <f>IF(P20=0,0,Q20/P20)</f>
        <v>-58.79999999999999</v>
      </c>
      <c r="P20" s="119">
        <v>2</v>
      </c>
      <c r="Q20" s="107">
        <v>-117.59999999999998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171</v>
      </c>
      <c r="B22" s="47">
        <v>13</v>
      </c>
      <c r="C22" s="135">
        <v>0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7385</v>
      </c>
      <c r="C23" s="41">
        <v>295400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-7931.5789473684208</v>
      </c>
      <c r="C24" s="45">
        <v>-301400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6">
        <v>3</v>
      </c>
      <c r="C25" s="147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4">
        <v>53700</v>
      </c>
      <c r="C26" s="145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4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9E1F6-F37C-4DF7-BE5A-7B9F86CAAD43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178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14</v>
      </c>
      <c r="C2" s="153"/>
      <c r="E2" s="62" t="s">
        <v>65</v>
      </c>
      <c r="F2" s="59" t="s">
        <v>21</v>
      </c>
      <c r="G2" s="46">
        <v>6</v>
      </c>
      <c r="H2" s="132">
        <f>IF(B$17=0,0,G2/B$17)</f>
        <v>0.25</v>
      </c>
      <c r="I2" s="93">
        <v>10</v>
      </c>
      <c r="K2" s="36">
        <v>0</v>
      </c>
      <c r="L2" s="98">
        <v>0</v>
      </c>
      <c r="N2" s="114" t="s">
        <v>131</v>
      </c>
      <c r="O2" s="121">
        <f t="shared" ref="O2:O7" si="0">IF(P2=0,0,Q2/P2)</f>
        <v>857.14285714285711</v>
      </c>
      <c r="P2" s="118">
        <v>14</v>
      </c>
      <c r="Q2" s="102">
        <v>12000</v>
      </c>
    </row>
    <row r="3" spans="1:17" x14ac:dyDescent="0.4">
      <c r="A3" s="55" t="s">
        <v>8</v>
      </c>
      <c r="B3" s="154">
        <v>106</v>
      </c>
      <c r="C3" s="155"/>
      <c r="E3" s="63" t="s">
        <v>66</v>
      </c>
      <c r="F3" s="60" t="s">
        <v>22</v>
      </c>
      <c r="G3" s="47">
        <v>1</v>
      </c>
      <c r="H3" s="133">
        <f>IF(B$17=0,0,G3/B$17)</f>
        <v>4.1666666666666664E-2</v>
      </c>
      <c r="I3" s="94">
        <v>10</v>
      </c>
      <c r="K3" s="38">
        <v>1</v>
      </c>
      <c r="L3" s="99">
        <v>-9.1</v>
      </c>
      <c r="N3" s="115" t="s">
        <v>132</v>
      </c>
      <c r="O3" s="122">
        <f t="shared" si="0"/>
        <v>-1961.5384615384614</v>
      </c>
      <c r="P3" s="119">
        <v>13</v>
      </c>
      <c r="Q3" s="103">
        <v>-25500</v>
      </c>
    </row>
    <row r="4" spans="1:17" x14ac:dyDescent="0.4">
      <c r="A4" s="55" t="s">
        <v>6</v>
      </c>
      <c r="B4" s="156">
        <v>-86.499999999999972</v>
      </c>
      <c r="C4" s="157"/>
      <c r="E4" s="63" t="s">
        <v>67</v>
      </c>
      <c r="F4" s="60" t="s">
        <v>23</v>
      </c>
      <c r="G4" s="47">
        <v>18</v>
      </c>
      <c r="H4" s="133">
        <f>IF(B$17=0,0,G4/B$17)</f>
        <v>0.75</v>
      </c>
      <c r="I4" s="94">
        <v>7</v>
      </c>
      <c r="K4" s="38">
        <v>2</v>
      </c>
      <c r="L4" s="99">
        <v>-67.3</v>
      </c>
      <c r="N4" s="115" t="s">
        <v>133</v>
      </c>
      <c r="O4" s="122">
        <f t="shared" si="0"/>
        <v>-3841.6666666666665</v>
      </c>
      <c r="P4" s="119">
        <v>12</v>
      </c>
      <c r="Q4" s="103">
        <v>-46100</v>
      </c>
    </row>
    <row r="5" spans="1:17" x14ac:dyDescent="0.4">
      <c r="A5" s="55" t="s">
        <v>7</v>
      </c>
      <c r="B5" s="158">
        <f>IF(B$2=0,0,B$4/B$2)</f>
        <v>-6.1785714285714262</v>
      </c>
      <c r="C5" s="159"/>
      <c r="E5" s="63" t="s">
        <v>68</v>
      </c>
      <c r="F5" s="60" t="s">
        <v>24</v>
      </c>
      <c r="G5" s="47">
        <v>8</v>
      </c>
      <c r="H5" s="133">
        <f>IF(B$17=0,0,G5/B$17)</f>
        <v>0.33333333333333331</v>
      </c>
      <c r="I5" s="94">
        <v>3</v>
      </c>
      <c r="K5" s="38">
        <v>3</v>
      </c>
      <c r="L5" s="99">
        <v>-113.8</v>
      </c>
      <c r="N5" s="115" t="s">
        <v>134</v>
      </c>
      <c r="O5" s="122">
        <f t="shared" si="0"/>
        <v>3918.181818181818</v>
      </c>
      <c r="P5" s="119">
        <v>11</v>
      </c>
      <c r="Q5" s="103">
        <v>43100</v>
      </c>
    </row>
    <row r="6" spans="1:17" x14ac:dyDescent="0.4">
      <c r="A6" s="55" t="s">
        <v>1</v>
      </c>
      <c r="B6" s="148">
        <f>IF(B$2=0,0,(B$7*1+B$8*2+B$9*3)/B$2)</f>
        <v>2.1428571428571428</v>
      </c>
      <c r="C6" s="149"/>
      <c r="E6" s="63" t="s">
        <v>69</v>
      </c>
      <c r="F6" s="60" t="s">
        <v>12</v>
      </c>
      <c r="G6" s="47">
        <v>6</v>
      </c>
      <c r="H6" s="133">
        <f>IF(B$17=0,0,G6/B$17)</f>
        <v>0.25</v>
      </c>
      <c r="I6" s="94">
        <v>8</v>
      </c>
      <c r="K6" s="38">
        <v>4</v>
      </c>
      <c r="L6" s="99">
        <v>-74.599999999999994</v>
      </c>
      <c r="N6" s="115" t="s">
        <v>135</v>
      </c>
      <c r="O6" s="122">
        <f t="shared" si="0"/>
        <v>1977.7777777777778</v>
      </c>
      <c r="P6" s="119">
        <v>9</v>
      </c>
      <c r="Q6" s="103">
        <v>17800</v>
      </c>
    </row>
    <row r="7" spans="1:17" x14ac:dyDescent="0.4">
      <c r="A7" s="55" t="s">
        <v>2</v>
      </c>
      <c r="B7" s="47">
        <v>4</v>
      </c>
      <c r="C7" s="39">
        <f t="shared" ref="C7:C12" si="1">IF(B$2=0,0,B7/B$2)</f>
        <v>0.2857142857142857</v>
      </c>
      <c r="E7" s="63" t="s">
        <v>70</v>
      </c>
      <c r="F7" s="60" t="s">
        <v>25</v>
      </c>
      <c r="G7" s="47">
        <v>2</v>
      </c>
      <c r="H7" s="133">
        <f>IF(B$17=0,0,G7/B$17)</f>
        <v>8.3333333333333329E-2</v>
      </c>
      <c r="I7" s="94">
        <v>6</v>
      </c>
      <c r="K7" s="38">
        <v>5</v>
      </c>
      <c r="L7" s="99">
        <v>-118.3</v>
      </c>
      <c r="N7" s="116" t="s">
        <v>136</v>
      </c>
      <c r="O7" s="123">
        <f t="shared" si="0"/>
        <v>-9900</v>
      </c>
      <c r="P7" s="120">
        <v>5</v>
      </c>
      <c r="Q7" s="104">
        <v>-49500</v>
      </c>
    </row>
    <row r="8" spans="1:17" x14ac:dyDescent="0.4">
      <c r="A8" s="55" t="s">
        <v>3</v>
      </c>
      <c r="B8" s="47">
        <v>4</v>
      </c>
      <c r="C8" s="39">
        <f t="shared" si="1"/>
        <v>0.2857142857142857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-60.3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si="1"/>
        <v>0.42857142857142855</v>
      </c>
      <c r="E9" s="63" t="s">
        <v>72</v>
      </c>
      <c r="F9" s="60" t="s">
        <v>27</v>
      </c>
      <c r="G9" s="47">
        <v>1</v>
      </c>
      <c r="H9" s="133">
        <f>IF(B$17=0,0,G9/B$17)</f>
        <v>4.1666666666666664E-2</v>
      </c>
      <c r="I9" s="94">
        <v>6</v>
      </c>
      <c r="K9" s="38">
        <v>7</v>
      </c>
      <c r="L9" s="99">
        <v>-60.8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1"/>
        <v>0.2857142857142857</v>
      </c>
      <c r="E10" s="63" t="s">
        <v>73</v>
      </c>
      <c r="F10" s="60" t="s">
        <v>28</v>
      </c>
      <c r="G10" s="47">
        <v>20</v>
      </c>
      <c r="H10" s="133">
        <f>IF(B$17=0,0,G10/B$17)</f>
        <v>0.83333333333333337</v>
      </c>
      <c r="I10" s="94">
        <v>2</v>
      </c>
      <c r="K10" s="38">
        <v>8</v>
      </c>
      <c r="L10" s="99">
        <v>-110.19999999999999</v>
      </c>
      <c r="N10" s="114" t="s">
        <v>163</v>
      </c>
      <c r="O10" s="124">
        <f>IF(P10=0,0,Q10/P10)</f>
        <v>4.5714285714285721</v>
      </c>
      <c r="P10" s="118">
        <v>7</v>
      </c>
      <c r="Q10" s="106">
        <v>32.000000000000007</v>
      </c>
    </row>
    <row r="11" spans="1:17" x14ac:dyDescent="0.4">
      <c r="A11" s="56" t="s">
        <v>139</v>
      </c>
      <c r="B11" s="48">
        <v>4</v>
      </c>
      <c r="C11" s="40">
        <f t="shared" si="1"/>
        <v>0.2857142857142857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-120.99999999999999</v>
      </c>
      <c r="N11" s="115" t="s">
        <v>164</v>
      </c>
      <c r="O11" s="125">
        <f>IF(P11=0,0,Q11/P11)</f>
        <v>-21.200000000000003</v>
      </c>
      <c r="P11" s="119">
        <v>3</v>
      </c>
      <c r="Q11" s="107">
        <v>-63.600000000000009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3</v>
      </c>
      <c r="K12" s="38">
        <v>10</v>
      </c>
      <c r="L12" s="99">
        <v>-113.29999999999998</v>
      </c>
      <c r="N12" s="116" t="s">
        <v>165</v>
      </c>
      <c r="O12" s="126">
        <f>IF(P12=0,0,Q12/P12)</f>
        <v>-13.724999999999998</v>
      </c>
      <c r="P12" s="120">
        <v>4</v>
      </c>
      <c r="Q12" s="108">
        <v>-54.899999999999991</v>
      </c>
    </row>
    <row r="13" spans="1:17" x14ac:dyDescent="0.4">
      <c r="A13" s="58" t="s">
        <v>122</v>
      </c>
      <c r="B13" s="50">
        <v>24</v>
      </c>
      <c r="C13" s="44">
        <f>IF(B$3=0,0,B13/B$3)</f>
        <v>0.22641509433962265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K13" s="38">
        <v>11</v>
      </c>
      <c r="L13" s="99">
        <v>-163.69999999999999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0.23584905660377359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-110.49999999999999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6</v>
      </c>
      <c r="C15" s="37">
        <f>IF(B$13=0,0,B15/B$13)</f>
        <v>0.25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K15" s="38">
        <v>13</v>
      </c>
      <c r="L15" s="99">
        <v>-132.39999999999998</v>
      </c>
      <c r="N15" s="114" t="s">
        <v>180</v>
      </c>
      <c r="O15" s="124">
        <f t="shared" ref="O15:O20" si="2">IF(P15=0,0,Q15/P15)</f>
        <v>28.699999999999996</v>
      </c>
      <c r="P15" s="118">
        <v>1</v>
      </c>
      <c r="Q15" s="106">
        <v>28.699999999999996</v>
      </c>
    </row>
    <row r="16" spans="1:17" x14ac:dyDescent="0.4">
      <c r="A16" s="54" t="s">
        <v>125</v>
      </c>
      <c r="B16" s="46">
        <v>12</v>
      </c>
      <c r="C16" s="37">
        <f>IF(B$14=0,0,B16/B$14)</f>
        <v>0.48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K16" s="38">
        <v>14</v>
      </c>
      <c r="L16" s="99">
        <v>-86.499999999999972</v>
      </c>
      <c r="N16" s="115" t="s">
        <v>127</v>
      </c>
      <c r="O16" s="125">
        <f t="shared" si="2"/>
        <v>13.816666666666665</v>
      </c>
      <c r="P16" s="119">
        <v>6</v>
      </c>
      <c r="Q16" s="107">
        <v>82.899999999999991</v>
      </c>
    </row>
    <row r="17" spans="1:17" x14ac:dyDescent="0.4">
      <c r="A17" s="54" t="s">
        <v>10</v>
      </c>
      <c r="B17" s="46">
        <f>B19+B18</f>
        <v>24</v>
      </c>
      <c r="C17" s="37">
        <f>IF(B$3=0,0,B17/B$3)</f>
        <v>0.22641509433962265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5</v>
      </c>
      <c r="N17" s="115" t="s">
        <v>179</v>
      </c>
      <c r="O17" s="125">
        <f t="shared" si="2"/>
        <v>4.7857142857142865</v>
      </c>
      <c r="P17" s="119">
        <v>7</v>
      </c>
      <c r="Q17" s="107">
        <v>33.500000000000007</v>
      </c>
    </row>
    <row r="18" spans="1:17" x14ac:dyDescent="0.4">
      <c r="A18" s="55" t="s">
        <v>12</v>
      </c>
      <c r="B18" s="47">
        <v>8</v>
      </c>
      <c r="C18" s="39">
        <f>IF(B$17=0,0,B18/B$17)</f>
        <v>0.33333333333333331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-10.7875</v>
      </c>
      <c r="P18" s="119">
        <v>8</v>
      </c>
      <c r="Q18" s="107">
        <v>-86.3</v>
      </c>
    </row>
    <row r="19" spans="1:17" x14ac:dyDescent="0.4">
      <c r="A19" s="55" t="s">
        <v>11</v>
      </c>
      <c r="B19" s="47">
        <v>16</v>
      </c>
      <c r="C19" s="39">
        <f>IF(B$17=0,0,B19/B$17)</f>
        <v>0.66666666666666663</v>
      </c>
      <c r="E19" s="63" t="s">
        <v>82</v>
      </c>
      <c r="F19" s="60" t="s">
        <v>37</v>
      </c>
      <c r="G19" s="47">
        <v>1</v>
      </c>
      <c r="H19" s="133">
        <f>IF(B$17=0,0,G19/B$17)</f>
        <v>4.1666666666666664E-2</v>
      </c>
      <c r="I19" s="94">
        <v>4</v>
      </c>
      <c r="N19" s="115" t="s">
        <v>183</v>
      </c>
      <c r="O19" s="125">
        <f t="shared" si="2"/>
        <v>-25.975000000000001</v>
      </c>
      <c r="P19" s="119">
        <v>4</v>
      </c>
      <c r="Q19" s="107">
        <v>-103.9</v>
      </c>
    </row>
    <row r="20" spans="1:17" x14ac:dyDescent="0.4">
      <c r="A20" s="55" t="s">
        <v>13</v>
      </c>
      <c r="B20" s="47">
        <v>22</v>
      </c>
      <c r="C20" s="39">
        <f>IF(B$3=0,0,B20/B$3)</f>
        <v>0.20754716981132076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182</v>
      </c>
      <c r="O20" s="125">
        <f t="shared" si="2"/>
        <v>-107.2</v>
      </c>
      <c r="P20" s="119">
        <v>2</v>
      </c>
      <c r="Q20" s="107">
        <v>-214.4</v>
      </c>
    </row>
    <row r="21" spans="1:17" x14ac:dyDescent="0.4">
      <c r="A21" s="55" t="s">
        <v>170</v>
      </c>
      <c r="B21" s="47">
        <v>2</v>
      </c>
      <c r="C21" s="135">
        <v>1</v>
      </c>
      <c r="E21" s="63" t="s">
        <v>84</v>
      </c>
      <c r="F21" s="60" t="s">
        <v>39</v>
      </c>
      <c r="G21" s="47">
        <v>2</v>
      </c>
      <c r="H21" s="133">
        <f>IF(B$17=0,0,G21/B$17)</f>
        <v>8.3333333333333329E-2</v>
      </c>
      <c r="I21" s="94">
        <v>3</v>
      </c>
    </row>
    <row r="22" spans="1:17" x14ac:dyDescent="0.4">
      <c r="A22" s="55" t="s">
        <v>171</v>
      </c>
      <c r="B22" s="47">
        <v>14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13370.833333333334</v>
      </c>
      <c r="C23" s="41">
        <v>320900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-10600</v>
      </c>
      <c r="C24" s="45">
        <v>-233200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141</v>
      </c>
      <c r="B25" s="146">
        <v>8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4">
        <v>83000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11</v>
      </c>
      <c r="H27" s="133">
        <f>IF(B$17=0,0,G27/B$17)</f>
        <v>0.45833333333333331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4.1666666666666664E-2</v>
      </c>
      <c r="I29" s="94">
        <v>1</v>
      </c>
    </row>
    <row r="30" spans="1:17" x14ac:dyDescent="0.4">
      <c r="E30" s="63" t="s">
        <v>93</v>
      </c>
      <c r="F30" s="60" t="s">
        <v>48</v>
      </c>
      <c r="G30" s="47">
        <v>3</v>
      </c>
      <c r="H30" s="133">
        <f>IF(B$17=0,0,G30/B$17)</f>
        <v>0.125</v>
      </c>
      <c r="I30" s="94">
        <v>1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4</v>
      </c>
    </row>
    <row r="51" spans="5:9" x14ac:dyDescent="0.4">
      <c r="E51" s="136" t="s">
        <v>172</v>
      </c>
      <c r="F51" s="137" t="s">
        <v>173</v>
      </c>
      <c r="G51" s="48">
        <v>3</v>
      </c>
      <c r="H51" s="138">
        <f>IF(B$17=0,0,G51/B$17)</f>
        <v>0.125</v>
      </c>
      <c r="I51" s="139">
        <v>10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929A9-3C62-4631-A441-71BE338F04F5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179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17</v>
      </c>
      <c r="C2" s="153"/>
      <c r="E2" s="62" t="s">
        <v>73</v>
      </c>
      <c r="F2" s="59" t="s">
        <v>28</v>
      </c>
      <c r="G2" s="46">
        <v>37</v>
      </c>
      <c r="H2" s="132">
        <f>IF(B$17=0,0,G2/B$17)</f>
        <v>0.88095238095238093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647.05882352941171</v>
      </c>
      <c r="P2" s="118">
        <v>17</v>
      </c>
      <c r="Q2" s="102">
        <v>11000</v>
      </c>
    </row>
    <row r="3" spans="1:17" x14ac:dyDescent="0.4">
      <c r="A3" s="55" t="s">
        <v>8</v>
      </c>
      <c r="B3" s="154">
        <v>152</v>
      </c>
      <c r="C3" s="155"/>
      <c r="E3" s="63" t="s">
        <v>67</v>
      </c>
      <c r="F3" s="60" t="s">
        <v>23</v>
      </c>
      <c r="G3" s="47">
        <v>33</v>
      </c>
      <c r="H3" s="133">
        <f>IF(B$17=0,0,G3/B$17)</f>
        <v>0.7857142857142857</v>
      </c>
      <c r="I3" s="94">
        <v>5</v>
      </c>
      <c r="K3" s="38">
        <v>1</v>
      </c>
      <c r="L3" s="99">
        <v>46.9</v>
      </c>
      <c r="N3" s="115" t="s">
        <v>132</v>
      </c>
      <c r="O3" s="122">
        <f t="shared" si="0"/>
        <v>35.294117647058826</v>
      </c>
      <c r="P3" s="119">
        <v>17</v>
      </c>
      <c r="Q3" s="103">
        <v>600</v>
      </c>
    </row>
    <row r="4" spans="1:17" x14ac:dyDescent="0.4">
      <c r="A4" s="55" t="s">
        <v>6</v>
      </c>
      <c r="B4" s="156">
        <v>-29.799999999999986</v>
      </c>
      <c r="C4" s="157"/>
      <c r="E4" s="63" t="s">
        <v>65</v>
      </c>
      <c r="F4" s="60" t="s">
        <v>21</v>
      </c>
      <c r="G4" s="47">
        <v>18</v>
      </c>
      <c r="H4" s="133">
        <f>IF(B$17=0,0,G4/B$17)</f>
        <v>0.42857142857142855</v>
      </c>
      <c r="I4" s="94">
        <v>6</v>
      </c>
      <c r="K4" s="38">
        <v>2</v>
      </c>
      <c r="L4" s="99">
        <v>8.1000000000000014</v>
      </c>
      <c r="N4" s="115" t="s">
        <v>133</v>
      </c>
      <c r="O4" s="122">
        <f t="shared" si="0"/>
        <v>-2631.25</v>
      </c>
      <c r="P4" s="119">
        <v>16</v>
      </c>
      <c r="Q4" s="103">
        <v>-42100</v>
      </c>
    </row>
    <row r="5" spans="1:17" x14ac:dyDescent="0.4">
      <c r="A5" s="55" t="s">
        <v>7</v>
      </c>
      <c r="B5" s="158">
        <f>IF(B$2=0,0,B$4/B$2)</f>
        <v>-1.7529411764705873</v>
      </c>
      <c r="C5" s="159"/>
      <c r="E5" s="63" t="s">
        <v>172</v>
      </c>
      <c r="F5" s="60" t="s">
        <v>173</v>
      </c>
      <c r="G5" s="47">
        <v>14</v>
      </c>
      <c r="H5" s="133">
        <f>IF(B$17=0,0,G5/B$17)</f>
        <v>0.33333333333333331</v>
      </c>
      <c r="I5" s="94">
        <v>7</v>
      </c>
      <c r="K5" s="38">
        <v>3</v>
      </c>
      <c r="L5" s="99">
        <v>-37</v>
      </c>
      <c r="N5" s="115" t="s">
        <v>134</v>
      </c>
      <c r="O5" s="122">
        <f t="shared" si="0"/>
        <v>2314.2857142857142</v>
      </c>
      <c r="P5" s="119">
        <v>14</v>
      </c>
      <c r="Q5" s="103">
        <v>32400</v>
      </c>
    </row>
    <row r="6" spans="1:17" x14ac:dyDescent="0.4">
      <c r="A6" s="55" t="s">
        <v>1</v>
      </c>
      <c r="B6" s="148">
        <f>IF(B$2=0,0,(B$7*1+B$8*2+B$9*3)/B$2)</f>
        <v>2.0588235294117645</v>
      </c>
      <c r="C6" s="149"/>
      <c r="E6" s="63" t="s">
        <v>69</v>
      </c>
      <c r="F6" s="60" t="s">
        <v>12</v>
      </c>
      <c r="G6" s="47">
        <v>12</v>
      </c>
      <c r="H6" s="133">
        <f>IF(B$17=0,0,G6/B$17)</f>
        <v>0.2857142857142857</v>
      </c>
      <c r="I6" s="94">
        <v>4</v>
      </c>
      <c r="K6" s="38">
        <v>4</v>
      </c>
      <c r="L6" s="99">
        <v>-19.3</v>
      </c>
      <c r="N6" s="115" t="s">
        <v>135</v>
      </c>
      <c r="O6" s="122">
        <f t="shared" si="0"/>
        <v>-4910</v>
      </c>
      <c r="P6" s="119">
        <v>10</v>
      </c>
      <c r="Q6" s="103">
        <v>-49100</v>
      </c>
    </row>
    <row r="7" spans="1:17" x14ac:dyDescent="0.4">
      <c r="A7" s="55" t="s">
        <v>2</v>
      </c>
      <c r="B7" s="47">
        <v>5</v>
      </c>
      <c r="C7" s="39">
        <f t="shared" ref="C7:C12" si="1">IF(B$2=0,0,B7/B$2)</f>
        <v>0.29411764705882354</v>
      </c>
      <c r="E7" s="63" t="s">
        <v>68</v>
      </c>
      <c r="F7" s="60" t="s">
        <v>24</v>
      </c>
      <c r="G7" s="47">
        <v>7</v>
      </c>
      <c r="H7" s="133">
        <f>IF(B$17=0,0,G7/B$17)</f>
        <v>0.16666666666666666</v>
      </c>
      <c r="I7" s="94">
        <v>9</v>
      </c>
      <c r="K7" s="38">
        <v>5</v>
      </c>
      <c r="L7" s="99">
        <v>-1.6000000000000014</v>
      </c>
      <c r="N7" s="116" t="s">
        <v>136</v>
      </c>
      <c r="O7" s="123">
        <f t="shared" si="0"/>
        <v>4814.2857142857147</v>
      </c>
      <c r="P7" s="120">
        <v>7</v>
      </c>
      <c r="Q7" s="104">
        <v>33700</v>
      </c>
    </row>
    <row r="8" spans="1:17" x14ac:dyDescent="0.4">
      <c r="A8" s="55" t="s">
        <v>3</v>
      </c>
      <c r="B8" s="47">
        <v>6</v>
      </c>
      <c r="C8" s="39">
        <f t="shared" si="1"/>
        <v>0.35294117647058826</v>
      </c>
      <c r="E8" s="63" t="s">
        <v>84</v>
      </c>
      <c r="F8" s="60" t="s">
        <v>39</v>
      </c>
      <c r="G8" s="47">
        <v>4</v>
      </c>
      <c r="H8" s="133">
        <f>IF(B$17=0,0,G8/B$17)</f>
        <v>9.5238095238095233E-2</v>
      </c>
      <c r="I8" s="94">
        <v>2</v>
      </c>
      <c r="K8" s="38">
        <v>6</v>
      </c>
      <c r="L8" s="99">
        <v>29.799999999999997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si="1"/>
        <v>0.35294117647058826</v>
      </c>
      <c r="E9" s="63" t="s">
        <v>90</v>
      </c>
      <c r="F9" s="60" t="s">
        <v>45</v>
      </c>
      <c r="G9" s="47">
        <v>4</v>
      </c>
      <c r="H9" s="133">
        <f>IF(B$17=0,0,G9/B$17)</f>
        <v>9.5238095238095233E-2</v>
      </c>
      <c r="I9" s="94">
        <v>6</v>
      </c>
      <c r="K9" s="38">
        <v>7</v>
      </c>
      <c r="L9" s="99">
        <v>-16.300000000000004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3</v>
      </c>
      <c r="C10" s="40">
        <f t="shared" si="1"/>
        <v>0.17647058823529413</v>
      </c>
      <c r="E10" s="63" t="s">
        <v>70</v>
      </c>
      <c r="F10" s="60" t="s">
        <v>25</v>
      </c>
      <c r="G10" s="47">
        <v>3</v>
      </c>
      <c r="H10" s="133">
        <f>IF(B$17=0,0,G10/B$17)</f>
        <v>7.1428571428571425E-2</v>
      </c>
      <c r="I10" s="94">
        <v>8</v>
      </c>
      <c r="K10" s="38">
        <v>8</v>
      </c>
      <c r="L10" s="99">
        <v>-46.7</v>
      </c>
      <c r="N10" s="114" t="s">
        <v>163</v>
      </c>
      <c r="O10" s="124">
        <f>IF(P10=0,0,Q10/P10)</f>
        <v>1.9142857142857141</v>
      </c>
      <c r="P10" s="118">
        <v>7</v>
      </c>
      <c r="Q10" s="106">
        <v>13.399999999999999</v>
      </c>
    </row>
    <row r="11" spans="1:17" x14ac:dyDescent="0.4">
      <c r="A11" s="56" t="s">
        <v>139</v>
      </c>
      <c r="B11" s="48">
        <v>1</v>
      </c>
      <c r="C11" s="40">
        <f t="shared" si="1"/>
        <v>5.8823529411764705E-2</v>
      </c>
      <c r="E11" s="63" t="s">
        <v>80</v>
      </c>
      <c r="F11" s="60" t="s">
        <v>35</v>
      </c>
      <c r="G11" s="47">
        <v>3</v>
      </c>
      <c r="H11" s="133">
        <f>IF(B$17=0,0,G11/B$17)</f>
        <v>7.1428571428571425E-2</v>
      </c>
      <c r="I11" s="94">
        <v>2</v>
      </c>
      <c r="K11" s="38">
        <v>9</v>
      </c>
      <c r="L11" s="99">
        <v>-90.9</v>
      </c>
      <c r="N11" s="115" t="s">
        <v>164</v>
      </c>
      <c r="O11" s="125">
        <f>IF(P11=0,0,Q11/P11)</f>
        <v>-7.62</v>
      </c>
      <c r="P11" s="119">
        <v>5</v>
      </c>
      <c r="Q11" s="107">
        <v>-38.1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66</v>
      </c>
      <c r="F12" s="60" t="s">
        <v>22</v>
      </c>
      <c r="G12" s="47">
        <v>2</v>
      </c>
      <c r="H12" s="133">
        <f>IF(B$17=0,0,G12/B$17)</f>
        <v>4.7619047619047616E-2</v>
      </c>
      <c r="I12" s="94">
        <v>9</v>
      </c>
      <c r="K12" s="38">
        <v>10</v>
      </c>
      <c r="L12" s="99">
        <v>-146.69999999999999</v>
      </c>
      <c r="N12" s="116" t="s">
        <v>165</v>
      </c>
      <c r="O12" s="126">
        <f>IF(P12=0,0,Q12/P12)</f>
        <v>-1.0199999999999996</v>
      </c>
      <c r="P12" s="120">
        <v>5</v>
      </c>
      <c r="Q12" s="108">
        <v>-5.0999999999999979</v>
      </c>
    </row>
    <row r="13" spans="1:17" x14ac:dyDescent="0.4">
      <c r="A13" s="58" t="s">
        <v>122</v>
      </c>
      <c r="B13" s="50">
        <v>38</v>
      </c>
      <c r="C13" s="44">
        <f>IF(B$3=0,0,B13/B$3)</f>
        <v>0.25</v>
      </c>
      <c r="E13" s="63" t="s">
        <v>71</v>
      </c>
      <c r="F13" s="60" t="s">
        <v>26</v>
      </c>
      <c r="G13" s="47">
        <v>2</v>
      </c>
      <c r="H13" s="133">
        <f>IF(B$17=0,0,G13/B$17)</f>
        <v>4.7619047619047616E-2</v>
      </c>
      <c r="I13" s="94">
        <v>8</v>
      </c>
      <c r="K13" s="38">
        <v>11</v>
      </c>
      <c r="L13" s="99">
        <v>-114.99999999999999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37</v>
      </c>
      <c r="C14" s="39">
        <f>IF(B$3=0,0,B14/B$3)</f>
        <v>0.24342105263157895</v>
      </c>
      <c r="E14" s="63" t="s">
        <v>79</v>
      </c>
      <c r="F14" s="60" t="s">
        <v>34</v>
      </c>
      <c r="G14" s="47">
        <v>2</v>
      </c>
      <c r="H14" s="133">
        <f>IF(B$17=0,0,G14/B$17)</f>
        <v>4.7619047619047616E-2</v>
      </c>
      <c r="I14" s="94">
        <v>3</v>
      </c>
      <c r="K14" s="38">
        <v>12</v>
      </c>
      <c r="L14" s="99">
        <v>-118.39999999999999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18</v>
      </c>
      <c r="C15" s="37">
        <f>IF(B$13=0,0,B15/B$13)</f>
        <v>0.47368421052631576</v>
      </c>
      <c r="E15" s="63" t="s">
        <v>87</v>
      </c>
      <c r="F15" s="60" t="s">
        <v>42</v>
      </c>
      <c r="G15" s="47">
        <v>2</v>
      </c>
      <c r="H15" s="133">
        <f>IF(B$17=0,0,G15/B$17)</f>
        <v>4.7619047619047616E-2</v>
      </c>
      <c r="I15" s="94">
        <v>7</v>
      </c>
      <c r="K15" s="38">
        <v>13</v>
      </c>
      <c r="L15" s="99">
        <v>-68.399999999999991</v>
      </c>
      <c r="N15" s="114" t="s">
        <v>196</v>
      </c>
      <c r="O15" s="124">
        <f>IF(P15=0,0,Q15/P15)</f>
        <v>64.2</v>
      </c>
      <c r="P15" s="118">
        <v>2</v>
      </c>
      <c r="Q15" s="106">
        <v>128.4</v>
      </c>
    </row>
    <row r="16" spans="1:17" x14ac:dyDescent="0.4">
      <c r="A16" s="54" t="s">
        <v>125</v>
      </c>
      <c r="B16" s="46">
        <v>20</v>
      </c>
      <c r="C16" s="37">
        <f>IF(B$14=0,0,B16/B$14)</f>
        <v>0.54054054054054057</v>
      </c>
      <c r="E16" s="63" t="s">
        <v>72</v>
      </c>
      <c r="F16" s="60" t="s">
        <v>27</v>
      </c>
      <c r="G16" s="47">
        <v>1</v>
      </c>
      <c r="H16" s="133">
        <f>IF(B$17=0,0,G16/B$17)</f>
        <v>2.3809523809523808E-2</v>
      </c>
      <c r="I16" s="94">
        <v>8</v>
      </c>
      <c r="K16" s="38">
        <v>14</v>
      </c>
      <c r="L16" s="99">
        <v>-25.79999999999999</v>
      </c>
      <c r="N16" s="115" t="s">
        <v>180</v>
      </c>
      <c r="O16" s="125">
        <f>IF(P16=0,0,Q16/P16)</f>
        <v>58.8</v>
      </c>
      <c r="P16" s="119">
        <v>2</v>
      </c>
      <c r="Q16" s="107">
        <v>117.6</v>
      </c>
    </row>
    <row r="17" spans="1:17" x14ac:dyDescent="0.4">
      <c r="A17" s="54" t="s">
        <v>10</v>
      </c>
      <c r="B17" s="46">
        <f>B19+B18</f>
        <v>42</v>
      </c>
      <c r="C17" s="37">
        <f>IF(B$3=0,0,B17/B$3)</f>
        <v>0.27631578947368424</v>
      </c>
      <c r="E17" s="63" t="s">
        <v>86</v>
      </c>
      <c r="F17" s="60" t="s">
        <v>41</v>
      </c>
      <c r="G17" s="47">
        <v>1</v>
      </c>
      <c r="H17" s="133">
        <f>IF(B$17=0,0,G17/B$17)</f>
        <v>2.3809523809523808E-2</v>
      </c>
      <c r="I17" s="94">
        <v>2</v>
      </c>
      <c r="K17" s="38">
        <v>15</v>
      </c>
      <c r="L17" s="99">
        <v>-35.499999999999986</v>
      </c>
      <c r="N17" s="115" t="s">
        <v>183</v>
      </c>
      <c r="O17" s="125">
        <f>IF(P17=0,0,Q17/P17)</f>
        <v>38.725000000000001</v>
      </c>
      <c r="P17" s="119">
        <v>4</v>
      </c>
      <c r="Q17" s="107">
        <v>154.9</v>
      </c>
    </row>
    <row r="18" spans="1:17" x14ac:dyDescent="0.4">
      <c r="A18" s="55" t="s">
        <v>12</v>
      </c>
      <c r="B18" s="47">
        <v>15</v>
      </c>
      <c r="C18" s="39">
        <f>IF(B$17=0,0,B18/B$17)</f>
        <v>0.35714285714285715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-35.599999999999987</v>
      </c>
      <c r="N18" s="115" t="s">
        <v>178</v>
      </c>
      <c r="O18" s="125">
        <f>IF(P18=0,0,Q18/P18)</f>
        <v>-4.7857142857142874</v>
      </c>
      <c r="P18" s="119">
        <v>7</v>
      </c>
      <c r="Q18" s="107">
        <v>-33.500000000000014</v>
      </c>
    </row>
    <row r="19" spans="1:17" x14ac:dyDescent="0.4">
      <c r="A19" s="55" t="s">
        <v>11</v>
      </c>
      <c r="B19" s="47">
        <v>27</v>
      </c>
      <c r="C19" s="39">
        <f>IF(B$17=0,0,B19/B$17)</f>
        <v>0.6428571428571429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3</v>
      </c>
      <c r="K19" s="38">
        <v>17</v>
      </c>
      <c r="L19" s="99">
        <v>-29.799999999999986</v>
      </c>
      <c r="N19" s="115" t="s">
        <v>182</v>
      </c>
      <c r="O19" s="125">
        <f>IF(P19=0,0,Q19/P19)</f>
        <v>-15.5</v>
      </c>
      <c r="P19" s="119">
        <v>1</v>
      </c>
      <c r="Q19" s="107">
        <v>-15.5</v>
      </c>
    </row>
    <row r="20" spans="1:17" x14ac:dyDescent="0.4">
      <c r="A20" s="55" t="s">
        <v>13</v>
      </c>
      <c r="B20" s="47">
        <v>18</v>
      </c>
      <c r="C20" s="39">
        <f>IF(B$3=0,0,B20/B$3)</f>
        <v>0.11842105263157894</v>
      </c>
      <c r="E20" s="63" t="s">
        <v>76</v>
      </c>
      <c r="F20" s="60" t="s">
        <v>31</v>
      </c>
      <c r="G20" s="47">
        <v>0</v>
      </c>
      <c r="H20" s="133">
        <f>IF(B$17=0,0,G20/B$17)</f>
        <v>0</v>
      </c>
      <c r="I20" s="94">
        <v>1</v>
      </c>
      <c r="N20" s="115" t="s">
        <v>167</v>
      </c>
      <c r="O20" s="125">
        <f>IF(P20=0,0,Q20/P20)</f>
        <v>-16.399999999999999</v>
      </c>
      <c r="P20" s="119">
        <v>1</v>
      </c>
      <c r="Q20" s="107">
        <v>-16.399999999999999</v>
      </c>
    </row>
    <row r="21" spans="1:17" x14ac:dyDescent="0.4">
      <c r="A21" s="55" t="s">
        <v>170</v>
      </c>
      <c r="B21" s="47">
        <v>5</v>
      </c>
      <c r="C21" s="135">
        <v>1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  <c r="N21" s="115" t="s">
        <v>128</v>
      </c>
      <c r="O21" s="125">
        <f>IF(P21=0,0,Q21/P21)</f>
        <v>-22.281818181818185</v>
      </c>
      <c r="P21" s="119">
        <v>11</v>
      </c>
      <c r="Q21" s="107">
        <v>-245.10000000000005</v>
      </c>
    </row>
    <row r="22" spans="1:17" x14ac:dyDescent="0.4">
      <c r="A22" s="55" t="s">
        <v>171</v>
      </c>
      <c r="B22" s="47">
        <v>44</v>
      </c>
      <c r="C22" s="135">
        <v>6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4</v>
      </c>
      <c r="N22" s="115" t="s">
        <v>127</v>
      </c>
      <c r="O22" s="125">
        <f>IF(P22=0,0,Q22/P22)</f>
        <v>-29.966666666666665</v>
      </c>
      <c r="P22" s="119">
        <v>6</v>
      </c>
      <c r="Q22" s="107">
        <v>-179.79999999999998</v>
      </c>
    </row>
    <row r="23" spans="1:17" x14ac:dyDescent="0.4">
      <c r="A23" s="55" t="s">
        <v>5</v>
      </c>
      <c r="B23" s="51">
        <f>IF(B$17=0,0,C23/B$17)</f>
        <v>7554.7619047619046</v>
      </c>
      <c r="C23" s="41">
        <v>317300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-7383.333333333333</v>
      </c>
      <c r="C24" s="45">
        <v>-132900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9</v>
      </c>
    </row>
    <row r="25" spans="1:17" x14ac:dyDescent="0.4">
      <c r="A25" s="90" t="s">
        <v>141</v>
      </c>
      <c r="B25" s="146">
        <v>5</v>
      </c>
      <c r="C25" s="147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4">
        <v>75000</v>
      </c>
      <c r="C26" s="145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1</v>
      </c>
      <c r="C27" s="42">
        <f>IF(B$3=0,0,B27/B$3)</f>
        <v>6.5789473684210523E-3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4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CD9DB-615D-40D9-BF44-9A36D24B2C39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183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8</v>
      </c>
      <c r="C2" s="153"/>
      <c r="E2" s="62" t="s">
        <v>65</v>
      </c>
      <c r="F2" s="59" t="s">
        <v>21</v>
      </c>
      <c r="G2" s="46">
        <v>9</v>
      </c>
      <c r="H2" s="132">
        <f>IF(B$17=0,0,G2/B$17)</f>
        <v>0.6428571428571429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-3912.5</v>
      </c>
      <c r="P2" s="118">
        <v>8</v>
      </c>
      <c r="Q2" s="102">
        <v>-31300</v>
      </c>
    </row>
    <row r="3" spans="1:17" x14ac:dyDescent="0.4">
      <c r="A3" s="55" t="s">
        <v>8</v>
      </c>
      <c r="B3" s="154">
        <v>69</v>
      </c>
      <c r="C3" s="155"/>
      <c r="E3" s="63" t="s">
        <v>66</v>
      </c>
      <c r="F3" s="60" t="s">
        <v>22</v>
      </c>
      <c r="G3" s="47">
        <v>2</v>
      </c>
      <c r="H3" s="133">
        <f>IF(B$17=0,0,G3/B$17)</f>
        <v>0.14285714285714285</v>
      </c>
      <c r="I3" s="94">
        <v>3</v>
      </c>
      <c r="K3" s="38">
        <v>1</v>
      </c>
      <c r="L3" s="99">
        <v>-12</v>
      </c>
      <c r="N3" s="115" t="s">
        <v>132</v>
      </c>
      <c r="O3" s="122">
        <f t="shared" si="0"/>
        <v>-975</v>
      </c>
      <c r="P3" s="119">
        <v>8</v>
      </c>
      <c r="Q3" s="103">
        <v>-7800</v>
      </c>
    </row>
    <row r="4" spans="1:17" x14ac:dyDescent="0.4">
      <c r="A4" s="55" t="s">
        <v>6</v>
      </c>
      <c r="B4" s="156">
        <v>-152.6</v>
      </c>
      <c r="C4" s="157"/>
      <c r="E4" s="63" t="s">
        <v>67</v>
      </c>
      <c r="F4" s="60" t="s">
        <v>23</v>
      </c>
      <c r="G4" s="47">
        <v>13</v>
      </c>
      <c r="H4" s="133">
        <f>IF(B$17=0,0,G4/B$17)</f>
        <v>0.9285714285714286</v>
      </c>
      <c r="I4" s="94">
        <v>3</v>
      </c>
      <c r="K4" s="38">
        <v>2</v>
      </c>
      <c r="L4" s="99">
        <v>-40.6</v>
      </c>
      <c r="N4" s="115" t="s">
        <v>133</v>
      </c>
      <c r="O4" s="122">
        <f t="shared" si="0"/>
        <v>-1987.5</v>
      </c>
      <c r="P4" s="119">
        <v>8</v>
      </c>
      <c r="Q4" s="103">
        <v>-15900</v>
      </c>
    </row>
    <row r="5" spans="1:17" x14ac:dyDescent="0.4">
      <c r="A5" s="55" t="s">
        <v>7</v>
      </c>
      <c r="B5" s="158">
        <f>IF(B$2=0,0,B$4/B$2)</f>
        <v>-19.074999999999999</v>
      </c>
      <c r="C5" s="159"/>
      <c r="E5" s="63" t="s">
        <v>68</v>
      </c>
      <c r="F5" s="60" t="s">
        <v>24</v>
      </c>
      <c r="G5" s="47">
        <v>10</v>
      </c>
      <c r="H5" s="133">
        <f>IF(B$17=0,0,G5/B$17)</f>
        <v>0.7142857142857143</v>
      </c>
      <c r="I5" s="94">
        <v>1</v>
      </c>
      <c r="K5" s="38">
        <v>3</v>
      </c>
      <c r="L5" s="99">
        <v>-33.6</v>
      </c>
      <c r="N5" s="115" t="s">
        <v>134</v>
      </c>
      <c r="O5" s="122">
        <f t="shared" si="0"/>
        <v>-6414.2857142857147</v>
      </c>
      <c r="P5" s="119">
        <v>7</v>
      </c>
      <c r="Q5" s="103">
        <v>-44900</v>
      </c>
    </row>
    <row r="6" spans="1:17" x14ac:dyDescent="0.4">
      <c r="A6" s="55" t="s">
        <v>1</v>
      </c>
      <c r="B6" s="148">
        <f>IF(B$2=0,0,(B$7*1+B$8*2+B$9*3)/B$2)</f>
        <v>2.5</v>
      </c>
      <c r="C6" s="149"/>
      <c r="E6" s="63" t="s">
        <v>69</v>
      </c>
      <c r="F6" s="60" t="s">
        <v>12</v>
      </c>
      <c r="G6" s="47">
        <v>5</v>
      </c>
      <c r="H6" s="133">
        <f>IF(B$17=0,0,G6/B$17)</f>
        <v>0.35714285714285715</v>
      </c>
      <c r="I6" s="94">
        <v>3</v>
      </c>
      <c r="K6" s="38">
        <v>4</v>
      </c>
      <c r="L6" s="99">
        <v>-80.5</v>
      </c>
      <c r="N6" s="115" t="s">
        <v>135</v>
      </c>
      <c r="O6" s="122">
        <f t="shared" si="0"/>
        <v>-283.33333333333331</v>
      </c>
      <c r="P6" s="119">
        <v>6</v>
      </c>
      <c r="Q6" s="103">
        <v>-1700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0.125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9</v>
      </c>
      <c r="K7" s="38">
        <v>5</v>
      </c>
      <c r="L7" s="99">
        <v>-124.3</v>
      </c>
      <c r="N7" s="116" t="s">
        <v>136</v>
      </c>
      <c r="O7" s="123">
        <f t="shared" si="0"/>
        <v>-2750</v>
      </c>
      <c r="P7" s="120">
        <v>4</v>
      </c>
      <c r="Q7" s="104">
        <v>-11000</v>
      </c>
    </row>
    <row r="8" spans="1:17" x14ac:dyDescent="0.4">
      <c r="A8" s="55" t="s">
        <v>3</v>
      </c>
      <c r="B8" s="47">
        <v>2</v>
      </c>
      <c r="C8" s="39">
        <f t="shared" si="1"/>
        <v>0.25</v>
      </c>
      <c r="E8" s="63" t="s">
        <v>71</v>
      </c>
      <c r="F8" s="60" t="s">
        <v>26</v>
      </c>
      <c r="G8" s="47">
        <v>1</v>
      </c>
      <c r="H8" s="133">
        <f>IF(B$17=0,0,G8/B$17)</f>
        <v>7.1428571428571425E-2</v>
      </c>
      <c r="I8" s="94">
        <v>5</v>
      </c>
      <c r="K8" s="38">
        <v>6</v>
      </c>
      <c r="L8" s="99">
        <v>-159.6</v>
      </c>
      <c r="N8" s="43"/>
      <c r="O8" s="127"/>
      <c r="P8" s="111"/>
      <c r="Q8" s="109"/>
    </row>
    <row r="9" spans="1:17" x14ac:dyDescent="0.4">
      <c r="A9" s="56" t="s">
        <v>4</v>
      </c>
      <c r="B9" s="48">
        <v>5</v>
      </c>
      <c r="C9" s="40">
        <f t="shared" si="1"/>
        <v>0.625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9</v>
      </c>
      <c r="K9" s="38">
        <v>7</v>
      </c>
      <c r="L9" s="99">
        <v>-99.5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0.25</v>
      </c>
      <c r="E10" s="63" t="s">
        <v>73</v>
      </c>
      <c r="F10" s="60" t="s">
        <v>28</v>
      </c>
      <c r="G10" s="47">
        <v>8</v>
      </c>
      <c r="H10" s="133">
        <f>IF(B$17=0,0,G10/B$17)</f>
        <v>0.5714285714285714</v>
      </c>
      <c r="I10" s="94">
        <v>5</v>
      </c>
      <c r="K10" s="38">
        <v>8</v>
      </c>
      <c r="L10" s="99">
        <v>-152.6</v>
      </c>
      <c r="N10" s="114" t="s">
        <v>163</v>
      </c>
      <c r="O10" s="124">
        <f>IF(P10=0,0,Q10/P10)</f>
        <v>-37.333333333333336</v>
      </c>
      <c r="P10" s="118">
        <v>3</v>
      </c>
      <c r="Q10" s="106">
        <v>-112</v>
      </c>
    </row>
    <row r="11" spans="1:17" x14ac:dyDescent="0.4">
      <c r="A11" s="56" t="s">
        <v>139</v>
      </c>
      <c r="B11" s="48">
        <v>1</v>
      </c>
      <c r="C11" s="40">
        <f t="shared" si="1"/>
        <v>0.125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10.600000000000001</v>
      </c>
      <c r="P11" s="119">
        <v>3</v>
      </c>
      <c r="Q11" s="107">
        <v>31.800000000000004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3</v>
      </c>
      <c r="N12" s="116" t="s">
        <v>165</v>
      </c>
      <c r="O12" s="126">
        <f>IF(P12=0,0,Q12/P12)</f>
        <v>-36.200000000000003</v>
      </c>
      <c r="P12" s="120">
        <v>2</v>
      </c>
      <c r="Q12" s="108">
        <v>-72.400000000000006</v>
      </c>
    </row>
    <row r="13" spans="1:17" x14ac:dyDescent="0.4">
      <c r="A13" s="58" t="s">
        <v>122</v>
      </c>
      <c r="B13" s="50">
        <v>19</v>
      </c>
      <c r="C13" s="44">
        <f>IF(B$3=0,0,B13/B$3)</f>
        <v>0.27536231884057971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</v>
      </c>
      <c r="C14" s="39">
        <f>IF(B$3=0,0,B14/B$3)</f>
        <v>0.21739130434782608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9</v>
      </c>
      <c r="C15" s="37">
        <f>IF(B$13=0,0,B15/B$13)</f>
        <v>0.47368421052631576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N15" s="114" t="s">
        <v>178</v>
      </c>
      <c r="O15" s="124">
        <f>IF(P15=0,0,Q15/P15)</f>
        <v>25.975000000000005</v>
      </c>
      <c r="P15" s="118">
        <v>4</v>
      </c>
      <c r="Q15" s="106">
        <v>103.90000000000002</v>
      </c>
    </row>
    <row r="16" spans="1:17" x14ac:dyDescent="0.4">
      <c r="A16" s="54" t="s">
        <v>125</v>
      </c>
      <c r="B16" s="46">
        <v>5</v>
      </c>
      <c r="C16" s="37">
        <f>IF(B$14=0,0,B16/B$14)</f>
        <v>0.33333333333333331</v>
      </c>
      <c r="E16" s="63" t="s">
        <v>79</v>
      </c>
      <c r="F16" s="60" t="s">
        <v>34</v>
      </c>
      <c r="G16" s="47">
        <v>1</v>
      </c>
      <c r="H16" s="133">
        <f>IF(B$17=0,0,G16/B$17)</f>
        <v>7.1428571428571425E-2</v>
      </c>
      <c r="I16" s="94">
        <v>1</v>
      </c>
      <c r="N16" s="115" t="s">
        <v>128</v>
      </c>
      <c r="O16" s="125">
        <f>IF(P16=0,0,Q16/P16)</f>
        <v>-32.799999999999997</v>
      </c>
      <c r="P16" s="119">
        <v>2</v>
      </c>
      <c r="Q16" s="107">
        <v>-65.599999999999994</v>
      </c>
    </row>
    <row r="17" spans="1:17" x14ac:dyDescent="0.4">
      <c r="A17" s="54" t="s">
        <v>10</v>
      </c>
      <c r="B17" s="46">
        <f>B19+B18</f>
        <v>14</v>
      </c>
      <c r="C17" s="37">
        <f>IF(B$3=0,0,B17/B$3)</f>
        <v>0.20289855072463769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5</v>
      </c>
      <c r="N17" s="115" t="s">
        <v>179</v>
      </c>
      <c r="O17" s="125">
        <f>IF(P17=0,0,Q17/P17)</f>
        <v>-38.725000000000001</v>
      </c>
      <c r="P17" s="119">
        <v>4</v>
      </c>
      <c r="Q17" s="107">
        <v>-154.9</v>
      </c>
    </row>
    <row r="18" spans="1:17" x14ac:dyDescent="0.4">
      <c r="A18" s="55" t="s">
        <v>12</v>
      </c>
      <c r="B18" s="47">
        <v>8</v>
      </c>
      <c r="C18" s="39">
        <f>IF(B$17=0,0,B18/B$17)</f>
        <v>0.5714285714285714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182</v>
      </c>
      <c r="O18" s="125">
        <f>IF(P18=0,0,Q18/P18)</f>
        <v>-52.525000000000006</v>
      </c>
      <c r="P18" s="119">
        <v>4</v>
      </c>
      <c r="Q18" s="107">
        <v>-210.10000000000002</v>
      </c>
    </row>
    <row r="19" spans="1:17" x14ac:dyDescent="0.4">
      <c r="A19" s="55" t="s">
        <v>11</v>
      </c>
      <c r="B19" s="47">
        <v>6</v>
      </c>
      <c r="C19" s="39">
        <f>IF(B$17=0,0,B19/B$17)</f>
        <v>0.42857142857142855</v>
      </c>
      <c r="E19" s="63" t="s">
        <v>82</v>
      </c>
      <c r="F19" s="60" t="s">
        <v>37</v>
      </c>
      <c r="G19" s="47">
        <v>1</v>
      </c>
      <c r="H19" s="133">
        <f>IF(B$17=0,0,G19/B$17)</f>
        <v>7.1428571428571425E-2</v>
      </c>
      <c r="I19" s="94">
        <v>1</v>
      </c>
      <c r="N19" s="115" t="s">
        <v>196</v>
      </c>
      <c r="O19" s="125">
        <f>IF(P19=0,0,Q19/P19)</f>
        <v>-65.55</v>
      </c>
      <c r="P19" s="119">
        <v>2</v>
      </c>
      <c r="Q19" s="107">
        <v>-131.1</v>
      </c>
    </row>
    <row r="20" spans="1:17" x14ac:dyDescent="0.4">
      <c r="A20" s="55" t="s">
        <v>13</v>
      </c>
      <c r="B20" s="47">
        <v>17</v>
      </c>
      <c r="C20" s="39">
        <f>IF(B$3=0,0,B20/B$3)</f>
        <v>0.24637681159420291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7.1428571428571425E-2</v>
      </c>
      <c r="I21" s="94">
        <v>5</v>
      </c>
    </row>
    <row r="22" spans="1:17" x14ac:dyDescent="0.4">
      <c r="A22" s="55" t="s">
        <v>171</v>
      </c>
      <c r="B22" s="47">
        <v>11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9742.8571428571431</v>
      </c>
      <c r="C23" s="41">
        <v>136400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-10035.294117647059</v>
      </c>
      <c r="C24" s="45">
        <v>-170600</v>
      </c>
      <c r="E24" s="63" t="s">
        <v>87</v>
      </c>
      <c r="F24" s="60" t="s">
        <v>42</v>
      </c>
      <c r="G24" s="47">
        <v>2</v>
      </c>
      <c r="H24" s="133">
        <f>IF(B$17=0,0,G24/B$17)</f>
        <v>0.14285714285714285</v>
      </c>
      <c r="I24" s="94">
        <v>1</v>
      </c>
    </row>
    <row r="25" spans="1:17" x14ac:dyDescent="0.4">
      <c r="A25" s="90" t="s">
        <v>141</v>
      </c>
      <c r="B25" s="146">
        <v>6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4">
        <v>85100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10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4</v>
      </c>
    </row>
    <row r="51" spans="5:9" x14ac:dyDescent="0.4">
      <c r="E51" s="136" t="s">
        <v>172</v>
      </c>
      <c r="F51" s="137" t="s">
        <v>173</v>
      </c>
      <c r="G51" s="48">
        <v>6</v>
      </c>
      <c r="H51" s="138">
        <f>IF(B$17=0,0,G51/B$17)</f>
        <v>0.42857142857142855</v>
      </c>
      <c r="I51" s="139">
        <v>2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471A-0CF4-40E3-AFDD-127B55705D3E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182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10</v>
      </c>
      <c r="C2" s="153"/>
      <c r="E2" s="62" t="s">
        <v>67</v>
      </c>
      <c r="F2" s="59" t="s">
        <v>23</v>
      </c>
      <c r="G2" s="46">
        <v>33</v>
      </c>
      <c r="H2" s="132">
        <f>IF(B$17=0,0,G2/B$17)</f>
        <v>1.064516129032258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-1650</v>
      </c>
      <c r="P2" s="118">
        <v>10</v>
      </c>
      <c r="Q2" s="102">
        <v>-16500</v>
      </c>
    </row>
    <row r="3" spans="1:17" x14ac:dyDescent="0.4">
      <c r="A3" s="55" t="s">
        <v>8</v>
      </c>
      <c r="B3" s="154">
        <v>93</v>
      </c>
      <c r="C3" s="155"/>
      <c r="E3" s="63" t="s">
        <v>65</v>
      </c>
      <c r="F3" s="60" t="s">
        <v>21</v>
      </c>
      <c r="G3" s="47">
        <v>20</v>
      </c>
      <c r="H3" s="133">
        <f>IF(B$17=0,0,G3/B$17)</f>
        <v>0.64516129032258063</v>
      </c>
      <c r="I3" s="94">
        <v>1</v>
      </c>
      <c r="K3" s="38">
        <v>1</v>
      </c>
      <c r="L3" s="99">
        <v>70.2</v>
      </c>
      <c r="N3" s="115" t="s">
        <v>132</v>
      </c>
      <c r="O3" s="122">
        <f t="shared" si="0"/>
        <v>5400</v>
      </c>
      <c r="P3" s="119">
        <v>10</v>
      </c>
      <c r="Q3" s="103">
        <v>54000</v>
      </c>
    </row>
    <row r="4" spans="1:17" x14ac:dyDescent="0.4">
      <c r="A4" s="55" t="s">
        <v>6</v>
      </c>
      <c r="B4" s="156">
        <v>162.80000000000001</v>
      </c>
      <c r="C4" s="157"/>
      <c r="E4" s="63" t="s">
        <v>69</v>
      </c>
      <c r="F4" s="60" t="s">
        <v>12</v>
      </c>
      <c r="G4" s="47">
        <v>12</v>
      </c>
      <c r="H4" s="133">
        <f>IF(B$17=0,0,G4/B$17)</f>
        <v>0.38709677419354838</v>
      </c>
      <c r="I4" s="94">
        <v>1</v>
      </c>
      <c r="K4" s="38">
        <v>2</v>
      </c>
      <c r="L4" s="99">
        <v>68.5</v>
      </c>
      <c r="N4" s="115" t="s">
        <v>133</v>
      </c>
      <c r="O4" s="122">
        <f t="shared" si="0"/>
        <v>-40</v>
      </c>
      <c r="P4" s="119">
        <v>10</v>
      </c>
      <c r="Q4" s="103">
        <v>-400</v>
      </c>
    </row>
    <row r="5" spans="1:17" x14ac:dyDescent="0.4">
      <c r="A5" s="55" t="s">
        <v>7</v>
      </c>
      <c r="B5" s="158">
        <f>IF(B$2=0,0,B$4/B$2)</f>
        <v>16.28</v>
      </c>
      <c r="C5" s="159"/>
      <c r="E5" s="63" t="s">
        <v>172</v>
      </c>
      <c r="F5" s="60" t="s">
        <v>173</v>
      </c>
      <c r="G5" s="47">
        <v>12</v>
      </c>
      <c r="H5" s="133">
        <f>IF(B$17=0,0,G5/B$17)</f>
        <v>0.38709677419354838</v>
      </c>
      <c r="I5" s="94">
        <v>4</v>
      </c>
      <c r="K5" s="38">
        <v>3</v>
      </c>
      <c r="L5" s="99">
        <v>76</v>
      </c>
      <c r="N5" s="115" t="s">
        <v>134</v>
      </c>
      <c r="O5" s="122">
        <f t="shared" si="0"/>
        <v>-200</v>
      </c>
      <c r="P5" s="119">
        <v>10</v>
      </c>
      <c r="Q5" s="103">
        <v>-2000</v>
      </c>
    </row>
    <row r="6" spans="1:17" x14ac:dyDescent="0.4">
      <c r="A6" s="55" t="s">
        <v>1</v>
      </c>
      <c r="B6" s="148">
        <f>IF(B$2=0,0,(B$7*1+B$8*2+B$9*3)/B$2)</f>
        <v>1.6</v>
      </c>
      <c r="C6" s="149"/>
      <c r="E6" s="63" t="s">
        <v>73</v>
      </c>
      <c r="F6" s="60" t="s">
        <v>28</v>
      </c>
      <c r="G6" s="47">
        <v>9</v>
      </c>
      <c r="H6" s="133">
        <f>IF(B$17=0,0,G6/B$17)</f>
        <v>0.29032258064516131</v>
      </c>
      <c r="I6" s="94">
        <v>10</v>
      </c>
      <c r="K6" s="38">
        <v>4</v>
      </c>
      <c r="L6" s="99">
        <v>115.5</v>
      </c>
      <c r="N6" s="115" t="s">
        <v>135</v>
      </c>
      <c r="O6" s="122">
        <f t="shared" si="0"/>
        <v>7300</v>
      </c>
      <c r="P6" s="119">
        <v>10</v>
      </c>
      <c r="Q6" s="103">
        <v>73000</v>
      </c>
    </row>
    <row r="7" spans="1:17" x14ac:dyDescent="0.4">
      <c r="A7" s="55" t="s">
        <v>2</v>
      </c>
      <c r="B7" s="47">
        <v>5</v>
      </c>
      <c r="C7" s="39">
        <f t="shared" ref="C7:C12" si="1">IF(B$2=0,0,B7/B$2)</f>
        <v>0.5</v>
      </c>
      <c r="E7" s="63" t="s">
        <v>68</v>
      </c>
      <c r="F7" s="60" t="s">
        <v>24</v>
      </c>
      <c r="G7" s="47">
        <v>7</v>
      </c>
      <c r="H7" s="133">
        <f>IF(B$17=0,0,G7/B$17)</f>
        <v>0.22580645161290322</v>
      </c>
      <c r="I7" s="94">
        <v>7</v>
      </c>
      <c r="K7" s="38">
        <v>5</v>
      </c>
      <c r="L7" s="99">
        <v>127.9</v>
      </c>
      <c r="N7" s="116" t="s">
        <v>136</v>
      </c>
      <c r="O7" s="123">
        <f t="shared" si="0"/>
        <v>1837.5</v>
      </c>
      <c r="P7" s="120">
        <v>8</v>
      </c>
      <c r="Q7" s="104">
        <v>14700</v>
      </c>
    </row>
    <row r="8" spans="1:17" x14ac:dyDescent="0.4">
      <c r="A8" s="55" t="s">
        <v>3</v>
      </c>
      <c r="B8" s="47">
        <v>4</v>
      </c>
      <c r="C8" s="39">
        <f t="shared" si="1"/>
        <v>0.4</v>
      </c>
      <c r="E8" s="63" t="s">
        <v>70</v>
      </c>
      <c r="F8" s="60" t="s">
        <v>25</v>
      </c>
      <c r="G8" s="47">
        <v>7</v>
      </c>
      <c r="H8" s="133">
        <f>IF(B$17=0,0,G8/B$17)</f>
        <v>0.22580645161290322</v>
      </c>
      <c r="I8" s="94">
        <v>2</v>
      </c>
      <c r="K8" s="38">
        <v>6</v>
      </c>
      <c r="L8" s="99">
        <v>149.4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1"/>
        <v>0.1</v>
      </c>
      <c r="E9" s="63" t="s">
        <v>71</v>
      </c>
      <c r="F9" s="60" t="s">
        <v>26</v>
      </c>
      <c r="G9" s="47">
        <v>4</v>
      </c>
      <c r="H9" s="133">
        <f>IF(B$17=0,0,G9/B$17)</f>
        <v>0.12903225806451613</v>
      </c>
      <c r="I9" s="94">
        <v>3</v>
      </c>
      <c r="K9" s="38">
        <v>7</v>
      </c>
      <c r="L9" s="99">
        <v>123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72</v>
      </c>
      <c r="F10" s="60" t="s">
        <v>27</v>
      </c>
      <c r="G10" s="47">
        <v>4</v>
      </c>
      <c r="H10" s="133">
        <f>IF(B$17=0,0,G10/B$17)</f>
        <v>0.12903225806451613</v>
      </c>
      <c r="I10" s="94">
        <v>2</v>
      </c>
      <c r="K10" s="38">
        <v>8</v>
      </c>
      <c r="L10" s="99">
        <v>124.6</v>
      </c>
      <c r="N10" s="114" t="s">
        <v>163</v>
      </c>
      <c r="O10" s="124">
        <f>IF(P10=0,0,Q10/P10)</f>
        <v>4.4400000000000004</v>
      </c>
      <c r="P10" s="118">
        <v>5</v>
      </c>
      <c r="Q10" s="106">
        <v>22.200000000000003</v>
      </c>
    </row>
    <row r="11" spans="1:17" x14ac:dyDescent="0.4">
      <c r="A11" s="56" t="s">
        <v>139</v>
      </c>
      <c r="B11" s="48">
        <v>2</v>
      </c>
      <c r="C11" s="40">
        <f t="shared" si="1"/>
        <v>0.2</v>
      </c>
      <c r="E11" s="63" t="s">
        <v>66</v>
      </c>
      <c r="F11" s="60" t="s">
        <v>22</v>
      </c>
      <c r="G11" s="47">
        <v>2</v>
      </c>
      <c r="H11" s="133">
        <f>IF(B$17=0,0,G11/B$17)</f>
        <v>6.4516129032258063E-2</v>
      </c>
      <c r="I11" s="94">
        <v>8</v>
      </c>
      <c r="K11" s="38">
        <v>9</v>
      </c>
      <c r="L11" s="99">
        <v>141.5</v>
      </c>
      <c r="N11" s="115" t="s">
        <v>164</v>
      </c>
      <c r="O11" s="125">
        <f>IF(P11=0,0,Q11/P11)</f>
        <v>35.9</v>
      </c>
      <c r="P11" s="119">
        <v>2</v>
      </c>
      <c r="Q11" s="107">
        <v>71.8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87</v>
      </c>
      <c r="F12" s="60" t="s">
        <v>42</v>
      </c>
      <c r="G12" s="47">
        <v>2</v>
      </c>
      <c r="H12" s="133">
        <f>IF(B$17=0,0,G12/B$17)</f>
        <v>6.4516129032258063E-2</v>
      </c>
      <c r="I12" s="94">
        <v>4</v>
      </c>
      <c r="K12" s="38">
        <v>10</v>
      </c>
      <c r="L12" s="99">
        <v>162.80000000000001</v>
      </c>
      <c r="N12" s="116" t="s">
        <v>165</v>
      </c>
      <c r="O12" s="126">
        <f>IF(P12=0,0,Q12/P12)</f>
        <v>22.933333333333334</v>
      </c>
      <c r="P12" s="120">
        <v>3</v>
      </c>
      <c r="Q12" s="108">
        <v>68.8</v>
      </c>
    </row>
    <row r="13" spans="1:17" x14ac:dyDescent="0.4">
      <c r="A13" s="58" t="s">
        <v>122</v>
      </c>
      <c r="B13" s="50">
        <v>29</v>
      </c>
      <c r="C13" s="44">
        <f>IF(B$3=0,0,B13/B$3)</f>
        <v>0.31182795698924731</v>
      </c>
      <c r="E13" s="63" t="s">
        <v>90</v>
      </c>
      <c r="F13" s="60" t="s">
        <v>45</v>
      </c>
      <c r="G13" s="47">
        <v>2</v>
      </c>
      <c r="H13" s="133">
        <f>IF(B$17=0,0,G13/B$17)</f>
        <v>6.4516129032258063E-2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</v>
      </c>
      <c r="C14" s="39">
        <f>IF(B$3=0,0,B14/B$3)</f>
        <v>0.15053763440860216</v>
      </c>
      <c r="E14" s="63" t="s">
        <v>82</v>
      </c>
      <c r="F14" s="60" t="s">
        <v>37</v>
      </c>
      <c r="G14" s="47">
        <v>1</v>
      </c>
      <c r="H14" s="133">
        <f>IF(B$17=0,0,G14/B$17)</f>
        <v>3.2258064516129031E-2</v>
      </c>
      <c r="I14" s="94">
        <v>5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19</v>
      </c>
      <c r="C15" s="37">
        <f>IF(B$13=0,0,B15/B$13)</f>
        <v>0.65517241379310343</v>
      </c>
      <c r="E15" s="63" t="s">
        <v>86</v>
      </c>
      <c r="F15" s="60" t="s">
        <v>41</v>
      </c>
      <c r="G15" s="47">
        <v>1</v>
      </c>
      <c r="H15" s="133">
        <f>IF(B$17=0,0,G15/B$17)</f>
        <v>3.2258064516129031E-2</v>
      </c>
      <c r="I15" s="94">
        <v>1</v>
      </c>
      <c r="N15" s="114" t="s">
        <v>178</v>
      </c>
      <c r="O15" s="124">
        <f>IF(P15=0,0,Q15/P15)</f>
        <v>107.2</v>
      </c>
      <c r="P15" s="118">
        <v>2</v>
      </c>
      <c r="Q15" s="106">
        <v>214.4</v>
      </c>
    </row>
    <row r="16" spans="1:17" x14ac:dyDescent="0.4">
      <c r="A16" s="54" t="s">
        <v>125</v>
      </c>
      <c r="B16" s="46">
        <v>5</v>
      </c>
      <c r="C16" s="37">
        <f>IF(B$14=0,0,B16/B$14)</f>
        <v>0.35714285714285715</v>
      </c>
      <c r="E16" s="63" t="s">
        <v>88</v>
      </c>
      <c r="F16" s="60" t="s">
        <v>43</v>
      </c>
      <c r="G16" s="47">
        <v>1</v>
      </c>
      <c r="H16" s="133">
        <f>IF(B$17=0,0,G16/B$17)</f>
        <v>3.2258064516129031E-2</v>
      </c>
      <c r="I16" s="94">
        <v>1</v>
      </c>
      <c r="N16" s="115" t="s">
        <v>183</v>
      </c>
      <c r="O16" s="125">
        <f>IF(P16=0,0,Q16/P16)</f>
        <v>52.525000000000006</v>
      </c>
      <c r="P16" s="119">
        <v>4</v>
      </c>
      <c r="Q16" s="107">
        <v>210.10000000000002</v>
      </c>
    </row>
    <row r="17" spans="1:17" x14ac:dyDescent="0.4">
      <c r="A17" s="54" t="s">
        <v>10</v>
      </c>
      <c r="B17" s="46">
        <f>B19+B18</f>
        <v>31</v>
      </c>
      <c r="C17" s="37">
        <f>IF(B$3=0,0,B17/B$3)</f>
        <v>0.33333333333333331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1</v>
      </c>
      <c r="N17" s="115" t="s">
        <v>180</v>
      </c>
      <c r="O17" s="125">
        <f>IF(P17=0,0,Q17/P17)</f>
        <v>26.35</v>
      </c>
      <c r="P17" s="119">
        <v>4</v>
      </c>
      <c r="Q17" s="107">
        <v>105.4</v>
      </c>
    </row>
    <row r="18" spans="1:17" x14ac:dyDescent="0.4">
      <c r="A18" s="55" t="s">
        <v>12</v>
      </c>
      <c r="B18" s="47">
        <v>15</v>
      </c>
      <c r="C18" s="39">
        <f>IF(B$17=0,0,B18/B$17)</f>
        <v>0.4838709677419355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3</v>
      </c>
      <c r="N18" s="115" t="s">
        <v>128</v>
      </c>
      <c r="O18" s="125">
        <f>IF(P18=0,0,Q18/P18)</f>
        <v>22.6</v>
      </c>
      <c r="P18" s="119">
        <v>1</v>
      </c>
      <c r="Q18" s="107">
        <v>22.6</v>
      </c>
    </row>
    <row r="19" spans="1:17" x14ac:dyDescent="0.4">
      <c r="A19" s="55" t="s">
        <v>11</v>
      </c>
      <c r="B19" s="47">
        <v>16</v>
      </c>
      <c r="C19" s="39">
        <f>IF(B$17=0,0,B19/B$17)</f>
        <v>0.5161290322580645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1</v>
      </c>
      <c r="N19" s="115" t="s">
        <v>179</v>
      </c>
      <c r="O19" s="125">
        <f>IF(P19=0,0,Q19/P19)</f>
        <v>15.5</v>
      </c>
      <c r="P19" s="119">
        <v>1</v>
      </c>
      <c r="Q19" s="107">
        <v>15.5</v>
      </c>
    </row>
    <row r="20" spans="1:17" x14ac:dyDescent="0.4">
      <c r="A20" s="55" t="s">
        <v>13</v>
      </c>
      <c r="B20" s="47">
        <v>9</v>
      </c>
      <c r="C20" s="39">
        <f>IF(B$3=0,0,B20/B$3)</f>
        <v>9.6774193548387094E-2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N20" s="115" t="s">
        <v>167</v>
      </c>
      <c r="O20" s="125">
        <f>IF(P20=0,0,Q20/P20)</f>
        <v>10.825000000000001</v>
      </c>
      <c r="P20" s="119">
        <v>4</v>
      </c>
      <c r="Q20" s="107">
        <v>43.300000000000004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  <c r="N21" s="115" t="s">
        <v>196</v>
      </c>
      <c r="O21" s="125">
        <f>IF(P21=0,0,Q21/P21)</f>
        <v>-17.850000000000001</v>
      </c>
      <c r="P21" s="119">
        <v>2</v>
      </c>
      <c r="Q21" s="107">
        <v>-35.700000000000003</v>
      </c>
    </row>
    <row r="22" spans="1:17" x14ac:dyDescent="0.4">
      <c r="A22" s="55" t="s">
        <v>171</v>
      </c>
      <c r="B22" s="47">
        <v>19</v>
      </c>
      <c r="C22" s="135">
        <v>9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7</v>
      </c>
      <c r="N22" s="115" t="s">
        <v>127</v>
      </c>
      <c r="O22" s="125">
        <f>IF(P22=0,0,Q22/P22)</f>
        <v>-43.599999999999994</v>
      </c>
      <c r="P22" s="119">
        <v>2</v>
      </c>
      <c r="Q22" s="107">
        <v>-87.199999999999989</v>
      </c>
    </row>
    <row r="23" spans="1:17" x14ac:dyDescent="0.4">
      <c r="A23" s="55" t="s">
        <v>5</v>
      </c>
      <c r="B23" s="51">
        <f>IF(B$17=0,0,C23/B$17)</f>
        <v>7790.322580645161</v>
      </c>
      <c r="C23" s="41">
        <v>241500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-4433.333333333333</v>
      </c>
      <c r="C24" s="45">
        <v>-39900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6">
        <v>7</v>
      </c>
      <c r="C25" s="147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4">
        <v>95200</v>
      </c>
      <c r="C26" s="145"/>
      <c r="E26" s="63" t="s">
        <v>84</v>
      </c>
      <c r="F26" s="60" t="s">
        <v>39</v>
      </c>
      <c r="G26" s="47">
        <v>0</v>
      </c>
      <c r="H26" s="133">
        <f>IF(B$17=0,0,G26/B$17)</f>
        <v>0</v>
      </c>
      <c r="I26" s="94">
        <v>9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4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B55A-02FA-447B-A9BB-763BF778AFE2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196</v>
      </c>
      <c r="C1" s="151"/>
      <c r="E1" s="129" t="s">
        <v>166</v>
      </c>
      <c r="F1" s="143" t="s">
        <v>116</v>
      </c>
      <c r="G1" s="142" t="s">
        <v>117</v>
      </c>
      <c r="H1" s="130" t="s">
        <v>118</v>
      </c>
      <c r="I1" s="143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4</v>
      </c>
      <c r="C2" s="153"/>
      <c r="E2" s="62" t="s">
        <v>65</v>
      </c>
      <c r="F2" s="59" t="s">
        <v>21</v>
      </c>
      <c r="G2" s="46">
        <v>5</v>
      </c>
      <c r="H2" s="132">
        <f>IF(B$17=0,0,G2/B$17)</f>
        <v>0.5</v>
      </c>
      <c r="I2" s="93">
        <v>4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-750</v>
      </c>
      <c r="P2" s="118">
        <v>4</v>
      </c>
      <c r="Q2" s="102">
        <v>-3000</v>
      </c>
    </row>
    <row r="3" spans="1:17" x14ac:dyDescent="0.4">
      <c r="A3" s="55" t="s">
        <v>8</v>
      </c>
      <c r="B3" s="154">
        <v>40</v>
      </c>
      <c r="C3" s="155"/>
      <c r="E3" s="63" t="s">
        <v>66</v>
      </c>
      <c r="F3" s="60" t="s">
        <v>22</v>
      </c>
      <c r="G3" s="47">
        <v>2</v>
      </c>
      <c r="H3" s="133">
        <f>IF(B$17=0,0,G3/B$17)</f>
        <v>0.2</v>
      </c>
      <c r="I3" s="94">
        <v>1</v>
      </c>
      <c r="K3" s="38">
        <v>1</v>
      </c>
      <c r="L3" s="99">
        <v>21.1</v>
      </c>
      <c r="N3" s="115" t="s">
        <v>132</v>
      </c>
      <c r="O3" s="122">
        <f t="shared" si="0"/>
        <v>3025</v>
      </c>
      <c r="P3" s="119">
        <v>4</v>
      </c>
      <c r="Q3" s="103">
        <v>12100</v>
      </c>
    </row>
    <row r="4" spans="1:17" x14ac:dyDescent="0.4">
      <c r="A4" s="55" t="s">
        <v>6</v>
      </c>
      <c r="B4" s="156">
        <v>-37.400000000000006</v>
      </c>
      <c r="C4" s="157"/>
      <c r="E4" s="63" t="s">
        <v>67</v>
      </c>
      <c r="F4" s="60" t="s">
        <v>23</v>
      </c>
      <c r="G4" s="47">
        <v>9</v>
      </c>
      <c r="H4" s="133">
        <f>IF(B$17=0,0,G4/B$17)</f>
        <v>0.9</v>
      </c>
      <c r="I4" s="94">
        <v>4</v>
      </c>
      <c r="K4" s="38">
        <v>2</v>
      </c>
      <c r="L4" s="99">
        <v>-25.4</v>
      </c>
      <c r="N4" s="115" t="s">
        <v>133</v>
      </c>
      <c r="O4" s="122">
        <f t="shared" si="0"/>
        <v>-10100</v>
      </c>
      <c r="P4" s="119">
        <v>4</v>
      </c>
      <c r="Q4" s="103">
        <v>-40400</v>
      </c>
    </row>
    <row r="5" spans="1:17" x14ac:dyDescent="0.4">
      <c r="A5" s="55" t="s">
        <v>7</v>
      </c>
      <c r="B5" s="158">
        <f>IF(B$2=0,0,B$4/B$2)</f>
        <v>-9.3500000000000014</v>
      </c>
      <c r="C5" s="159"/>
      <c r="E5" s="63" t="s">
        <v>68</v>
      </c>
      <c r="F5" s="60" t="s">
        <v>24</v>
      </c>
      <c r="G5" s="47">
        <v>6</v>
      </c>
      <c r="H5" s="133">
        <f>IF(B$17=0,0,G5/B$17)</f>
        <v>0.6</v>
      </c>
      <c r="I5" s="94">
        <v>2</v>
      </c>
      <c r="K5" s="38">
        <v>3</v>
      </c>
      <c r="L5" s="99">
        <v>-71.900000000000006</v>
      </c>
      <c r="N5" s="115" t="s">
        <v>134</v>
      </c>
      <c r="O5" s="122">
        <f t="shared" si="0"/>
        <v>-4000</v>
      </c>
      <c r="P5" s="119">
        <v>4</v>
      </c>
      <c r="Q5" s="103">
        <v>-16000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69</v>
      </c>
      <c r="F6" s="60" t="s">
        <v>12</v>
      </c>
      <c r="G6" s="47">
        <v>2</v>
      </c>
      <c r="H6" s="133">
        <f>IF(B$17=0,0,G6/B$17)</f>
        <v>0.2</v>
      </c>
      <c r="I6" s="94">
        <v>10</v>
      </c>
      <c r="K6" s="38">
        <v>4</v>
      </c>
      <c r="L6" s="99">
        <v>-37.400000000000006</v>
      </c>
      <c r="N6" s="115" t="s">
        <v>135</v>
      </c>
      <c r="O6" s="122">
        <f t="shared" si="0"/>
        <v>7200</v>
      </c>
      <c r="P6" s="119">
        <v>2</v>
      </c>
      <c r="Q6" s="103">
        <v>14400</v>
      </c>
    </row>
    <row r="7" spans="1:17" x14ac:dyDescent="0.4">
      <c r="A7" s="55" t="s">
        <v>2</v>
      </c>
      <c r="B7" s="47">
        <v>2</v>
      </c>
      <c r="C7" s="39">
        <f t="shared" ref="C7:C12" si="1">IF(B$2=0,0,B7/B$2)</f>
        <v>0.5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9</v>
      </c>
      <c r="N7" s="116" t="s">
        <v>136</v>
      </c>
      <c r="O7" s="123">
        <f t="shared" si="0"/>
        <v>-4500</v>
      </c>
      <c r="P7" s="120">
        <v>1</v>
      </c>
      <c r="Q7" s="104">
        <v>-4500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71</v>
      </c>
      <c r="F8" s="60" t="s">
        <v>26</v>
      </c>
      <c r="G8" s="47">
        <v>1</v>
      </c>
      <c r="H8" s="133">
        <f>IF(B$17=0,0,G8/B$17)</f>
        <v>0.1</v>
      </c>
      <c r="I8" s="94">
        <v>4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0.5</v>
      </c>
      <c r="E10" s="63" t="s">
        <v>73</v>
      </c>
      <c r="F10" s="60" t="s">
        <v>28</v>
      </c>
      <c r="G10" s="47">
        <v>5</v>
      </c>
      <c r="H10" s="133">
        <f>IF(B$17=0,0,G10/B$17)</f>
        <v>0.5</v>
      </c>
      <c r="I10" s="94">
        <v>8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1</v>
      </c>
      <c r="C11" s="40">
        <f t="shared" si="1"/>
        <v>0.25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-9.3500000000000014</v>
      </c>
      <c r="P11" s="119">
        <v>4</v>
      </c>
      <c r="Q11" s="107">
        <v>-37.400000000000006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3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11</v>
      </c>
      <c r="C13" s="44">
        <f>IF(B$3=0,0,B13/B$3)</f>
        <v>0.27500000000000002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</v>
      </c>
      <c r="C14" s="39">
        <f>IF(B$3=0,0,B14/B$3)</f>
        <v>0.35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5</v>
      </c>
      <c r="C15" s="37">
        <f>IF(B$13=0,0,B15/B$13)</f>
        <v>0.45454545454545453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N15" s="114" t="s">
        <v>183</v>
      </c>
      <c r="O15" s="124">
        <f>IF(P15=0,0,Q15/P15)</f>
        <v>65.55</v>
      </c>
      <c r="P15" s="118">
        <v>2</v>
      </c>
      <c r="Q15" s="106">
        <v>131.1</v>
      </c>
    </row>
    <row r="16" spans="1:17" x14ac:dyDescent="0.4">
      <c r="A16" s="54" t="s">
        <v>125</v>
      </c>
      <c r="B16" s="46">
        <v>4</v>
      </c>
      <c r="C16" s="37">
        <f>IF(B$14=0,0,B16/B$14)</f>
        <v>0.2857142857142857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N16" s="115" t="s">
        <v>182</v>
      </c>
      <c r="O16" s="125">
        <f>IF(P16=0,0,Q16/P16)</f>
        <v>17.850000000000001</v>
      </c>
      <c r="P16" s="119">
        <v>2</v>
      </c>
      <c r="Q16" s="107">
        <v>35.700000000000003</v>
      </c>
    </row>
    <row r="17" spans="1:17" x14ac:dyDescent="0.4">
      <c r="A17" s="54" t="s">
        <v>10</v>
      </c>
      <c r="B17" s="46">
        <f>B19+B18</f>
        <v>10</v>
      </c>
      <c r="C17" s="37">
        <f>IF(B$3=0,0,B17/B$3)</f>
        <v>0.25</v>
      </c>
      <c r="E17" s="63" t="s">
        <v>80</v>
      </c>
      <c r="F17" s="60" t="s">
        <v>35</v>
      </c>
      <c r="G17" s="47">
        <v>1</v>
      </c>
      <c r="H17" s="133">
        <f>IF(B$17=0,0,G17/B$17)</f>
        <v>0.1</v>
      </c>
      <c r="I17" s="94">
        <v>1</v>
      </c>
      <c r="N17" s="115" t="s">
        <v>179</v>
      </c>
      <c r="O17" s="125">
        <f>IF(P17=0,0,Q17/P17)</f>
        <v>-64.2</v>
      </c>
      <c r="P17" s="119">
        <v>2</v>
      </c>
      <c r="Q17" s="107">
        <v>-128.4</v>
      </c>
    </row>
    <row r="18" spans="1:17" x14ac:dyDescent="0.4">
      <c r="A18" s="55" t="s">
        <v>12</v>
      </c>
      <c r="B18" s="47">
        <v>4</v>
      </c>
      <c r="C18" s="39">
        <f>IF(B$17=0,0,B18/B$17)</f>
        <v>0.4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>IF(P18=0,0,Q18/P18)</f>
        <v>-75.3</v>
      </c>
      <c r="P18" s="119">
        <v>2</v>
      </c>
      <c r="Q18" s="107">
        <v>-150.6</v>
      </c>
    </row>
    <row r="19" spans="1:17" x14ac:dyDescent="0.4">
      <c r="A19" s="55" t="s">
        <v>11</v>
      </c>
      <c r="B19" s="47">
        <v>6</v>
      </c>
      <c r="C19" s="39">
        <f>IF(B$17=0,0,B19/B$17)</f>
        <v>0.6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9</v>
      </c>
    </row>
    <row r="20" spans="1:17" x14ac:dyDescent="0.4">
      <c r="A20" s="55" t="s">
        <v>13</v>
      </c>
      <c r="B20" s="47">
        <v>7</v>
      </c>
      <c r="C20" s="39">
        <f>IF(B$3=0,0,B20/B$3)</f>
        <v>0.17499999999999999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2</v>
      </c>
      <c r="C21" s="135">
        <v>2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9</v>
      </c>
    </row>
    <row r="22" spans="1:17" x14ac:dyDescent="0.4">
      <c r="A22" s="55" t="s">
        <v>171</v>
      </c>
      <c r="B22" s="47">
        <v>13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7780</v>
      </c>
      <c r="C23" s="41">
        <v>77800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-9142.8571428571431</v>
      </c>
      <c r="C24" s="45">
        <v>-64000</v>
      </c>
      <c r="E24" s="63" t="s">
        <v>87</v>
      </c>
      <c r="F24" s="60" t="s">
        <v>42</v>
      </c>
      <c r="G24" s="47">
        <v>1</v>
      </c>
      <c r="H24" s="133">
        <f>IF(B$17=0,0,G24/B$17)</f>
        <v>0.1</v>
      </c>
      <c r="I24" s="94">
        <v>2</v>
      </c>
    </row>
    <row r="25" spans="1:17" x14ac:dyDescent="0.4">
      <c r="A25" s="90" t="s">
        <v>141</v>
      </c>
      <c r="B25" s="146">
        <v>3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4">
        <v>59500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0.1</v>
      </c>
      <c r="I27" s="94">
        <v>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4</v>
      </c>
    </row>
    <row r="51" spans="5:9" x14ac:dyDescent="0.4">
      <c r="E51" s="136" t="s">
        <v>172</v>
      </c>
      <c r="F51" s="137" t="s">
        <v>173</v>
      </c>
      <c r="G51" s="48">
        <v>2</v>
      </c>
      <c r="H51" s="138">
        <f>IF(B$17=0,0,G51/B$17)</f>
        <v>0.2</v>
      </c>
      <c r="I51" s="139">
        <v>9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0B42B-035C-4745-9D27-596E460E45CB}">
  <sheetPr codeName="Sheet24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196</v>
      </c>
      <c r="B1" s="70" t="s">
        <v>196</v>
      </c>
      <c r="C1" s="70" t="s">
        <v>196</v>
      </c>
      <c r="D1" s="71" t="s">
        <v>196</v>
      </c>
      <c r="E1" s="70" t="s">
        <v>196</v>
      </c>
      <c r="F1" s="70" t="s">
        <v>196</v>
      </c>
      <c r="G1" s="70" t="s">
        <v>196</v>
      </c>
      <c r="H1" s="70" t="s">
        <v>196</v>
      </c>
      <c r="I1" s="70" t="s">
        <v>196</v>
      </c>
      <c r="J1" s="70" t="s">
        <v>196</v>
      </c>
      <c r="K1" s="70" t="s">
        <v>196</v>
      </c>
      <c r="L1" s="70" t="s">
        <v>196</v>
      </c>
      <c r="M1" s="70" t="s">
        <v>196</v>
      </c>
      <c r="N1" s="70" t="s">
        <v>196</v>
      </c>
      <c r="O1" s="70" t="s">
        <v>196</v>
      </c>
      <c r="P1" s="70" t="s">
        <v>196</v>
      </c>
      <c r="Q1" s="70" t="s">
        <v>196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21.1</v>
      </c>
      <c r="C4" s="66">
        <v>21.1</v>
      </c>
      <c r="D4" s="71">
        <v>1</v>
      </c>
      <c r="E4" s="67">
        <v>1</v>
      </c>
      <c r="F4" s="67">
        <v>0</v>
      </c>
      <c r="G4" s="67">
        <v>0.42857142857142855</v>
      </c>
      <c r="H4" s="67">
        <v>0</v>
      </c>
      <c r="I4" s="68">
        <v>8600</v>
      </c>
      <c r="J4" s="68">
        <v>0</v>
      </c>
      <c r="K4" s="67">
        <v>0</v>
      </c>
      <c r="L4" s="67">
        <v>0</v>
      </c>
      <c r="M4" s="67">
        <v>0.2857142857142857</v>
      </c>
      <c r="N4" s="67">
        <v>0.2857142857142857</v>
      </c>
      <c r="O4" s="67">
        <v>0.5</v>
      </c>
      <c r="P4" s="67">
        <v>1</v>
      </c>
      <c r="Q4" s="67">
        <v>0.33333333333333331</v>
      </c>
    </row>
    <row r="5" spans="1:17" x14ac:dyDescent="0.4">
      <c r="A5" s="69">
        <v>2</v>
      </c>
      <c r="B5" s="66">
        <v>-25.4</v>
      </c>
      <c r="C5" s="66">
        <v>-12.7</v>
      </c>
      <c r="D5" s="71">
        <v>2</v>
      </c>
      <c r="E5" s="67">
        <v>0.5</v>
      </c>
      <c r="F5" s="67">
        <v>0.5</v>
      </c>
      <c r="G5" s="67">
        <v>0.22222222222222221</v>
      </c>
      <c r="H5" s="67">
        <v>0.16666666666666666</v>
      </c>
      <c r="I5" s="68">
        <v>9450</v>
      </c>
      <c r="J5" s="68">
        <v>-9333.3333333333339</v>
      </c>
      <c r="K5" s="67">
        <v>0.5</v>
      </c>
      <c r="L5" s="67">
        <v>0</v>
      </c>
      <c r="M5" s="67">
        <v>0.27777777777777779</v>
      </c>
      <c r="N5" s="67">
        <v>0.33333333333333331</v>
      </c>
      <c r="O5" s="67">
        <v>0.4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-71.900000000000006</v>
      </c>
      <c r="C6" s="66">
        <v>-23.966666666666669</v>
      </c>
      <c r="D6" s="71">
        <v>2.3333333333333335</v>
      </c>
      <c r="E6" s="67">
        <v>0.33333333333333331</v>
      </c>
      <c r="F6" s="67">
        <v>0.66666666666666663</v>
      </c>
      <c r="G6" s="67">
        <v>0.17241379310344829</v>
      </c>
      <c r="H6" s="67">
        <v>0.20689655172413793</v>
      </c>
      <c r="I6" s="68">
        <v>9960</v>
      </c>
      <c r="J6" s="68">
        <v>-9333.3333333333339</v>
      </c>
      <c r="K6" s="67">
        <v>0.66666666666666663</v>
      </c>
      <c r="L6" s="67">
        <v>0</v>
      </c>
      <c r="M6" s="67">
        <v>0.27586206896551724</v>
      </c>
      <c r="N6" s="67">
        <v>0.34482758620689657</v>
      </c>
      <c r="O6" s="67">
        <v>0.375</v>
      </c>
      <c r="P6" s="67">
        <v>0.2</v>
      </c>
      <c r="Q6" s="67">
        <v>0.6</v>
      </c>
    </row>
    <row r="7" spans="1:17" x14ac:dyDescent="0.4">
      <c r="A7" s="69">
        <v>4</v>
      </c>
      <c r="B7" s="66">
        <v>-37.400000000000006</v>
      </c>
      <c r="C7" s="66">
        <v>-9.3500000000000014</v>
      </c>
      <c r="D7" s="71">
        <v>2</v>
      </c>
      <c r="E7" s="67">
        <v>0.5</v>
      </c>
      <c r="F7" s="67">
        <v>0.5</v>
      </c>
      <c r="G7" s="67">
        <v>0.25</v>
      </c>
      <c r="H7" s="67">
        <v>0.17499999999999999</v>
      </c>
      <c r="I7" s="68">
        <v>7780</v>
      </c>
      <c r="J7" s="68">
        <v>-9142.8571428571431</v>
      </c>
      <c r="K7" s="67">
        <v>0.5</v>
      </c>
      <c r="L7" s="67">
        <v>0.25</v>
      </c>
      <c r="M7" s="67">
        <v>0.27500000000000002</v>
      </c>
      <c r="N7" s="67">
        <v>0.35</v>
      </c>
      <c r="O7" s="67">
        <v>0.45454545454545453</v>
      </c>
      <c r="P7" s="67">
        <v>0.2857142857142857</v>
      </c>
      <c r="Q7" s="67">
        <v>0.4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CDB3B-A64D-4420-9DD1-03B571055DD1}">
  <sheetPr codeName="Sheet22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  <row r="5" spans="1:17" x14ac:dyDescent="0.4">
      <c r="A5" s="69">
        <v>2</v>
      </c>
      <c r="B5" s="66">
        <v>68.5</v>
      </c>
      <c r="C5" s="66">
        <v>34.25</v>
      </c>
      <c r="D5" s="71">
        <v>1.5</v>
      </c>
      <c r="E5" s="67">
        <v>0.5</v>
      </c>
      <c r="F5" s="67">
        <v>0</v>
      </c>
      <c r="G5" s="67">
        <v>0.5</v>
      </c>
      <c r="H5" s="67">
        <v>6.25E-2</v>
      </c>
      <c r="I5" s="68">
        <v>9800</v>
      </c>
      <c r="J5" s="68">
        <v>-12000</v>
      </c>
      <c r="K5" s="67">
        <v>0</v>
      </c>
      <c r="L5" s="67">
        <v>0.5</v>
      </c>
      <c r="M5" s="67">
        <v>0.375</v>
      </c>
      <c r="N5" s="67">
        <v>0</v>
      </c>
      <c r="O5" s="67">
        <v>0.83333333333333337</v>
      </c>
      <c r="P5" s="67">
        <v>0</v>
      </c>
      <c r="Q5" s="67">
        <v>0.375</v>
      </c>
    </row>
    <row r="6" spans="1:17" x14ac:dyDescent="0.4">
      <c r="A6" s="69">
        <v>3</v>
      </c>
      <c r="B6" s="66">
        <v>76</v>
      </c>
      <c r="C6" s="66">
        <v>25.333333333333332</v>
      </c>
      <c r="D6" s="71">
        <v>1.6666666666666667</v>
      </c>
      <c r="E6" s="67">
        <v>0.33333333333333331</v>
      </c>
      <c r="F6" s="67">
        <v>0</v>
      </c>
      <c r="G6" s="67">
        <v>0.47826086956521741</v>
      </c>
      <c r="H6" s="67">
        <v>8.6956521739130432E-2</v>
      </c>
      <c r="I6" s="68">
        <v>9200</v>
      </c>
      <c r="J6" s="68">
        <v>-8900</v>
      </c>
      <c r="K6" s="67">
        <v>0</v>
      </c>
      <c r="L6" s="67">
        <v>0.33333333333333331</v>
      </c>
      <c r="M6" s="67">
        <v>0.39130434782608697</v>
      </c>
      <c r="N6" s="67">
        <v>4.3478260869565216E-2</v>
      </c>
      <c r="O6" s="67">
        <v>0.77777777777777779</v>
      </c>
      <c r="P6" s="67">
        <v>0</v>
      </c>
      <c r="Q6" s="67">
        <v>0.54545454545454541</v>
      </c>
    </row>
    <row r="7" spans="1:17" x14ac:dyDescent="0.4">
      <c r="A7" s="69">
        <v>4</v>
      </c>
      <c r="B7" s="66">
        <v>115.5</v>
      </c>
      <c r="C7" s="66">
        <v>28.875</v>
      </c>
      <c r="D7" s="71">
        <v>1.5</v>
      </c>
      <c r="E7" s="67">
        <v>0.5</v>
      </c>
      <c r="F7" s="67">
        <v>0</v>
      </c>
      <c r="G7" s="67">
        <v>0.45454545454545453</v>
      </c>
      <c r="H7" s="67">
        <v>6.0606060606060608E-2</v>
      </c>
      <c r="I7" s="68">
        <v>8746.6666666666661</v>
      </c>
      <c r="J7" s="68">
        <v>-8900</v>
      </c>
      <c r="K7" s="67">
        <v>0</v>
      </c>
      <c r="L7" s="67">
        <v>0.5</v>
      </c>
      <c r="M7" s="67">
        <v>0.36363636363636365</v>
      </c>
      <c r="N7" s="67">
        <v>6.0606060606060608E-2</v>
      </c>
      <c r="O7" s="67">
        <v>0.83333333333333337</v>
      </c>
      <c r="P7" s="67">
        <v>0.5</v>
      </c>
      <c r="Q7" s="67">
        <v>0.46666666666666667</v>
      </c>
    </row>
    <row r="8" spans="1:17" x14ac:dyDescent="0.4">
      <c r="A8" s="69">
        <v>5</v>
      </c>
      <c r="B8" s="66">
        <v>127.9</v>
      </c>
      <c r="C8" s="66">
        <v>25.580000000000002</v>
      </c>
      <c r="D8" s="71">
        <v>1.6</v>
      </c>
      <c r="E8" s="67">
        <v>0.4</v>
      </c>
      <c r="F8" s="67">
        <v>0</v>
      </c>
      <c r="G8" s="67">
        <v>0.38636363636363635</v>
      </c>
      <c r="H8" s="67">
        <v>6.8181818181818177E-2</v>
      </c>
      <c r="I8" s="68">
        <v>8894.1176470588234</v>
      </c>
      <c r="J8" s="68">
        <v>-6800</v>
      </c>
      <c r="K8" s="67">
        <v>0</v>
      </c>
      <c r="L8" s="67">
        <v>0.4</v>
      </c>
      <c r="M8" s="67">
        <v>0.36363636363636365</v>
      </c>
      <c r="N8" s="67">
        <v>9.0909090909090912E-2</v>
      </c>
      <c r="O8" s="67">
        <v>0.6875</v>
      </c>
      <c r="P8" s="67">
        <v>0.25</v>
      </c>
      <c r="Q8" s="67">
        <v>0.41176470588235292</v>
      </c>
    </row>
    <row r="9" spans="1:17" x14ac:dyDescent="0.4">
      <c r="A9" s="69">
        <v>6</v>
      </c>
      <c r="B9" s="66">
        <v>149.4</v>
      </c>
      <c r="C9" s="66">
        <v>24.900000000000002</v>
      </c>
      <c r="D9" s="71">
        <v>1.5</v>
      </c>
      <c r="E9" s="67">
        <v>0.5</v>
      </c>
      <c r="F9" s="67">
        <v>0</v>
      </c>
      <c r="G9" s="67">
        <v>0.39622641509433965</v>
      </c>
      <c r="H9" s="67">
        <v>5.6603773584905662E-2</v>
      </c>
      <c r="I9" s="68">
        <v>8461.9047619047615</v>
      </c>
      <c r="J9" s="68">
        <v>-6800</v>
      </c>
      <c r="K9" s="67">
        <v>0</v>
      </c>
      <c r="L9" s="67">
        <v>0.33333333333333331</v>
      </c>
      <c r="M9" s="67">
        <v>0.37735849056603776</v>
      </c>
      <c r="N9" s="67">
        <v>0.11320754716981132</v>
      </c>
      <c r="O9" s="67">
        <v>0.75</v>
      </c>
      <c r="P9" s="67">
        <v>0.16666666666666666</v>
      </c>
      <c r="Q9" s="67">
        <v>0.42857142857142855</v>
      </c>
    </row>
    <row r="10" spans="1:17" x14ac:dyDescent="0.4">
      <c r="A10" s="69">
        <v>7</v>
      </c>
      <c r="B10" s="66">
        <v>123</v>
      </c>
      <c r="C10" s="66">
        <v>17.571428571428573</v>
      </c>
      <c r="D10" s="71">
        <v>1.7142857142857142</v>
      </c>
      <c r="E10" s="67">
        <v>0.42857142857142855</v>
      </c>
      <c r="F10" s="67">
        <v>0.14285714285714285</v>
      </c>
      <c r="G10" s="67">
        <v>0.34375</v>
      </c>
      <c r="H10" s="67">
        <v>9.375E-2</v>
      </c>
      <c r="I10" s="68">
        <v>8622.7272727272721</v>
      </c>
      <c r="J10" s="68">
        <v>-5550</v>
      </c>
      <c r="K10" s="67">
        <v>0</v>
      </c>
      <c r="L10" s="67">
        <v>0.2857142857142857</v>
      </c>
      <c r="M10" s="67">
        <v>0.359375</v>
      </c>
      <c r="N10" s="67">
        <v>0.109375</v>
      </c>
      <c r="O10" s="67">
        <v>0.65217391304347827</v>
      </c>
      <c r="P10" s="67">
        <v>0.2857142857142857</v>
      </c>
      <c r="Q10" s="67">
        <v>0.45454545454545453</v>
      </c>
    </row>
    <row r="11" spans="1:17" x14ac:dyDescent="0.4">
      <c r="A11" s="69">
        <v>8</v>
      </c>
      <c r="B11" s="66">
        <v>124.6</v>
      </c>
      <c r="C11" s="66">
        <v>15.574999999999999</v>
      </c>
      <c r="D11" s="71">
        <v>1.75</v>
      </c>
      <c r="E11" s="67">
        <v>0.375</v>
      </c>
      <c r="F11" s="67">
        <v>0.125</v>
      </c>
      <c r="G11" s="67">
        <v>0.33783783783783783</v>
      </c>
      <c r="H11" s="67">
        <v>9.45945945945946E-2</v>
      </c>
      <c r="I11" s="68">
        <v>8352</v>
      </c>
      <c r="J11" s="68">
        <v>-5128.5714285714284</v>
      </c>
      <c r="K11" s="67">
        <v>0</v>
      </c>
      <c r="L11" s="67">
        <v>0.25</v>
      </c>
      <c r="M11" s="67">
        <v>0.32432432432432434</v>
      </c>
      <c r="N11" s="67">
        <v>0.13513513513513514</v>
      </c>
      <c r="O11" s="67">
        <v>0.66666666666666663</v>
      </c>
      <c r="P11" s="67">
        <v>0.3</v>
      </c>
      <c r="Q11" s="67">
        <v>0.44</v>
      </c>
    </row>
    <row r="12" spans="1:17" x14ac:dyDescent="0.4">
      <c r="A12" s="69">
        <v>9</v>
      </c>
      <c r="B12" s="66">
        <v>141.5</v>
      </c>
      <c r="C12" s="66">
        <v>15.722222222222221</v>
      </c>
      <c r="D12" s="71">
        <v>1.6666666666666667</v>
      </c>
      <c r="E12" s="67">
        <v>0.44444444444444442</v>
      </c>
      <c r="F12" s="67">
        <v>0.1111111111111111</v>
      </c>
      <c r="G12" s="67">
        <v>0.32558139534883723</v>
      </c>
      <c r="H12" s="67">
        <v>0.10465116279069768</v>
      </c>
      <c r="I12" s="68">
        <v>8175</v>
      </c>
      <c r="J12" s="68">
        <v>-4433.333333333333</v>
      </c>
      <c r="K12" s="67">
        <v>0</v>
      </c>
      <c r="L12" s="67">
        <v>0.22222222222222221</v>
      </c>
      <c r="M12" s="67">
        <v>0.29069767441860467</v>
      </c>
      <c r="N12" s="67">
        <v>0.15116279069767441</v>
      </c>
      <c r="O12" s="67">
        <v>0.68</v>
      </c>
      <c r="P12" s="67">
        <v>0.30769230769230771</v>
      </c>
      <c r="Q12" s="67">
        <v>0.5</v>
      </c>
    </row>
    <row r="13" spans="1:17" x14ac:dyDescent="0.4">
      <c r="A13" s="69">
        <v>10</v>
      </c>
      <c r="B13" s="66">
        <v>162.80000000000001</v>
      </c>
      <c r="C13" s="66">
        <v>16.28</v>
      </c>
      <c r="D13" s="71">
        <v>1.6</v>
      </c>
      <c r="E13" s="67">
        <v>0.5</v>
      </c>
      <c r="F13" s="67">
        <v>0.1</v>
      </c>
      <c r="G13" s="67">
        <v>0.33333333333333331</v>
      </c>
      <c r="H13" s="67">
        <v>9.6774193548387094E-2</v>
      </c>
      <c r="I13" s="68">
        <v>7790.322580645161</v>
      </c>
      <c r="J13" s="68">
        <v>-4433.333333333333</v>
      </c>
      <c r="K13" s="67">
        <v>0</v>
      </c>
      <c r="L13" s="67">
        <v>0.2</v>
      </c>
      <c r="M13" s="67">
        <v>0.31182795698924731</v>
      </c>
      <c r="N13" s="67">
        <v>0.15053763440860216</v>
      </c>
      <c r="O13" s="67">
        <v>0.65517241379310343</v>
      </c>
      <c r="P13" s="67">
        <v>0.35714285714285715</v>
      </c>
      <c r="Q13" s="67">
        <v>0.4838709677419355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274A4-C451-4F7E-8BE8-EEF2F5FC9B1C}">
  <sheetPr codeName="Sheet20"/>
  <dimension ref="A1:Q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  <row r="5" spans="1:17" x14ac:dyDescent="0.4">
      <c r="A5" s="69">
        <v>2</v>
      </c>
      <c r="B5" s="66">
        <v>-40.6</v>
      </c>
      <c r="C5" s="66">
        <v>-20.3</v>
      </c>
      <c r="D5" s="71">
        <v>2.5</v>
      </c>
      <c r="E5" s="67">
        <v>0</v>
      </c>
      <c r="F5" s="67">
        <v>0.5</v>
      </c>
      <c r="G5" s="67">
        <v>0.25</v>
      </c>
      <c r="H5" s="67">
        <v>0.25</v>
      </c>
      <c r="I5" s="68">
        <v>8300</v>
      </c>
      <c r="J5" s="68">
        <v>-8925</v>
      </c>
      <c r="K5" s="67">
        <v>0</v>
      </c>
      <c r="L5" s="67">
        <v>0</v>
      </c>
      <c r="M5" s="67">
        <v>0.3125</v>
      </c>
      <c r="N5" s="67">
        <v>0.1875</v>
      </c>
      <c r="O5" s="67">
        <v>0.6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-33.6</v>
      </c>
      <c r="C6" s="66">
        <v>-11.200000000000001</v>
      </c>
      <c r="D6" s="71">
        <v>2.3333333333333335</v>
      </c>
      <c r="E6" s="67">
        <v>0</v>
      </c>
      <c r="F6" s="67">
        <v>0.33333333333333331</v>
      </c>
      <c r="G6" s="67">
        <v>0.23076923076923078</v>
      </c>
      <c r="H6" s="67">
        <v>0.19230769230769232</v>
      </c>
      <c r="I6" s="68">
        <v>9533.3333333333339</v>
      </c>
      <c r="J6" s="68">
        <v>-9540</v>
      </c>
      <c r="K6" s="67">
        <v>0</v>
      </c>
      <c r="L6" s="67">
        <v>0</v>
      </c>
      <c r="M6" s="67">
        <v>0.34615384615384615</v>
      </c>
      <c r="N6" s="67">
        <v>0.23076923076923078</v>
      </c>
      <c r="O6" s="67">
        <v>0.55555555555555558</v>
      </c>
      <c r="P6" s="67">
        <v>0.16666666666666666</v>
      </c>
      <c r="Q6" s="67">
        <v>0.5</v>
      </c>
    </row>
    <row r="7" spans="1:17" x14ac:dyDescent="0.4">
      <c r="A7" s="69">
        <v>4</v>
      </c>
      <c r="B7" s="66">
        <v>-80.5</v>
      </c>
      <c r="C7" s="66">
        <v>-20.125</v>
      </c>
      <c r="D7" s="71">
        <v>2.5</v>
      </c>
      <c r="E7" s="67">
        <v>0</v>
      </c>
      <c r="F7" s="67">
        <v>0.5</v>
      </c>
      <c r="G7" s="67">
        <v>0.1891891891891892</v>
      </c>
      <c r="H7" s="67">
        <v>0.24324324324324326</v>
      </c>
      <c r="I7" s="68">
        <v>9028.5714285714294</v>
      </c>
      <c r="J7" s="68">
        <v>-8566.6666666666661</v>
      </c>
      <c r="K7" s="67">
        <v>0.25</v>
      </c>
      <c r="L7" s="67">
        <v>0</v>
      </c>
      <c r="M7" s="67">
        <v>0.27027027027027029</v>
      </c>
      <c r="N7" s="67">
        <v>0.24324324324324326</v>
      </c>
      <c r="O7" s="67">
        <v>0.6</v>
      </c>
      <c r="P7" s="67">
        <v>0.1111111111111111</v>
      </c>
      <c r="Q7" s="67">
        <v>0.5714285714285714</v>
      </c>
    </row>
    <row r="8" spans="1:17" x14ac:dyDescent="0.4">
      <c r="A8" s="69">
        <v>5</v>
      </c>
      <c r="B8" s="66">
        <v>-124.3</v>
      </c>
      <c r="C8" s="66">
        <v>-24.86</v>
      </c>
      <c r="D8" s="71">
        <v>2.6</v>
      </c>
      <c r="E8" s="67">
        <v>0</v>
      </c>
      <c r="F8" s="67">
        <v>0.6</v>
      </c>
      <c r="G8" s="67">
        <v>0.14893617021276595</v>
      </c>
      <c r="H8" s="67">
        <v>0.23404255319148937</v>
      </c>
      <c r="I8" s="68">
        <v>9028.5714285714294</v>
      </c>
      <c r="J8" s="68">
        <v>-8827.2727272727279</v>
      </c>
      <c r="K8" s="67">
        <v>0.2</v>
      </c>
      <c r="L8" s="67">
        <v>0</v>
      </c>
      <c r="M8" s="67">
        <v>0.27659574468085107</v>
      </c>
      <c r="N8" s="67">
        <v>0.23404255319148937</v>
      </c>
      <c r="O8" s="67">
        <v>0.46153846153846156</v>
      </c>
      <c r="P8" s="67">
        <v>9.0909090909090912E-2</v>
      </c>
      <c r="Q8" s="67">
        <v>0.5714285714285714</v>
      </c>
    </row>
    <row r="9" spans="1:17" x14ac:dyDescent="0.4">
      <c r="A9" s="69">
        <v>6</v>
      </c>
      <c r="B9" s="66">
        <v>-159.6</v>
      </c>
      <c r="C9" s="66">
        <v>-26.599999999999998</v>
      </c>
      <c r="D9" s="71">
        <v>2.6666666666666665</v>
      </c>
      <c r="E9" s="67">
        <v>0</v>
      </c>
      <c r="F9" s="67">
        <v>0.66666666666666663</v>
      </c>
      <c r="G9" s="67">
        <v>0.12727272727272726</v>
      </c>
      <c r="H9" s="67">
        <v>0.23636363636363636</v>
      </c>
      <c r="I9" s="68">
        <v>9028.5714285714294</v>
      </c>
      <c r="J9" s="68">
        <v>-8069.2307692307695</v>
      </c>
      <c r="K9" s="67">
        <v>0.16666666666666666</v>
      </c>
      <c r="L9" s="67">
        <v>0</v>
      </c>
      <c r="M9" s="67">
        <v>0.25454545454545452</v>
      </c>
      <c r="N9" s="67">
        <v>0.2</v>
      </c>
      <c r="O9" s="67">
        <v>0.42857142857142855</v>
      </c>
      <c r="P9" s="67">
        <v>9.0909090909090912E-2</v>
      </c>
      <c r="Q9" s="67">
        <v>0.5714285714285714</v>
      </c>
    </row>
    <row r="10" spans="1:17" x14ac:dyDescent="0.4">
      <c r="A10" s="69">
        <v>7</v>
      </c>
      <c r="B10" s="66">
        <v>-99.5</v>
      </c>
      <c r="C10" s="66">
        <v>-14.214285714285714</v>
      </c>
      <c r="D10" s="71">
        <v>2.4285714285714284</v>
      </c>
      <c r="E10" s="67">
        <v>0.14285714285714285</v>
      </c>
      <c r="F10" s="67">
        <v>0.5714285714285714</v>
      </c>
      <c r="G10" s="67">
        <v>0.19047619047619047</v>
      </c>
      <c r="H10" s="67">
        <v>0.23809523809523808</v>
      </c>
      <c r="I10" s="68">
        <v>10583.333333333334</v>
      </c>
      <c r="J10" s="68">
        <v>-8040</v>
      </c>
      <c r="K10" s="67">
        <v>0.14285714285714285</v>
      </c>
      <c r="L10" s="67">
        <v>0.14285714285714285</v>
      </c>
      <c r="M10" s="67">
        <v>0.26984126984126983</v>
      </c>
      <c r="N10" s="67">
        <v>0.22222222222222221</v>
      </c>
      <c r="O10" s="67">
        <v>0.47058823529411764</v>
      </c>
      <c r="P10" s="67">
        <v>0.2857142857142857</v>
      </c>
      <c r="Q10" s="67">
        <v>0.5</v>
      </c>
    </row>
    <row r="11" spans="1:17" x14ac:dyDescent="0.4">
      <c r="A11" s="69">
        <v>8</v>
      </c>
      <c r="B11" s="66">
        <v>-152.6</v>
      </c>
      <c r="C11" s="66">
        <v>-19.074999999999999</v>
      </c>
      <c r="D11" s="71">
        <v>2.5</v>
      </c>
      <c r="E11" s="67">
        <v>0.125</v>
      </c>
      <c r="F11" s="67">
        <v>0.625</v>
      </c>
      <c r="G11" s="67">
        <v>0.20289855072463769</v>
      </c>
      <c r="H11" s="67">
        <v>0.24637681159420291</v>
      </c>
      <c r="I11" s="68">
        <v>9742.8571428571431</v>
      </c>
      <c r="J11" s="68">
        <v>-10035.294117647059</v>
      </c>
      <c r="K11" s="67">
        <v>0.25</v>
      </c>
      <c r="L11" s="67">
        <v>0.125</v>
      </c>
      <c r="M11" s="67">
        <v>0.27536231884057971</v>
      </c>
      <c r="N11" s="67">
        <v>0.21739130434782608</v>
      </c>
      <c r="O11" s="67">
        <v>0.47368421052631576</v>
      </c>
      <c r="P11" s="67">
        <v>0.33333333333333331</v>
      </c>
      <c r="Q11" s="67">
        <v>0.5714285714285714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6BE43-86D8-4840-AF3B-468C065733F1}">
  <sheetPr codeName="Sheet18"/>
  <dimension ref="A1:Q2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  <row r="5" spans="1:17" x14ac:dyDescent="0.4">
      <c r="A5" s="69">
        <v>2</v>
      </c>
      <c r="B5" s="66">
        <v>8.1000000000000014</v>
      </c>
      <c r="C5" s="66">
        <v>4.0500000000000007</v>
      </c>
      <c r="D5" s="71">
        <v>2</v>
      </c>
      <c r="E5" s="67">
        <v>0.5</v>
      </c>
      <c r="F5" s="67">
        <v>0.5</v>
      </c>
      <c r="G5" s="67">
        <v>0.18181818181818182</v>
      </c>
      <c r="H5" s="67">
        <v>4.5454545454545456E-2</v>
      </c>
      <c r="I5" s="68">
        <v>8950</v>
      </c>
      <c r="J5" s="68">
        <v>-12000</v>
      </c>
      <c r="K5" s="67">
        <v>0</v>
      </c>
      <c r="L5" s="67">
        <v>0</v>
      </c>
      <c r="M5" s="67">
        <v>9.0909090909090912E-2</v>
      </c>
      <c r="N5" s="67">
        <v>0.18181818181818182</v>
      </c>
      <c r="O5" s="67">
        <v>0.5</v>
      </c>
      <c r="P5" s="67">
        <v>0.75</v>
      </c>
      <c r="Q5" s="67">
        <v>0.25</v>
      </c>
    </row>
    <row r="6" spans="1:17" x14ac:dyDescent="0.4">
      <c r="A6" s="69">
        <v>3</v>
      </c>
      <c r="B6" s="66">
        <v>-37</v>
      </c>
      <c r="C6" s="66">
        <v>-12.333333333333334</v>
      </c>
      <c r="D6" s="71">
        <v>2.3333333333333335</v>
      </c>
      <c r="E6" s="67">
        <v>0.33333333333333331</v>
      </c>
      <c r="F6" s="67">
        <v>0.66666666666666663</v>
      </c>
      <c r="G6" s="67">
        <v>0.14285714285714285</v>
      </c>
      <c r="H6" s="67">
        <v>0.10714285714285714</v>
      </c>
      <c r="I6" s="68">
        <v>8950</v>
      </c>
      <c r="J6" s="68">
        <v>-7866.666666666667</v>
      </c>
      <c r="K6" s="67">
        <v>0.33333333333333331</v>
      </c>
      <c r="L6" s="67">
        <v>0</v>
      </c>
      <c r="M6" s="67">
        <v>7.1428571428571425E-2</v>
      </c>
      <c r="N6" s="67">
        <v>0.21428571428571427</v>
      </c>
      <c r="O6" s="67">
        <v>0.5</v>
      </c>
      <c r="P6" s="67">
        <v>0.5</v>
      </c>
      <c r="Q6" s="67">
        <v>0.25</v>
      </c>
    </row>
    <row r="7" spans="1:17" x14ac:dyDescent="0.4">
      <c r="A7" s="69">
        <v>4</v>
      </c>
      <c r="B7" s="66">
        <v>-19.3</v>
      </c>
      <c r="C7" s="66">
        <v>-4.8250000000000002</v>
      </c>
      <c r="D7" s="71">
        <v>2.25</v>
      </c>
      <c r="E7" s="67">
        <v>0.25</v>
      </c>
      <c r="F7" s="67">
        <v>0.5</v>
      </c>
      <c r="G7" s="67">
        <v>0.20512820512820512</v>
      </c>
      <c r="H7" s="67">
        <v>0.10256410256410256</v>
      </c>
      <c r="I7" s="68">
        <v>8937.5</v>
      </c>
      <c r="J7" s="68">
        <v>-7900</v>
      </c>
      <c r="K7" s="67">
        <v>0.25</v>
      </c>
      <c r="L7" s="67">
        <v>0</v>
      </c>
      <c r="M7" s="67">
        <v>0.10256410256410256</v>
      </c>
      <c r="N7" s="67">
        <v>0.17948717948717949</v>
      </c>
      <c r="O7" s="67">
        <v>0.75</v>
      </c>
      <c r="P7" s="67">
        <v>0.5714285714285714</v>
      </c>
      <c r="Q7" s="67">
        <v>0.375</v>
      </c>
    </row>
    <row r="8" spans="1:17" x14ac:dyDescent="0.4">
      <c r="A8" s="69">
        <v>5</v>
      </c>
      <c r="B8" s="66">
        <v>-1.6000000000000014</v>
      </c>
      <c r="C8" s="66">
        <v>-0.32000000000000028</v>
      </c>
      <c r="D8" s="71">
        <v>2.2000000000000002</v>
      </c>
      <c r="E8" s="67">
        <v>0.2</v>
      </c>
      <c r="F8" s="67">
        <v>0.4</v>
      </c>
      <c r="G8" s="67">
        <v>0.24</v>
      </c>
      <c r="H8" s="67">
        <v>0.1</v>
      </c>
      <c r="I8" s="68">
        <v>8933.3333333333339</v>
      </c>
      <c r="J8" s="68">
        <v>-7920</v>
      </c>
      <c r="K8" s="67">
        <v>0.2</v>
      </c>
      <c r="L8" s="67">
        <v>0</v>
      </c>
      <c r="M8" s="67">
        <v>0.12</v>
      </c>
      <c r="N8" s="67">
        <v>0.16</v>
      </c>
      <c r="O8" s="67">
        <v>0.83333333333333337</v>
      </c>
      <c r="P8" s="67">
        <v>0.625</v>
      </c>
      <c r="Q8" s="67">
        <v>0.41666666666666669</v>
      </c>
    </row>
    <row r="9" spans="1:17" x14ac:dyDescent="0.4">
      <c r="A9" s="69">
        <v>6</v>
      </c>
      <c r="B9" s="66">
        <v>29.799999999999997</v>
      </c>
      <c r="C9" s="66">
        <v>4.9666666666666659</v>
      </c>
      <c r="D9" s="71">
        <v>2</v>
      </c>
      <c r="E9" s="67">
        <v>0.33333333333333331</v>
      </c>
      <c r="F9" s="67">
        <v>0.33333333333333331</v>
      </c>
      <c r="G9" s="67">
        <v>0.27586206896551724</v>
      </c>
      <c r="H9" s="67">
        <v>0.10344827586206896</v>
      </c>
      <c r="I9" s="68">
        <v>8868.75</v>
      </c>
      <c r="J9" s="68">
        <v>-6816.666666666667</v>
      </c>
      <c r="K9" s="67">
        <v>0.16666666666666666</v>
      </c>
      <c r="L9" s="67">
        <v>0.16666666666666666</v>
      </c>
      <c r="M9" s="67">
        <v>0.17241379310344829</v>
      </c>
      <c r="N9" s="67">
        <v>0.17241379310344829</v>
      </c>
      <c r="O9" s="67">
        <v>0.7</v>
      </c>
      <c r="P9" s="67">
        <v>0.6</v>
      </c>
      <c r="Q9" s="67">
        <v>0.375</v>
      </c>
    </row>
    <row r="10" spans="1:17" x14ac:dyDescent="0.4">
      <c r="A10" s="69">
        <v>7</v>
      </c>
      <c r="B10" s="66">
        <v>-16.300000000000004</v>
      </c>
      <c r="C10" s="66">
        <v>-2.3285714285714292</v>
      </c>
      <c r="D10" s="71">
        <v>2.1428571428571428</v>
      </c>
      <c r="E10" s="67">
        <v>0.2857142857142857</v>
      </c>
      <c r="F10" s="67">
        <v>0.42857142857142855</v>
      </c>
      <c r="G10" s="67">
        <v>0.25</v>
      </c>
      <c r="H10" s="67">
        <v>0.109375</v>
      </c>
      <c r="I10" s="68">
        <v>8868.75</v>
      </c>
      <c r="J10" s="68">
        <v>-6671.4285714285716</v>
      </c>
      <c r="K10" s="67">
        <v>0.2857142857142857</v>
      </c>
      <c r="L10" s="67">
        <v>0.14285714285714285</v>
      </c>
      <c r="M10" s="67">
        <v>0.171875</v>
      </c>
      <c r="N10" s="67">
        <v>0.15625</v>
      </c>
      <c r="O10" s="67">
        <v>0.63636363636363635</v>
      </c>
      <c r="P10" s="67">
        <v>0.6</v>
      </c>
      <c r="Q10" s="67">
        <v>0.375</v>
      </c>
    </row>
    <row r="11" spans="1:17" x14ac:dyDescent="0.4">
      <c r="A11" s="69">
        <v>8</v>
      </c>
      <c r="B11" s="66">
        <v>-46.7</v>
      </c>
      <c r="C11" s="66">
        <v>-5.8375000000000004</v>
      </c>
      <c r="D11" s="71">
        <v>2.25</v>
      </c>
      <c r="E11" s="67">
        <v>0.25</v>
      </c>
      <c r="F11" s="67">
        <v>0.5</v>
      </c>
      <c r="G11" s="67">
        <v>0.24657534246575341</v>
      </c>
      <c r="H11" s="67">
        <v>0.13698630136986301</v>
      </c>
      <c r="I11" s="68">
        <v>8544.4444444444453</v>
      </c>
      <c r="J11" s="68">
        <v>-6370</v>
      </c>
      <c r="K11" s="67">
        <v>0.25</v>
      </c>
      <c r="L11" s="67">
        <v>0.125</v>
      </c>
      <c r="M11" s="67">
        <v>0.17808219178082191</v>
      </c>
      <c r="N11" s="67">
        <v>0.17808219178082191</v>
      </c>
      <c r="O11" s="67">
        <v>0.61538461538461542</v>
      </c>
      <c r="P11" s="67">
        <v>0.53846153846153844</v>
      </c>
      <c r="Q11" s="67">
        <v>0.33333333333333331</v>
      </c>
    </row>
    <row r="12" spans="1:17" x14ac:dyDescent="0.4">
      <c r="A12" s="69">
        <v>9</v>
      </c>
      <c r="B12" s="66">
        <v>-90.9</v>
      </c>
      <c r="C12" s="66">
        <v>-10.100000000000001</v>
      </c>
      <c r="D12" s="71">
        <v>2.3333333333333335</v>
      </c>
      <c r="E12" s="67">
        <v>0.22222222222222221</v>
      </c>
      <c r="F12" s="67">
        <v>0.55555555555555558</v>
      </c>
      <c r="G12" s="67">
        <v>0.22619047619047619</v>
      </c>
      <c r="H12" s="67">
        <v>0.15476190476190477</v>
      </c>
      <c r="I12" s="68">
        <v>8410.5263157894733</v>
      </c>
      <c r="J12" s="68">
        <v>-7430.7692307692305</v>
      </c>
      <c r="K12" s="67">
        <v>0.22222222222222221</v>
      </c>
      <c r="L12" s="67">
        <v>0.1111111111111111</v>
      </c>
      <c r="M12" s="67">
        <v>0.16666666666666666</v>
      </c>
      <c r="N12" s="67">
        <v>0.17857142857142858</v>
      </c>
      <c r="O12" s="67">
        <v>0.6428571428571429</v>
      </c>
      <c r="P12" s="67">
        <v>0.46666666666666667</v>
      </c>
      <c r="Q12" s="67">
        <v>0.36842105263157893</v>
      </c>
    </row>
    <row r="13" spans="1:17" x14ac:dyDescent="0.4">
      <c r="A13" s="69">
        <v>10</v>
      </c>
      <c r="B13" s="66">
        <v>-146.69999999999999</v>
      </c>
      <c r="C13" s="66">
        <v>-14.669999999999998</v>
      </c>
      <c r="D13" s="71">
        <v>2.4</v>
      </c>
      <c r="E13" s="67">
        <v>0.2</v>
      </c>
      <c r="F13" s="67">
        <v>0.6</v>
      </c>
      <c r="G13" s="67">
        <v>0.21348314606741572</v>
      </c>
      <c r="H13" s="67">
        <v>0.16853932584269662</v>
      </c>
      <c r="I13" s="68">
        <v>8410.5263157894733</v>
      </c>
      <c r="J13" s="68">
        <v>-7960</v>
      </c>
      <c r="K13" s="67">
        <v>0.3</v>
      </c>
      <c r="L13" s="67">
        <v>0.1</v>
      </c>
      <c r="M13" s="67">
        <v>0.16853932584269662</v>
      </c>
      <c r="N13" s="67">
        <v>0.16853932584269662</v>
      </c>
      <c r="O13" s="67">
        <v>0.6</v>
      </c>
      <c r="P13" s="67">
        <v>0.46666666666666667</v>
      </c>
      <c r="Q13" s="67">
        <v>0.36842105263157893</v>
      </c>
    </row>
    <row r="14" spans="1:17" x14ac:dyDescent="0.4">
      <c r="A14" s="69">
        <v>11</v>
      </c>
      <c r="B14" s="66">
        <v>-114.99999999999999</v>
      </c>
      <c r="C14" s="66">
        <v>-10.454545454545453</v>
      </c>
      <c r="D14" s="71">
        <v>2.2727272727272729</v>
      </c>
      <c r="E14" s="67">
        <v>0.27272727272727271</v>
      </c>
      <c r="F14" s="67">
        <v>0.54545454545454541</v>
      </c>
      <c r="G14" s="67">
        <v>0.22772277227722773</v>
      </c>
      <c r="H14" s="67">
        <v>0.14851485148514851</v>
      </c>
      <c r="I14" s="68">
        <v>8156.521739130435</v>
      </c>
      <c r="J14" s="68">
        <v>-7960</v>
      </c>
      <c r="K14" s="67">
        <v>0.27272727272727271</v>
      </c>
      <c r="L14" s="67">
        <v>9.0909090909090912E-2</v>
      </c>
      <c r="M14" s="67">
        <v>0.19801980198019803</v>
      </c>
      <c r="N14" s="67">
        <v>0.19801980198019803</v>
      </c>
      <c r="O14" s="67">
        <v>0.55000000000000004</v>
      </c>
      <c r="P14" s="67">
        <v>0.45</v>
      </c>
      <c r="Q14" s="67">
        <v>0.43478260869565216</v>
      </c>
    </row>
    <row r="15" spans="1:17" x14ac:dyDescent="0.4">
      <c r="A15" s="69">
        <v>12</v>
      </c>
      <c r="B15" s="66">
        <v>-118.39999999999999</v>
      </c>
      <c r="C15" s="66">
        <v>-9.8666666666666654</v>
      </c>
      <c r="D15" s="71">
        <v>2.25</v>
      </c>
      <c r="E15" s="67">
        <v>0.25</v>
      </c>
      <c r="F15" s="67">
        <v>0.5</v>
      </c>
      <c r="G15" s="67">
        <v>0.23008849557522124</v>
      </c>
      <c r="H15" s="67">
        <v>0.13274336283185842</v>
      </c>
      <c r="I15" s="68">
        <v>7884.6153846153848</v>
      </c>
      <c r="J15" s="68">
        <v>-7960</v>
      </c>
      <c r="K15" s="67">
        <v>0.25</v>
      </c>
      <c r="L15" s="67">
        <v>8.3333333333333329E-2</v>
      </c>
      <c r="M15" s="67">
        <v>0.17699115044247787</v>
      </c>
      <c r="N15" s="67">
        <v>0.23008849557522124</v>
      </c>
      <c r="O15" s="67">
        <v>0.55000000000000004</v>
      </c>
      <c r="P15" s="67">
        <v>0.46153846153846156</v>
      </c>
      <c r="Q15" s="67">
        <v>0.38461538461538464</v>
      </c>
    </row>
    <row r="16" spans="1:17" x14ac:dyDescent="0.4">
      <c r="A16" s="69">
        <v>13</v>
      </c>
      <c r="B16" s="66">
        <v>-68.399999999999991</v>
      </c>
      <c r="C16" s="66">
        <v>-5.2615384615384606</v>
      </c>
      <c r="D16" s="71">
        <v>2.1538461538461537</v>
      </c>
      <c r="E16" s="67">
        <v>0.30769230769230771</v>
      </c>
      <c r="F16" s="67">
        <v>0.46153846153846156</v>
      </c>
      <c r="G16" s="67">
        <v>0.25203252032520324</v>
      </c>
      <c r="H16" s="67">
        <v>0.12195121951219512</v>
      </c>
      <c r="I16" s="68">
        <v>7677.4193548387093</v>
      </c>
      <c r="J16" s="68">
        <v>-7960</v>
      </c>
      <c r="K16" s="67">
        <v>0.23076923076923078</v>
      </c>
      <c r="L16" s="67">
        <v>7.6923076923076927E-2</v>
      </c>
      <c r="M16" s="67">
        <v>0.2032520325203252</v>
      </c>
      <c r="N16" s="67">
        <v>0.22764227642276422</v>
      </c>
      <c r="O16" s="67">
        <v>0.56000000000000005</v>
      </c>
      <c r="P16" s="67">
        <v>0.4642857142857143</v>
      </c>
      <c r="Q16" s="67">
        <v>0.35483870967741937</v>
      </c>
    </row>
    <row r="17" spans="1:17" x14ac:dyDescent="0.4">
      <c r="A17" s="69">
        <v>14</v>
      </c>
      <c r="B17" s="66">
        <v>-25.79999999999999</v>
      </c>
      <c r="C17" s="66">
        <v>-1.8428571428571421</v>
      </c>
      <c r="D17" s="71">
        <v>2.0714285714285716</v>
      </c>
      <c r="E17" s="67">
        <v>0.35714285714285715</v>
      </c>
      <c r="F17" s="67">
        <v>0.42857142857142855</v>
      </c>
      <c r="G17" s="67">
        <v>0.27480916030534353</v>
      </c>
      <c r="H17" s="67">
        <v>0.11450381679389313</v>
      </c>
      <c r="I17" s="68">
        <v>7488.8888888888887</v>
      </c>
      <c r="J17" s="68">
        <v>-7960</v>
      </c>
      <c r="K17" s="67">
        <v>0.21428571428571427</v>
      </c>
      <c r="L17" s="67">
        <v>7.1428571428571425E-2</v>
      </c>
      <c r="M17" s="67">
        <v>0.21374045801526717</v>
      </c>
      <c r="N17" s="67">
        <v>0.23664122137404581</v>
      </c>
      <c r="O17" s="67">
        <v>0.5714285714285714</v>
      </c>
      <c r="P17" s="67">
        <v>0.5161290322580645</v>
      </c>
      <c r="Q17" s="67">
        <v>0.3888888888888889</v>
      </c>
    </row>
    <row r="18" spans="1:17" x14ac:dyDescent="0.4">
      <c r="A18" s="69">
        <v>15</v>
      </c>
      <c r="B18" s="66">
        <v>-35.499999999999986</v>
      </c>
      <c r="C18" s="66">
        <v>-2.3666666666666658</v>
      </c>
      <c r="D18" s="71">
        <v>2.0666666666666669</v>
      </c>
      <c r="E18" s="67">
        <v>0.33333333333333331</v>
      </c>
      <c r="F18" s="67">
        <v>0.4</v>
      </c>
      <c r="G18" s="67">
        <v>0.2733812949640288</v>
      </c>
      <c r="H18" s="67">
        <v>0.11510791366906475</v>
      </c>
      <c r="I18" s="68">
        <v>7507.894736842105</v>
      </c>
      <c r="J18" s="68">
        <v>-7643.75</v>
      </c>
      <c r="K18" s="67">
        <v>0.2</v>
      </c>
      <c r="L18" s="67">
        <v>6.6666666666666666E-2</v>
      </c>
      <c r="M18" s="67">
        <v>0.22302158273381295</v>
      </c>
      <c r="N18" s="67">
        <v>0.2446043165467626</v>
      </c>
      <c r="O18" s="67">
        <v>0.5161290322580645</v>
      </c>
      <c r="P18" s="67">
        <v>0.52941176470588236</v>
      </c>
      <c r="Q18" s="67">
        <v>0.36842105263157893</v>
      </c>
    </row>
    <row r="19" spans="1:17" x14ac:dyDescent="0.4">
      <c r="A19" s="69">
        <v>16</v>
      </c>
      <c r="B19" s="66">
        <v>-35.599999999999987</v>
      </c>
      <c r="C19" s="66">
        <v>-2.2249999999999992</v>
      </c>
      <c r="D19" s="71">
        <v>2.0625</v>
      </c>
      <c r="E19" s="67">
        <v>0.3125</v>
      </c>
      <c r="F19" s="67">
        <v>0.375</v>
      </c>
      <c r="G19" s="67">
        <v>0.26896551724137929</v>
      </c>
      <c r="H19" s="67">
        <v>0.11724137931034483</v>
      </c>
      <c r="I19" s="68">
        <v>7776.9230769230771</v>
      </c>
      <c r="J19" s="68">
        <v>-7647.0588235294117</v>
      </c>
      <c r="K19" s="67">
        <v>0.1875</v>
      </c>
      <c r="L19" s="67">
        <v>6.25E-2</v>
      </c>
      <c r="M19" s="67">
        <v>0.2413793103448276</v>
      </c>
      <c r="N19" s="67">
        <v>0.2413793103448276</v>
      </c>
      <c r="O19" s="67">
        <v>0.45714285714285713</v>
      </c>
      <c r="P19" s="67">
        <v>0.54285714285714282</v>
      </c>
      <c r="Q19" s="67">
        <v>0.35897435897435898</v>
      </c>
    </row>
    <row r="20" spans="1:17" x14ac:dyDescent="0.4">
      <c r="A20" s="69">
        <v>17</v>
      </c>
      <c r="B20" s="66">
        <v>-29.799999999999986</v>
      </c>
      <c r="C20" s="66">
        <v>-1.7529411764705873</v>
      </c>
      <c r="D20" s="71">
        <v>2.0588235294117645</v>
      </c>
      <c r="E20" s="67">
        <v>0.29411764705882354</v>
      </c>
      <c r="F20" s="67">
        <v>0.35294117647058826</v>
      </c>
      <c r="G20" s="67">
        <v>0.27631578947368424</v>
      </c>
      <c r="H20" s="67">
        <v>0.11842105263157894</v>
      </c>
      <c r="I20" s="68">
        <v>7554.7619047619046</v>
      </c>
      <c r="J20" s="68">
        <v>-7383.333333333333</v>
      </c>
      <c r="K20" s="67">
        <v>0.17647058823529413</v>
      </c>
      <c r="L20" s="67">
        <v>5.8823529411764705E-2</v>
      </c>
      <c r="M20" s="67">
        <v>0.25</v>
      </c>
      <c r="N20" s="67">
        <v>0.24342105263157895</v>
      </c>
      <c r="O20" s="67">
        <v>0.47368421052631576</v>
      </c>
      <c r="P20" s="67">
        <v>0.54054054054054057</v>
      </c>
      <c r="Q20" s="67">
        <v>0.35714285714285715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FF45-0476-4547-83B9-13704A1B557F}">
  <sheetPr codeName="Sheet16"/>
  <dimension ref="A1:Q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  <row r="6" spans="1:17" x14ac:dyDescent="0.4">
      <c r="A6" s="69">
        <v>3</v>
      </c>
      <c r="B6" s="66">
        <v>-113.8</v>
      </c>
      <c r="C6" s="66">
        <v>-37.93333333333333</v>
      </c>
      <c r="D6" s="71">
        <v>2.6666666666666665</v>
      </c>
      <c r="E6" s="67">
        <v>0</v>
      </c>
      <c r="F6" s="67">
        <v>0.66666666666666663</v>
      </c>
      <c r="G6" s="67">
        <v>0.2</v>
      </c>
      <c r="H6" s="67">
        <v>0.33333333333333331</v>
      </c>
      <c r="I6" s="68">
        <v>8750</v>
      </c>
      <c r="J6" s="68">
        <v>-11980</v>
      </c>
      <c r="K6" s="67">
        <v>0.66666666666666663</v>
      </c>
      <c r="L6" s="67">
        <v>0</v>
      </c>
      <c r="M6" s="67">
        <v>0.2</v>
      </c>
      <c r="N6" s="67">
        <v>0.23333333333333334</v>
      </c>
      <c r="O6" s="67">
        <v>0.33333333333333331</v>
      </c>
      <c r="P6" s="67">
        <v>0.2857142857142857</v>
      </c>
      <c r="Q6" s="67">
        <v>0.33333333333333331</v>
      </c>
    </row>
    <row r="7" spans="1:17" x14ac:dyDescent="0.4">
      <c r="A7" s="69">
        <v>4</v>
      </c>
      <c r="B7" s="66">
        <v>-74.599999999999994</v>
      </c>
      <c r="C7" s="66">
        <v>-18.649999999999999</v>
      </c>
      <c r="D7" s="71">
        <v>2.25</v>
      </c>
      <c r="E7" s="67">
        <v>0.25</v>
      </c>
      <c r="F7" s="67">
        <v>0.5</v>
      </c>
      <c r="G7" s="67">
        <v>0.25</v>
      </c>
      <c r="H7" s="67">
        <v>0.27777777777777779</v>
      </c>
      <c r="I7" s="68">
        <v>11355.555555555555</v>
      </c>
      <c r="J7" s="68">
        <v>-11980</v>
      </c>
      <c r="K7" s="67">
        <v>0.5</v>
      </c>
      <c r="L7" s="67">
        <v>0.25</v>
      </c>
      <c r="M7" s="67">
        <v>0.22222222222222221</v>
      </c>
      <c r="N7" s="67">
        <v>0.25</v>
      </c>
      <c r="O7" s="67">
        <v>0.5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-118.3</v>
      </c>
      <c r="C8" s="66">
        <v>-23.66</v>
      </c>
      <c r="D8" s="71">
        <v>2.4</v>
      </c>
      <c r="E8" s="67">
        <v>0.2</v>
      </c>
      <c r="F8" s="67">
        <v>0.6</v>
      </c>
      <c r="G8" s="67">
        <v>0.22222222222222221</v>
      </c>
      <c r="H8" s="67">
        <v>0.31111111111111112</v>
      </c>
      <c r="I8" s="68">
        <v>10420</v>
      </c>
      <c r="J8" s="68">
        <v>-10764.285714285714</v>
      </c>
      <c r="K8" s="67">
        <v>0.4</v>
      </c>
      <c r="L8" s="67">
        <v>0.2</v>
      </c>
      <c r="M8" s="67">
        <v>0.17777777777777778</v>
      </c>
      <c r="N8" s="67">
        <v>0.24444444444444444</v>
      </c>
      <c r="O8" s="67">
        <v>0.5</v>
      </c>
      <c r="P8" s="67">
        <v>0.36363636363636365</v>
      </c>
      <c r="Q8" s="67">
        <v>0.3</v>
      </c>
    </row>
    <row r="9" spans="1:17" x14ac:dyDescent="0.4">
      <c r="A9" s="69">
        <v>6</v>
      </c>
      <c r="B9" s="66">
        <v>-60.3</v>
      </c>
      <c r="C9" s="66">
        <v>-10.049999999999999</v>
      </c>
      <c r="D9" s="71">
        <v>2.1666666666666665</v>
      </c>
      <c r="E9" s="67">
        <v>0.33333333333333331</v>
      </c>
      <c r="F9" s="67">
        <v>0.5</v>
      </c>
      <c r="G9" s="67">
        <v>0.2391304347826087</v>
      </c>
      <c r="H9" s="67">
        <v>0.30434782608695654</v>
      </c>
      <c r="I9" s="68">
        <v>13836.363636363636</v>
      </c>
      <c r="J9" s="68">
        <v>-10764.285714285714</v>
      </c>
      <c r="K9" s="67">
        <v>0.33333333333333331</v>
      </c>
      <c r="L9" s="67">
        <v>0.33333333333333331</v>
      </c>
      <c r="M9" s="67">
        <v>0.17391304347826086</v>
      </c>
      <c r="N9" s="67">
        <v>0.2391304347826087</v>
      </c>
      <c r="O9" s="67">
        <v>0.5</v>
      </c>
      <c r="P9" s="67">
        <v>0.36363636363636365</v>
      </c>
      <c r="Q9" s="67">
        <v>0.27272727272727271</v>
      </c>
    </row>
    <row r="10" spans="1:17" x14ac:dyDescent="0.4">
      <c r="A10" s="69">
        <v>7</v>
      </c>
      <c r="B10" s="66">
        <v>-60.8</v>
      </c>
      <c r="C10" s="66">
        <v>-8.6857142857142851</v>
      </c>
      <c r="D10" s="71">
        <v>2.1428571428571428</v>
      </c>
      <c r="E10" s="67">
        <v>0.2857142857142857</v>
      </c>
      <c r="F10" s="67">
        <v>0.42857142857142855</v>
      </c>
      <c r="G10" s="67">
        <v>0.26415094339622641</v>
      </c>
      <c r="H10" s="67">
        <v>0.26415094339622641</v>
      </c>
      <c r="I10" s="68">
        <v>12942.857142857143</v>
      </c>
      <c r="J10" s="68">
        <v>-10764.285714285714</v>
      </c>
      <c r="K10" s="67">
        <v>0.2857142857142857</v>
      </c>
      <c r="L10" s="67">
        <v>0.2857142857142857</v>
      </c>
      <c r="M10" s="67">
        <v>0.15094339622641509</v>
      </c>
      <c r="N10" s="67">
        <v>0.30188679245283018</v>
      </c>
      <c r="O10" s="67">
        <v>0.5</v>
      </c>
      <c r="P10" s="67">
        <v>0.4375</v>
      </c>
      <c r="Q10" s="67">
        <v>0.35714285714285715</v>
      </c>
    </row>
    <row r="11" spans="1:17" x14ac:dyDescent="0.4">
      <c r="A11" s="69">
        <v>8</v>
      </c>
      <c r="B11" s="66">
        <v>-110.19999999999999</v>
      </c>
      <c r="C11" s="66">
        <v>-13.774999999999999</v>
      </c>
      <c r="D11" s="71">
        <v>2.25</v>
      </c>
      <c r="E11" s="67">
        <v>0.25</v>
      </c>
      <c r="F11" s="67">
        <v>0.5</v>
      </c>
      <c r="G11" s="67">
        <v>0.22950819672131148</v>
      </c>
      <c r="H11" s="67">
        <v>0.26229508196721313</v>
      </c>
      <c r="I11" s="68">
        <v>12942.857142857143</v>
      </c>
      <c r="J11" s="68">
        <v>-11025</v>
      </c>
      <c r="K11" s="67">
        <v>0.375</v>
      </c>
      <c r="L11" s="67">
        <v>0.25</v>
      </c>
      <c r="M11" s="67">
        <v>0.18032786885245902</v>
      </c>
      <c r="N11" s="67">
        <v>0.26229508196721313</v>
      </c>
      <c r="O11" s="67">
        <v>0.36363636363636365</v>
      </c>
      <c r="P11" s="67">
        <v>0.4375</v>
      </c>
      <c r="Q11" s="67">
        <v>0.35714285714285715</v>
      </c>
    </row>
    <row r="12" spans="1:17" x14ac:dyDescent="0.4">
      <c r="A12" s="69">
        <v>9</v>
      </c>
      <c r="B12" s="66">
        <v>-120.99999999999999</v>
      </c>
      <c r="C12" s="66">
        <v>-13.444444444444443</v>
      </c>
      <c r="D12" s="71">
        <v>2.2222222222222223</v>
      </c>
      <c r="E12" s="67">
        <v>0.22222222222222221</v>
      </c>
      <c r="F12" s="67">
        <v>0.44444444444444442</v>
      </c>
      <c r="G12" s="67">
        <v>0.22388059701492538</v>
      </c>
      <c r="H12" s="67">
        <v>0.23880597014925373</v>
      </c>
      <c r="I12" s="68">
        <v>12480</v>
      </c>
      <c r="J12" s="68">
        <v>-11025</v>
      </c>
      <c r="K12" s="67">
        <v>0.33333333333333331</v>
      </c>
      <c r="L12" s="67">
        <v>0.22222222222222221</v>
      </c>
      <c r="M12" s="67">
        <v>0.22388059701492538</v>
      </c>
      <c r="N12" s="67">
        <v>0.2537313432835821</v>
      </c>
      <c r="O12" s="67">
        <v>0.33333333333333331</v>
      </c>
      <c r="P12" s="67">
        <v>0.41176470588235292</v>
      </c>
      <c r="Q12" s="67">
        <v>0.4</v>
      </c>
    </row>
    <row r="13" spans="1:17" x14ac:dyDescent="0.4">
      <c r="A13" s="69">
        <v>10</v>
      </c>
      <c r="B13" s="66">
        <v>-113.29999999999998</v>
      </c>
      <c r="C13" s="66">
        <v>-11.329999999999998</v>
      </c>
      <c r="D13" s="71">
        <v>2.2000000000000002</v>
      </c>
      <c r="E13" s="67">
        <v>0.2</v>
      </c>
      <c r="F13" s="67">
        <v>0.4</v>
      </c>
      <c r="G13" s="67">
        <v>0.23684210526315788</v>
      </c>
      <c r="H13" s="67">
        <v>0.22368421052631579</v>
      </c>
      <c r="I13" s="68">
        <v>12288.888888888889</v>
      </c>
      <c r="J13" s="68">
        <v>-11082.35294117647</v>
      </c>
      <c r="K13" s="67">
        <v>0.3</v>
      </c>
      <c r="L13" s="67">
        <v>0.2</v>
      </c>
      <c r="M13" s="67">
        <v>0.19736842105263158</v>
      </c>
      <c r="N13" s="67">
        <v>0.28947368421052633</v>
      </c>
      <c r="O13" s="67">
        <v>0.33333333333333331</v>
      </c>
      <c r="P13" s="67">
        <v>0.45454545454545453</v>
      </c>
      <c r="Q13" s="67">
        <v>0.33333333333333331</v>
      </c>
    </row>
    <row r="14" spans="1:17" x14ac:dyDescent="0.4">
      <c r="A14" s="69">
        <v>11</v>
      </c>
      <c r="B14" s="66">
        <v>-163.69999999999999</v>
      </c>
      <c r="C14" s="66">
        <v>-14.881818181818181</v>
      </c>
      <c r="D14" s="71">
        <v>2.2727272727272729</v>
      </c>
      <c r="E14" s="67">
        <v>0.18181818181818182</v>
      </c>
      <c r="F14" s="67">
        <v>0.45454545454545453</v>
      </c>
      <c r="G14" s="67">
        <v>0.22619047619047619</v>
      </c>
      <c r="H14" s="67">
        <v>0.22619047619047619</v>
      </c>
      <c r="I14" s="68">
        <v>11852.631578947368</v>
      </c>
      <c r="J14" s="68">
        <v>-11015.78947368421</v>
      </c>
      <c r="K14" s="67">
        <v>0.36363636363636365</v>
      </c>
      <c r="L14" s="67">
        <v>0.18181818181818182</v>
      </c>
      <c r="M14" s="67">
        <v>0.20238095238095238</v>
      </c>
      <c r="N14" s="67">
        <v>0.26190476190476192</v>
      </c>
      <c r="O14" s="67">
        <v>0.29411764705882354</v>
      </c>
      <c r="P14" s="67">
        <v>0.45454545454545453</v>
      </c>
      <c r="Q14" s="67">
        <v>0.36842105263157893</v>
      </c>
    </row>
    <row r="15" spans="1:17" x14ac:dyDescent="0.4">
      <c r="A15" s="69">
        <v>12</v>
      </c>
      <c r="B15" s="66">
        <v>-110.49999999999999</v>
      </c>
      <c r="C15" s="66">
        <v>-9.2083333333333321</v>
      </c>
      <c r="D15" s="71">
        <v>2.1666666666666665</v>
      </c>
      <c r="E15" s="67">
        <v>0.25</v>
      </c>
      <c r="F15" s="67">
        <v>0.41666666666666669</v>
      </c>
      <c r="G15" s="67">
        <v>0.23333333333333334</v>
      </c>
      <c r="H15" s="67">
        <v>0.21111111111111111</v>
      </c>
      <c r="I15" s="68">
        <v>12614.285714285714</v>
      </c>
      <c r="J15" s="68">
        <v>-11015.78947368421</v>
      </c>
      <c r="K15" s="67">
        <v>0.33333333333333331</v>
      </c>
      <c r="L15" s="67">
        <v>0.25</v>
      </c>
      <c r="M15" s="67">
        <v>0.18888888888888888</v>
      </c>
      <c r="N15" s="67">
        <v>0.25555555555555554</v>
      </c>
      <c r="O15" s="67">
        <v>0.29411764705882354</v>
      </c>
      <c r="P15" s="67">
        <v>0.47826086956521741</v>
      </c>
      <c r="Q15" s="67">
        <v>0.33333333333333331</v>
      </c>
    </row>
    <row r="16" spans="1:17" x14ac:dyDescent="0.4">
      <c r="A16" s="69">
        <v>13</v>
      </c>
      <c r="B16" s="66">
        <v>-132.39999999999998</v>
      </c>
      <c r="C16" s="66">
        <v>-10.184615384615382</v>
      </c>
      <c r="D16" s="71">
        <v>2.2307692307692308</v>
      </c>
      <c r="E16" s="67">
        <v>0.23076923076923078</v>
      </c>
      <c r="F16" s="67">
        <v>0.46153846153846156</v>
      </c>
      <c r="G16" s="67">
        <v>0.22222222222222221</v>
      </c>
      <c r="H16" s="67">
        <v>0.21212121212121213</v>
      </c>
      <c r="I16" s="68">
        <v>12586.363636363636</v>
      </c>
      <c r="J16" s="68">
        <v>-10723.809523809523</v>
      </c>
      <c r="K16" s="67">
        <v>0.30769230769230771</v>
      </c>
      <c r="L16" s="67">
        <v>0.23076923076923078</v>
      </c>
      <c r="M16" s="67">
        <v>0.21212121212121213</v>
      </c>
      <c r="N16" s="67">
        <v>0.25252525252525254</v>
      </c>
      <c r="O16" s="67">
        <v>0.23809523809523808</v>
      </c>
      <c r="P16" s="67">
        <v>0.48</v>
      </c>
      <c r="Q16" s="67">
        <v>0.31818181818181818</v>
      </c>
    </row>
    <row r="17" spans="1:17" x14ac:dyDescent="0.4">
      <c r="A17" s="69">
        <v>14</v>
      </c>
      <c r="B17" s="66">
        <v>-86.499999999999972</v>
      </c>
      <c r="C17" s="66">
        <v>-6.1785714285714262</v>
      </c>
      <c r="D17" s="71">
        <v>2.1428571428571428</v>
      </c>
      <c r="E17" s="67">
        <v>0.2857142857142857</v>
      </c>
      <c r="F17" s="67">
        <v>0.42857142857142855</v>
      </c>
      <c r="G17" s="67">
        <v>0.22641509433962265</v>
      </c>
      <c r="H17" s="67">
        <v>0.20754716981132076</v>
      </c>
      <c r="I17" s="68">
        <v>13370.833333333334</v>
      </c>
      <c r="J17" s="68">
        <v>-10600</v>
      </c>
      <c r="K17" s="67">
        <v>0.2857142857142857</v>
      </c>
      <c r="L17" s="67">
        <v>0.2857142857142857</v>
      </c>
      <c r="M17" s="67">
        <v>0.22641509433962265</v>
      </c>
      <c r="N17" s="67">
        <v>0.23584905660377359</v>
      </c>
      <c r="O17" s="67">
        <v>0.25</v>
      </c>
      <c r="P17" s="67">
        <v>0.48</v>
      </c>
      <c r="Q17" s="67">
        <v>0.33333333333333331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74043-41AF-4853-8621-1FB5E451354E}">
  <sheetPr codeName="Sheet14"/>
  <dimension ref="A1:Q2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-30.099999999999998</v>
      </c>
      <c r="C5" s="66">
        <v>-15.049999999999999</v>
      </c>
      <c r="D5" s="71">
        <v>2.5</v>
      </c>
      <c r="E5" s="67">
        <v>0</v>
      </c>
      <c r="F5" s="67">
        <v>0.5</v>
      </c>
      <c r="G5" s="67">
        <v>0.21052631578947367</v>
      </c>
      <c r="H5" s="67">
        <v>0.15789473684210525</v>
      </c>
      <c r="I5" s="68">
        <v>4750</v>
      </c>
      <c r="J5" s="68">
        <v>-11233.333333333334</v>
      </c>
      <c r="K5" s="67">
        <v>0</v>
      </c>
      <c r="L5" s="67">
        <v>0</v>
      </c>
      <c r="M5" s="67">
        <v>0.26315789473684209</v>
      </c>
      <c r="N5" s="67">
        <v>0.26315789473684209</v>
      </c>
      <c r="O5" s="67">
        <v>0.4</v>
      </c>
      <c r="P5" s="67">
        <v>0.2</v>
      </c>
      <c r="Q5" s="67">
        <v>0.25</v>
      </c>
    </row>
    <row r="6" spans="1:17" x14ac:dyDescent="0.4">
      <c r="A6" s="69">
        <v>3</v>
      </c>
      <c r="B6" s="66">
        <v>-17.599999999999998</v>
      </c>
      <c r="C6" s="66">
        <v>-5.8666666666666663</v>
      </c>
      <c r="D6" s="71">
        <v>2.3333333333333335</v>
      </c>
      <c r="E6" s="67">
        <v>0</v>
      </c>
      <c r="F6" s="67">
        <v>0.33333333333333331</v>
      </c>
      <c r="G6" s="67">
        <v>0.26666666666666666</v>
      </c>
      <c r="H6" s="67">
        <v>0.2</v>
      </c>
      <c r="I6" s="68">
        <v>5262.5</v>
      </c>
      <c r="J6" s="68">
        <v>-7716.666666666667</v>
      </c>
      <c r="K6" s="67">
        <v>0</v>
      </c>
      <c r="L6" s="67">
        <v>0</v>
      </c>
      <c r="M6" s="67">
        <v>0.26666666666666666</v>
      </c>
      <c r="N6" s="67">
        <v>0.23333333333333334</v>
      </c>
      <c r="O6" s="67">
        <v>0.625</v>
      </c>
      <c r="P6" s="67">
        <v>0.14285714285714285</v>
      </c>
      <c r="Q6" s="67">
        <v>0.25</v>
      </c>
    </row>
    <row r="7" spans="1:17" x14ac:dyDescent="0.4">
      <c r="A7" s="69">
        <v>4</v>
      </c>
      <c r="B7" s="66">
        <v>-54.899999999999991</v>
      </c>
      <c r="C7" s="66">
        <v>-13.724999999999998</v>
      </c>
      <c r="D7" s="71">
        <v>2.5</v>
      </c>
      <c r="E7" s="67">
        <v>0</v>
      </c>
      <c r="F7" s="67">
        <v>0.5</v>
      </c>
      <c r="G7" s="67">
        <v>0.28205128205128205</v>
      </c>
      <c r="H7" s="67">
        <v>0.20512820512820512</v>
      </c>
      <c r="I7" s="68">
        <v>5290.909090909091</v>
      </c>
      <c r="J7" s="68">
        <v>-10275</v>
      </c>
      <c r="K7" s="67">
        <v>0</v>
      </c>
      <c r="L7" s="67">
        <v>0</v>
      </c>
      <c r="M7" s="67">
        <v>0.25641025641025639</v>
      </c>
      <c r="N7" s="67">
        <v>0.23076923076923078</v>
      </c>
      <c r="O7" s="67">
        <v>0.7</v>
      </c>
      <c r="P7" s="67">
        <v>0.1111111111111111</v>
      </c>
      <c r="Q7" s="67">
        <v>0.18181818181818182</v>
      </c>
    </row>
    <row r="8" spans="1:17" x14ac:dyDescent="0.4">
      <c r="A8" s="69">
        <v>5</v>
      </c>
      <c r="B8" s="66">
        <v>-33.699999999999989</v>
      </c>
      <c r="C8" s="66">
        <v>-6.7399999999999975</v>
      </c>
      <c r="D8" s="71">
        <v>2.2000000000000002</v>
      </c>
      <c r="E8" s="67">
        <v>0.2</v>
      </c>
      <c r="F8" s="67">
        <v>0.4</v>
      </c>
      <c r="G8" s="67">
        <v>0.30612244897959184</v>
      </c>
      <c r="H8" s="67">
        <v>0.22448979591836735</v>
      </c>
      <c r="I8" s="68">
        <v>6226.666666666667</v>
      </c>
      <c r="J8" s="68">
        <v>-8127.272727272727</v>
      </c>
      <c r="K8" s="67">
        <v>0</v>
      </c>
      <c r="L8" s="67">
        <v>0</v>
      </c>
      <c r="M8" s="67">
        <v>0.26530612244897961</v>
      </c>
      <c r="N8" s="67">
        <v>0.20408163265306123</v>
      </c>
      <c r="O8" s="67">
        <v>0.69230769230769229</v>
      </c>
      <c r="P8" s="67">
        <v>0.2</v>
      </c>
      <c r="Q8" s="67">
        <v>0.26666666666666666</v>
      </c>
    </row>
    <row r="9" spans="1:17" x14ac:dyDescent="0.4">
      <c r="A9" s="69">
        <v>6</v>
      </c>
      <c r="B9" s="66">
        <v>-57.399999999999991</v>
      </c>
      <c r="C9" s="66">
        <v>-9.5666666666666647</v>
      </c>
      <c r="D9" s="71">
        <v>2.3333333333333335</v>
      </c>
      <c r="E9" s="67">
        <v>0.16666666666666666</v>
      </c>
      <c r="F9" s="67">
        <v>0.5</v>
      </c>
      <c r="G9" s="67">
        <v>0.2982456140350877</v>
      </c>
      <c r="H9" s="67">
        <v>0.22807017543859648</v>
      </c>
      <c r="I9" s="68">
        <v>6670.588235294118</v>
      </c>
      <c r="J9" s="68">
        <v>-8392.3076923076915</v>
      </c>
      <c r="K9" s="67">
        <v>0</v>
      </c>
      <c r="L9" s="67">
        <v>0</v>
      </c>
      <c r="M9" s="67">
        <v>0.2807017543859649</v>
      </c>
      <c r="N9" s="67">
        <v>0.21052631578947367</v>
      </c>
      <c r="O9" s="67">
        <v>0.625</v>
      </c>
      <c r="P9" s="67">
        <v>0.25</v>
      </c>
      <c r="Q9" s="67">
        <v>0.23529411764705882</v>
      </c>
    </row>
    <row r="10" spans="1:17" x14ac:dyDescent="0.4">
      <c r="A10" s="69">
        <v>7</v>
      </c>
      <c r="B10" s="66">
        <v>-39.499999999999993</v>
      </c>
      <c r="C10" s="66">
        <v>-5.6428571428571415</v>
      </c>
      <c r="D10" s="71">
        <v>2.2857142857142856</v>
      </c>
      <c r="E10" s="67">
        <v>0.14285714285714285</v>
      </c>
      <c r="F10" s="67">
        <v>0.42857142857142855</v>
      </c>
      <c r="G10" s="67">
        <v>0.29850746268656714</v>
      </c>
      <c r="H10" s="67">
        <v>0.20895522388059701</v>
      </c>
      <c r="I10" s="68">
        <v>7750</v>
      </c>
      <c r="J10" s="68">
        <v>-8071.4285714285716</v>
      </c>
      <c r="K10" s="67">
        <v>0</v>
      </c>
      <c r="L10" s="67">
        <v>0</v>
      </c>
      <c r="M10" s="67">
        <v>0.26865671641791045</v>
      </c>
      <c r="N10" s="67">
        <v>0.19402985074626866</v>
      </c>
      <c r="O10" s="67">
        <v>0.66666666666666663</v>
      </c>
      <c r="P10" s="67">
        <v>0.23076923076923078</v>
      </c>
      <c r="Q10" s="67">
        <v>0.3</v>
      </c>
    </row>
    <row r="11" spans="1:17" x14ac:dyDescent="0.4">
      <c r="A11" s="69">
        <v>8</v>
      </c>
      <c r="B11" s="66">
        <v>-62.999999999999993</v>
      </c>
      <c r="C11" s="66">
        <v>-7.8749999999999991</v>
      </c>
      <c r="D11" s="71">
        <v>2.375</v>
      </c>
      <c r="E11" s="67">
        <v>0.125</v>
      </c>
      <c r="F11" s="67">
        <v>0.5</v>
      </c>
      <c r="G11" s="67">
        <v>0.26315789473684209</v>
      </c>
      <c r="H11" s="67">
        <v>0.21052631578947367</v>
      </c>
      <c r="I11" s="68">
        <v>7750</v>
      </c>
      <c r="J11" s="68">
        <v>-7625</v>
      </c>
      <c r="K11" s="67">
        <v>0</v>
      </c>
      <c r="L11" s="67">
        <v>0</v>
      </c>
      <c r="M11" s="67">
        <v>0.25</v>
      </c>
      <c r="N11" s="67">
        <v>0.19736842105263158</v>
      </c>
      <c r="O11" s="67">
        <v>0.63157894736842102</v>
      </c>
      <c r="P11" s="67">
        <v>0.2</v>
      </c>
      <c r="Q11" s="67">
        <v>0.3</v>
      </c>
    </row>
    <row r="12" spans="1:17" x14ac:dyDescent="0.4">
      <c r="A12" s="69">
        <v>9</v>
      </c>
      <c r="B12" s="66">
        <v>-74.199999999999989</v>
      </c>
      <c r="C12" s="66">
        <v>-8.2444444444444436</v>
      </c>
      <c r="D12" s="71">
        <v>2.3333333333333335</v>
      </c>
      <c r="E12" s="67">
        <v>0.1111111111111111</v>
      </c>
      <c r="F12" s="67">
        <v>0.44444444444444442</v>
      </c>
      <c r="G12" s="67">
        <v>0.27058823529411763</v>
      </c>
      <c r="H12" s="67">
        <v>0.21176470588235294</v>
      </c>
      <c r="I12" s="68">
        <v>7686.95652173913</v>
      </c>
      <c r="J12" s="68">
        <v>-7872.2222222222226</v>
      </c>
      <c r="K12" s="67">
        <v>0</v>
      </c>
      <c r="L12" s="67">
        <v>0</v>
      </c>
      <c r="M12" s="67">
        <v>0.24705882352941178</v>
      </c>
      <c r="N12" s="67">
        <v>0.17647058823529413</v>
      </c>
      <c r="O12" s="67">
        <v>0.61904761904761907</v>
      </c>
      <c r="P12" s="67">
        <v>0.2</v>
      </c>
      <c r="Q12" s="67">
        <v>0.34782608695652173</v>
      </c>
    </row>
    <row r="13" spans="1:17" x14ac:dyDescent="0.4">
      <c r="A13" s="69">
        <v>10</v>
      </c>
      <c r="B13" s="66">
        <v>-117.19999999999999</v>
      </c>
      <c r="C13" s="66">
        <v>-11.719999999999999</v>
      </c>
      <c r="D13" s="71">
        <v>2.4</v>
      </c>
      <c r="E13" s="67">
        <v>0.1</v>
      </c>
      <c r="F13" s="67">
        <v>0.5</v>
      </c>
      <c r="G13" s="67">
        <v>0.23958333333333334</v>
      </c>
      <c r="H13" s="67">
        <v>0.22916666666666666</v>
      </c>
      <c r="I13" s="68">
        <v>7686.95652173913</v>
      </c>
      <c r="J13" s="68">
        <v>-7695.454545454545</v>
      </c>
      <c r="K13" s="67">
        <v>0</v>
      </c>
      <c r="L13" s="67">
        <v>0</v>
      </c>
      <c r="M13" s="67">
        <v>0.23958333333333334</v>
      </c>
      <c r="N13" s="67">
        <v>0.15625</v>
      </c>
      <c r="O13" s="67">
        <v>0.56521739130434778</v>
      </c>
      <c r="P13" s="67">
        <v>0.2</v>
      </c>
      <c r="Q13" s="67">
        <v>0.34782608695652173</v>
      </c>
    </row>
    <row r="14" spans="1:17" x14ac:dyDescent="0.4">
      <c r="A14" s="69">
        <v>11</v>
      </c>
      <c r="B14" s="66">
        <v>-177.29999999999998</v>
      </c>
      <c r="C14" s="66">
        <v>-16.118181818181817</v>
      </c>
      <c r="D14" s="71">
        <v>2.4545454545454546</v>
      </c>
      <c r="E14" s="67">
        <v>9.0909090909090912E-2</v>
      </c>
      <c r="F14" s="67">
        <v>0.54545454545454541</v>
      </c>
      <c r="G14" s="67">
        <v>0.23</v>
      </c>
      <c r="H14" s="67">
        <v>0.25</v>
      </c>
      <c r="I14" s="68">
        <v>7686.95652173913</v>
      </c>
      <c r="J14" s="68">
        <v>-8256</v>
      </c>
      <c r="K14" s="67">
        <v>9.0909090909090912E-2</v>
      </c>
      <c r="L14" s="67">
        <v>0</v>
      </c>
      <c r="M14" s="67">
        <v>0.24</v>
      </c>
      <c r="N14" s="67">
        <v>0.15</v>
      </c>
      <c r="O14" s="67">
        <v>0.54166666666666663</v>
      </c>
      <c r="P14" s="67">
        <v>0.2</v>
      </c>
      <c r="Q14" s="67">
        <v>0.34782608695652173</v>
      </c>
    </row>
    <row r="15" spans="1:17" x14ac:dyDescent="0.4">
      <c r="A15" s="69">
        <v>12</v>
      </c>
      <c r="B15" s="66">
        <v>-158.6</v>
      </c>
      <c r="C15" s="66">
        <v>-13.216666666666667</v>
      </c>
      <c r="D15" s="71">
        <v>2.4166666666666665</v>
      </c>
      <c r="E15" s="67">
        <v>8.3333333333333329E-2</v>
      </c>
      <c r="F15" s="67">
        <v>0.5</v>
      </c>
      <c r="G15" s="67">
        <v>0.23636363636363636</v>
      </c>
      <c r="H15" s="67">
        <v>0.23636363636363636</v>
      </c>
      <c r="I15" s="68">
        <v>7769.2307692307695</v>
      </c>
      <c r="J15" s="68">
        <v>-8015.3846153846152</v>
      </c>
      <c r="K15" s="67">
        <v>8.3333333333333329E-2</v>
      </c>
      <c r="L15" s="67">
        <v>0</v>
      </c>
      <c r="M15" s="67">
        <v>0.24545454545454545</v>
      </c>
      <c r="N15" s="67">
        <v>0.15454545454545454</v>
      </c>
      <c r="O15" s="67">
        <v>0.59259259259259256</v>
      </c>
      <c r="P15" s="67">
        <v>0.17647058823529413</v>
      </c>
      <c r="Q15" s="67">
        <v>0.34615384615384615</v>
      </c>
    </row>
    <row r="16" spans="1:17" x14ac:dyDescent="0.4">
      <c r="A16" s="69">
        <v>13</v>
      </c>
      <c r="B16" s="66">
        <v>-207.3</v>
      </c>
      <c r="C16" s="66">
        <v>-15.946153846153846</v>
      </c>
      <c r="D16" s="71">
        <v>2.4615384615384617</v>
      </c>
      <c r="E16" s="67">
        <v>7.6923076923076927E-2</v>
      </c>
      <c r="F16" s="67">
        <v>0.53846153846153844</v>
      </c>
      <c r="G16" s="67">
        <v>0.23529411764705882</v>
      </c>
      <c r="H16" s="67">
        <v>0.24369747899159663</v>
      </c>
      <c r="I16" s="68">
        <v>7928.5714285714284</v>
      </c>
      <c r="J16" s="68">
        <v>-8551.7241379310344</v>
      </c>
      <c r="K16" s="67">
        <v>0.15384615384615385</v>
      </c>
      <c r="L16" s="67">
        <v>0</v>
      </c>
      <c r="M16" s="67">
        <v>0.26050420168067229</v>
      </c>
      <c r="N16" s="67">
        <v>0.15966386554621848</v>
      </c>
      <c r="O16" s="67">
        <v>0.58064516129032262</v>
      </c>
      <c r="P16" s="67">
        <v>0.15789473684210525</v>
      </c>
      <c r="Q16" s="67">
        <v>0.32142857142857145</v>
      </c>
    </row>
    <row r="17" spans="1:17" x14ac:dyDescent="0.4">
      <c r="A17" s="69">
        <v>14</v>
      </c>
      <c r="B17" s="66">
        <v>-204.8</v>
      </c>
      <c r="C17" s="66">
        <v>-14.62857142857143</v>
      </c>
      <c r="D17" s="71">
        <v>2.4285714285714284</v>
      </c>
      <c r="E17" s="67">
        <v>7.1428571428571425E-2</v>
      </c>
      <c r="F17" s="67">
        <v>0.5</v>
      </c>
      <c r="G17" s="67">
        <v>0.2421875</v>
      </c>
      <c r="H17" s="67">
        <v>0.25</v>
      </c>
      <c r="I17" s="68">
        <v>8000</v>
      </c>
      <c r="J17" s="68">
        <v>-8203.125</v>
      </c>
      <c r="K17" s="67">
        <v>0.14285714285714285</v>
      </c>
      <c r="L17" s="67">
        <v>0</v>
      </c>
      <c r="M17" s="67">
        <v>0.25</v>
      </c>
      <c r="N17" s="67">
        <v>0.171875</v>
      </c>
      <c r="O17" s="67">
        <v>0.59375</v>
      </c>
      <c r="P17" s="67">
        <v>0.22727272727272727</v>
      </c>
      <c r="Q17" s="67">
        <v>0.35483870967741937</v>
      </c>
    </row>
    <row r="18" spans="1:17" x14ac:dyDescent="0.4">
      <c r="A18" s="69">
        <v>15</v>
      </c>
      <c r="B18" s="66">
        <v>-221.5</v>
      </c>
      <c r="C18" s="66">
        <v>-14.766666666666667</v>
      </c>
      <c r="D18" s="71">
        <v>2.4666666666666668</v>
      </c>
      <c r="E18" s="67">
        <v>6.6666666666666666E-2</v>
      </c>
      <c r="F18" s="67">
        <v>0.53333333333333333</v>
      </c>
      <c r="G18" s="67">
        <v>0.25362318840579712</v>
      </c>
      <c r="H18" s="67">
        <v>0.24637681159420291</v>
      </c>
      <c r="I18" s="68">
        <v>7902.8571428571431</v>
      </c>
      <c r="J18" s="68">
        <v>-8285.2941176470595</v>
      </c>
      <c r="K18" s="67">
        <v>0.13333333333333333</v>
      </c>
      <c r="L18" s="67">
        <v>0</v>
      </c>
      <c r="M18" s="67">
        <v>0.25362318840579712</v>
      </c>
      <c r="N18" s="67">
        <v>0.18840579710144928</v>
      </c>
      <c r="O18" s="67">
        <v>0.6</v>
      </c>
      <c r="P18" s="67">
        <v>0.26923076923076922</v>
      </c>
      <c r="Q18" s="67">
        <v>0.37142857142857144</v>
      </c>
    </row>
    <row r="19" spans="1:17" x14ac:dyDescent="0.4">
      <c r="A19" s="69">
        <v>16</v>
      </c>
      <c r="B19" s="66">
        <v>-224.3</v>
      </c>
      <c r="C19" s="66">
        <v>-14.018750000000001</v>
      </c>
      <c r="D19" s="71">
        <v>2.4375</v>
      </c>
      <c r="E19" s="67">
        <v>6.25E-2</v>
      </c>
      <c r="F19" s="67">
        <v>0.5</v>
      </c>
      <c r="G19" s="67">
        <v>0.26666666666666666</v>
      </c>
      <c r="H19" s="67">
        <v>0.23333333333333334</v>
      </c>
      <c r="I19" s="68">
        <v>7385</v>
      </c>
      <c r="J19" s="68">
        <v>-8214.2857142857138</v>
      </c>
      <c r="K19" s="67">
        <v>0.125</v>
      </c>
      <c r="L19" s="67">
        <v>0</v>
      </c>
      <c r="M19" s="67">
        <v>0.25333333333333335</v>
      </c>
      <c r="N19" s="67">
        <v>0.19333333333333333</v>
      </c>
      <c r="O19" s="67">
        <v>0.60526315789473684</v>
      </c>
      <c r="P19" s="67">
        <v>0.31034482758620691</v>
      </c>
      <c r="Q19" s="67">
        <v>0.375</v>
      </c>
    </row>
    <row r="20" spans="1:17" x14ac:dyDescent="0.4">
      <c r="A20" s="69">
        <v>17</v>
      </c>
      <c r="B20" s="66">
        <v>-251.4</v>
      </c>
      <c r="C20" s="66">
        <v>-14.788235294117648</v>
      </c>
      <c r="D20" s="71">
        <v>2.4705882352941178</v>
      </c>
      <c r="E20" s="67">
        <v>5.8823529411764705E-2</v>
      </c>
      <c r="F20" s="67">
        <v>0.52941176470588236</v>
      </c>
      <c r="G20" s="67">
        <v>0.25477707006369427</v>
      </c>
      <c r="H20" s="67">
        <v>0.24203821656050956</v>
      </c>
      <c r="I20" s="68">
        <v>7385</v>
      </c>
      <c r="J20" s="68">
        <v>-7931.5789473684208</v>
      </c>
      <c r="K20" s="67">
        <v>0.11764705882352941</v>
      </c>
      <c r="L20" s="67">
        <v>0</v>
      </c>
      <c r="M20" s="67">
        <v>0.24203821656050956</v>
      </c>
      <c r="N20" s="67">
        <v>0.18471337579617833</v>
      </c>
      <c r="O20" s="67">
        <v>0.60526315789473684</v>
      </c>
      <c r="P20" s="67">
        <v>0.31034482758620691</v>
      </c>
      <c r="Q20" s="67">
        <v>0.375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46B8E-4B66-4BFC-99AB-21B66AD74733}">
  <sheetPr codeName="Sheet12"/>
  <dimension ref="A1:Q4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 x14ac:dyDescent="0.4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  <row r="6" spans="1:17" x14ac:dyDescent="0.4">
      <c r="A6" s="69">
        <v>3</v>
      </c>
      <c r="B6" s="66">
        <v>-58.599999999999994</v>
      </c>
      <c r="C6" s="66">
        <v>-19.533333333333331</v>
      </c>
      <c r="D6" s="71">
        <v>2.6666666666666665</v>
      </c>
      <c r="E6" s="67">
        <v>0</v>
      </c>
      <c r="F6" s="67">
        <v>0.66666666666666663</v>
      </c>
      <c r="G6" s="67">
        <v>0.19230769230769232</v>
      </c>
      <c r="H6" s="67">
        <v>0.30769230769230771</v>
      </c>
      <c r="I6" s="68">
        <v>9320</v>
      </c>
      <c r="J6" s="68">
        <v>-5775</v>
      </c>
      <c r="K6" s="67">
        <v>0.33333333333333331</v>
      </c>
      <c r="L6" s="67">
        <v>0</v>
      </c>
      <c r="M6" s="67">
        <v>0.34615384615384615</v>
      </c>
      <c r="N6" s="67">
        <v>0.15384615384615385</v>
      </c>
      <c r="O6" s="67">
        <v>0.44444444444444442</v>
      </c>
      <c r="P6" s="67">
        <v>0.25</v>
      </c>
      <c r="Q6" s="67">
        <v>0.4</v>
      </c>
    </row>
    <row r="7" spans="1:17" x14ac:dyDescent="0.4">
      <c r="A7" s="69">
        <v>4</v>
      </c>
      <c r="B7" s="66">
        <v>-38.099999999999994</v>
      </c>
      <c r="C7" s="66">
        <v>-9.5249999999999986</v>
      </c>
      <c r="D7" s="71">
        <v>2.25</v>
      </c>
      <c r="E7" s="67">
        <v>0.25</v>
      </c>
      <c r="F7" s="67">
        <v>0.5</v>
      </c>
      <c r="G7" s="67">
        <v>0.26470588235294118</v>
      </c>
      <c r="H7" s="67">
        <v>0.29411764705882354</v>
      </c>
      <c r="I7" s="68">
        <v>7788.8888888888887</v>
      </c>
      <c r="J7" s="68">
        <v>-6020</v>
      </c>
      <c r="K7" s="67">
        <v>0.25</v>
      </c>
      <c r="L7" s="67">
        <v>0</v>
      </c>
      <c r="M7" s="67">
        <v>0.35294117647058826</v>
      </c>
      <c r="N7" s="67">
        <v>0.17647058823529413</v>
      </c>
      <c r="O7" s="67">
        <v>0.58333333333333337</v>
      </c>
      <c r="P7" s="67">
        <v>0.33333333333333331</v>
      </c>
      <c r="Q7" s="67">
        <v>0.44444444444444442</v>
      </c>
    </row>
    <row r="8" spans="1:17" x14ac:dyDescent="0.4">
      <c r="A8" s="69">
        <v>5</v>
      </c>
      <c r="B8" s="66">
        <v>-11.299999999999994</v>
      </c>
      <c r="C8" s="66">
        <v>-2.2599999999999989</v>
      </c>
      <c r="D8" s="71">
        <v>2</v>
      </c>
      <c r="E8" s="67">
        <v>0.4</v>
      </c>
      <c r="F8" s="67">
        <v>0.4</v>
      </c>
      <c r="G8" s="67">
        <v>0.29268292682926828</v>
      </c>
      <c r="H8" s="67">
        <v>0.29268292682926828</v>
      </c>
      <c r="I8" s="68">
        <v>8275</v>
      </c>
      <c r="J8" s="68">
        <v>-6008.333333333333</v>
      </c>
      <c r="K8" s="67">
        <v>0.2</v>
      </c>
      <c r="L8" s="67">
        <v>0</v>
      </c>
      <c r="M8" s="67">
        <v>0.31707317073170732</v>
      </c>
      <c r="N8" s="67">
        <v>0.1951219512195122</v>
      </c>
      <c r="O8" s="67">
        <v>0.61538461538461542</v>
      </c>
      <c r="P8" s="67">
        <v>0.375</v>
      </c>
      <c r="Q8" s="67">
        <v>0.41666666666666669</v>
      </c>
    </row>
    <row r="9" spans="1:17" x14ac:dyDescent="0.4">
      <c r="A9" s="69">
        <v>6</v>
      </c>
      <c r="B9" s="66">
        <v>-11.899999999999993</v>
      </c>
      <c r="C9" s="66">
        <v>-1.9833333333333323</v>
      </c>
      <c r="D9" s="71">
        <v>2</v>
      </c>
      <c r="E9" s="67">
        <v>0.33333333333333331</v>
      </c>
      <c r="F9" s="67">
        <v>0.33333333333333331</v>
      </c>
      <c r="G9" s="67">
        <v>0.34</v>
      </c>
      <c r="H9" s="67">
        <v>0.26</v>
      </c>
      <c r="I9" s="68">
        <v>6964.7058823529414</v>
      </c>
      <c r="J9" s="68">
        <v>-6138.4615384615381</v>
      </c>
      <c r="K9" s="67">
        <v>0.16666666666666666</v>
      </c>
      <c r="L9" s="67">
        <v>0</v>
      </c>
      <c r="M9" s="67">
        <v>0.26</v>
      </c>
      <c r="N9" s="67">
        <v>0.22</v>
      </c>
      <c r="O9" s="67">
        <v>0.61538461538461542</v>
      </c>
      <c r="P9" s="67">
        <v>0.54545454545454541</v>
      </c>
      <c r="Q9" s="67">
        <v>0.35294117647058826</v>
      </c>
    </row>
    <row r="10" spans="1:17" x14ac:dyDescent="0.4">
      <c r="A10" s="69">
        <v>7</v>
      </c>
      <c r="B10" s="66">
        <v>-9.4999999999999929</v>
      </c>
      <c r="C10" s="66">
        <v>-1.3571428571428561</v>
      </c>
      <c r="D10" s="71">
        <v>2</v>
      </c>
      <c r="E10" s="67">
        <v>0.2857142857142857</v>
      </c>
      <c r="F10" s="67">
        <v>0.2857142857142857</v>
      </c>
      <c r="G10" s="67">
        <v>0.3125</v>
      </c>
      <c r="H10" s="67">
        <v>0.234375</v>
      </c>
      <c r="I10" s="68">
        <v>7900</v>
      </c>
      <c r="J10" s="68">
        <v>-6866.666666666667</v>
      </c>
      <c r="K10" s="67">
        <v>0.14285714285714285</v>
      </c>
      <c r="L10" s="67">
        <v>0</v>
      </c>
      <c r="M10" s="67">
        <v>0.25</v>
      </c>
      <c r="N10" s="67">
        <v>0.21875</v>
      </c>
      <c r="O10" s="67">
        <v>0.625</v>
      </c>
      <c r="P10" s="67">
        <v>0.42857142857142855</v>
      </c>
      <c r="Q10" s="67">
        <v>0.35</v>
      </c>
    </row>
    <row r="11" spans="1:17" x14ac:dyDescent="0.4">
      <c r="A11" s="69">
        <v>8</v>
      </c>
      <c r="B11" s="66">
        <v>-56.79999999999999</v>
      </c>
      <c r="C11" s="66">
        <v>-7.0999999999999988</v>
      </c>
      <c r="D11" s="71">
        <v>2.125</v>
      </c>
      <c r="E11" s="67">
        <v>0.25</v>
      </c>
      <c r="F11" s="67">
        <v>0.375</v>
      </c>
      <c r="G11" s="67">
        <v>0.32</v>
      </c>
      <c r="H11" s="67">
        <v>0.25333333333333335</v>
      </c>
      <c r="I11" s="68">
        <v>7566.666666666667</v>
      </c>
      <c r="J11" s="68">
        <v>-8363.1578947368416</v>
      </c>
      <c r="K11" s="67">
        <v>0.25</v>
      </c>
      <c r="L11" s="67">
        <v>0</v>
      </c>
      <c r="M11" s="67">
        <v>0.24</v>
      </c>
      <c r="N11" s="67">
        <v>0.22666666666666666</v>
      </c>
      <c r="O11" s="67">
        <v>0.61111111111111116</v>
      </c>
      <c r="P11" s="67">
        <v>0.47058823529411764</v>
      </c>
      <c r="Q11" s="67">
        <v>0.29166666666666669</v>
      </c>
    </row>
    <row r="12" spans="1:17" x14ac:dyDescent="0.4">
      <c r="A12" s="69">
        <v>9</v>
      </c>
      <c r="B12" s="66">
        <v>-83.699999999999989</v>
      </c>
      <c r="C12" s="66">
        <v>-9.2999999999999989</v>
      </c>
      <c r="D12" s="71">
        <v>2.2222222222222223</v>
      </c>
      <c r="E12" s="67">
        <v>0.22222222222222221</v>
      </c>
      <c r="F12" s="67">
        <v>0.44444444444444442</v>
      </c>
      <c r="G12" s="67">
        <v>0.29411764705882354</v>
      </c>
      <c r="H12" s="67">
        <v>0.22352941176470589</v>
      </c>
      <c r="I12" s="68">
        <v>7584</v>
      </c>
      <c r="J12" s="68">
        <v>-8363.1578947368416</v>
      </c>
      <c r="K12" s="67">
        <v>0.22222222222222221</v>
      </c>
      <c r="L12" s="67">
        <v>0</v>
      </c>
      <c r="M12" s="67">
        <v>0.23529411764705882</v>
      </c>
      <c r="N12" s="67">
        <v>0.23529411764705882</v>
      </c>
      <c r="O12" s="67">
        <v>0.55000000000000004</v>
      </c>
      <c r="P12" s="67">
        <v>0.45</v>
      </c>
      <c r="Q12" s="67">
        <v>0.28000000000000003</v>
      </c>
    </row>
    <row r="13" spans="1:17" x14ac:dyDescent="0.4">
      <c r="A13" s="69">
        <v>10</v>
      </c>
      <c r="B13" s="66">
        <v>-78.399999999999991</v>
      </c>
      <c r="C13" s="66">
        <v>-7.839999999999999</v>
      </c>
      <c r="D13" s="71">
        <v>2.2000000000000002</v>
      </c>
      <c r="E13" s="67">
        <v>0.2</v>
      </c>
      <c r="F13" s="67">
        <v>0.4</v>
      </c>
      <c r="G13" s="67">
        <v>0.30851063829787234</v>
      </c>
      <c r="H13" s="67">
        <v>0.20212765957446807</v>
      </c>
      <c r="I13" s="68">
        <v>7389.6551724137935</v>
      </c>
      <c r="J13" s="68">
        <v>-8363.1578947368416</v>
      </c>
      <c r="K13" s="67">
        <v>0.2</v>
      </c>
      <c r="L13" s="67">
        <v>0</v>
      </c>
      <c r="M13" s="67">
        <v>0.24468085106382978</v>
      </c>
      <c r="N13" s="67">
        <v>0.25531914893617019</v>
      </c>
      <c r="O13" s="67">
        <v>0.56521739130434778</v>
      </c>
      <c r="P13" s="67">
        <v>0.41666666666666669</v>
      </c>
      <c r="Q13" s="67">
        <v>0.31034482758620691</v>
      </c>
    </row>
    <row r="14" spans="1:17" x14ac:dyDescent="0.4">
      <c r="A14" s="69">
        <v>11</v>
      </c>
      <c r="B14" s="66">
        <v>-68.099999999999994</v>
      </c>
      <c r="C14" s="66">
        <v>-6.1909090909090905</v>
      </c>
      <c r="D14" s="71">
        <v>2.1818181818181817</v>
      </c>
      <c r="E14" s="67">
        <v>0.18181818181818182</v>
      </c>
      <c r="F14" s="67">
        <v>0.36363636363636365</v>
      </c>
      <c r="G14" s="67">
        <v>0.29126213592233008</v>
      </c>
      <c r="H14" s="67">
        <v>0.1941747572815534</v>
      </c>
      <c r="I14" s="68">
        <v>7743.333333333333</v>
      </c>
      <c r="J14" s="68">
        <v>-8105</v>
      </c>
      <c r="K14" s="67">
        <v>0.18181818181818182</v>
      </c>
      <c r="L14" s="67">
        <v>0</v>
      </c>
      <c r="M14" s="67">
        <v>0.25242718446601942</v>
      </c>
      <c r="N14" s="67">
        <v>0.25242718446601942</v>
      </c>
      <c r="O14" s="67">
        <v>0.53846153846153844</v>
      </c>
      <c r="P14" s="67">
        <v>0.38461538461538464</v>
      </c>
      <c r="Q14" s="67">
        <v>0.33333333333333331</v>
      </c>
    </row>
    <row r="15" spans="1:17" x14ac:dyDescent="0.4">
      <c r="A15" s="69">
        <v>12</v>
      </c>
      <c r="B15" s="66">
        <v>-89</v>
      </c>
      <c r="C15" s="66">
        <v>-7.416666666666667</v>
      </c>
      <c r="D15" s="71">
        <v>2.25</v>
      </c>
      <c r="E15" s="67">
        <v>0.16666666666666666</v>
      </c>
      <c r="F15" s="67">
        <v>0.41666666666666669</v>
      </c>
      <c r="G15" s="67">
        <v>0.30088495575221241</v>
      </c>
      <c r="H15" s="67">
        <v>0.18584070796460178</v>
      </c>
      <c r="I15" s="68">
        <v>7385.2941176470586</v>
      </c>
      <c r="J15" s="68">
        <v>-8100</v>
      </c>
      <c r="K15" s="67">
        <v>0.16666666666666666</v>
      </c>
      <c r="L15" s="67">
        <v>0</v>
      </c>
      <c r="M15" s="67">
        <v>0.25663716814159293</v>
      </c>
      <c r="N15" s="67">
        <v>0.24778761061946902</v>
      </c>
      <c r="O15" s="67">
        <v>0.51724137931034486</v>
      </c>
      <c r="P15" s="67">
        <v>0.39285714285714285</v>
      </c>
      <c r="Q15" s="67">
        <v>0.3235294117647059</v>
      </c>
    </row>
    <row r="16" spans="1:17" x14ac:dyDescent="0.4">
      <c r="A16" s="69">
        <v>13</v>
      </c>
      <c r="B16" s="66">
        <v>-86.8</v>
      </c>
      <c r="C16" s="66">
        <v>-6.6769230769230763</v>
      </c>
      <c r="D16" s="71">
        <v>2.2307692307692308</v>
      </c>
      <c r="E16" s="67">
        <v>0.15384615384615385</v>
      </c>
      <c r="F16" s="67">
        <v>0.38461538461538464</v>
      </c>
      <c r="G16" s="67">
        <v>0.2975206611570248</v>
      </c>
      <c r="H16" s="67">
        <v>0.19834710743801653</v>
      </c>
      <c r="I16" s="68">
        <v>7641.666666666667</v>
      </c>
      <c r="J16" s="68">
        <v>-7850</v>
      </c>
      <c r="K16" s="67">
        <v>0.15384615384615385</v>
      </c>
      <c r="L16" s="67">
        <v>0</v>
      </c>
      <c r="M16" s="67">
        <v>0.24793388429752067</v>
      </c>
      <c r="N16" s="67">
        <v>0.23966942148760331</v>
      </c>
      <c r="O16" s="67">
        <v>0.53333333333333333</v>
      </c>
      <c r="P16" s="67">
        <v>0.41379310344827586</v>
      </c>
      <c r="Q16" s="67">
        <v>0.33333333333333331</v>
      </c>
    </row>
    <row r="17" spans="1:17" x14ac:dyDescent="0.4">
      <c r="A17" s="69">
        <v>14</v>
      </c>
      <c r="B17" s="66">
        <v>-138.4</v>
      </c>
      <c r="C17" s="66">
        <v>-9.8857142857142861</v>
      </c>
      <c r="D17" s="71">
        <v>2.2857142857142856</v>
      </c>
      <c r="E17" s="67">
        <v>0.14285714285714285</v>
      </c>
      <c r="F17" s="67">
        <v>0.42857142857142855</v>
      </c>
      <c r="G17" s="67">
        <v>0.28244274809160308</v>
      </c>
      <c r="H17" s="67">
        <v>0.19083969465648856</v>
      </c>
      <c r="I17" s="68">
        <v>7651.3513513513517</v>
      </c>
      <c r="J17" s="68">
        <v>-8016</v>
      </c>
      <c r="K17" s="67">
        <v>0.21428571428571427</v>
      </c>
      <c r="L17" s="67">
        <v>0</v>
      </c>
      <c r="M17" s="67">
        <v>0.24427480916030533</v>
      </c>
      <c r="N17" s="67">
        <v>0.24427480916030533</v>
      </c>
      <c r="O17" s="67">
        <v>0.5</v>
      </c>
      <c r="P17" s="67">
        <v>0.40625</v>
      </c>
      <c r="Q17" s="67">
        <v>0.35135135135135137</v>
      </c>
    </row>
    <row r="18" spans="1:17" x14ac:dyDescent="0.4">
      <c r="A18" s="69">
        <v>15</v>
      </c>
      <c r="B18" s="66">
        <v>-144.30000000000001</v>
      </c>
      <c r="C18" s="66">
        <v>-9.620000000000001</v>
      </c>
      <c r="D18" s="71">
        <v>2.2666666666666666</v>
      </c>
      <c r="E18" s="67">
        <v>0.13333333333333333</v>
      </c>
      <c r="F18" s="67">
        <v>0.4</v>
      </c>
      <c r="G18" s="67">
        <v>0.2857142857142857</v>
      </c>
      <c r="H18" s="67">
        <v>0.18571428571428572</v>
      </c>
      <c r="I18" s="68">
        <v>7475</v>
      </c>
      <c r="J18" s="68">
        <v>-7930.7692307692305</v>
      </c>
      <c r="K18" s="67">
        <v>0.2</v>
      </c>
      <c r="L18" s="67">
        <v>0</v>
      </c>
      <c r="M18" s="67">
        <v>0.23571428571428571</v>
      </c>
      <c r="N18" s="67">
        <v>0.25</v>
      </c>
      <c r="O18" s="67">
        <v>0.51515151515151514</v>
      </c>
      <c r="P18" s="67">
        <v>0.42857142857142855</v>
      </c>
      <c r="Q18" s="67">
        <v>0.35</v>
      </c>
    </row>
    <row r="19" spans="1:17" x14ac:dyDescent="0.4">
      <c r="A19" s="69">
        <v>16</v>
      </c>
      <c r="B19" s="66">
        <v>-187.3</v>
      </c>
      <c r="C19" s="66">
        <v>-11.706250000000001</v>
      </c>
      <c r="D19" s="71">
        <v>2.3125</v>
      </c>
      <c r="E19" s="67">
        <v>0.125</v>
      </c>
      <c r="F19" s="67">
        <v>0.4375</v>
      </c>
      <c r="G19" s="67">
        <v>0.27516778523489932</v>
      </c>
      <c r="H19" s="67">
        <v>0.18791946308724833</v>
      </c>
      <c r="I19" s="68">
        <v>7585.3658536585363</v>
      </c>
      <c r="J19" s="68">
        <v>-8207.1428571428569</v>
      </c>
      <c r="K19" s="67">
        <v>0.1875</v>
      </c>
      <c r="L19" s="67">
        <v>0</v>
      </c>
      <c r="M19" s="67">
        <v>0.22818791946308725</v>
      </c>
      <c r="N19" s="67">
        <v>0.25503355704697989</v>
      </c>
      <c r="O19" s="67">
        <v>0.5</v>
      </c>
      <c r="P19" s="67">
        <v>0.42105263157894735</v>
      </c>
      <c r="Q19" s="67">
        <v>0.34146341463414637</v>
      </c>
    </row>
    <row r="20" spans="1:17" x14ac:dyDescent="0.4">
      <c r="A20" s="69">
        <v>17</v>
      </c>
      <c r="B20" s="66">
        <v>-179.70000000000002</v>
      </c>
      <c r="C20" s="66">
        <v>-10.570588235294119</v>
      </c>
      <c r="D20" s="71">
        <v>2.2941176470588234</v>
      </c>
      <c r="E20" s="67">
        <v>0.11764705882352941</v>
      </c>
      <c r="F20" s="67">
        <v>0.41176470588235292</v>
      </c>
      <c r="G20" s="67">
        <v>0.28125</v>
      </c>
      <c r="H20" s="67">
        <v>0.19375000000000001</v>
      </c>
      <c r="I20" s="68">
        <v>7584.4444444444443</v>
      </c>
      <c r="J20" s="68">
        <v>-8070.9677419354839</v>
      </c>
      <c r="K20" s="67">
        <v>0.17647058823529413</v>
      </c>
      <c r="L20" s="67">
        <v>0</v>
      </c>
      <c r="M20" s="67">
        <v>0.21249999999999999</v>
      </c>
      <c r="N20" s="67">
        <v>0.25624999999999998</v>
      </c>
      <c r="O20" s="67">
        <v>0.5</v>
      </c>
      <c r="P20" s="67">
        <v>0.43902439024390244</v>
      </c>
      <c r="Q20" s="67">
        <v>0.31111111111111112</v>
      </c>
    </row>
    <row r="21" spans="1:17" x14ac:dyDescent="0.4">
      <c r="A21" s="69">
        <v>18</v>
      </c>
      <c r="B21" s="66">
        <v>-112.90000000000002</v>
      </c>
      <c r="C21" s="66">
        <v>-6.272222222222223</v>
      </c>
      <c r="D21" s="71">
        <v>2.2222222222222223</v>
      </c>
      <c r="E21" s="67">
        <v>0.16666666666666666</v>
      </c>
      <c r="F21" s="67">
        <v>0.3888888888888889</v>
      </c>
      <c r="G21" s="67">
        <v>0.29878048780487804</v>
      </c>
      <c r="H21" s="67">
        <v>0.18902439024390244</v>
      </c>
      <c r="I21" s="68">
        <v>8063.2653061224491</v>
      </c>
      <c r="J21" s="68">
        <v>-8070.9677419354839</v>
      </c>
      <c r="K21" s="67">
        <v>0.16666666666666666</v>
      </c>
      <c r="L21" s="67">
        <v>5.5555555555555552E-2</v>
      </c>
      <c r="M21" s="67">
        <v>0.2073170731707317</v>
      </c>
      <c r="N21" s="67">
        <v>0.27439024390243905</v>
      </c>
      <c r="O21" s="67">
        <v>0.5</v>
      </c>
      <c r="P21" s="67">
        <v>0.48888888888888887</v>
      </c>
      <c r="Q21" s="67">
        <v>0.30612244897959184</v>
      </c>
    </row>
    <row r="22" spans="1:17" x14ac:dyDescent="0.4">
      <c r="A22" s="69">
        <v>19</v>
      </c>
      <c r="B22" s="66">
        <v>-162.40000000000003</v>
      </c>
      <c r="C22" s="66">
        <v>-8.5473684210526333</v>
      </c>
      <c r="D22" s="71">
        <v>2.263157894736842</v>
      </c>
      <c r="E22" s="67">
        <v>0.15789473684210525</v>
      </c>
      <c r="F22" s="67">
        <v>0.42105263157894735</v>
      </c>
      <c r="G22" s="67">
        <v>0.29310344827586204</v>
      </c>
      <c r="H22" s="67">
        <v>0.20689655172413793</v>
      </c>
      <c r="I22" s="68">
        <v>8021.5686274509808</v>
      </c>
      <c r="J22" s="68">
        <v>-7880.5555555555557</v>
      </c>
      <c r="K22" s="67">
        <v>0.21052631578947367</v>
      </c>
      <c r="L22" s="67">
        <v>5.2631578947368418E-2</v>
      </c>
      <c r="M22" s="67">
        <v>0.20689655172413793</v>
      </c>
      <c r="N22" s="67">
        <v>0.27586206896551724</v>
      </c>
      <c r="O22" s="67">
        <v>0.5</v>
      </c>
      <c r="P22" s="67">
        <v>0.47916666666666669</v>
      </c>
      <c r="Q22" s="67">
        <v>0.29411764705882354</v>
      </c>
    </row>
    <row r="23" spans="1:17" x14ac:dyDescent="0.4">
      <c r="A23" s="69">
        <v>20</v>
      </c>
      <c r="B23" s="66">
        <v>-96.000000000000028</v>
      </c>
      <c r="C23" s="66">
        <v>-4.8000000000000016</v>
      </c>
      <c r="D23" s="71">
        <v>2.2000000000000002</v>
      </c>
      <c r="E23" s="67">
        <v>0.2</v>
      </c>
      <c r="F23" s="67">
        <v>0.4</v>
      </c>
      <c r="G23" s="67">
        <v>0.30601092896174864</v>
      </c>
      <c r="H23" s="67">
        <v>0.19672131147540983</v>
      </c>
      <c r="I23" s="68">
        <v>8237.5</v>
      </c>
      <c r="J23" s="68">
        <v>-7880.5555555555557</v>
      </c>
      <c r="K23" s="67">
        <v>0.2</v>
      </c>
      <c r="L23" s="67">
        <v>0.1</v>
      </c>
      <c r="M23" s="67">
        <v>0.20765027322404372</v>
      </c>
      <c r="N23" s="67">
        <v>0.27868852459016391</v>
      </c>
      <c r="O23" s="67">
        <v>0.52631578947368418</v>
      </c>
      <c r="P23" s="67">
        <v>0.49019607843137253</v>
      </c>
      <c r="Q23" s="67">
        <v>0.2857142857142857</v>
      </c>
    </row>
    <row r="24" spans="1:17" x14ac:dyDescent="0.4">
      <c r="A24" s="69">
        <v>21</v>
      </c>
      <c r="B24" s="66">
        <v>-67.200000000000031</v>
      </c>
      <c r="C24" s="66">
        <v>-3.2000000000000015</v>
      </c>
      <c r="D24" s="71">
        <v>2.1428571428571428</v>
      </c>
      <c r="E24" s="67">
        <v>0.23809523809523808</v>
      </c>
      <c r="F24" s="67">
        <v>0.38095238095238093</v>
      </c>
      <c r="G24" s="67">
        <v>0.30927835051546393</v>
      </c>
      <c r="H24" s="67">
        <v>0.19072164948453607</v>
      </c>
      <c r="I24" s="68">
        <v>8355</v>
      </c>
      <c r="J24" s="68">
        <v>-7875.6756756756758</v>
      </c>
      <c r="K24" s="67">
        <v>0.19047619047619047</v>
      </c>
      <c r="L24" s="67">
        <v>0.14285714285714285</v>
      </c>
      <c r="M24" s="67">
        <v>0.20103092783505155</v>
      </c>
      <c r="N24" s="67">
        <v>0.29381443298969073</v>
      </c>
      <c r="O24" s="67">
        <v>0.51282051282051277</v>
      </c>
      <c r="P24" s="67">
        <v>0.47368421052631576</v>
      </c>
      <c r="Q24" s="67">
        <v>0.28333333333333333</v>
      </c>
    </row>
    <row r="25" spans="1:17" x14ac:dyDescent="0.4">
      <c r="A25" s="69">
        <v>22</v>
      </c>
      <c r="B25" s="66">
        <v>-66.400000000000034</v>
      </c>
      <c r="C25" s="66">
        <v>-3.0181818181818199</v>
      </c>
      <c r="D25" s="71">
        <v>2.1363636363636362</v>
      </c>
      <c r="E25" s="67">
        <v>0.22727272727272727</v>
      </c>
      <c r="F25" s="67">
        <v>0.36363636363636365</v>
      </c>
      <c r="G25" s="67">
        <v>0.30049261083743845</v>
      </c>
      <c r="H25" s="67">
        <v>0.18719211822660098</v>
      </c>
      <c r="I25" s="68">
        <v>8349.1803278688531</v>
      </c>
      <c r="J25" s="68">
        <v>-7721.0526315789475</v>
      </c>
      <c r="K25" s="67">
        <v>0.18181818181818182</v>
      </c>
      <c r="L25" s="67">
        <v>0.13636363636363635</v>
      </c>
      <c r="M25" s="67">
        <v>0.19704433497536947</v>
      </c>
      <c r="N25" s="67">
        <v>0.2857142857142857</v>
      </c>
      <c r="O25" s="67">
        <v>0.52500000000000002</v>
      </c>
      <c r="P25" s="67">
        <v>0.46551724137931033</v>
      </c>
      <c r="Q25" s="67">
        <v>0.27868852459016391</v>
      </c>
    </row>
    <row r="26" spans="1:17" x14ac:dyDescent="0.4">
      <c r="A26" s="69">
        <v>23</v>
      </c>
      <c r="B26" s="66">
        <v>-66.400000000000034</v>
      </c>
      <c r="C26" s="66">
        <v>-2.886956521739132</v>
      </c>
      <c r="D26" s="71">
        <v>2.1304347826086958</v>
      </c>
      <c r="E26" s="67">
        <v>0.21739130434782608</v>
      </c>
      <c r="F26" s="67">
        <v>0.34782608695652173</v>
      </c>
      <c r="G26" s="67">
        <v>0.29901960784313725</v>
      </c>
      <c r="H26" s="67">
        <v>0.18627450980392157</v>
      </c>
      <c r="I26" s="68">
        <v>8349.1803278688531</v>
      </c>
      <c r="J26" s="68">
        <v>-7721.0526315789475</v>
      </c>
      <c r="K26" s="67">
        <v>0.17391304347826086</v>
      </c>
      <c r="L26" s="67">
        <v>0.13043478260869565</v>
      </c>
      <c r="M26" s="67">
        <v>0.19607843137254902</v>
      </c>
      <c r="N26" s="67">
        <v>0.28431372549019607</v>
      </c>
      <c r="O26" s="67">
        <v>0.52500000000000002</v>
      </c>
      <c r="P26" s="67">
        <v>0.46551724137931033</v>
      </c>
      <c r="Q26" s="67">
        <v>0.27868852459016391</v>
      </c>
    </row>
    <row r="27" spans="1:17" x14ac:dyDescent="0.4">
      <c r="A27" s="69">
        <v>24</v>
      </c>
      <c r="B27" s="66">
        <v>-39.500000000000036</v>
      </c>
      <c r="C27" s="66">
        <v>-1.6458333333333348</v>
      </c>
      <c r="D27" s="71">
        <v>2.0833333333333335</v>
      </c>
      <c r="E27" s="67">
        <v>0.25</v>
      </c>
      <c r="F27" s="67">
        <v>0.33333333333333331</v>
      </c>
      <c r="G27" s="67">
        <v>0.30331753554502372</v>
      </c>
      <c r="H27" s="67">
        <v>0.18483412322274881</v>
      </c>
      <c r="I27" s="68">
        <v>8581.25</v>
      </c>
      <c r="J27" s="68">
        <v>-7548.7179487179483</v>
      </c>
      <c r="K27" s="67">
        <v>0.16666666666666666</v>
      </c>
      <c r="L27" s="67">
        <v>0.125</v>
      </c>
      <c r="M27" s="67">
        <v>0.1990521327014218</v>
      </c>
      <c r="N27" s="67">
        <v>0.28436018957345971</v>
      </c>
      <c r="O27" s="67">
        <v>0.54761904761904767</v>
      </c>
      <c r="P27" s="67">
        <v>0.46666666666666667</v>
      </c>
      <c r="Q27" s="67">
        <v>0.296875</v>
      </c>
    </row>
    <row r="28" spans="1:17" x14ac:dyDescent="0.4">
      <c r="A28" s="69">
        <v>25</v>
      </c>
      <c r="B28" s="66">
        <v>-31.400000000000034</v>
      </c>
      <c r="C28" s="66">
        <v>-1.2560000000000013</v>
      </c>
      <c r="D28" s="71">
        <v>2.08</v>
      </c>
      <c r="E28" s="67">
        <v>0.24</v>
      </c>
      <c r="F28" s="67">
        <v>0.32</v>
      </c>
      <c r="G28" s="67">
        <v>0.30593607305936071</v>
      </c>
      <c r="H28" s="67">
        <v>0.18721461187214611</v>
      </c>
      <c r="I28" s="68">
        <v>8492.5373134328365</v>
      </c>
      <c r="J28" s="68">
        <v>-7343.9024390243903</v>
      </c>
      <c r="K28" s="67">
        <v>0.16</v>
      </c>
      <c r="L28" s="67">
        <v>0.12</v>
      </c>
      <c r="M28" s="67">
        <v>0.19634703196347031</v>
      </c>
      <c r="N28" s="67">
        <v>0.28310502283105021</v>
      </c>
      <c r="O28" s="67">
        <v>0.55813953488372092</v>
      </c>
      <c r="P28" s="67">
        <v>0.45161290322580644</v>
      </c>
      <c r="Q28" s="67">
        <v>0.28358208955223879</v>
      </c>
    </row>
    <row r="29" spans="1:17" x14ac:dyDescent="0.4">
      <c r="A29" s="69">
        <v>26</v>
      </c>
      <c r="B29" s="66">
        <v>-62.900000000000034</v>
      </c>
      <c r="C29" s="66">
        <v>-2.4192307692307704</v>
      </c>
      <c r="D29" s="71">
        <v>2.1153846153846154</v>
      </c>
      <c r="E29" s="67">
        <v>0.23076923076923078</v>
      </c>
      <c r="F29" s="67">
        <v>0.34615384615384615</v>
      </c>
      <c r="G29" s="67">
        <v>0.30088495575221241</v>
      </c>
      <c r="H29" s="67">
        <v>0.19026548672566371</v>
      </c>
      <c r="I29" s="68">
        <v>8426.4705882352937</v>
      </c>
      <c r="J29" s="68">
        <v>-7211.6279069767443</v>
      </c>
      <c r="K29" s="67">
        <v>0.15384615384615385</v>
      </c>
      <c r="L29" s="67">
        <v>0.11538461538461539</v>
      </c>
      <c r="M29" s="67">
        <v>0.19469026548672566</v>
      </c>
      <c r="N29" s="67">
        <v>0.2831858407079646</v>
      </c>
      <c r="O29" s="67">
        <v>0.56818181818181823</v>
      </c>
      <c r="P29" s="67">
        <v>0.4375</v>
      </c>
      <c r="Q29" s="67">
        <v>0.29411764705882354</v>
      </c>
    </row>
    <row r="30" spans="1:17" x14ac:dyDescent="0.4">
      <c r="A30" s="69">
        <v>27</v>
      </c>
      <c r="B30" s="66">
        <v>-34.100000000000037</v>
      </c>
      <c r="C30" s="66">
        <v>-1.2629629629629644</v>
      </c>
      <c r="D30" s="71">
        <v>2.074074074074074</v>
      </c>
      <c r="E30" s="67">
        <v>0.25925925925925924</v>
      </c>
      <c r="F30" s="67">
        <v>0.33333333333333331</v>
      </c>
      <c r="G30" s="67">
        <v>0.30379746835443039</v>
      </c>
      <c r="H30" s="67">
        <v>0.18565400843881857</v>
      </c>
      <c r="I30" s="68">
        <v>8513.8888888888887</v>
      </c>
      <c r="J30" s="68">
        <v>-7222.727272727273</v>
      </c>
      <c r="K30" s="67">
        <v>0.14814814814814814</v>
      </c>
      <c r="L30" s="67">
        <v>0.14814814814814814</v>
      </c>
      <c r="M30" s="67">
        <v>0.189873417721519</v>
      </c>
      <c r="N30" s="67">
        <v>0.29535864978902954</v>
      </c>
      <c r="O30" s="67">
        <v>0.55555555555555558</v>
      </c>
      <c r="P30" s="67">
        <v>0.42857142857142855</v>
      </c>
      <c r="Q30" s="67">
        <v>0.29166666666666669</v>
      </c>
    </row>
    <row r="31" spans="1:17" x14ac:dyDescent="0.4">
      <c r="A31" s="69">
        <v>28</v>
      </c>
      <c r="B31" s="66">
        <v>-16.100000000000037</v>
      </c>
      <c r="C31" s="66">
        <v>-0.57500000000000129</v>
      </c>
      <c r="D31" s="71">
        <v>2.0714285714285716</v>
      </c>
      <c r="E31" s="67">
        <v>0.25</v>
      </c>
      <c r="F31" s="67">
        <v>0.32142857142857145</v>
      </c>
      <c r="G31" s="67">
        <v>0.31020408163265306</v>
      </c>
      <c r="H31" s="67">
        <v>0.18775510204081633</v>
      </c>
      <c r="I31" s="68">
        <v>8447.3684210526317</v>
      </c>
      <c r="J31" s="68">
        <v>-7245.652173913043</v>
      </c>
      <c r="K31" s="67">
        <v>0.14285714285714285</v>
      </c>
      <c r="L31" s="67">
        <v>0.14285714285714285</v>
      </c>
      <c r="M31" s="67">
        <v>0.19591836734693877</v>
      </c>
      <c r="N31" s="67">
        <v>0.29387755102040819</v>
      </c>
      <c r="O31" s="67">
        <v>0.5625</v>
      </c>
      <c r="P31" s="67">
        <v>0.44444444444444442</v>
      </c>
      <c r="Q31" s="67">
        <v>0.30263157894736842</v>
      </c>
    </row>
    <row r="32" spans="1:17" x14ac:dyDescent="0.4">
      <c r="A32" s="69">
        <v>29</v>
      </c>
      <c r="B32" s="66">
        <v>40.799999999999962</v>
      </c>
      <c r="C32" s="66">
        <v>1.4068965517241365</v>
      </c>
      <c r="D32" s="71">
        <v>2.0344827586206895</v>
      </c>
      <c r="E32" s="67">
        <v>0.27586206896551724</v>
      </c>
      <c r="F32" s="67">
        <v>0.31034482758620691</v>
      </c>
      <c r="G32" s="67">
        <v>0.31872509960159362</v>
      </c>
      <c r="H32" s="67">
        <v>0.18326693227091634</v>
      </c>
      <c r="I32" s="68">
        <v>8617.5</v>
      </c>
      <c r="J32" s="68">
        <v>-7245.652173913043</v>
      </c>
      <c r="K32" s="67">
        <v>0.13793103448275862</v>
      </c>
      <c r="L32" s="67">
        <v>0.17241379310344829</v>
      </c>
      <c r="M32" s="67">
        <v>0.19920318725099601</v>
      </c>
      <c r="N32" s="67">
        <v>0.29482071713147412</v>
      </c>
      <c r="O32" s="67">
        <v>0.57999999999999996</v>
      </c>
      <c r="P32" s="67">
        <v>0.44594594594594594</v>
      </c>
      <c r="Q32" s="67">
        <v>0.32500000000000001</v>
      </c>
    </row>
    <row r="33" spans="1:17" x14ac:dyDescent="0.4">
      <c r="A33" s="69">
        <v>30</v>
      </c>
      <c r="B33" s="66">
        <v>63.499999999999957</v>
      </c>
      <c r="C33" s="66">
        <v>2.1166666666666654</v>
      </c>
      <c r="D33" s="71">
        <v>2</v>
      </c>
      <c r="E33" s="67">
        <v>0.3</v>
      </c>
      <c r="F33" s="67">
        <v>0.3</v>
      </c>
      <c r="G33" s="67">
        <v>0.32307692307692309</v>
      </c>
      <c r="H33" s="67">
        <v>0.18846153846153846</v>
      </c>
      <c r="I33" s="68">
        <v>8714.2857142857138</v>
      </c>
      <c r="J33" s="68">
        <v>-7412.2448979591836</v>
      </c>
      <c r="K33" s="67">
        <v>0.13333333333333333</v>
      </c>
      <c r="L33" s="67">
        <v>0.16666666666666666</v>
      </c>
      <c r="M33" s="67">
        <v>0.2</v>
      </c>
      <c r="N33" s="67">
        <v>0.30384615384615382</v>
      </c>
      <c r="O33" s="67">
        <v>0.57692307692307687</v>
      </c>
      <c r="P33" s="67">
        <v>0.45569620253164556</v>
      </c>
      <c r="Q33" s="67">
        <v>0.33333333333333331</v>
      </c>
    </row>
    <row r="34" spans="1:17" x14ac:dyDescent="0.4">
      <c r="A34" s="69">
        <v>31</v>
      </c>
      <c r="B34" s="66">
        <v>94.299999999999955</v>
      </c>
      <c r="C34" s="66">
        <v>3.0419354838709665</v>
      </c>
      <c r="D34" s="71">
        <v>1.967741935483871</v>
      </c>
      <c r="E34" s="67">
        <v>0.32258064516129031</v>
      </c>
      <c r="F34" s="67">
        <v>0.29032258064516131</v>
      </c>
      <c r="G34" s="67">
        <v>0.33210332103321033</v>
      </c>
      <c r="H34" s="67">
        <v>0.18819188191881919</v>
      </c>
      <c r="I34" s="68">
        <v>8625.5555555555547</v>
      </c>
      <c r="J34" s="68">
        <v>-7592.1568627450979</v>
      </c>
      <c r="K34" s="67">
        <v>0.12903225806451613</v>
      </c>
      <c r="L34" s="67">
        <v>0.16129032258064516</v>
      </c>
      <c r="M34" s="67">
        <v>0.21033210332103322</v>
      </c>
      <c r="N34" s="67">
        <v>0.30627306273062732</v>
      </c>
      <c r="O34" s="67">
        <v>0.59649122807017541</v>
      </c>
      <c r="P34" s="67">
        <v>0.45783132530120479</v>
      </c>
      <c r="Q34" s="67">
        <v>0.34444444444444444</v>
      </c>
    </row>
    <row r="35" spans="1:17" x14ac:dyDescent="0.4">
      <c r="A35" s="69">
        <v>32</v>
      </c>
      <c r="B35" s="66">
        <v>144.79999999999995</v>
      </c>
      <c r="C35" s="66">
        <v>4.5249999999999986</v>
      </c>
      <c r="D35" s="71">
        <v>1.9375</v>
      </c>
      <c r="E35" s="67">
        <v>0.34375</v>
      </c>
      <c r="F35" s="67">
        <v>0.28125</v>
      </c>
      <c r="G35" s="67">
        <v>0.33333333333333331</v>
      </c>
      <c r="H35" s="67">
        <v>0.18478260869565216</v>
      </c>
      <c r="I35" s="68">
        <v>8829.347826086956</v>
      </c>
      <c r="J35" s="68">
        <v>-7592.1568627450979</v>
      </c>
      <c r="K35" s="67">
        <v>0.125</v>
      </c>
      <c r="L35" s="67">
        <v>0.1875</v>
      </c>
      <c r="M35" s="67">
        <v>0.21014492753623187</v>
      </c>
      <c r="N35" s="67">
        <v>0.30434782608695654</v>
      </c>
      <c r="O35" s="67">
        <v>0.58620689655172409</v>
      </c>
      <c r="P35" s="67">
        <v>0.4642857142857143</v>
      </c>
      <c r="Q35" s="67">
        <v>0.34782608695652173</v>
      </c>
    </row>
    <row r="36" spans="1:17" x14ac:dyDescent="0.4">
      <c r="A36" s="69">
        <v>33</v>
      </c>
      <c r="B36" s="66">
        <v>153.39999999999995</v>
      </c>
      <c r="C36" s="66">
        <v>4.6484848484848467</v>
      </c>
      <c r="D36" s="71">
        <v>1.9393939393939394</v>
      </c>
      <c r="E36" s="67">
        <v>0.33333333333333331</v>
      </c>
      <c r="F36" s="67">
        <v>0.27272727272727271</v>
      </c>
      <c r="G36" s="67">
        <v>0.3298611111111111</v>
      </c>
      <c r="H36" s="67">
        <v>0.18402777777777779</v>
      </c>
      <c r="I36" s="68">
        <v>8754.7368421052633</v>
      </c>
      <c r="J36" s="68">
        <v>-7392.4528301886794</v>
      </c>
      <c r="K36" s="67">
        <v>0.12121212121212122</v>
      </c>
      <c r="L36" s="67">
        <v>0.18181818181818182</v>
      </c>
      <c r="M36" s="67">
        <v>0.21527777777777779</v>
      </c>
      <c r="N36" s="67">
        <v>0.30902777777777779</v>
      </c>
      <c r="O36" s="67">
        <v>0.58064516129032262</v>
      </c>
      <c r="P36" s="67">
        <v>0.449438202247191</v>
      </c>
      <c r="Q36" s="67">
        <v>0.35789473684210527</v>
      </c>
    </row>
    <row r="37" spans="1:17" x14ac:dyDescent="0.4">
      <c r="A37" s="69">
        <v>34</v>
      </c>
      <c r="B37" s="66">
        <v>178.09999999999994</v>
      </c>
      <c r="C37" s="66">
        <v>5.2382352941176453</v>
      </c>
      <c r="D37" s="71">
        <v>1.911764705882353</v>
      </c>
      <c r="E37" s="67">
        <v>0.35294117647058826</v>
      </c>
      <c r="F37" s="67">
        <v>0.26470588235294118</v>
      </c>
      <c r="G37" s="67">
        <v>0.33333333333333331</v>
      </c>
      <c r="H37" s="67">
        <v>0.19</v>
      </c>
      <c r="I37" s="68">
        <v>8783</v>
      </c>
      <c r="J37" s="68">
        <v>-7270.1754385964914</v>
      </c>
      <c r="K37" s="67">
        <v>0.11764705882352941</v>
      </c>
      <c r="L37" s="67">
        <v>0.17647058823529413</v>
      </c>
      <c r="M37" s="67">
        <v>0.21333333333333335</v>
      </c>
      <c r="N37" s="67">
        <v>0.32333333333333331</v>
      </c>
      <c r="O37" s="67">
        <v>0.578125</v>
      </c>
      <c r="P37" s="67">
        <v>0.44329896907216493</v>
      </c>
      <c r="Q37" s="67">
        <v>0.37</v>
      </c>
    </row>
    <row r="38" spans="1:17" x14ac:dyDescent="0.4">
      <c r="A38" s="69">
        <v>35</v>
      </c>
      <c r="B38" s="66">
        <v>171.89999999999995</v>
      </c>
      <c r="C38" s="66">
        <v>4.9114285714285701</v>
      </c>
      <c r="D38" s="71">
        <v>1.9142857142857144</v>
      </c>
      <c r="E38" s="67">
        <v>0.34285714285714286</v>
      </c>
      <c r="F38" s="67">
        <v>0.25714285714285712</v>
      </c>
      <c r="G38" s="67">
        <v>0.32580645161290323</v>
      </c>
      <c r="H38" s="67">
        <v>0.19354838709677419</v>
      </c>
      <c r="I38" s="68">
        <v>8775.2475247524744</v>
      </c>
      <c r="J38" s="68">
        <v>-7221.666666666667</v>
      </c>
      <c r="K38" s="67">
        <v>0.11428571428571428</v>
      </c>
      <c r="L38" s="67">
        <v>0.17142857142857143</v>
      </c>
      <c r="M38" s="67">
        <v>0.21612903225806451</v>
      </c>
      <c r="N38" s="67">
        <v>0.32258064516129031</v>
      </c>
      <c r="O38" s="67">
        <v>0.56716417910447758</v>
      </c>
      <c r="P38" s="67">
        <v>0.43</v>
      </c>
      <c r="Q38" s="67">
        <v>0.36633663366336633</v>
      </c>
    </row>
    <row r="39" spans="1:17" x14ac:dyDescent="0.4">
      <c r="A39" s="69">
        <v>36</v>
      </c>
      <c r="B39" s="66">
        <v>164.59999999999994</v>
      </c>
      <c r="C39" s="66">
        <v>4.5722222222222202</v>
      </c>
      <c r="D39" s="71">
        <v>1.9166666666666667</v>
      </c>
      <c r="E39" s="67">
        <v>0.33333333333333331</v>
      </c>
      <c r="F39" s="67">
        <v>0.25</v>
      </c>
      <c r="G39" s="67">
        <v>0.32075471698113206</v>
      </c>
      <c r="H39" s="67">
        <v>0.1918238993710692</v>
      </c>
      <c r="I39" s="68">
        <v>8727.4509803921574</v>
      </c>
      <c r="J39" s="68">
        <v>-7229.5081967213118</v>
      </c>
      <c r="K39" s="67">
        <v>0.1111111111111111</v>
      </c>
      <c r="L39" s="67">
        <v>0.16666666666666666</v>
      </c>
      <c r="M39" s="67">
        <v>0.21698113207547171</v>
      </c>
      <c r="N39" s="67">
        <v>0.330188679245283</v>
      </c>
      <c r="O39" s="67">
        <v>0.56521739130434778</v>
      </c>
      <c r="P39" s="67">
        <v>0.40952380952380951</v>
      </c>
      <c r="Q39" s="67">
        <v>0.36274509803921567</v>
      </c>
    </row>
    <row r="40" spans="1:17" x14ac:dyDescent="0.4">
      <c r="A40" s="69">
        <v>37</v>
      </c>
      <c r="B40" s="66">
        <v>156.59999999999994</v>
      </c>
      <c r="C40" s="66">
        <v>4.2324324324324305</v>
      </c>
      <c r="D40" s="71">
        <v>1.9189189189189189</v>
      </c>
      <c r="E40" s="67">
        <v>0.32432432432432434</v>
      </c>
      <c r="F40" s="67">
        <v>0.24324324324324326</v>
      </c>
      <c r="G40" s="67">
        <v>0.31804281345565749</v>
      </c>
      <c r="H40" s="67">
        <v>0.19266055045871561</v>
      </c>
      <c r="I40" s="68">
        <v>8625.961538461539</v>
      </c>
      <c r="J40" s="68">
        <v>-7252.3809523809523</v>
      </c>
      <c r="K40" s="67">
        <v>0.10810810810810811</v>
      </c>
      <c r="L40" s="67">
        <v>0.16216216216216217</v>
      </c>
      <c r="M40" s="67">
        <v>0.21100917431192662</v>
      </c>
      <c r="N40" s="67">
        <v>0.3363914373088685</v>
      </c>
      <c r="O40" s="67">
        <v>0.56521739130434778</v>
      </c>
      <c r="P40" s="67">
        <v>0.40909090909090912</v>
      </c>
      <c r="Q40" s="67">
        <v>0.36538461538461536</v>
      </c>
    </row>
    <row r="41" spans="1:17" x14ac:dyDescent="0.4">
      <c r="A41" s="69">
        <v>38</v>
      </c>
      <c r="B41" s="66">
        <v>110.89999999999993</v>
      </c>
      <c r="C41" s="66">
        <v>2.9184210526315773</v>
      </c>
      <c r="D41" s="71">
        <v>1.9473684210526316</v>
      </c>
      <c r="E41" s="67">
        <v>0.31578947368421051</v>
      </c>
      <c r="F41" s="67">
        <v>0.26315789473684209</v>
      </c>
      <c r="G41" s="67">
        <v>0.31736526946107785</v>
      </c>
      <c r="H41" s="67">
        <v>0.19461077844311378</v>
      </c>
      <c r="I41" s="68">
        <v>8576.4150943396235</v>
      </c>
      <c r="J41" s="68">
        <v>-7552.3076923076924</v>
      </c>
      <c r="K41" s="67">
        <v>0.13157894736842105</v>
      </c>
      <c r="L41" s="67">
        <v>0.15789473684210525</v>
      </c>
      <c r="M41" s="67">
        <v>0.21257485029940121</v>
      </c>
      <c r="N41" s="67">
        <v>0.33532934131736525</v>
      </c>
      <c r="O41" s="67">
        <v>0.56338028169014087</v>
      </c>
      <c r="P41" s="67">
        <v>0.4107142857142857</v>
      </c>
      <c r="Q41" s="67">
        <v>0.36792452830188677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66276-1FD8-451C-B820-D6057F46E871}">
  <sheetPr codeName="Sheet10"/>
  <dimension ref="A1:Q3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 x14ac:dyDescent="0.4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  <row r="6" spans="1:17" x14ac:dyDescent="0.4">
      <c r="A6" s="69">
        <v>3</v>
      </c>
      <c r="B6" s="66">
        <v>40.400000000000006</v>
      </c>
      <c r="C6" s="66">
        <v>13.466666666666669</v>
      </c>
      <c r="D6" s="71">
        <v>1.6666666666666667</v>
      </c>
      <c r="E6" s="67">
        <v>0.66666666666666663</v>
      </c>
      <c r="F6" s="67">
        <v>0.33333333333333331</v>
      </c>
      <c r="G6" s="67">
        <v>0.34615384615384615</v>
      </c>
      <c r="H6" s="67">
        <v>0.11538461538461539</v>
      </c>
      <c r="I6" s="68">
        <v>7488.8888888888887</v>
      </c>
      <c r="J6" s="68">
        <v>-5000</v>
      </c>
      <c r="K6" s="67">
        <v>0</v>
      </c>
      <c r="L6" s="67">
        <v>0.33333333333333331</v>
      </c>
      <c r="M6" s="67">
        <v>0.38461538461538464</v>
      </c>
      <c r="N6" s="67">
        <v>0.11538461538461539</v>
      </c>
      <c r="O6" s="67">
        <v>0.7</v>
      </c>
      <c r="P6" s="67">
        <v>0</v>
      </c>
      <c r="Q6" s="67">
        <v>0.44444444444444442</v>
      </c>
    </row>
    <row r="7" spans="1:17" x14ac:dyDescent="0.4">
      <c r="A7" s="69">
        <v>4</v>
      </c>
      <c r="B7" s="66">
        <v>101.60000000000001</v>
      </c>
      <c r="C7" s="66">
        <v>25.400000000000002</v>
      </c>
      <c r="D7" s="71">
        <v>1.5</v>
      </c>
      <c r="E7" s="67">
        <v>0.75</v>
      </c>
      <c r="F7" s="67">
        <v>0.25</v>
      </c>
      <c r="G7" s="67">
        <v>0.43243243243243246</v>
      </c>
      <c r="H7" s="67">
        <v>8.1081081081081086E-2</v>
      </c>
      <c r="I7" s="68">
        <v>7600</v>
      </c>
      <c r="J7" s="68">
        <v>-5000</v>
      </c>
      <c r="K7" s="67">
        <v>0</v>
      </c>
      <c r="L7" s="67">
        <v>0.25</v>
      </c>
      <c r="M7" s="67">
        <v>0.35135135135135137</v>
      </c>
      <c r="N7" s="67">
        <v>0.1891891891891892</v>
      </c>
      <c r="O7" s="67">
        <v>0.69230769230769229</v>
      </c>
      <c r="P7" s="67">
        <v>0.5714285714285714</v>
      </c>
      <c r="Q7" s="67">
        <v>0.5</v>
      </c>
    </row>
    <row r="8" spans="1:17" x14ac:dyDescent="0.4">
      <c r="A8" s="69">
        <v>5</v>
      </c>
      <c r="B8" s="66">
        <v>99.9</v>
      </c>
      <c r="C8" s="66">
        <v>19.98</v>
      </c>
      <c r="D8" s="71">
        <v>1.6</v>
      </c>
      <c r="E8" s="67">
        <v>0.6</v>
      </c>
      <c r="F8" s="67">
        <v>0.2</v>
      </c>
      <c r="G8" s="67">
        <v>0.40909090909090912</v>
      </c>
      <c r="H8" s="67">
        <v>9.0909090909090912E-2</v>
      </c>
      <c r="I8" s="68">
        <v>7116.666666666667</v>
      </c>
      <c r="J8" s="68">
        <v>-5050</v>
      </c>
      <c r="K8" s="67">
        <v>0</v>
      </c>
      <c r="L8" s="67">
        <v>0.2</v>
      </c>
      <c r="M8" s="67">
        <v>0.36363636363636365</v>
      </c>
      <c r="N8" s="67">
        <v>0.18181818181818182</v>
      </c>
      <c r="O8" s="67">
        <v>0.6875</v>
      </c>
      <c r="P8" s="67">
        <v>0.5</v>
      </c>
      <c r="Q8" s="67">
        <v>0.44444444444444442</v>
      </c>
    </row>
    <row r="9" spans="1:17" x14ac:dyDescent="0.4">
      <c r="A9" s="69">
        <v>6</v>
      </c>
      <c r="B9" s="66">
        <v>85.5</v>
      </c>
      <c r="C9" s="66">
        <v>14.25</v>
      </c>
      <c r="D9" s="71">
        <v>1.8333333333333333</v>
      </c>
      <c r="E9" s="67">
        <v>0.5</v>
      </c>
      <c r="F9" s="67">
        <v>0.33333333333333331</v>
      </c>
      <c r="G9" s="67">
        <v>0.37735849056603776</v>
      </c>
      <c r="H9" s="67">
        <v>0.13207547169811321</v>
      </c>
      <c r="I9" s="68">
        <v>7390</v>
      </c>
      <c r="J9" s="68">
        <v>-4828.5714285714284</v>
      </c>
      <c r="K9" s="67">
        <v>0</v>
      </c>
      <c r="L9" s="67">
        <v>0.16666666666666666</v>
      </c>
      <c r="M9" s="67">
        <v>0.35849056603773582</v>
      </c>
      <c r="N9" s="67">
        <v>0.15094339622641509</v>
      </c>
      <c r="O9" s="67">
        <v>0.68421052631578949</v>
      </c>
      <c r="P9" s="67">
        <v>0.5</v>
      </c>
      <c r="Q9" s="67">
        <v>0.4</v>
      </c>
    </row>
    <row r="10" spans="1:17" x14ac:dyDescent="0.4">
      <c r="A10" s="69">
        <v>7</v>
      </c>
      <c r="B10" s="66">
        <v>113.3</v>
      </c>
      <c r="C10" s="66">
        <v>16.185714285714287</v>
      </c>
      <c r="D10" s="71">
        <v>1.7142857142857142</v>
      </c>
      <c r="E10" s="67">
        <v>0.5714285714285714</v>
      </c>
      <c r="F10" s="67">
        <v>0.2857142857142857</v>
      </c>
      <c r="G10" s="67">
        <v>0.38805970149253732</v>
      </c>
      <c r="H10" s="67">
        <v>0.1044776119402985</v>
      </c>
      <c r="I10" s="68">
        <v>6703.8461538461543</v>
      </c>
      <c r="J10" s="68">
        <v>-4828.5714285714284</v>
      </c>
      <c r="K10" s="67">
        <v>0</v>
      </c>
      <c r="L10" s="67">
        <v>0.14285714285714285</v>
      </c>
      <c r="M10" s="67">
        <v>0.31343283582089554</v>
      </c>
      <c r="N10" s="67">
        <v>0.14925373134328357</v>
      </c>
      <c r="O10" s="67">
        <v>0.61904761904761907</v>
      </c>
      <c r="P10" s="67">
        <v>0.6</v>
      </c>
      <c r="Q10" s="67">
        <v>0.42307692307692307</v>
      </c>
    </row>
    <row r="11" spans="1:17" x14ac:dyDescent="0.4">
      <c r="A11" s="69">
        <v>8</v>
      </c>
      <c r="B11" s="66">
        <v>148.1</v>
      </c>
      <c r="C11" s="66">
        <v>18.512499999999999</v>
      </c>
      <c r="D11" s="71">
        <v>1.625</v>
      </c>
      <c r="E11" s="67">
        <v>0.625</v>
      </c>
      <c r="F11" s="67">
        <v>0.25</v>
      </c>
      <c r="G11" s="67">
        <v>0.37179487179487181</v>
      </c>
      <c r="H11" s="67">
        <v>0.12820512820512819</v>
      </c>
      <c r="I11" s="68">
        <v>7662.0689655172409</v>
      </c>
      <c r="J11" s="68">
        <v>-5390</v>
      </c>
      <c r="K11" s="67">
        <v>0</v>
      </c>
      <c r="L11" s="67">
        <v>0.25</v>
      </c>
      <c r="M11" s="67">
        <v>0.26923076923076922</v>
      </c>
      <c r="N11" s="67">
        <v>0.20512820512820512</v>
      </c>
      <c r="O11" s="67">
        <v>0.61904761904761907</v>
      </c>
      <c r="P11" s="67">
        <v>0.5625</v>
      </c>
      <c r="Q11" s="67">
        <v>0.37931034482758619</v>
      </c>
    </row>
    <row r="12" spans="1:17" x14ac:dyDescent="0.4">
      <c r="A12" s="69">
        <v>9</v>
      </c>
      <c r="B12" s="66">
        <v>180.89999999999998</v>
      </c>
      <c r="C12" s="66">
        <v>20.099999999999998</v>
      </c>
      <c r="D12" s="71">
        <v>1.5555555555555556</v>
      </c>
      <c r="E12" s="67">
        <v>0.66666666666666663</v>
      </c>
      <c r="F12" s="67">
        <v>0.22222222222222221</v>
      </c>
      <c r="G12" s="67">
        <v>0.375</v>
      </c>
      <c r="H12" s="67">
        <v>0.13636363636363635</v>
      </c>
      <c r="I12" s="68">
        <v>7575.757575757576</v>
      </c>
      <c r="J12" s="68">
        <v>-5325</v>
      </c>
      <c r="K12" s="67">
        <v>0</v>
      </c>
      <c r="L12" s="67">
        <v>0.22222222222222221</v>
      </c>
      <c r="M12" s="67">
        <v>0.28409090909090912</v>
      </c>
      <c r="N12" s="67">
        <v>0.19318181818181818</v>
      </c>
      <c r="O12" s="67">
        <v>0.6</v>
      </c>
      <c r="P12" s="67">
        <v>0.58823529411764708</v>
      </c>
      <c r="Q12" s="67">
        <v>0.45454545454545453</v>
      </c>
    </row>
    <row r="13" spans="1:17" x14ac:dyDescent="0.4">
      <c r="A13" s="69">
        <v>10</v>
      </c>
      <c r="B13" s="66">
        <v>158.19999999999999</v>
      </c>
      <c r="C13" s="66">
        <v>15.819999999999999</v>
      </c>
      <c r="D13" s="71">
        <v>1.7</v>
      </c>
      <c r="E13" s="67">
        <v>0.6</v>
      </c>
      <c r="F13" s="67">
        <v>0.3</v>
      </c>
      <c r="G13" s="67">
        <v>0.35051546391752575</v>
      </c>
      <c r="H13" s="67">
        <v>0.14432989690721648</v>
      </c>
      <c r="I13" s="68">
        <v>7705.8823529411766</v>
      </c>
      <c r="J13" s="68">
        <v>-4935.7142857142853</v>
      </c>
      <c r="K13" s="67">
        <v>0</v>
      </c>
      <c r="L13" s="67">
        <v>0.2</v>
      </c>
      <c r="M13" s="67">
        <v>0.26804123711340205</v>
      </c>
      <c r="N13" s="67">
        <v>0.20618556701030927</v>
      </c>
      <c r="O13" s="67">
        <v>0.61538461538461542</v>
      </c>
      <c r="P13" s="67">
        <v>0.5</v>
      </c>
      <c r="Q13" s="67">
        <v>0.47058823529411764</v>
      </c>
    </row>
    <row r="14" spans="1:17" x14ac:dyDescent="0.4">
      <c r="A14" s="69">
        <v>11</v>
      </c>
      <c r="B14" s="66">
        <v>185.2</v>
      </c>
      <c r="C14" s="66">
        <v>16.836363636363636</v>
      </c>
      <c r="D14" s="71">
        <v>1.6363636363636365</v>
      </c>
      <c r="E14" s="67">
        <v>0.63636363636363635</v>
      </c>
      <c r="F14" s="67">
        <v>0.27272727272727271</v>
      </c>
      <c r="G14" s="67">
        <v>0.33962264150943394</v>
      </c>
      <c r="H14" s="67">
        <v>0.15094339622641509</v>
      </c>
      <c r="I14" s="68">
        <v>8275</v>
      </c>
      <c r="J14" s="68">
        <v>-5125</v>
      </c>
      <c r="K14" s="67">
        <v>0</v>
      </c>
      <c r="L14" s="67">
        <v>0.18181818181818182</v>
      </c>
      <c r="M14" s="67">
        <v>0.25471698113207547</v>
      </c>
      <c r="N14" s="67">
        <v>0.19811320754716982</v>
      </c>
      <c r="O14" s="67">
        <v>0.59259259259259256</v>
      </c>
      <c r="P14" s="67">
        <v>0.52380952380952384</v>
      </c>
      <c r="Q14" s="67">
        <v>0.44444444444444442</v>
      </c>
    </row>
    <row r="15" spans="1:17" x14ac:dyDescent="0.4">
      <c r="A15" s="69">
        <v>12</v>
      </c>
      <c r="B15" s="66">
        <v>184.89999999999998</v>
      </c>
      <c r="C15" s="66">
        <v>15.408333333333331</v>
      </c>
      <c r="D15" s="71">
        <v>1.6666666666666667</v>
      </c>
      <c r="E15" s="67">
        <v>0.58333333333333337</v>
      </c>
      <c r="F15" s="67">
        <v>0.25</v>
      </c>
      <c r="G15" s="67">
        <v>0.32758620689655171</v>
      </c>
      <c r="H15" s="67">
        <v>0.14655172413793102</v>
      </c>
      <c r="I15" s="68">
        <v>8471.0526315789466</v>
      </c>
      <c r="J15" s="68">
        <v>-5294.1176470588234</v>
      </c>
      <c r="K15" s="67">
        <v>0</v>
      </c>
      <c r="L15" s="67">
        <v>0.16666666666666666</v>
      </c>
      <c r="M15" s="67">
        <v>0.2413793103448276</v>
      </c>
      <c r="N15" s="67">
        <v>0.20689655172413793</v>
      </c>
      <c r="O15" s="67">
        <v>0.6071428571428571</v>
      </c>
      <c r="P15" s="67">
        <v>0.5</v>
      </c>
      <c r="Q15" s="67">
        <v>0.47368421052631576</v>
      </c>
    </row>
    <row r="16" spans="1:17" x14ac:dyDescent="0.4">
      <c r="A16" s="69">
        <v>13</v>
      </c>
      <c r="B16" s="66">
        <v>206.39999999999998</v>
      </c>
      <c r="C16" s="66">
        <v>15.876923076923076</v>
      </c>
      <c r="D16" s="71">
        <v>1.6153846153846154</v>
      </c>
      <c r="E16" s="67">
        <v>0.61538461538461542</v>
      </c>
      <c r="F16" s="67">
        <v>0.23076923076923078</v>
      </c>
      <c r="G16" s="67">
        <v>0.33870967741935482</v>
      </c>
      <c r="H16" s="67">
        <v>0.14516129032258066</v>
      </c>
      <c r="I16" s="68">
        <v>8283.3333333333339</v>
      </c>
      <c r="J16" s="68">
        <v>-5444.4444444444443</v>
      </c>
      <c r="K16" s="67">
        <v>0</v>
      </c>
      <c r="L16" s="67">
        <v>0.15384615384615385</v>
      </c>
      <c r="M16" s="67">
        <v>0.27419354838709675</v>
      </c>
      <c r="N16" s="67">
        <v>0.20161290322580644</v>
      </c>
      <c r="O16" s="67">
        <v>0.58823529411764708</v>
      </c>
      <c r="P16" s="67">
        <v>0.48</v>
      </c>
      <c r="Q16" s="67">
        <v>0.45238095238095238</v>
      </c>
    </row>
    <row r="17" spans="1:17" x14ac:dyDescent="0.4">
      <c r="A17" s="69">
        <v>14</v>
      </c>
      <c r="B17" s="66">
        <v>240.09999999999997</v>
      </c>
      <c r="C17" s="66">
        <v>17.149999999999999</v>
      </c>
      <c r="D17" s="71">
        <v>1.5714285714285714</v>
      </c>
      <c r="E17" s="67">
        <v>0.6428571428571429</v>
      </c>
      <c r="F17" s="67">
        <v>0.21428571428571427</v>
      </c>
      <c r="G17" s="67">
        <v>0.35820895522388058</v>
      </c>
      <c r="H17" s="67">
        <v>0.13432835820895522</v>
      </c>
      <c r="I17" s="68">
        <v>8039.583333333333</v>
      </c>
      <c r="J17" s="68">
        <v>-5444.4444444444443</v>
      </c>
      <c r="K17" s="67">
        <v>0</v>
      </c>
      <c r="L17" s="67">
        <v>0.21428571428571427</v>
      </c>
      <c r="M17" s="67">
        <v>0.26865671641791045</v>
      </c>
      <c r="N17" s="67">
        <v>0.20895522388059701</v>
      </c>
      <c r="O17" s="67">
        <v>0.58333333333333337</v>
      </c>
      <c r="P17" s="67">
        <v>0.5357142857142857</v>
      </c>
      <c r="Q17" s="67">
        <v>0.5</v>
      </c>
    </row>
    <row r="18" spans="1:17" x14ac:dyDescent="0.4">
      <c r="A18" s="69">
        <v>15</v>
      </c>
      <c r="B18" s="66">
        <v>269.49999999999994</v>
      </c>
      <c r="C18" s="66">
        <v>17.966666666666661</v>
      </c>
      <c r="D18" s="71">
        <v>1.5333333333333334</v>
      </c>
      <c r="E18" s="67">
        <v>0.66666666666666663</v>
      </c>
      <c r="F18" s="67">
        <v>0.2</v>
      </c>
      <c r="G18" s="67">
        <v>0.36363636363636365</v>
      </c>
      <c r="H18" s="67">
        <v>0.13286713286713286</v>
      </c>
      <c r="I18" s="68">
        <v>7890.3846153846152</v>
      </c>
      <c r="J18" s="68">
        <v>-5236.8421052631575</v>
      </c>
      <c r="K18" s="67">
        <v>0</v>
      </c>
      <c r="L18" s="67">
        <v>0.2</v>
      </c>
      <c r="M18" s="67">
        <v>0.27972027972027974</v>
      </c>
      <c r="N18" s="67">
        <v>0.20279720279720279</v>
      </c>
      <c r="O18" s="67">
        <v>0.57499999999999996</v>
      </c>
      <c r="P18" s="67">
        <v>0.55172413793103448</v>
      </c>
      <c r="Q18" s="67">
        <v>0.5</v>
      </c>
    </row>
    <row r="19" spans="1:17" x14ac:dyDescent="0.4">
      <c r="A19" s="69">
        <v>16</v>
      </c>
      <c r="B19" s="66">
        <v>323.69999999999993</v>
      </c>
      <c r="C19" s="66">
        <v>20.231249999999996</v>
      </c>
      <c r="D19" s="71">
        <v>1.5</v>
      </c>
      <c r="E19" s="67">
        <v>0.6875</v>
      </c>
      <c r="F19" s="67">
        <v>0.1875</v>
      </c>
      <c r="G19" s="67">
        <v>0.375</v>
      </c>
      <c r="H19" s="67">
        <v>0.125</v>
      </c>
      <c r="I19" s="68">
        <v>8029.8245614035086</v>
      </c>
      <c r="J19" s="68">
        <v>-5236.8421052631575</v>
      </c>
      <c r="K19" s="67">
        <v>0</v>
      </c>
      <c r="L19" s="67">
        <v>0.1875</v>
      </c>
      <c r="M19" s="67">
        <v>0.27631578947368424</v>
      </c>
      <c r="N19" s="67">
        <v>0.21710526315789475</v>
      </c>
      <c r="O19" s="67">
        <v>0.5714285714285714</v>
      </c>
      <c r="P19" s="67">
        <v>0.60606060606060608</v>
      </c>
      <c r="Q19" s="67">
        <v>0.50877192982456143</v>
      </c>
    </row>
    <row r="20" spans="1:17" x14ac:dyDescent="0.4">
      <c r="A20" s="69">
        <v>17</v>
      </c>
      <c r="B20" s="66">
        <v>359.09999999999991</v>
      </c>
      <c r="C20" s="66">
        <v>21.1235294117647</v>
      </c>
      <c r="D20" s="71">
        <v>1.4705882352941178</v>
      </c>
      <c r="E20" s="67">
        <v>0.70588235294117652</v>
      </c>
      <c r="F20" s="67">
        <v>0.17647058823529413</v>
      </c>
      <c r="G20" s="67">
        <v>0.38650306748466257</v>
      </c>
      <c r="H20" s="67">
        <v>0.12883435582822086</v>
      </c>
      <c r="I20" s="68">
        <v>7984.1269841269841</v>
      </c>
      <c r="J20" s="68">
        <v>-5685.7142857142853</v>
      </c>
      <c r="K20" s="67">
        <v>0</v>
      </c>
      <c r="L20" s="67">
        <v>0.17647058823529413</v>
      </c>
      <c r="M20" s="67">
        <v>0.27607361963190186</v>
      </c>
      <c r="N20" s="67">
        <v>0.21472392638036811</v>
      </c>
      <c r="O20" s="67">
        <v>0.57777777777777772</v>
      </c>
      <c r="P20" s="67">
        <v>0.62857142857142856</v>
      </c>
      <c r="Q20" s="67">
        <v>0.47619047619047616</v>
      </c>
    </row>
    <row r="21" spans="1:17" x14ac:dyDescent="0.4">
      <c r="A21" s="69">
        <v>18</v>
      </c>
      <c r="B21" s="66">
        <v>352.39999999999992</v>
      </c>
      <c r="C21" s="66">
        <v>19.577777777777772</v>
      </c>
      <c r="D21" s="71">
        <v>1.5</v>
      </c>
      <c r="E21" s="67">
        <v>0.66666666666666663</v>
      </c>
      <c r="F21" s="67">
        <v>0.16666666666666666</v>
      </c>
      <c r="G21" s="67">
        <v>0.38323353293413176</v>
      </c>
      <c r="H21" s="67">
        <v>0.12574850299401197</v>
      </c>
      <c r="I21" s="68">
        <v>7879.6875</v>
      </c>
      <c r="J21" s="68">
        <v>-5685.7142857142853</v>
      </c>
      <c r="K21" s="67">
        <v>0</v>
      </c>
      <c r="L21" s="67">
        <v>0.16666666666666666</v>
      </c>
      <c r="M21" s="67">
        <v>0.27544910179640719</v>
      </c>
      <c r="N21" s="67">
        <v>0.20958083832335328</v>
      </c>
      <c r="O21" s="67">
        <v>0.58695652173913049</v>
      </c>
      <c r="P21" s="67">
        <v>0.62857142857142856</v>
      </c>
      <c r="Q21" s="67">
        <v>0.46875</v>
      </c>
    </row>
    <row r="22" spans="1:17" x14ac:dyDescent="0.4">
      <c r="A22" s="69">
        <v>19</v>
      </c>
      <c r="B22" s="66">
        <v>383.19999999999993</v>
      </c>
      <c r="C22" s="66">
        <v>20.168421052631576</v>
      </c>
      <c r="D22" s="71">
        <v>1.4736842105263157</v>
      </c>
      <c r="E22" s="67">
        <v>0.68421052631578949</v>
      </c>
      <c r="F22" s="67">
        <v>0.15789473684210525</v>
      </c>
      <c r="G22" s="67">
        <v>0.38983050847457629</v>
      </c>
      <c r="H22" s="67">
        <v>0.12429378531073447</v>
      </c>
      <c r="I22" s="68">
        <v>7834.782608695652</v>
      </c>
      <c r="J22" s="68">
        <v>-5972.727272727273</v>
      </c>
      <c r="K22" s="67">
        <v>0</v>
      </c>
      <c r="L22" s="67">
        <v>0.21052631578947367</v>
      </c>
      <c r="M22" s="67">
        <v>0.28813559322033899</v>
      </c>
      <c r="N22" s="67">
        <v>0.20903954802259886</v>
      </c>
      <c r="O22" s="67">
        <v>0.60784313725490191</v>
      </c>
      <c r="P22" s="67">
        <v>0.6216216216216216</v>
      </c>
      <c r="Q22" s="67">
        <v>0.46376811594202899</v>
      </c>
    </row>
    <row r="23" spans="1:17" x14ac:dyDescent="0.4">
      <c r="A23" s="69">
        <v>20</v>
      </c>
      <c r="B23" s="66">
        <v>365.49999999999994</v>
      </c>
      <c r="C23" s="66">
        <v>18.274999999999999</v>
      </c>
      <c r="D23" s="71">
        <v>1.5</v>
      </c>
      <c r="E23" s="67">
        <v>0.65</v>
      </c>
      <c r="F23" s="67">
        <v>0.15</v>
      </c>
      <c r="G23" s="67">
        <v>0.37634408602150538</v>
      </c>
      <c r="H23" s="67">
        <v>0.13440860215053763</v>
      </c>
      <c r="I23" s="68">
        <v>7888.5714285714284</v>
      </c>
      <c r="J23" s="68">
        <v>-6096</v>
      </c>
      <c r="K23" s="67">
        <v>0</v>
      </c>
      <c r="L23" s="67">
        <v>0.2</v>
      </c>
      <c r="M23" s="67">
        <v>0.27956989247311825</v>
      </c>
      <c r="N23" s="67">
        <v>0.22043010752688172</v>
      </c>
      <c r="O23" s="67">
        <v>0.59615384615384615</v>
      </c>
      <c r="P23" s="67">
        <v>0.58536585365853655</v>
      </c>
      <c r="Q23" s="67">
        <v>0.47142857142857142</v>
      </c>
    </row>
    <row r="24" spans="1:17" x14ac:dyDescent="0.4">
      <c r="A24" s="69">
        <v>21</v>
      </c>
      <c r="B24" s="66">
        <v>371.39999999999992</v>
      </c>
      <c r="C24" s="66">
        <v>17.685714285714283</v>
      </c>
      <c r="D24" s="71">
        <v>1.5238095238095237</v>
      </c>
      <c r="E24" s="67">
        <v>0.61904761904761907</v>
      </c>
      <c r="F24" s="67">
        <v>0.14285714285714285</v>
      </c>
      <c r="G24" s="67">
        <v>0.375</v>
      </c>
      <c r="H24" s="67">
        <v>0.13541666666666666</v>
      </c>
      <c r="I24" s="68">
        <v>8168.0555555555557</v>
      </c>
      <c r="J24" s="68">
        <v>-6553.8461538461543</v>
      </c>
      <c r="K24" s="67">
        <v>0</v>
      </c>
      <c r="L24" s="67">
        <v>0.19047619047619047</v>
      </c>
      <c r="M24" s="67">
        <v>0.28125</v>
      </c>
      <c r="N24" s="67">
        <v>0.21354166666666666</v>
      </c>
      <c r="O24" s="67">
        <v>0.59259259259259256</v>
      </c>
      <c r="P24" s="67">
        <v>0.58536585365853655</v>
      </c>
      <c r="Q24" s="67">
        <v>0.47222222222222221</v>
      </c>
    </row>
    <row r="25" spans="1:17" x14ac:dyDescent="0.4">
      <c r="A25" s="69">
        <v>22</v>
      </c>
      <c r="B25" s="66">
        <v>414.2999999999999</v>
      </c>
      <c r="C25" s="66">
        <v>18.831818181818178</v>
      </c>
      <c r="D25" s="71">
        <v>1.5</v>
      </c>
      <c r="E25" s="67">
        <v>0.63636363636363635</v>
      </c>
      <c r="F25" s="67">
        <v>0.13636363636363635</v>
      </c>
      <c r="G25" s="67">
        <v>0.38805970149253732</v>
      </c>
      <c r="H25" s="67">
        <v>0.13432835820895522</v>
      </c>
      <c r="I25" s="68">
        <v>8025.6410256410254</v>
      </c>
      <c r="J25" s="68">
        <v>-6385.1851851851852</v>
      </c>
      <c r="K25" s="67">
        <v>0</v>
      </c>
      <c r="L25" s="67">
        <v>0.18181818181818182</v>
      </c>
      <c r="M25" s="67">
        <v>0.28358208955223879</v>
      </c>
      <c r="N25" s="67">
        <v>0.22388059701492538</v>
      </c>
      <c r="O25" s="67">
        <v>0.61403508771929827</v>
      </c>
      <c r="P25" s="67">
        <v>0.6</v>
      </c>
      <c r="Q25" s="67">
        <v>0.46153846153846156</v>
      </c>
    </row>
    <row r="26" spans="1:17" x14ac:dyDescent="0.4">
      <c r="A26" s="69">
        <v>23</v>
      </c>
      <c r="B26" s="66">
        <v>356.2999999999999</v>
      </c>
      <c r="C26" s="66">
        <v>15.491304347826082</v>
      </c>
      <c r="D26" s="71">
        <v>1.5652173913043479</v>
      </c>
      <c r="E26" s="67">
        <v>0.60869565217391308</v>
      </c>
      <c r="F26" s="67">
        <v>0.17391304347826086</v>
      </c>
      <c r="G26" s="67">
        <v>0.38613861386138615</v>
      </c>
      <c r="H26" s="67">
        <v>0.13861386138613863</v>
      </c>
      <c r="I26" s="68">
        <v>8025.6410256410254</v>
      </c>
      <c r="J26" s="68">
        <v>-7871.4285714285716</v>
      </c>
      <c r="K26" s="67">
        <v>4.3478260869565216E-2</v>
      </c>
      <c r="L26" s="67">
        <v>0.17391304347826086</v>
      </c>
      <c r="M26" s="67">
        <v>0.28217821782178215</v>
      </c>
      <c r="N26" s="67">
        <v>0.22277227722772278</v>
      </c>
      <c r="O26" s="67">
        <v>0.61403508771929827</v>
      </c>
      <c r="P26" s="67">
        <v>0.6</v>
      </c>
      <c r="Q26" s="67">
        <v>0.46153846153846156</v>
      </c>
    </row>
    <row r="27" spans="1:17" x14ac:dyDescent="0.4">
      <c r="A27" s="69">
        <v>24</v>
      </c>
      <c r="B27" s="66">
        <v>329.89999999999992</v>
      </c>
      <c r="C27" s="66">
        <v>13.74583333333333</v>
      </c>
      <c r="D27" s="71">
        <v>1.625</v>
      </c>
      <c r="E27" s="67">
        <v>0.58333333333333337</v>
      </c>
      <c r="F27" s="67">
        <v>0.20833333333333334</v>
      </c>
      <c r="G27" s="67">
        <v>0.37799043062200954</v>
      </c>
      <c r="H27" s="67">
        <v>0.13875598086124402</v>
      </c>
      <c r="I27" s="68">
        <v>8151.8987341772154</v>
      </c>
      <c r="J27" s="68">
        <v>-7734.4827586206893</v>
      </c>
      <c r="K27" s="67">
        <v>4.1666666666666664E-2</v>
      </c>
      <c r="L27" s="67">
        <v>0.16666666666666666</v>
      </c>
      <c r="M27" s="67">
        <v>0.28708133971291866</v>
      </c>
      <c r="N27" s="67">
        <v>0.22966507177033493</v>
      </c>
      <c r="O27" s="67">
        <v>0.6</v>
      </c>
      <c r="P27" s="67">
        <v>0.5625</v>
      </c>
      <c r="Q27" s="67">
        <v>0.46835443037974683</v>
      </c>
    </row>
    <row r="28" spans="1:17" x14ac:dyDescent="0.4">
      <c r="A28" s="69">
        <v>25</v>
      </c>
      <c r="B28" s="66">
        <v>294.99999999999994</v>
      </c>
      <c r="C28" s="66">
        <v>11.799999999999997</v>
      </c>
      <c r="D28" s="71">
        <v>1.68</v>
      </c>
      <c r="E28" s="67">
        <v>0.56000000000000005</v>
      </c>
      <c r="F28" s="67">
        <v>0.24</v>
      </c>
      <c r="G28" s="67">
        <v>0.3686635944700461</v>
      </c>
      <c r="H28" s="67">
        <v>0.14746543778801843</v>
      </c>
      <c r="I28" s="68">
        <v>8068.75</v>
      </c>
      <c r="J28" s="68">
        <v>-7709.375</v>
      </c>
      <c r="K28" s="67">
        <v>0.04</v>
      </c>
      <c r="L28" s="67">
        <v>0.16</v>
      </c>
      <c r="M28" s="67">
        <v>0.28110599078341014</v>
      </c>
      <c r="N28" s="67">
        <v>0.23502304147465439</v>
      </c>
      <c r="O28" s="67">
        <v>0.5901639344262295</v>
      </c>
      <c r="P28" s="67">
        <v>0.5490196078431373</v>
      </c>
      <c r="Q28" s="67">
        <v>0.46250000000000002</v>
      </c>
    </row>
    <row r="29" spans="1:17" x14ac:dyDescent="0.4">
      <c r="A29" s="69">
        <v>26</v>
      </c>
      <c r="B29" s="66">
        <v>329.29999999999995</v>
      </c>
      <c r="C29" s="66">
        <v>12.665384615384614</v>
      </c>
      <c r="D29" s="71">
        <v>1.6538461538461537</v>
      </c>
      <c r="E29" s="67">
        <v>0.57692307692307687</v>
      </c>
      <c r="F29" s="67">
        <v>0.23076923076923078</v>
      </c>
      <c r="G29" s="67">
        <v>0.375</v>
      </c>
      <c r="H29" s="67">
        <v>0.14732142857142858</v>
      </c>
      <c r="I29" s="68">
        <v>8077.3809523809523</v>
      </c>
      <c r="J29" s="68">
        <v>-7709.090909090909</v>
      </c>
      <c r="K29" s="67">
        <v>3.8461538461538464E-2</v>
      </c>
      <c r="L29" s="67">
        <v>0.15384615384615385</v>
      </c>
      <c r="M29" s="67">
        <v>0.28125</v>
      </c>
      <c r="N29" s="67">
        <v>0.24553571428571427</v>
      </c>
      <c r="O29" s="67">
        <v>0.60317460317460314</v>
      </c>
      <c r="P29" s="67">
        <v>0.52727272727272723</v>
      </c>
      <c r="Q29" s="67">
        <v>0.4642857142857143</v>
      </c>
    </row>
    <row r="30" spans="1:17" x14ac:dyDescent="0.4">
      <c r="A30" s="69">
        <v>27</v>
      </c>
      <c r="B30" s="66">
        <v>342.69999999999993</v>
      </c>
      <c r="C30" s="66">
        <v>12.69259259259259</v>
      </c>
      <c r="D30" s="71">
        <v>1.6666666666666667</v>
      </c>
      <c r="E30" s="67">
        <v>0.55555555555555558</v>
      </c>
      <c r="F30" s="67">
        <v>0.22222222222222221</v>
      </c>
      <c r="G30" s="67">
        <v>0.37021276595744679</v>
      </c>
      <c r="H30" s="67">
        <v>0.14468085106382977</v>
      </c>
      <c r="I30" s="68">
        <v>8281.6091954022995</v>
      </c>
      <c r="J30" s="68">
        <v>-7717.6470588235297</v>
      </c>
      <c r="K30" s="67">
        <v>3.7037037037037035E-2</v>
      </c>
      <c r="L30" s="67">
        <v>0.14814814814814814</v>
      </c>
      <c r="M30" s="67">
        <v>0.28085106382978725</v>
      </c>
      <c r="N30" s="67">
        <v>0.24680851063829787</v>
      </c>
      <c r="O30" s="67">
        <v>0.59090909090909094</v>
      </c>
      <c r="P30" s="67">
        <v>0.53448275862068961</v>
      </c>
      <c r="Q30" s="67">
        <v>0.44827586206896552</v>
      </c>
    </row>
    <row r="31" spans="1:17" x14ac:dyDescent="0.4">
      <c r="A31" s="69">
        <v>28</v>
      </c>
      <c r="B31" s="66">
        <v>347.99999999999994</v>
      </c>
      <c r="C31" s="66">
        <v>12.428571428571427</v>
      </c>
      <c r="D31" s="71">
        <v>1.6785714285714286</v>
      </c>
      <c r="E31" s="67">
        <v>0.5357142857142857</v>
      </c>
      <c r="F31" s="67">
        <v>0.21428571428571427</v>
      </c>
      <c r="G31" s="67">
        <v>0.37083333333333335</v>
      </c>
      <c r="H31" s="67">
        <v>0.14166666666666666</v>
      </c>
      <c r="I31" s="68">
        <v>8284.2696629213478</v>
      </c>
      <c r="J31" s="68">
        <v>-7717.6470588235297</v>
      </c>
      <c r="K31" s="67">
        <v>3.5714285714285712E-2</v>
      </c>
      <c r="L31" s="67">
        <v>0.14285714285714285</v>
      </c>
      <c r="M31" s="67">
        <v>0.27916666666666667</v>
      </c>
      <c r="N31" s="67">
        <v>0.24583333333333332</v>
      </c>
      <c r="O31" s="67">
        <v>0.58208955223880599</v>
      </c>
      <c r="P31" s="67">
        <v>0.5423728813559322</v>
      </c>
      <c r="Q31" s="67">
        <v>0.449438202247191</v>
      </c>
    </row>
    <row r="32" spans="1:17" x14ac:dyDescent="0.4">
      <c r="A32" s="69">
        <v>29</v>
      </c>
      <c r="B32" s="66">
        <v>307.69999999999993</v>
      </c>
      <c r="C32" s="66">
        <v>10.610344827586205</v>
      </c>
      <c r="D32" s="71">
        <v>1.7241379310344827</v>
      </c>
      <c r="E32" s="67">
        <v>0.51724137931034486</v>
      </c>
      <c r="F32" s="67">
        <v>0.2413793103448276</v>
      </c>
      <c r="G32" s="67">
        <v>0.35714285714285715</v>
      </c>
      <c r="H32" s="67">
        <v>0.1388888888888889</v>
      </c>
      <c r="I32" s="68">
        <v>8221.1111111111113</v>
      </c>
      <c r="J32" s="68">
        <v>-7645.7142857142853</v>
      </c>
      <c r="K32" s="67">
        <v>3.4482758620689655E-2</v>
      </c>
      <c r="L32" s="67">
        <v>0.13793103448275862</v>
      </c>
      <c r="M32" s="67">
        <v>0.26984126984126983</v>
      </c>
      <c r="N32" s="67">
        <v>0.24603174603174602</v>
      </c>
      <c r="O32" s="67">
        <v>0.57352941176470584</v>
      </c>
      <c r="P32" s="67">
        <v>0.532258064516129</v>
      </c>
      <c r="Q32" s="67">
        <v>0.44444444444444442</v>
      </c>
    </row>
    <row r="33" spans="1:17" x14ac:dyDescent="0.4">
      <c r="A33" s="69">
        <v>30</v>
      </c>
      <c r="B33" s="66">
        <v>286.39999999999992</v>
      </c>
      <c r="C33" s="66">
        <v>9.5466666666666633</v>
      </c>
      <c r="D33" s="71">
        <v>1.7666666666666666</v>
      </c>
      <c r="E33" s="67">
        <v>0.5</v>
      </c>
      <c r="F33" s="67">
        <v>0.26666666666666666</v>
      </c>
      <c r="G33" s="67">
        <v>0.35227272727272729</v>
      </c>
      <c r="H33" s="67">
        <v>0.14015151515151514</v>
      </c>
      <c r="I33" s="68">
        <v>8111.8279569892475</v>
      </c>
      <c r="J33" s="68">
        <v>-7529.72972972973</v>
      </c>
      <c r="K33" s="67">
        <v>3.3333333333333333E-2</v>
      </c>
      <c r="L33" s="67">
        <v>0.13333333333333333</v>
      </c>
      <c r="M33" s="67">
        <v>0.26136363636363635</v>
      </c>
      <c r="N33" s="67">
        <v>0.24242424242424243</v>
      </c>
      <c r="O33" s="67">
        <v>0.57971014492753625</v>
      </c>
      <c r="P33" s="67">
        <v>0.515625</v>
      </c>
      <c r="Q33" s="67">
        <v>0.45161290322580644</v>
      </c>
    </row>
    <row r="34" spans="1:17" x14ac:dyDescent="0.4">
      <c r="A34" s="69">
        <v>31</v>
      </c>
      <c r="B34" s="66">
        <v>319.49999999999994</v>
      </c>
      <c r="C34" s="66">
        <v>10.306451612903224</v>
      </c>
      <c r="D34" s="71">
        <v>1.7419354838709677</v>
      </c>
      <c r="E34" s="67">
        <v>0.5161290322580645</v>
      </c>
      <c r="F34" s="67">
        <v>0.25806451612903225</v>
      </c>
      <c r="G34" s="67">
        <v>0.35636363636363638</v>
      </c>
      <c r="H34" s="67">
        <v>0.13818181818181818</v>
      </c>
      <c r="I34" s="68">
        <v>8070.408163265306</v>
      </c>
      <c r="J34" s="68">
        <v>-7636.8421052631575</v>
      </c>
      <c r="K34" s="67">
        <v>3.2258064516129031E-2</v>
      </c>
      <c r="L34" s="67">
        <v>0.12903225806451613</v>
      </c>
      <c r="M34" s="67">
        <v>0.25818181818181818</v>
      </c>
      <c r="N34" s="67">
        <v>0.24363636363636362</v>
      </c>
      <c r="O34" s="67">
        <v>0.59154929577464788</v>
      </c>
      <c r="P34" s="67">
        <v>0.52238805970149249</v>
      </c>
      <c r="Q34" s="67">
        <v>0.42857142857142855</v>
      </c>
    </row>
    <row r="35" spans="1:17" x14ac:dyDescent="0.4">
      <c r="A35" s="69">
        <v>32</v>
      </c>
      <c r="B35" s="66">
        <v>349.39999999999992</v>
      </c>
      <c r="C35" s="66">
        <v>10.918749999999998</v>
      </c>
      <c r="D35" s="71">
        <v>1.71875</v>
      </c>
      <c r="E35" s="67">
        <v>0.53125</v>
      </c>
      <c r="F35" s="67">
        <v>0.25</v>
      </c>
      <c r="G35" s="67">
        <v>0.35563380281690143</v>
      </c>
      <c r="H35" s="67">
        <v>0.13380281690140844</v>
      </c>
      <c r="I35" s="68">
        <v>8027.7227722772277</v>
      </c>
      <c r="J35" s="68">
        <v>-7636.8421052631575</v>
      </c>
      <c r="K35" s="67">
        <v>3.125E-2</v>
      </c>
      <c r="L35" s="67">
        <v>0.125</v>
      </c>
      <c r="M35" s="67">
        <v>0.25352112676056338</v>
      </c>
      <c r="N35" s="67">
        <v>0.23943661971830985</v>
      </c>
      <c r="O35" s="67">
        <v>0.59722222222222221</v>
      </c>
      <c r="P35" s="67">
        <v>0.52941176470588236</v>
      </c>
      <c r="Q35" s="67">
        <v>0.42574257425742573</v>
      </c>
    </row>
    <row r="36" spans="1:17" x14ac:dyDescent="0.4">
      <c r="A36" s="69">
        <v>33</v>
      </c>
      <c r="B36" s="66">
        <v>349.19999999999993</v>
      </c>
      <c r="C36" s="66">
        <v>10.58181818181818</v>
      </c>
      <c r="D36" s="71">
        <v>1.7272727272727273</v>
      </c>
      <c r="E36" s="67">
        <v>0.51515151515151514</v>
      </c>
      <c r="F36" s="67">
        <v>0.24242424242424243</v>
      </c>
      <c r="G36" s="67">
        <v>0.35395189003436428</v>
      </c>
      <c r="H36" s="67">
        <v>0.13058419243986255</v>
      </c>
      <c r="I36" s="68">
        <v>7918.4466019417478</v>
      </c>
      <c r="J36" s="68">
        <v>-7636.8421052631575</v>
      </c>
      <c r="K36" s="67">
        <v>3.0303030303030304E-2</v>
      </c>
      <c r="L36" s="67">
        <v>0.12121212121212122</v>
      </c>
      <c r="M36" s="67">
        <v>0.25085910652920962</v>
      </c>
      <c r="N36" s="67">
        <v>0.23711340206185566</v>
      </c>
      <c r="O36" s="67">
        <v>0.60273972602739723</v>
      </c>
      <c r="P36" s="67">
        <v>0.53623188405797106</v>
      </c>
      <c r="Q36" s="67">
        <v>0.42718446601941745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5C1E-6888-4E77-8314-EE1303D3ECF6}">
  <sheetPr codeName="Sheet8"/>
  <dimension ref="A1:Q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 x14ac:dyDescent="0.4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  <row r="6" spans="1:17" x14ac:dyDescent="0.4">
      <c r="A6" s="69">
        <v>3</v>
      </c>
      <c r="B6" s="66">
        <v>-8.3000000000000007</v>
      </c>
      <c r="C6" s="66">
        <v>-2.7666666666666671</v>
      </c>
      <c r="D6" s="71">
        <v>2</v>
      </c>
      <c r="E6" s="67">
        <v>0.33333333333333331</v>
      </c>
      <c r="F6" s="67">
        <v>0.33333333333333331</v>
      </c>
      <c r="G6" s="67">
        <v>0.25925925925925924</v>
      </c>
      <c r="H6" s="67">
        <v>0.18518518518518517</v>
      </c>
      <c r="I6" s="68">
        <v>6557.1428571428569</v>
      </c>
      <c r="J6" s="68">
        <v>-6340</v>
      </c>
      <c r="K6" s="67">
        <v>0</v>
      </c>
      <c r="L6" s="67">
        <v>0</v>
      </c>
      <c r="M6" s="67">
        <v>0.33333333333333331</v>
      </c>
      <c r="N6" s="67">
        <v>0.22222222222222221</v>
      </c>
      <c r="O6" s="67">
        <v>0.44444444444444442</v>
      </c>
      <c r="P6" s="67">
        <v>0.33333333333333331</v>
      </c>
      <c r="Q6" s="67">
        <v>0.2857142857142857</v>
      </c>
    </row>
    <row r="7" spans="1:17" x14ac:dyDescent="0.4">
      <c r="A7" s="69">
        <v>4</v>
      </c>
      <c r="B7" s="66">
        <v>-30.7</v>
      </c>
      <c r="C7" s="66">
        <v>-7.6749999999999998</v>
      </c>
      <c r="D7" s="71">
        <v>2</v>
      </c>
      <c r="E7" s="67">
        <v>0.25</v>
      </c>
      <c r="F7" s="67">
        <v>0.25</v>
      </c>
      <c r="G7" s="67">
        <v>0.26315789473684209</v>
      </c>
      <c r="H7" s="67">
        <v>0.21052631578947367</v>
      </c>
      <c r="I7" s="68">
        <v>7390</v>
      </c>
      <c r="J7" s="68">
        <v>-8375</v>
      </c>
      <c r="K7" s="67">
        <v>0</v>
      </c>
      <c r="L7" s="67">
        <v>0</v>
      </c>
      <c r="M7" s="67">
        <v>0.34210526315789475</v>
      </c>
      <c r="N7" s="67">
        <v>0.23684210526315788</v>
      </c>
      <c r="O7" s="67">
        <v>0.46153846153846156</v>
      </c>
      <c r="P7" s="67">
        <v>0.33333333333333331</v>
      </c>
      <c r="Q7" s="67">
        <v>0.4</v>
      </c>
    </row>
    <row r="8" spans="1:17" x14ac:dyDescent="0.4">
      <c r="A8" s="69">
        <v>5</v>
      </c>
      <c r="B8" s="66">
        <v>-55.8</v>
      </c>
      <c r="C8" s="66">
        <v>-11.16</v>
      </c>
      <c r="D8" s="71">
        <v>2.2000000000000002</v>
      </c>
      <c r="E8" s="67">
        <v>0.2</v>
      </c>
      <c r="F8" s="67">
        <v>0.4</v>
      </c>
      <c r="G8" s="67">
        <v>0.24444444444444444</v>
      </c>
      <c r="H8" s="67">
        <v>0.22222222222222221</v>
      </c>
      <c r="I8" s="68">
        <v>7445.454545454545</v>
      </c>
      <c r="J8" s="68">
        <v>-8160</v>
      </c>
      <c r="K8" s="67">
        <v>0</v>
      </c>
      <c r="L8" s="67">
        <v>0</v>
      </c>
      <c r="M8" s="67">
        <v>0.28888888888888886</v>
      </c>
      <c r="N8" s="67">
        <v>0.26666666666666666</v>
      </c>
      <c r="O8" s="67">
        <v>0.46153846153846156</v>
      </c>
      <c r="P8" s="67">
        <v>0.33333333333333331</v>
      </c>
      <c r="Q8" s="67">
        <v>0.36363636363636365</v>
      </c>
    </row>
    <row r="9" spans="1:17" x14ac:dyDescent="0.4">
      <c r="A9" s="69">
        <v>6</v>
      </c>
      <c r="B9" s="66">
        <v>-40.799999999999997</v>
      </c>
      <c r="C9" s="66">
        <v>-6.8</v>
      </c>
      <c r="D9" s="71">
        <v>2</v>
      </c>
      <c r="E9" s="67">
        <v>0.33333333333333331</v>
      </c>
      <c r="F9" s="67">
        <v>0.33333333333333331</v>
      </c>
      <c r="G9" s="67">
        <v>0.24074074074074073</v>
      </c>
      <c r="H9" s="67">
        <v>0.22222222222222221</v>
      </c>
      <c r="I9" s="68">
        <v>7838.4615384615381</v>
      </c>
      <c r="J9" s="68">
        <v>-7925</v>
      </c>
      <c r="K9" s="67">
        <v>0</v>
      </c>
      <c r="L9" s="67">
        <v>0</v>
      </c>
      <c r="M9" s="67">
        <v>0.29629629629629628</v>
      </c>
      <c r="N9" s="67">
        <v>0.24074074074074073</v>
      </c>
      <c r="O9" s="67">
        <v>0.5</v>
      </c>
      <c r="P9" s="67">
        <v>0.30769230769230771</v>
      </c>
      <c r="Q9" s="67">
        <v>0.46153846153846156</v>
      </c>
    </row>
    <row r="10" spans="1:17" x14ac:dyDescent="0.4">
      <c r="A10" s="69">
        <v>7</v>
      </c>
      <c r="B10" s="66">
        <v>-71</v>
      </c>
      <c r="C10" s="66">
        <v>-10.142857142857142</v>
      </c>
      <c r="D10" s="71">
        <v>2.1428571428571428</v>
      </c>
      <c r="E10" s="67">
        <v>0.2857142857142857</v>
      </c>
      <c r="F10" s="67">
        <v>0.42857142857142855</v>
      </c>
      <c r="G10" s="67">
        <v>0.22058823529411764</v>
      </c>
      <c r="H10" s="67">
        <v>0.23529411764705882</v>
      </c>
      <c r="I10" s="68">
        <v>8180</v>
      </c>
      <c r="J10" s="68">
        <v>-7700</v>
      </c>
      <c r="K10" s="67">
        <v>0</v>
      </c>
      <c r="L10" s="67">
        <v>0</v>
      </c>
      <c r="M10" s="67">
        <v>0.25</v>
      </c>
      <c r="N10" s="67">
        <v>0.26470588235294118</v>
      </c>
      <c r="O10" s="67">
        <v>0.52941176470588236</v>
      </c>
      <c r="P10" s="67">
        <v>0.27777777777777779</v>
      </c>
      <c r="Q10" s="67">
        <v>0.46666666666666667</v>
      </c>
    </row>
    <row r="11" spans="1:17" x14ac:dyDescent="0.4">
      <c r="A11" s="69">
        <v>8</v>
      </c>
      <c r="B11" s="66">
        <v>-76.900000000000006</v>
      </c>
      <c r="C11" s="66">
        <v>-9.6125000000000007</v>
      </c>
      <c r="D11" s="71">
        <v>2.125</v>
      </c>
      <c r="E11" s="67">
        <v>0.25</v>
      </c>
      <c r="F11" s="67">
        <v>0.375</v>
      </c>
      <c r="G11" s="67">
        <v>0.21794871794871795</v>
      </c>
      <c r="H11" s="67">
        <v>0.20512820512820512</v>
      </c>
      <c r="I11" s="68">
        <v>7805.8823529411766</v>
      </c>
      <c r="J11" s="68">
        <v>-7700</v>
      </c>
      <c r="K11" s="67">
        <v>0</v>
      </c>
      <c r="L11" s="67">
        <v>0</v>
      </c>
      <c r="M11" s="67">
        <v>0.24358974358974358</v>
      </c>
      <c r="N11" s="67">
        <v>0.26923076923076922</v>
      </c>
      <c r="O11" s="67">
        <v>0.47368421052631576</v>
      </c>
      <c r="P11" s="67">
        <v>0.23809523809523808</v>
      </c>
      <c r="Q11" s="67">
        <v>0.47058823529411764</v>
      </c>
    </row>
    <row r="12" spans="1:17" x14ac:dyDescent="0.4">
      <c r="A12" s="69">
        <v>9</v>
      </c>
      <c r="B12" s="66">
        <v>-59.500000000000007</v>
      </c>
      <c r="C12" s="66">
        <v>-6.6111111111111116</v>
      </c>
      <c r="D12" s="71">
        <v>2</v>
      </c>
      <c r="E12" s="67">
        <v>0.33333333333333331</v>
      </c>
      <c r="F12" s="67">
        <v>0.33333333333333331</v>
      </c>
      <c r="G12" s="67">
        <v>0.2413793103448276</v>
      </c>
      <c r="H12" s="67">
        <v>0.19540229885057472</v>
      </c>
      <c r="I12" s="68">
        <v>7576.1904761904761</v>
      </c>
      <c r="J12" s="68">
        <v>-7552.9411764705883</v>
      </c>
      <c r="K12" s="67">
        <v>0</v>
      </c>
      <c r="L12" s="67">
        <v>0</v>
      </c>
      <c r="M12" s="67">
        <v>0.2413793103448276</v>
      </c>
      <c r="N12" s="67">
        <v>0.26436781609195403</v>
      </c>
      <c r="O12" s="67">
        <v>0.52380952380952384</v>
      </c>
      <c r="P12" s="67">
        <v>0.2608695652173913</v>
      </c>
      <c r="Q12" s="67">
        <v>0.52380952380952384</v>
      </c>
    </row>
    <row r="13" spans="1:17" x14ac:dyDescent="0.4">
      <c r="A13" s="69">
        <v>10</v>
      </c>
      <c r="B13" s="66">
        <v>-32.700000000000003</v>
      </c>
      <c r="C13" s="66">
        <v>-3.2700000000000005</v>
      </c>
      <c r="D13" s="71">
        <v>1.9</v>
      </c>
      <c r="E13" s="67">
        <v>0.4</v>
      </c>
      <c r="F13" s="67">
        <v>0.3</v>
      </c>
      <c r="G13" s="67">
        <v>0.25263157894736843</v>
      </c>
      <c r="H13" s="67">
        <v>0.18947368421052632</v>
      </c>
      <c r="I13" s="68">
        <v>7562.5</v>
      </c>
      <c r="J13" s="68">
        <v>-7277.7777777777774</v>
      </c>
      <c r="K13" s="67">
        <v>0</v>
      </c>
      <c r="L13" s="67">
        <v>0</v>
      </c>
      <c r="M13" s="67">
        <v>0.24210526315789474</v>
      </c>
      <c r="N13" s="67">
        <v>0.27368421052631581</v>
      </c>
      <c r="O13" s="67">
        <v>0.56521739130434778</v>
      </c>
      <c r="P13" s="67">
        <v>0.23076923076923078</v>
      </c>
      <c r="Q13" s="67">
        <v>0.5</v>
      </c>
    </row>
    <row r="14" spans="1:17" x14ac:dyDescent="0.4">
      <c r="A14" s="69">
        <v>11</v>
      </c>
      <c r="B14" s="66">
        <v>-35.5</v>
      </c>
      <c r="C14" s="66">
        <v>-3.2272727272727271</v>
      </c>
      <c r="D14" s="71">
        <v>1.9090909090909092</v>
      </c>
      <c r="E14" s="67">
        <v>0.36363636363636365</v>
      </c>
      <c r="F14" s="67">
        <v>0.27272727272727271</v>
      </c>
      <c r="G14" s="67">
        <v>0.24509803921568626</v>
      </c>
      <c r="H14" s="67">
        <v>0.17647058823529413</v>
      </c>
      <c r="I14" s="68">
        <v>7568</v>
      </c>
      <c r="J14" s="68">
        <v>-7277.7777777777774</v>
      </c>
      <c r="K14" s="67">
        <v>0</v>
      </c>
      <c r="L14" s="67">
        <v>0</v>
      </c>
      <c r="M14" s="67">
        <v>0.22549019607843138</v>
      </c>
      <c r="N14" s="67">
        <v>0.27450980392156865</v>
      </c>
      <c r="O14" s="67">
        <v>0.56521739130434778</v>
      </c>
      <c r="P14" s="67">
        <v>0.25</v>
      </c>
      <c r="Q14" s="67">
        <v>0.48</v>
      </c>
    </row>
    <row r="15" spans="1:17" x14ac:dyDescent="0.4">
      <c r="A15" s="69">
        <v>12</v>
      </c>
      <c r="B15" s="66">
        <v>-59.5</v>
      </c>
      <c r="C15" s="66">
        <v>-4.958333333333333</v>
      </c>
      <c r="D15" s="71">
        <v>2</v>
      </c>
      <c r="E15" s="67">
        <v>0.33333333333333331</v>
      </c>
      <c r="F15" s="67">
        <v>0.33333333333333331</v>
      </c>
      <c r="G15" s="67">
        <v>0.24324324324324326</v>
      </c>
      <c r="H15" s="67">
        <v>0.17117117117117117</v>
      </c>
      <c r="I15" s="68">
        <v>7451.8518518518522</v>
      </c>
      <c r="J15" s="68">
        <v>-7000</v>
      </c>
      <c r="K15" s="67">
        <v>0</v>
      </c>
      <c r="L15" s="67">
        <v>0</v>
      </c>
      <c r="M15" s="67">
        <v>0.21621621621621623</v>
      </c>
      <c r="N15" s="67">
        <v>0.27027027027027029</v>
      </c>
      <c r="O15" s="67">
        <v>0.58333333333333337</v>
      </c>
      <c r="P15" s="67">
        <v>0.26666666666666666</v>
      </c>
      <c r="Q15" s="67">
        <v>0.48148148148148145</v>
      </c>
    </row>
    <row r="16" spans="1:17" x14ac:dyDescent="0.4">
      <c r="A16" s="69">
        <v>13</v>
      </c>
      <c r="B16" s="66">
        <v>-66.2</v>
      </c>
      <c r="C16" s="66">
        <v>-5.0923076923076929</v>
      </c>
      <c r="D16" s="71">
        <v>2</v>
      </c>
      <c r="E16" s="67">
        <v>0.30769230769230771</v>
      </c>
      <c r="F16" s="67">
        <v>0.30769230769230771</v>
      </c>
      <c r="G16" s="67">
        <v>0.24590163934426229</v>
      </c>
      <c r="H16" s="67">
        <v>0.1721311475409836</v>
      </c>
      <c r="I16" s="68">
        <v>7803.333333333333</v>
      </c>
      <c r="J16" s="68">
        <v>-7457.1428571428569</v>
      </c>
      <c r="K16" s="67">
        <v>0</v>
      </c>
      <c r="L16" s="67">
        <v>0</v>
      </c>
      <c r="M16" s="67">
        <v>0.20491803278688525</v>
      </c>
      <c r="N16" s="67">
        <v>0.27868852459016391</v>
      </c>
      <c r="O16" s="67">
        <v>0.6</v>
      </c>
      <c r="P16" s="67">
        <v>0.23529411764705882</v>
      </c>
      <c r="Q16" s="67">
        <v>0.5</v>
      </c>
    </row>
    <row r="17" spans="1:17" x14ac:dyDescent="0.4">
      <c r="A17" s="69">
        <v>14</v>
      </c>
      <c r="B17" s="66">
        <v>-51.1</v>
      </c>
      <c r="C17" s="66">
        <v>-3.65</v>
      </c>
      <c r="D17" s="71">
        <v>1.9285714285714286</v>
      </c>
      <c r="E17" s="67">
        <v>0.35714285714285715</v>
      </c>
      <c r="F17" s="67">
        <v>0.2857142857142857</v>
      </c>
      <c r="G17" s="67">
        <v>0.25</v>
      </c>
      <c r="H17" s="67">
        <v>0.17424242424242425</v>
      </c>
      <c r="I17" s="68">
        <v>7793.939393939394</v>
      </c>
      <c r="J17" s="68">
        <v>-7395.652173913043</v>
      </c>
      <c r="K17" s="67">
        <v>0</v>
      </c>
      <c r="L17" s="67">
        <v>0</v>
      </c>
      <c r="M17" s="67">
        <v>0.18939393939393939</v>
      </c>
      <c r="N17" s="67">
        <v>0.27272727272727271</v>
      </c>
      <c r="O17" s="67">
        <v>0.6</v>
      </c>
      <c r="P17" s="67">
        <v>0.25</v>
      </c>
      <c r="Q17" s="67">
        <v>0.51515151515151514</v>
      </c>
    </row>
    <row r="18" spans="1:17" x14ac:dyDescent="0.4">
      <c r="A18" s="69">
        <v>15</v>
      </c>
      <c r="B18" s="66">
        <v>-65.2</v>
      </c>
      <c r="C18" s="66">
        <v>-4.3466666666666667</v>
      </c>
      <c r="D18" s="71">
        <v>2</v>
      </c>
      <c r="E18" s="67">
        <v>0.33333333333333331</v>
      </c>
      <c r="F18" s="67">
        <v>0.33333333333333331</v>
      </c>
      <c r="G18" s="67">
        <v>0.25</v>
      </c>
      <c r="H18" s="67">
        <v>0.1736111111111111</v>
      </c>
      <c r="I18" s="68">
        <v>7527.7777777777774</v>
      </c>
      <c r="J18" s="68">
        <v>-7108</v>
      </c>
      <c r="K18" s="67">
        <v>0</v>
      </c>
      <c r="L18" s="67">
        <v>0</v>
      </c>
      <c r="M18" s="67">
        <v>0.1875</v>
      </c>
      <c r="N18" s="67">
        <v>0.25694444444444442</v>
      </c>
      <c r="O18" s="67">
        <v>0.59259259259259256</v>
      </c>
      <c r="P18" s="67">
        <v>0.27027027027027029</v>
      </c>
      <c r="Q18" s="67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5625D-ED1E-4AF4-B528-9E96F6E47C26}">
  <sheetPr codeName="Sheet6"/>
  <dimension ref="A1:Q5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 x14ac:dyDescent="0.4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  <row r="8" spans="1:17" x14ac:dyDescent="0.4">
      <c r="A8" s="69">
        <v>5</v>
      </c>
      <c r="B8" s="66">
        <v>0</v>
      </c>
      <c r="C8" s="66">
        <v>0</v>
      </c>
      <c r="D8" s="71">
        <v>2</v>
      </c>
      <c r="E8" s="67">
        <v>0.33333333333333331</v>
      </c>
      <c r="F8" s="67">
        <v>0.33333333333333331</v>
      </c>
      <c r="G8" s="67">
        <v>0.29710144927536231</v>
      </c>
      <c r="H8" s="67">
        <v>0.18115942028985507</v>
      </c>
      <c r="I8" s="68">
        <v>8243.9024390243903</v>
      </c>
      <c r="J8" s="68">
        <v>-9244</v>
      </c>
      <c r="K8" s="67">
        <v>0.13333333333333333</v>
      </c>
      <c r="L8" s="67">
        <v>0.13333333333333333</v>
      </c>
      <c r="M8" s="67">
        <v>0.31159420289855072</v>
      </c>
      <c r="N8" s="67">
        <v>0.13768115942028986</v>
      </c>
      <c r="O8" s="67">
        <v>0.55813953488372092</v>
      </c>
      <c r="P8" s="67">
        <v>0.42105263157894735</v>
      </c>
      <c r="Q8" s="67">
        <v>0.3902439024390244</v>
      </c>
    </row>
    <row r="9" spans="1:17" x14ac:dyDescent="0.4">
      <c r="A9" s="69">
        <v>6</v>
      </c>
      <c r="B9" s="66">
        <v>0</v>
      </c>
      <c r="C9" s="66">
        <v>0</v>
      </c>
      <c r="D9" s="71">
        <v>2</v>
      </c>
      <c r="E9" s="67">
        <v>0.33333333333333331</v>
      </c>
      <c r="F9" s="67">
        <v>0.33333333333333331</v>
      </c>
      <c r="G9" s="67">
        <v>0.30246913580246915</v>
      </c>
      <c r="H9" s="67">
        <v>0.19135802469135801</v>
      </c>
      <c r="I9" s="68">
        <v>7802.0408163265311</v>
      </c>
      <c r="J9" s="68">
        <v>-8583.8709677419356</v>
      </c>
      <c r="K9" s="67">
        <v>0.1111111111111111</v>
      </c>
      <c r="L9" s="67">
        <v>0.1111111111111111</v>
      </c>
      <c r="M9" s="67">
        <v>0.30864197530864196</v>
      </c>
      <c r="N9" s="67">
        <v>0.16666666666666666</v>
      </c>
      <c r="O9" s="67">
        <v>0.6</v>
      </c>
      <c r="P9" s="67">
        <v>0.37037037037037035</v>
      </c>
      <c r="Q9" s="67">
        <v>0.36734693877551022</v>
      </c>
    </row>
    <row r="10" spans="1:17" x14ac:dyDescent="0.4">
      <c r="A10" s="69">
        <v>7</v>
      </c>
      <c r="B10" s="66">
        <v>7.1054273576010019E-15</v>
      </c>
      <c r="C10" s="66">
        <v>3.3835368369528578E-16</v>
      </c>
      <c r="D10" s="71">
        <v>2</v>
      </c>
      <c r="E10" s="67">
        <v>0.33333333333333331</v>
      </c>
      <c r="F10" s="67">
        <v>0.33333333333333331</v>
      </c>
      <c r="G10" s="67">
        <v>0.30256410256410254</v>
      </c>
      <c r="H10" s="67">
        <v>0.17948717948717949</v>
      </c>
      <c r="I10" s="68">
        <v>7872.8813559322034</v>
      </c>
      <c r="J10" s="68">
        <v>-8954.2857142857138</v>
      </c>
      <c r="K10" s="67">
        <v>9.5238095238095233E-2</v>
      </c>
      <c r="L10" s="67">
        <v>9.5238095238095233E-2</v>
      </c>
      <c r="M10" s="67">
        <v>0.29743589743589743</v>
      </c>
      <c r="N10" s="67">
        <v>0.17948717948717949</v>
      </c>
      <c r="O10" s="67">
        <v>0.58620689655172409</v>
      </c>
      <c r="P10" s="67">
        <v>0.42857142857142855</v>
      </c>
      <c r="Q10" s="67">
        <v>0.40677966101694918</v>
      </c>
    </row>
    <row r="11" spans="1:17" x14ac:dyDescent="0.4">
      <c r="A11" s="69">
        <v>8</v>
      </c>
      <c r="B11" s="66">
        <v>7.1054273576010019E-15</v>
      </c>
      <c r="C11" s="66">
        <v>2.9605947323337506E-16</v>
      </c>
      <c r="D11" s="71">
        <v>2</v>
      </c>
      <c r="E11" s="67">
        <v>0.33333333333333331</v>
      </c>
      <c r="F11" s="67">
        <v>0.33333333333333331</v>
      </c>
      <c r="G11" s="67">
        <v>0.30092592592592593</v>
      </c>
      <c r="H11" s="67">
        <v>0.18518518518518517</v>
      </c>
      <c r="I11" s="68">
        <v>7818.4615384615381</v>
      </c>
      <c r="J11" s="68">
        <v>-8627.5</v>
      </c>
      <c r="K11" s="67">
        <v>8.3333333333333329E-2</v>
      </c>
      <c r="L11" s="67">
        <v>8.3333333333333329E-2</v>
      </c>
      <c r="M11" s="67">
        <v>0.28703703703703703</v>
      </c>
      <c r="N11" s="67">
        <v>0.18981481481481483</v>
      </c>
      <c r="O11" s="67">
        <v>0.59677419354838712</v>
      </c>
      <c r="P11" s="67">
        <v>0.41463414634146339</v>
      </c>
      <c r="Q11" s="67">
        <v>0.38461538461538464</v>
      </c>
    </row>
    <row r="12" spans="1:17" x14ac:dyDescent="0.4">
      <c r="A12" s="69">
        <v>9</v>
      </c>
      <c r="B12" s="66">
        <v>6.7723604502134549E-15</v>
      </c>
      <c r="C12" s="66">
        <v>2.5082816482272053E-16</v>
      </c>
      <c r="D12" s="71">
        <v>2</v>
      </c>
      <c r="E12" s="67">
        <v>0.33333333333333331</v>
      </c>
      <c r="F12" s="67">
        <v>0.33333333333333331</v>
      </c>
      <c r="G12" s="67">
        <v>0.30452674897119342</v>
      </c>
      <c r="H12" s="67">
        <v>0.18930041152263374</v>
      </c>
      <c r="I12" s="68">
        <v>7662.1621621621625</v>
      </c>
      <c r="J12" s="68">
        <v>-8258.6956521739139</v>
      </c>
      <c r="K12" s="67">
        <v>7.407407407407407E-2</v>
      </c>
      <c r="L12" s="67">
        <v>7.407407407407407E-2</v>
      </c>
      <c r="M12" s="67">
        <v>0.27983539094650206</v>
      </c>
      <c r="N12" s="67">
        <v>0.18518518518518517</v>
      </c>
      <c r="O12" s="67">
        <v>0.6029411764705882</v>
      </c>
      <c r="P12" s="67">
        <v>0.44444444444444442</v>
      </c>
      <c r="Q12" s="67">
        <v>0.3783783783783784</v>
      </c>
    </row>
    <row r="13" spans="1:17" x14ac:dyDescent="0.4">
      <c r="A13" s="69">
        <v>10</v>
      </c>
      <c r="B13" s="66">
        <v>8.4376949871511897E-15</v>
      </c>
      <c r="C13" s="66">
        <v>2.8125649957170631E-16</v>
      </c>
      <c r="D13" s="71">
        <v>2</v>
      </c>
      <c r="E13" s="67">
        <v>0.33333333333333331</v>
      </c>
      <c r="F13" s="67">
        <v>0.33333333333333331</v>
      </c>
      <c r="G13" s="67">
        <v>0.2982456140350877</v>
      </c>
      <c r="H13" s="67">
        <v>0.18245614035087721</v>
      </c>
      <c r="I13" s="68">
        <v>7692.9411764705883</v>
      </c>
      <c r="J13" s="68">
        <v>-8292.3076923076915</v>
      </c>
      <c r="K13" s="67">
        <v>6.6666666666666666E-2</v>
      </c>
      <c r="L13" s="67">
        <v>6.6666666666666666E-2</v>
      </c>
      <c r="M13" s="67">
        <v>0.25964912280701752</v>
      </c>
      <c r="N13" s="67">
        <v>0.19298245614035087</v>
      </c>
      <c r="O13" s="67">
        <v>0.59459459459459463</v>
      </c>
      <c r="P13" s="67">
        <v>0.41818181818181815</v>
      </c>
      <c r="Q13" s="67">
        <v>0.38823529411764707</v>
      </c>
    </row>
    <row r="14" spans="1:17" x14ac:dyDescent="0.4">
      <c r="A14" s="69">
        <v>11</v>
      </c>
      <c r="B14" s="66">
        <v>7.1054273576010019E-15</v>
      </c>
      <c r="C14" s="66">
        <v>2.153159805333637E-16</v>
      </c>
      <c r="D14" s="71">
        <v>2</v>
      </c>
      <c r="E14" s="67">
        <v>0.33333333333333331</v>
      </c>
      <c r="F14" s="67">
        <v>0.33333333333333331</v>
      </c>
      <c r="G14" s="67">
        <v>0.30188679245283018</v>
      </c>
      <c r="H14" s="67">
        <v>0.19496855345911951</v>
      </c>
      <c r="I14" s="68">
        <v>7796.875</v>
      </c>
      <c r="J14" s="68">
        <v>-8383.8709677419356</v>
      </c>
      <c r="K14" s="67">
        <v>9.0909090909090912E-2</v>
      </c>
      <c r="L14" s="67">
        <v>9.0909090909090912E-2</v>
      </c>
      <c r="M14" s="67">
        <v>0.24842767295597484</v>
      </c>
      <c r="N14" s="67">
        <v>0.20754716981132076</v>
      </c>
      <c r="O14" s="67">
        <v>0.60759493670886078</v>
      </c>
      <c r="P14" s="67">
        <v>0.42424242424242425</v>
      </c>
      <c r="Q14" s="67">
        <v>0.35416666666666669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0.29597701149425287</v>
      </c>
      <c r="H15" s="67">
        <v>0.18390804597701149</v>
      </c>
      <c r="I15" s="68">
        <v>7711.6504854368932</v>
      </c>
      <c r="J15" s="68">
        <v>-8278.125</v>
      </c>
      <c r="K15" s="67">
        <v>8.3333333333333329E-2</v>
      </c>
      <c r="L15" s="67">
        <v>8.3333333333333329E-2</v>
      </c>
      <c r="M15" s="67">
        <v>0.25</v>
      </c>
      <c r="N15" s="67">
        <v>0.20977011494252873</v>
      </c>
      <c r="O15" s="67">
        <v>0.57471264367816088</v>
      </c>
      <c r="P15" s="67">
        <v>0.41095890410958902</v>
      </c>
      <c r="Q15" s="67">
        <v>0.37864077669902912</v>
      </c>
    </row>
    <row r="16" spans="1:17" x14ac:dyDescent="0.4">
      <c r="A16" s="69">
        <v>13</v>
      </c>
      <c r="B16" s="66">
        <v>6.2172489379008766E-15</v>
      </c>
      <c r="C16" s="66">
        <v>1.5941663943335581E-16</v>
      </c>
      <c r="D16" s="71">
        <v>2</v>
      </c>
      <c r="E16" s="67">
        <v>0.33333333333333331</v>
      </c>
      <c r="F16" s="67">
        <v>0.33333333333333331</v>
      </c>
      <c r="G16" s="67">
        <v>0.29866666666666669</v>
      </c>
      <c r="H16" s="67">
        <v>0.17866666666666667</v>
      </c>
      <c r="I16" s="68">
        <v>7655.3571428571431</v>
      </c>
      <c r="J16" s="68">
        <v>-8062.686567164179</v>
      </c>
      <c r="K16" s="67">
        <v>7.6923076923076927E-2</v>
      </c>
      <c r="L16" s="67">
        <v>7.6923076923076927E-2</v>
      </c>
      <c r="M16" s="67">
        <v>0.248</v>
      </c>
      <c r="N16" s="67">
        <v>0.21866666666666668</v>
      </c>
      <c r="O16" s="67">
        <v>0.59139784946236562</v>
      </c>
      <c r="P16" s="67">
        <v>0.3902439024390244</v>
      </c>
      <c r="Q16" s="67">
        <v>0.4017857142857143</v>
      </c>
    </row>
    <row r="17" spans="1:17" x14ac:dyDescent="0.4">
      <c r="A17" s="69">
        <v>14</v>
      </c>
      <c r="B17" s="66">
        <v>1.0658141036401503E-14</v>
      </c>
      <c r="C17" s="66">
        <v>2.5376526277146434E-16</v>
      </c>
      <c r="D17" s="71">
        <v>2</v>
      </c>
      <c r="E17" s="67">
        <v>0.33333333333333331</v>
      </c>
      <c r="F17" s="67">
        <v>0.33333333333333331</v>
      </c>
      <c r="G17" s="67">
        <v>0.29353233830845771</v>
      </c>
      <c r="H17" s="67">
        <v>0.17910447761194029</v>
      </c>
      <c r="I17" s="68">
        <v>7859.3220338983047</v>
      </c>
      <c r="J17" s="68">
        <v>-8225</v>
      </c>
      <c r="K17" s="67">
        <v>7.1428571428571425E-2</v>
      </c>
      <c r="L17" s="67">
        <v>7.1428571428571425E-2</v>
      </c>
      <c r="M17" s="67">
        <v>0.2462686567164179</v>
      </c>
      <c r="N17" s="67">
        <v>0.21641791044776118</v>
      </c>
      <c r="O17" s="67">
        <v>0.58585858585858586</v>
      </c>
      <c r="P17" s="67">
        <v>0.37931034482758619</v>
      </c>
      <c r="Q17" s="67">
        <v>0.38983050847457629</v>
      </c>
    </row>
    <row r="18" spans="1:17" x14ac:dyDescent="0.4">
      <c r="A18" s="69">
        <v>15</v>
      </c>
      <c r="B18" s="66">
        <v>1.1379786002407855E-14</v>
      </c>
      <c r="C18" s="66">
        <v>2.528841333868412E-16</v>
      </c>
      <c r="D18" s="71">
        <v>2</v>
      </c>
      <c r="E18" s="67">
        <v>0.33333333333333331</v>
      </c>
      <c r="F18" s="67">
        <v>0.33333333333333331</v>
      </c>
      <c r="G18" s="67">
        <v>0.29629629629629628</v>
      </c>
      <c r="H18" s="67">
        <v>0.17824074074074073</v>
      </c>
      <c r="I18" s="68">
        <v>7854.6875</v>
      </c>
      <c r="J18" s="68">
        <v>-7992.2077922077924</v>
      </c>
      <c r="K18" s="67">
        <v>6.6666666666666666E-2</v>
      </c>
      <c r="L18" s="67">
        <v>6.6666666666666666E-2</v>
      </c>
      <c r="M18" s="67">
        <v>0.24537037037037038</v>
      </c>
      <c r="N18" s="67">
        <v>0.21527777777777779</v>
      </c>
      <c r="O18" s="67">
        <v>0.58490566037735847</v>
      </c>
      <c r="P18" s="67">
        <v>0.38709677419354838</v>
      </c>
      <c r="Q18" s="67">
        <v>0.3984375</v>
      </c>
    </row>
    <row r="19" spans="1:17" x14ac:dyDescent="0.4">
      <c r="A19" s="69">
        <v>16</v>
      </c>
      <c r="B19" s="66">
        <v>1.4210854715202004E-14</v>
      </c>
      <c r="C19" s="66">
        <v>2.9605947323337506E-16</v>
      </c>
      <c r="D19" s="71">
        <v>2</v>
      </c>
      <c r="E19" s="67">
        <v>0.33333333333333331</v>
      </c>
      <c r="F19" s="67">
        <v>0.33333333333333331</v>
      </c>
      <c r="G19" s="67">
        <v>0.2982456140350877</v>
      </c>
      <c r="H19" s="67">
        <v>0.18201754385964913</v>
      </c>
      <c r="I19" s="68">
        <v>7907.3529411764703</v>
      </c>
      <c r="J19" s="68">
        <v>-7968.674698795181</v>
      </c>
      <c r="K19" s="67">
        <v>6.25E-2</v>
      </c>
      <c r="L19" s="67">
        <v>6.25E-2</v>
      </c>
      <c r="M19" s="67">
        <v>0.25438596491228072</v>
      </c>
      <c r="N19" s="67">
        <v>0.21271929824561403</v>
      </c>
      <c r="O19" s="67">
        <v>0.57758620689655171</v>
      </c>
      <c r="P19" s="67">
        <v>0.39175257731958762</v>
      </c>
      <c r="Q19" s="67">
        <v>0.38970588235294118</v>
      </c>
    </row>
    <row r="20" spans="1:17" x14ac:dyDescent="0.4">
      <c r="A20" s="69">
        <v>17</v>
      </c>
      <c r="B20" s="66">
        <v>1.4210854715202004E-14</v>
      </c>
      <c r="C20" s="66">
        <v>2.7864421010200007E-16</v>
      </c>
      <c r="D20" s="71">
        <v>2</v>
      </c>
      <c r="E20" s="67">
        <v>0.33333333333333331</v>
      </c>
      <c r="F20" s="67">
        <v>0.33333333333333331</v>
      </c>
      <c r="G20" s="67">
        <v>0.30041152263374488</v>
      </c>
      <c r="H20" s="67">
        <v>0.17489711934156379</v>
      </c>
      <c r="I20" s="68">
        <v>7965.7534246575342</v>
      </c>
      <c r="J20" s="68">
        <v>-7968.2352941176468</v>
      </c>
      <c r="K20" s="67">
        <v>7.8431372549019607E-2</v>
      </c>
      <c r="L20" s="67">
        <v>7.8431372549019607E-2</v>
      </c>
      <c r="M20" s="67">
        <v>0.25102880658436216</v>
      </c>
      <c r="N20" s="67">
        <v>0.2139917695473251</v>
      </c>
      <c r="O20" s="67">
        <v>0.57377049180327866</v>
      </c>
      <c r="P20" s="67">
        <v>0.40384615384615385</v>
      </c>
      <c r="Q20" s="67">
        <v>0.4178082191780822</v>
      </c>
    </row>
    <row r="21" spans="1:17" x14ac:dyDescent="0.4">
      <c r="A21" s="69">
        <v>18</v>
      </c>
      <c r="B21" s="66">
        <v>1.4210854715202004E-14</v>
      </c>
      <c r="C21" s="66">
        <v>2.631639762074445E-16</v>
      </c>
      <c r="D21" s="71">
        <v>2</v>
      </c>
      <c r="E21" s="67">
        <v>0.33333333333333331</v>
      </c>
      <c r="F21" s="67">
        <v>0.33333333333333331</v>
      </c>
      <c r="G21" s="67">
        <v>0.2982456140350877</v>
      </c>
      <c r="H21" s="67">
        <v>0.17348927875243664</v>
      </c>
      <c r="I21" s="68">
        <v>7864.7058823529414</v>
      </c>
      <c r="J21" s="68">
        <v>-7793.2584269662921</v>
      </c>
      <c r="K21" s="67">
        <v>7.407407407407407E-2</v>
      </c>
      <c r="L21" s="67">
        <v>7.407407407407407E-2</v>
      </c>
      <c r="M21" s="67">
        <v>0.24951267056530213</v>
      </c>
      <c r="N21" s="67">
        <v>0.21442495126705652</v>
      </c>
      <c r="O21" s="67">
        <v>0.5703125</v>
      </c>
      <c r="P21" s="67">
        <v>0.40909090909090912</v>
      </c>
      <c r="Q21" s="67">
        <v>0.41830065359477125</v>
      </c>
    </row>
    <row r="22" spans="1:17" x14ac:dyDescent="0.4">
      <c r="A22" s="69">
        <v>19</v>
      </c>
      <c r="B22" s="66">
        <v>1.4210854715202004E-14</v>
      </c>
      <c r="C22" s="66">
        <v>2.49313240617579E-16</v>
      </c>
      <c r="D22" s="71">
        <v>2</v>
      </c>
      <c r="E22" s="67">
        <v>0.33333333333333331</v>
      </c>
      <c r="F22" s="67">
        <v>0.33333333333333331</v>
      </c>
      <c r="G22" s="67">
        <v>0.3</v>
      </c>
      <c r="H22" s="67">
        <v>0.17222222222222222</v>
      </c>
      <c r="I22" s="68">
        <v>7929.0123456790125</v>
      </c>
      <c r="J22" s="68">
        <v>-7923.6559139784949</v>
      </c>
      <c r="K22" s="67">
        <v>7.0175438596491224E-2</v>
      </c>
      <c r="L22" s="67">
        <v>7.0175438596491224E-2</v>
      </c>
      <c r="M22" s="67">
        <v>0.24629629629629629</v>
      </c>
      <c r="N22" s="67">
        <v>0.21666666666666667</v>
      </c>
      <c r="O22" s="67">
        <v>0.56390977443609025</v>
      </c>
      <c r="P22" s="67">
        <v>0.42735042735042733</v>
      </c>
      <c r="Q22" s="67">
        <v>0.42592592592592593</v>
      </c>
    </row>
    <row r="23" spans="1:17" x14ac:dyDescent="0.4">
      <c r="A23" s="69">
        <v>20</v>
      </c>
      <c r="B23" s="66">
        <v>1.4210854715202004E-14</v>
      </c>
      <c r="C23" s="66">
        <v>2.3684757858670006E-16</v>
      </c>
      <c r="D23" s="71">
        <v>2</v>
      </c>
      <c r="E23" s="67">
        <v>0.33333333333333331</v>
      </c>
      <c r="F23" s="67">
        <v>0.33333333333333331</v>
      </c>
      <c r="G23" s="67">
        <v>0.30017452006980805</v>
      </c>
      <c r="H23" s="67">
        <v>0.17801047120418848</v>
      </c>
      <c r="I23" s="68">
        <v>7907.5581395348836</v>
      </c>
      <c r="J23" s="68">
        <v>-7890.1960784313724</v>
      </c>
      <c r="K23" s="67">
        <v>6.6666666666666666E-2</v>
      </c>
      <c r="L23" s="67">
        <v>6.6666666666666666E-2</v>
      </c>
      <c r="M23" s="67">
        <v>0.24083769633507854</v>
      </c>
      <c r="N23" s="67">
        <v>0.21291448516579406</v>
      </c>
      <c r="O23" s="67">
        <v>0.55797101449275366</v>
      </c>
      <c r="P23" s="67">
        <v>0.44262295081967212</v>
      </c>
      <c r="Q23" s="67">
        <v>0.40697674418604651</v>
      </c>
    </row>
    <row r="24" spans="1:17" x14ac:dyDescent="0.4">
      <c r="A24" s="69">
        <v>21</v>
      </c>
      <c r="B24" s="66">
        <v>9.7699626167013776E-15</v>
      </c>
      <c r="C24" s="66">
        <v>1.5507877169367265E-16</v>
      </c>
      <c r="D24" s="71">
        <v>2</v>
      </c>
      <c r="E24" s="67">
        <v>0.33333333333333331</v>
      </c>
      <c r="F24" s="67">
        <v>0.33333333333333331</v>
      </c>
      <c r="G24" s="67">
        <v>0.30256410256410254</v>
      </c>
      <c r="H24" s="67">
        <v>0.17948717948717949</v>
      </c>
      <c r="I24" s="68">
        <v>7995.4802259887001</v>
      </c>
      <c r="J24" s="68">
        <v>-8018.0952380952385</v>
      </c>
      <c r="K24" s="67">
        <v>7.9365079365079361E-2</v>
      </c>
      <c r="L24" s="67">
        <v>7.9365079365079361E-2</v>
      </c>
      <c r="M24" s="67">
        <v>0.23931623931623933</v>
      </c>
      <c r="N24" s="67">
        <v>0.2153846153846154</v>
      </c>
      <c r="O24" s="67">
        <v>0.55714285714285716</v>
      </c>
      <c r="P24" s="67">
        <v>0.46031746031746029</v>
      </c>
      <c r="Q24" s="67">
        <v>0.40112994350282488</v>
      </c>
    </row>
    <row r="25" spans="1:17" x14ac:dyDescent="0.4">
      <c r="A25" s="69">
        <v>22</v>
      </c>
      <c r="B25" s="66">
        <v>7.1054273576010019E-15</v>
      </c>
      <c r="C25" s="66">
        <v>1.0765799026668185E-16</v>
      </c>
      <c r="D25" s="71">
        <v>2</v>
      </c>
      <c r="E25" s="67">
        <v>0.33333333333333331</v>
      </c>
      <c r="F25" s="67">
        <v>0.33333333333333331</v>
      </c>
      <c r="G25" s="67">
        <v>0.30406504065040652</v>
      </c>
      <c r="H25" s="67">
        <v>0.1821138211382114</v>
      </c>
      <c r="I25" s="68">
        <v>7971.6577540106955</v>
      </c>
      <c r="J25" s="68">
        <v>-7941.0714285714284</v>
      </c>
      <c r="K25" s="67">
        <v>9.0909090909090912E-2</v>
      </c>
      <c r="L25" s="67">
        <v>9.0909090909090912E-2</v>
      </c>
      <c r="M25" s="67">
        <v>0.24390243902439024</v>
      </c>
      <c r="N25" s="67">
        <v>0.216260162601626</v>
      </c>
      <c r="O25" s="67">
        <v>0.57333333333333336</v>
      </c>
      <c r="P25" s="67">
        <v>0.45112781954887216</v>
      </c>
      <c r="Q25" s="67">
        <v>0.39572192513368987</v>
      </c>
    </row>
    <row r="26" spans="1:17" x14ac:dyDescent="0.4">
      <c r="A26" s="69">
        <v>23</v>
      </c>
      <c r="B26" s="66">
        <v>3.5527136788005009E-15</v>
      </c>
      <c r="C26" s="66">
        <v>5.1488604040586971E-17</v>
      </c>
      <c r="D26" s="71">
        <v>2</v>
      </c>
      <c r="E26" s="67">
        <v>0.33333333333333331</v>
      </c>
      <c r="F26" s="67">
        <v>0.33333333333333331</v>
      </c>
      <c r="G26" s="67">
        <v>0.30373831775700932</v>
      </c>
      <c r="H26" s="67">
        <v>0.18380062305295949</v>
      </c>
      <c r="I26" s="68">
        <v>8074.3589743589746</v>
      </c>
      <c r="J26" s="68">
        <v>-8050.8474576271183</v>
      </c>
      <c r="K26" s="67">
        <v>0.10144927536231885</v>
      </c>
      <c r="L26" s="67">
        <v>0.10144927536231885</v>
      </c>
      <c r="M26" s="67">
        <v>0.24454828660436137</v>
      </c>
      <c r="N26" s="67">
        <v>0.22118380062305296</v>
      </c>
      <c r="O26" s="67">
        <v>0.57324840764331209</v>
      </c>
      <c r="P26" s="67">
        <v>0.44366197183098594</v>
      </c>
      <c r="Q26" s="67">
        <v>0.38974358974358975</v>
      </c>
    </row>
    <row r="27" spans="1:17" x14ac:dyDescent="0.4">
      <c r="A27" s="69">
        <v>24</v>
      </c>
      <c r="B27" s="66">
        <v>3.5527136788005009E-15</v>
      </c>
      <c r="C27" s="66">
        <v>4.9343245538895844E-17</v>
      </c>
      <c r="D27" s="71">
        <v>2</v>
      </c>
      <c r="E27" s="67">
        <v>0.33333333333333331</v>
      </c>
      <c r="F27" s="67">
        <v>0.33333333333333331</v>
      </c>
      <c r="G27" s="67">
        <v>0.3046757164404223</v>
      </c>
      <c r="H27" s="67">
        <v>0.18099547511312217</v>
      </c>
      <c r="I27" s="68">
        <v>8074.7524752475247</v>
      </c>
      <c r="J27" s="68">
        <v>-8031.666666666667</v>
      </c>
      <c r="K27" s="67">
        <v>9.7222222222222224E-2</v>
      </c>
      <c r="L27" s="67">
        <v>9.7222222222222224E-2</v>
      </c>
      <c r="M27" s="67">
        <v>0.2458521870286576</v>
      </c>
      <c r="N27" s="67">
        <v>0.22021116138763197</v>
      </c>
      <c r="O27" s="67">
        <v>0.57668711656441718</v>
      </c>
      <c r="P27" s="67">
        <v>0.4452054794520548</v>
      </c>
      <c r="Q27" s="67">
        <v>0.40099009900990101</v>
      </c>
    </row>
    <row r="28" spans="1:17" x14ac:dyDescent="0.4">
      <c r="A28" s="69">
        <v>25</v>
      </c>
      <c r="B28" s="66">
        <v>0</v>
      </c>
      <c r="C28" s="66">
        <v>0</v>
      </c>
      <c r="D28" s="71">
        <v>2</v>
      </c>
      <c r="E28" s="67">
        <v>0.33333333333333331</v>
      </c>
      <c r="F28" s="67">
        <v>0.33333333333333331</v>
      </c>
      <c r="G28" s="67">
        <v>0.30158730158730157</v>
      </c>
      <c r="H28" s="67">
        <v>0.18037518037518038</v>
      </c>
      <c r="I28" s="68">
        <v>8120.0956937799047</v>
      </c>
      <c r="J28" s="68">
        <v>-8078.4</v>
      </c>
      <c r="K28" s="67">
        <v>0.10666666666666667</v>
      </c>
      <c r="L28" s="67">
        <v>0.10666666666666667</v>
      </c>
      <c r="M28" s="67">
        <v>0.24963924963924963</v>
      </c>
      <c r="N28" s="67">
        <v>0.22366522366522368</v>
      </c>
      <c r="O28" s="67">
        <v>0.5722543352601156</v>
      </c>
      <c r="P28" s="67">
        <v>0.43225806451612903</v>
      </c>
      <c r="Q28" s="67">
        <v>0.39712918660287083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0.3009845288326301</v>
      </c>
      <c r="H29" s="67">
        <v>0.18002812939521801</v>
      </c>
      <c r="I29" s="68">
        <v>8330.3738317757015</v>
      </c>
      <c r="J29" s="68">
        <v>-8120.3125</v>
      </c>
      <c r="K29" s="67">
        <v>0.11538461538461539</v>
      </c>
      <c r="L29" s="67">
        <v>0.11538461538461539</v>
      </c>
      <c r="M29" s="67">
        <v>0.24894514767932491</v>
      </c>
      <c r="N29" s="67">
        <v>0.22362869198312235</v>
      </c>
      <c r="O29" s="67">
        <v>0.57627118644067798</v>
      </c>
      <c r="P29" s="67">
        <v>0.42767295597484278</v>
      </c>
      <c r="Q29" s="67">
        <v>0.39719626168224298</v>
      </c>
    </row>
    <row r="30" spans="1:17" x14ac:dyDescent="0.4">
      <c r="A30" s="69">
        <v>27</v>
      </c>
      <c r="B30" s="66">
        <v>0</v>
      </c>
      <c r="C30" s="66">
        <v>0</v>
      </c>
      <c r="D30" s="71">
        <v>2</v>
      </c>
      <c r="E30" s="67">
        <v>0.33333333333333331</v>
      </c>
      <c r="F30" s="67">
        <v>0.33333333333333331</v>
      </c>
      <c r="G30" s="67">
        <v>0.29973118279569894</v>
      </c>
      <c r="H30" s="67">
        <v>0.17876344086021506</v>
      </c>
      <c r="I30" s="68">
        <v>8387.4439461883412</v>
      </c>
      <c r="J30" s="68">
        <v>-8143.6090225563912</v>
      </c>
      <c r="K30" s="67">
        <v>0.12345679012345678</v>
      </c>
      <c r="L30" s="67">
        <v>0.12345679012345678</v>
      </c>
      <c r="M30" s="67">
        <v>0.24596774193548387</v>
      </c>
      <c r="N30" s="67">
        <v>0.22849462365591397</v>
      </c>
      <c r="O30" s="67">
        <v>0.57377049180327866</v>
      </c>
      <c r="P30" s="67">
        <v>0.41764705882352943</v>
      </c>
      <c r="Q30" s="67">
        <v>0.3991031390134529</v>
      </c>
    </row>
    <row r="31" spans="1:17" x14ac:dyDescent="0.4">
      <c r="A31" s="69">
        <v>28</v>
      </c>
      <c r="B31" s="66">
        <v>-4.2188474935755949E-15</v>
      </c>
      <c r="C31" s="66">
        <v>-5.0224374923518987E-17</v>
      </c>
      <c r="D31" s="71">
        <v>2</v>
      </c>
      <c r="E31" s="67">
        <v>0.33333333333333331</v>
      </c>
      <c r="F31" s="67">
        <v>0.33333333333333331</v>
      </c>
      <c r="G31" s="67">
        <v>0.29961089494163423</v>
      </c>
      <c r="H31" s="67">
        <v>0.18028534370946822</v>
      </c>
      <c r="I31" s="68">
        <v>8304.3290043290035</v>
      </c>
      <c r="J31" s="68">
        <v>-8043.1654676258995</v>
      </c>
      <c r="K31" s="67">
        <v>0.11904761904761904</v>
      </c>
      <c r="L31" s="67">
        <v>0.11904761904761904</v>
      </c>
      <c r="M31" s="67">
        <v>0.24254215304798962</v>
      </c>
      <c r="N31" s="67">
        <v>0.22957198443579765</v>
      </c>
      <c r="O31" s="67">
        <v>0.58288770053475936</v>
      </c>
      <c r="P31" s="67">
        <v>0.42372881355932202</v>
      </c>
      <c r="Q31" s="67">
        <v>0.39393939393939392</v>
      </c>
    </row>
    <row r="32" spans="1:17" x14ac:dyDescent="0.4">
      <c r="A32" s="69">
        <v>29</v>
      </c>
      <c r="B32" s="66">
        <v>-7.1054273576010019E-15</v>
      </c>
      <c r="C32" s="66">
        <v>-8.167157882300002E-17</v>
      </c>
      <c r="D32" s="71">
        <v>2</v>
      </c>
      <c r="E32" s="67">
        <v>0.33333333333333331</v>
      </c>
      <c r="F32" s="67">
        <v>0.33333333333333331</v>
      </c>
      <c r="G32" s="67">
        <v>0.29974160206718348</v>
      </c>
      <c r="H32" s="67">
        <v>0.18087855297157623</v>
      </c>
      <c r="I32" s="68">
        <v>8475.4310344827591</v>
      </c>
      <c r="J32" s="68">
        <v>-8328.5714285714294</v>
      </c>
      <c r="K32" s="67">
        <v>0.12643678160919541</v>
      </c>
      <c r="L32" s="67">
        <v>0.12643678160919541</v>
      </c>
      <c r="M32" s="67">
        <v>0.24160206718346253</v>
      </c>
      <c r="N32" s="67">
        <v>0.22868217054263565</v>
      </c>
      <c r="O32" s="67">
        <v>0.58288770053475936</v>
      </c>
      <c r="P32" s="67">
        <v>0.42372881355932202</v>
      </c>
      <c r="Q32" s="67">
        <v>0.39224137931034481</v>
      </c>
    </row>
    <row r="33" spans="1:17" x14ac:dyDescent="0.4">
      <c r="A33" s="69">
        <v>30</v>
      </c>
      <c r="B33" s="66">
        <v>-7.1054273576010019E-15</v>
      </c>
      <c r="C33" s="66">
        <v>-7.8949192862233357E-17</v>
      </c>
      <c r="D33" s="71">
        <v>2</v>
      </c>
      <c r="E33" s="67">
        <v>0.33333333333333331</v>
      </c>
      <c r="F33" s="67">
        <v>0.33333333333333331</v>
      </c>
      <c r="G33" s="67">
        <v>0.30062893081761005</v>
      </c>
      <c r="H33" s="67">
        <v>0.17861635220125785</v>
      </c>
      <c r="I33" s="68">
        <v>8590.7949790794974</v>
      </c>
      <c r="J33" s="68">
        <v>-8245.7746478873232</v>
      </c>
      <c r="K33" s="67">
        <v>0.12222222222222222</v>
      </c>
      <c r="L33" s="67">
        <v>0.12222222222222222</v>
      </c>
      <c r="M33" s="67">
        <v>0.24150943396226415</v>
      </c>
      <c r="N33" s="67">
        <v>0.23522012578616353</v>
      </c>
      <c r="O33" s="67">
        <v>0.58333333333333337</v>
      </c>
      <c r="P33" s="67">
        <v>0.42245989304812837</v>
      </c>
      <c r="Q33" s="67">
        <v>0.40167364016736401</v>
      </c>
    </row>
    <row r="34" spans="1:17" x14ac:dyDescent="0.4">
      <c r="A34" s="69">
        <v>31</v>
      </c>
      <c r="B34" s="66">
        <v>-5.3290705182007514E-15</v>
      </c>
      <c r="C34" s="66">
        <v>-5.7301833529040336E-17</v>
      </c>
      <c r="D34" s="71">
        <v>2</v>
      </c>
      <c r="E34" s="67">
        <v>0.33333333333333331</v>
      </c>
      <c r="F34" s="67">
        <v>0.33333333333333331</v>
      </c>
      <c r="G34" s="67">
        <v>0.30036630036630035</v>
      </c>
      <c r="H34" s="67">
        <v>0.1807081807081807</v>
      </c>
      <c r="I34" s="68">
        <v>8523.9837398373984</v>
      </c>
      <c r="J34" s="68">
        <v>-8125.6756756756758</v>
      </c>
      <c r="K34" s="67">
        <v>0.11827956989247312</v>
      </c>
      <c r="L34" s="67">
        <v>0.11827956989247312</v>
      </c>
      <c r="M34" s="67">
        <v>0.23931623931623933</v>
      </c>
      <c r="N34" s="67">
        <v>0.23809523809523808</v>
      </c>
      <c r="O34" s="67">
        <v>0.58673469387755106</v>
      </c>
      <c r="P34" s="67">
        <v>0.41025641025641024</v>
      </c>
      <c r="Q34" s="67">
        <v>0.39430894308943087</v>
      </c>
    </row>
    <row r="35" spans="1:17" x14ac:dyDescent="0.4">
      <c r="A35" s="69">
        <v>32</v>
      </c>
      <c r="B35" s="66">
        <v>-1.0658141036401503E-14</v>
      </c>
      <c r="C35" s="66">
        <v>-1.1102230246251565E-16</v>
      </c>
      <c r="D35" s="71">
        <v>2</v>
      </c>
      <c r="E35" s="67">
        <v>0.33333333333333331</v>
      </c>
      <c r="F35" s="67">
        <v>0.33333333333333331</v>
      </c>
      <c r="G35" s="67">
        <v>0.3</v>
      </c>
      <c r="H35" s="67">
        <v>0.17976190476190476</v>
      </c>
      <c r="I35" s="68">
        <v>8498.4126984126979</v>
      </c>
      <c r="J35" s="68">
        <v>-8074.8344370860923</v>
      </c>
      <c r="K35" s="67">
        <v>0.11458333333333333</v>
      </c>
      <c r="L35" s="67">
        <v>0.11458333333333333</v>
      </c>
      <c r="M35" s="67">
        <v>0.2369047619047619</v>
      </c>
      <c r="N35" s="67">
        <v>0.24166666666666667</v>
      </c>
      <c r="O35" s="67">
        <v>0.59296482412060303</v>
      </c>
      <c r="P35" s="67">
        <v>0.4039408866995074</v>
      </c>
      <c r="Q35" s="67">
        <v>0.3968253968253968</v>
      </c>
    </row>
    <row r="36" spans="1:17" x14ac:dyDescent="0.4">
      <c r="A36" s="69">
        <v>33</v>
      </c>
      <c r="B36" s="66">
        <v>-1.0658141036401503E-14</v>
      </c>
      <c r="C36" s="66">
        <v>-1.0765799026668185E-16</v>
      </c>
      <c r="D36" s="71">
        <v>2</v>
      </c>
      <c r="E36" s="67">
        <v>0.33333333333333331</v>
      </c>
      <c r="F36" s="67">
        <v>0.33333333333333331</v>
      </c>
      <c r="G36" s="67">
        <v>0.29896907216494845</v>
      </c>
      <c r="H36" s="67">
        <v>0.17869415807560138</v>
      </c>
      <c r="I36" s="68">
        <v>8541.3793103448279</v>
      </c>
      <c r="J36" s="68">
        <v>-8096.1538461538457</v>
      </c>
      <c r="K36" s="67">
        <v>0.12121212121212122</v>
      </c>
      <c r="L36" s="67">
        <v>0.12121212121212122</v>
      </c>
      <c r="M36" s="67">
        <v>0.23482245131729668</v>
      </c>
      <c r="N36" s="67">
        <v>0.24513172966781213</v>
      </c>
      <c r="O36" s="67">
        <v>0.59024390243902436</v>
      </c>
      <c r="P36" s="67">
        <v>0.39719626168224298</v>
      </c>
      <c r="Q36" s="67">
        <v>0.39846743295019155</v>
      </c>
    </row>
    <row r="37" spans="1:17" x14ac:dyDescent="0.4">
      <c r="A37" s="69">
        <v>34</v>
      </c>
      <c r="B37" s="66">
        <v>-1.4210854715202004E-14</v>
      </c>
      <c r="C37" s="66">
        <v>-1.3932210505100003E-16</v>
      </c>
      <c r="D37" s="71">
        <v>2</v>
      </c>
      <c r="E37" s="67">
        <v>0.33333333333333331</v>
      </c>
      <c r="F37" s="67">
        <v>0.33333333333333331</v>
      </c>
      <c r="G37" s="67">
        <v>0.2969094922737307</v>
      </c>
      <c r="H37" s="67">
        <v>0.17880794701986755</v>
      </c>
      <c r="I37" s="68">
        <v>8488.1040892193305</v>
      </c>
      <c r="J37" s="68">
        <v>-8043.2098765432102</v>
      </c>
      <c r="K37" s="67">
        <v>0.12745098039215685</v>
      </c>
      <c r="L37" s="67">
        <v>0.12745098039215685</v>
      </c>
      <c r="M37" s="67">
        <v>0.23509933774834438</v>
      </c>
      <c r="N37" s="67">
        <v>0.24613686534216336</v>
      </c>
      <c r="O37" s="67">
        <v>0.58685446009389675</v>
      </c>
      <c r="P37" s="67">
        <v>0.39013452914798208</v>
      </c>
      <c r="Q37" s="67">
        <v>0.39405204460966542</v>
      </c>
    </row>
    <row r="38" spans="1:17" x14ac:dyDescent="0.4">
      <c r="A38" s="69">
        <v>35</v>
      </c>
      <c r="B38" s="66">
        <v>-1.4210854715202004E-14</v>
      </c>
      <c r="C38" s="66">
        <v>-1.3534147347811433E-16</v>
      </c>
      <c r="D38" s="71">
        <v>2</v>
      </c>
      <c r="E38" s="67">
        <v>0.33333333333333331</v>
      </c>
      <c r="F38" s="67">
        <v>0.33333333333333331</v>
      </c>
      <c r="G38" s="67">
        <v>0.2978494623655914</v>
      </c>
      <c r="H38" s="67">
        <v>0.17956989247311828</v>
      </c>
      <c r="I38" s="68">
        <v>8472.9241877256318</v>
      </c>
      <c r="J38" s="68">
        <v>-8056.8862275449101</v>
      </c>
      <c r="K38" s="67">
        <v>0.13333333333333333</v>
      </c>
      <c r="L38" s="67">
        <v>0.13333333333333333</v>
      </c>
      <c r="M38" s="67">
        <v>0.23978494623655913</v>
      </c>
      <c r="N38" s="67">
        <v>0.24408602150537634</v>
      </c>
      <c r="O38" s="67">
        <v>0.57847533632286996</v>
      </c>
      <c r="P38" s="67">
        <v>0.3964757709251101</v>
      </c>
      <c r="Q38" s="67">
        <v>0.39350180505415161</v>
      </c>
    </row>
    <row r="39" spans="1:17" x14ac:dyDescent="0.4">
      <c r="A39" s="69">
        <v>36</v>
      </c>
      <c r="B39" s="66">
        <v>-2.1316282072803006E-14</v>
      </c>
      <c r="C39" s="66">
        <v>-1.9737298215558337E-16</v>
      </c>
      <c r="D39" s="71">
        <v>2</v>
      </c>
      <c r="E39" s="67">
        <v>0.33333333333333331</v>
      </c>
      <c r="F39" s="67">
        <v>0.33333333333333331</v>
      </c>
      <c r="G39" s="67">
        <v>0.29746835443037972</v>
      </c>
      <c r="H39" s="67">
        <v>0.17721518987341772</v>
      </c>
      <c r="I39" s="68">
        <v>8512.056737588653</v>
      </c>
      <c r="J39" s="68">
        <v>-8043.4523809523807</v>
      </c>
      <c r="K39" s="67">
        <v>0.1388888888888889</v>
      </c>
      <c r="L39" s="67">
        <v>0.1388888888888889</v>
      </c>
      <c r="M39" s="67">
        <v>0.24261603375527427</v>
      </c>
      <c r="N39" s="67">
        <v>0.24261603375527427</v>
      </c>
      <c r="O39" s="67">
        <v>0.57391304347826089</v>
      </c>
      <c r="P39" s="67">
        <v>0.39565217391304347</v>
      </c>
      <c r="Q39" s="67">
        <v>0.40070921985815605</v>
      </c>
    </row>
    <row r="40" spans="1:17" x14ac:dyDescent="0.4">
      <c r="A40" s="69">
        <v>37</v>
      </c>
      <c r="B40" s="66">
        <v>-2.1316282072803006E-14</v>
      </c>
      <c r="C40" s="66">
        <v>-1.9203857723245952E-16</v>
      </c>
      <c r="D40" s="71">
        <v>2</v>
      </c>
      <c r="E40" s="67">
        <v>0.33333333333333331</v>
      </c>
      <c r="F40" s="67">
        <v>0.33333333333333331</v>
      </c>
      <c r="G40" s="67">
        <v>0.29846153846153844</v>
      </c>
      <c r="H40" s="67">
        <v>0.17948717948717949</v>
      </c>
      <c r="I40" s="68">
        <v>8552.9209621993123</v>
      </c>
      <c r="J40" s="68">
        <v>-8058.2857142857147</v>
      </c>
      <c r="K40" s="67">
        <v>0.13513513513513514</v>
      </c>
      <c r="L40" s="67">
        <v>0.13513513513513514</v>
      </c>
      <c r="M40" s="67">
        <v>0.24</v>
      </c>
      <c r="N40" s="67">
        <v>0.24923076923076923</v>
      </c>
      <c r="O40" s="67">
        <v>0.57264957264957261</v>
      </c>
      <c r="P40" s="67">
        <v>0.40329218106995884</v>
      </c>
      <c r="Q40" s="67">
        <v>0.3951890034364261</v>
      </c>
    </row>
    <row r="41" spans="1:17" x14ac:dyDescent="0.4">
      <c r="A41" s="69">
        <v>38</v>
      </c>
      <c r="B41" s="66">
        <v>-2.4868995751603507E-14</v>
      </c>
      <c r="C41" s="66">
        <v>-2.1814908554038162E-16</v>
      </c>
      <c r="D41" s="71">
        <v>2</v>
      </c>
      <c r="E41" s="67">
        <v>0.33333333333333331</v>
      </c>
      <c r="F41" s="67">
        <v>0.33333333333333331</v>
      </c>
      <c r="G41" s="67">
        <v>0.2986111111111111</v>
      </c>
      <c r="H41" s="67">
        <v>0.17956349206349206</v>
      </c>
      <c r="I41" s="68">
        <v>8575.4152823920267</v>
      </c>
      <c r="J41" s="68">
        <v>-8149.7237569060771</v>
      </c>
      <c r="K41" s="67">
        <v>0.13157894736842105</v>
      </c>
      <c r="L41" s="67">
        <v>0.13157894736842105</v>
      </c>
      <c r="M41" s="67">
        <v>0.24107142857142858</v>
      </c>
      <c r="N41" s="67">
        <v>0.25</v>
      </c>
      <c r="O41" s="67">
        <v>0.5761316872427984</v>
      </c>
      <c r="P41" s="67">
        <v>0.40476190476190477</v>
      </c>
      <c r="Q41" s="67">
        <v>0.39534883720930231</v>
      </c>
    </row>
    <row r="42" spans="1:17" x14ac:dyDescent="0.4">
      <c r="A42" s="69">
        <v>39</v>
      </c>
      <c r="B42" s="66">
        <v>-2.8421709430404007E-14</v>
      </c>
      <c r="C42" s="66">
        <v>-2.429205934222565E-16</v>
      </c>
      <c r="D42" s="71">
        <v>2</v>
      </c>
      <c r="E42" s="67">
        <v>0.33333333333333331</v>
      </c>
      <c r="F42" s="67">
        <v>0.33333333333333331</v>
      </c>
      <c r="G42" s="67">
        <v>0.29814271749755622</v>
      </c>
      <c r="H42" s="67">
        <v>0.17888563049853373</v>
      </c>
      <c r="I42" s="68">
        <v>8636.065573770491</v>
      </c>
      <c r="J42" s="68">
        <v>-8185.2459016393441</v>
      </c>
      <c r="K42" s="67">
        <v>0.13675213675213677</v>
      </c>
      <c r="L42" s="67">
        <v>0.13675213675213677</v>
      </c>
      <c r="M42" s="67">
        <v>0.2404692082111437</v>
      </c>
      <c r="N42" s="67">
        <v>0.24828934506353861</v>
      </c>
      <c r="O42" s="67">
        <v>0.56910569105691056</v>
      </c>
      <c r="P42" s="67">
        <v>0.40944881889763779</v>
      </c>
      <c r="Q42" s="67">
        <v>0.39672131147540984</v>
      </c>
    </row>
    <row r="43" spans="1:17" x14ac:dyDescent="0.4">
      <c r="A43" s="69">
        <v>40</v>
      </c>
      <c r="B43" s="66">
        <v>-2.6645352591003757E-14</v>
      </c>
      <c r="C43" s="66">
        <v>-2.2204460492503131E-16</v>
      </c>
      <c r="D43" s="71">
        <v>2</v>
      </c>
      <c r="E43" s="67">
        <v>0.33333333333333331</v>
      </c>
      <c r="F43" s="67">
        <v>0.33333333333333331</v>
      </c>
      <c r="G43" s="67">
        <v>0.29556185080264402</v>
      </c>
      <c r="H43" s="67">
        <v>0.17563739376770537</v>
      </c>
      <c r="I43" s="68">
        <v>8574.4408945686901</v>
      </c>
      <c r="J43" s="68">
        <v>-8105.9139784946237</v>
      </c>
      <c r="K43" s="67">
        <v>0.13333333333333333</v>
      </c>
      <c r="L43" s="67">
        <v>0.13333333333333333</v>
      </c>
      <c r="M43" s="67">
        <v>0.24173748819641172</v>
      </c>
      <c r="N43" s="67">
        <v>0.25212464589235128</v>
      </c>
      <c r="O43" s="67">
        <v>0.5625</v>
      </c>
      <c r="P43" s="67">
        <v>0.4044943820224719</v>
      </c>
      <c r="Q43" s="67">
        <v>0.402555910543131</v>
      </c>
    </row>
    <row r="44" spans="1:17" x14ac:dyDescent="0.4">
      <c r="A44" s="69">
        <v>41</v>
      </c>
      <c r="B44" s="66">
        <v>-2.8421709430404007E-14</v>
      </c>
      <c r="C44" s="66">
        <v>-2.3107080837726838E-16</v>
      </c>
      <c r="D44" s="71">
        <v>2</v>
      </c>
      <c r="E44" s="67">
        <v>0.33333333333333331</v>
      </c>
      <c r="F44" s="67">
        <v>0.33333333333333331</v>
      </c>
      <c r="G44" s="67">
        <v>0.29589041095890412</v>
      </c>
      <c r="H44" s="67">
        <v>0.17534246575342466</v>
      </c>
      <c r="I44" s="68">
        <v>8525.617283950618</v>
      </c>
      <c r="J44" s="68">
        <v>-8027.604166666667</v>
      </c>
      <c r="K44" s="67">
        <v>0.13008130081300814</v>
      </c>
      <c r="L44" s="67">
        <v>0.13008130081300814</v>
      </c>
      <c r="M44" s="67">
        <v>0.23652968036529681</v>
      </c>
      <c r="N44" s="67">
        <v>0.25844748858447486</v>
      </c>
      <c r="O44" s="67">
        <v>0.56370656370656369</v>
      </c>
      <c r="P44" s="67">
        <v>0.40282685512367489</v>
      </c>
      <c r="Q44" s="67">
        <v>0.40432098765432101</v>
      </c>
    </row>
    <row r="45" spans="1:17" x14ac:dyDescent="0.4">
      <c r="A45" s="69">
        <v>42</v>
      </c>
      <c r="B45" s="66">
        <v>-2.8421709430404007E-14</v>
      </c>
      <c r="C45" s="66">
        <v>-2.2556912246352386E-16</v>
      </c>
      <c r="D45" s="71">
        <v>2</v>
      </c>
      <c r="E45" s="67">
        <v>0.33333333333333331</v>
      </c>
      <c r="F45" s="67">
        <v>0.33333333333333331</v>
      </c>
      <c r="G45" s="67">
        <v>0.2967914438502674</v>
      </c>
      <c r="H45" s="67">
        <v>0.17468805704099821</v>
      </c>
      <c r="I45" s="68">
        <v>8488.8888888888887</v>
      </c>
      <c r="J45" s="68">
        <v>-7947.9591836734689</v>
      </c>
      <c r="K45" s="67">
        <v>0.12698412698412698</v>
      </c>
      <c r="L45" s="67">
        <v>0.12698412698412698</v>
      </c>
      <c r="M45" s="67">
        <v>0.23618538324420676</v>
      </c>
      <c r="N45" s="67">
        <v>0.25846702317290554</v>
      </c>
      <c r="O45" s="67">
        <v>0.57358490566037734</v>
      </c>
      <c r="P45" s="67">
        <v>0.40344827586206894</v>
      </c>
      <c r="Q45" s="67">
        <v>0.40840840840840842</v>
      </c>
    </row>
    <row r="46" spans="1:17" x14ac:dyDescent="0.4">
      <c r="A46" s="69">
        <v>43</v>
      </c>
      <c r="B46" s="66">
        <v>-2.5757174171303632E-14</v>
      </c>
      <c r="C46" s="66">
        <v>-1.9966801683181111E-16</v>
      </c>
      <c r="D46" s="71">
        <v>2</v>
      </c>
      <c r="E46" s="67">
        <v>0.33333333333333331</v>
      </c>
      <c r="F46" s="67">
        <v>0.33333333333333331</v>
      </c>
      <c r="G46" s="67">
        <v>0.29610389610389609</v>
      </c>
      <c r="H46" s="67">
        <v>0.1748917748917749</v>
      </c>
      <c r="I46" s="68">
        <v>8503.5087719298244</v>
      </c>
      <c r="J46" s="68">
        <v>-7950</v>
      </c>
      <c r="K46" s="67">
        <v>0.12403100775193798</v>
      </c>
      <c r="L46" s="67">
        <v>0.12403100775193798</v>
      </c>
      <c r="M46" s="67">
        <v>0.23463203463203464</v>
      </c>
      <c r="N46" s="67">
        <v>0.25800865800865802</v>
      </c>
      <c r="O46" s="67">
        <v>0.5719557195571956</v>
      </c>
      <c r="P46" s="67">
        <v>0.40268456375838924</v>
      </c>
      <c r="Q46" s="67">
        <v>0.4064327485380117</v>
      </c>
    </row>
    <row r="47" spans="1:17" x14ac:dyDescent="0.4">
      <c r="A47" s="69">
        <v>44</v>
      </c>
      <c r="B47" s="66">
        <v>-2.4868995751603507E-14</v>
      </c>
      <c r="C47" s="66">
        <v>-1.8840148296669324E-16</v>
      </c>
      <c r="D47" s="71">
        <v>2</v>
      </c>
      <c r="E47" s="67">
        <v>0.33333333333333331</v>
      </c>
      <c r="F47" s="67">
        <v>0.33333333333333331</v>
      </c>
      <c r="G47" s="67">
        <v>0.2970464135021097</v>
      </c>
      <c r="H47" s="67">
        <v>0.17468354430379746</v>
      </c>
      <c r="I47" s="68">
        <v>8463.068181818182</v>
      </c>
      <c r="J47" s="68">
        <v>-7928.5024154589373</v>
      </c>
      <c r="K47" s="67">
        <v>0.12121212121212122</v>
      </c>
      <c r="L47" s="67">
        <v>0.12121212121212122</v>
      </c>
      <c r="M47" s="67">
        <v>0.2320675105485232</v>
      </c>
      <c r="N47" s="67">
        <v>0.25907172995780592</v>
      </c>
      <c r="O47" s="67">
        <v>0.57454545454545458</v>
      </c>
      <c r="P47" s="67">
        <v>0.40390879478827363</v>
      </c>
      <c r="Q47" s="67">
        <v>0.40909090909090912</v>
      </c>
    </row>
    <row r="48" spans="1:17" x14ac:dyDescent="0.4">
      <c r="A48" s="69">
        <v>45</v>
      </c>
      <c r="B48" s="66">
        <v>-2.6645352591003757E-14</v>
      </c>
      <c r="C48" s="66">
        <v>-1.9737298215558337E-16</v>
      </c>
      <c r="D48" s="71">
        <v>2</v>
      </c>
      <c r="E48" s="67">
        <v>0.33333333333333331</v>
      </c>
      <c r="F48" s="67">
        <v>0.33333333333333331</v>
      </c>
      <c r="G48" s="67">
        <v>0.29729729729729731</v>
      </c>
      <c r="H48" s="67">
        <v>0.17362817362817362</v>
      </c>
      <c r="I48" s="68">
        <v>8351.7906336088163</v>
      </c>
      <c r="J48" s="68">
        <v>-7823.5849056603774</v>
      </c>
      <c r="K48" s="67">
        <v>0.11851851851851852</v>
      </c>
      <c r="L48" s="67">
        <v>0.11851851851851852</v>
      </c>
      <c r="M48" s="67">
        <v>0.23013923013923013</v>
      </c>
      <c r="N48" s="67">
        <v>0.25716625716625718</v>
      </c>
      <c r="O48" s="67">
        <v>0.57651245551601427</v>
      </c>
      <c r="P48" s="67">
        <v>0.40764331210191085</v>
      </c>
      <c r="Q48" s="67">
        <v>0.41322314049586778</v>
      </c>
    </row>
    <row r="49" spans="1:17" x14ac:dyDescent="0.4">
      <c r="A49" s="69">
        <v>46</v>
      </c>
      <c r="B49" s="66">
        <v>-2.5757174171303632E-14</v>
      </c>
      <c r="C49" s="66">
        <v>-1.8664618964712776E-16</v>
      </c>
      <c r="D49" s="71">
        <v>2</v>
      </c>
      <c r="E49" s="67">
        <v>0.33333333333333331</v>
      </c>
      <c r="F49" s="67">
        <v>0.33333333333333331</v>
      </c>
      <c r="G49" s="67">
        <v>0.29496402877697842</v>
      </c>
      <c r="H49" s="67">
        <v>0.17346123101518784</v>
      </c>
      <c r="I49" s="68">
        <v>8327.1002710027096</v>
      </c>
      <c r="J49" s="68">
        <v>-7822.5806451612907</v>
      </c>
      <c r="K49" s="67">
        <v>0.11594202898550725</v>
      </c>
      <c r="L49" s="67">
        <v>0.11594202898550725</v>
      </c>
      <c r="M49" s="67">
        <v>0.23341326938449242</v>
      </c>
      <c r="N49" s="67">
        <v>0.25659472422062352</v>
      </c>
      <c r="O49" s="67">
        <v>0.56849315068493156</v>
      </c>
      <c r="P49" s="67">
        <v>0.40186915887850466</v>
      </c>
      <c r="Q49" s="67">
        <v>0.40921409214092141</v>
      </c>
    </row>
    <row r="50" spans="1:17" x14ac:dyDescent="0.4">
      <c r="A50" s="69">
        <v>47</v>
      </c>
      <c r="B50" s="66">
        <v>-2.3980817331903381E-14</v>
      </c>
      <c r="C50" s="66">
        <v>-1.7007671866598143E-16</v>
      </c>
      <c r="D50" s="71">
        <v>2</v>
      </c>
      <c r="E50" s="67">
        <v>0.33333333333333331</v>
      </c>
      <c r="F50" s="67">
        <v>0.33333333333333331</v>
      </c>
      <c r="G50" s="67">
        <v>0.29411764705882354</v>
      </c>
      <c r="H50" s="67">
        <v>0.17254901960784313</v>
      </c>
      <c r="I50" s="68">
        <v>8288.5333333333328</v>
      </c>
      <c r="J50" s="68">
        <v>-7786.363636363636</v>
      </c>
      <c r="K50" s="67">
        <v>0.11347517730496454</v>
      </c>
      <c r="L50" s="67">
        <v>0.11347517730496454</v>
      </c>
      <c r="M50" s="67">
        <v>0.23372549019607844</v>
      </c>
      <c r="N50" s="67">
        <v>0.25803921568627453</v>
      </c>
      <c r="O50" s="67">
        <v>0.56711409395973156</v>
      </c>
      <c r="P50" s="67">
        <v>0.40121580547112462</v>
      </c>
      <c r="Q50" s="67">
        <v>0.41066666666666668</v>
      </c>
    </row>
    <row r="51" spans="1:17" x14ac:dyDescent="0.4">
      <c r="A51" s="69">
        <v>48</v>
      </c>
      <c r="B51" s="66">
        <v>-2.1316282072803006E-14</v>
      </c>
      <c r="C51" s="66">
        <v>-1.4802973661668753E-16</v>
      </c>
      <c r="D51" s="71">
        <v>2</v>
      </c>
      <c r="E51" s="67">
        <v>0.33333333333333331</v>
      </c>
      <c r="F51" s="67">
        <v>0.33333333333333331</v>
      </c>
      <c r="G51" s="67">
        <v>0.29484218629715164</v>
      </c>
      <c r="H51" s="67">
        <v>0.17321016166281755</v>
      </c>
      <c r="I51" s="68">
        <v>8333.4203655352485</v>
      </c>
      <c r="J51" s="68">
        <v>-7788.8888888888887</v>
      </c>
      <c r="K51" s="67">
        <v>0.11805555555555555</v>
      </c>
      <c r="L51" s="67">
        <v>0.11805555555555555</v>
      </c>
      <c r="M51" s="67">
        <v>0.23556581986143188</v>
      </c>
      <c r="N51" s="67">
        <v>0.25789068514241725</v>
      </c>
      <c r="O51" s="67">
        <v>0.55882352941176472</v>
      </c>
      <c r="P51" s="67">
        <v>0.40895522388059702</v>
      </c>
      <c r="Q51" s="67">
        <v>0.40992167101827676</v>
      </c>
    </row>
    <row r="52" spans="1:17" x14ac:dyDescent="0.4">
      <c r="A52" s="69">
        <v>49</v>
      </c>
      <c r="B52" s="66">
        <v>-2.1316282072803006E-14</v>
      </c>
      <c r="C52" s="66">
        <v>-1.450087215836939E-16</v>
      </c>
      <c r="D52" s="71">
        <v>2</v>
      </c>
      <c r="E52" s="67">
        <v>0.33333333333333331</v>
      </c>
      <c r="F52" s="67">
        <v>0.33333333333333331</v>
      </c>
      <c r="G52" s="67">
        <v>0.29460895975702356</v>
      </c>
      <c r="H52" s="67">
        <v>0.17312072892938496</v>
      </c>
      <c r="I52" s="68">
        <v>8398.9690721649476</v>
      </c>
      <c r="J52" s="68">
        <v>-7939.4736842105267</v>
      </c>
      <c r="K52" s="67">
        <v>0.12244897959183673</v>
      </c>
      <c r="L52" s="67">
        <v>0.12244897959183673</v>
      </c>
      <c r="M52" s="67">
        <v>0.23690205011389523</v>
      </c>
      <c r="N52" s="67">
        <v>0.25664388762338647</v>
      </c>
      <c r="O52" s="67">
        <v>0.55128205128205132</v>
      </c>
      <c r="P52" s="67">
        <v>0.41420118343195267</v>
      </c>
      <c r="Q52" s="67">
        <v>0.40979381443298968</v>
      </c>
    </row>
    <row r="53" spans="1:17" x14ac:dyDescent="0.4">
      <c r="A53" s="69">
        <v>50</v>
      </c>
      <c r="B53" s="66">
        <v>-2.1316282072803006E-14</v>
      </c>
      <c r="C53" s="66">
        <v>-1.4210854715202004E-16</v>
      </c>
      <c r="D53" s="71">
        <v>2</v>
      </c>
      <c r="E53" s="67">
        <v>0.33333333333333331</v>
      </c>
      <c r="F53" s="67">
        <v>0.33333333333333331</v>
      </c>
      <c r="G53" s="67">
        <v>0.29315476190476192</v>
      </c>
      <c r="H53" s="67">
        <v>0.17261904761904762</v>
      </c>
      <c r="I53" s="68">
        <v>8369.5431472081218</v>
      </c>
      <c r="J53" s="68">
        <v>-7939.6551724137935</v>
      </c>
      <c r="K53" s="67">
        <v>0.12</v>
      </c>
      <c r="L53" s="67">
        <v>0.12</v>
      </c>
      <c r="M53" s="67">
        <v>0.23586309523809523</v>
      </c>
      <c r="N53" s="67">
        <v>0.25744047619047616</v>
      </c>
      <c r="O53" s="67">
        <v>0.5457413249211357</v>
      </c>
      <c r="P53" s="67">
        <v>0.41618497109826591</v>
      </c>
      <c r="Q53" s="67">
        <v>0.40862944162436549</v>
      </c>
    </row>
    <row r="54" spans="1:17" x14ac:dyDescent="0.4">
      <c r="A54" s="69">
        <v>51</v>
      </c>
      <c r="B54" s="66">
        <v>-2.8421709430404007E-14</v>
      </c>
      <c r="C54" s="66">
        <v>-1.8576280673466672E-16</v>
      </c>
      <c r="D54" s="71">
        <v>2</v>
      </c>
      <c r="E54" s="67">
        <v>0.33333333333333331</v>
      </c>
      <c r="F54" s="67">
        <v>0.33333333333333331</v>
      </c>
      <c r="G54" s="67">
        <v>0.29304029304029305</v>
      </c>
      <c r="H54" s="67">
        <v>0.17216117216117216</v>
      </c>
      <c r="I54" s="68">
        <v>8396</v>
      </c>
      <c r="J54" s="68">
        <v>-8017.0212765957449</v>
      </c>
      <c r="K54" s="67">
        <v>0.12418300653594772</v>
      </c>
      <c r="L54" s="67">
        <v>0.12418300653594772</v>
      </c>
      <c r="M54" s="67">
        <v>0.23663003663003662</v>
      </c>
      <c r="N54" s="67">
        <v>0.25567765567765566</v>
      </c>
      <c r="O54" s="67">
        <v>0.54489164086687303</v>
      </c>
      <c r="P54" s="67">
        <v>0.41833810888252149</v>
      </c>
      <c r="Q54" s="67">
        <v>0.41</v>
      </c>
    </row>
    <row r="55" spans="1:17" x14ac:dyDescent="0.4">
      <c r="A55" s="69">
        <v>52</v>
      </c>
      <c r="B55" s="66">
        <v>-2.9309887850104133E-14</v>
      </c>
      <c r="C55" s="66">
        <v>-1.8788389647502649E-16</v>
      </c>
      <c r="D55" s="71">
        <v>2</v>
      </c>
      <c r="E55" s="67">
        <v>0.33333333333333331</v>
      </c>
      <c r="F55" s="67">
        <v>0.33333333333333331</v>
      </c>
      <c r="G55" s="67">
        <v>0.29292929292929293</v>
      </c>
      <c r="H55" s="67">
        <v>0.17243867243867245</v>
      </c>
      <c r="I55" s="68">
        <v>8337.4384236453207</v>
      </c>
      <c r="J55" s="68">
        <v>-7953.1380753138073</v>
      </c>
      <c r="K55" s="67">
        <v>0.12179487179487179</v>
      </c>
      <c r="L55" s="67">
        <v>0.12179487179487179</v>
      </c>
      <c r="M55" s="67">
        <v>0.23809523809523808</v>
      </c>
      <c r="N55" s="67">
        <v>0.25396825396825395</v>
      </c>
      <c r="O55" s="67">
        <v>0.54545454545454541</v>
      </c>
      <c r="P55" s="67">
        <v>0.42045454545454547</v>
      </c>
      <c r="Q55" s="67">
        <v>0.40886699507389163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2019-10-07T03:46:18Z</dcterms:modified>
</cp:coreProperties>
</file>