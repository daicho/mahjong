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E44EFCF-5826-45E3-944F-1F3766B4601E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35" l="1"/>
  <c r="O20" i="5629"/>
  <c r="O16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8" i="5641"/>
  <c r="O22" i="5625"/>
  <c r="H22" i="5643" l="1"/>
  <c r="H39" i="5643"/>
  <c r="H28" i="5643"/>
  <c r="H18" i="5643"/>
  <c r="H50" i="5643"/>
  <c r="H2" i="5643"/>
  <c r="H4" i="5643"/>
  <c r="H23" i="5643"/>
  <c r="H30" i="5643"/>
  <c r="H40" i="5643"/>
  <c r="H51" i="5643"/>
  <c r="H10" i="5643"/>
  <c r="H15" i="5643"/>
  <c r="C17" i="5643"/>
  <c r="B23" i="5643"/>
  <c r="H31" i="5643"/>
  <c r="H42" i="5643"/>
  <c r="H52" i="5643"/>
  <c r="H6" i="5643"/>
  <c r="H32" i="5643"/>
  <c r="H43" i="5643"/>
  <c r="H3" i="5643"/>
  <c r="H13" i="5643"/>
  <c r="H16" i="5643"/>
  <c r="C18" i="5643"/>
  <c r="H25" i="5643"/>
  <c r="H34" i="5643"/>
  <c r="H44" i="5643"/>
  <c r="H5" i="5643"/>
  <c r="H11" i="5643"/>
  <c r="C19" i="5643"/>
  <c r="H26" i="5643"/>
  <c r="H35" i="5643"/>
  <c r="H46" i="5643"/>
  <c r="H17" i="5643"/>
  <c r="H20" i="5643"/>
  <c r="H36" i="5643"/>
  <c r="H47" i="5643"/>
  <c r="H8" i="5643"/>
  <c r="H9" i="5643"/>
  <c r="H12" i="5643"/>
  <c r="H14" i="5643"/>
  <c r="H7" i="5643"/>
  <c r="H38" i="5643"/>
  <c r="H48" i="5643"/>
  <c r="H19" i="5643"/>
  <c r="H24" i="5643"/>
  <c r="H29" i="5643"/>
  <c r="H37" i="5643"/>
  <c r="H45" i="5643"/>
  <c r="H21" i="5643"/>
  <c r="H27" i="5643"/>
  <c r="H33" i="5643"/>
  <c r="H41" i="5643"/>
  <c r="O16" i="5629" l="1"/>
  <c r="O18" i="5633"/>
  <c r="O15" i="5629" l="1"/>
  <c r="O17" i="5637"/>
  <c r="O18" i="5637"/>
  <c r="O15" i="5627"/>
  <c r="O15" i="5631"/>
  <c r="O15" i="5633"/>
  <c r="O16" i="5633"/>
  <c r="O18" i="5627"/>
  <c r="O18" i="5631"/>
  <c r="O17" i="5629"/>
  <c r="O17" i="5641"/>
  <c r="O19" i="5641"/>
  <c r="O19" i="5635" l="1"/>
  <c r="O18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8" i="5625"/>
  <c r="O15" i="5639"/>
  <c r="O17" i="5639"/>
  <c r="C27" i="5639"/>
  <c r="B24" i="5639"/>
  <c r="C20" i="5639"/>
  <c r="B17" i="5639"/>
  <c r="H51" i="5639" s="1"/>
  <c r="C16" i="5639"/>
  <c r="C15" i="5639"/>
  <c r="H16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4" i="5639" l="1"/>
  <c r="H9" i="5639"/>
  <c r="H2" i="5639"/>
  <c r="H2" i="5641"/>
  <c r="H3" i="5641"/>
  <c r="H24" i="5641"/>
  <c r="H13" i="5641"/>
  <c r="H39" i="5641"/>
  <c r="H40" i="5641"/>
  <c r="H15" i="5641"/>
  <c r="H17" i="5641"/>
  <c r="H9" i="5641"/>
  <c r="H14" i="5641"/>
  <c r="H20" i="5641"/>
  <c r="H29" i="5641"/>
  <c r="H10" i="5641"/>
  <c r="H5" i="5641"/>
  <c r="C18" i="5641"/>
  <c r="H27" i="5641"/>
  <c r="H33" i="5641"/>
  <c r="H45" i="5641"/>
  <c r="H8" i="5641"/>
  <c r="H11" i="5641"/>
  <c r="H19" i="5641"/>
  <c r="H35" i="5641"/>
  <c r="H51" i="5641"/>
  <c r="H44" i="5641"/>
  <c r="H49" i="5641"/>
  <c r="H7" i="5641"/>
  <c r="C19" i="5641"/>
  <c r="H12" i="5641"/>
  <c r="H31" i="5641"/>
  <c r="H36" i="5641"/>
  <c r="H41" i="5641"/>
  <c r="H47" i="5641"/>
  <c r="H4" i="5641"/>
  <c r="H25" i="5641"/>
  <c r="H6" i="5641"/>
  <c r="H16" i="5641"/>
  <c r="H18" i="5641"/>
  <c r="C17" i="5641"/>
  <c r="H22" i="5641"/>
  <c r="B23" i="5641"/>
  <c r="H32" i="5641"/>
  <c r="H37" i="5641"/>
  <c r="H43" i="5641"/>
  <c r="H48" i="5641"/>
  <c r="H52" i="5641"/>
  <c r="H21" i="5641"/>
  <c r="H23" i="5641"/>
  <c r="H26" i="5641"/>
  <c r="H28" i="5641"/>
  <c r="H30" i="5641"/>
  <c r="H34" i="5641"/>
  <c r="H38" i="5641"/>
  <c r="H42" i="5641"/>
  <c r="H46" i="5641"/>
  <c r="C18" i="5639"/>
  <c r="H6" i="5639"/>
  <c r="H12" i="5639"/>
  <c r="H33" i="5639"/>
  <c r="H3" i="5639"/>
  <c r="H10" i="5639"/>
  <c r="B23" i="5639"/>
  <c r="H41" i="5639"/>
  <c r="H49" i="5639"/>
  <c r="H4" i="5639"/>
  <c r="H18" i="5639"/>
  <c r="H23" i="5639"/>
  <c r="H26" i="5639"/>
  <c r="H32" i="5639"/>
  <c r="H40" i="5639"/>
  <c r="H48" i="5639"/>
  <c r="H20" i="5639"/>
  <c r="H28" i="5639"/>
  <c r="H36" i="5639"/>
  <c r="H44" i="5639"/>
  <c r="H8" i="5639"/>
  <c r="H5" i="5639"/>
  <c r="H7" i="5639"/>
  <c r="H13" i="5639"/>
  <c r="C17" i="5639"/>
  <c r="H25" i="5639"/>
  <c r="H29" i="5639"/>
  <c r="H37" i="5639"/>
  <c r="H45" i="5639"/>
  <c r="H52" i="5639"/>
  <c r="H19" i="5639"/>
  <c r="H21" i="5639"/>
  <c r="H24" i="5639"/>
  <c r="H27" i="5639"/>
  <c r="H30" i="5639"/>
  <c r="H34" i="5639"/>
  <c r="H38" i="5639"/>
  <c r="H42" i="5639"/>
  <c r="H46" i="5639"/>
  <c r="H50" i="5639"/>
  <c r="H11" i="5639"/>
  <c r="H15" i="5639"/>
  <c r="H17" i="5639"/>
  <c r="C19" i="5639"/>
  <c r="H22" i="5639"/>
  <c r="H31" i="5639"/>
  <c r="H35" i="5639"/>
  <c r="H39" i="5639"/>
  <c r="H43" i="5639"/>
  <c r="H47" i="5639"/>
  <c r="O16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H6" i="5637"/>
  <c r="C8" i="5637"/>
  <c r="O7" i="5637"/>
  <c r="C7" i="5637"/>
  <c r="O6" i="5637"/>
  <c r="B6" i="5637"/>
  <c r="O5" i="5637"/>
  <c r="B5" i="5637"/>
  <c r="O4" i="5637"/>
  <c r="O3" i="5637"/>
  <c r="O2" i="5637"/>
  <c r="O16" i="5635"/>
  <c r="O17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19" i="5633"/>
  <c r="O17" i="5633"/>
  <c r="C27" i="5633"/>
  <c r="B24" i="5633"/>
  <c r="C20" i="5633"/>
  <c r="B17" i="5633"/>
  <c r="H50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H2" i="5633"/>
  <c r="O17" i="5625"/>
  <c r="O15" i="5625"/>
  <c r="H5" i="5637" l="1"/>
  <c r="H9" i="5637"/>
  <c r="H10" i="5637"/>
  <c r="H14" i="5637"/>
  <c r="H17" i="5637"/>
  <c r="H19" i="5637"/>
  <c r="C18" i="5637"/>
  <c r="H4" i="5637"/>
  <c r="H39" i="5637"/>
  <c r="H2" i="5637"/>
  <c r="H27" i="5637"/>
  <c r="C17" i="5637"/>
  <c r="H31" i="5637"/>
  <c r="H47" i="5637"/>
  <c r="C19" i="5637"/>
  <c r="H23" i="5637"/>
  <c r="H43" i="5637"/>
  <c r="H12" i="5637"/>
  <c r="H16" i="5637"/>
  <c r="H18" i="5637"/>
  <c r="H21" i="5637"/>
  <c r="H8" i="5637"/>
  <c r="H11" i="5637"/>
  <c r="H13" i="5637"/>
  <c r="H15" i="5637"/>
  <c r="H3" i="5637"/>
  <c r="H24" i="5637"/>
  <c r="H35" i="5637"/>
  <c r="H51" i="5637"/>
  <c r="H20" i="5637"/>
  <c r="H22" i="5637"/>
  <c r="H7" i="5637"/>
  <c r="H26" i="5637"/>
  <c r="H29" i="5637"/>
  <c r="H33" i="5637"/>
  <c r="H37" i="5637"/>
  <c r="H41" i="5637"/>
  <c r="H45" i="5637"/>
  <c r="H49" i="5637"/>
  <c r="H30" i="5637"/>
  <c r="H34" i="5637"/>
  <c r="H38" i="5637"/>
  <c r="H42" i="5637"/>
  <c r="H46" i="5637"/>
  <c r="H50" i="5637"/>
  <c r="B23" i="5637"/>
  <c r="H25" i="5637"/>
  <c r="H28" i="5637"/>
  <c r="H32" i="5637"/>
  <c r="H36" i="5637"/>
  <c r="H40" i="5637"/>
  <c r="H44" i="5637"/>
  <c r="H48" i="5637"/>
  <c r="H2" i="5635"/>
  <c r="H7" i="5635"/>
  <c r="H4" i="5635"/>
  <c r="H14" i="5635"/>
  <c r="H37" i="5635"/>
  <c r="H30" i="5635"/>
  <c r="H13" i="5635"/>
  <c r="H17" i="5635"/>
  <c r="H19" i="5635"/>
  <c r="C17" i="5635"/>
  <c r="H27" i="5635"/>
  <c r="H32" i="5635"/>
  <c r="H39" i="5635"/>
  <c r="H45" i="5635"/>
  <c r="H44" i="5635"/>
  <c r="H16" i="5635"/>
  <c r="H24" i="5635"/>
  <c r="H40" i="5635"/>
  <c r="H48" i="5635"/>
  <c r="H10" i="5635"/>
  <c r="H52" i="5635"/>
  <c r="H8" i="5635"/>
  <c r="H6" i="5635"/>
  <c r="H9" i="5635"/>
  <c r="H21" i="5635"/>
  <c r="H33" i="5635"/>
  <c r="H3" i="5635"/>
  <c r="H15" i="5635"/>
  <c r="H18" i="5635"/>
  <c r="H20" i="5635"/>
  <c r="C18" i="5635"/>
  <c r="B23" i="5635"/>
  <c r="H5" i="5635"/>
  <c r="H35" i="5635"/>
  <c r="H43" i="5635"/>
  <c r="H49" i="5635"/>
  <c r="H51" i="5635"/>
  <c r="C19" i="5635"/>
  <c r="H25" i="5635"/>
  <c r="H28" i="5635"/>
  <c r="H31" i="5635"/>
  <c r="H36" i="5635"/>
  <c r="H41" i="5635"/>
  <c r="H47" i="5635"/>
  <c r="H12" i="5635"/>
  <c r="H22" i="5635"/>
  <c r="H23" i="5635"/>
  <c r="H26" i="5635"/>
  <c r="H29" i="5635"/>
  <c r="H11" i="5635"/>
  <c r="H34" i="5635"/>
  <c r="H38" i="5635"/>
  <c r="H42" i="5635"/>
  <c r="H46" i="5635"/>
  <c r="H4" i="5633"/>
  <c r="H22" i="5633"/>
  <c r="H25" i="5633"/>
  <c r="H31" i="5633"/>
  <c r="H39" i="5633"/>
  <c r="H47" i="5633"/>
  <c r="B23" i="5633"/>
  <c r="H40" i="5633"/>
  <c r="H48" i="5633"/>
  <c r="H10" i="5633"/>
  <c r="C17" i="5633"/>
  <c r="H9" i="5633"/>
  <c r="H27" i="5633"/>
  <c r="H35" i="5633"/>
  <c r="H43" i="5633"/>
  <c r="H51" i="5633"/>
  <c r="H8" i="5633"/>
  <c r="C19" i="5633"/>
  <c r="H7" i="5633"/>
  <c r="H13" i="5633"/>
  <c r="H15" i="5633"/>
  <c r="H19" i="5633"/>
  <c r="H32" i="5633"/>
  <c r="H3" i="5633"/>
  <c r="H6" i="5633"/>
  <c r="H12" i="5633"/>
  <c r="H17" i="5633"/>
  <c r="H5" i="5633"/>
  <c r="H11" i="5633"/>
  <c r="H14" i="5633"/>
  <c r="H16" i="5633"/>
  <c r="C18" i="5633"/>
  <c r="H21" i="5633"/>
  <c r="H24" i="5633"/>
  <c r="H28" i="5633"/>
  <c r="H36" i="5633"/>
  <c r="H44" i="5633"/>
  <c r="H52" i="5633"/>
  <c r="H18" i="5633"/>
  <c r="H20" i="5633"/>
  <c r="H23" i="5633"/>
  <c r="H26" i="5633"/>
  <c r="H29" i="5633"/>
  <c r="H33" i="5633"/>
  <c r="H37" i="5633"/>
  <c r="H41" i="5633"/>
  <c r="H45" i="5633"/>
  <c r="H49" i="5633"/>
  <c r="H30" i="5633"/>
  <c r="H34" i="5633"/>
  <c r="H38" i="5633"/>
  <c r="H42" i="5633"/>
  <c r="H46" i="5633"/>
  <c r="O17" i="5631" l="1"/>
  <c r="O16" i="5631"/>
  <c r="C27" i="5631"/>
  <c r="B24" i="5631"/>
  <c r="C20" i="5631"/>
  <c r="B17" i="5631"/>
  <c r="H50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24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5"/>
  <c r="O16" i="5627"/>
  <c r="O17" i="5627"/>
  <c r="C27" i="5627"/>
  <c r="B24" i="5627"/>
  <c r="C20" i="5627"/>
  <c r="B17" i="5627"/>
  <c r="H50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0" i="5625"/>
  <c r="O21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2" i="5631" l="1"/>
  <c r="H3" i="5631"/>
  <c r="H5" i="5631"/>
  <c r="H39" i="5631"/>
  <c r="H16" i="5631"/>
  <c r="H25" i="5631"/>
  <c r="H12" i="5631"/>
  <c r="C18" i="5631"/>
  <c r="H12" i="5625"/>
  <c r="H30" i="5625"/>
  <c r="H2" i="5625"/>
  <c r="H28" i="5625"/>
  <c r="H6" i="5625"/>
  <c r="H4" i="5625"/>
  <c r="H3" i="5625"/>
  <c r="H15" i="5625"/>
  <c r="H22" i="5631"/>
  <c r="H40" i="5631"/>
  <c r="H14" i="5631"/>
  <c r="H6" i="5631"/>
  <c r="H17" i="5631"/>
  <c r="B23" i="5631"/>
  <c r="H31" i="5631"/>
  <c r="H48" i="5631"/>
  <c r="H47" i="5631"/>
  <c r="H19" i="5631"/>
  <c r="H27" i="5631"/>
  <c r="H35" i="5631"/>
  <c r="H43" i="5631"/>
  <c r="H51" i="5631"/>
  <c r="H2" i="5631"/>
  <c r="H4" i="5631"/>
  <c r="H9" i="5631"/>
  <c r="H11" i="5631"/>
  <c r="C17" i="5631"/>
  <c r="H24" i="5631"/>
  <c r="H28" i="5631"/>
  <c r="H36" i="5631"/>
  <c r="H44" i="5631"/>
  <c r="H52" i="5631"/>
  <c r="H18" i="5631"/>
  <c r="H20" i="5631"/>
  <c r="H26" i="5631"/>
  <c r="H29" i="5631"/>
  <c r="H33" i="5631"/>
  <c r="H37" i="5631"/>
  <c r="H41" i="5631"/>
  <c r="H45" i="5631"/>
  <c r="H49" i="5631"/>
  <c r="H8" i="5631"/>
  <c r="H10" i="5631"/>
  <c r="H23" i="5631"/>
  <c r="H7" i="5631"/>
  <c r="H13" i="5631"/>
  <c r="H15" i="5631"/>
  <c r="C19" i="5631"/>
  <c r="H21" i="5631"/>
  <c r="H30" i="5631"/>
  <c r="H34" i="5631"/>
  <c r="H38" i="5631"/>
  <c r="H42" i="5631"/>
  <c r="H46" i="5631"/>
  <c r="H10" i="5629"/>
  <c r="H27" i="5629"/>
  <c r="H29" i="5629"/>
  <c r="H3" i="5629"/>
  <c r="H4" i="5629"/>
  <c r="H12" i="5629"/>
  <c r="H14" i="5629"/>
  <c r="H19" i="5629"/>
  <c r="H42" i="5629"/>
  <c r="H37" i="5629"/>
  <c r="H9" i="5629"/>
  <c r="H45" i="5629"/>
  <c r="H2" i="5629"/>
  <c r="H8" i="5629"/>
  <c r="H26" i="5629"/>
  <c r="H7" i="5629"/>
  <c r="H11" i="5629"/>
  <c r="C17" i="5629"/>
  <c r="B23" i="5629"/>
  <c r="H35" i="5629"/>
  <c r="H6" i="5629"/>
  <c r="C19" i="5629"/>
  <c r="H17" i="5629"/>
  <c r="H32" i="5629"/>
  <c r="H34" i="5629"/>
  <c r="H41" i="5629"/>
  <c r="H49" i="5629"/>
  <c r="H50" i="5629"/>
  <c r="H5" i="5629"/>
  <c r="H25" i="5629"/>
  <c r="H28" i="5629"/>
  <c r="H15" i="5629"/>
  <c r="C18" i="5629"/>
  <c r="H16" i="5629"/>
  <c r="H13" i="5629"/>
  <c r="H33" i="5629"/>
  <c r="H38" i="5629"/>
  <c r="H46" i="5629"/>
  <c r="H52" i="5629"/>
  <c r="H30" i="5629"/>
  <c r="H31" i="5629"/>
  <c r="H20" i="5629"/>
  <c r="H21" i="5629"/>
  <c r="H22" i="5629"/>
  <c r="H23" i="5629"/>
  <c r="H39" i="5629"/>
  <c r="H43" i="5629"/>
  <c r="H47" i="5629"/>
  <c r="H51" i="5629"/>
  <c r="H18" i="5629"/>
  <c r="H36" i="5629"/>
  <c r="H40" i="5629"/>
  <c r="H44" i="5629"/>
  <c r="H48" i="5629"/>
  <c r="H10" i="5627"/>
  <c r="H4" i="5627"/>
  <c r="H2" i="5627"/>
  <c r="H8" i="5627"/>
  <c r="C19" i="5627"/>
  <c r="H22" i="5627"/>
  <c r="H25" i="5627"/>
  <c r="H31" i="5627"/>
  <c r="H39" i="5627"/>
  <c r="H47" i="5627"/>
  <c r="C17" i="5627"/>
  <c r="H19" i="5627"/>
  <c r="B23" i="5627"/>
  <c r="H32" i="5627"/>
  <c r="H40" i="5627"/>
  <c r="H48" i="5627"/>
  <c r="H13" i="5627"/>
  <c r="H3" i="5627"/>
  <c r="H27" i="5627"/>
  <c r="H43" i="5627"/>
  <c r="H51" i="5627"/>
  <c r="H7" i="5627"/>
  <c r="H15" i="5627"/>
  <c r="H6" i="5627"/>
  <c r="H9" i="5627"/>
  <c r="H12" i="5627"/>
  <c r="H17" i="5627"/>
  <c r="H35" i="5627"/>
  <c r="H5" i="5627"/>
  <c r="H11" i="5627"/>
  <c r="H14" i="5627"/>
  <c r="H16" i="5627"/>
  <c r="C18" i="5627"/>
  <c r="H21" i="5627"/>
  <c r="H24" i="5627"/>
  <c r="H28" i="5627"/>
  <c r="H36" i="5627"/>
  <c r="H44" i="5627"/>
  <c r="H52" i="5627"/>
  <c r="H18" i="5627"/>
  <c r="H20" i="5627"/>
  <c r="H23" i="5627"/>
  <c r="H26" i="5627"/>
  <c r="H29" i="5627"/>
  <c r="H33" i="5627"/>
  <c r="H37" i="5627"/>
  <c r="H41" i="5627"/>
  <c r="H45" i="5627"/>
  <c r="H49" i="5627"/>
  <c r="H30" i="5627"/>
  <c r="H34" i="5627"/>
  <c r="H38" i="5627"/>
  <c r="H42" i="5627"/>
  <c r="H46" i="5627"/>
  <c r="H11" i="5625"/>
  <c r="C18" i="5625"/>
  <c r="H9" i="5625"/>
  <c r="H35" i="5625"/>
  <c r="H13" i="5625"/>
  <c r="H10" i="5625"/>
  <c r="H7" i="5625"/>
  <c r="H27" i="5625"/>
  <c r="H18" i="5625"/>
  <c r="H40" i="5625"/>
  <c r="H45" i="5625"/>
  <c r="H50" i="5625"/>
  <c r="H14" i="5625"/>
  <c r="H33" i="5625"/>
  <c r="H36" i="5625"/>
  <c r="H41" i="5625"/>
  <c r="H46" i="5625"/>
  <c r="H26" i="5625"/>
  <c r="C19" i="5625"/>
  <c r="H20" i="5625"/>
  <c r="H23" i="5625"/>
  <c r="H22" i="5625"/>
  <c r="H37" i="5625"/>
  <c r="H42" i="5625"/>
  <c r="H48" i="5625"/>
  <c r="H5" i="5625"/>
  <c r="H8" i="5625"/>
  <c r="H29" i="5625"/>
  <c r="H19" i="5625"/>
  <c r="C17" i="5625"/>
  <c r="H16" i="5625"/>
  <c r="B23" i="5625"/>
  <c r="H34" i="5625"/>
  <c r="H38" i="5625"/>
  <c r="H44" i="5625"/>
  <c r="H49" i="5625"/>
  <c r="H52" i="5625"/>
  <c r="H31" i="5625"/>
  <c r="H32" i="5625"/>
  <c r="H21" i="5625"/>
  <c r="H24" i="5625"/>
  <c r="H17" i="5625"/>
  <c r="H25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<sst xmlns="http://schemas.openxmlformats.org/spreadsheetml/2006/main" count="2372" uniqueCount="197">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</sst>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全体!$L$2:$L$80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-12.820512820512821</c:v>
                </c:pt>
                <c:pt idx="1">
                  <c:v>13.333333333333334</c:v>
                </c:pt>
                <c:pt idx="2">
                  <c:v>-53.333333333333336</c:v>
                </c:pt>
                <c:pt idx="3">
                  <c:v>40</c:v>
                </c:pt>
                <c:pt idx="4">
                  <c:v>14.492753623188406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747.61904761904759</c:v>
                </c:pt>
                <c:pt idx="1">
                  <c:v>-565</c:v>
                </c:pt>
                <c:pt idx="2">
                  <c:v>370</c:v>
                </c:pt>
                <c:pt idx="3">
                  <c:v>340</c:v>
                </c:pt>
                <c:pt idx="4">
                  <c:v>7477.7777777777774</c:v>
                </c:pt>
                <c:pt idx="5">
                  <c:v>8133.333333333333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1315</c:v>
                </c:pt>
                <c:pt idx="1">
                  <c:v>1889.4736842105262</c:v>
                </c:pt>
                <c:pt idx="2">
                  <c:v>-1347.3684210526317</c:v>
                </c:pt>
                <c:pt idx="3">
                  <c:v>4663.1578947368425</c:v>
                </c:pt>
                <c:pt idx="4">
                  <c:v>-3988.8888888888887</c:v>
                </c:pt>
                <c:pt idx="5">
                  <c:v>-6820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れんたろう!$L$2:$L$6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4050</c:v>
                </c:pt>
                <c:pt idx="1">
                  <c:v>-1625</c:v>
                </c:pt>
                <c:pt idx="2">
                  <c:v>-2700</c:v>
                </c:pt>
                <c:pt idx="3">
                  <c:v>-2000</c:v>
                </c:pt>
                <c:pt idx="4">
                  <c:v>-7833.333333333333</c:v>
                </c:pt>
                <c:pt idx="5">
                  <c:v>-16000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-13433.333333333334</c:v>
                </c:pt>
                <c:pt idx="1">
                  <c:v>-4000</c:v>
                </c:pt>
                <c:pt idx="2">
                  <c:v>5333.333333333333</c:v>
                </c:pt>
                <c:pt idx="3">
                  <c:v>-3166.6666666666665</c:v>
                </c:pt>
                <c:pt idx="4">
                  <c:v>-750</c:v>
                </c:pt>
                <c:pt idx="5">
                  <c:v>10150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-400</c:v>
                </c:pt>
                <c:pt idx="1">
                  <c:v>-4833.333333333333</c:v>
                </c:pt>
                <c:pt idx="2">
                  <c:v>-1433.3333333333333</c:v>
                </c:pt>
                <c:pt idx="3">
                  <c:v>-2166.6666666666665</c:v>
                </c:pt>
                <c:pt idx="4">
                  <c:v>3466.6666666666665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-1325</c:v>
                </c:pt>
                <c:pt idx="1">
                  <c:v>7300</c:v>
                </c:pt>
                <c:pt idx="2">
                  <c:v>1825</c:v>
                </c:pt>
                <c:pt idx="3">
                  <c:v>1000</c:v>
                </c:pt>
                <c:pt idx="4">
                  <c:v>9075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12000</c:v>
                </c:pt>
                <c:pt idx="1">
                  <c:v>-5000</c:v>
                </c:pt>
                <c:pt idx="2">
                  <c:v>-4000</c:v>
                </c:pt>
                <c:pt idx="3">
                  <c:v>8000</c:v>
                </c:pt>
                <c:pt idx="4">
                  <c:v>4600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98452883263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002812939521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8600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30.37383177570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20.3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38461538461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38461538461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8945147679324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3628691983122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271186440677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767295597484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196261682242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EA2F7E-0C1F-4D07-B9E5-C7776E4322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78DF0F-0748-4AF5-AD9F-FDCA390D0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43739.43246527778</v>
      </c>
      <c r="C8" s="30" t="s">
        <v>130</v>
      </c>
      <c r="D8" s="30" t="s">
        <v>185</v>
      </c>
      <c r="E8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78</v>
      </c>
    </row>
    <row r="2" spans="1:2" x14ac:dyDescent="0.4">
      <c r="A2" t="s">
        <v>167</v>
      </c>
      <c r="B2">
        <v>9</v>
      </c>
    </row>
    <row r="3" spans="1:2" x14ac:dyDescent="0.4">
      <c r="A3" t="s">
        <v>127</v>
      </c>
      <c r="B3">
        <v>21</v>
      </c>
    </row>
    <row r="4" spans="1:2" x14ac:dyDescent="0.4">
      <c r="A4" t="s">
        <v>128</v>
      </c>
      <c r="B4">
        <v>20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4</v>
      </c>
    </row>
    <row r="7" spans="1:2" x14ac:dyDescent="0.4">
      <c r="A7" t="s">
        <v>179</v>
      </c>
      <c r="B7">
        <v>3</v>
      </c>
    </row>
    <row r="8" spans="1:2" x14ac:dyDescent="0.4">
      <c r="A8" t="s">
        <v>183</v>
      </c>
      <c r="B8">
        <v>3</v>
      </c>
    </row>
    <row r="9" spans="1:2" x14ac:dyDescent="0.4">
      <c r="A9" t="s">
        <v>182</v>
      </c>
      <c r="B9">
        <v>4</v>
      </c>
    </row>
    <row r="10" spans="1:2" x14ac:dyDescent="0.4">
      <c r="A10" t="s">
        <v>196</v>
      </c>
      <c r="B10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64">
        <v>0.99833588713394494</v>
      </c>
      <c r="G2" s="165"/>
      <c r="H2" s="164">
        <v>0.99361264620125389</v>
      </c>
      <c r="I2" s="165"/>
      <c r="J2" s="164">
        <v>0.99978461106653915</v>
      </c>
      <c r="K2" s="165"/>
      <c r="L2" s="164">
        <v>0.98018578622098507</v>
      </c>
      <c r="M2" s="165"/>
      <c r="N2" s="164">
        <v>0.99327859203386659</v>
      </c>
      <c r="O2" s="165"/>
      <c r="P2" s="164">
        <v>0.5964178162818462</v>
      </c>
      <c r="Q2" s="165"/>
      <c r="R2" s="164">
        <v>0.9999873074975828</v>
      </c>
      <c r="S2" s="165"/>
      <c r="T2" s="164">
        <v>0.85067450394884492</v>
      </c>
      <c r="U2" s="165"/>
      <c r="V2" s="164">
        <v>0.97565272406043635</v>
      </c>
      <c r="W2" s="165"/>
      <c r="X2" s="164">
        <v>0.45210068561612998</v>
      </c>
      <c r="Y2" s="165"/>
      <c r="Z2" s="164">
        <v>0.2732129135571017</v>
      </c>
      <c r="AA2" s="165"/>
      <c r="AB2" s="164">
        <v>0.35431747697705934</v>
      </c>
      <c r="AC2" s="165"/>
      <c r="AD2" s="164">
        <v>0.87652051464834735</v>
      </c>
      <c r="AE2" s="165"/>
      <c r="AF2" s="164">
        <v>0.87141453987822637</v>
      </c>
      <c r="AG2" s="165"/>
      <c r="AH2" s="164">
        <v>0.6581859849197601</v>
      </c>
      <c r="AI2" s="165"/>
    </row>
    <row r="3" spans="1:35" x14ac:dyDescent="0.4">
      <c r="A3" s="74">
        <v>1</v>
      </c>
      <c r="B3" s="75" t="s">
        <v>127</v>
      </c>
      <c r="C3" s="76">
        <v>371.39999999999992</v>
      </c>
      <c r="D3" s="77" t="s">
        <v>182</v>
      </c>
      <c r="E3" s="96">
        <v>28.875</v>
      </c>
      <c r="F3" s="77" t="s">
        <v>196</v>
      </c>
      <c r="G3" s="78">
        <v>1</v>
      </c>
      <c r="H3" s="77" t="s">
        <v>196</v>
      </c>
      <c r="I3" s="79">
        <v>1</v>
      </c>
      <c r="J3" s="77" t="s">
        <v>182</v>
      </c>
      <c r="K3" s="79">
        <v>0</v>
      </c>
      <c r="L3" s="77" t="s">
        <v>182</v>
      </c>
      <c r="M3" s="80">
        <v>0.45454545454545453</v>
      </c>
      <c r="N3" s="77" t="s">
        <v>196</v>
      </c>
      <c r="O3" s="80">
        <v>0</v>
      </c>
      <c r="P3" s="77" t="s">
        <v>178</v>
      </c>
      <c r="Q3" s="81">
        <v>11355.555555555555</v>
      </c>
      <c r="R3" s="77" t="s">
        <v>196</v>
      </c>
      <c r="S3" s="81">
        <v>0</v>
      </c>
      <c r="T3" s="77" t="s">
        <v>127</v>
      </c>
      <c r="U3" s="79">
        <v>0</v>
      </c>
      <c r="V3" s="77" t="s">
        <v>182</v>
      </c>
      <c r="W3" s="79">
        <v>0.5</v>
      </c>
      <c r="X3" s="77" t="s">
        <v>182</v>
      </c>
      <c r="Y3" s="80">
        <v>0.36363636363636365</v>
      </c>
      <c r="Z3" s="77" t="s">
        <v>196</v>
      </c>
      <c r="AA3" s="80">
        <v>0.2857142857142857</v>
      </c>
      <c r="AB3" s="77" t="s">
        <v>182</v>
      </c>
      <c r="AC3" s="80">
        <v>0.83333333333333337</v>
      </c>
      <c r="AD3" s="77" t="s">
        <v>196</v>
      </c>
      <c r="AE3" s="80">
        <v>1</v>
      </c>
      <c r="AF3" s="77" t="s">
        <v>167</v>
      </c>
      <c r="AG3" s="80">
        <v>0.52380952380952384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115.5</v>
      </c>
      <c r="D4" s="85" t="s">
        <v>196</v>
      </c>
      <c r="E4" s="97">
        <v>21.1</v>
      </c>
      <c r="F4" s="85" t="s">
        <v>182</v>
      </c>
      <c r="G4" s="86">
        <v>1.5</v>
      </c>
      <c r="H4" s="85" t="s">
        <v>127</v>
      </c>
      <c r="I4" s="87">
        <v>0.61904761904761907</v>
      </c>
      <c r="J4" s="85" t="s">
        <v>196</v>
      </c>
      <c r="K4" s="87">
        <v>0</v>
      </c>
      <c r="L4" s="85" t="s">
        <v>196</v>
      </c>
      <c r="M4" s="88">
        <v>0.42857142857142855</v>
      </c>
      <c r="N4" s="85" t="s">
        <v>182</v>
      </c>
      <c r="O4" s="88">
        <v>6.0606060606060608E-2</v>
      </c>
      <c r="P4" s="85" t="s">
        <v>183</v>
      </c>
      <c r="Q4" s="89">
        <v>9533.3333333333339</v>
      </c>
      <c r="R4" s="85" t="s">
        <v>127</v>
      </c>
      <c r="S4" s="89">
        <v>-6553.8461538461543</v>
      </c>
      <c r="T4" s="85" t="s">
        <v>167</v>
      </c>
      <c r="U4" s="87">
        <v>0</v>
      </c>
      <c r="V4" s="85" t="s">
        <v>178</v>
      </c>
      <c r="W4" s="87">
        <v>0.25</v>
      </c>
      <c r="X4" s="85" t="s">
        <v>183</v>
      </c>
      <c r="Y4" s="88">
        <v>0.34615384615384615</v>
      </c>
      <c r="Z4" s="85" t="s">
        <v>128</v>
      </c>
      <c r="AA4" s="88">
        <v>0.27868852459016391</v>
      </c>
      <c r="AB4" s="85" t="s">
        <v>127</v>
      </c>
      <c r="AC4" s="88">
        <v>0.59259259259259256</v>
      </c>
      <c r="AD4" s="85" t="s">
        <v>127</v>
      </c>
      <c r="AE4" s="88">
        <v>0.58536585365853655</v>
      </c>
      <c r="AF4" s="85" t="s">
        <v>183</v>
      </c>
      <c r="AG4" s="88">
        <v>0.5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196</v>
      </c>
      <c r="C5" s="84">
        <v>21.1</v>
      </c>
      <c r="D5" s="85" t="s">
        <v>127</v>
      </c>
      <c r="E5" s="97">
        <v>17.685714285714283</v>
      </c>
      <c r="F5" s="85" t="s">
        <v>127</v>
      </c>
      <c r="G5" s="86">
        <v>1.5238095238095237</v>
      </c>
      <c r="H5" s="85" t="s">
        <v>182</v>
      </c>
      <c r="I5" s="87">
        <v>0.5</v>
      </c>
      <c r="J5" s="85" t="s">
        <v>127</v>
      </c>
      <c r="K5" s="87">
        <v>0.14285714285714285</v>
      </c>
      <c r="L5" s="85" t="s">
        <v>127</v>
      </c>
      <c r="M5" s="88">
        <v>0.375</v>
      </c>
      <c r="N5" s="85" t="s">
        <v>179</v>
      </c>
      <c r="O5" s="88">
        <v>0.10714285714285714</v>
      </c>
      <c r="P5" s="85" t="s">
        <v>179</v>
      </c>
      <c r="Q5" s="89">
        <v>8950</v>
      </c>
      <c r="R5" s="85" t="s">
        <v>167</v>
      </c>
      <c r="S5" s="89">
        <v>-7552.9411764705883</v>
      </c>
      <c r="T5" s="85" t="s">
        <v>183</v>
      </c>
      <c r="U5" s="87">
        <v>0</v>
      </c>
      <c r="V5" s="85" t="s">
        <v>127</v>
      </c>
      <c r="W5" s="87">
        <v>0.19047619047619047</v>
      </c>
      <c r="X5" s="85" t="s">
        <v>196</v>
      </c>
      <c r="Y5" s="88">
        <v>0.2857142857142857</v>
      </c>
      <c r="Z5" s="85" t="s">
        <v>167</v>
      </c>
      <c r="AA5" s="88">
        <v>0.26436781609195403</v>
      </c>
      <c r="AB5" s="85" t="s">
        <v>180</v>
      </c>
      <c r="AC5" s="88">
        <v>0.58064516129032262</v>
      </c>
      <c r="AD5" s="85" t="s">
        <v>179</v>
      </c>
      <c r="AE5" s="88">
        <v>0.5</v>
      </c>
      <c r="AF5" s="85" t="s">
        <v>127</v>
      </c>
      <c r="AG5" s="88">
        <v>0.47222222222222221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0</v>
      </c>
      <c r="D6" s="85" t="s">
        <v>144</v>
      </c>
      <c r="E6" s="97">
        <v>0</v>
      </c>
      <c r="F6" s="85" t="s">
        <v>144</v>
      </c>
      <c r="G6" s="86">
        <v>2</v>
      </c>
      <c r="H6" s="85" t="s">
        <v>144</v>
      </c>
      <c r="I6" s="87">
        <v>0.33333333333333331</v>
      </c>
      <c r="J6" s="85" t="s">
        <v>144</v>
      </c>
      <c r="K6" s="87">
        <v>0.33333333333333331</v>
      </c>
      <c r="L6" s="85" t="s">
        <v>128</v>
      </c>
      <c r="M6" s="88">
        <v>0.30601092896174864</v>
      </c>
      <c r="N6" s="85" t="s">
        <v>127</v>
      </c>
      <c r="O6" s="88">
        <v>0.13541666666666666</v>
      </c>
      <c r="P6" s="85" t="s">
        <v>182</v>
      </c>
      <c r="Q6" s="89">
        <v>8746.6666666666661</v>
      </c>
      <c r="R6" s="85" t="s">
        <v>179</v>
      </c>
      <c r="S6" s="89">
        <v>-7866.666666666667</v>
      </c>
      <c r="T6" s="85" t="s">
        <v>182</v>
      </c>
      <c r="U6" s="87">
        <v>0</v>
      </c>
      <c r="V6" s="85" t="s">
        <v>144</v>
      </c>
      <c r="W6" s="87">
        <v>0.11538461538461539</v>
      </c>
      <c r="X6" s="85" t="s">
        <v>127</v>
      </c>
      <c r="Y6" s="88">
        <v>0.28125</v>
      </c>
      <c r="Z6" s="85" t="s">
        <v>178</v>
      </c>
      <c r="AA6" s="88">
        <v>0.25</v>
      </c>
      <c r="AB6" s="85" t="s">
        <v>144</v>
      </c>
      <c r="AC6" s="88">
        <v>0.57627118644067798</v>
      </c>
      <c r="AD6" s="85" t="s">
        <v>182</v>
      </c>
      <c r="AE6" s="88">
        <v>0.5</v>
      </c>
      <c r="AF6" s="85" t="s">
        <v>182</v>
      </c>
      <c r="AG6" s="88">
        <v>0.46666666666666667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183</v>
      </c>
      <c r="C7" s="84">
        <v>-33.6</v>
      </c>
      <c r="D7" s="85" t="s">
        <v>128</v>
      </c>
      <c r="E7" s="97">
        <v>-4.8000000000000016</v>
      </c>
      <c r="F7" s="85" t="s">
        <v>167</v>
      </c>
      <c r="G7" s="86">
        <v>2</v>
      </c>
      <c r="H7" s="85" t="s">
        <v>167</v>
      </c>
      <c r="I7" s="87">
        <v>0.33333333333333331</v>
      </c>
      <c r="J7" s="85" t="s">
        <v>167</v>
      </c>
      <c r="K7" s="87">
        <v>0.33333333333333331</v>
      </c>
      <c r="L7" s="85" t="s">
        <v>144</v>
      </c>
      <c r="M7" s="88">
        <v>0.3009845288326301</v>
      </c>
      <c r="N7" s="85" t="s">
        <v>144</v>
      </c>
      <c r="O7" s="88">
        <v>0.18002812939521801</v>
      </c>
      <c r="P7" s="85" t="s">
        <v>196</v>
      </c>
      <c r="Q7" s="89">
        <v>8600</v>
      </c>
      <c r="R7" s="85" t="s">
        <v>128</v>
      </c>
      <c r="S7" s="89">
        <v>-7880.5555555555557</v>
      </c>
      <c r="T7" s="85" t="s">
        <v>196</v>
      </c>
      <c r="U7" s="87">
        <v>0</v>
      </c>
      <c r="V7" s="85" t="s">
        <v>128</v>
      </c>
      <c r="W7" s="87">
        <v>0.1</v>
      </c>
      <c r="X7" s="85" t="s">
        <v>180</v>
      </c>
      <c r="Y7" s="88">
        <v>0.26050420168067229</v>
      </c>
      <c r="Z7" s="85" t="s">
        <v>183</v>
      </c>
      <c r="AA7" s="88">
        <v>0.23076923076923078</v>
      </c>
      <c r="AB7" s="85" t="s">
        <v>183</v>
      </c>
      <c r="AC7" s="88">
        <v>0.55555555555555558</v>
      </c>
      <c r="AD7" s="85" t="s">
        <v>128</v>
      </c>
      <c r="AE7" s="88">
        <v>0.49019607843137253</v>
      </c>
      <c r="AF7" s="85" t="s">
        <v>144</v>
      </c>
      <c r="AG7" s="88">
        <v>0.39719626168224298</v>
      </c>
      <c r="AH7" s="85" t="s">
        <v>179</v>
      </c>
      <c r="AI7" s="92">
        <v>71900</v>
      </c>
    </row>
    <row r="8" spans="1:35" x14ac:dyDescent="0.4">
      <c r="A8" s="82">
        <v>6</v>
      </c>
      <c r="B8" s="83" t="s">
        <v>179</v>
      </c>
      <c r="C8" s="84">
        <v>-37</v>
      </c>
      <c r="D8" s="85" t="s">
        <v>167</v>
      </c>
      <c r="E8" s="97">
        <v>-6.6111111111111116</v>
      </c>
      <c r="F8" s="85" t="s">
        <v>128</v>
      </c>
      <c r="G8" s="86">
        <v>2.2000000000000002</v>
      </c>
      <c r="H8" s="85" t="s">
        <v>179</v>
      </c>
      <c r="I8" s="87">
        <v>0.33333333333333331</v>
      </c>
      <c r="J8" s="85" t="s">
        <v>183</v>
      </c>
      <c r="K8" s="87">
        <v>0.33333333333333331</v>
      </c>
      <c r="L8" s="85" t="s">
        <v>178</v>
      </c>
      <c r="M8" s="88">
        <v>0.25</v>
      </c>
      <c r="N8" s="85" t="s">
        <v>183</v>
      </c>
      <c r="O8" s="88">
        <v>0.19230769230769232</v>
      </c>
      <c r="P8" s="85" t="s">
        <v>144</v>
      </c>
      <c r="Q8" s="89">
        <v>8330.3738317757015</v>
      </c>
      <c r="R8" s="85" t="s">
        <v>144</v>
      </c>
      <c r="S8" s="89">
        <v>-8120.3125</v>
      </c>
      <c r="T8" s="85" t="s">
        <v>144</v>
      </c>
      <c r="U8" s="87">
        <v>0.11538461538461539</v>
      </c>
      <c r="V8" s="85" t="s">
        <v>180</v>
      </c>
      <c r="W8" s="87">
        <v>0</v>
      </c>
      <c r="X8" s="85" t="s">
        <v>144</v>
      </c>
      <c r="Y8" s="88">
        <v>0.24894514767932491</v>
      </c>
      <c r="Z8" s="85" t="s">
        <v>144</v>
      </c>
      <c r="AA8" s="88">
        <v>0.22362869198312235</v>
      </c>
      <c r="AB8" s="85" t="s">
        <v>128</v>
      </c>
      <c r="AC8" s="88">
        <v>0.52631578947368418</v>
      </c>
      <c r="AD8" s="85" t="s">
        <v>144</v>
      </c>
      <c r="AE8" s="88">
        <v>0.42767295597484278</v>
      </c>
      <c r="AF8" s="85" t="s">
        <v>178</v>
      </c>
      <c r="AG8" s="88">
        <v>0.33333333333333331</v>
      </c>
      <c r="AH8" s="85" t="s">
        <v>178</v>
      </c>
      <c r="AI8" s="92">
        <v>64200</v>
      </c>
    </row>
    <row r="9" spans="1:35" x14ac:dyDescent="0.4">
      <c r="A9" s="82">
        <v>7</v>
      </c>
      <c r="B9" s="83" t="s">
        <v>167</v>
      </c>
      <c r="C9" s="84">
        <v>-59.500000000000007</v>
      </c>
      <c r="D9" s="85" t="s">
        <v>183</v>
      </c>
      <c r="E9" s="97">
        <v>-11.200000000000001</v>
      </c>
      <c r="F9" s="85" t="s">
        <v>178</v>
      </c>
      <c r="G9" s="86">
        <v>2.25</v>
      </c>
      <c r="H9" s="85" t="s">
        <v>178</v>
      </c>
      <c r="I9" s="87">
        <v>0.25</v>
      </c>
      <c r="J9" s="85" t="s">
        <v>128</v>
      </c>
      <c r="K9" s="87">
        <v>0.4</v>
      </c>
      <c r="L9" s="85" t="s">
        <v>167</v>
      </c>
      <c r="M9" s="88">
        <v>0.2413793103448276</v>
      </c>
      <c r="N9" s="85" t="s">
        <v>167</v>
      </c>
      <c r="O9" s="88">
        <v>0.19540229885057472</v>
      </c>
      <c r="P9" s="85" t="s">
        <v>128</v>
      </c>
      <c r="Q9" s="89">
        <v>8237.5</v>
      </c>
      <c r="R9" s="85" t="s">
        <v>180</v>
      </c>
      <c r="S9" s="89">
        <v>-8551.7241379310344</v>
      </c>
      <c r="T9" s="85" t="s">
        <v>180</v>
      </c>
      <c r="U9" s="87">
        <v>0.15384615384615385</v>
      </c>
      <c r="V9" s="85" t="s">
        <v>167</v>
      </c>
      <c r="W9" s="87">
        <v>0</v>
      </c>
      <c r="X9" s="85" t="s">
        <v>167</v>
      </c>
      <c r="Y9" s="88">
        <v>0.2413793103448276</v>
      </c>
      <c r="Z9" s="85" t="s">
        <v>179</v>
      </c>
      <c r="AA9" s="88">
        <v>0.21428571428571427</v>
      </c>
      <c r="AB9" s="85" t="s">
        <v>167</v>
      </c>
      <c r="AC9" s="88">
        <v>0.52380952380952384</v>
      </c>
      <c r="AD9" s="85" t="s">
        <v>178</v>
      </c>
      <c r="AE9" s="88">
        <v>0.33333333333333331</v>
      </c>
      <c r="AF9" s="85" t="s">
        <v>196</v>
      </c>
      <c r="AG9" s="88">
        <v>0.33333333333333331</v>
      </c>
      <c r="AH9" s="85" t="s">
        <v>180</v>
      </c>
      <c r="AI9" s="92">
        <v>53700</v>
      </c>
    </row>
    <row r="10" spans="1:35" x14ac:dyDescent="0.4">
      <c r="A10" s="82">
        <v>8</v>
      </c>
      <c r="B10" s="83" t="s">
        <v>178</v>
      </c>
      <c r="C10" s="84">
        <v>-74.599999999999994</v>
      </c>
      <c r="D10" s="85" t="s">
        <v>179</v>
      </c>
      <c r="E10" s="97">
        <v>-12.333333333333334</v>
      </c>
      <c r="F10" s="85" t="s">
        <v>179</v>
      </c>
      <c r="G10" s="86">
        <v>2.3333333333333335</v>
      </c>
      <c r="H10" s="85" t="s">
        <v>128</v>
      </c>
      <c r="I10" s="87">
        <v>0.2</v>
      </c>
      <c r="J10" s="85" t="s">
        <v>178</v>
      </c>
      <c r="K10" s="87">
        <v>0.5</v>
      </c>
      <c r="L10" s="85" t="s">
        <v>180</v>
      </c>
      <c r="M10" s="88">
        <v>0.23529411764705882</v>
      </c>
      <c r="N10" s="85" t="s">
        <v>128</v>
      </c>
      <c r="O10" s="88">
        <v>0.19672131147540983</v>
      </c>
      <c r="P10" s="85" t="s">
        <v>127</v>
      </c>
      <c r="Q10" s="89">
        <v>8168.0555555555557</v>
      </c>
      <c r="R10" s="85" t="s">
        <v>182</v>
      </c>
      <c r="S10" s="89">
        <v>-8900</v>
      </c>
      <c r="T10" s="85" t="s">
        <v>128</v>
      </c>
      <c r="U10" s="87">
        <v>0.2</v>
      </c>
      <c r="V10" s="85" t="s">
        <v>179</v>
      </c>
      <c r="W10" s="87">
        <v>0</v>
      </c>
      <c r="X10" s="85" t="s">
        <v>178</v>
      </c>
      <c r="Y10" s="88">
        <v>0.22222222222222221</v>
      </c>
      <c r="Z10" s="85" t="s">
        <v>127</v>
      </c>
      <c r="AA10" s="88">
        <v>0.21354166666666666</v>
      </c>
      <c r="AB10" s="85" t="s">
        <v>178</v>
      </c>
      <c r="AC10" s="88">
        <v>0.5</v>
      </c>
      <c r="AD10" s="85" t="s">
        <v>167</v>
      </c>
      <c r="AE10" s="88">
        <v>0.2608695652173913</v>
      </c>
      <c r="AF10" s="85" t="s">
        <v>180</v>
      </c>
      <c r="AG10" s="88">
        <v>0.32142857142857145</v>
      </c>
      <c r="AH10" s="85" t="s">
        <v>167</v>
      </c>
      <c r="AI10" s="92">
        <v>49500</v>
      </c>
    </row>
    <row r="11" spans="1:35" x14ac:dyDescent="0.4">
      <c r="A11" s="82">
        <v>9</v>
      </c>
      <c r="B11" s="83" t="s">
        <v>128</v>
      </c>
      <c r="C11" s="84">
        <v>-96.000000000000028</v>
      </c>
      <c r="D11" s="85" t="s">
        <v>180</v>
      </c>
      <c r="E11" s="97">
        <v>-15.946153846153846</v>
      </c>
      <c r="F11" s="85" t="s">
        <v>183</v>
      </c>
      <c r="G11" s="86">
        <v>2.3333333333333335</v>
      </c>
      <c r="H11" s="85" t="s">
        <v>180</v>
      </c>
      <c r="I11" s="87">
        <v>7.6923076923076927E-2</v>
      </c>
      <c r="J11" s="85" t="s">
        <v>180</v>
      </c>
      <c r="K11" s="87">
        <v>0.53846153846153844</v>
      </c>
      <c r="L11" s="85" t="s">
        <v>183</v>
      </c>
      <c r="M11" s="88">
        <v>0.23076923076923078</v>
      </c>
      <c r="N11" s="85" t="s">
        <v>180</v>
      </c>
      <c r="O11" s="88">
        <v>0.24369747899159663</v>
      </c>
      <c r="P11" s="85" t="s">
        <v>180</v>
      </c>
      <c r="Q11" s="89">
        <v>7928.5714285714284</v>
      </c>
      <c r="R11" s="85" t="s">
        <v>183</v>
      </c>
      <c r="S11" s="89">
        <v>-9540</v>
      </c>
      <c r="T11" s="85" t="s">
        <v>179</v>
      </c>
      <c r="U11" s="87">
        <v>0.33333333333333331</v>
      </c>
      <c r="V11" s="85" t="s">
        <v>183</v>
      </c>
      <c r="W11" s="87">
        <v>0</v>
      </c>
      <c r="X11" s="85" t="s">
        <v>128</v>
      </c>
      <c r="Y11" s="88">
        <v>0.20765027322404372</v>
      </c>
      <c r="Z11" s="85" t="s">
        <v>180</v>
      </c>
      <c r="AA11" s="88">
        <v>0.15966386554621848</v>
      </c>
      <c r="AB11" s="85" t="s">
        <v>179</v>
      </c>
      <c r="AC11" s="88">
        <v>0.5</v>
      </c>
      <c r="AD11" s="85" t="s">
        <v>183</v>
      </c>
      <c r="AE11" s="88">
        <v>0.16666666666666666</v>
      </c>
      <c r="AF11" s="85" t="s">
        <v>128</v>
      </c>
      <c r="AG11" s="88">
        <v>0.2857142857142857</v>
      </c>
      <c r="AH11" s="85" t="s">
        <v>196</v>
      </c>
      <c r="AI11" s="92">
        <v>46100</v>
      </c>
    </row>
    <row r="12" spans="1:35" x14ac:dyDescent="0.4">
      <c r="A12" s="82">
        <v>10</v>
      </c>
      <c r="B12" s="83" t="s">
        <v>180</v>
      </c>
      <c r="C12" s="84">
        <v>-207.3</v>
      </c>
      <c r="D12" s="85" t="s">
        <v>178</v>
      </c>
      <c r="E12" s="97">
        <v>-18.649999999999999</v>
      </c>
      <c r="F12" s="85" t="s">
        <v>180</v>
      </c>
      <c r="G12" s="86">
        <v>2.4615384615384617</v>
      </c>
      <c r="H12" s="85" t="s">
        <v>183</v>
      </c>
      <c r="I12" s="87">
        <v>0</v>
      </c>
      <c r="J12" s="85" t="s">
        <v>179</v>
      </c>
      <c r="K12" s="87">
        <v>0.66666666666666663</v>
      </c>
      <c r="L12" s="85" t="s">
        <v>179</v>
      </c>
      <c r="M12" s="88">
        <v>0.14285714285714285</v>
      </c>
      <c r="N12" s="85" t="s">
        <v>178</v>
      </c>
      <c r="O12" s="88">
        <v>0.27777777777777779</v>
      </c>
      <c r="P12" s="85" t="s">
        <v>167</v>
      </c>
      <c r="Q12" s="89">
        <v>7576.1904761904761</v>
      </c>
      <c r="R12" s="85" t="s">
        <v>178</v>
      </c>
      <c r="S12" s="89">
        <v>-11980</v>
      </c>
      <c r="T12" s="85" t="s">
        <v>178</v>
      </c>
      <c r="U12" s="87">
        <v>0.5</v>
      </c>
      <c r="V12" s="85" t="s">
        <v>196</v>
      </c>
      <c r="W12" s="87">
        <v>0</v>
      </c>
      <c r="X12" s="85" t="s">
        <v>179</v>
      </c>
      <c r="Y12" s="88">
        <v>7.1428571428571425E-2</v>
      </c>
      <c r="Z12" s="85" t="s">
        <v>182</v>
      </c>
      <c r="AA12" s="88">
        <v>6.0606060606060608E-2</v>
      </c>
      <c r="AB12" s="85" t="s">
        <v>196</v>
      </c>
      <c r="AC12" s="88">
        <v>0.5</v>
      </c>
      <c r="AD12" s="85" t="s">
        <v>180</v>
      </c>
      <c r="AE12" s="88">
        <v>0.15789473684210525</v>
      </c>
      <c r="AF12" s="85" t="s">
        <v>179</v>
      </c>
      <c r="AG12" s="88">
        <v>0.25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78</v>
      </c>
      <c r="C2" s="153"/>
      <c r="E2" s="62" t="s">
        <v>67</v>
      </c>
      <c r="F2" s="59" t="s">
        <v>23</v>
      </c>
      <c r="G2" s="46">
        <v>155</v>
      </c>
      <c r="H2" s="132">
        <f>IF(B$17=0,0,G2/B$17)</f>
        <v>0.72429906542056077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-12.820512820512821</v>
      </c>
      <c r="P2" s="118">
        <v>78</v>
      </c>
      <c r="Q2" s="102">
        <v>-1000</v>
      </c>
    </row>
    <row r="3" spans="1:17" x14ac:dyDescent="0.4">
      <c r="A3" s="55" t="s">
        <v>8</v>
      </c>
      <c r="B3" s="154">
        <v>711</v>
      </c>
      <c r="C3" s="155"/>
      <c r="E3" s="63" t="s">
        <v>73</v>
      </c>
      <c r="F3" s="60" t="s">
        <v>28</v>
      </c>
      <c r="G3" s="47">
        <v>115</v>
      </c>
      <c r="H3" s="133">
        <f>IF(B$17=0,0,G3/B$17)</f>
        <v>0.53738317757009346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13.333333333333334</v>
      </c>
      <c r="P3" s="119">
        <v>75</v>
      </c>
      <c r="Q3" s="103">
        <v>1000</v>
      </c>
    </row>
    <row r="4" spans="1:17" x14ac:dyDescent="0.4">
      <c r="A4" s="55" t="s">
        <v>6</v>
      </c>
      <c r="B4" s="156">
        <v>0</v>
      </c>
      <c r="C4" s="157"/>
      <c r="E4" s="63" t="s">
        <v>65</v>
      </c>
      <c r="F4" s="60" t="s">
        <v>21</v>
      </c>
      <c r="G4" s="47">
        <v>101</v>
      </c>
      <c r="H4" s="133">
        <f>IF(B$17=0,0,G4/B$17)</f>
        <v>0.4719626168224299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-53.333333333333336</v>
      </c>
      <c r="P4" s="119">
        <v>75</v>
      </c>
      <c r="Q4" s="103">
        <v>-4000</v>
      </c>
    </row>
    <row r="5" spans="1:17" x14ac:dyDescent="0.4">
      <c r="A5" s="55" t="s">
        <v>7</v>
      </c>
      <c r="B5" s="158">
        <f>IF(B$2=0,0,B$4/B$2)</f>
        <v>0</v>
      </c>
      <c r="C5" s="159"/>
      <c r="E5" s="63" t="s">
        <v>172</v>
      </c>
      <c r="F5" s="60" t="s">
        <v>173</v>
      </c>
      <c r="G5" s="47">
        <v>72</v>
      </c>
      <c r="H5" s="133">
        <f>IF(B$17=0,0,G5/B$17)</f>
        <v>0.3364485981308411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40</v>
      </c>
      <c r="P5" s="119">
        <v>75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68</v>
      </c>
      <c r="F6" s="60" t="s">
        <v>24</v>
      </c>
      <c r="G6" s="47">
        <v>71</v>
      </c>
      <c r="H6" s="133">
        <f>IF(B$17=0,0,G6/B$17)</f>
        <v>0.33177570093457942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14.492753623188406</v>
      </c>
      <c r="P6" s="119">
        <v>69</v>
      </c>
      <c r="Q6" s="103">
        <v>1000</v>
      </c>
    </row>
    <row r="7" spans="1:17" x14ac:dyDescent="0.4">
      <c r="A7" s="55" t="s">
        <v>2</v>
      </c>
      <c r="B7" s="47">
        <v>26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56</v>
      </c>
      <c r="H7" s="133">
        <f>IF(B$17=0,0,G7/B$17)</f>
        <v>0.26168224299065418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57</v>
      </c>
      <c r="Q7" s="104">
        <v>0</v>
      </c>
    </row>
    <row r="8" spans="1:17" x14ac:dyDescent="0.4">
      <c r="A8" s="55" t="s">
        <v>3</v>
      </c>
      <c r="B8" s="47">
        <v>26</v>
      </c>
      <c r="C8" s="39">
        <f t="shared" si="1"/>
        <v>0.33333333333333331</v>
      </c>
      <c r="E8" s="63" t="s">
        <v>70</v>
      </c>
      <c r="F8" s="60" t="s">
        <v>25</v>
      </c>
      <c r="G8" s="47">
        <v>35</v>
      </c>
      <c r="H8" s="133">
        <f>IF(B$17=0,0,G8/B$17)</f>
        <v>0.16355140186915887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si="1"/>
        <v>0.33333333333333331</v>
      </c>
      <c r="E9" s="63" t="s">
        <v>90</v>
      </c>
      <c r="F9" s="60" t="s">
        <v>45</v>
      </c>
      <c r="G9" s="47">
        <v>26</v>
      </c>
      <c r="H9" s="133">
        <f>IF(B$17=0,0,G9/B$17)</f>
        <v>0.12149532710280374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9</v>
      </c>
      <c r="C10" s="40">
        <f t="shared" si="1"/>
        <v>0.11538461538461539</v>
      </c>
      <c r="E10" s="63" t="s">
        <v>66</v>
      </c>
      <c r="F10" s="60" t="s">
        <v>22</v>
      </c>
      <c r="G10" s="47">
        <v>24</v>
      </c>
      <c r="H10" s="133">
        <f>IF(B$17=0,0,G10/B$17)</f>
        <v>0.11214953271028037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1.5192307692307698</v>
      </c>
      <c r="P10" s="118">
        <v>26</v>
      </c>
      <c r="Q10" s="106">
        <v>39.500000000000014</v>
      </c>
    </row>
    <row r="11" spans="1:17" x14ac:dyDescent="0.4">
      <c r="A11" s="56" t="s">
        <v>139</v>
      </c>
      <c r="B11" s="48">
        <v>9</v>
      </c>
      <c r="C11" s="40">
        <f t="shared" si="1"/>
        <v>0.11538461538461539</v>
      </c>
      <c r="E11" s="63" t="s">
        <v>72</v>
      </c>
      <c r="F11" s="60" t="s">
        <v>27</v>
      </c>
      <c r="G11" s="47">
        <v>17</v>
      </c>
      <c r="H11" s="133">
        <f>IF(B$17=0,0,G11/B$17)</f>
        <v>7.9439252336448593E-2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4.6769230769230781</v>
      </c>
      <c r="P11" s="119">
        <v>26</v>
      </c>
      <c r="Q11" s="107">
        <v>121.60000000000002</v>
      </c>
    </row>
    <row r="12" spans="1:17" x14ac:dyDescent="0.4">
      <c r="A12" s="57" t="s">
        <v>159</v>
      </c>
      <c r="B12" s="49">
        <v>8</v>
      </c>
      <c r="C12" s="42">
        <f t="shared" si="1"/>
        <v>0.10256410256410256</v>
      </c>
      <c r="E12" s="63" t="s">
        <v>71</v>
      </c>
      <c r="F12" s="60" t="s">
        <v>26</v>
      </c>
      <c r="G12" s="47">
        <v>15</v>
      </c>
      <c r="H12" s="133">
        <f>IF(B$17=0,0,G12/B$17)</f>
        <v>7.0093457943925228E-2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-6.1961538461538446</v>
      </c>
      <c r="P12" s="120">
        <v>26</v>
      </c>
      <c r="Q12" s="108">
        <v>-161.09999999999997</v>
      </c>
    </row>
    <row r="13" spans="1:17" x14ac:dyDescent="0.4">
      <c r="A13" s="58" t="s">
        <v>122</v>
      </c>
      <c r="B13" s="50">
        <v>177</v>
      </c>
      <c r="C13" s="44">
        <f>IF(B$3=0,0,B13/B$3)</f>
        <v>0.24894514767932491</v>
      </c>
      <c r="E13" s="63" t="s">
        <v>84</v>
      </c>
      <c r="F13" s="60" t="s">
        <v>39</v>
      </c>
      <c r="G13" s="47">
        <v>11</v>
      </c>
      <c r="H13" s="133">
        <f>IF(B$17=0,0,G13/B$17)</f>
        <v>5.1401869158878503E-2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159</v>
      </c>
      <c r="C14" s="39">
        <f>IF(B$3=0,0,B14/B$3)</f>
        <v>0.22362869198312235</v>
      </c>
      <c r="E14" s="63" t="s">
        <v>87</v>
      </c>
      <c r="F14" s="60" t="s">
        <v>42</v>
      </c>
      <c r="G14" s="47">
        <v>10</v>
      </c>
      <c r="H14" s="133">
        <f>IF(B$17=0,0,G14/B$17)</f>
        <v>4.6728971962616821E-2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102</v>
      </c>
      <c r="C15" s="37">
        <f>IF(B$13=0,0,B15/B$13)</f>
        <v>0.57627118644067798</v>
      </c>
      <c r="E15" s="63" t="s">
        <v>79</v>
      </c>
      <c r="F15" s="60" t="s">
        <v>34</v>
      </c>
      <c r="G15" s="47">
        <v>6</v>
      </c>
      <c r="H15" s="133">
        <f>IF(B$17=0,0,G15/B$17)</f>
        <v>2.8037383177570093E-2</v>
      </c>
      <c r="I15" s="94">
        <v>3</v>
      </c>
      <c r="K15" s="38">
        <v>13</v>
      </c>
      <c r="L15" s="99">
        <v>-1.7</v>
      </c>
      <c r="N15" s="114" t="s">
        <v>178</v>
      </c>
      <c r="O15" s="124">
        <f>IF(P15=0,0,Q15/P15)</f>
        <v>27.974999999999994</v>
      </c>
      <c r="P15" s="118">
        <v>8</v>
      </c>
      <c r="Q15" s="106">
        <v>223.79999999999995</v>
      </c>
    </row>
    <row r="16" spans="1:17" x14ac:dyDescent="0.4">
      <c r="A16" s="54" t="s">
        <v>125</v>
      </c>
      <c r="B16" s="46">
        <v>68</v>
      </c>
      <c r="C16" s="37">
        <f>IF(B$14=0,0,B16/B$14)</f>
        <v>0.42767295597484278</v>
      </c>
      <c r="E16" s="63" t="s">
        <v>82</v>
      </c>
      <c r="F16" s="60" t="s">
        <v>37</v>
      </c>
      <c r="G16" s="47">
        <v>4</v>
      </c>
      <c r="H16" s="133">
        <f>IF(B$17=0,0,G16/B$17)</f>
        <v>1.8691588785046728E-2</v>
      </c>
      <c r="I16" s="94">
        <v>4</v>
      </c>
      <c r="K16" s="38">
        <v>14</v>
      </c>
      <c r="L16" s="99">
        <v>24.3</v>
      </c>
      <c r="N16" s="115" t="s">
        <v>180</v>
      </c>
      <c r="O16" s="125">
        <f>IF(P16=0,0,Q16/P16)</f>
        <v>23.919230769230772</v>
      </c>
      <c r="P16" s="119">
        <v>26</v>
      </c>
      <c r="Q16" s="107">
        <v>621.90000000000009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0.3009845288326301</v>
      </c>
      <c r="E17" s="63" t="s">
        <v>92</v>
      </c>
      <c r="F17" s="60" t="s">
        <v>47</v>
      </c>
      <c r="G17" s="47">
        <v>4</v>
      </c>
      <c r="H17" s="133">
        <f>IF(B$17=0,0,G17/B$17)</f>
        <v>1.8691588785046728E-2</v>
      </c>
      <c r="I17" s="94">
        <v>3</v>
      </c>
      <c r="K17" s="38">
        <v>15</v>
      </c>
      <c r="L17" s="99">
        <v>0</v>
      </c>
      <c r="N17" s="115" t="s">
        <v>179</v>
      </c>
      <c r="O17" s="125">
        <f>IF(P17=0,0,Q17/P17)</f>
        <v>18.5</v>
      </c>
      <c r="P17" s="119">
        <v>6</v>
      </c>
      <c r="Q17" s="107">
        <v>111</v>
      </c>
    </row>
    <row r="18" spans="1:17" x14ac:dyDescent="0.4">
      <c r="A18" s="55" t="s">
        <v>12</v>
      </c>
      <c r="B18" s="47">
        <v>85</v>
      </c>
      <c r="C18" s="39">
        <f>IF(B$17=0,0,B18/B$17)</f>
        <v>0.39719626168224298</v>
      </c>
      <c r="E18" s="63" t="s">
        <v>80</v>
      </c>
      <c r="F18" s="60" t="s">
        <v>35</v>
      </c>
      <c r="G18" s="47">
        <v>3</v>
      </c>
      <c r="H18" s="133">
        <f>IF(B$17=0,0,G18/B$17)</f>
        <v>1.4018691588785047E-2</v>
      </c>
      <c r="I18" s="94">
        <v>3</v>
      </c>
      <c r="K18" s="38">
        <v>16</v>
      </c>
      <c r="L18" s="99">
        <v>-28.2</v>
      </c>
      <c r="N18" s="115" t="s">
        <v>183</v>
      </c>
      <c r="O18" s="125">
        <f>IF(P18=0,0,Q18/P18)</f>
        <v>16.799999999999997</v>
      </c>
      <c r="P18" s="119">
        <v>6</v>
      </c>
      <c r="Q18" s="107">
        <v>100.79999999999998</v>
      </c>
    </row>
    <row r="19" spans="1:17" x14ac:dyDescent="0.4">
      <c r="A19" s="55" t="s">
        <v>11</v>
      </c>
      <c r="B19" s="47">
        <v>129</v>
      </c>
      <c r="C19" s="39">
        <f>IF(B$17=0,0,B19/B$17)</f>
        <v>0.60280373831775702</v>
      </c>
      <c r="E19" s="63" t="s">
        <v>78</v>
      </c>
      <c r="F19" s="60" t="s">
        <v>33</v>
      </c>
      <c r="G19" s="47">
        <v>2</v>
      </c>
      <c r="H19" s="133">
        <f>IF(B$17=0,0,G19/B$17)</f>
        <v>9.3457943925233638E-3</v>
      </c>
      <c r="I19" s="94">
        <v>2</v>
      </c>
      <c r="K19" s="38">
        <v>17</v>
      </c>
      <c r="L19" s="99">
        <v>-20.5</v>
      </c>
      <c r="N19" s="115" t="s">
        <v>167</v>
      </c>
      <c r="O19" s="125">
        <f>IF(P19=0,0,Q19/P19)</f>
        <v>9.9166666666666679</v>
      </c>
      <c r="P19" s="119">
        <v>18</v>
      </c>
      <c r="Q19" s="107">
        <v>178.50000000000003</v>
      </c>
    </row>
    <row r="20" spans="1:17" x14ac:dyDescent="0.4">
      <c r="A20" s="55" t="s">
        <v>13</v>
      </c>
      <c r="B20" s="47">
        <v>128</v>
      </c>
      <c r="C20" s="39">
        <f>IF(B$3=0,0,B20/B$3)</f>
        <v>0.18002812939521801</v>
      </c>
      <c r="E20" s="63" t="s">
        <v>85</v>
      </c>
      <c r="F20" s="60" t="s">
        <v>40</v>
      </c>
      <c r="G20" s="47">
        <v>2</v>
      </c>
      <c r="H20" s="133">
        <f>IF(B$17=0,0,G20/B$17)</f>
        <v>9.3457943925233638E-3</v>
      </c>
      <c r="I20" s="94">
        <v>2</v>
      </c>
      <c r="K20" s="38">
        <v>18</v>
      </c>
      <c r="L20" s="99">
        <v>0</v>
      </c>
      <c r="N20" s="115" t="s">
        <v>128</v>
      </c>
      <c r="O20" s="125">
        <f>IF(P20=0,0,Q20/P20)</f>
        <v>7.1999999999999975</v>
      </c>
      <c r="P20" s="119">
        <v>40</v>
      </c>
      <c r="Q20" s="107">
        <v>287.99999999999989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86</v>
      </c>
      <c r="F21" s="60" t="s">
        <v>41</v>
      </c>
      <c r="G21" s="47">
        <v>2</v>
      </c>
      <c r="H21" s="133">
        <f>IF(B$17=0,0,G21/B$17)</f>
        <v>9.3457943925233638E-3</v>
      </c>
      <c r="I21" s="94">
        <v>3</v>
      </c>
      <c r="K21" s="38">
        <v>19</v>
      </c>
      <c r="L21" s="99">
        <v>-22.4</v>
      </c>
      <c r="N21" s="115" t="s">
        <v>127</v>
      </c>
      <c r="O21" s="125">
        <f>IF(P21=0,0,Q21/P21)</f>
        <v>-26.528571428571428</v>
      </c>
      <c r="P21" s="119">
        <v>42</v>
      </c>
      <c r="Q21" s="107">
        <v>-1114.2</v>
      </c>
    </row>
    <row r="22" spans="1:17" x14ac:dyDescent="0.4">
      <c r="A22" s="55" t="s">
        <v>171</v>
      </c>
      <c r="B22" s="47">
        <v>21</v>
      </c>
      <c r="C22" s="135">
        <v>11</v>
      </c>
      <c r="E22" s="63" t="s">
        <v>93</v>
      </c>
      <c r="F22" s="60" t="s">
        <v>48</v>
      </c>
      <c r="G22" s="47">
        <v>2</v>
      </c>
      <c r="H22" s="133">
        <f>IF(B$17=0,0,G22/B$17)</f>
        <v>9.3457943925233638E-3</v>
      </c>
      <c r="I22" s="94">
        <v>2</v>
      </c>
      <c r="K22" s="38">
        <v>20</v>
      </c>
      <c r="L22" s="99">
        <v>-61.199999999999996</v>
      </c>
      <c r="N22" s="115" t="s">
        <v>196</v>
      </c>
      <c r="O22" s="125">
        <f>IF(P22=0,0,Q22/P22)</f>
        <v>-31.650000000000002</v>
      </c>
      <c r="P22" s="119">
        <v>2</v>
      </c>
      <c r="Q22" s="107">
        <v>-63.300000000000004</v>
      </c>
    </row>
    <row r="23" spans="1:17" x14ac:dyDescent="0.4">
      <c r="A23" s="55" t="s">
        <v>5</v>
      </c>
      <c r="B23" s="51">
        <f>IF(B$17=0,0,C23/B$17)</f>
        <v>8330.3738317757015</v>
      </c>
      <c r="C23" s="41">
        <v>1782700</v>
      </c>
      <c r="E23" s="63" t="s">
        <v>88</v>
      </c>
      <c r="F23" s="60" t="s">
        <v>43</v>
      </c>
      <c r="G23" s="47">
        <v>1</v>
      </c>
      <c r="H23" s="133">
        <f>IF(B$17=0,0,G23/B$17)</f>
        <v>4.6728971962616819E-3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-43.312500000000007</v>
      </c>
      <c r="P23" s="119">
        <v>8</v>
      </c>
      <c r="Q23" s="107">
        <v>-346.50000000000006</v>
      </c>
    </row>
    <row r="24" spans="1:17" x14ac:dyDescent="0.4">
      <c r="A24" s="57" t="s">
        <v>14</v>
      </c>
      <c r="B24" s="52">
        <f>IF(B$20=0,0,C24/B$20)</f>
        <v>-8120.3125</v>
      </c>
      <c r="C24" s="45">
        <v>-1039400</v>
      </c>
      <c r="E24" s="63" t="s">
        <v>89</v>
      </c>
      <c r="F24" s="60" t="s">
        <v>44</v>
      </c>
      <c r="G24" s="47">
        <v>1</v>
      </c>
      <c r="H24" s="133">
        <f>IF(B$17=0,0,G24/B$17)</f>
        <v>4.6728971962616819E-3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96</v>
      </c>
      <c r="F25" s="60" t="s">
        <v>51</v>
      </c>
      <c r="G25" s="47">
        <v>1</v>
      </c>
      <c r="H25" s="133">
        <f>IF(B$17=0,0,G25/B$17)</f>
        <v>4.6728971962616819E-3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168</v>
      </c>
      <c r="F26" s="60" t="s">
        <v>169</v>
      </c>
      <c r="G26" s="47">
        <v>1</v>
      </c>
      <c r="H26" s="133">
        <f>IF(B$17=0,0,G26/B$17)</f>
        <v>4.6728971962616819E-3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2</v>
      </c>
      <c r="C27" s="42">
        <f>IF(B$3=0,0,B27/B$3)</f>
        <v>2.8129395218002813E-3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9</v>
      </c>
      <c r="C2" s="153"/>
      <c r="E2" s="62" t="s">
        <v>65</v>
      </c>
      <c r="F2" s="59" t="s">
        <v>21</v>
      </c>
      <c r="G2" s="46">
        <v>10</v>
      </c>
      <c r="H2" s="132">
        <f>IF(B$17=0,0,G2/B$17)</f>
        <v>0.47619047619047616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 x14ac:dyDescent="0.4">
      <c r="A3" s="55" t="s">
        <v>8</v>
      </c>
      <c r="B3" s="154">
        <v>87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0.19047619047619047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 x14ac:dyDescent="0.4">
      <c r="A4" s="55" t="s">
        <v>6</v>
      </c>
      <c r="B4" s="156">
        <v>-59.500000000000007</v>
      </c>
      <c r="C4" s="157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8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 x14ac:dyDescent="0.4">
      <c r="A5" s="55" t="s">
        <v>7</v>
      </c>
      <c r="B5" s="158">
        <f>IF(B$2=0,0,B$4/B$2)</f>
        <v>-6.6111111111111116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0.2857142857142857</v>
      </c>
      <c r="I5" s="94">
        <v>5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71</v>
      </c>
      <c r="F8" s="60" t="s">
        <v>26</v>
      </c>
      <c r="G8" s="47">
        <v>3</v>
      </c>
      <c r="H8" s="133">
        <f>IF(B$17=0,0,G8/B$17)</f>
        <v>0.14285714285714285</v>
      </c>
      <c r="I8" s="94">
        <v>3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72</v>
      </c>
      <c r="F9" s="60" t="s">
        <v>27</v>
      </c>
      <c r="G9" s="47">
        <v>3</v>
      </c>
      <c r="H9" s="133">
        <f>IF(B$17=0,0,G9/B$17)</f>
        <v>0.14285714285714285</v>
      </c>
      <c r="I9" s="94">
        <v>2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12</v>
      </c>
      <c r="H10" s="133">
        <f>IF(B$17=0,0,G10/B$17)</f>
        <v>0.5714285714285714</v>
      </c>
      <c r="I10" s="94">
        <v>5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0.22222222222222221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 x14ac:dyDescent="0.4">
      <c r="A13" s="58" t="s">
        <v>122</v>
      </c>
      <c r="B13" s="50">
        <v>21</v>
      </c>
      <c r="C13" s="44">
        <f>IF(B$3=0,0,B13/B$3)</f>
        <v>0.2413793103448276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0.26436781609195403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6</v>
      </c>
      <c r="C16" s="37">
        <f>IF(B$14=0,0,B16/B$14)</f>
        <v>0.2608695652173913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6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 x14ac:dyDescent="0.4">
      <c r="A18" s="55" t="s">
        <v>12</v>
      </c>
      <c r="B18" s="47">
        <v>11</v>
      </c>
      <c r="C18" s="39">
        <f>IF(B$17=0,0,B18/B$17)</f>
        <v>0.52380952380952384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10</v>
      </c>
      <c r="C19" s="39">
        <f>IF(B$17=0,0,B19/B$17)</f>
        <v>0.47619047619047616</v>
      </c>
      <c r="E19" s="63" t="s">
        <v>82</v>
      </c>
      <c r="F19" s="60" t="s">
        <v>37</v>
      </c>
      <c r="G19" s="47">
        <v>1</v>
      </c>
      <c r="H19" s="133">
        <f>IF(B$17=0,0,G19/B$17)</f>
        <v>4.7619047619047616E-2</v>
      </c>
      <c r="I19" s="94">
        <v>2</v>
      </c>
    </row>
    <row r="20" spans="1:17" x14ac:dyDescent="0.4">
      <c r="A20" s="55" t="s">
        <v>13</v>
      </c>
      <c r="B20" s="47">
        <v>17</v>
      </c>
      <c r="C20" s="39">
        <f>IF(B$3=0,0,B20/B$3)</f>
        <v>0.19540229885057472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84</v>
      </c>
      <c r="F21" s="60" t="s">
        <v>39</v>
      </c>
      <c r="G21" s="47">
        <v>2</v>
      </c>
      <c r="H21" s="133">
        <f>IF(B$17=0,0,G21/B$17)</f>
        <v>9.5238095238095233E-2</v>
      </c>
      <c r="I21" s="94">
        <v>3</v>
      </c>
    </row>
    <row r="22" spans="1:17" x14ac:dyDescent="0.4">
      <c r="A22" s="55" t="s">
        <v>171</v>
      </c>
      <c r="B22" s="47">
        <v>17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7576.1904761904761</v>
      </c>
      <c r="C23" s="41">
        <v>159100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-7552.9411764705883</v>
      </c>
      <c r="C24" s="45">
        <v>-128400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49500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1.1494252873563218E-2</v>
      </c>
      <c r="E27" s="63" t="s">
        <v>90</v>
      </c>
      <c r="F27" s="60" t="s">
        <v>45</v>
      </c>
      <c r="G27" s="47">
        <v>1</v>
      </c>
      <c r="H27" s="133">
        <f>IF(B$17=0,0,G27/B$17)</f>
        <v>4.7619047619047616E-2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10</v>
      </c>
      <c r="H51" s="138">
        <f>IF(B$17=0,0,G51/B$17)</f>
        <v>0.47619047619047616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21</v>
      </c>
      <c r="C2" s="153"/>
      <c r="E2" s="62" t="s">
        <v>67</v>
      </c>
      <c r="F2" s="59" t="s">
        <v>23</v>
      </c>
      <c r="G2" s="46">
        <v>36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747.61904761904759</v>
      </c>
      <c r="P2" s="118">
        <v>21</v>
      </c>
      <c r="Q2" s="102">
        <v>15700</v>
      </c>
    </row>
    <row r="3" spans="1:17" x14ac:dyDescent="0.4">
      <c r="A3" s="55" t="s">
        <v>8</v>
      </c>
      <c r="B3" s="154">
        <v>192</v>
      </c>
      <c r="C3" s="155"/>
      <c r="E3" s="63" t="s">
        <v>73</v>
      </c>
      <c r="F3" s="60" t="s">
        <v>28</v>
      </c>
      <c r="G3" s="47">
        <v>34</v>
      </c>
      <c r="H3" s="133">
        <f>IF(B$17=0,0,G3/B$17)</f>
        <v>0.47222222222222221</v>
      </c>
      <c r="I3" s="94">
        <v>7</v>
      </c>
      <c r="K3" s="38">
        <v>1</v>
      </c>
      <c r="L3" s="99">
        <v>50.2</v>
      </c>
      <c r="N3" s="115" t="s">
        <v>132</v>
      </c>
      <c r="O3" s="122">
        <f t="shared" si="0"/>
        <v>-565</v>
      </c>
      <c r="P3" s="119">
        <v>20</v>
      </c>
      <c r="Q3" s="103">
        <v>-11300</v>
      </c>
    </row>
    <row r="4" spans="1:17" x14ac:dyDescent="0.4">
      <c r="A4" s="55" t="s">
        <v>6</v>
      </c>
      <c r="B4" s="156">
        <v>371.39999999999992</v>
      </c>
      <c r="C4" s="157"/>
      <c r="E4" s="63" t="s">
        <v>65</v>
      </c>
      <c r="F4" s="60" t="s">
        <v>21</v>
      </c>
      <c r="G4" s="47">
        <v>30</v>
      </c>
      <c r="H4" s="133">
        <f>IF(B$17=0,0,G4/B$17)</f>
        <v>0.41666666666666669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370</v>
      </c>
      <c r="P4" s="119">
        <v>20</v>
      </c>
      <c r="Q4" s="103">
        <v>7400</v>
      </c>
    </row>
    <row r="5" spans="1:17" x14ac:dyDescent="0.4">
      <c r="A5" s="55" t="s">
        <v>7</v>
      </c>
      <c r="B5" s="158">
        <f>IF(B$2=0,0,B$4/B$2)</f>
        <v>17.685714285714283</v>
      </c>
      <c r="C5" s="159"/>
      <c r="E5" s="63" t="s">
        <v>68</v>
      </c>
      <c r="F5" s="60" t="s">
        <v>24</v>
      </c>
      <c r="G5" s="47">
        <v>20</v>
      </c>
      <c r="H5" s="133">
        <f>IF(B$17=0,0,G5/B$17)</f>
        <v>0.27777777777777779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340</v>
      </c>
      <c r="P5" s="119">
        <v>20</v>
      </c>
      <c r="Q5" s="103">
        <v>6800</v>
      </c>
    </row>
    <row r="6" spans="1:17" x14ac:dyDescent="0.4">
      <c r="A6" s="55" t="s">
        <v>1</v>
      </c>
      <c r="B6" s="148">
        <f>IF(B$2=0,0,(B$7*1+B$8*2+B$9*3)/B$2)</f>
        <v>1.5238095238095237</v>
      </c>
      <c r="C6" s="149"/>
      <c r="E6" s="63" t="s">
        <v>172</v>
      </c>
      <c r="F6" s="60" t="s">
        <v>173</v>
      </c>
      <c r="G6" s="47">
        <v>20</v>
      </c>
      <c r="H6" s="133">
        <f>IF(B$17=0,0,G6/B$17)</f>
        <v>0.27777777777777779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7477.7777777777774</v>
      </c>
      <c r="P6" s="119">
        <v>18</v>
      </c>
      <c r="Q6" s="103">
        <v>134600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0.61904761904761907</v>
      </c>
      <c r="E7" s="63" t="s">
        <v>69</v>
      </c>
      <c r="F7" s="60" t="s">
        <v>12</v>
      </c>
      <c r="G7" s="47">
        <v>19</v>
      </c>
      <c r="H7" s="133">
        <f>IF(B$17=0,0,G7/B$17)</f>
        <v>0.2638888888888889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8133.333333333333</v>
      </c>
      <c r="P7" s="120">
        <v>15</v>
      </c>
      <c r="Q7" s="104">
        <v>122000</v>
      </c>
    </row>
    <row r="8" spans="1:17" x14ac:dyDescent="0.4">
      <c r="A8" s="55" t="s">
        <v>3</v>
      </c>
      <c r="B8" s="47">
        <v>5</v>
      </c>
      <c r="C8" s="39">
        <f t="shared" si="1"/>
        <v>0.23809523809523808</v>
      </c>
      <c r="E8" s="63" t="s">
        <v>70</v>
      </c>
      <c r="F8" s="60" t="s">
        <v>25</v>
      </c>
      <c r="G8" s="47">
        <v>10</v>
      </c>
      <c r="H8" s="133">
        <f>IF(B$17=0,0,G8/B$17)</f>
        <v>0.1388888888888889</v>
      </c>
      <c r="I8" s="94">
        <v>6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0.14285714285714285</v>
      </c>
      <c r="E9" s="63" t="s">
        <v>90</v>
      </c>
      <c r="F9" s="60" t="s">
        <v>45</v>
      </c>
      <c r="G9" s="47">
        <v>10</v>
      </c>
      <c r="H9" s="133">
        <f>IF(B$17=0,0,G9/B$17)</f>
        <v>0.1388888888888889</v>
      </c>
      <c r="I9" s="94">
        <v>3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7</v>
      </c>
      <c r="H10" s="133">
        <f>IF(B$17=0,0,G10/B$17)</f>
        <v>9.7222222222222224E-2</v>
      </c>
      <c r="I10" s="94">
        <v>7</v>
      </c>
      <c r="K10" s="38">
        <v>8</v>
      </c>
      <c r="L10" s="99">
        <v>148.1</v>
      </c>
      <c r="N10" s="114" t="s">
        <v>163</v>
      </c>
      <c r="O10" s="124">
        <f>IF(P10=0,0,Q10/P10)</f>
        <v>12.600000000000001</v>
      </c>
      <c r="P10" s="118">
        <v>6</v>
      </c>
      <c r="Q10" s="106">
        <v>75.600000000000009</v>
      </c>
    </row>
    <row r="11" spans="1:17" x14ac:dyDescent="0.4">
      <c r="A11" s="56" t="s">
        <v>139</v>
      </c>
      <c r="B11" s="48">
        <v>4</v>
      </c>
      <c r="C11" s="40">
        <f t="shared" si="1"/>
        <v>0.19047619047619047</v>
      </c>
      <c r="E11" s="63" t="s">
        <v>72</v>
      </c>
      <c r="F11" s="60" t="s">
        <v>27</v>
      </c>
      <c r="G11" s="47">
        <v>5</v>
      </c>
      <c r="H11" s="133">
        <f>IF(B$17=0,0,G11/B$17)</f>
        <v>6.9444444444444448E-2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22.175000000000001</v>
      </c>
      <c r="P11" s="119">
        <v>8</v>
      </c>
      <c r="Q11" s="107">
        <v>177.4</v>
      </c>
    </row>
    <row r="12" spans="1:17" x14ac:dyDescent="0.4">
      <c r="A12" s="57" t="s">
        <v>159</v>
      </c>
      <c r="B12" s="49">
        <v>4</v>
      </c>
      <c r="C12" s="42">
        <f t="shared" si="1"/>
        <v>0.19047619047619047</v>
      </c>
      <c r="E12" s="63" t="s">
        <v>71</v>
      </c>
      <c r="F12" s="60" t="s">
        <v>26</v>
      </c>
      <c r="G12" s="47">
        <v>4</v>
      </c>
      <c r="H12" s="133">
        <f>IF(B$17=0,0,G12/B$17)</f>
        <v>5.5555555555555552E-2</v>
      </c>
      <c r="I12" s="94">
        <v>7</v>
      </c>
      <c r="K12" s="38">
        <v>10</v>
      </c>
      <c r="L12" s="99">
        <v>158.19999999999999</v>
      </c>
      <c r="N12" s="116" t="s">
        <v>165</v>
      </c>
      <c r="O12" s="126">
        <f>IF(P12=0,0,Q12/P12)</f>
        <v>16.914285714285715</v>
      </c>
      <c r="P12" s="120">
        <v>7</v>
      </c>
      <c r="Q12" s="108">
        <v>118.39999999999999</v>
      </c>
    </row>
    <row r="13" spans="1:17" x14ac:dyDescent="0.4">
      <c r="A13" s="58" t="s">
        <v>122</v>
      </c>
      <c r="B13" s="50">
        <v>54</v>
      </c>
      <c r="C13" s="44">
        <f>IF(B$3=0,0,B13/B$3)</f>
        <v>0.28125</v>
      </c>
      <c r="E13" s="63" t="s">
        <v>87</v>
      </c>
      <c r="F13" s="60" t="s">
        <v>42</v>
      </c>
      <c r="G13" s="47">
        <v>4</v>
      </c>
      <c r="H13" s="133">
        <f>IF(B$17=0,0,G13/B$17)</f>
        <v>5.5555555555555552E-2</v>
      </c>
      <c r="I13" s="94">
        <v>2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0.21354166666666666</v>
      </c>
      <c r="E14" s="63" t="s">
        <v>78</v>
      </c>
      <c r="F14" s="60" t="s">
        <v>33</v>
      </c>
      <c r="G14" s="47">
        <v>2</v>
      </c>
      <c r="H14" s="133">
        <f>IF(B$17=0,0,G14/B$17)</f>
        <v>2.7777777777777776E-2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32</v>
      </c>
      <c r="C15" s="37">
        <f>IF(B$13=0,0,B15/B$13)</f>
        <v>0.59259259259259256</v>
      </c>
      <c r="E15" s="63" t="s">
        <v>79</v>
      </c>
      <c r="F15" s="60" t="s">
        <v>34</v>
      </c>
      <c r="G15" s="47">
        <v>2</v>
      </c>
      <c r="H15" s="133">
        <f>IF(B$17=0,0,G15/B$17)</f>
        <v>2.7777777777777776E-2</v>
      </c>
      <c r="I15" s="94">
        <v>4</v>
      </c>
      <c r="K15" s="38">
        <v>13</v>
      </c>
      <c r="L15" s="99">
        <v>206.39999999999998</v>
      </c>
      <c r="N15" s="114" t="s">
        <v>179</v>
      </c>
      <c r="O15" s="124">
        <f>IF(P15=0,0,Q15/P15)</f>
        <v>75.5</v>
      </c>
      <c r="P15" s="118">
        <v>2</v>
      </c>
      <c r="Q15" s="106">
        <v>151</v>
      </c>
    </row>
    <row r="16" spans="1:17" x14ac:dyDescent="0.4">
      <c r="A16" s="54" t="s">
        <v>125</v>
      </c>
      <c r="B16" s="46">
        <v>24</v>
      </c>
      <c r="C16" s="37">
        <f>IF(B$14=0,0,B16/B$14)</f>
        <v>0.58536585365853655</v>
      </c>
      <c r="E16" s="63" t="s">
        <v>84</v>
      </c>
      <c r="F16" s="60" t="s">
        <v>39</v>
      </c>
      <c r="G16" s="47">
        <v>2</v>
      </c>
      <c r="H16" s="133">
        <f>IF(B$17=0,0,G16/B$17)</f>
        <v>2.7777777777777776E-2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>IF(P16=0,0,Q16/P16)</f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0.375</v>
      </c>
      <c r="E17" s="63" t="s">
        <v>85</v>
      </c>
      <c r="F17" s="60" t="s">
        <v>40</v>
      </c>
      <c r="G17" s="47">
        <v>2</v>
      </c>
      <c r="H17" s="133">
        <f>IF(B$17=0,0,G17/B$17)</f>
        <v>2.7777777777777776E-2</v>
      </c>
      <c r="I17" s="94">
        <v>1</v>
      </c>
      <c r="K17" s="38">
        <v>15</v>
      </c>
      <c r="L17" s="99">
        <v>269.49999999999994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34</v>
      </c>
      <c r="C18" s="39">
        <f>IF(B$17=0,0,B18/B$17)</f>
        <v>0.47222222222222221</v>
      </c>
      <c r="E18" s="63" t="s">
        <v>93</v>
      </c>
      <c r="F18" s="60" t="s">
        <v>48</v>
      </c>
      <c r="G18" s="47">
        <v>2</v>
      </c>
      <c r="H18" s="133">
        <f>IF(B$17=0,0,G18/B$17)</f>
        <v>2.7777777777777776E-2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>IF(P18=0,0,Q18/P18)</f>
        <v>22.147368421052629</v>
      </c>
      <c r="P18" s="119">
        <v>19</v>
      </c>
      <c r="Q18" s="107">
        <v>420.79999999999995</v>
      </c>
    </row>
    <row r="19" spans="1:17" x14ac:dyDescent="0.4">
      <c r="A19" s="55" t="s">
        <v>11</v>
      </c>
      <c r="B19" s="47">
        <v>38</v>
      </c>
      <c r="C19" s="39">
        <f>IF(B$17=0,0,B19/B$17)</f>
        <v>0.52777777777777779</v>
      </c>
      <c r="E19" s="63" t="s">
        <v>82</v>
      </c>
      <c r="F19" s="60" t="s">
        <v>37</v>
      </c>
      <c r="G19" s="47">
        <v>1</v>
      </c>
      <c r="H19" s="133">
        <f>IF(B$17=0,0,G19/B$17)</f>
        <v>1.3888888888888888E-2</v>
      </c>
      <c r="I19" s="94">
        <v>5</v>
      </c>
      <c r="K19" s="38">
        <v>17</v>
      </c>
      <c r="L19" s="99">
        <v>359.09999999999991</v>
      </c>
      <c r="N19" s="115" t="s">
        <v>167</v>
      </c>
      <c r="O19" s="125">
        <f>IF(P19=0,0,Q19/P19)</f>
        <v>16.087499999999999</v>
      </c>
      <c r="P19" s="119">
        <v>8</v>
      </c>
      <c r="Q19" s="107">
        <v>128.69999999999999</v>
      </c>
    </row>
    <row r="20" spans="1:17" x14ac:dyDescent="0.4">
      <c r="A20" s="55" t="s">
        <v>13</v>
      </c>
      <c r="B20" s="47">
        <v>26</v>
      </c>
      <c r="C20" s="39">
        <f>IF(B$3=0,0,B20/B$3)</f>
        <v>0.13541666666666666</v>
      </c>
      <c r="E20" s="63" t="s">
        <v>86</v>
      </c>
      <c r="F20" s="60" t="s">
        <v>41</v>
      </c>
      <c r="G20" s="47">
        <v>1</v>
      </c>
      <c r="H20" s="133">
        <f>IF(B$17=0,0,G20/B$17)</f>
        <v>1.3888888888888888E-2</v>
      </c>
      <c r="I20" s="94">
        <v>2</v>
      </c>
      <c r="K20" s="38">
        <v>18</v>
      </c>
      <c r="L20" s="99">
        <v>352.39999999999992</v>
      </c>
      <c r="N20" s="115" t="s">
        <v>178</v>
      </c>
      <c r="O20" s="125">
        <f>IF(P20=0,0,Q20/P20)</f>
        <v>-33.300000000000004</v>
      </c>
      <c r="P20" s="119">
        <v>1</v>
      </c>
      <c r="Q20" s="107">
        <v>-33.300000000000004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89</v>
      </c>
      <c r="F21" s="60" t="s">
        <v>44</v>
      </c>
      <c r="G21" s="47">
        <v>1</v>
      </c>
      <c r="H21" s="133">
        <f>IF(B$17=0,0,G21/B$17)</f>
        <v>1.3888888888888888E-2</v>
      </c>
      <c r="I21" s="94">
        <v>1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92</v>
      </c>
      <c r="F22" s="60" t="s">
        <v>47</v>
      </c>
      <c r="G22" s="47">
        <v>1</v>
      </c>
      <c r="H22" s="133">
        <f>IF(B$17=0,0,G22/B$17)</f>
        <v>1.3888888888888888E-2</v>
      </c>
      <c r="I22" s="94">
        <v>4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8168.0555555555557</v>
      </c>
      <c r="C23" s="41">
        <v>588100</v>
      </c>
      <c r="E23" s="63" t="s">
        <v>96</v>
      </c>
      <c r="F23" s="60" t="s">
        <v>51</v>
      </c>
      <c r="G23" s="47">
        <v>1</v>
      </c>
      <c r="H23" s="133">
        <f>IF(B$17=0,0,G23/B$17)</f>
        <v>1.3888888888888888E-2</v>
      </c>
      <c r="I23" s="94">
        <v>1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-6553.8461538461543</v>
      </c>
      <c r="C24" s="45">
        <v>-170400</v>
      </c>
      <c r="E24" s="63" t="s">
        <v>168</v>
      </c>
      <c r="F24" s="60" t="s">
        <v>169</v>
      </c>
      <c r="G24" s="47">
        <v>1</v>
      </c>
      <c r="H24" s="133">
        <f>IF(B$17=0,0,G24/B$17)</f>
        <v>1.3888888888888888E-2</v>
      </c>
      <c r="I24" s="94">
        <v>1</v>
      </c>
    </row>
    <row r="25" spans="1:17" x14ac:dyDescent="0.4">
      <c r="A25" s="90" t="s">
        <v>141</v>
      </c>
      <c r="B25" s="146">
        <v>6</v>
      </c>
      <c r="C25" s="147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86200</v>
      </c>
      <c r="C26" s="145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76</v>
      </c>
      <c r="F27" s="60" t="s">
        <v>31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80</v>
      </c>
      <c r="F29" s="60" t="s">
        <v>35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20</v>
      </c>
      <c r="C2" s="153"/>
      <c r="E2" s="62" t="s">
        <v>65</v>
      </c>
      <c r="F2" s="59" t="s">
        <v>21</v>
      </c>
      <c r="G2" s="46">
        <v>22</v>
      </c>
      <c r="H2" s="132">
        <f>IF(B$17=0,0,G2/B$17)</f>
        <v>0.39285714285714285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1315</v>
      </c>
      <c r="P2" s="118">
        <v>20</v>
      </c>
      <c r="Q2" s="102">
        <v>26300</v>
      </c>
    </row>
    <row r="3" spans="1:17" x14ac:dyDescent="0.4">
      <c r="A3" s="55" t="s">
        <v>8</v>
      </c>
      <c r="B3" s="154">
        <v>183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7.1428571428571425E-2</v>
      </c>
      <c r="I3" s="94">
        <v>8</v>
      </c>
      <c r="K3" s="38">
        <v>1</v>
      </c>
      <c r="L3" s="99">
        <v>-45.6</v>
      </c>
      <c r="N3" s="115" t="s">
        <v>132</v>
      </c>
      <c r="O3" s="122">
        <f t="shared" si="0"/>
        <v>1889.4736842105262</v>
      </c>
      <c r="P3" s="119">
        <v>19</v>
      </c>
      <c r="Q3" s="103">
        <v>35900</v>
      </c>
    </row>
    <row r="4" spans="1:17" x14ac:dyDescent="0.4">
      <c r="A4" s="55" t="s">
        <v>6</v>
      </c>
      <c r="B4" s="156">
        <v>-96.000000000000028</v>
      </c>
      <c r="C4" s="157"/>
      <c r="E4" s="63" t="s">
        <v>67</v>
      </c>
      <c r="F4" s="60" t="s">
        <v>23</v>
      </c>
      <c r="G4" s="47">
        <v>57</v>
      </c>
      <c r="H4" s="133">
        <f>IF(B$17=0,0,G4/B$17)</f>
        <v>1.0178571428571428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-1347.3684210526317</v>
      </c>
      <c r="P4" s="119">
        <v>19</v>
      </c>
      <c r="Q4" s="103">
        <v>-25600</v>
      </c>
    </row>
    <row r="5" spans="1:17" x14ac:dyDescent="0.4">
      <c r="A5" s="55" t="s">
        <v>7</v>
      </c>
      <c r="B5" s="158">
        <f>IF(B$2=0,0,B$4/B$2)</f>
        <v>-4.8000000000000016</v>
      </c>
      <c r="C5" s="159"/>
      <c r="E5" s="63" t="s">
        <v>68</v>
      </c>
      <c r="F5" s="60" t="s">
        <v>24</v>
      </c>
      <c r="G5" s="47">
        <v>15</v>
      </c>
      <c r="H5" s="133">
        <f>IF(B$17=0,0,G5/B$17)</f>
        <v>0.26785714285714285</v>
      </c>
      <c r="I5" s="94">
        <v>8</v>
      </c>
      <c r="K5" s="38">
        <v>3</v>
      </c>
      <c r="L5" s="99">
        <v>-58.599999999999994</v>
      </c>
      <c r="N5" s="115" t="s">
        <v>134</v>
      </c>
      <c r="O5" s="122">
        <f t="shared" si="0"/>
        <v>4663.1578947368425</v>
      </c>
      <c r="P5" s="119">
        <v>19</v>
      </c>
      <c r="Q5" s="103">
        <v>88600</v>
      </c>
    </row>
    <row r="6" spans="1:17" x14ac:dyDescent="0.4">
      <c r="A6" s="55" t="s">
        <v>1</v>
      </c>
      <c r="B6" s="148">
        <f>IF(B$2=0,0,(B$7*1+B$8*2+B$9*3)/B$2)</f>
        <v>2.2000000000000002</v>
      </c>
      <c r="C6" s="149"/>
      <c r="E6" s="63" t="s">
        <v>69</v>
      </c>
      <c r="F6" s="60" t="s">
        <v>12</v>
      </c>
      <c r="G6" s="47">
        <v>12</v>
      </c>
      <c r="H6" s="133">
        <f>IF(B$17=0,0,G6/B$17)</f>
        <v>0.21428571428571427</v>
      </c>
      <c r="I6" s="94">
        <v>7</v>
      </c>
      <c r="K6" s="38">
        <v>4</v>
      </c>
      <c r="L6" s="99">
        <v>-38.099999999999994</v>
      </c>
      <c r="N6" s="115" t="s">
        <v>135</v>
      </c>
      <c r="O6" s="122">
        <f t="shared" si="0"/>
        <v>-3988.8888888888887</v>
      </c>
      <c r="P6" s="119">
        <v>18</v>
      </c>
      <c r="Q6" s="103">
        <v>-71800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</v>
      </c>
      <c r="E7" s="63" t="s">
        <v>70</v>
      </c>
      <c r="F7" s="60" t="s">
        <v>25</v>
      </c>
      <c r="G7" s="47">
        <v>8</v>
      </c>
      <c r="H7" s="133">
        <f>IF(B$17=0,0,G7/B$17)</f>
        <v>0.14285714285714285</v>
      </c>
      <c r="I7" s="94">
        <v>5</v>
      </c>
      <c r="K7" s="38">
        <v>5</v>
      </c>
      <c r="L7" s="99">
        <v>-11.299999999999994</v>
      </c>
      <c r="N7" s="116" t="s">
        <v>136</v>
      </c>
      <c r="O7" s="123">
        <f t="shared" si="0"/>
        <v>-6820</v>
      </c>
      <c r="P7" s="120">
        <v>15</v>
      </c>
      <c r="Q7" s="104">
        <v>-102300</v>
      </c>
    </row>
    <row r="8" spans="1:17" x14ac:dyDescent="0.4">
      <c r="A8" s="55" t="s">
        <v>3</v>
      </c>
      <c r="B8" s="47">
        <v>8</v>
      </c>
      <c r="C8" s="39">
        <f t="shared" si="1"/>
        <v>0.4</v>
      </c>
      <c r="E8" s="63" t="s">
        <v>71</v>
      </c>
      <c r="F8" s="60" t="s">
        <v>26</v>
      </c>
      <c r="G8" s="47">
        <v>1</v>
      </c>
      <c r="H8" s="133">
        <f>IF(B$17=0,0,G8/B$17)</f>
        <v>1.7857142857142856E-2</v>
      </c>
      <c r="I8" s="94">
        <v>8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0.4</v>
      </c>
      <c r="E9" s="63" t="s">
        <v>72</v>
      </c>
      <c r="F9" s="60" t="s">
        <v>27</v>
      </c>
      <c r="G9" s="47">
        <v>1</v>
      </c>
      <c r="H9" s="133">
        <f>IF(B$17=0,0,G9/B$17)</f>
        <v>1.7857142857142856E-2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</v>
      </c>
      <c r="E10" s="63" t="s">
        <v>73</v>
      </c>
      <c r="F10" s="60" t="s">
        <v>28</v>
      </c>
      <c r="G10" s="47">
        <v>36</v>
      </c>
      <c r="H10" s="133">
        <f>IF(B$17=0,0,G10/B$17)</f>
        <v>0.6428571428571429</v>
      </c>
      <c r="I10" s="94">
        <v>4</v>
      </c>
      <c r="K10" s="38">
        <v>8</v>
      </c>
      <c r="L10" s="99">
        <v>-56.79999999999999</v>
      </c>
      <c r="N10" s="114" t="s">
        <v>163</v>
      </c>
      <c r="O10" s="124">
        <f>IF(P10=0,0,Q10/P10)</f>
        <v>2.9000000000000008</v>
      </c>
      <c r="P10" s="118">
        <v>6</v>
      </c>
      <c r="Q10" s="106">
        <v>17.400000000000006</v>
      </c>
    </row>
    <row r="11" spans="1:17" x14ac:dyDescent="0.4">
      <c r="A11" s="56" t="s">
        <v>139</v>
      </c>
      <c r="B11" s="48">
        <v>2</v>
      </c>
      <c r="C11" s="40">
        <f t="shared" si="1"/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8.7333333333333325</v>
      </c>
      <c r="P11" s="119">
        <v>6</v>
      </c>
      <c r="Q11" s="107">
        <v>52.4</v>
      </c>
    </row>
    <row r="12" spans="1:17" x14ac:dyDescent="0.4">
      <c r="A12" s="57" t="s">
        <v>159</v>
      </c>
      <c r="B12" s="49">
        <v>2</v>
      </c>
      <c r="C12" s="42">
        <f t="shared" si="1"/>
        <v>0.1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-78.399999999999991</v>
      </c>
      <c r="N12" s="116" t="s">
        <v>165</v>
      </c>
      <c r="O12" s="126">
        <f>IF(P12=0,0,Q12/P12)</f>
        <v>-20.725000000000001</v>
      </c>
      <c r="P12" s="120">
        <v>8</v>
      </c>
      <c r="Q12" s="108">
        <v>-165.8</v>
      </c>
    </row>
    <row r="13" spans="1:17" x14ac:dyDescent="0.4">
      <c r="A13" s="58" t="s">
        <v>122</v>
      </c>
      <c r="B13" s="50">
        <v>38</v>
      </c>
      <c r="C13" s="44">
        <f>IF(B$3=0,0,B13/B$3)</f>
        <v>0.20765027322404372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51</v>
      </c>
      <c r="C14" s="39">
        <f>IF(B$3=0,0,B14/B$3)</f>
        <v>0.27868852459016391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0.52631578947368418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-86.8</v>
      </c>
      <c r="N15" s="114" t="s">
        <v>180</v>
      </c>
      <c r="O15" s="124">
        <f>IF(P15=0,0,Q15/P15)</f>
        <v>10.424999999999999</v>
      </c>
      <c r="P15" s="118">
        <v>12</v>
      </c>
      <c r="Q15" s="106">
        <v>125.1</v>
      </c>
    </row>
    <row r="16" spans="1:17" x14ac:dyDescent="0.4">
      <c r="A16" s="54" t="s">
        <v>125</v>
      </c>
      <c r="B16" s="46">
        <v>25</v>
      </c>
      <c r="C16" s="37">
        <f>IF(B$14=0,0,B16/B$14)</f>
        <v>0.49019607843137253</v>
      </c>
      <c r="E16" s="63" t="s">
        <v>79</v>
      </c>
      <c r="F16" s="60" t="s">
        <v>34</v>
      </c>
      <c r="G16" s="47">
        <v>1</v>
      </c>
      <c r="H16" s="133">
        <f>IF(B$17=0,0,G16/B$17)</f>
        <v>1.7857142857142856E-2</v>
      </c>
      <c r="I16" s="94">
        <v>5</v>
      </c>
      <c r="K16" s="38">
        <v>14</v>
      </c>
      <c r="L16" s="99">
        <v>-138.4</v>
      </c>
      <c r="N16" s="115" t="s">
        <v>167</v>
      </c>
      <c r="O16" s="125">
        <f>IF(P16=0,0,Q16/P16)</f>
        <v>3.7874999999999988</v>
      </c>
      <c r="P16" s="119">
        <v>8</v>
      </c>
      <c r="Q16" s="107">
        <v>30.29999999999999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0.30601092896174864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K17" s="38">
        <v>15</v>
      </c>
      <c r="L17" s="99">
        <v>-144.30000000000001</v>
      </c>
      <c r="N17" s="115" t="s">
        <v>127</v>
      </c>
      <c r="O17" s="125">
        <f>IF(P17=0,0,Q17/P17)</f>
        <v>-22.147368421052626</v>
      </c>
      <c r="P17" s="119">
        <v>19</v>
      </c>
      <c r="Q17" s="107">
        <v>-420.7999999999999</v>
      </c>
    </row>
    <row r="18" spans="1:17" x14ac:dyDescent="0.4">
      <c r="A18" s="55" t="s">
        <v>12</v>
      </c>
      <c r="B18" s="47">
        <v>16</v>
      </c>
      <c r="C18" s="39">
        <f>IF(B$17=0,0,B18/B$17)</f>
        <v>0.2857142857142857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182</v>
      </c>
      <c r="O18" s="125">
        <f>IF(P18=0,0,Q18/P18)</f>
        <v>-22.6</v>
      </c>
      <c r="P18" s="119">
        <v>1</v>
      </c>
      <c r="Q18" s="107">
        <v>-22.6</v>
      </c>
    </row>
    <row r="19" spans="1:17" x14ac:dyDescent="0.4">
      <c r="A19" s="55" t="s">
        <v>11</v>
      </c>
      <c r="B19" s="47">
        <v>40</v>
      </c>
      <c r="C19" s="39">
        <f>IF(B$17=0,0,B19/B$17)</f>
        <v>0.7142857142857143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-179.70000000000002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0.19672131147540983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3.5714285714285712E-2</v>
      </c>
      <c r="I21" s="94">
        <v>5</v>
      </c>
      <c r="K21" s="38">
        <v>19</v>
      </c>
      <c r="L21" s="99">
        <v>-162.40000000000003</v>
      </c>
    </row>
    <row r="22" spans="1:17" x14ac:dyDescent="0.4">
      <c r="A22" s="55" t="s">
        <v>171</v>
      </c>
      <c r="B22" s="47">
        <v>23</v>
      </c>
      <c r="C22" s="135">
        <v>10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8237.5</v>
      </c>
      <c r="C23" s="41">
        <v>461300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-7880.5555555555557</v>
      </c>
      <c r="C24" s="45">
        <v>-283700</v>
      </c>
      <c r="E24" s="63" t="s">
        <v>87</v>
      </c>
      <c r="F24" s="60" t="s">
        <v>42</v>
      </c>
      <c r="G24" s="47">
        <v>5</v>
      </c>
      <c r="H24" s="133">
        <f>IF(B$17=0,0,G24/B$17)</f>
        <v>8.9285714285714288E-2</v>
      </c>
      <c r="I24" s="94">
        <v>1</v>
      </c>
    </row>
    <row r="25" spans="1:17" x14ac:dyDescent="0.4">
      <c r="A25" s="90" t="s">
        <v>141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91800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5.4644808743169399E-3</v>
      </c>
      <c r="E27" s="63" t="s">
        <v>90</v>
      </c>
      <c r="F27" s="60" t="s">
        <v>45</v>
      </c>
      <c r="G27" s="47">
        <v>7</v>
      </c>
      <c r="H27" s="133">
        <f>IF(B$17=0,0,G27/B$17)</f>
        <v>0.125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3.5714285714285712E-2</v>
      </c>
      <c r="I29" s="94">
        <v>2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20</v>
      </c>
      <c r="H51" s="138">
        <f>IF(B$17=0,0,G51/B$17)</f>
        <v>0.35714285714285715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13</v>
      </c>
      <c r="C2" s="153"/>
      <c r="E2" s="62" t="s">
        <v>65</v>
      </c>
      <c r="F2" s="59" t="s">
        <v>21</v>
      </c>
      <c r="G2" s="46">
        <v>19</v>
      </c>
      <c r="H2" s="132">
        <f>IF(B$17=0,0,G2/B$17)</f>
        <v>0.6785714285714286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4">
        <v>119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0.14285714285714285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6">
        <v>-207.3</v>
      </c>
      <c r="C4" s="157"/>
      <c r="E4" s="63" t="s">
        <v>67</v>
      </c>
      <c r="F4" s="60" t="s">
        <v>23</v>
      </c>
      <c r="G4" s="47">
        <v>23</v>
      </c>
      <c r="H4" s="133">
        <f>IF(B$17=0,0,G4/B$17)</f>
        <v>0.8214285714285714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8">
        <f>IF(B$2=0,0,B$4/B$2)</f>
        <v>-15.946153846153846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0.2857142857142857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8">
        <f>IF(B$2=0,0,(B$7*1+B$8*2+B$9*3)/B$2)</f>
        <v>2.4615384615384617</v>
      </c>
      <c r="C6" s="149"/>
      <c r="E6" s="63" t="s">
        <v>69</v>
      </c>
      <c r="F6" s="60" t="s">
        <v>12</v>
      </c>
      <c r="G6" s="47">
        <v>6</v>
      </c>
      <c r="H6" s="133">
        <f>IF(B$17=0,0,G6/B$17)</f>
        <v>0.21428571428571427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70</v>
      </c>
      <c r="F7" s="60" t="s">
        <v>25</v>
      </c>
      <c r="G7" s="47">
        <v>5</v>
      </c>
      <c r="H7" s="133">
        <f>IF(B$17=0,0,G7/B$17)</f>
        <v>0.17857142857142858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71</v>
      </c>
      <c r="F8" s="60" t="s">
        <v>26</v>
      </c>
      <c r="G8" s="47">
        <v>3</v>
      </c>
      <c r="H8" s="133">
        <f>IF(B$17=0,0,G8/B$17)</f>
        <v>0.10714285714285714</v>
      </c>
      <c r="I8" s="94">
        <v>5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72</v>
      </c>
      <c r="F9" s="60" t="s">
        <v>27</v>
      </c>
      <c r="G9" s="47">
        <v>3</v>
      </c>
      <c r="H9" s="133">
        <f>IF(B$17=0,0,G9/B$17)</f>
        <v>0.10714285714285714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73</v>
      </c>
      <c r="F10" s="60" t="s">
        <v>28</v>
      </c>
      <c r="G10" s="47">
        <v>13</v>
      </c>
      <c r="H10" s="133">
        <f>IF(B$17=0,0,G10/B$17)</f>
        <v>0.4642857142857143</v>
      </c>
      <c r="I10" s="94">
        <v>8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79</v>
      </c>
      <c r="F16" s="60" t="s">
        <v>34</v>
      </c>
      <c r="G16" s="47">
        <v>2</v>
      </c>
      <c r="H16" s="133">
        <f>IF(B$17=0,0,G16/B$17)</f>
        <v>7.1428571428571425E-2</v>
      </c>
      <c r="I16" s="94">
        <v>2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2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87</v>
      </c>
      <c r="F24" s="60" t="s">
        <v>42</v>
      </c>
      <c r="G24" s="47">
        <v>1</v>
      </c>
      <c r="H24" s="133">
        <f>IF(B$17=0,0,G24/B$17)</f>
        <v>3.5714285714285712E-2</v>
      </c>
      <c r="I24" s="94">
        <v>4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53700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7.1428571428571425E-2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0.39285714285714285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67</v>
      </c>
      <c r="F2" s="59" t="s">
        <v>23</v>
      </c>
      <c r="G2" s="46">
        <v>8</v>
      </c>
      <c r="H2" s="132">
        <f>IF(B$17=0,0,G2/B$17)</f>
        <v>0.88888888888888884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4050</v>
      </c>
      <c r="P2" s="118">
        <v>4</v>
      </c>
      <c r="Q2" s="102">
        <v>16200</v>
      </c>
    </row>
    <row r="3" spans="1:17" x14ac:dyDescent="0.4">
      <c r="A3" s="55" t="s">
        <v>8</v>
      </c>
      <c r="B3" s="154">
        <v>36</v>
      </c>
      <c r="C3" s="155"/>
      <c r="E3" s="63" t="s">
        <v>68</v>
      </c>
      <c r="F3" s="60" t="s">
        <v>24</v>
      </c>
      <c r="G3" s="47">
        <v>7</v>
      </c>
      <c r="H3" s="133">
        <f>IF(B$17=0,0,G3/B$17)</f>
        <v>0.77777777777777779</v>
      </c>
      <c r="I3" s="94">
        <v>3</v>
      </c>
      <c r="K3" s="38">
        <v>1</v>
      </c>
      <c r="L3" s="99">
        <v>-9.1</v>
      </c>
      <c r="N3" s="115" t="s">
        <v>132</v>
      </c>
      <c r="O3" s="122">
        <f t="shared" si="0"/>
        <v>-1625</v>
      </c>
      <c r="P3" s="119">
        <v>4</v>
      </c>
      <c r="Q3" s="103">
        <v>-6500</v>
      </c>
    </row>
    <row r="4" spans="1:17" x14ac:dyDescent="0.4">
      <c r="A4" s="55" t="s">
        <v>6</v>
      </c>
      <c r="B4" s="156">
        <v>-74.599999999999994</v>
      </c>
      <c r="C4" s="157"/>
      <c r="E4" s="63" t="s">
        <v>65</v>
      </c>
      <c r="F4" s="60" t="s">
        <v>21</v>
      </c>
      <c r="G4" s="47">
        <v>4</v>
      </c>
      <c r="H4" s="133">
        <f>IF(B$17=0,0,G4/B$17)</f>
        <v>0.44444444444444442</v>
      </c>
      <c r="I4" s="94">
        <v>6</v>
      </c>
      <c r="K4" s="38">
        <v>2</v>
      </c>
      <c r="L4" s="99">
        <v>-67.3</v>
      </c>
      <c r="N4" s="115" t="s">
        <v>133</v>
      </c>
      <c r="O4" s="122">
        <f t="shared" si="0"/>
        <v>-2700</v>
      </c>
      <c r="P4" s="119">
        <v>4</v>
      </c>
      <c r="Q4" s="103">
        <v>-10800</v>
      </c>
    </row>
    <row r="5" spans="1:17" x14ac:dyDescent="0.4">
      <c r="A5" s="55" t="s">
        <v>7</v>
      </c>
      <c r="B5" s="158">
        <f>IF(B$2=0,0,B$4/B$2)</f>
        <v>-18.649999999999999</v>
      </c>
      <c r="C5" s="159"/>
      <c r="E5" s="63" t="s">
        <v>90</v>
      </c>
      <c r="F5" s="60" t="s">
        <v>45</v>
      </c>
      <c r="G5" s="47">
        <v>4</v>
      </c>
      <c r="H5" s="133">
        <f>IF(B$17=0,0,G5/B$17)</f>
        <v>0.44444444444444442</v>
      </c>
      <c r="I5" s="94">
        <v>1</v>
      </c>
      <c r="K5" s="38">
        <v>3</v>
      </c>
      <c r="L5" s="99">
        <v>-113.8</v>
      </c>
      <c r="N5" s="115" t="s">
        <v>134</v>
      </c>
      <c r="O5" s="122">
        <f t="shared" si="0"/>
        <v>-2000</v>
      </c>
      <c r="P5" s="119">
        <v>4</v>
      </c>
      <c r="Q5" s="103">
        <v>-8000</v>
      </c>
    </row>
    <row r="6" spans="1:17" x14ac:dyDescent="0.4">
      <c r="A6" s="55" t="s">
        <v>1</v>
      </c>
      <c r="B6" s="148">
        <f>IF(B$2=0,0,(B$7*1+B$8*2+B$9*3)/B$2)</f>
        <v>2.25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0.33333333333333331</v>
      </c>
      <c r="I6" s="94">
        <v>2</v>
      </c>
      <c r="K6" s="38">
        <v>4</v>
      </c>
      <c r="L6" s="99">
        <v>-74.599999999999994</v>
      </c>
      <c r="N6" s="115" t="s">
        <v>135</v>
      </c>
      <c r="O6" s="122">
        <f t="shared" si="0"/>
        <v>-7833.333333333333</v>
      </c>
      <c r="P6" s="119">
        <v>3</v>
      </c>
      <c r="Q6" s="103">
        <v>-23500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73</v>
      </c>
      <c r="F7" s="60" t="s">
        <v>28</v>
      </c>
      <c r="G7" s="47">
        <v>3</v>
      </c>
      <c r="H7" s="133">
        <f>IF(B$17=0,0,G7/B$17)</f>
        <v>0.33333333333333331</v>
      </c>
      <c r="I7" s="94">
        <v>9</v>
      </c>
      <c r="N7" s="116" t="s">
        <v>136</v>
      </c>
      <c r="O7" s="123">
        <f t="shared" si="0"/>
        <v>-16000</v>
      </c>
      <c r="P7" s="120">
        <v>2</v>
      </c>
      <c r="Q7" s="104">
        <v>-32000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66</v>
      </c>
      <c r="F8" s="60" t="s">
        <v>22</v>
      </c>
      <c r="G8" s="47">
        <v>1</v>
      </c>
      <c r="H8" s="133">
        <f>IF(B$17=0,0,G8/B$17)</f>
        <v>0.1111111111111111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0.1111111111111111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82</v>
      </c>
      <c r="F10" s="60" t="s">
        <v>37</v>
      </c>
      <c r="G10" s="47">
        <v>1</v>
      </c>
      <c r="H10" s="133">
        <f>IF(B$17=0,0,G10/B$17)</f>
        <v>0.1111111111111111</v>
      </c>
      <c r="I10" s="94">
        <v>1</v>
      </c>
      <c r="N10" s="114" t="s">
        <v>163</v>
      </c>
      <c r="O10" s="124">
        <f>IF(P10=0,0,Q10/P10)</f>
        <v>-3.6499999999999986</v>
      </c>
      <c r="P10" s="118">
        <v>2</v>
      </c>
      <c r="Q10" s="106">
        <v>-7.2999999999999972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92</v>
      </c>
      <c r="F11" s="60" t="s">
        <v>47</v>
      </c>
      <c r="G11" s="47">
        <v>1</v>
      </c>
      <c r="H11" s="133">
        <f>IF(B$17=0,0,G11/B$17)</f>
        <v>0.1111111111111111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172</v>
      </c>
      <c r="F12" s="60" t="s">
        <v>173</v>
      </c>
      <c r="G12" s="47">
        <v>1</v>
      </c>
      <c r="H12" s="133">
        <f>IF(B$17=0,0,G12/B$17)</f>
        <v>0.1111111111111111</v>
      </c>
      <c r="I12" s="94">
        <v>8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8</v>
      </c>
      <c r="C13" s="44">
        <f>IF(B$3=0,0,B13/B$3)</f>
        <v>0.22222222222222221</v>
      </c>
      <c r="E13" s="63" t="s">
        <v>70</v>
      </c>
      <c r="F13" s="60" t="s">
        <v>25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0.25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33.300000000000004</v>
      </c>
      <c r="P15" s="118">
        <v>1</v>
      </c>
      <c r="Q15" s="106">
        <v>33.300000000000004</v>
      </c>
    </row>
    <row r="16" spans="1:17" x14ac:dyDescent="0.4">
      <c r="A16" s="54" t="s">
        <v>125</v>
      </c>
      <c r="B16" s="46">
        <v>3</v>
      </c>
      <c r="C16" s="37">
        <f>IF(B$14=0,0,B16/B$14)</f>
        <v>0.33333333333333331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28.699999999999996</v>
      </c>
      <c r="P16" s="119">
        <v>1</v>
      </c>
      <c r="Q16" s="107">
        <v>28.699999999999996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14.150000000000002</v>
      </c>
      <c r="P17" s="119">
        <v>2</v>
      </c>
      <c r="Q17" s="107">
        <v>28.300000000000004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183</v>
      </c>
      <c r="O18" s="125">
        <f>IF(P18=0,0,Q18/P18)</f>
        <v>-49.85</v>
      </c>
      <c r="P18" s="119">
        <v>2</v>
      </c>
      <c r="Q18" s="107">
        <v>-99.7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  <c r="N19" s="115" t="s">
        <v>182</v>
      </c>
      <c r="O19" s="125">
        <f>IF(P19=0,0,Q19/P19)</f>
        <v>-107.2</v>
      </c>
      <c r="P19" s="119">
        <v>2</v>
      </c>
      <c r="Q19" s="107">
        <v>-214.4</v>
      </c>
    </row>
    <row r="20" spans="1:17" x14ac:dyDescent="0.4">
      <c r="A20" s="55" t="s">
        <v>13</v>
      </c>
      <c r="B20" s="47">
        <v>10</v>
      </c>
      <c r="C20" s="39">
        <f>IF(B$3=0,0,B20/B$3)</f>
        <v>0.27777777777777779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6</v>
      </c>
      <c r="C22" s="135">
        <v>6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11355.555555555555</v>
      </c>
      <c r="C23" s="41">
        <v>102200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-11980</v>
      </c>
      <c r="C24" s="45">
        <v>-119800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8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64200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</v>
      </c>
      <c r="C2" s="153"/>
      <c r="E2" s="62" t="s">
        <v>73</v>
      </c>
      <c r="F2" s="59" t="s">
        <v>28</v>
      </c>
      <c r="G2" s="46">
        <v>5</v>
      </c>
      <c r="H2" s="132">
        <f>IF(B$17=0,0,G2/B$17)</f>
        <v>1.25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-13433.333333333334</v>
      </c>
      <c r="P2" s="118">
        <v>3</v>
      </c>
      <c r="Q2" s="102">
        <v>-40300</v>
      </c>
    </row>
    <row r="3" spans="1:17" x14ac:dyDescent="0.4">
      <c r="A3" s="55" t="s">
        <v>8</v>
      </c>
      <c r="B3" s="154">
        <v>28</v>
      </c>
      <c r="C3" s="155"/>
      <c r="E3" s="63" t="s">
        <v>80</v>
      </c>
      <c r="F3" s="60" t="s">
        <v>35</v>
      </c>
      <c r="G3" s="47">
        <v>2</v>
      </c>
      <c r="H3" s="133">
        <f>IF(B$17=0,0,G3/B$17)</f>
        <v>0.5</v>
      </c>
      <c r="I3" s="94">
        <v>1</v>
      </c>
      <c r="K3" s="38">
        <v>1</v>
      </c>
      <c r="L3" s="99">
        <v>46.9</v>
      </c>
      <c r="N3" s="115" t="s">
        <v>132</v>
      </c>
      <c r="O3" s="122">
        <f t="shared" si="0"/>
        <v>-4000</v>
      </c>
      <c r="P3" s="119">
        <v>3</v>
      </c>
      <c r="Q3" s="103">
        <v>-12000</v>
      </c>
    </row>
    <row r="4" spans="1:17" x14ac:dyDescent="0.4">
      <c r="A4" s="55" t="s">
        <v>6</v>
      </c>
      <c r="B4" s="156">
        <v>-37</v>
      </c>
      <c r="C4" s="157"/>
      <c r="E4" s="63" t="s">
        <v>84</v>
      </c>
      <c r="F4" s="60" t="s">
        <v>39</v>
      </c>
      <c r="G4" s="47">
        <v>2</v>
      </c>
      <c r="H4" s="133">
        <f>IF(B$17=0,0,G4/B$17)</f>
        <v>0.5</v>
      </c>
      <c r="I4" s="94">
        <v>1</v>
      </c>
      <c r="K4" s="38">
        <v>2</v>
      </c>
      <c r="L4" s="99">
        <v>8.1000000000000014</v>
      </c>
      <c r="N4" s="115" t="s">
        <v>133</v>
      </c>
      <c r="O4" s="122">
        <f t="shared" si="0"/>
        <v>5333.333333333333</v>
      </c>
      <c r="P4" s="119">
        <v>3</v>
      </c>
      <c r="Q4" s="103">
        <v>16000</v>
      </c>
    </row>
    <row r="5" spans="1:17" x14ac:dyDescent="0.4">
      <c r="A5" s="55" t="s">
        <v>7</v>
      </c>
      <c r="B5" s="158">
        <f>IF(B$2=0,0,B$4/B$2)</f>
        <v>-12.333333333333334</v>
      </c>
      <c r="C5" s="159"/>
      <c r="E5" s="63" t="s">
        <v>65</v>
      </c>
      <c r="F5" s="60" t="s">
        <v>21</v>
      </c>
      <c r="G5" s="47">
        <v>1</v>
      </c>
      <c r="H5" s="133">
        <f>IF(B$17=0,0,G5/B$17)</f>
        <v>0.25</v>
      </c>
      <c r="I5" s="94">
        <v>10</v>
      </c>
      <c r="K5" s="38">
        <v>3</v>
      </c>
      <c r="L5" s="99">
        <v>-37</v>
      </c>
      <c r="N5" s="115" t="s">
        <v>134</v>
      </c>
      <c r="O5" s="122">
        <f t="shared" si="0"/>
        <v>-3166.6666666666665</v>
      </c>
      <c r="P5" s="119">
        <v>3</v>
      </c>
      <c r="Q5" s="103">
        <v>-9500</v>
      </c>
    </row>
    <row r="6" spans="1:17" x14ac:dyDescent="0.4">
      <c r="A6" s="55" t="s">
        <v>1</v>
      </c>
      <c r="B6" s="148">
        <f>IF(B$2=0,0,(B$7*1+B$8*2+B$9*3)/B$2)</f>
        <v>2.3333333333333335</v>
      </c>
      <c r="C6" s="149"/>
      <c r="E6" s="63" t="s">
        <v>71</v>
      </c>
      <c r="F6" s="60" t="s">
        <v>26</v>
      </c>
      <c r="G6" s="47">
        <v>1</v>
      </c>
      <c r="H6" s="133">
        <f>IF(B$17=0,0,G6/B$17)</f>
        <v>0.25</v>
      </c>
      <c r="I6" s="94">
        <v>1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0.33333333333333331</v>
      </c>
      <c r="E7" s="63" t="s">
        <v>86</v>
      </c>
      <c r="F7" s="60" t="s">
        <v>41</v>
      </c>
      <c r="G7" s="47">
        <v>1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10150</v>
      </c>
      <c r="P7" s="120">
        <v>2</v>
      </c>
      <c r="Q7" s="104">
        <v>20300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0.66666666666666663</v>
      </c>
      <c r="E9" s="63" t="s">
        <v>67</v>
      </c>
      <c r="F9" s="60" t="s">
        <v>23</v>
      </c>
      <c r="G9" s="47">
        <v>0</v>
      </c>
      <c r="H9" s="133">
        <f>IF(B$17=0,0,G9/B$17)</f>
        <v>0</v>
      </c>
      <c r="I9" s="94">
        <v>10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0.33333333333333331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10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69</v>
      </c>
      <c r="F11" s="60" t="s">
        <v>12</v>
      </c>
      <c r="G11" s="47">
        <v>0</v>
      </c>
      <c r="H11" s="133">
        <f>IF(B$17=0,0,G11/B$17)</f>
        <v>0</v>
      </c>
      <c r="I11" s="94">
        <v>9</v>
      </c>
      <c r="N11" s="115" t="s">
        <v>164</v>
      </c>
      <c r="O11" s="125">
        <f>IF(P11=0,0,Q11/P11)</f>
        <v>-45.1</v>
      </c>
      <c r="P11" s="119">
        <v>1</v>
      </c>
      <c r="Q11" s="107">
        <v>-45.1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7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2</v>
      </c>
      <c r="C13" s="44">
        <f>IF(B$3=0,0,B13/B$3)</f>
        <v>7.1428571428571425E-2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0.21428571428571427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-14.150000000000002</v>
      </c>
      <c r="P16" s="119">
        <v>2</v>
      </c>
      <c r="Q16" s="107">
        <v>-28.300000000000004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0.14285714285714285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167</v>
      </c>
      <c r="O17" s="125">
        <f>IF(P17=0,0,Q17/P17)</f>
        <v>-16.399999999999999</v>
      </c>
      <c r="P17" s="119">
        <v>1</v>
      </c>
      <c r="Q17" s="107">
        <v>-16.399999999999999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127</v>
      </c>
      <c r="O18" s="125">
        <f>IF(P18=0,0,Q18/P18)</f>
        <v>-75.5</v>
      </c>
      <c r="P18" s="119">
        <v>2</v>
      </c>
      <c r="Q18" s="107">
        <v>-151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6</v>
      </c>
    </row>
    <row r="20" spans="1:17" x14ac:dyDescent="0.4">
      <c r="A20" s="55" t="s">
        <v>13</v>
      </c>
      <c r="B20" s="47">
        <v>3</v>
      </c>
      <c r="C20" s="39">
        <f>IF(B$3=0,0,B20/B$3)</f>
        <v>0.10714285714285714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171</v>
      </c>
      <c r="B22" s="47">
        <v>15</v>
      </c>
      <c r="C22" s="135">
        <v>0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8950</v>
      </c>
      <c r="C23" s="41">
        <v>35800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-7866.666666666667</v>
      </c>
      <c r="C24" s="45">
        <v>-23600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0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71900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</v>
      </c>
      <c r="C2" s="153"/>
      <c r="E2" s="62" t="s">
        <v>68</v>
      </c>
      <c r="F2" s="59" t="s">
        <v>24</v>
      </c>
      <c r="G2" s="46">
        <v>8</v>
      </c>
      <c r="H2" s="132">
        <f>IF(B$17=0,0,G2/B$17)</f>
        <v>1.3333333333333333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-400</v>
      </c>
      <c r="P2" s="118">
        <v>3</v>
      </c>
      <c r="Q2" s="102">
        <v>-1200</v>
      </c>
    </row>
    <row r="3" spans="1:17" x14ac:dyDescent="0.4">
      <c r="A3" s="55" t="s">
        <v>8</v>
      </c>
      <c r="B3" s="154">
        <v>26</v>
      </c>
      <c r="C3" s="155"/>
      <c r="E3" s="63" t="s">
        <v>65</v>
      </c>
      <c r="F3" s="60" t="s">
        <v>21</v>
      </c>
      <c r="G3" s="47">
        <v>5</v>
      </c>
      <c r="H3" s="133">
        <f>IF(B$17=0,0,G3/B$17)</f>
        <v>0.83333333333333337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-4833.333333333333</v>
      </c>
      <c r="P3" s="119">
        <v>3</v>
      </c>
      <c r="Q3" s="103">
        <v>-14500</v>
      </c>
    </row>
    <row r="4" spans="1:17" x14ac:dyDescent="0.4">
      <c r="A4" s="55" t="s">
        <v>6</v>
      </c>
      <c r="B4" s="156">
        <v>-33.6</v>
      </c>
      <c r="C4" s="157"/>
      <c r="E4" s="63" t="s">
        <v>73</v>
      </c>
      <c r="F4" s="60" t="s">
        <v>28</v>
      </c>
      <c r="G4" s="47">
        <v>4</v>
      </c>
      <c r="H4" s="133">
        <f>IF(B$17=0,0,G4/B$17)</f>
        <v>0.66666666666666663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-1433.3333333333333</v>
      </c>
      <c r="P4" s="119">
        <v>3</v>
      </c>
      <c r="Q4" s="103">
        <v>-4300</v>
      </c>
    </row>
    <row r="5" spans="1:17" x14ac:dyDescent="0.4">
      <c r="A5" s="55" t="s">
        <v>7</v>
      </c>
      <c r="B5" s="158">
        <f>IF(B$2=0,0,B$4/B$2)</f>
        <v>-11.200000000000001</v>
      </c>
      <c r="C5" s="159"/>
      <c r="E5" s="63" t="s">
        <v>66</v>
      </c>
      <c r="F5" s="60" t="s">
        <v>22</v>
      </c>
      <c r="G5" s="47">
        <v>2</v>
      </c>
      <c r="H5" s="133">
        <f>IF(B$17=0,0,G5/B$17)</f>
        <v>0.33333333333333331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-2166.6666666666665</v>
      </c>
      <c r="P5" s="119">
        <v>3</v>
      </c>
      <c r="Q5" s="103">
        <v>-6500</v>
      </c>
    </row>
    <row r="6" spans="1:17" x14ac:dyDescent="0.4">
      <c r="A6" s="55" t="s">
        <v>1</v>
      </c>
      <c r="B6" s="148">
        <f>IF(B$2=0,0,(B$7*1+B$8*2+B$9*3)/B$2)</f>
        <v>2.3333333333333335</v>
      </c>
      <c r="C6" s="149"/>
      <c r="E6" s="63" t="s">
        <v>67</v>
      </c>
      <c r="F6" s="60" t="s">
        <v>23</v>
      </c>
      <c r="G6" s="47">
        <v>2</v>
      </c>
      <c r="H6" s="133">
        <f>IF(B$17=0,0,G6/B$17)</f>
        <v>0.33333333333333331</v>
      </c>
      <c r="I6" s="94">
        <v>9</v>
      </c>
      <c r="N6" s="115" t="s">
        <v>135</v>
      </c>
      <c r="O6" s="122">
        <f t="shared" si="0"/>
        <v>3466.6666666666665</v>
      </c>
      <c r="P6" s="119">
        <v>3</v>
      </c>
      <c r="Q6" s="103">
        <v>10400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69</v>
      </c>
      <c r="F7" s="60" t="s">
        <v>12</v>
      </c>
      <c r="G7" s="47">
        <v>2</v>
      </c>
      <c r="H7" s="133">
        <f>IF(B$17=0,0,G7/B$17)</f>
        <v>0.33333333333333331</v>
      </c>
      <c r="I7" s="94">
        <v>2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0.66666666666666663</v>
      </c>
      <c r="E8" s="63" t="s">
        <v>172</v>
      </c>
      <c r="F8" s="60" t="s">
        <v>173</v>
      </c>
      <c r="G8" s="47">
        <v>2</v>
      </c>
      <c r="H8" s="133">
        <f>IF(B$17=0,0,G8/B$17)</f>
        <v>0.33333333333333331</v>
      </c>
      <c r="I8" s="94">
        <v>6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0.33333333333333331</v>
      </c>
      <c r="E9" s="63" t="s">
        <v>71</v>
      </c>
      <c r="F9" s="60" t="s">
        <v>26</v>
      </c>
      <c r="G9" s="47">
        <v>1</v>
      </c>
      <c r="H9" s="133">
        <f>IF(B$17=0,0,G9/B$17)</f>
        <v>0.16666666666666666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79</v>
      </c>
      <c r="F10" s="60" t="s">
        <v>34</v>
      </c>
      <c r="G10" s="47">
        <v>1</v>
      </c>
      <c r="H10" s="133">
        <f>IF(B$17=0,0,G10/B$17)</f>
        <v>0.16666666666666666</v>
      </c>
      <c r="I10" s="94">
        <v>1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7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9</v>
      </c>
      <c r="C13" s="44">
        <f>IF(B$3=0,0,B13/B$3)</f>
        <v>0.34615384615384615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0.23076923076923078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0.55555555555555558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0.16666666666666666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196</v>
      </c>
      <c r="O16" s="125">
        <f>IF(P16=0,0,Q16/P16)</f>
        <v>-49.7</v>
      </c>
      <c r="P16" s="119">
        <v>1</v>
      </c>
      <c r="Q16" s="107">
        <v>-49.7</v>
      </c>
    </row>
    <row r="17" spans="1:17" x14ac:dyDescent="0.4">
      <c r="A17" s="54" t="s">
        <v>10</v>
      </c>
      <c r="B17" s="46">
        <f>B19+B18</f>
        <v>6</v>
      </c>
      <c r="C17" s="37">
        <f>IF(B$3=0,0,B17/B$3)</f>
        <v>0.23076923076923078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182</v>
      </c>
      <c r="O17" s="125">
        <f>IF(P17=0,0,Q17/P17)</f>
        <v>-50.266666666666673</v>
      </c>
      <c r="P17" s="119">
        <v>3</v>
      </c>
      <c r="Q17" s="107">
        <v>-150.80000000000001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0.5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4</v>
      </c>
    </row>
    <row r="19" spans="1:17" x14ac:dyDescent="0.4">
      <c r="A19" s="55" t="s">
        <v>11</v>
      </c>
      <c r="B19" s="47">
        <v>3</v>
      </c>
      <c r="C19" s="39">
        <f>IF(B$17=0,0,B19/B$17)</f>
        <v>0.5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5</v>
      </c>
      <c r="C20" s="39">
        <f>IF(B$3=0,0,B20/B$3)</f>
        <v>0.19230769230769232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9533.3333333333339</v>
      </c>
      <c r="C23" s="41">
        <v>57200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-9540</v>
      </c>
      <c r="C24" s="45">
        <v>-47700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6">
        <v>4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4">
        <v>42000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67</v>
      </c>
      <c r="F2" s="59" t="s">
        <v>23</v>
      </c>
      <c r="G2" s="46">
        <v>16</v>
      </c>
      <c r="H2" s="132">
        <f>IF(B$17=0,0,G2/B$17)</f>
        <v>1.0666666666666667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-1325</v>
      </c>
      <c r="P2" s="118">
        <v>4</v>
      </c>
      <c r="Q2" s="102">
        <v>-5300</v>
      </c>
    </row>
    <row r="3" spans="1:17" x14ac:dyDescent="0.4">
      <c r="A3" s="55" t="s">
        <v>8</v>
      </c>
      <c r="B3" s="154">
        <v>33</v>
      </c>
      <c r="C3" s="155"/>
      <c r="E3" s="63" t="s">
        <v>65</v>
      </c>
      <c r="F3" s="60" t="s">
        <v>21</v>
      </c>
      <c r="G3" s="47">
        <v>9</v>
      </c>
      <c r="H3" s="133">
        <f>IF(B$17=0,0,G3/B$17)</f>
        <v>0.6</v>
      </c>
      <c r="I3" s="94">
        <v>3</v>
      </c>
      <c r="K3" s="38">
        <v>1</v>
      </c>
      <c r="L3" s="99">
        <v>70.2</v>
      </c>
      <c r="N3" s="115" t="s">
        <v>132</v>
      </c>
      <c r="O3" s="122">
        <f t="shared" si="0"/>
        <v>7300</v>
      </c>
      <c r="P3" s="119">
        <v>4</v>
      </c>
      <c r="Q3" s="103">
        <v>29200</v>
      </c>
    </row>
    <row r="4" spans="1:17" x14ac:dyDescent="0.4">
      <c r="A4" s="55" t="s">
        <v>6</v>
      </c>
      <c r="B4" s="156">
        <v>115.5</v>
      </c>
      <c r="C4" s="157"/>
      <c r="E4" s="63" t="s">
        <v>172</v>
      </c>
      <c r="F4" s="60" t="s">
        <v>173</v>
      </c>
      <c r="G4" s="47">
        <v>8</v>
      </c>
      <c r="H4" s="133">
        <f>IF(B$17=0,0,G4/B$17)</f>
        <v>0.53333333333333333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1825</v>
      </c>
      <c r="P4" s="119">
        <v>4</v>
      </c>
      <c r="Q4" s="103">
        <v>7300</v>
      </c>
    </row>
    <row r="5" spans="1:17" x14ac:dyDescent="0.4">
      <c r="A5" s="55" t="s">
        <v>7</v>
      </c>
      <c r="B5" s="158">
        <f>IF(B$2=0,0,B$4/B$2)</f>
        <v>28.875</v>
      </c>
      <c r="C5" s="159"/>
      <c r="E5" s="63" t="s">
        <v>69</v>
      </c>
      <c r="F5" s="60" t="s">
        <v>12</v>
      </c>
      <c r="G5" s="47">
        <v>7</v>
      </c>
      <c r="H5" s="133">
        <f>IF(B$17=0,0,G5/B$17)</f>
        <v>0.46666666666666667</v>
      </c>
      <c r="I5" s="94">
        <v>1</v>
      </c>
      <c r="K5" s="38">
        <v>3</v>
      </c>
      <c r="L5" s="99">
        <v>76</v>
      </c>
      <c r="N5" s="115" t="s">
        <v>134</v>
      </c>
      <c r="O5" s="122">
        <f t="shared" si="0"/>
        <v>1000</v>
      </c>
      <c r="P5" s="119">
        <v>4</v>
      </c>
      <c r="Q5" s="103">
        <v>4000</v>
      </c>
    </row>
    <row r="6" spans="1:17" x14ac:dyDescent="0.4">
      <c r="A6" s="55" t="s">
        <v>1</v>
      </c>
      <c r="B6" s="148">
        <f>IF(B$2=0,0,(B$7*1+B$8*2+B$9*3)/B$2)</f>
        <v>1.5</v>
      </c>
      <c r="C6" s="149"/>
      <c r="E6" s="63" t="s">
        <v>70</v>
      </c>
      <c r="F6" s="60" t="s">
        <v>25</v>
      </c>
      <c r="G6" s="47">
        <v>5</v>
      </c>
      <c r="H6" s="133">
        <f>IF(B$17=0,0,G6/B$17)</f>
        <v>0.33333333333333331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9075</v>
      </c>
      <c r="P6" s="119">
        <v>4</v>
      </c>
      <c r="Q6" s="103">
        <v>36300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73</v>
      </c>
      <c r="F7" s="60" t="s">
        <v>28</v>
      </c>
      <c r="G7" s="47">
        <v>5</v>
      </c>
      <c r="H7" s="133">
        <f>IF(B$17=0,0,G7/B$17)</f>
        <v>0.33333333333333331</v>
      </c>
      <c r="I7" s="94">
        <v>9</v>
      </c>
      <c r="N7" s="116" t="s">
        <v>136</v>
      </c>
      <c r="O7" s="123">
        <f t="shared" si="0"/>
        <v>8000</v>
      </c>
      <c r="P7" s="120">
        <v>3</v>
      </c>
      <c r="Q7" s="104">
        <v>24000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68</v>
      </c>
      <c r="F8" s="60" t="s">
        <v>24</v>
      </c>
      <c r="G8" s="47">
        <v>4</v>
      </c>
      <c r="H8" s="133">
        <f>IF(B$17=0,0,G8/B$17)</f>
        <v>0.26666666666666666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0.26666666666666666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2</v>
      </c>
      <c r="H10" s="133">
        <f>IF(B$17=0,0,G10/B$17)</f>
        <v>0.13333333333333333</v>
      </c>
      <c r="I10" s="94">
        <v>4</v>
      </c>
      <c r="N10" s="114" t="s">
        <v>163</v>
      </c>
      <c r="O10" s="124">
        <f>IF(P10=0,0,Q10/P10)</f>
        <v>2.9</v>
      </c>
      <c r="P10" s="118">
        <v>2</v>
      </c>
      <c r="Q10" s="106">
        <v>5.8</v>
      </c>
    </row>
    <row r="11" spans="1:17" x14ac:dyDescent="0.4">
      <c r="A11" s="56" t="s">
        <v>139</v>
      </c>
      <c r="B11" s="48">
        <v>2</v>
      </c>
      <c r="C11" s="40">
        <f t="shared" si="1"/>
        <v>0.5</v>
      </c>
      <c r="E11" s="63" t="s">
        <v>71</v>
      </c>
      <c r="F11" s="60" t="s">
        <v>26</v>
      </c>
      <c r="G11" s="47">
        <v>2</v>
      </c>
      <c r="H11" s="133">
        <f>IF(B$17=0,0,G11/B$17)</f>
        <v>0.13333333333333333</v>
      </c>
      <c r="I11" s="94">
        <v>4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88</v>
      </c>
      <c r="F12" s="60" t="s">
        <v>43</v>
      </c>
      <c r="G12" s="47">
        <v>1</v>
      </c>
      <c r="H12" s="133">
        <f>IF(B$17=0,0,G12/B$17)</f>
        <v>6.6666666666666666E-2</v>
      </c>
      <c r="I12" s="94">
        <v>1</v>
      </c>
      <c r="N12" s="116" t="s">
        <v>165</v>
      </c>
      <c r="O12" s="126">
        <f>IF(P12=0,0,Q12/P12)</f>
        <v>39.5</v>
      </c>
      <c r="P12" s="120">
        <v>1</v>
      </c>
      <c r="Q12" s="108">
        <v>39.5</v>
      </c>
    </row>
    <row r="13" spans="1:17" x14ac:dyDescent="0.4">
      <c r="A13" s="58" t="s">
        <v>122</v>
      </c>
      <c r="B13" s="50">
        <v>12</v>
      </c>
      <c r="C13" s="44">
        <f>IF(B$3=0,0,B13/B$3)</f>
        <v>0.36363636363636365</v>
      </c>
      <c r="E13" s="63" t="s">
        <v>90</v>
      </c>
      <c r="F13" s="60" t="s">
        <v>45</v>
      </c>
      <c r="G13" s="47">
        <v>1</v>
      </c>
      <c r="H13" s="133">
        <f>IF(B$17=0,0,G13/B$17)</f>
        <v>6.6666666666666666E-2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6.0606060606060608E-2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</v>
      </c>
      <c r="C15" s="37">
        <f>IF(B$13=0,0,B15/B$13)</f>
        <v>0.83333333333333337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50.266666666666673</v>
      </c>
      <c r="P16" s="119">
        <v>3</v>
      </c>
      <c r="Q16" s="107">
        <v>150.80000000000001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0.45454545454545453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7</v>
      </c>
      <c r="C18" s="39">
        <f>IF(B$17=0,0,B18/B$17)</f>
        <v>0.46666666666666667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196</v>
      </c>
      <c r="O18" s="125">
        <f>IF(P18=0,0,Q18/P18)</f>
        <v>-13.600000000000001</v>
      </c>
      <c r="P18" s="119">
        <v>1</v>
      </c>
      <c r="Q18" s="107">
        <v>-13.600000000000001</v>
      </c>
    </row>
    <row r="19" spans="1:17" x14ac:dyDescent="0.4">
      <c r="A19" s="55" t="s">
        <v>11</v>
      </c>
      <c r="B19" s="47">
        <v>8</v>
      </c>
      <c r="C19" s="39">
        <f>IF(B$17=0,0,B19/B$17)</f>
        <v>0.53333333333333333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6</v>
      </c>
      <c r="N19" s="115" t="s">
        <v>127</v>
      </c>
      <c r="O19" s="125">
        <f>IF(P19=0,0,Q19/P19)</f>
        <v>-27.7</v>
      </c>
      <c r="P19" s="119">
        <v>1</v>
      </c>
      <c r="Q19" s="107">
        <v>-27.7</v>
      </c>
    </row>
    <row r="20" spans="1:17" x14ac:dyDescent="0.4">
      <c r="A20" s="55" t="s">
        <v>13</v>
      </c>
      <c r="B20" s="47">
        <v>2</v>
      </c>
      <c r="C20" s="39">
        <f>IF(B$3=0,0,B20/B$3)</f>
        <v>6.0606060606060608E-2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4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131200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-8900</v>
      </c>
      <c r="C24" s="45">
        <v>-17800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7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95200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</v>
      </c>
      <c r="C2" s="153"/>
      <c r="E2" s="62" t="s">
        <v>67</v>
      </c>
      <c r="F2" s="59" t="s">
        <v>23</v>
      </c>
      <c r="G2" s="46">
        <v>3</v>
      </c>
      <c r="H2" s="132">
        <f>IF(B$17=0,0,G2/B$17)</f>
        <v>1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12000</v>
      </c>
      <c r="P2" s="118">
        <v>1</v>
      </c>
      <c r="Q2" s="102">
        <v>12000</v>
      </c>
    </row>
    <row r="3" spans="1:17" x14ac:dyDescent="0.4">
      <c r="A3" s="55" t="s">
        <v>8</v>
      </c>
      <c r="B3" s="154">
        <v>7</v>
      </c>
      <c r="C3" s="155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-5000</v>
      </c>
      <c r="P3" s="119">
        <v>1</v>
      </c>
      <c r="Q3" s="103">
        <v>-5000</v>
      </c>
    </row>
    <row r="4" spans="1:17" x14ac:dyDescent="0.4">
      <c r="A4" s="55" t="s">
        <v>6</v>
      </c>
      <c r="B4" s="156">
        <v>21.1</v>
      </c>
      <c r="C4" s="157"/>
      <c r="E4" s="63" t="s">
        <v>73</v>
      </c>
      <c r="F4" s="60" t="s">
        <v>28</v>
      </c>
      <c r="G4" s="47">
        <v>3</v>
      </c>
      <c r="H4" s="133">
        <f>IF(B$17=0,0,G4/B$17)</f>
        <v>1</v>
      </c>
      <c r="I4" s="94">
        <v>2</v>
      </c>
      <c r="N4" s="115" t="s">
        <v>133</v>
      </c>
      <c r="O4" s="122">
        <f t="shared" si="0"/>
        <v>-4000</v>
      </c>
      <c r="P4" s="119">
        <v>1</v>
      </c>
      <c r="Q4" s="103">
        <v>-4000</v>
      </c>
    </row>
    <row r="5" spans="1:17" x14ac:dyDescent="0.4">
      <c r="A5" s="55" t="s">
        <v>7</v>
      </c>
      <c r="B5" s="158">
        <f>IF(B$2=0,0,B$4/B$2)</f>
        <v>21.1</v>
      </c>
      <c r="C5" s="159"/>
      <c r="E5" s="63" t="s">
        <v>65</v>
      </c>
      <c r="F5" s="60" t="s">
        <v>21</v>
      </c>
      <c r="G5" s="47">
        <v>1</v>
      </c>
      <c r="H5" s="133">
        <f>IF(B$17=0,0,G5/B$17)</f>
        <v>0.33333333333333331</v>
      </c>
      <c r="I5" s="94">
        <v>9</v>
      </c>
      <c r="N5" s="115" t="s">
        <v>134</v>
      </c>
      <c r="O5" s="122">
        <f t="shared" si="0"/>
        <v>8000</v>
      </c>
      <c r="P5" s="119">
        <v>1</v>
      </c>
      <c r="Q5" s="103">
        <v>8000</v>
      </c>
    </row>
    <row r="6" spans="1:17" x14ac:dyDescent="0.4">
      <c r="A6" s="55" t="s">
        <v>1</v>
      </c>
      <c r="B6" s="148">
        <f>IF(B$2=0,0,(B$7*1+B$8*2+B$9*3)/B$2)</f>
        <v>1</v>
      </c>
      <c r="C6" s="149"/>
      <c r="E6" s="63" t="s">
        <v>80</v>
      </c>
      <c r="F6" s="60" t="s">
        <v>35</v>
      </c>
      <c r="G6" s="47">
        <v>1</v>
      </c>
      <c r="H6" s="133">
        <f>IF(B$17=0,0,G6/B$17)</f>
        <v>0.33333333333333331</v>
      </c>
      <c r="I6" s="94">
        <v>2</v>
      </c>
      <c r="N6" s="115" t="s">
        <v>135</v>
      </c>
      <c r="O6" s="122">
        <f t="shared" si="0"/>
        <v>4600</v>
      </c>
      <c r="P6" s="119">
        <v>1</v>
      </c>
      <c r="Q6" s="103">
        <v>4600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1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69</v>
      </c>
      <c r="F9" s="60" t="s">
        <v>12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70</v>
      </c>
      <c r="F10" s="60" t="s">
        <v>25</v>
      </c>
      <c r="G10" s="47">
        <v>0</v>
      </c>
      <c r="H10" s="133">
        <f>IF(B$17=0,0,G10/B$17)</f>
        <v>0</v>
      </c>
      <c r="I10" s="94">
        <v>7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71</v>
      </c>
      <c r="F11" s="60" t="s">
        <v>26</v>
      </c>
      <c r="G11" s="47">
        <v>0</v>
      </c>
      <c r="H11" s="133">
        <f>IF(B$17=0,0,G11/B$17)</f>
        <v>0</v>
      </c>
      <c r="I11" s="94">
        <v>9</v>
      </c>
      <c r="N11" s="115" t="s">
        <v>164</v>
      </c>
      <c r="O11" s="125">
        <f>IF(P11=0,0,Q11/P11)</f>
        <v>21.1</v>
      </c>
      <c r="P11" s="119">
        <v>1</v>
      </c>
      <c r="Q11" s="107">
        <v>21.1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2</v>
      </c>
      <c r="C13" s="44">
        <f>IF(B$3=0,0,B13/B$3)</f>
        <v>0.2857142857142857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0.2857142857142857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183</v>
      </c>
      <c r="O15" s="124">
        <f>IF(P15=0,0,Q15/P15)</f>
        <v>49.7</v>
      </c>
      <c r="P15" s="118">
        <v>1</v>
      </c>
      <c r="Q15" s="106">
        <v>49.7</v>
      </c>
    </row>
    <row r="16" spans="1:17" x14ac:dyDescent="0.4">
      <c r="A16" s="54" t="s">
        <v>125</v>
      </c>
      <c r="B16" s="46">
        <v>2</v>
      </c>
      <c r="C16" s="37">
        <f>IF(B$14=0,0,B16/B$14)</f>
        <v>1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13.600000000000001</v>
      </c>
      <c r="P16" s="119">
        <v>1</v>
      </c>
      <c r="Q16" s="107">
        <v>13.600000000000001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0.42857142857142855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6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7</v>
      </c>
      <c r="C22" s="135">
        <v>7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9" x14ac:dyDescent="0.4">
      <c r="A23" s="55" t="s">
        <v>5</v>
      </c>
      <c r="B23" s="51">
        <f>IF(B$17=0,0,C23/B$17)</f>
        <v>8600</v>
      </c>
      <c r="C23" s="41">
        <v>25800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141</v>
      </c>
      <c r="B25" s="146">
        <v>3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9" x14ac:dyDescent="0.4">
      <c r="A26" s="58" t="s">
        <v>151</v>
      </c>
      <c r="B26" s="144">
        <v>46100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2019-10-01T01:24:56Z</dcterms:modified>
</cp:coreProperties>
</file>