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BC74CB0F-13F6-419B-B658-713106882A67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25" r:id="rId6"/>
    <sheet name="たかの" sheetId="5627" r:id="rId7"/>
    <sheet name="だいち" sheetId="5629" r:id="rId8"/>
    <sheet name="ただ" sheetId="5631" r:id="rId9"/>
    <sheet name="りくと" sheetId="5633" r:id="rId10"/>
    <sheet name="れんたろう" sheetId="5635" r:id="rId11"/>
    <sheet name="まっつん" sheetId="5637" r:id="rId12"/>
    <sheet name="のり" sheetId="5639" r:id="rId13"/>
    <sheet name="ぱぱ" sheetId="5641" r:id="rId14"/>
    <sheet name="ほたに" sheetId="5643" r:id="rId15"/>
    <sheet name="ほたに2" sheetId="5644" state="hidden" r:id="rId16"/>
    <sheet name="ぱぱ2" sheetId="5642" state="hidden" r:id="rId17"/>
    <sheet name="のり2" sheetId="5640" state="hidden" r:id="rId18"/>
    <sheet name="まっつん2" sheetId="5638" state="hidden" r:id="rId19"/>
    <sheet name="れんたろう2" sheetId="5636" state="hidden" r:id="rId20"/>
    <sheet name="りくと2" sheetId="5634" state="hidden" r:id="rId21"/>
    <sheet name="ただ2" sheetId="5632" state="hidden" r:id="rId22"/>
    <sheet name="だいち2" sheetId="5630" state="hidden" r:id="rId23"/>
    <sheet name="たかの2" sheetId="5628" state="hidden" r:id="rId24"/>
    <sheet name="全体2" sheetId="562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5627" l="1"/>
  <c r="O18" i="5641"/>
  <c r="O19" i="5641"/>
  <c r="O17" i="5633"/>
  <c r="O17" i="5631" l="1"/>
  <c r="O18" i="5635"/>
  <c r="O15" i="5631" l="1"/>
  <c r="O16" i="5631"/>
  <c r="O17" i="5643"/>
  <c r="O18" i="5643"/>
  <c r="O19" i="5637"/>
  <c r="O16" i="5637"/>
  <c r="O16" i="5635" l="1"/>
  <c r="O20" i="5629"/>
  <c r="O17" i="5639"/>
  <c r="O16" i="5643"/>
  <c r="O15" i="5643"/>
  <c r="C27" i="5643"/>
  <c r="B24" i="5643"/>
  <c r="C20" i="5643"/>
  <c r="B17" i="5643"/>
  <c r="H50" i="5643" s="1"/>
  <c r="C16" i="5643"/>
  <c r="C15" i="5643"/>
  <c r="C14" i="5643"/>
  <c r="C13" i="5643"/>
  <c r="O12" i="5643"/>
  <c r="C12" i="5643"/>
  <c r="O11" i="5643"/>
  <c r="C11" i="5643"/>
  <c r="O10" i="5643"/>
  <c r="C10" i="5643"/>
  <c r="C9" i="5643"/>
  <c r="C8" i="5643"/>
  <c r="O7" i="5643"/>
  <c r="C7" i="5643"/>
  <c r="O6" i="5643"/>
  <c r="B6" i="5643"/>
  <c r="O5" i="5643"/>
  <c r="B5" i="5643"/>
  <c r="O4" i="5643"/>
  <c r="O3" i="5643"/>
  <c r="O2" i="5643"/>
  <c r="O20" i="5641"/>
  <c r="O18" i="5625"/>
  <c r="H24" i="5643" l="1"/>
  <c r="H40" i="5643"/>
  <c r="H29" i="5643"/>
  <c r="H20" i="5643"/>
  <c r="H51" i="5643"/>
  <c r="H2" i="5643"/>
  <c r="H5" i="5643"/>
  <c r="H25" i="5643"/>
  <c r="H31" i="5643"/>
  <c r="H41" i="5643"/>
  <c r="H8" i="5643"/>
  <c r="H13" i="5643"/>
  <c r="H17" i="5643"/>
  <c r="C17" i="5643"/>
  <c r="B23" i="5643"/>
  <c r="H32" i="5643"/>
  <c r="H43" i="5643"/>
  <c r="H52" i="5643"/>
  <c r="H10" i="5643"/>
  <c r="H33" i="5643"/>
  <c r="H44" i="5643"/>
  <c r="H3" i="5643"/>
  <c r="H15" i="5643"/>
  <c r="H18" i="5643"/>
  <c r="C18" i="5643"/>
  <c r="H11" i="5643"/>
  <c r="H35" i="5643"/>
  <c r="H45" i="5643"/>
  <c r="H4" i="5643"/>
  <c r="H9" i="5643"/>
  <c r="C19" i="5643"/>
  <c r="H27" i="5643"/>
  <c r="H36" i="5643"/>
  <c r="H47" i="5643"/>
  <c r="H19" i="5643"/>
  <c r="H22" i="5643"/>
  <c r="H37" i="5643"/>
  <c r="H48" i="5643"/>
  <c r="H6" i="5643"/>
  <c r="H7" i="5643"/>
  <c r="H14" i="5643"/>
  <c r="H16" i="5643"/>
  <c r="H12" i="5643"/>
  <c r="H39" i="5643"/>
  <c r="H49" i="5643"/>
  <c r="H21" i="5643"/>
  <c r="H26" i="5643"/>
  <c r="H30" i="5643"/>
  <c r="H38" i="5643"/>
  <c r="H46" i="5643"/>
  <c r="H23" i="5643"/>
  <c r="H28" i="5643"/>
  <c r="H34" i="5643"/>
  <c r="H42" i="5643"/>
  <c r="O17" i="5629" l="1"/>
  <c r="O19" i="5633"/>
  <c r="O15" i="5629" l="1"/>
  <c r="O18" i="5637"/>
  <c r="O20" i="5637"/>
  <c r="O15" i="5627"/>
  <c r="O18" i="5631"/>
  <c r="O15" i="5633"/>
  <c r="O16" i="5633"/>
  <c r="O19" i="5627"/>
  <c r="O21" i="5631"/>
  <c r="O16" i="5629"/>
  <c r="O17" i="5641"/>
  <c r="O21" i="5641"/>
  <c r="O20" i="5635" l="1"/>
  <c r="O19" i="5635"/>
  <c r="O16" i="5641"/>
  <c r="O15" i="5641"/>
  <c r="C27" i="5641"/>
  <c r="B24" i="5641"/>
  <c r="C20" i="5641"/>
  <c r="B17" i="5641"/>
  <c r="H50" i="5641" s="1"/>
  <c r="C16" i="5641"/>
  <c r="C15" i="5641"/>
  <c r="C14" i="5641"/>
  <c r="C13" i="5641"/>
  <c r="O12" i="5641"/>
  <c r="C12" i="5641"/>
  <c r="O11" i="5641"/>
  <c r="C11" i="5641"/>
  <c r="O10" i="5641"/>
  <c r="C10" i="5641"/>
  <c r="C9" i="5641"/>
  <c r="C8" i="5641"/>
  <c r="O7" i="5641"/>
  <c r="C7" i="5641"/>
  <c r="O6" i="5641"/>
  <c r="B6" i="5641"/>
  <c r="O5" i="5641"/>
  <c r="B5" i="5641"/>
  <c r="O4" i="5641"/>
  <c r="O3" i="5641"/>
  <c r="O2" i="5641"/>
  <c r="O15" i="5625"/>
  <c r="O15" i="5639"/>
  <c r="O16" i="5639"/>
  <c r="C27" i="5639"/>
  <c r="B24" i="5639"/>
  <c r="C20" i="5639"/>
  <c r="B17" i="5639"/>
  <c r="H51" i="5639" s="1"/>
  <c r="C16" i="5639"/>
  <c r="C15" i="5639"/>
  <c r="H16" i="5639"/>
  <c r="C14" i="5639"/>
  <c r="C13" i="5639"/>
  <c r="O12" i="5639"/>
  <c r="C12" i="5639"/>
  <c r="O11" i="5639"/>
  <c r="C11" i="5639"/>
  <c r="O10" i="5639"/>
  <c r="C10" i="5639"/>
  <c r="C9" i="5639"/>
  <c r="C8" i="5639"/>
  <c r="O7" i="5639"/>
  <c r="C7" i="5639"/>
  <c r="O6" i="5639"/>
  <c r="B6" i="5639"/>
  <c r="O5" i="5639"/>
  <c r="B5" i="5639"/>
  <c r="O4" i="5639"/>
  <c r="O3" i="5639"/>
  <c r="O2" i="5639"/>
  <c r="O23" i="5625"/>
  <c r="H14" i="5639" l="1"/>
  <c r="H9" i="5639"/>
  <c r="H2" i="5639"/>
  <c r="H2" i="5641"/>
  <c r="H3" i="5641"/>
  <c r="H24" i="5641"/>
  <c r="H12" i="5641"/>
  <c r="H39" i="5641"/>
  <c r="H40" i="5641"/>
  <c r="H16" i="5641"/>
  <c r="H18" i="5641"/>
  <c r="H10" i="5641"/>
  <c r="H15" i="5641"/>
  <c r="H21" i="5641"/>
  <c r="H29" i="5641"/>
  <c r="H11" i="5641"/>
  <c r="H5" i="5641"/>
  <c r="C18" i="5641"/>
  <c r="H27" i="5641"/>
  <c r="H33" i="5641"/>
  <c r="H45" i="5641"/>
  <c r="H6" i="5641"/>
  <c r="H9" i="5641"/>
  <c r="H20" i="5641"/>
  <c r="H35" i="5641"/>
  <c r="H51" i="5641"/>
  <c r="H44" i="5641"/>
  <c r="H49" i="5641"/>
  <c r="H8" i="5641"/>
  <c r="C19" i="5641"/>
  <c r="H14" i="5641"/>
  <c r="H31" i="5641"/>
  <c r="H36" i="5641"/>
  <c r="H41" i="5641"/>
  <c r="H47" i="5641"/>
  <c r="H4" i="5641"/>
  <c r="H25" i="5641"/>
  <c r="H7" i="5641"/>
  <c r="H17" i="5641"/>
  <c r="H19" i="5641"/>
  <c r="C17" i="5641"/>
  <c r="H13" i="5641"/>
  <c r="B23" i="5641"/>
  <c r="H32" i="5641"/>
  <c r="H37" i="5641"/>
  <c r="H43" i="5641"/>
  <c r="H48" i="5641"/>
  <c r="H52" i="5641"/>
  <c r="H22" i="5641"/>
  <c r="H23" i="5641"/>
  <c r="H26" i="5641"/>
  <c r="H28" i="5641"/>
  <c r="H30" i="5641"/>
  <c r="H34" i="5641"/>
  <c r="H38" i="5641"/>
  <c r="H42" i="5641"/>
  <c r="H46" i="5641"/>
  <c r="C18" i="5639"/>
  <c r="H8" i="5639"/>
  <c r="H12" i="5639"/>
  <c r="H33" i="5639"/>
  <c r="H3" i="5639"/>
  <c r="H10" i="5639"/>
  <c r="B23" i="5639"/>
  <c r="H41" i="5639"/>
  <c r="H49" i="5639"/>
  <c r="H4" i="5639"/>
  <c r="H18" i="5639"/>
  <c r="H23" i="5639"/>
  <c r="H26" i="5639"/>
  <c r="H32" i="5639"/>
  <c r="H40" i="5639"/>
  <c r="H48" i="5639"/>
  <c r="H20" i="5639"/>
  <c r="H28" i="5639"/>
  <c r="H36" i="5639"/>
  <c r="H44" i="5639"/>
  <c r="H6" i="5639"/>
  <c r="H7" i="5639"/>
  <c r="H5" i="5639"/>
  <c r="H13" i="5639"/>
  <c r="C17" i="5639"/>
  <c r="H25" i="5639"/>
  <c r="H29" i="5639"/>
  <c r="H37" i="5639"/>
  <c r="H45" i="5639"/>
  <c r="H52" i="5639"/>
  <c r="H19" i="5639"/>
  <c r="H21" i="5639"/>
  <c r="H24" i="5639"/>
  <c r="H27" i="5639"/>
  <c r="H30" i="5639"/>
  <c r="H34" i="5639"/>
  <c r="H38" i="5639"/>
  <c r="H42" i="5639"/>
  <c r="H46" i="5639"/>
  <c r="H50" i="5639"/>
  <c r="H11" i="5639"/>
  <c r="H15" i="5639"/>
  <c r="H17" i="5639"/>
  <c r="C19" i="5639"/>
  <c r="H22" i="5639"/>
  <c r="H31" i="5639"/>
  <c r="H35" i="5639"/>
  <c r="H39" i="5639"/>
  <c r="H43" i="5639"/>
  <c r="H47" i="5639"/>
  <c r="O17" i="5637" l="1"/>
  <c r="O15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C8" i="5637"/>
  <c r="O7" i="5637"/>
  <c r="C7" i="5637"/>
  <c r="O6" i="5637"/>
  <c r="B6" i="5637"/>
  <c r="O5" i="5637"/>
  <c r="B5" i="5637"/>
  <c r="O4" i="5637"/>
  <c r="O3" i="5637"/>
  <c r="O2" i="5637"/>
  <c r="O15" i="5635"/>
  <c r="O17" i="5635"/>
  <c r="C27" i="5635"/>
  <c r="B24" i="5635"/>
  <c r="C20" i="5635"/>
  <c r="B17" i="5635"/>
  <c r="H50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16" i="5625"/>
  <c r="O20" i="5633"/>
  <c r="O18" i="5633"/>
  <c r="C27" i="5633"/>
  <c r="B24" i="5633"/>
  <c r="C20" i="5633"/>
  <c r="B17" i="5633"/>
  <c r="H51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O19" i="5625"/>
  <c r="O17" i="5625"/>
  <c r="H3" i="5633" l="1"/>
  <c r="H15" i="5637"/>
  <c r="H4" i="5637"/>
  <c r="H3" i="5637"/>
  <c r="H6" i="5637"/>
  <c r="H18" i="5637"/>
  <c r="H21" i="5637"/>
  <c r="H8" i="5637"/>
  <c r="C18" i="5637"/>
  <c r="H10" i="5637"/>
  <c r="H40" i="5637"/>
  <c r="H2" i="5637"/>
  <c r="H12" i="5637"/>
  <c r="C17" i="5637"/>
  <c r="H32" i="5637"/>
  <c r="H48" i="5637"/>
  <c r="C19" i="5637"/>
  <c r="H26" i="5637"/>
  <c r="H44" i="5637"/>
  <c r="H14" i="5637"/>
  <c r="H20" i="5637"/>
  <c r="H22" i="5637"/>
  <c r="H24" i="5637"/>
  <c r="H13" i="5637"/>
  <c r="H7" i="5637"/>
  <c r="H16" i="5637"/>
  <c r="H19" i="5637"/>
  <c r="H9" i="5637"/>
  <c r="H11" i="5637"/>
  <c r="H36" i="5637"/>
  <c r="H5" i="5637"/>
  <c r="H23" i="5637"/>
  <c r="H25" i="5637"/>
  <c r="H17" i="5637"/>
  <c r="H28" i="5637"/>
  <c r="H30" i="5637"/>
  <c r="H34" i="5637"/>
  <c r="H38" i="5637"/>
  <c r="H42" i="5637"/>
  <c r="H46" i="5637"/>
  <c r="H50" i="5637"/>
  <c r="H31" i="5637"/>
  <c r="H35" i="5637"/>
  <c r="H39" i="5637"/>
  <c r="H43" i="5637"/>
  <c r="H47" i="5637"/>
  <c r="H51" i="5637"/>
  <c r="B23" i="5637"/>
  <c r="H27" i="5637"/>
  <c r="H29" i="5637"/>
  <c r="H33" i="5637"/>
  <c r="H37" i="5637"/>
  <c r="H41" i="5637"/>
  <c r="H45" i="5637"/>
  <c r="H49" i="5637"/>
  <c r="H3" i="5635"/>
  <c r="H2" i="5635"/>
  <c r="H6" i="5635"/>
  <c r="H16" i="5635"/>
  <c r="H37" i="5635"/>
  <c r="H31" i="5635"/>
  <c r="H15" i="5635"/>
  <c r="H19" i="5635"/>
  <c r="H21" i="5635"/>
  <c r="C17" i="5635"/>
  <c r="H28" i="5635"/>
  <c r="H32" i="5635"/>
  <c r="H39" i="5635"/>
  <c r="H45" i="5635"/>
  <c r="H44" i="5635"/>
  <c r="H18" i="5635"/>
  <c r="H8" i="5635"/>
  <c r="H40" i="5635"/>
  <c r="H48" i="5635"/>
  <c r="H12" i="5635"/>
  <c r="H52" i="5635"/>
  <c r="H10" i="5635"/>
  <c r="H7" i="5635"/>
  <c r="H11" i="5635"/>
  <c r="H23" i="5635"/>
  <c r="H33" i="5635"/>
  <c r="H5" i="5635"/>
  <c r="H17" i="5635"/>
  <c r="H20" i="5635"/>
  <c r="H22" i="5635"/>
  <c r="C18" i="5635"/>
  <c r="B23" i="5635"/>
  <c r="H4" i="5635"/>
  <c r="H35" i="5635"/>
  <c r="H43" i="5635"/>
  <c r="H49" i="5635"/>
  <c r="H51" i="5635"/>
  <c r="C19" i="5635"/>
  <c r="H26" i="5635"/>
  <c r="H29" i="5635"/>
  <c r="H14" i="5635"/>
  <c r="H36" i="5635"/>
  <c r="H41" i="5635"/>
  <c r="H47" i="5635"/>
  <c r="H9" i="5635"/>
  <c r="H24" i="5635"/>
  <c r="H25" i="5635"/>
  <c r="H27" i="5635"/>
  <c r="H30" i="5635"/>
  <c r="H13" i="5635"/>
  <c r="H34" i="5635"/>
  <c r="H38" i="5635"/>
  <c r="H42" i="5635"/>
  <c r="H46" i="5635"/>
  <c r="H2" i="5633"/>
  <c r="H25" i="5633"/>
  <c r="H27" i="5633"/>
  <c r="H32" i="5633"/>
  <c r="H40" i="5633"/>
  <c r="H48" i="5633"/>
  <c r="B23" i="5633"/>
  <c r="H41" i="5633"/>
  <c r="H49" i="5633"/>
  <c r="H4" i="5633"/>
  <c r="C17" i="5633"/>
  <c r="H11" i="5633"/>
  <c r="H14" i="5633"/>
  <c r="H36" i="5633"/>
  <c r="H44" i="5633"/>
  <c r="H5" i="5633"/>
  <c r="H10" i="5633"/>
  <c r="C19" i="5633"/>
  <c r="H8" i="5633"/>
  <c r="H19" i="5633"/>
  <c r="H21" i="5633"/>
  <c r="H15" i="5633"/>
  <c r="H33" i="5633"/>
  <c r="H9" i="5633"/>
  <c r="H7" i="5633"/>
  <c r="H18" i="5633"/>
  <c r="H22" i="5633"/>
  <c r="H6" i="5633"/>
  <c r="H17" i="5633"/>
  <c r="H20" i="5633"/>
  <c r="H13" i="5633"/>
  <c r="C18" i="5633"/>
  <c r="H12" i="5633"/>
  <c r="H16" i="5633"/>
  <c r="H29" i="5633"/>
  <c r="H37" i="5633"/>
  <c r="H45" i="5633"/>
  <c r="H52" i="5633"/>
  <c r="H23" i="5633"/>
  <c r="H24" i="5633"/>
  <c r="H26" i="5633"/>
  <c r="H28" i="5633"/>
  <c r="H30" i="5633"/>
  <c r="H34" i="5633"/>
  <c r="H38" i="5633"/>
  <c r="H42" i="5633"/>
  <c r="H46" i="5633"/>
  <c r="H50" i="5633"/>
  <c r="H31" i="5633"/>
  <c r="H35" i="5633"/>
  <c r="H39" i="5633"/>
  <c r="H43" i="5633"/>
  <c r="H47" i="5633"/>
  <c r="O20" i="5631" l="1"/>
  <c r="O19" i="5631"/>
  <c r="C27" i="5631"/>
  <c r="B24" i="5631"/>
  <c r="C20" i="5631"/>
  <c r="B17" i="5631"/>
  <c r="H51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C8" i="5631"/>
  <c r="O7" i="5631"/>
  <c r="C7" i="5631"/>
  <c r="O6" i="5631"/>
  <c r="B6" i="5631"/>
  <c r="O5" i="5631"/>
  <c r="B5" i="5631"/>
  <c r="O4" i="5631"/>
  <c r="O3" i="5631"/>
  <c r="O2" i="5631"/>
  <c r="O19" i="5629"/>
  <c r="O18" i="5629"/>
  <c r="C27" i="5629"/>
  <c r="B24" i="5629"/>
  <c r="C20" i="5629"/>
  <c r="B17" i="5629"/>
  <c r="H15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20" i="5625"/>
  <c r="O16" i="5627"/>
  <c r="O18" i="5627"/>
  <c r="C27" i="5627"/>
  <c r="B24" i="5627"/>
  <c r="C20" i="5627"/>
  <c r="B17" i="5627"/>
  <c r="H51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21" i="5625"/>
  <c r="O22" i="5625"/>
  <c r="C27" i="5625"/>
  <c r="B24" i="5625"/>
  <c r="C20" i="5625"/>
  <c r="B17" i="5625"/>
  <c r="H51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H33" i="5631" l="1"/>
  <c r="H10" i="5631"/>
  <c r="H7" i="5631"/>
  <c r="H40" i="5631"/>
  <c r="H13" i="5631"/>
  <c r="H28" i="5631"/>
  <c r="H20" i="5631"/>
  <c r="C18" i="5631"/>
  <c r="H11" i="5625"/>
  <c r="H31" i="5625"/>
  <c r="H2" i="5625"/>
  <c r="H29" i="5625"/>
  <c r="H6" i="5625"/>
  <c r="H4" i="5625"/>
  <c r="H3" i="5625"/>
  <c r="H15" i="5625"/>
  <c r="H26" i="5631"/>
  <c r="H41" i="5631"/>
  <c r="H22" i="5631"/>
  <c r="H6" i="5631"/>
  <c r="H16" i="5631"/>
  <c r="B23" i="5631"/>
  <c r="H32" i="5631"/>
  <c r="H49" i="5631"/>
  <c r="H48" i="5631"/>
  <c r="H18" i="5631"/>
  <c r="H8" i="5631"/>
  <c r="H36" i="5631"/>
  <c r="H44" i="5631"/>
  <c r="H4" i="5631"/>
  <c r="H5" i="5631"/>
  <c r="H2" i="5631"/>
  <c r="H15" i="5631"/>
  <c r="H19" i="5631"/>
  <c r="C17" i="5631"/>
  <c r="H11" i="5631"/>
  <c r="H30" i="5631"/>
  <c r="H37" i="5631"/>
  <c r="H45" i="5631"/>
  <c r="H52" i="5631"/>
  <c r="H24" i="5631"/>
  <c r="H25" i="5631"/>
  <c r="H29" i="5631"/>
  <c r="H17" i="5631"/>
  <c r="H34" i="5631"/>
  <c r="H38" i="5631"/>
  <c r="H42" i="5631"/>
  <c r="H46" i="5631"/>
  <c r="H50" i="5631"/>
  <c r="H14" i="5631"/>
  <c r="H3" i="5631"/>
  <c r="H27" i="5631"/>
  <c r="H9" i="5631"/>
  <c r="H21" i="5631"/>
  <c r="H23" i="5631"/>
  <c r="C19" i="5631"/>
  <c r="H12" i="5631"/>
  <c r="H31" i="5631"/>
  <c r="H35" i="5631"/>
  <c r="H39" i="5631"/>
  <c r="H43" i="5631"/>
  <c r="H47" i="5631"/>
  <c r="H10" i="5629"/>
  <c r="H28" i="5629"/>
  <c r="H30" i="5629"/>
  <c r="H3" i="5629"/>
  <c r="H4" i="5629"/>
  <c r="H11" i="5629"/>
  <c r="H16" i="5629"/>
  <c r="H20" i="5629"/>
  <c r="H42" i="5629"/>
  <c r="H37" i="5629"/>
  <c r="H8" i="5629"/>
  <c r="H45" i="5629"/>
  <c r="H2" i="5629"/>
  <c r="H9" i="5629"/>
  <c r="H27" i="5629"/>
  <c r="H7" i="5629"/>
  <c r="H12" i="5629"/>
  <c r="C17" i="5629"/>
  <c r="B23" i="5629"/>
  <c r="H35" i="5629"/>
  <c r="H5" i="5629"/>
  <c r="C19" i="5629"/>
  <c r="H18" i="5629"/>
  <c r="H33" i="5629"/>
  <c r="H34" i="5629"/>
  <c r="H41" i="5629"/>
  <c r="H49" i="5629"/>
  <c r="H50" i="5629"/>
  <c r="H6" i="5629"/>
  <c r="H26" i="5629"/>
  <c r="H29" i="5629"/>
  <c r="H14" i="5629"/>
  <c r="C18" i="5629"/>
  <c r="H17" i="5629"/>
  <c r="H13" i="5629"/>
  <c r="H23" i="5629"/>
  <c r="H38" i="5629"/>
  <c r="H46" i="5629"/>
  <c r="H52" i="5629"/>
  <c r="H31" i="5629"/>
  <c r="H32" i="5629"/>
  <c r="H21" i="5629"/>
  <c r="H22" i="5629"/>
  <c r="H24" i="5629"/>
  <c r="H25" i="5629"/>
  <c r="H39" i="5629"/>
  <c r="H43" i="5629"/>
  <c r="H47" i="5629"/>
  <c r="H51" i="5629"/>
  <c r="H19" i="5629"/>
  <c r="H36" i="5629"/>
  <c r="H40" i="5629"/>
  <c r="H44" i="5629"/>
  <c r="H48" i="5629"/>
  <c r="H3" i="5627"/>
  <c r="H2" i="5627"/>
  <c r="H5" i="5627"/>
  <c r="H10" i="5627"/>
  <c r="C19" i="5627"/>
  <c r="H26" i="5627"/>
  <c r="H28" i="5627"/>
  <c r="H32" i="5627"/>
  <c r="H40" i="5627"/>
  <c r="H48" i="5627"/>
  <c r="C17" i="5627"/>
  <c r="H15" i="5627"/>
  <c r="B23" i="5627"/>
  <c r="H33" i="5627"/>
  <c r="H41" i="5627"/>
  <c r="H49" i="5627"/>
  <c r="H20" i="5627"/>
  <c r="H9" i="5627"/>
  <c r="H13" i="5627"/>
  <c r="H44" i="5627"/>
  <c r="H4" i="5627"/>
  <c r="H7" i="5627"/>
  <c r="H14" i="5627"/>
  <c r="H6" i="5627"/>
  <c r="H11" i="5627"/>
  <c r="H19" i="5627"/>
  <c r="H23" i="5627"/>
  <c r="H36" i="5627"/>
  <c r="H8" i="5627"/>
  <c r="H18" i="5627"/>
  <c r="H21" i="5627"/>
  <c r="H22" i="5627"/>
  <c r="C18" i="5627"/>
  <c r="H12" i="5627"/>
  <c r="H16" i="5627"/>
  <c r="H29" i="5627"/>
  <c r="H37" i="5627"/>
  <c r="H45" i="5627"/>
  <c r="H52" i="5627"/>
  <c r="H24" i="5627"/>
  <c r="H25" i="5627"/>
  <c r="H27" i="5627"/>
  <c r="H17" i="5627"/>
  <c r="H30" i="5627"/>
  <c r="H34" i="5627"/>
  <c r="H38" i="5627"/>
  <c r="H42" i="5627"/>
  <c r="H46" i="5627"/>
  <c r="H50" i="5627"/>
  <c r="H31" i="5627"/>
  <c r="H35" i="5627"/>
  <c r="H39" i="5627"/>
  <c r="H43" i="5627"/>
  <c r="H47" i="5627"/>
  <c r="H12" i="5625"/>
  <c r="C18" i="5625"/>
  <c r="H8" i="5625"/>
  <c r="H35" i="5625"/>
  <c r="H13" i="5625"/>
  <c r="H10" i="5625"/>
  <c r="H7" i="5625"/>
  <c r="H28" i="5625"/>
  <c r="H17" i="5625"/>
  <c r="H40" i="5625"/>
  <c r="H45" i="5625"/>
  <c r="H50" i="5625"/>
  <c r="H14" i="5625"/>
  <c r="H26" i="5625"/>
  <c r="H36" i="5625"/>
  <c r="H41" i="5625"/>
  <c r="H46" i="5625"/>
  <c r="H21" i="5625"/>
  <c r="C19" i="5625"/>
  <c r="H22" i="5625"/>
  <c r="H25" i="5625"/>
  <c r="H20" i="5625"/>
  <c r="H37" i="5625"/>
  <c r="H42" i="5625"/>
  <c r="H48" i="5625"/>
  <c r="H5" i="5625"/>
  <c r="H9" i="5625"/>
  <c r="H30" i="5625"/>
  <c r="H19" i="5625"/>
  <c r="C17" i="5625"/>
  <c r="H16" i="5625"/>
  <c r="B23" i="5625"/>
  <c r="H34" i="5625"/>
  <c r="H38" i="5625"/>
  <c r="H44" i="5625"/>
  <c r="H49" i="5625"/>
  <c r="H52" i="5625"/>
  <c r="H32" i="5625"/>
  <c r="H33" i="5625"/>
  <c r="H23" i="5625"/>
  <c r="H24" i="5625"/>
  <c r="H18" i="5625"/>
  <c r="H27" i="5625"/>
  <c r="H39" i="5625"/>
  <c r="H43" i="5625"/>
  <c r="H47" i="562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<sst xmlns="http://schemas.openxmlformats.org/spreadsheetml/2006/main" count="2402" uniqueCount="202">
  <si>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</si>
  <si>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</si>
  <si>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</si>
  <si>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</si>
  <si>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</si>
  <si>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</si>
  <si>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</si>
  <si>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</si>
  <si>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</si>
  <si>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</si>
  <si>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</si>
  <si>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</si>
  <si>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</si>
  <si>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</si>
  <si>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</si>
  <si>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</si>
  <si>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</si>
  <si>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</si>
  <si>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</si>
  <si>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</si>
  <si>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</si>
  <si>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</si>
  <si>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</si>
  <si>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</si>
  <si>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</si>
  <si>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</si>
  <si>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</si>
  <si>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</si>
  <si>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</si>
  <si>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</si>
  <si>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</si>
  <si>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</si>
  <si>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</si>
  <si>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</si>
  <si>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</si>
  <si>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</si>
  <si>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</si>
  <si>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</si>
  <si>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</si>
  <si>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</si>
  <si>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</si>
  <si>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</si>
  <si>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</si>
  <si>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</si>
  <si>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</si>
  <si>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</si>
  <si>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</si>
  <si>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</si>
  <si>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</si>
  <si>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</si>
  <si>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</si>
  <si>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</si>
  <si>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</si>
  <si>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</si>
  <si>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</si>
  <si>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</si>
  <si>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</si>
  <si>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</si>
  <si>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</si>
  <si>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</si>
  <si>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</si>
  <si>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</si>
  <si>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</si>
  <si>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</si>
  <si>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</si>
  <si>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</si>
  <si>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</si>
  <si>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</si>
  <si>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</si>
  <si>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</si>
  <si>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</si>
  <si>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</si>
  <si>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</si>
  <si>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</si>
  <si>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</si>
  <si>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</si>
  <si>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</si>
  <si>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</si>
  <si>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</si>
  <si>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</si>
  <si>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</si>
  <si>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</si>
  <si>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</si>
  <si>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</si>
  <si>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</si>
  <si>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</si>
  <si>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</si>
  <si>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</si>
  <si>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</si>
  <si>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</si>
  <si>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</si>
  <si>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</si>
  <si>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</si>
  <si>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</si>
  <si>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</si>
  <si>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</si>
  <si>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</si>
  <si>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</si>
  <si>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</si>
  <si>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</si>
  <si>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</si>
  <si>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</si>
  <si>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</si>
  <si>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</si>
  <si>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</si>
  <si>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</si>
  <si>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</si>
  <si>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</si>
  <si>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</si>
  <si>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</si>
  <si>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</si>
  <si>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</si>
  <si>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</si>
  <si>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</si>
  <si>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</si>
  <si>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</si>
  <si>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</si>
  <si>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</si>
  <si>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</si>
  <si>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</si>
  <si>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</si>
  <si>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</si>
  <si>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</si>
  <si>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</si>
  <si>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</si>
  <si>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</si>
  <si>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</si>
  <si>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</si>
  <si>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</si>
  <si>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</si>
  <si>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</si>
  <si>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</si>
  <si>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</si>
  <si>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</si>
  <si>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</si>
  <si>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</si>
  <si>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</si>
  <si>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</si>
  <si>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</si>
  <si>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</si>
  <si>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</si>
  <si>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</si>
  <si>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</si>
  <si>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</si>
  <si>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</si>
  <si>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</si>
  <si>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</si>
  <si>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</si>
  <si>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</si>
  <si>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</si>
  <si>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</si>
  <si>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</si>
  <si>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</si>
  <si>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</si>
  <si>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</si>
  <si>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</si>
  <si>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</si>
  <si>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</si>
  <si>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</si>
  <si>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</si>
  <si>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</si>
  <si>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</si>
  <si>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</si>
  <si>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</si>
  <si>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</si>
  <si>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</si>
  <si>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</si>
  <si>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</si>
  <si>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</si>
  <si>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</si>
  <si>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</si>
  <si>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</si>
  <si>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</si>
  <si>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</si>
  <si>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</si>
  <si>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</si>
  <si>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</si>
  <si>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</si>
  <si>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</si>
  <si>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</si>
  <si>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</si>
  <si>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</si>
  <si>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</si>
  <si>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</si>
  <si>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</si>
  <si>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</si>
  <si>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</si>
  <si>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</si>
  <si>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</si>
  <si>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</si>
  <si>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</si>
  <si>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</si>
  <si>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</si>
  <si>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</si>
  <si>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</si>
  <si>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</si>
  <si>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</si>
  <si>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</si>
  <si>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</si>
  <si>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</si>
  <si>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</si>
  <si>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2019-10-03@3.xlsm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</si>
</sst>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全体!$L$2:$L$119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7.5000000000000036</c:v>
                </c:pt>
                <c:pt idx="71">
                  <c:v>28.600000000000005</c:v>
                </c:pt>
                <c:pt idx="72">
                  <c:v>3.5527136788005009E-15</c:v>
                </c:pt>
                <c:pt idx="73">
                  <c:v>39.5</c:v>
                </c:pt>
                <c:pt idx="74">
                  <c:v>-7</c:v>
                </c:pt>
                <c:pt idx="75">
                  <c:v>0</c:v>
                </c:pt>
                <c:pt idx="76">
                  <c:v>-45.1</c:v>
                </c:pt>
                <c:pt idx="77">
                  <c:v>-39.200000000000003</c:v>
                </c:pt>
                <c:pt idx="78">
                  <c:v>0</c:v>
                </c:pt>
                <c:pt idx="79">
                  <c:v>17.7</c:v>
                </c:pt>
                <c:pt idx="80">
                  <c:v>-28.8</c:v>
                </c:pt>
                <c:pt idx="81">
                  <c:v>0</c:v>
                </c:pt>
                <c:pt idx="82">
                  <c:v>42.9</c:v>
                </c:pt>
                <c:pt idx="83">
                  <c:v>-0.80000000000000426</c:v>
                </c:pt>
                <c:pt idx="84">
                  <c:v>-4.2188474935755949E-15</c:v>
                </c:pt>
                <c:pt idx="85">
                  <c:v>-58.000000000000007</c:v>
                </c:pt>
                <c:pt idx="86">
                  <c:v>-7.1054273576010019E-15</c:v>
                </c:pt>
                <c:pt idx="87">
                  <c:v>-7.1054273576010019E-15</c:v>
                </c:pt>
                <c:pt idx="88">
                  <c:v>-26.400000000000006</c:v>
                </c:pt>
                <c:pt idx="89">
                  <c:v>-26.900000000000006</c:v>
                </c:pt>
                <c:pt idx="90">
                  <c:v>-7.1054273576010019E-15</c:v>
                </c:pt>
                <c:pt idx="91">
                  <c:v>-34.900000000000006</c:v>
                </c:pt>
                <c:pt idx="92">
                  <c:v>-8.100000000000005</c:v>
                </c:pt>
                <c:pt idx="93">
                  <c:v>-5.3290705182007514E-15</c:v>
                </c:pt>
                <c:pt idx="94">
                  <c:v>34.29999999999999</c:v>
                </c:pt>
                <c:pt idx="95">
                  <c:v>31.499999999999989</c:v>
                </c:pt>
                <c:pt idx="96">
                  <c:v>-1.0658141036401503E-14</c:v>
                </c:pt>
                <c:pt idx="97">
                  <c:v>17.699999999999989</c:v>
                </c:pt>
                <c:pt idx="98">
                  <c:v>-28.800000000000011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6-4020-AA09-27AE1864D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-25.641025641025642</c:v>
                </c:pt>
                <c:pt idx="1">
                  <c:v>27.027027027027028</c:v>
                </c:pt>
                <c:pt idx="2">
                  <c:v>-37.037037037037038</c:v>
                </c:pt>
                <c:pt idx="3">
                  <c:v>27.777777777777779</c:v>
                </c:pt>
                <c:pt idx="4">
                  <c:v>10.416666666666666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1-4E29-B472-B9B5ADF3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A3-4DBF-8909-790CF5615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-2707.6923076923076</c:v>
                </c:pt>
                <c:pt idx="1">
                  <c:v>438.46153846153845</c:v>
                </c:pt>
                <c:pt idx="2">
                  <c:v>846.15384615384619</c:v>
                </c:pt>
                <c:pt idx="3">
                  <c:v>-476.92307692307691</c:v>
                </c:pt>
                <c:pt idx="4">
                  <c:v>-600</c:v>
                </c:pt>
                <c:pt idx="5">
                  <c:v>-3860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B-4EB1-82A8-5EEF18337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だいち!$L$2:$L$29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2-4FDB-AC53-35F118ED9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-1366.6666666666667</c:v>
                </c:pt>
                <c:pt idx="1">
                  <c:v>92</c:v>
                </c:pt>
                <c:pt idx="2">
                  <c:v>-300</c:v>
                </c:pt>
                <c:pt idx="3">
                  <c:v>-88</c:v>
                </c:pt>
                <c:pt idx="4">
                  <c:v>6173.913043478261</c:v>
                </c:pt>
                <c:pt idx="5">
                  <c:v>8236.8421052631584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1-4487-B75E-9F97F6258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ただ!$L$2:$L$32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-66.400000000000034</c:v>
                </c:pt>
                <c:pt idx="23">
                  <c:v>-66.400000000000034</c:v>
                </c:pt>
                <c:pt idx="24">
                  <c:v>-39.500000000000036</c:v>
                </c:pt>
                <c:pt idx="25">
                  <c:v>-31.400000000000034</c:v>
                </c:pt>
                <c:pt idx="26">
                  <c:v>-62.900000000000034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A5-4F61-B340-95F628EA2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2143.3333333333335</c:v>
                </c:pt>
                <c:pt idx="1">
                  <c:v>428.57142857142856</c:v>
                </c:pt>
                <c:pt idx="2">
                  <c:v>1474.0740740740741</c:v>
                </c:pt>
                <c:pt idx="3">
                  <c:v>3192.5925925925926</c:v>
                </c:pt>
                <c:pt idx="4">
                  <c:v>-2979.1666666666665</c:v>
                </c:pt>
                <c:pt idx="5">
                  <c:v>-2852.6315789473683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FFC-9A56-383CA4B0B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2B-4124-A902-900535C91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2385.7142857142858</c:v>
                </c:pt>
                <c:pt idx="1">
                  <c:v>-2330.7692307692309</c:v>
                </c:pt>
                <c:pt idx="2">
                  <c:v>2269.2307692307691</c:v>
                </c:pt>
                <c:pt idx="3">
                  <c:v>-5230.7692307692305</c:v>
                </c:pt>
                <c:pt idx="4">
                  <c:v>-7358.333333333333</c:v>
                </c:pt>
                <c:pt idx="5">
                  <c:v>-1918.1818181818182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9-4345-8534-6B71988DF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れんたろう!$L$2:$L$12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6-4CE9-854E-B48E7270E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1700</c:v>
                </c:pt>
                <c:pt idx="1">
                  <c:v>300</c:v>
                </c:pt>
                <c:pt idx="2">
                  <c:v>-2750</c:v>
                </c:pt>
                <c:pt idx="3">
                  <c:v>375</c:v>
                </c:pt>
                <c:pt idx="4">
                  <c:v>-4100</c:v>
                </c:pt>
                <c:pt idx="5">
                  <c:v>-13060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3-45BA-8E86-1E4E75F26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まっつん!$L$2:$L$10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-37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2-4179-8FCB-E68AE1E09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-3000</c:v>
                </c:pt>
                <c:pt idx="1">
                  <c:v>-1575</c:v>
                </c:pt>
                <c:pt idx="2">
                  <c:v>1314.2857142857142</c:v>
                </c:pt>
                <c:pt idx="3">
                  <c:v>528.57142857142856</c:v>
                </c:pt>
                <c:pt idx="4">
                  <c:v>-4250</c:v>
                </c:pt>
                <c:pt idx="5">
                  <c:v>4666.666666666667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2-4E8C-9F22-E83438CB1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E-48E5-BC3C-8EECD2C4E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75</c:v>
                </c:pt>
                <c:pt idx="1">
                  <c:v>-6400</c:v>
                </c:pt>
                <c:pt idx="2">
                  <c:v>-5700</c:v>
                </c:pt>
                <c:pt idx="3">
                  <c:v>-1625</c:v>
                </c:pt>
                <c:pt idx="4">
                  <c:v>400</c:v>
                </c:pt>
                <c:pt idx="5">
                  <c:v>-3750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5-4165-9269-4D29F9209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F-4FC3-AA41-3FC1C1C1A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5242.8571428571431</c:v>
                </c:pt>
                <c:pt idx="2">
                  <c:v>-114.28571428571429</c:v>
                </c:pt>
                <c:pt idx="3">
                  <c:v>1285.7142857142858</c:v>
                </c:pt>
                <c:pt idx="4">
                  <c:v>8042.8571428571431</c:v>
                </c:pt>
                <c:pt idx="5">
                  <c:v>4140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AF-416E-BDD8-78309E48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21.1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9-4AF8-8B2F-30E29AAED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-750</c:v>
                </c:pt>
                <c:pt idx="1">
                  <c:v>3025</c:v>
                </c:pt>
                <c:pt idx="2">
                  <c:v>-10100</c:v>
                </c:pt>
                <c:pt idx="3">
                  <c:v>-4000</c:v>
                </c:pt>
                <c:pt idx="4">
                  <c:v>7200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93-4305-88F6-59E2653A8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21.1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86517468137026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21.1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94166394333558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0.42857142857142855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550724637681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8743961352656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8600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26.86084142394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0</c:v>
                </c:pt>
                <c:pt idx="2">
                  <c:v>-9333.3333333333339</c:v>
                </c:pt>
                <c:pt idx="3">
                  <c:v>-9333.3333333333339</c:v>
                </c:pt>
                <c:pt idx="4">
                  <c:v>-9142.8571428571431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71.89189189189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8205128205128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8205128205128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0.2857142857142857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768115942028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0.2857142857142857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275362318840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1300813008130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1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3100775193798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8058252427184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4">
        <v>-1000000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43737.532500000001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43737.532500000001</v>
      </c>
      <c r="C3" s="30" t="s">
        <v>129</v>
      </c>
    </row>
    <row r="4" spans="1:12" x14ac:dyDescent="0.4">
      <c r="A4" s="30" t="s">
        <v>181</v>
      </c>
      <c r="B4" s="31">
        <v>43737.532500000001</v>
      </c>
      <c r="C4" s="30" t="s">
        <v>129</v>
      </c>
    </row>
    <row r="5" spans="1:12" x14ac:dyDescent="0.4">
      <c r="A5" s="30" t="s">
        <v>184</v>
      </c>
      <c r="B5" s="31">
        <v>43737.532500000001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43737.532500000001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43738.564340277779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195</v>
      </c>
      <c r="B8" s="31">
        <v>43739.43246527778</v>
      </c>
      <c r="C8" s="30" t="s">
        <v>130</v>
      </c>
      <c r="D8" s="30" t="s">
        <v>185</v>
      </c>
      <c r="E8" s="30" t="s">
        <v>129</v>
      </c>
    </row>
    <row r="9" spans="1:12" x14ac:dyDescent="0.4">
      <c r="A9" s="30" t="s">
        <v>197</v>
      </c>
      <c r="B9" s="31">
        <v>43742.036736111113</v>
      </c>
      <c r="C9" s="30" t="s">
        <v>129</v>
      </c>
      <c r="D9" s="30" t="s">
        <v>130</v>
      </c>
      <c r="E9" s="30" t="s">
        <v>185</v>
      </c>
      <c r="F9" s="30" t="s">
        <v>186</v>
      </c>
      <c r="G9" s="30" t="s">
        <v>187</v>
      </c>
      <c r="H9" s="30" t="s">
        <v>188</v>
      </c>
    </row>
    <row r="10" spans="1:12" x14ac:dyDescent="0.4">
      <c r="A10" s="30" t="s">
        <v>198</v>
      </c>
      <c r="B10" s="31">
        <v>43740.96733796296</v>
      </c>
      <c r="C10" s="30" t="s">
        <v>129</v>
      </c>
    </row>
    <row r="11" spans="1:12" x14ac:dyDescent="0.4">
      <c r="A11" s="30" t="s">
        <v>199</v>
      </c>
      <c r="B11" s="31">
        <v>43741.028969907406</v>
      </c>
      <c r="C11" s="30" t="s">
        <v>129</v>
      </c>
    </row>
    <row r="12" spans="1:12" x14ac:dyDescent="0.4">
      <c r="A12" s="30" t="s">
        <v>200</v>
      </c>
      <c r="B12" s="31">
        <v>43742.037129629629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201</v>
      </c>
      <c r="B13" s="31">
        <v>43742.036944444444</v>
      </c>
      <c r="C13" s="30" t="s">
        <v>129</v>
      </c>
      <c r="D13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117</v>
      </c>
    </row>
    <row r="2" spans="1:2" x14ac:dyDescent="0.4">
      <c r="A2" t="s">
        <v>167</v>
      </c>
      <c r="B2">
        <v>13</v>
      </c>
    </row>
    <row r="3" spans="1:2" x14ac:dyDescent="0.4">
      <c r="A3" t="s">
        <v>127</v>
      </c>
      <c r="B3">
        <v>27</v>
      </c>
    </row>
    <row r="4" spans="1:2" x14ac:dyDescent="0.4">
      <c r="A4" t="s">
        <v>128</v>
      </c>
      <c r="B4">
        <v>30</v>
      </c>
    </row>
    <row r="5" spans="1:2" x14ac:dyDescent="0.4">
      <c r="A5" t="s">
        <v>180</v>
      </c>
      <c r="B5">
        <v>14</v>
      </c>
    </row>
    <row r="6" spans="1:2" x14ac:dyDescent="0.4">
      <c r="A6" t="s">
        <v>178</v>
      </c>
      <c r="B6">
        <v>10</v>
      </c>
    </row>
    <row r="7" spans="1:2" x14ac:dyDescent="0.4">
      <c r="A7" t="s">
        <v>179</v>
      </c>
      <c r="B7">
        <v>8</v>
      </c>
    </row>
    <row r="8" spans="1:2" x14ac:dyDescent="0.4">
      <c r="A8" t="s">
        <v>183</v>
      </c>
      <c r="B8">
        <v>4</v>
      </c>
    </row>
    <row r="9" spans="1:2" x14ac:dyDescent="0.4">
      <c r="A9" t="s">
        <v>182</v>
      </c>
      <c r="B9">
        <v>7</v>
      </c>
    </row>
    <row r="10" spans="1:2" x14ac:dyDescent="0.4">
      <c r="A10" t="s">
        <v>196</v>
      </c>
      <c r="B10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161</v>
      </c>
      <c r="K1" s="163"/>
      <c r="L1" s="162" t="s">
        <v>148</v>
      </c>
      <c r="M1" s="163"/>
      <c r="N1" s="162" t="s">
        <v>149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140</v>
      </c>
      <c r="W1" s="163"/>
      <c r="X1" s="162" t="s">
        <v>123</v>
      </c>
      <c r="Y1" s="163"/>
      <c r="Z1" s="162" t="s">
        <v>120</v>
      </c>
      <c r="AA1" s="163"/>
      <c r="AB1" s="162" t="s">
        <v>126</v>
      </c>
      <c r="AC1" s="163"/>
      <c r="AD1" s="162" t="s">
        <v>150</v>
      </c>
      <c r="AE1" s="163"/>
      <c r="AF1" s="162" t="s">
        <v>143</v>
      </c>
      <c r="AG1" s="163"/>
      <c r="AH1" s="162" t="s">
        <v>152</v>
      </c>
      <c r="AI1" s="163"/>
    </row>
    <row r="2" spans="1:35" x14ac:dyDescent="0.4">
      <c r="A2" s="72" t="s">
        <v>160</v>
      </c>
      <c r="B2" s="164"/>
      <c r="C2" s="165"/>
      <c r="D2" s="164"/>
      <c r="E2" s="165"/>
      <c r="F2" s="160">
        <v>0.95927677403190303</v>
      </c>
      <c r="G2" s="161"/>
      <c r="H2" s="160">
        <v>0.9583830394055709</v>
      </c>
      <c r="I2" s="161"/>
      <c r="J2" s="160">
        <v>0.92367505557543406</v>
      </c>
      <c r="K2" s="161"/>
      <c r="L2" s="160">
        <v>0.95787630966370307</v>
      </c>
      <c r="M2" s="161"/>
      <c r="N2" s="160">
        <v>0.90278716591745145</v>
      </c>
      <c r="O2" s="161"/>
      <c r="P2" s="160">
        <v>-0.36080242474655272</v>
      </c>
      <c r="Q2" s="161"/>
      <c r="R2" s="160">
        <v>0.47255360271641461</v>
      </c>
      <c r="S2" s="161"/>
      <c r="T2" s="160">
        <v>0.5359003427530572</v>
      </c>
      <c r="U2" s="161"/>
      <c r="V2" s="160">
        <v>0.38845175942262977</v>
      </c>
      <c r="W2" s="161"/>
      <c r="X2" s="160">
        <v>0.43809394798258317</v>
      </c>
      <c r="Y2" s="161"/>
      <c r="Z2" s="160">
        <v>0.31605716785707322</v>
      </c>
      <c r="AA2" s="161"/>
      <c r="AB2" s="160">
        <v>0.45067632694589466</v>
      </c>
      <c r="AC2" s="161"/>
      <c r="AD2" s="160">
        <v>0.69224808377284608</v>
      </c>
      <c r="AE2" s="161"/>
      <c r="AF2" s="160">
        <v>0.34560540775135784</v>
      </c>
      <c r="AG2" s="161"/>
      <c r="AH2" s="160">
        <v>0.58295990368414075</v>
      </c>
      <c r="AI2" s="161"/>
    </row>
    <row r="3" spans="1:35" x14ac:dyDescent="0.4">
      <c r="A3" s="74">
        <v>1</v>
      </c>
      <c r="B3" s="75" t="s">
        <v>127</v>
      </c>
      <c r="C3" s="76">
        <v>362.4</v>
      </c>
      <c r="D3" s="77" t="s">
        <v>182</v>
      </c>
      <c r="E3" s="96">
        <v>17.571428571428573</v>
      </c>
      <c r="F3" s="77" t="s">
        <v>127</v>
      </c>
      <c r="G3" s="78">
        <v>1.6296296296296295</v>
      </c>
      <c r="H3" s="77" t="s">
        <v>127</v>
      </c>
      <c r="I3" s="79">
        <v>0.59259259259259256</v>
      </c>
      <c r="J3" s="77" t="s">
        <v>182</v>
      </c>
      <c r="K3" s="79">
        <v>0.14285714285714285</v>
      </c>
      <c r="L3" s="77" t="s">
        <v>127</v>
      </c>
      <c r="M3" s="80">
        <v>0.37872340425531914</v>
      </c>
      <c r="N3" s="77" t="s">
        <v>182</v>
      </c>
      <c r="O3" s="80">
        <v>9.375E-2</v>
      </c>
      <c r="P3" s="77" t="s">
        <v>178</v>
      </c>
      <c r="Q3" s="81">
        <v>12288.888888888889</v>
      </c>
      <c r="R3" s="77" t="s">
        <v>182</v>
      </c>
      <c r="S3" s="81">
        <v>-5550</v>
      </c>
      <c r="T3" s="77" t="s">
        <v>167</v>
      </c>
      <c r="U3" s="79">
        <v>0</v>
      </c>
      <c r="V3" s="77" t="s">
        <v>182</v>
      </c>
      <c r="W3" s="79">
        <v>0.2857142857142857</v>
      </c>
      <c r="X3" s="77" t="s">
        <v>182</v>
      </c>
      <c r="Y3" s="80">
        <v>0.359375</v>
      </c>
      <c r="Z3" s="77" t="s">
        <v>196</v>
      </c>
      <c r="AA3" s="80">
        <v>0.35</v>
      </c>
      <c r="AB3" s="77" t="s">
        <v>182</v>
      </c>
      <c r="AC3" s="80">
        <v>0.65217391304347827</v>
      </c>
      <c r="AD3" s="77" t="s">
        <v>179</v>
      </c>
      <c r="AE3" s="80">
        <v>0.53846153846153844</v>
      </c>
      <c r="AF3" s="77" t="s">
        <v>183</v>
      </c>
      <c r="AG3" s="80">
        <v>0.5714285714285714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123</v>
      </c>
      <c r="D4" s="85" t="s">
        <v>127</v>
      </c>
      <c r="E4" s="97">
        <v>13.422222222222221</v>
      </c>
      <c r="F4" s="85" t="s">
        <v>182</v>
      </c>
      <c r="G4" s="86">
        <v>1.7142857142857142</v>
      </c>
      <c r="H4" s="85" t="s">
        <v>196</v>
      </c>
      <c r="I4" s="87">
        <v>0.5</v>
      </c>
      <c r="J4" s="85" t="s">
        <v>127</v>
      </c>
      <c r="K4" s="87">
        <v>0.22222222222222221</v>
      </c>
      <c r="L4" s="85" t="s">
        <v>182</v>
      </c>
      <c r="M4" s="88">
        <v>0.34375</v>
      </c>
      <c r="N4" s="85" t="s">
        <v>179</v>
      </c>
      <c r="O4" s="88">
        <v>0.13698630136986301</v>
      </c>
      <c r="P4" s="85" t="s">
        <v>183</v>
      </c>
      <c r="Q4" s="89">
        <v>9028.5714285714294</v>
      </c>
      <c r="R4" s="85" t="s">
        <v>179</v>
      </c>
      <c r="S4" s="89">
        <v>-6370</v>
      </c>
      <c r="T4" s="85" t="s">
        <v>182</v>
      </c>
      <c r="U4" s="87">
        <v>0</v>
      </c>
      <c r="V4" s="85" t="s">
        <v>196</v>
      </c>
      <c r="W4" s="87">
        <v>0.25</v>
      </c>
      <c r="X4" s="85" t="s">
        <v>127</v>
      </c>
      <c r="Y4" s="88">
        <v>0.27659574468085107</v>
      </c>
      <c r="Z4" s="85" t="s">
        <v>128</v>
      </c>
      <c r="AA4" s="88">
        <v>0.30384615384615382</v>
      </c>
      <c r="AB4" s="85" t="s">
        <v>127</v>
      </c>
      <c r="AC4" s="88">
        <v>0.61538461538461542</v>
      </c>
      <c r="AD4" s="85" t="s">
        <v>127</v>
      </c>
      <c r="AE4" s="88">
        <v>0.53448275862068961</v>
      </c>
      <c r="AF4" s="85" t="s">
        <v>167</v>
      </c>
      <c r="AG4" s="88">
        <v>0.5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128</v>
      </c>
      <c r="C5" s="84">
        <v>63.499999999999957</v>
      </c>
      <c r="D5" s="85" t="s">
        <v>128</v>
      </c>
      <c r="E5" s="97">
        <v>2.1166666666666654</v>
      </c>
      <c r="F5" s="85" t="s">
        <v>167</v>
      </c>
      <c r="G5" s="86">
        <v>2</v>
      </c>
      <c r="H5" s="85" t="s">
        <v>182</v>
      </c>
      <c r="I5" s="87">
        <v>0.42857142857142855</v>
      </c>
      <c r="J5" s="85" t="s">
        <v>128</v>
      </c>
      <c r="K5" s="87">
        <v>0.3</v>
      </c>
      <c r="L5" s="85" t="s">
        <v>128</v>
      </c>
      <c r="M5" s="88">
        <v>0.32307692307692309</v>
      </c>
      <c r="N5" s="85" t="s">
        <v>127</v>
      </c>
      <c r="O5" s="88">
        <v>0.14468085106382977</v>
      </c>
      <c r="P5" s="85" t="s">
        <v>128</v>
      </c>
      <c r="Q5" s="89">
        <v>8714.2857142857138</v>
      </c>
      <c r="R5" s="85" t="s">
        <v>128</v>
      </c>
      <c r="S5" s="89">
        <v>-7412.2448979591836</v>
      </c>
      <c r="T5" s="85" t="s">
        <v>127</v>
      </c>
      <c r="U5" s="87">
        <v>3.7037037037037035E-2</v>
      </c>
      <c r="V5" s="85" t="s">
        <v>178</v>
      </c>
      <c r="W5" s="87">
        <v>0.2</v>
      </c>
      <c r="X5" s="85" t="s">
        <v>196</v>
      </c>
      <c r="Y5" s="88">
        <v>0.27500000000000002</v>
      </c>
      <c r="Z5" s="85" t="s">
        <v>178</v>
      </c>
      <c r="AA5" s="88">
        <v>0.28947368421052633</v>
      </c>
      <c r="AB5" s="85" t="s">
        <v>179</v>
      </c>
      <c r="AC5" s="88">
        <v>0.61538461538461542</v>
      </c>
      <c r="AD5" s="85" t="s">
        <v>128</v>
      </c>
      <c r="AE5" s="88">
        <v>0.45569620253164556</v>
      </c>
      <c r="AF5" s="85" t="s">
        <v>182</v>
      </c>
      <c r="AG5" s="88">
        <v>0.45454545454545453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-1.865174681370263E-14</v>
      </c>
      <c r="D6" s="85" t="s">
        <v>144</v>
      </c>
      <c r="E6" s="97">
        <v>-1.5941663943335581E-16</v>
      </c>
      <c r="F6" s="85" t="s">
        <v>128</v>
      </c>
      <c r="G6" s="86">
        <v>2</v>
      </c>
      <c r="H6" s="85" t="s">
        <v>144</v>
      </c>
      <c r="I6" s="87">
        <v>0.33333333333333331</v>
      </c>
      <c r="J6" s="85" t="s">
        <v>167</v>
      </c>
      <c r="K6" s="87">
        <v>0.30769230769230771</v>
      </c>
      <c r="L6" s="85" t="s">
        <v>144</v>
      </c>
      <c r="M6" s="88">
        <v>0.29855072463768118</v>
      </c>
      <c r="N6" s="85" t="s">
        <v>167</v>
      </c>
      <c r="O6" s="88">
        <v>0.1721311475409836</v>
      </c>
      <c r="P6" s="85" t="s">
        <v>182</v>
      </c>
      <c r="Q6" s="89">
        <v>8622.7272727272721</v>
      </c>
      <c r="R6" s="85" t="s">
        <v>167</v>
      </c>
      <c r="S6" s="89">
        <v>-7457.1428571428569</v>
      </c>
      <c r="T6" s="85" t="s">
        <v>144</v>
      </c>
      <c r="U6" s="87">
        <v>0.12820512820512819</v>
      </c>
      <c r="V6" s="85" t="s">
        <v>128</v>
      </c>
      <c r="W6" s="87">
        <v>0.16666666666666666</v>
      </c>
      <c r="X6" s="85" t="s">
        <v>183</v>
      </c>
      <c r="Y6" s="88">
        <v>0.27027027027027029</v>
      </c>
      <c r="Z6" s="85" t="s">
        <v>167</v>
      </c>
      <c r="AA6" s="88">
        <v>0.27868852459016391</v>
      </c>
      <c r="AB6" s="85" t="s">
        <v>167</v>
      </c>
      <c r="AC6" s="88">
        <v>0.6</v>
      </c>
      <c r="AD6" s="85" t="s">
        <v>178</v>
      </c>
      <c r="AE6" s="88">
        <v>0.45454545454545453</v>
      </c>
      <c r="AF6" s="85" t="s">
        <v>127</v>
      </c>
      <c r="AG6" s="88">
        <v>0.43820224719101125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196</v>
      </c>
      <c r="C7" s="84">
        <v>-37.400000000000006</v>
      </c>
      <c r="D7" s="85" t="s">
        <v>167</v>
      </c>
      <c r="E7" s="97">
        <v>-5.0923076923076929</v>
      </c>
      <c r="F7" s="85" t="s">
        <v>144</v>
      </c>
      <c r="G7" s="86">
        <v>2</v>
      </c>
      <c r="H7" s="85" t="s">
        <v>167</v>
      </c>
      <c r="I7" s="87">
        <v>0.30769230769230771</v>
      </c>
      <c r="J7" s="85" t="s">
        <v>144</v>
      </c>
      <c r="K7" s="87">
        <v>0.33333333333333331</v>
      </c>
      <c r="L7" s="85" t="s">
        <v>196</v>
      </c>
      <c r="M7" s="88">
        <v>0.25</v>
      </c>
      <c r="N7" s="85" t="s">
        <v>196</v>
      </c>
      <c r="O7" s="88">
        <v>0.17499999999999999</v>
      </c>
      <c r="P7" s="85" t="s">
        <v>179</v>
      </c>
      <c r="Q7" s="89">
        <v>8544.4444444444453</v>
      </c>
      <c r="R7" s="85" t="s">
        <v>127</v>
      </c>
      <c r="S7" s="89">
        <v>-7823.5294117647063</v>
      </c>
      <c r="T7" s="85" t="s">
        <v>128</v>
      </c>
      <c r="U7" s="87">
        <v>0.13333333333333333</v>
      </c>
      <c r="V7" s="85" t="s">
        <v>127</v>
      </c>
      <c r="W7" s="87">
        <v>0.14814814814814814</v>
      </c>
      <c r="X7" s="85" t="s">
        <v>180</v>
      </c>
      <c r="Y7" s="88">
        <v>0.25</v>
      </c>
      <c r="Z7" s="85" t="s">
        <v>144</v>
      </c>
      <c r="AA7" s="88">
        <v>0.24927536231884059</v>
      </c>
      <c r="AB7" s="85" t="s">
        <v>183</v>
      </c>
      <c r="AC7" s="88">
        <v>0.6</v>
      </c>
      <c r="AD7" s="85" t="s">
        <v>144</v>
      </c>
      <c r="AE7" s="88">
        <v>0.40310077519379844</v>
      </c>
      <c r="AF7" s="85" t="s">
        <v>196</v>
      </c>
      <c r="AG7" s="88">
        <v>0.4</v>
      </c>
      <c r="AH7" s="85" t="s">
        <v>178</v>
      </c>
      <c r="AI7" s="92">
        <v>83000</v>
      </c>
    </row>
    <row r="8" spans="1:35" x14ac:dyDescent="0.4">
      <c r="A8" s="82">
        <v>6</v>
      </c>
      <c r="B8" s="83" t="s">
        <v>179</v>
      </c>
      <c r="C8" s="84">
        <v>-46.7</v>
      </c>
      <c r="D8" s="85" t="s">
        <v>179</v>
      </c>
      <c r="E8" s="97">
        <v>-5.8375000000000004</v>
      </c>
      <c r="F8" s="85" t="s">
        <v>196</v>
      </c>
      <c r="G8" s="86">
        <v>2</v>
      </c>
      <c r="H8" s="85" t="s">
        <v>128</v>
      </c>
      <c r="I8" s="87">
        <v>0.3</v>
      </c>
      <c r="J8" s="85" t="s">
        <v>178</v>
      </c>
      <c r="K8" s="87">
        <v>0.4</v>
      </c>
      <c r="L8" s="85" t="s">
        <v>179</v>
      </c>
      <c r="M8" s="88">
        <v>0.24657534246575341</v>
      </c>
      <c r="N8" s="85" t="s">
        <v>144</v>
      </c>
      <c r="O8" s="88">
        <v>0.17874396135265699</v>
      </c>
      <c r="P8" s="85" t="s">
        <v>144</v>
      </c>
      <c r="Q8" s="89">
        <v>8526.8608414239479</v>
      </c>
      <c r="R8" s="85" t="s">
        <v>144</v>
      </c>
      <c r="S8" s="89">
        <v>-7971.8918918918916</v>
      </c>
      <c r="T8" s="85" t="s">
        <v>180</v>
      </c>
      <c r="U8" s="87">
        <v>0.14285714285714285</v>
      </c>
      <c r="V8" s="85" t="s">
        <v>144</v>
      </c>
      <c r="W8" s="87">
        <v>0.12820512820512819</v>
      </c>
      <c r="X8" s="85" t="s">
        <v>144</v>
      </c>
      <c r="Y8" s="88">
        <v>0.23768115942028986</v>
      </c>
      <c r="Z8" s="85" t="s">
        <v>127</v>
      </c>
      <c r="AA8" s="88">
        <v>0.24680851063829787</v>
      </c>
      <c r="AB8" s="85" t="s">
        <v>180</v>
      </c>
      <c r="AC8" s="88">
        <v>0.59375</v>
      </c>
      <c r="AD8" s="85" t="s">
        <v>182</v>
      </c>
      <c r="AE8" s="88">
        <v>0.2857142857142857</v>
      </c>
      <c r="AF8" s="85" t="s">
        <v>144</v>
      </c>
      <c r="AG8" s="88">
        <v>0.39805825242718446</v>
      </c>
      <c r="AH8" s="85" t="s">
        <v>179</v>
      </c>
      <c r="AI8" s="92">
        <v>71900</v>
      </c>
    </row>
    <row r="9" spans="1:35" x14ac:dyDescent="0.4">
      <c r="A9" s="82">
        <v>7</v>
      </c>
      <c r="B9" s="83" t="s">
        <v>167</v>
      </c>
      <c r="C9" s="84">
        <v>-66.2</v>
      </c>
      <c r="D9" s="85" t="s">
        <v>196</v>
      </c>
      <c r="E9" s="97">
        <v>-9.3500000000000014</v>
      </c>
      <c r="F9" s="85" t="s">
        <v>178</v>
      </c>
      <c r="G9" s="86">
        <v>2.2000000000000002</v>
      </c>
      <c r="H9" s="85" t="s">
        <v>179</v>
      </c>
      <c r="I9" s="87">
        <v>0.25</v>
      </c>
      <c r="J9" s="85" t="s">
        <v>180</v>
      </c>
      <c r="K9" s="87">
        <v>0.5</v>
      </c>
      <c r="L9" s="85" t="s">
        <v>167</v>
      </c>
      <c r="M9" s="88">
        <v>0.24590163934426229</v>
      </c>
      <c r="N9" s="85" t="s">
        <v>128</v>
      </c>
      <c r="O9" s="88">
        <v>0.18846153846153846</v>
      </c>
      <c r="P9" s="85" t="s">
        <v>127</v>
      </c>
      <c r="Q9" s="89">
        <v>8033.7078651685397</v>
      </c>
      <c r="R9" s="85" t="s">
        <v>180</v>
      </c>
      <c r="S9" s="89">
        <v>-8203.125</v>
      </c>
      <c r="T9" s="85" t="s">
        <v>179</v>
      </c>
      <c r="U9" s="87">
        <v>0.25</v>
      </c>
      <c r="V9" s="85" t="s">
        <v>179</v>
      </c>
      <c r="W9" s="87">
        <v>0.125</v>
      </c>
      <c r="X9" s="85" t="s">
        <v>167</v>
      </c>
      <c r="Y9" s="88">
        <v>0.20491803278688525</v>
      </c>
      <c r="Z9" s="85" t="s">
        <v>183</v>
      </c>
      <c r="AA9" s="88">
        <v>0.24324324324324326</v>
      </c>
      <c r="AB9" s="85" t="s">
        <v>144</v>
      </c>
      <c r="AC9" s="88">
        <v>0.58130081300813008</v>
      </c>
      <c r="AD9" s="85" t="s">
        <v>196</v>
      </c>
      <c r="AE9" s="88">
        <v>0.2857142857142857</v>
      </c>
      <c r="AF9" s="85" t="s">
        <v>180</v>
      </c>
      <c r="AG9" s="88">
        <v>0.35483870967741937</v>
      </c>
      <c r="AH9" s="85" t="s">
        <v>196</v>
      </c>
      <c r="AI9" s="92">
        <v>59500</v>
      </c>
    </row>
    <row r="10" spans="1:35" x14ac:dyDescent="0.4">
      <c r="A10" s="82">
        <v>8</v>
      </c>
      <c r="B10" s="83" t="s">
        <v>183</v>
      </c>
      <c r="C10" s="84">
        <v>-80.5</v>
      </c>
      <c r="D10" s="85" t="s">
        <v>178</v>
      </c>
      <c r="E10" s="97">
        <v>-11.329999999999998</v>
      </c>
      <c r="F10" s="85" t="s">
        <v>179</v>
      </c>
      <c r="G10" s="86">
        <v>2.25</v>
      </c>
      <c r="H10" s="85" t="s">
        <v>178</v>
      </c>
      <c r="I10" s="87">
        <v>0.2</v>
      </c>
      <c r="J10" s="85" t="s">
        <v>179</v>
      </c>
      <c r="K10" s="87">
        <v>0.5</v>
      </c>
      <c r="L10" s="85" t="s">
        <v>180</v>
      </c>
      <c r="M10" s="88">
        <v>0.2421875</v>
      </c>
      <c r="N10" s="85" t="s">
        <v>178</v>
      </c>
      <c r="O10" s="88">
        <v>0.22368421052631579</v>
      </c>
      <c r="P10" s="85" t="s">
        <v>180</v>
      </c>
      <c r="Q10" s="89">
        <v>8000</v>
      </c>
      <c r="R10" s="85" t="s">
        <v>183</v>
      </c>
      <c r="S10" s="89">
        <v>-8566.6666666666661</v>
      </c>
      <c r="T10" s="85" t="s">
        <v>183</v>
      </c>
      <c r="U10" s="87">
        <v>0.25</v>
      </c>
      <c r="V10" s="85" t="s">
        <v>167</v>
      </c>
      <c r="W10" s="87">
        <v>0</v>
      </c>
      <c r="X10" s="85" t="s">
        <v>128</v>
      </c>
      <c r="Y10" s="88">
        <v>0.2</v>
      </c>
      <c r="Z10" s="85" t="s">
        <v>179</v>
      </c>
      <c r="AA10" s="88">
        <v>0.17808219178082191</v>
      </c>
      <c r="AB10" s="85" t="s">
        <v>128</v>
      </c>
      <c r="AC10" s="88">
        <v>0.57692307692307687</v>
      </c>
      <c r="AD10" s="85" t="s">
        <v>167</v>
      </c>
      <c r="AE10" s="88">
        <v>0.23529411764705882</v>
      </c>
      <c r="AF10" s="85" t="s">
        <v>128</v>
      </c>
      <c r="AG10" s="88">
        <v>0.33333333333333331</v>
      </c>
      <c r="AH10" s="85" t="s">
        <v>180</v>
      </c>
      <c r="AI10" s="92">
        <v>53700</v>
      </c>
    </row>
    <row r="11" spans="1:35" x14ac:dyDescent="0.4">
      <c r="A11" s="82">
        <v>9</v>
      </c>
      <c r="B11" s="83" t="s">
        <v>178</v>
      </c>
      <c r="C11" s="84">
        <v>-113.29999999999998</v>
      </c>
      <c r="D11" s="85" t="s">
        <v>180</v>
      </c>
      <c r="E11" s="97">
        <v>-14.62857142857143</v>
      </c>
      <c r="F11" s="85" t="s">
        <v>180</v>
      </c>
      <c r="G11" s="86">
        <v>2.4285714285714284</v>
      </c>
      <c r="H11" s="85" t="s">
        <v>180</v>
      </c>
      <c r="I11" s="87">
        <v>7.1428571428571425E-2</v>
      </c>
      <c r="J11" s="85" t="s">
        <v>183</v>
      </c>
      <c r="K11" s="87">
        <v>0.5</v>
      </c>
      <c r="L11" s="85" t="s">
        <v>178</v>
      </c>
      <c r="M11" s="88">
        <v>0.23684210526315788</v>
      </c>
      <c r="N11" s="85" t="s">
        <v>183</v>
      </c>
      <c r="O11" s="88">
        <v>0.24324324324324326</v>
      </c>
      <c r="P11" s="85" t="s">
        <v>167</v>
      </c>
      <c r="Q11" s="89">
        <v>7803.333333333333</v>
      </c>
      <c r="R11" s="85" t="s">
        <v>196</v>
      </c>
      <c r="S11" s="89">
        <v>-9142.8571428571431</v>
      </c>
      <c r="T11" s="85" t="s">
        <v>178</v>
      </c>
      <c r="U11" s="87">
        <v>0.3</v>
      </c>
      <c r="V11" s="85" t="s">
        <v>180</v>
      </c>
      <c r="W11" s="87">
        <v>0</v>
      </c>
      <c r="X11" s="85" t="s">
        <v>178</v>
      </c>
      <c r="Y11" s="88">
        <v>0.19736842105263158</v>
      </c>
      <c r="Z11" s="85" t="s">
        <v>180</v>
      </c>
      <c r="AA11" s="88">
        <v>0.171875</v>
      </c>
      <c r="AB11" s="85" t="s">
        <v>196</v>
      </c>
      <c r="AC11" s="88">
        <v>0.45454545454545453</v>
      </c>
      <c r="AD11" s="85" t="s">
        <v>180</v>
      </c>
      <c r="AE11" s="88">
        <v>0.22727272727272727</v>
      </c>
      <c r="AF11" s="85" t="s">
        <v>178</v>
      </c>
      <c r="AG11" s="88">
        <v>0.33333333333333331</v>
      </c>
      <c r="AH11" s="85" t="s">
        <v>167</v>
      </c>
      <c r="AI11" s="92">
        <v>51800</v>
      </c>
    </row>
    <row r="12" spans="1:35" x14ac:dyDescent="0.4">
      <c r="A12" s="82">
        <v>10</v>
      </c>
      <c r="B12" s="83" t="s">
        <v>180</v>
      </c>
      <c r="C12" s="84">
        <v>-204.8</v>
      </c>
      <c r="D12" s="85" t="s">
        <v>183</v>
      </c>
      <c r="E12" s="97">
        <v>-20.125</v>
      </c>
      <c r="F12" s="85" t="s">
        <v>183</v>
      </c>
      <c r="G12" s="86">
        <v>2.5</v>
      </c>
      <c r="H12" s="85" t="s">
        <v>183</v>
      </c>
      <c r="I12" s="87">
        <v>0</v>
      </c>
      <c r="J12" s="85" t="s">
        <v>196</v>
      </c>
      <c r="K12" s="87">
        <v>0.5</v>
      </c>
      <c r="L12" s="85" t="s">
        <v>183</v>
      </c>
      <c r="M12" s="88">
        <v>0.1891891891891892</v>
      </c>
      <c r="N12" s="85" t="s">
        <v>180</v>
      </c>
      <c r="O12" s="88">
        <v>0.25</v>
      </c>
      <c r="P12" s="85" t="s">
        <v>196</v>
      </c>
      <c r="Q12" s="89">
        <v>7780</v>
      </c>
      <c r="R12" s="85" t="s">
        <v>178</v>
      </c>
      <c r="S12" s="89">
        <v>-11082.35294117647</v>
      </c>
      <c r="T12" s="85" t="s">
        <v>196</v>
      </c>
      <c r="U12" s="87">
        <v>0.5</v>
      </c>
      <c r="V12" s="85" t="s">
        <v>183</v>
      </c>
      <c r="W12" s="87">
        <v>0</v>
      </c>
      <c r="X12" s="85" t="s">
        <v>179</v>
      </c>
      <c r="Y12" s="88">
        <v>0.17808219178082191</v>
      </c>
      <c r="Z12" s="85" t="s">
        <v>182</v>
      </c>
      <c r="AA12" s="88">
        <v>0.109375</v>
      </c>
      <c r="AB12" s="85" t="s">
        <v>178</v>
      </c>
      <c r="AC12" s="88">
        <v>0.33333333333333331</v>
      </c>
      <c r="AD12" s="85" t="s">
        <v>183</v>
      </c>
      <c r="AE12" s="88">
        <v>0.1111111111111111</v>
      </c>
      <c r="AF12" s="85" t="s">
        <v>179</v>
      </c>
      <c r="AG12" s="88">
        <v>0.33333333333333331</v>
      </c>
      <c r="AH12" s="85" t="s">
        <v>183</v>
      </c>
      <c r="AI12" s="92">
        <v>42000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A95D-881F-4B8F-BE42-F1B610699F06}">
  <sheetPr codeName="Sheet4"/>
  <dimension ref="A1:Q11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144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117</v>
      </c>
      <c r="C2" s="153"/>
      <c r="E2" s="62" t="s">
        <v>67</v>
      </c>
      <c r="F2" s="59" t="s">
        <v>23</v>
      </c>
      <c r="G2" s="46">
        <v>236</v>
      </c>
      <c r="H2" s="132">
        <f>IF(B$17=0,0,G2/B$17)</f>
        <v>0.7637540453074434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-25.641025641025642</v>
      </c>
      <c r="P2" s="118">
        <v>117</v>
      </c>
      <c r="Q2" s="102">
        <v>-3000</v>
      </c>
    </row>
    <row r="3" spans="1:17" x14ac:dyDescent="0.4">
      <c r="A3" s="55" t="s">
        <v>8</v>
      </c>
      <c r="B3" s="154">
        <v>1035</v>
      </c>
      <c r="C3" s="155"/>
      <c r="E3" s="63" t="s">
        <v>73</v>
      </c>
      <c r="F3" s="60" t="s">
        <v>28</v>
      </c>
      <c r="G3" s="47">
        <v>177</v>
      </c>
      <c r="H3" s="133">
        <f>IF(B$17=0,0,G3/B$17)</f>
        <v>0.57281553398058249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27.027027027027028</v>
      </c>
      <c r="P3" s="119">
        <v>111</v>
      </c>
      <c r="Q3" s="103">
        <v>3000</v>
      </c>
    </row>
    <row r="4" spans="1:17" x14ac:dyDescent="0.4">
      <c r="A4" s="55" t="s">
        <v>6</v>
      </c>
      <c r="B4" s="156">
        <v>-1.865174681370263E-14</v>
      </c>
      <c r="C4" s="157"/>
      <c r="E4" s="63" t="s">
        <v>65</v>
      </c>
      <c r="F4" s="60" t="s">
        <v>21</v>
      </c>
      <c r="G4" s="47">
        <v>140</v>
      </c>
      <c r="H4" s="133">
        <f>IF(B$17=0,0,G4/B$17)</f>
        <v>0.45307443365695793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-37.037037037037038</v>
      </c>
      <c r="P4" s="119">
        <v>108</v>
      </c>
      <c r="Q4" s="103">
        <v>-4000</v>
      </c>
    </row>
    <row r="5" spans="1:17" x14ac:dyDescent="0.4">
      <c r="A5" s="55" t="s">
        <v>7</v>
      </c>
      <c r="B5" s="158">
        <f>IF(B$2=0,0,B$4/B$2)</f>
        <v>-1.5941663943335581E-16</v>
      </c>
      <c r="C5" s="159"/>
      <c r="E5" s="63" t="s">
        <v>172</v>
      </c>
      <c r="F5" s="60" t="s">
        <v>173</v>
      </c>
      <c r="G5" s="47">
        <v>110</v>
      </c>
      <c r="H5" s="133">
        <f>IF(B$17=0,0,G5/B$17)</f>
        <v>0.35598705501618122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27.777777777777779</v>
      </c>
      <c r="P5" s="119">
        <v>108</v>
      </c>
      <c r="Q5" s="103">
        <v>3000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68</v>
      </c>
      <c r="F6" s="60" t="s">
        <v>24</v>
      </c>
      <c r="G6" s="47">
        <v>88</v>
      </c>
      <c r="H6" s="133">
        <f>IF(B$17=0,0,G6/B$17)</f>
        <v>0.28478964401294499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10.416666666666666</v>
      </c>
      <c r="P6" s="119">
        <v>96</v>
      </c>
      <c r="Q6" s="103">
        <v>1000</v>
      </c>
    </row>
    <row r="7" spans="1:17" x14ac:dyDescent="0.4">
      <c r="A7" s="55" t="s">
        <v>2</v>
      </c>
      <c r="B7" s="47">
        <v>39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85</v>
      </c>
      <c r="H7" s="133">
        <f>IF(B$17=0,0,G7/B$17)</f>
        <v>0.27508090614886732</v>
      </c>
      <c r="I7" s="94">
        <v>4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75</v>
      </c>
      <c r="Q7" s="104">
        <v>0</v>
      </c>
    </row>
    <row r="8" spans="1:17" x14ac:dyDescent="0.4">
      <c r="A8" s="55" t="s">
        <v>3</v>
      </c>
      <c r="B8" s="47">
        <v>39</v>
      </c>
      <c r="C8" s="39">
        <f t="shared" si="1"/>
        <v>0.33333333333333331</v>
      </c>
      <c r="E8" s="63" t="s">
        <v>90</v>
      </c>
      <c r="F8" s="60" t="s">
        <v>45</v>
      </c>
      <c r="G8" s="47">
        <v>44</v>
      </c>
      <c r="H8" s="133">
        <f>IF(B$17=0,0,G8/B$17)</f>
        <v>0.14239482200647249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si="1"/>
        <v>0.33333333333333331</v>
      </c>
      <c r="E9" s="63" t="s">
        <v>70</v>
      </c>
      <c r="F9" s="60" t="s">
        <v>25</v>
      </c>
      <c r="G9" s="47">
        <v>43</v>
      </c>
      <c r="H9" s="133">
        <f>IF(B$17=0,0,G9/B$17)</f>
        <v>0.13915857605177995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15</v>
      </c>
      <c r="C10" s="40">
        <f t="shared" si="1"/>
        <v>0.12820512820512819</v>
      </c>
      <c r="E10" s="63" t="s">
        <v>66</v>
      </c>
      <c r="F10" s="60" t="s">
        <v>22</v>
      </c>
      <c r="G10" s="47">
        <v>33</v>
      </c>
      <c r="H10" s="133">
        <f>IF(B$17=0,0,G10/B$17)</f>
        <v>0.10679611650485436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6.4666666666666668</v>
      </c>
      <c r="P10" s="118">
        <v>39</v>
      </c>
      <c r="Q10" s="106">
        <v>252.20000000000002</v>
      </c>
    </row>
    <row r="11" spans="1:17" x14ac:dyDescent="0.4">
      <c r="A11" s="56" t="s">
        <v>139</v>
      </c>
      <c r="B11" s="48">
        <v>15</v>
      </c>
      <c r="C11" s="40">
        <f t="shared" si="1"/>
        <v>0.12820512820512819</v>
      </c>
      <c r="E11" s="63" t="s">
        <v>71</v>
      </c>
      <c r="F11" s="60" t="s">
        <v>26</v>
      </c>
      <c r="G11" s="47">
        <v>23</v>
      </c>
      <c r="H11" s="133">
        <f>IF(B$17=0,0,G11/B$17)</f>
        <v>7.4433656957928807E-2</v>
      </c>
      <c r="I11" s="94">
        <v>6</v>
      </c>
      <c r="K11" s="38">
        <v>9</v>
      </c>
      <c r="L11" s="99">
        <v>0</v>
      </c>
      <c r="N11" s="115" t="s">
        <v>164</v>
      </c>
      <c r="O11" s="125">
        <f>IF(P11=0,0,Q11/P11)</f>
        <v>-3.2641025641025632</v>
      </c>
      <c r="P11" s="119">
        <v>39</v>
      </c>
      <c r="Q11" s="107">
        <v>-127.29999999999997</v>
      </c>
    </row>
    <row r="12" spans="1:17" x14ac:dyDescent="0.4">
      <c r="A12" s="57" t="s">
        <v>159</v>
      </c>
      <c r="B12" s="49">
        <v>13</v>
      </c>
      <c r="C12" s="42">
        <f t="shared" si="1"/>
        <v>0.1111111111111111</v>
      </c>
      <c r="E12" s="63" t="s">
        <v>72</v>
      </c>
      <c r="F12" s="60" t="s">
        <v>27</v>
      </c>
      <c r="G12" s="47">
        <v>21</v>
      </c>
      <c r="H12" s="133">
        <f>IF(B$17=0,0,G12/B$17)</f>
        <v>6.7961165048543687E-2</v>
      </c>
      <c r="I12" s="94">
        <v>4</v>
      </c>
      <c r="K12" s="38">
        <v>10</v>
      </c>
      <c r="L12" s="99">
        <v>-12</v>
      </c>
      <c r="N12" s="116" t="s">
        <v>165</v>
      </c>
      <c r="O12" s="126">
        <f>IF(P12=0,0,Q12/P12)</f>
        <v>-3.2025641025641005</v>
      </c>
      <c r="P12" s="120">
        <v>39</v>
      </c>
      <c r="Q12" s="108">
        <v>-124.89999999999992</v>
      </c>
    </row>
    <row r="13" spans="1:17" x14ac:dyDescent="0.4">
      <c r="A13" s="58" t="s">
        <v>122</v>
      </c>
      <c r="B13" s="50">
        <v>246</v>
      </c>
      <c r="C13" s="44">
        <f>IF(B$3=0,0,B13/B$3)</f>
        <v>0.23768115942028986</v>
      </c>
      <c r="E13" s="63" t="s">
        <v>84</v>
      </c>
      <c r="F13" s="60" t="s">
        <v>39</v>
      </c>
      <c r="G13" s="47">
        <v>15</v>
      </c>
      <c r="H13" s="133">
        <f>IF(B$17=0,0,G13/B$17)</f>
        <v>4.8543689320388349E-2</v>
      </c>
      <c r="I13" s="94">
        <v>5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258</v>
      </c>
      <c r="C14" s="39">
        <f>IF(B$3=0,0,B14/B$3)</f>
        <v>0.24927536231884059</v>
      </c>
      <c r="E14" s="63" t="s">
        <v>87</v>
      </c>
      <c r="F14" s="60" t="s">
        <v>42</v>
      </c>
      <c r="G14" s="47">
        <v>14</v>
      </c>
      <c r="H14" s="133">
        <f>IF(B$17=0,0,G14/B$17)</f>
        <v>4.5307443365695796E-2</v>
      </c>
      <c r="I14" s="94">
        <v>4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143</v>
      </c>
      <c r="C15" s="37">
        <f>IF(B$13=0,0,B15/B$13)</f>
        <v>0.58130081300813008</v>
      </c>
      <c r="E15" s="63" t="s">
        <v>79</v>
      </c>
      <c r="F15" s="60" t="s">
        <v>34</v>
      </c>
      <c r="G15" s="47">
        <v>11</v>
      </c>
      <c r="H15" s="133">
        <f>IF(B$17=0,0,G15/B$17)</f>
        <v>3.5598705501618123E-2</v>
      </c>
      <c r="I15" s="94">
        <v>5</v>
      </c>
      <c r="K15" s="38">
        <v>13</v>
      </c>
      <c r="L15" s="99">
        <v>-1.7</v>
      </c>
      <c r="N15" s="114" t="s">
        <v>183</v>
      </c>
      <c r="O15" s="124">
        <f>IF(P15=0,0,Q15/P15)</f>
        <v>30.1875</v>
      </c>
      <c r="P15" s="118">
        <v>8</v>
      </c>
      <c r="Q15" s="106">
        <v>241.5</v>
      </c>
    </row>
    <row r="16" spans="1:17" x14ac:dyDescent="0.4">
      <c r="A16" s="54" t="s">
        <v>125</v>
      </c>
      <c r="B16" s="46">
        <v>104</v>
      </c>
      <c r="C16" s="37">
        <f>IF(B$14=0,0,B16/B$14)</f>
        <v>0.40310077519379844</v>
      </c>
      <c r="E16" s="63" t="s">
        <v>82</v>
      </c>
      <c r="F16" s="60" t="s">
        <v>37</v>
      </c>
      <c r="G16" s="47">
        <v>6</v>
      </c>
      <c r="H16" s="133">
        <f>IF(B$17=0,0,G16/B$17)</f>
        <v>1.9417475728155338E-2</v>
      </c>
      <c r="I16" s="94">
        <v>5</v>
      </c>
      <c r="K16" s="38">
        <v>14</v>
      </c>
      <c r="L16" s="99">
        <v>24.3</v>
      </c>
      <c r="N16" s="115" t="s">
        <v>180</v>
      </c>
      <c r="O16" s="125">
        <f>IF(P16=0,0,Q16/P16)</f>
        <v>21.942857142857147</v>
      </c>
      <c r="P16" s="119">
        <v>28</v>
      </c>
      <c r="Q16" s="107">
        <v>614.40000000000009</v>
      </c>
    </row>
    <row r="17" spans="1:17" x14ac:dyDescent="0.4">
      <c r="A17" s="54" t="s">
        <v>10</v>
      </c>
      <c r="B17" s="46">
        <f>B19+B18</f>
        <v>309</v>
      </c>
      <c r="C17" s="37">
        <f>IF(B$3=0,0,B17/B$3)</f>
        <v>0.29855072463768118</v>
      </c>
      <c r="E17" s="63" t="s">
        <v>80</v>
      </c>
      <c r="F17" s="60" t="s">
        <v>35</v>
      </c>
      <c r="G17" s="47">
        <v>5</v>
      </c>
      <c r="H17" s="133">
        <f>IF(B$17=0,0,G17/B$17)</f>
        <v>1.6181229773462782E-2</v>
      </c>
      <c r="I17" s="94">
        <v>4</v>
      </c>
      <c r="K17" s="38">
        <v>15</v>
      </c>
      <c r="L17" s="99">
        <v>0</v>
      </c>
      <c r="N17" s="115" t="s">
        <v>178</v>
      </c>
      <c r="O17" s="125">
        <f>IF(P17=0,0,Q17/P17)</f>
        <v>16.994999999999997</v>
      </c>
      <c r="P17" s="119">
        <v>20</v>
      </c>
      <c r="Q17" s="107">
        <v>339.89999999999992</v>
      </c>
    </row>
    <row r="18" spans="1:17" x14ac:dyDescent="0.4">
      <c r="A18" s="55" t="s">
        <v>12</v>
      </c>
      <c r="B18" s="47">
        <v>123</v>
      </c>
      <c r="C18" s="39">
        <f>IF(B$17=0,0,B18/B$17)</f>
        <v>0.39805825242718446</v>
      </c>
      <c r="E18" s="63" t="s">
        <v>92</v>
      </c>
      <c r="F18" s="60" t="s">
        <v>47</v>
      </c>
      <c r="G18" s="47">
        <v>4</v>
      </c>
      <c r="H18" s="133">
        <f>IF(B$17=0,0,G18/B$17)</f>
        <v>1.2944983818770227E-2</v>
      </c>
      <c r="I18" s="94">
        <v>3</v>
      </c>
      <c r="K18" s="38">
        <v>16</v>
      </c>
      <c r="L18" s="99">
        <v>-28.2</v>
      </c>
      <c r="N18" s="115" t="s">
        <v>196</v>
      </c>
      <c r="O18" s="125">
        <f>IF(P18=0,0,Q18/P18)</f>
        <v>14.024999999999999</v>
      </c>
      <c r="P18" s="119">
        <v>8</v>
      </c>
      <c r="Q18" s="107">
        <v>112.19999999999999</v>
      </c>
    </row>
    <row r="19" spans="1:17" x14ac:dyDescent="0.4">
      <c r="A19" s="55" t="s">
        <v>11</v>
      </c>
      <c r="B19" s="47">
        <v>186</v>
      </c>
      <c r="C19" s="39">
        <f>IF(B$17=0,0,B19/B$17)</f>
        <v>0.60194174757281549</v>
      </c>
      <c r="E19" s="63" t="s">
        <v>78</v>
      </c>
      <c r="F19" s="60" t="s">
        <v>33</v>
      </c>
      <c r="G19" s="47">
        <v>3</v>
      </c>
      <c r="H19" s="133">
        <f>IF(B$17=0,0,G19/B$17)</f>
        <v>9.7087378640776691E-3</v>
      </c>
      <c r="I19" s="94">
        <v>3</v>
      </c>
      <c r="K19" s="38">
        <v>17</v>
      </c>
      <c r="L19" s="99">
        <v>-20.5</v>
      </c>
      <c r="N19" s="115" t="s">
        <v>179</v>
      </c>
      <c r="O19" s="125">
        <f>IF(P19=0,0,Q19/P19)</f>
        <v>8.7562499999999996</v>
      </c>
      <c r="P19" s="119">
        <v>16</v>
      </c>
      <c r="Q19" s="107">
        <v>140.1</v>
      </c>
    </row>
    <row r="20" spans="1:17" x14ac:dyDescent="0.4">
      <c r="A20" s="55" t="s">
        <v>13</v>
      </c>
      <c r="B20" s="47">
        <v>185</v>
      </c>
      <c r="C20" s="39">
        <f>IF(B$3=0,0,B20/B$3)</f>
        <v>0.17874396135265699</v>
      </c>
      <c r="E20" s="63" t="s">
        <v>93</v>
      </c>
      <c r="F20" s="60" t="s">
        <v>48</v>
      </c>
      <c r="G20" s="47">
        <v>3</v>
      </c>
      <c r="H20" s="133">
        <f>IF(B$17=0,0,G20/B$17)</f>
        <v>9.7087378640776691E-3</v>
      </c>
      <c r="I20" s="94">
        <v>3</v>
      </c>
      <c r="K20" s="38">
        <v>18</v>
      </c>
      <c r="L20" s="99">
        <v>0</v>
      </c>
      <c r="N20" s="115" t="s">
        <v>167</v>
      </c>
      <c r="O20" s="125">
        <f>IF(P20=0,0,Q20/P20)</f>
        <v>7.6384615384615397</v>
      </c>
      <c r="P20" s="119">
        <v>26</v>
      </c>
      <c r="Q20" s="107">
        <v>198.60000000000002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168</v>
      </c>
      <c r="F21" s="60" t="s">
        <v>169</v>
      </c>
      <c r="G21" s="47">
        <v>3</v>
      </c>
      <c r="H21" s="133">
        <f>IF(B$17=0,0,G21/B$17)</f>
        <v>9.7087378640776691E-3</v>
      </c>
      <c r="I21" s="94">
        <v>2</v>
      </c>
      <c r="K21" s="38">
        <v>19</v>
      </c>
      <c r="L21" s="99">
        <v>-22.4</v>
      </c>
      <c r="N21" s="115" t="s">
        <v>128</v>
      </c>
      <c r="O21" s="125">
        <f>IF(P21=0,0,Q21/P21)</f>
        <v>-3.1750000000000038</v>
      </c>
      <c r="P21" s="119">
        <v>60</v>
      </c>
      <c r="Q21" s="107">
        <v>-190.50000000000023</v>
      </c>
    </row>
    <row r="22" spans="1:17" x14ac:dyDescent="0.4">
      <c r="A22" s="55" t="s">
        <v>171</v>
      </c>
      <c r="B22" s="47">
        <v>21</v>
      </c>
      <c r="C22" s="135">
        <v>0</v>
      </c>
      <c r="E22" s="63" t="s">
        <v>85</v>
      </c>
      <c r="F22" s="60" t="s">
        <v>40</v>
      </c>
      <c r="G22" s="47">
        <v>2</v>
      </c>
      <c r="H22" s="133">
        <f>IF(B$17=0,0,G22/B$17)</f>
        <v>6.4724919093851136E-3</v>
      </c>
      <c r="I22" s="94">
        <v>2</v>
      </c>
      <c r="K22" s="38">
        <v>20</v>
      </c>
      <c r="L22" s="99">
        <v>-61.199999999999996</v>
      </c>
      <c r="N22" s="115" t="s">
        <v>127</v>
      </c>
      <c r="O22" s="125">
        <f>IF(P22=0,0,Q22/P22)</f>
        <v>-20.133333333333333</v>
      </c>
      <c r="P22" s="119">
        <v>54</v>
      </c>
      <c r="Q22" s="107">
        <v>-1087.2</v>
      </c>
    </row>
    <row r="23" spans="1:17" x14ac:dyDescent="0.4">
      <c r="A23" s="55" t="s">
        <v>5</v>
      </c>
      <c r="B23" s="51">
        <f>IF(B$17=0,0,C23/B$17)</f>
        <v>8526.8608414239479</v>
      </c>
      <c r="C23" s="41">
        <v>2634800</v>
      </c>
      <c r="E23" s="63" t="s">
        <v>86</v>
      </c>
      <c r="F23" s="60" t="s">
        <v>41</v>
      </c>
      <c r="G23" s="47">
        <v>2</v>
      </c>
      <c r="H23" s="133">
        <f>IF(B$17=0,0,G23/B$17)</f>
        <v>6.4724919093851136E-3</v>
      </c>
      <c r="I23" s="94">
        <v>3</v>
      </c>
      <c r="K23" s="38">
        <v>21</v>
      </c>
      <c r="L23" s="99">
        <v>7.1054273576010019E-15</v>
      </c>
      <c r="N23" s="115" t="s">
        <v>182</v>
      </c>
      <c r="O23" s="125">
        <f>IF(P23=0,0,Q23/P23)</f>
        <v>-26.357142857142858</v>
      </c>
      <c r="P23" s="119">
        <v>14</v>
      </c>
      <c r="Q23" s="107">
        <v>-369</v>
      </c>
    </row>
    <row r="24" spans="1:17" x14ac:dyDescent="0.4">
      <c r="A24" s="57" t="s">
        <v>14</v>
      </c>
      <c r="B24" s="52">
        <f>IF(B$20=0,0,C24/B$20)</f>
        <v>-7971.8918918918916</v>
      </c>
      <c r="C24" s="45">
        <v>-1474800</v>
      </c>
      <c r="E24" s="63" t="s">
        <v>89</v>
      </c>
      <c r="F24" s="60" t="s">
        <v>44</v>
      </c>
      <c r="G24" s="47">
        <v>2</v>
      </c>
      <c r="H24" s="133">
        <f>IF(B$17=0,0,G24/B$17)</f>
        <v>6.4724919093851136E-3</v>
      </c>
      <c r="I24" s="94">
        <v>3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6">
        <v>8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3.2362459546925568E-3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4">
        <v>95200</v>
      </c>
      <c r="C26" s="145"/>
      <c r="E26" s="63" t="s">
        <v>91</v>
      </c>
      <c r="F26" s="60" t="s">
        <v>46</v>
      </c>
      <c r="G26" s="47">
        <v>1</v>
      </c>
      <c r="H26" s="133">
        <f>IF(B$17=0,0,G26/B$17)</f>
        <v>3.2362459546925568E-3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3</v>
      </c>
      <c r="C27" s="42">
        <f>IF(B$3=0,0,B27/B$3)</f>
        <v>2.8985507246376812E-3</v>
      </c>
      <c r="E27" s="63" t="s">
        <v>96</v>
      </c>
      <c r="F27" s="60" t="s">
        <v>51</v>
      </c>
      <c r="G27" s="47">
        <v>1</v>
      </c>
      <c r="H27" s="133">
        <f>IF(B$17=0,0,G27/B$17)</f>
        <v>3.2362459546925568E-3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74</v>
      </c>
      <c r="F28" s="60" t="s">
        <v>29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0.60000000000000675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 x14ac:dyDescent="0.4">
      <c r="E30" s="63" t="s">
        <v>76</v>
      </c>
      <c r="F30" s="60" t="s">
        <v>31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7.5000000000000036</v>
      </c>
    </row>
    <row r="73" spans="11:12" x14ac:dyDescent="0.4">
      <c r="K73" s="38">
        <v>71</v>
      </c>
      <c r="L73" s="99">
        <v>28.600000000000005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39.5</v>
      </c>
    </row>
    <row r="76" spans="11:12" x14ac:dyDescent="0.4">
      <c r="K76" s="38">
        <v>74</v>
      </c>
      <c r="L76" s="99">
        <v>-7</v>
      </c>
    </row>
    <row r="77" spans="11:12" x14ac:dyDescent="0.4">
      <c r="K77" s="38">
        <v>75</v>
      </c>
      <c r="L77" s="99">
        <v>0</v>
      </c>
    </row>
    <row r="78" spans="11:12" x14ac:dyDescent="0.4">
      <c r="K78" s="38">
        <v>76</v>
      </c>
      <c r="L78" s="99">
        <v>-45.1</v>
      </c>
    </row>
    <row r="79" spans="11:12" x14ac:dyDescent="0.4">
      <c r="K79" s="38">
        <v>77</v>
      </c>
      <c r="L79" s="99">
        <v>-39.200000000000003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17.7</v>
      </c>
    </row>
    <row r="82" spans="11:12" x14ac:dyDescent="0.4">
      <c r="K82" s="38">
        <v>80</v>
      </c>
      <c r="L82" s="99">
        <v>-28.8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42.9</v>
      </c>
    </row>
    <row r="85" spans="11:12" x14ac:dyDescent="0.4">
      <c r="K85" s="38">
        <v>83</v>
      </c>
      <c r="L85" s="99">
        <v>-0.80000000000000426</v>
      </c>
    </row>
    <row r="86" spans="11:12" x14ac:dyDescent="0.4">
      <c r="K86" s="38">
        <v>84</v>
      </c>
      <c r="L86" s="99">
        <v>-4.2188474935755949E-15</v>
      </c>
    </row>
    <row r="87" spans="11:12" x14ac:dyDescent="0.4">
      <c r="K87" s="38">
        <v>85</v>
      </c>
      <c r="L87" s="99">
        <v>-58.000000000000007</v>
      </c>
    </row>
    <row r="88" spans="11:12" x14ac:dyDescent="0.4">
      <c r="K88" s="38">
        <v>86</v>
      </c>
      <c r="L88" s="99">
        <v>-7.1054273576010019E-15</v>
      </c>
    </row>
    <row r="89" spans="11:12" x14ac:dyDescent="0.4">
      <c r="K89" s="38">
        <v>87</v>
      </c>
      <c r="L89" s="99">
        <v>-7.1054273576010019E-15</v>
      </c>
    </row>
    <row r="90" spans="11:12" x14ac:dyDescent="0.4">
      <c r="K90" s="38">
        <v>88</v>
      </c>
      <c r="L90" s="99">
        <v>-26.400000000000006</v>
      </c>
    </row>
    <row r="91" spans="11:12" x14ac:dyDescent="0.4">
      <c r="K91" s="38">
        <v>89</v>
      </c>
      <c r="L91" s="99">
        <v>-26.900000000000006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-34.900000000000006</v>
      </c>
    </row>
    <row r="94" spans="11:12" x14ac:dyDescent="0.4">
      <c r="K94" s="38">
        <v>92</v>
      </c>
      <c r="L94" s="99">
        <v>-8.100000000000005</v>
      </c>
    </row>
    <row r="95" spans="11:12" x14ac:dyDescent="0.4">
      <c r="K95" s="38">
        <v>93</v>
      </c>
      <c r="L95" s="99">
        <v>-5.3290705182007514E-15</v>
      </c>
    </row>
    <row r="96" spans="11:12" x14ac:dyDescent="0.4">
      <c r="K96" s="38">
        <v>94</v>
      </c>
      <c r="L96" s="99">
        <v>34.29999999999999</v>
      </c>
    </row>
    <row r="97" spans="11:12" x14ac:dyDescent="0.4">
      <c r="K97" s="38">
        <v>95</v>
      </c>
      <c r="L97" s="99">
        <v>31.499999999999989</v>
      </c>
    </row>
    <row r="98" spans="11:12" x14ac:dyDescent="0.4">
      <c r="K98" s="38">
        <v>96</v>
      </c>
      <c r="L98" s="99">
        <v>-1.0658141036401503E-14</v>
      </c>
    </row>
    <row r="99" spans="11:12" x14ac:dyDescent="0.4">
      <c r="K99" s="38">
        <v>97</v>
      </c>
      <c r="L99" s="99">
        <v>17.699999999999989</v>
      </c>
    </row>
    <row r="100" spans="11:12" x14ac:dyDescent="0.4">
      <c r="K100" s="38">
        <v>98</v>
      </c>
      <c r="L100" s="99">
        <v>-28.800000000000011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C229-444A-4C61-99A0-E0AB83F79FF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167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13</v>
      </c>
      <c r="C2" s="153"/>
      <c r="E2" s="62" t="s">
        <v>67</v>
      </c>
      <c r="F2" s="59" t="s">
        <v>23</v>
      </c>
      <c r="G2" s="46">
        <v>20</v>
      </c>
      <c r="H2" s="132">
        <f>IF(B$17=0,0,G2/B$17)</f>
        <v>0.66666666666666663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-2707.6923076923076</v>
      </c>
      <c r="P2" s="118">
        <v>13</v>
      </c>
      <c r="Q2" s="102">
        <v>-35200</v>
      </c>
    </row>
    <row r="3" spans="1:17" x14ac:dyDescent="0.4">
      <c r="A3" s="55" t="s">
        <v>8</v>
      </c>
      <c r="B3" s="154">
        <v>122</v>
      </c>
      <c r="C3" s="155"/>
      <c r="E3" s="63" t="s">
        <v>73</v>
      </c>
      <c r="F3" s="60" t="s">
        <v>28</v>
      </c>
      <c r="G3" s="47">
        <v>15</v>
      </c>
      <c r="H3" s="133">
        <f>IF(B$17=0,0,G3/B$17)</f>
        <v>0.5</v>
      </c>
      <c r="I3" s="94">
        <v>7</v>
      </c>
      <c r="K3" s="38">
        <v>1</v>
      </c>
      <c r="L3" s="99">
        <v>-4.5999999999999996</v>
      </c>
      <c r="N3" s="115" t="s">
        <v>132</v>
      </c>
      <c r="O3" s="122">
        <f t="shared" si="0"/>
        <v>438.46153846153845</v>
      </c>
      <c r="P3" s="119">
        <v>13</v>
      </c>
      <c r="Q3" s="103">
        <v>5700</v>
      </c>
    </row>
    <row r="4" spans="1:17" x14ac:dyDescent="0.4">
      <c r="A4" s="55" t="s">
        <v>6</v>
      </c>
      <c r="B4" s="156">
        <v>-66.2</v>
      </c>
      <c r="C4" s="157"/>
      <c r="E4" s="63" t="s">
        <v>172</v>
      </c>
      <c r="F4" s="60" t="s">
        <v>173</v>
      </c>
      <c r="G4" s="47">
        <v>14</v>
      </c>
      <c r="H4" s="133">
        <f>IF(B$17=0,0,G4/B$17)</f>
        <v>0.46666666666666667</v>
      </c>
      <c r="I4" s="94">
        <v>2</v>
      </c>
      <c r="K4" s="38">
        <v>2</v>
      </c>
      <c r="L4" s="99">
        <v>19.899999999999999</v>
      </c>
      <c r="N4" s="115" t="s">
        <v>133</v>
      </c>
      <c r="O4" s="122">
        <f t="shared" si="0"/>
        <v>846.15384615384619</v>
      </c>
      <c r="P4" s="119">
        <v>13</v>
      </c>
      <c r="Q4" s="103">
        <v>11000</v>
      </c>
    </row>
    <row r="5" spans="1:17" x14ac:dyDescent="0.4">
      <c r="A5" s="55" t="s">
        <v>7</v>
      </c>
      <c r="B5" s="158">
        <f>IF(B$2=0,0,B$4/B$2)</f>
        <v>-5.0923076923076929</v>
      </c>
      <c r="C5" s="159"/>
      <c r="E5" s="63" t="s">
        <v>65</v>
      </c>
      <c r="F5" s="60" t="s">
        <v>21</v>
      </c>
      <c r="G5" s="47">
        <v>13</v>
      </c>
      <c r="H5" s="133">
        <f>IF(B$17=0,0,G5/B$17)</f>
        <v>0.43333333333333335</v>
      </c>
      <c r="I5" s="94">
        <v>7</v>
      </c>
      <c r="K5" s="38">
        <v>3</v>
      </c>
      <c r="L5" s="99">
        <v>-8.3000000000000007</v>
      </c>
      <c r="N5" s="115" t="s">
        <v>134</v>
      </c>
      <c r="O5" s="122">
        <f t="shared" si="0"/>
        <v>-476.92307692307691</v>
      </c>
      <c r="P5" s="119">
        <v>13</v>
      </c>
      <c r="Q5" s="103">
        <v>-6200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11</v>
      </c>
      <c r="H6" s="133">
        <f>IF(B$17=0,0,G6/B$17)</f>
        <v>0.36666666666666664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-600</v>
      </c>
      <c r="P6" s="119">
        <v>13</v>
      </c>
      <c r="Q6" s="103">
        <v>-7800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0.30769230769230771</v>
      </c>
      <c r="E7" s="63" t="s">
        <v>70</v>
      </c>
      <c r="F7" s="60" t="s">
        <v>25</v>
      </c>
      <c r="G7" s="47">
        <v>9</v>
      </c>
      <c r="H7" s="133">
        <f>IF(B$17=0,0,G7/B$17)</f>
        <v>0.3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-3860</v>
      </c>
      <c r="P7" s="120">
        <v>10</v>
      </c>
      <c r="Q7" s="104">
        <v>-38600</v>
      </c>
    </row>
    <row r="8" spans="1:17" x14ac:dyDescent="0.4">
      <c r="A8" s="55" t="s">
        <v>3</v>
      </c>
      <c r="B8" s="47">
        <v>5</v>
      </c>
      <c r="C8" s="39">
        <f t="shared" si="1"/>
        <v>0.38461538461538464</v>
      </c>
      <c r="E8" s="63" t="s">
        <v>68</v>
      </c>
      <c r="F8" s="60" t="s">
        <v>24</v>
      </c>
      <c r="G8" s="47">
        <v>6</v>
      </c>
      <c r="H8" s="133">
        <f>IF(B$17=0,0,G8/B$17)</f>
        <v>0.2</v>
      </c>
      <c r="I8" s="94">
        <v>10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0.30769230769230771</v>
      </c>
      <c r="E9" s="63" t="s">
        <v>66</v>
      </c>
      <c r="F9" s="60" t="s">
        <v>22</v>
      </c>
      <c r="G9" s="47">
        <v>5</v>
      </c>
      <c r="H9" s="133">
        <f>IF(B$17=0,0,G9/B$17)</f>
        <v>0.16666666666666666</v>
      </c>
      <c r="I9" s="94">
        <v>3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5</v>
      </c>
      <c r="H10" s="133">
        <f>IF(B$17=0,0,G10/B$17)</f>
        <v>0.16666666666666666</v>
      </c>
      <c r="I10" s="94">
        <v>2</v>
      </c>
      <c r="K10" s="38">
        <v>8</v>
      </c>
      <c r="L10" s="99">
        <v>-76.900000000000006</v>
      </c>
      <c r="N10" s="114" t="s">
        <v>163</v>
      </c>
      <c r="O10" s="124">
        <f>IF(P10=0,0,Q10/P10)</f>
        <v>-4.7</v>
      </c>
      <c r="P10" s="118">
        <v>4</v>
      </c>
      <c r="Q10" s="106">
        <v>-18.8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5</v>
      </c>
      <c r="H11" s="133">
        <f>IF(B$17=0,0,G11/B$17)</f>
        <v>0.16666666666666666</v>
      </c>
      <c r="I11" s="94">
        <v>2</v>
      </c>
      <c r="K11" s="38">
        <v>9</v>
      </c>
      <c r="L11" s="99">
        <v>-59.500000000000007</v>
      </c>
      <c r="N11" s="115" t="s">
        <v>164</v>
      </c>
      <c r="O11" s="125">
        <f>IF(P11=0,0,Q11/P11)</f>
        <v>-20.824999999999999</v>
      </c>
      <c r="P11" s="119">
        <v>4</v>
      </c>
      <c r="Q11" s="107">
        <v>-83.3</v>
      </c>
    </row>
    <row r="12" spans="1:17" x14ac:dyDescent="0.4">
      <c r="A12" s="57" t="s">
        <v>159</v>
      </c>
      <c r="B12" s="49">
        <v>2</v>
      </c>
      <c r="C12" s="42">
        <f t="shared" si="1"/>
        <v>0.15384615384615385</v>
      </c>
      <c r="E12" s="63" t="s">
        <v>84</v>
      </c>
      <c r="F12" s="60" t="s">
        <v>39</v>
      </c>
      <c r="G12" s="47">
        <v>2</v>
      </c>
      <c r="H12" s="133">
        <f>IF(B$17=0,0,G12/B$17)</f>
        <v>6.6666666666666666E-2</v>
      </c>
      <c r="I12" s="94">
        <v>4</v>
      </c>
      <c r="K12" s="38">
        <v>10</v>
      </c>
      <c r="L12" s="99">
        <v>-32.700000000000003</v>
      </c>
      <c r="N12" s="116" t="s">
        <v>165</v>
      </c>
      <c r="O12" s="126">
        <f>IF(P12=0,0,Q12/P12)</f>
        <v>7.18</v>
      </c>
      <c r="P12" s="120">
        <v>5</v>
      </c>
      <c r="Q12" s="108">
        <v>35.9</v>
      </c>
    </row>
    <row r="13" spans="1:17" x14ac:dyDescent="0.4">
      <c r="A13" s="58" t="s">
        <v>122</v>
      </c>
      <c r="B13" s="50">
        <v>25</v>
      </c>
      <c r="C13" s="44">
        <f>IF(B$3=0,0,B13/B$3)</f>
        <v>0.20491803278688525</v>
      </c>
      <c r="E13" s="63" t="s">
        <v>90</v>
      </c>
      <c r="F13" s="60" t="s">
        <v>45</v>
      </c>
      <c r="G13" s="47">
        <v>2</v>
      </c>
      <c r="H13" s="133">
        <f>IF(B$17=0,0,G13/B$17)</f>
        <v>6.6666666666666666E-2</v>
      </c>
      <c r="I13" s="94">
        <v>8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34</v>
      </c>
      <c r="C14" s="39">
        <f>IF(B$3=0,0,B14/B$3)</f>
        <v>0.27868852459016391</v>
      </c>
      <c r="E14" s="63" t="s">
        <v>78</v>
      </c>
      <c r="F14" s="60" t="s">
        <v>33</v>
      </c>
      <c r="G14" s="47">
        <v>1</v>
      </c>
      <c r="H14" s="133">
        <f>IF(B$17=0,0,G14/B$17)</f>
        <v>3.3333333333333333E-2</v>
      </c>
      <c r="I14" s="94">
        <v>1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15</v>
      </c>
      <c r="C15" s="37">
        <f>IF(B$13=0,0,B15/B$13)</f>
        <v>0.6</v>
      </c>
      <c r="E15" s="63" t="s">
        <v>82</v>
      </c>
      <c r="F15" s="60" t="s">
        <v>37</v>
      </c>
      <c r="G15" s="47">
        <v>1</v>
      </c>
      <c r="H15" s="133">
        <f>IF(B$17=0,0,G15/B$17)</f>
        <v>3.3333333333333333E-2</v>
      </c>
      <c r="I15" s="94">
        <v>3</v>
      </c>
      <c r="K15" s="38">
        <v>13</v>
      </c>
      <c r="L15" s="99">
        <v>-66.2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8</v>
      </c>
      <c r="C16" s="37">
        <f>IF(B$14=0,0,B16/B$14)</f>
        <v>0.23529411764705882</v>
      </c>
      <c r="E16" s="63" t="s">
        <v>87</v>
      </c>
      <c r="F16" s="60" t="s">
        <v>42</v>
      </c>
      <c r="G16" s="47">
        <v>1</v>
      </c>
      <c r="H16" s="133">
        <f>IF(B$17=0,0,G16/B$17)</f>
        <v>3.3333333333333333E-2</v>
      </c>
      <c r="I16" s="94">
        <v>6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30</v>
      </c>
      <c r="C17" s="37">
        <f>IF(B$3=0,0,B17/B$3)</f>
        <v>0.24590163934426229</v>
      </c>
      <c r="E17" s="63" t="s">
        <v>89</v>
      </c>
      <c r="F17" s="60" t="s">
        <v>44</v>
      </c>
      <c r="G17" s="47">
        <v>1</v>
      </c>
      <c r="H17" s="133">
        <f>IF(B$17=0,0,G17/B$17)</f>
        <v>3.3333333333333333E-2</v>
      </c>
      <c r="I17" s="94">
        <v>1</v>
      </c>
      <c r="N17" s="115" t="s">
        <v>182</v>
      </c>
      <c r="O17" s="125">
        <f>IF(P17=0,0,Q17/P17)</f>
        <v>-12.900000000000002</v>
      </c>
      <c r="P17" s="119">
        <v>2</v>
      </c>
      <c r="Q17" s="107">
        <v>-25.800000000000004</v>
      </c>
    </row>
    <row r="18" spans="1:17" x14ac:dyDescent="0.4">
      <c r="A18" s="55" t="s">
        <v>12</v>
      </c>
      <c r="B18" s="47">
        <v>15</v>
      </c>
      <c r="C18" s="39">
        <f>IF(B$17=0,0,B18/B$17)</f>
        <v>0.5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-13.081818181818186</v>
      </c>
      <c r="P18" s="119">
        <v>11</v>
      </c>
      <c r="Q18" s="107">
        <v>-143.90000000000003</v>
      </c>
    </row>
    <row r="19" spans="1:17" x14ac:dyDescent="0.4">
      <c r="A19" s="55" t="s">
        <v>11</v>
      </c>
      <c r="B19" s="47">
        <v>15</v>
      </c>
      <c r="C19" s="39">
        <f>IF(B$17=0,0,B19/B$17)</f>
        <v>0.5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  <c r="N19" s="115" t="s">
        <v>180</v>
      </c>
      <c r="O19" s="125">
        <f>IF(P19=0,0,Q19/P19)</f>
        <v>-31.2</v>
      </c>
      <c r="P19" s="119">
        <v>2</v>
      </c>
      <c r="Q19" s="107">
        <v>-62.4</v>
      </c>
    </row>
    <row r="20" spans="1:17" x14ac:dyDescent="0.4">
      <c r="A20" s="55" t="s">
        <v>13</v>
      </c>
      <c r="B20" s="47">
        <v>21</v>
      </c>
      <c r="C20" s="39">
        <f>IF(B$3=0,0,B20/B$3)</f>
        <v>0.1721311475409836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17</v>
      </c>
      <c r="C22" s="135">
        <v>0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7803.333333333333</v>
      </c>
      <c r="C23" s="41">
        <v>234100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-7457.1428571428569</v>
      </c>
      <c r="C24" s="45">
        <v>-156600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6">
        <v>3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51800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2</v>
      </c>
      <c r="C27" s="42">
        <f>IF(B$3=0,0,B27/B$3)</f>
        <v>1.6393442622950821E-2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DD9A9-F6B3-4DAF-8E82-0EC2A249DB19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27</v>
      </c>
      <c r="C2" s="153"/>
      <c r="E2" s="62" t="s">
        <v>67</v>
      </c>
      <c r="F2" s="59" t="s">
        <v>23</v>
      </c>
      <c r="G2" s="46">
        <v>43</v>
      </c>
      <c r="H2" s="132">
        <f>IF(B$17=0,0,G2/B$17)</f>
        <v>0.48314606741573035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-1366.6666666666667</v>
      </c>
      <c r="P2" s="118">
        <v>27</v>
      </c>
      <c r="Q2" s="102">
        <v>-36900</v>
      </c>
    </row>
    <row r="3" spans="1:17" x14ac:dyDescent="0.4">
      <c r="A3" s="55" t="s">
        <v>8</v>
      </c>
      <c r="B3" s="154">
        <v>235</v>
      </c>
      <c r="C3" s="155"/>
      <c r="E3" s="63" t="s">
        <v>73</v>
      </c>
      <c r="F3" s="60" t="s">
        <v>28</v>
      </c>
      <c r="G3" s="47">
        <v>41</v>
      </c>
      <c r="H3" s="133">
        <f>IF(B$17=0,0,G3/B$17)</f>
        <v>0.4606741573033708</v>
      </c>
      <c r="I3" s="94">
        <v>9</v>
      </c>
      <c r="K3" s="38">
        <v>1</v>
      </c>
      <c r="L3" s="99">
        <v>50.2</v>
      </c>
      <c r="N3" s="115" t="s">
        <v>132</v>
      </c>
      <c r="O3" s="122">
        <f t="shared" si="0"/>
        <v>92</v>
      </c>
      <c r="P3" s="119">
        <v>25</v>
      </c>
      <c r="Q3" s="103">
        <v>2300</v>
      </c>
    </row>
    <row r="4" spans="1:17" x14ac:dyDescent="0.4">
      <c r="A4" s="55" t="s">
        <v>6</v>
      </c>
      <c r="B4" s="156">
        <v>362.4</v>
      </c>
      <c r="C4" s="157"/>
      <c r="E4" s="63" t="s">
        <v>65</v>
      </c>
      <c r="F4" s="60" t="s">
        <v>21</v>
      </c>
      <c r="G4" s="47">
        <v>36</v>
      </c>
      <c r="H4" s="133">
        <f>IF(B$17=0,0,G4/B$17)</f>
        <v>0.4044943820224719</v>
      </c>
      <c r="I4" s="94">
        <v>8</v>
      </c>
      <c r="K4" s="38">
        <v>2</v>
      </c>
      <c r="L4" s="99">
        <v>14.400000000000006</v>
      </c>
      <c r="N4" s="115" t="s">
        <v>133</v>
      </c>
      <c r="O4" s="122">
        <f t="shared" si="0"/>
        <v>-300</v>
      </c>
      <c r="P4" s="119">
        <v>25</v>
      </c>
      <c r="Q4" s="103">
        <v>-7500</v>
      </c>
    </row>
    <row r="5" spans="1:17" x14ac:dyDescent="0.4">
      <c r="A5" s="55" t="s">
        <v>7</v>
      </c>
      <c r="B5" s="158">
        <f>IF(B$2=0,0,B$4/B$2)</f>
        <v>13.422222222222221</v>
      </c>
      <c r="C5" s="159"/>
      <c r="E5" s="63" t="s">
        <v>172</v>
      </c>
      <c r="F5" s="60" t="s">
        <v>173</v>
      </c>
      <c r="G5" s="47">
        <v>26</v>
      </c>
      <c r="H5" s="133">
        <f>IF(B$17=0,0,G5/B$17)</f>
        <v>0.29213483146067415</v>
      </c>
      <c r="I5" s="94">
        <v>7</v>
      </c>
      <c r="K5" s="38">
        <v>3</v>
      </c>
      <c r="L5" s="99">
        <v>40.400000000000006</v>
      </c>
      <c r="N5" s="115" t="s">
        <v>134</v>
      </c>
      <c r="O5" s="122">
        <f t="shared" si="0"/>
        <v>-88</v>
      </c>
      <c r="P5" s="119">
        <v>25</v>
      </c>
      <c r="Q5" s="103">
        <v>-2200</v>
      </c>
    </row>
    <row r="6" spans="1:17" x14ac:dyDescent="0.4">
      <c r="A6" s="55" t="s">
        <v>1</v>
      </c>
      <c r="B6" s="148">
        <f>IF(B$2=0,0,(B$7*1+B$8*2+B$9*3)/B$2)</f>
        <v>1.6296296296296295</v>
      </c>
      <c r="C6" s="149"/>
      <c r="E6" s="63" t="s">
        <v>68</v>
      </c>
      <c r="F6" s="60" t="s">
        <v>24</v>
      </c>
      <c r="G6" s="47">
        <v>24</v>
      </c>
      <c r="H6" s="133">
        <f>IF(B$17=0,0,G6/B$17)</f>
        <v>0.2696629213483146</v>
      </c>
      <c r="I6" s="94">
        <v>6</v>
      </c>
      <c r="K6" s="38">
        <v>4</v>
      </c>
      <c r="L6" s="99">
        <v>101.60000000000001</v>
      </c>
      <c r="N6" s="115" t="s">
        <v>135</v>
      </c>
      <c r="O6" s="122">
        <f t="shared" si="0"/>
        <v>6173.913043478261</v>
      </c>
      <c r="P6" s="119">
        <v>23</v>
      </c>
      <c r="Q6" s="103">
        <v>142000</v>
      </c>
    </row>
    <row r="7" spans="1:17" x14ac:dyDescent="0.4">
      <c r="A7" s="55" t="s">
        <v>2</v>
      </c>
      <c r="B7" s="47">
        <v>16</v>
      </c>
      <c r="C7" s="39">
        <f t="shared" ref="C7:C12" si="1">IF(B$2=0,0,B7/B$2)</f>
        <v>0.59259259259259256</v>
      </c>
      <c r="E7" s="63" t="s">
        <v>69</v>
      </c>
      <c r="F7" s="60" t="s">
        <v>12</v>
      </c>
      <c r="G7" s="47">
        <v>23</v>
      </c>
      <c r="H7" s="133">
        <f>IF(B$17=0,0,G7/B$17)</f>
        <v>0.25842696629213485</v>
      </c>
      <c r="I7" s="94">
        <v>6</v>
      </c>
      <c r="K7" s="38">
        <v>5</v>
      </c>
      <c r="L7" s="99">
        <v>99.9</v>
      </c>
      <c r="N7" s="116" t="s">
        <v>136</v>
      </c>
      <c r="O7" s="123">
        <f t="shared" si="0"/>
        <v>8236.8421052631584</v>
      </c>
      <c r="P7" s="120">
        <v>19</v>
      </c>
      <c r="Q7" s="104">
        <v>156500</v>
      </c>
    </row>
    <row r="8" spans="1:17" x14ac:dyDescent="0.4">
      <c r="A8" s="55" t="s">
        <v>3</v>
      </c>
      <c r="B8" s="47">
        <v>5</v>
      </c>
      <c r="C8" s="39">
        <f t="shared" si="1"/>
        <v>0.18518518518518517</v>
      </c>
      <c r="E8" s="63" t="s">
        <v>90</v>
      </c>
      <c r="F8" s="60" t="s">
        <v>45</v>
      </c>
      <c r="G8" s="47">
        <v>14</v>
      </c>
      <c r="H8" s="133">
        <f>IF(B$17=0,0,G8/B$17)</f>
        <v>0.15730337078651685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0.22222222222222221</v>
      </c>
      <c r="E9" s="63" t="s">
        <v>70</v>
      </c>
      <c r="F9" s="60" t="s">
        <v>25</v>
      </c>
      <c r="G9" s="47">
        <v>13</v>
      </c>
      <c r="H9" s="133">
        <f>IF(B$17=0,0,G9/B$17)</f>
        <v>0.14606741573033707</v>
      </c>
      <c r="I9" s="94">
        <v>4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3.7037037037037035E-2</v>
      </c>
      <c r="E10" s="63" t="s">
        <v>66</v>
      </c>
      <c r="F10" s="60" t="s">
        <v>22</v>
      </c>
      <c r="G10" s="47">
        <v>8</v>
      </c>
      <c r="H10" s="133">
        <f>IF(B$17=0,0,G10/B$17)</f>
        <v>8.98876404494382E-2</v>
      </c>
      <c r="I10" s="94">
        <v>7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 x14ac:dyDescent="0.4">
      <c r="A11" s="56" t="s">
        <v>139</v>
      </c>
      <c r="B11" s="48">
        <v>4</v>
      </c>
      <c r="C11" s="40">
        <f t="shared" si="1"/>
        <v>0.14814814814814814</v>
      </c>
      <c r="E11" s="63" t="s">
        <v>71</v>
      </c>
      <c r="F11" s="60" t="s">
        <v>26</v>
      </c>
      <c r="G11" s="47">
        <v>6</v>
      </c>
      <c r="H11" s="133">
        <f>IF(B$17=0,0,G11/B$17)</f>
        <v>6.741573033707865E-2</v>
      </c>
      <c r="I11" s="94">
        <v>7</v>
      </c>
      <c r="K11" s="38">
        <v>9</v>
      </c>
      <c r="L11" s="99">
        <v>180.89999999999998</v>
      </c>
      <c r="N11" s="115" t="s">
        <v>164</v>
      </c>
      <c r="O11" s="125">
        <f>IF(P11=0,0,Q11/P11)</f>
        <v>11.61</v>
      </c>
      <c r="P11" s="119">
        <v>10</v>
      </c>
      <c r="Q11" s="107">
        <v>116.1</v>
      </c>
    </row>
    <row r="12" spans="1:17" x14ac:dyDescent="0.4">
      <c r="A12" s="57" t="s">
        <v>159</v>
      </c>
      <c r="B12" s="49">
        <v>5</v>
      </c>
      <c r="C12" s="42">
        <f t="shared" si="1"/>
        <v>0.18518518518518517</v>
      </c>
      <c r="E12" s="63" t="s">
        <v>72</v>
      </c>
      <c r="F12" s="60" t="s">
        <v>27</v>
      </c>
      <c r="G12" s="47">
        <v>5</v>
      </c>
      <c r="H12" s="133">
        <f>IF(B$17=0,0,G12/B$17)</f>
        <v>5.6179775280898875E-2</v>
      </c>
      <c r="I12" s="94">
        <v>5</v>
      </c>
      <c r="K12" s="38">
        <v>10</v>
      </c>
      <c r="L12" s="99">
        <v>158.19999999999999</v>
      </c>
      <c r="N12" s="116" t="s">
        <v>165</v>
      </c>
      <c r="O12" s="126">
        <f>IF(P12=0,0,Q12/P12)</f>
        <v>12.779999999999998</v>
      </c>
      <c r="P12" s="120">
        <v>10</v>
      </c>
      <c r="Q12" s="108">
        <v>127.79999999999998</v>
      </c>
    </row>
    <row r="13" spans="1:17" x14ac:dyDescent="0.4">
      <c r="A13" s="58" t="s">
        <v>122</v>
      </c>
      <c r="B13" s="50">
        <v>65</v>
      </c>
      <c r="C13" s="44">
        <f>IF(B$3=0,0,B13/B$3)</f>
        <v>0.27659574468085107</v>
      </c>
      <c r="E13" s="63" t="s">
        <v>87</v>
      </c>
      <c r="F13" s="60" t="s">
        <v>42</v>
      </c>
      <c r="G13" s="47">
        <v>4</v>
      </c>
      <c r="H13" s="133">
        <f>IF(B$17=0,0,G13/B$17)</f>
        <v>4.49438202247191E-2</v>
      </c>
      <c r="I13" s="94">
        <v>5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58</v>
      </c>
      <c r="C14" s="39">
        <f>IF(B$3=0,0,B14/B$3)</f>
        <v>0.24680851063829787</v>
      </c>
      <c r="E14" s="63" t="s">
        <v>79</v>
      </c>
      <c r="F14" s="60" t="s">
        <v>34</v>
      </c>
      <c r="G14" s="47">
        <v>3</v>
      </c>
      <c r="H14" s="133">
        <f>IF(B$17=0,0,G14/B$17)</f>
        <v>3.3707865168539325E-2</v>
      </c>
      <c r="I14" s="94">
        <v>6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40</v>
      </c>
      <c r="C15" s="37">
        <f>IF(B$13=0,0,B15/B$13)</f>
        <v>0.61538461538461542</v>
      </c>
      <c r="E15" s="63" t="s">
        <v>168</v>
      </c>
      <c r="F15" s="60" t="s">
        <v>169</v>
      </c>
      <c r="G15" s="47">
        <v>3</v>
      </c>
      <c r="H15" s="133">
        <f>IF(B$17=0,0,G15/B$17)</f>
        <v>3.3707865168539325E-2</v>
      </c>
      <c r="I15" s="94">
        <v>1</v>
      </c>
      <c r="K15" s="38">
        <v>13</v>
      </c>
      <c r="L15" s="99">
        <v>206.39999999999998</v>
      </c>
      <c r="N15" s="114" t="s">
        <v>179</v>
      </c>
      <c r="O15" s="124">
        <f>IF(P15=0,0,Q15/P15)</f>
        <v>75.5</v>
      </c>
      <c r="P15" s="118">
        <v>2</v>
      </c>
      <c r="Q15" s="106">
        <v>151</v>
      </c>
    </row>
    <row r="16" spans="1:17" x14ac:dyDescent="0.4">
      <c r="A16" s="54" t="s">
        <v>125</v>
      </c>
      <c r="B16" s="46">
        <v>31</v>
      </c>
      <c r="C16" s="37">
        <f>IF(B$14=0,0,B16/B$14)</f>
        <v>0.53448275862068961</v>
      </c>
      <c r="E16" s="63" t="s">
        <v>78</v>
      </c>
      <c r="F16" s="60" t="s">
        <v>33</v>
      </c>
      <c r="G16" s="47">
        <v>2</v>
      </c>
      <c r="H16" s="133">
        <f>IF(B$17=0,0,G16/B$17)</f>
        <v>2.247191011235955E-2</v>
      </c>
      <c r="I16" s="94">
        <v>2</v>
      </c>
      <c r="K16" s="38">
        <v>14</v>
      </c>
      <c r="L16" s="99">
        <v>240.09999999999997</v>
      </c>
      <c r="N16" s="115" t="s">
        <v>182</v>
      </c>
      <c r="O16" s="125">
        <f>IF(P16=0,0,Q16/P16)</f>
        <v>43.599999999999994</v>
      </c>
      <c r="P16" s="119">
        <v>2</v>
      </c>
      <c r="Q16" s="107">
        <v>87.199999999999989</v>
      </c>
    </row>
    <row r="17" spans="1:17" x14ac:dyDescent="0.4">
      <c r="A17" s="54" t="s">
        <v>10</v>
      </c>
      <c r="B17" s="46">
        <f>B19+B18</f>
        <v>89</v>
      </c>
      <c r="C17" s="37">
        <f>IF(B$3=0,0,B17/B$3)</f>
        <v>0.37872340425531914</v>
      </c>
      <c r="E17" s="63" t="s">
        <v>84</v>
      </c>
      <c r="F17" s="60" t="s">
        <v>39</v>
      </c>
      <c r="G17" s="47">
        <v>2</v>
      </c>
      <c r="H17" s="133">
        <f>IF(B$17=0,0,G17/B$17)</f>
        <v>2.247191011235955E-2</v>
      </c>
      <c r="I17" s="94">
        <v>7</v>
      </c>
      <c r="K17" s="38">
        <v>15</v>
      </c>
      <c r="L17" s="99">
        <v>269.49999999999994</v>
      </c>
      <c r="N17" s="115" t="s">
        <v>180</v>
      </c>
      <c r="O17" s="125">
        <f>IF(P17=0,0,Q17/P17)</f>
        <v>38.118181818181817</v>
      </c>
      <c r="P17" s="119">
        <v>11</v>
      </c>
      <c r="Q17" s="107">
        <v>419.3</v>
      </c>
    </row>
    <row r="18" spans="1:17" x14ac:dyDescent="0.4">
      <c r="A18" s="55" t="s">
        <v>12</v>
      </c>
      <c r="B18" s="47">
        <v>39</v>
      </c>
      <c r="C18" s="39">
        <f>IF(B$17=0,0,B18/B$17)</f>
        <v>0.43820224719101125</v>
      </c>
      <c r="E18" s="63" t="s">
        <v>85</v>
      </c>
      <c r="F18" s="60" t="s">
        <v>40</v>
      </c>
      <c r="G18" s="47">
        <v>2</v>
      </c>
      <c r="H18" s="133">
        <f>IF(B$17=0,0,G18/B$17)</f>
        <v>2.247191011235955E-2</v>
      </c>
      <c r="I18" s="94">
        <v>1</v>
      </c>
      <c r="K18" s="38">
        <v>16</v>
      </c>
      <c r="L18" s="99">
        <v>323.69999999999993</v>
      </c>
      <c r="N18" s="115" t="s">
        <v>128</v>
      </c>
      <c r="O18" s="125">
        <f>IF(P18=0,0,Q18/P18)</f>
        <v>15.6</v>
      </c>
      <c r="P18" s="119">
        <v>24</v>
      </c>
      <c r="Q18" s="107">
        <v>374.4</v>
      </c>
    </row>
    <row r="19" spans="1:17" x14ac:dyDescent="0.4">
      <c r="A19" s="55" t="s">
        <v>11</v>
      </c>
      <c r="B19" s="47">
        <v>50</v>
      </c>
      <c r="C19" s="39">
        <f>IF(B$17=0,0,B19/B$17)</f>
        <v>0.5617977528089888</v>
      </c>
      <c r="E19" s="63" t="s">
        <v>93</v>
      </c>
      <c r="F19" s="60" t="s">
        <v>48</v>
      </c>
      <c r="G19" s="47">
        <v>2</v>
      </c>
      <c r="H19" s="133">
        <f>IF(B$17=0,0,G19/B$17)</f>
        <v>2.247191011235955E-2</v>
      </c>
      <c r="I19" s="94">
        <v>2</v>
      </c>
      <c r="K19" s="38">
        <v>17</v>
      </c>
      <c r="L19" s="99">
        <v>359.09999999999991</v>
      </c>
      <c r="N19" s="115" t="s">
        <v>167</v>
      </c>
      <c r="O19" s="125">
        <f>IF(P19=0,0,Q19/P19)</f>
        <v>13.08181818181818</v>
      </c>
      <c r="P19" s="119">
        <v>11</v>
      </c>
      <c r="Q19" s="107">
        <v>143.89999999999998</v>
      </c>
    </row>
    <row r="20" spans="1:17" x14ac:dyDescent="0.4">
      <c r="A20" s="55" t="s">
        <v>13</v>
      </c>
      <c r="B20" s="47">
        <v>34</v>
      </c>
      <c r="C20" s="39">
        <f>IF(B$3=0,0,B20/B$3)</f>
        <v>0.14468085106382977</v>
      </c>
      <c r="E20" s="63" t="s">
        <v>82</v>
      </c>
      <c r="F20" s="60" t="s">
        <v>37</v>
      </c>
      <c r="G20" s="47">
        <v>1</v>
      </c>
      <c r="H20" s="133">
        <f>IF(B$17=0,0,G20/B$17)</f>
        <v>1.1235955056179775E-2</v>
      </c>
      <c r="I20" s="94">
        <v>7</v>
      </c>
      <c r="K20" s="38">
        <v>18</v>
      </c>
      <c r="L20" s="99">
        <v>352.39999999999992</v>
      </c>
      <c r="N20" s="115" t="s">
        <v>178</v>
      </c>
      <c r="O20" s="125">
        <f>IF(P20=0,0,Q20/P20)</f>
        <v>-22.15</v>
      </c>
      <c r="P20" s="119">
        <v>4</v>
      </c>
      <c r="Q20" s="107">
        <v>-88.6</v>
      </c>
    </row>
    <row r="21" spans="1:17" x14ac:dyDescent="0.4">
      <c r="A21" s="55" t="s">
        <v>170</v>
      </c>
      <c r="B21" s="47">
        <v>5</v>
      </c>
      <c r="C21" s="135">
        <v>2</v>
      </c>
      <c r="E21" s="63" t="s">
        <v>86</v>
      </c>
      <c r="F21" s="60" t="s">
        <v>41</v>
      </c>
      <c r="G21" s="47">
        <v>1</v>
      </c>
      <c r="H21" s="133">
        <f>IF(B$17=0,0,G21/B$17)</f>
        <v>1.1235955056179775E-2</v>
      </c>
      <c r="I21" s="94">
        <v>2</v>
      </c>
      <c r="K21" s="38">
        <v>19</v>
      </c>
      <c r="L21" s="99">
        <v>383.19999999999993</v>
      </c>
    </row>
    <row r="22" spans="1:17" x14ac:dyDescent="0.4">
      <c r="A22" s="55" t="s">
        <v>171</v>
      </c>
      <c r="B22" s="47">
        <v>27</v>
      </c>
      <c r="C22" s="135">
        <v>5</v>
      </c>
      <c r="E22" s="63" t="s">
        <v>89</v>
      </c>
      <c r="F22" s="60" t="s">
        <v>44</v>
      </c>
      <c r="G22" s="47">
        <v>1</v>
      </c>
      <c r="H22" s="133">
        <f>IF(B$17=0,0,G22/B$17)</f>
        <v>1.1235955056179775E-2</v>
      </c>
      <c r="I22" s="94">
        <v>2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8033.7078651685397</v>
      </c>
      <c r="C23" s="41">
        <v>715000</v>
      </c>
      <c r="E23" s="63" t="s">
        <v>91</v>
      </c>
      <c r="F23" s="60" t="s">
        <v>46</v>
      </c>
      <c r="G23" s="47">
        <v>1</v>
      </c>
      <c r="H23" s="133">
        <f>IF(B$17=0,0,G23/B$17)</f>
        <v>1.1235955056179775E-2</v>
      </c>
      <c r="I23" s="94">
        <v>1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-7823.5294117647063</v>
      </c>
      <c r="C24" s="45">
        <v>-266000</v>
      </c>
      <c r="E24" s="63" t="s">
        <v>92</v>
      </c>
      <c r="F24" s="60" t="s">
        <v>47</v>
      </c>
      <c r="G24" s="47">
        <v>1</v>
      </c>
      <c r="H24" s="133">
        <f>IF(B$17=0,0,G24/B$17)</f>
        <v>1.1235955056179775E-2</v>
      </c>
      <c r="I24" s="94">
        <v>4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6">
        <v>6</v>
      </c>
      <c r="C25" s="147"/>
      <c r="E25" s="63" t="s">
        <v>96</v>
      </c>
      <c r="F25" s="60" t="s">
        <v>51</v>
      </c>
      <c r="G25" s="47">
        <v>1</v>
      </c>
      <c r="H25" s="133">
        <f>IF(B$17=0,0,G25/B$17)</f>
        <v>1.1235955056179775E-2</v>
      </c>
      <c r="I25" s="94">
        <v>1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4">
        <v>86200</v>
      </c>
      <c r="C26" s="145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8546-6488-42B1-BC55-9078E526E9BA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30</v>
      </c>
      <c r="C2" s="153"/>
      <c r="E2" s="62" t="s">
        <v>67</v>
      </c>
      <c r="F2" s="59" t="s">
        <v>23</v>
      </c>
      <c r="G2" s="46">
        <v>88</v>
      </c>
      <c r="H2" s="132">
        <f>IF(B$17=0,0,G2/B$17)</f>
        <v>1.0476190476190477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2143.3333333333335</v>
      </c>
      <c r="P2" s="118">
        <v>30</v>
      </c>
      <c r="Q2" s="102">
        <v>64300</v>
      </c>
    </row>
    <row r="3" spans="1:17" x14ac:dyDescent="0.4">
      <c r="A3" s="55" t="s">
        <v>8</v>
      </c>
      <c r="B3" s="154">
        <v>260</v>
      </c>
      <c r="C3" s="155"/>
      <c r="E3" s="63" t="s">
        <v>73</v>
      </c>
      <c r="F3" s="60" t="s">
        <v>28</v>
      </c>
      <c r="G3" s="47">
        <v>59</v>
      </c>
      <c r="H3" s="133">
        <f>IF(B$17=0,0,G3/B$17)</f>
        <v>0.70238095238095233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428.57142857142856</v>
      </c>
      <c r="P3" s="119">
        <v>28</v>
      </c>
      <c r="Q3" s="103">
        <v>12000</v>
      </c>
    </row>
    <row r="4" spans="1:17" x14ac:dyDescent="0.4">
      <c r="A4" s="55" t="s">
        <v>6</v>
      </c>
      <c r="B4" s="156">
        <v>63.499999999999957</v>
      </c>
      <c r="C4" s="157"/>
      <c r="E4" s="63" t="s">
        <v>172</v>
      </c>
      <c r="F4" s="60" t="s">
        <v>173</v>
      </c>
      <c r="G4" s="47">
        <v>33</v>
      </c>
      <c r="H4" s="133">
        <f>IF(B$17=0,0,G4/B$17)</f>
        <v>0.39285714285714285</v>
      </c>
      <c r="I4" s="94">
        <v>5</v>
      </c>
      <c r="K4" s="38">
        <v>2</v>
      </c>
      <c r="L4" s="99">
        <v>-34.299999999999997</v>
      </c>
      <c r="N4" s="115" t="s">
        <v>133</v>
      </c>
      <c r="O4" s="122">
        <f t="shared" si="0"/>
        <v>1474.0740740740741</v>
      </c>
      <c r="P4" s="119">
        <v>27</v>
      </c>
      <c r="Q4" s="103">
        <v>39800</v>
      </c>
    </row>
    <row r="5" spans="1:17" x14ac:dyDescent="0.4">
      <c r="A5" s="55" t="s">
        <v>7</v>
      </c>
      <c r="B5" s="158">
        <f>IF(B$2=0,0,B$4/B$2)</f>
        <v>2.1166666666666654</v>
      </c>
      <c r="C5" s="159"/>
      <c r="E5" s="63" t="s">
        <v>65</v>
      </c>
      <c r="F5" s="60" t="s">
        <v>21</v>
      </c>
      <c r="G5" s="47">
        <v>32</v>
      </c>
      <c r="H5" s="133">
        <f>IF(B$17=0,0,G5/B$17)</f>
        <v>0.38095238095238093</v>
      </c>
      <c r="I5" s="94">
        <v>9</v>
      </c>
      <c r="K5" s="38">
        <v>3</v>
      </c>
      <c r="L5" s="99">
        <v>-58.599999999999994</v>
      </c>
      <c r="N5" s="115" t="s">
        <v>134</v>
      </c>
      <c r="O5" s="122">
        <f t="shared" si="0"/>
        <v>3192.5925925925926</v>
      </c>
      <c r="P5" s="119">
        <v>27</v>
      </c>
      <c r="Q5" s="103">
        <v>86200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22</v>
      </c>
      <c r="H6" s="133">
        <f>IF(B$17=0,0,G6/B$17)</f>
        <v>0.26190476190476192</v>
      </c>
      <c r="I6" s="94">
        <v>5</v>
      </c>
      <c r="K6" s="38">
        <v>4</v>
      </c>
      <c r="L6" s="99">
        <v>-38.099999999999994</v>
      </c>
      <c r="N6" s="115" t="s">
        <v>135</v>
      </c>
      <c r="O6" s="122">
        <f t="shared" si="0"/>
        <v>-2979.1666666666665</v>
      </c>
      <c r="P6" s="119">
        <v>24</v>
      </c>
      <c r="Q6" s="103">
        <v>-71500</v>
      </c>
    </row>
    <row r="7" spans="1:17" x14ac:dyDescent="0.4">
      <c r="A7" s="55" t="s">
        <v>2</v>
      </c>
      <c r="B7" s="47">
        <v>9</v>
      </c>
      <c r="C7" s="39">
        <f t="shared" ref="C7:C12" si="1">IF(B$2=0,0,B7/B$2)</f>
        <v>0.3</v>
      </c>
      <c r="E7" s="63" t="s">
        <v>68</v>
      </c>
      <c r="F7" s="60" t="s">
        <v>24</v>
      </c>
      <c r="G7" s="47">
        <v>19</v>
      </c>
      <c r="H7" s="133">
        <f>IF(B$17=0,0,G7/B$17)</f>
        <v>0.22619047619047619</v>
      </c>
      <c r="I7" s="94">
        <v>8</v>
      </c>
      <c r="K7" s="38">
        <v>5</v>
      </c>
      <c r="L7" s="99">
        <v>-11.299999999999994</v>
      </c>
      <c r="N7" s="116" t="s">
        <v>136</v>
      </c>
      <c r="O7" s="123">
        <f t="shared" si="0"/>
        <v>-2852.6315789473683</v>
      </c>
      <c r="P7" s="120">
        <v>19</v>
      </c>
      <c r="Q7" s="104">
        <v>-54200</v>
      </c>
    </row>
    <row r="8" spans="1:17" x14ac:dyDescent="0.4">
      <c r="A8" s="55" t="s">
        <v>3</v>
      </c>
      <c r="B8" s="47">
        <v>12</v>
      </c>
      <c r="C8" s="39">
        <f t="shared" si="1"/>
        <v>0.4</v>
      </c>
      <c r="E8" s="63" t="s">
        <v>90</v>
      </c>
      <c r="F8" s="60" t="s">
        <v>45</v>
      </c>
      <c r="G8" s="47">
        <v>12</v>
      </c>
      <c r="H8" s="133">
        <f>IF(B$17=0,0,G8/B$17)</f>
        <v>0.14285714285714285</v>
      </c>
      <c r="I8" s="94">
        <v>3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0.3</v>
      </c>
      <c r="E9" s="63" t="s">
        <v>70</v>
      </c>
      <c r="F9" s="60" t="s">
        <v>25</v>
      </c>
      <c r="G9" s="47">
        <v>8</v>
      </c>
      <c r="H9" s="133">
        <f>IF(B$17=0,0,G9/B$17)</f>
        <v>9.5238095238095233E-2</v>
      </c>
      <c r="I9" s="94">
        <v>6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0.13333333333333333</v>
      </c>
      <c r="E10" s="63" t="s">
        <v>66</v>
      </c>
      <c r="F10" s="60" t="s">
        <v>22</v>
      </c>
      <c r="G10" s="47">
        <v>7</v>
      </c>
      <c r="H10" s="133">
        <f>IF(B$17=0,0,G10/B$17)</f>
        <v>8.3333333333333329E-2</v>
      </c>
      <c r="I10" s="94">
        <v>8</v>
      </c>
      <c r="K10" s="38">
        <v>8</v>
      </c>
      <c r="L10" s="99">
        <v>-56.79999999999999</v>
      </c>
      <c r="N10" s="114" t="s">
        <v>163</v>
      </c>
      <c r="O10" s="124">
        <f>IF(P10=0,0,Q10/P10)</f>
        <v>12.144444444444446</v>
      </c>
      <c r="P10" s="118">
        <v>9</v>
      </c>
      <c r="Q10" s="106">
        <v>109.30000000000001</v>
      </c>
    </row>
    <row r="11" spans="1:17" x14ac:dyDescent="0.4">
      <c r="A11" s="56" t="s">
        <v>139</v>
      </c>
      <c r="B11" s="48">
        <v>5</v>
      </c>
      <c r="C11" s="40">
        <f t="shared" si="1"/>
        <v>0.16666666666666666</v>
      </c>
      <c r="E11" s="63" t="s">
        <v>87</v>
      </c>
      <c r="F11" s="60" t="s">
        <v>42</v>
      </c>
      <c r="G11" s="47">
        <v>5</v>
      </c>
      <c r="H11" s="133">
        <f>IF(B$17=0,0,G11/B$17)</f>
        <v>5.9523809523809521E-2</v>
      </c>
      <c r="I11" s="94">
        <v>3</v>
      </c>
      <c r="K11" s="38">
        <v>9</v>
      </c>
      <c r="L11" s="99">
        <v>-83.699999999999989</v>
      </c>
      <c r="N11" s="115" t="s">
        <v>164</v>
      </c>
      <c r="O11" s="125">
        <f>IF(P11=0,0,Q11/P11)</f>
        <v>4.322222222222222</v>
      </c>
      <c r="P11" s="119">
        <v>9</v>
      </c>
      <c r="Q11" s="107">
        <v>38.9</v>
      </c>
    </row>
    <row r="12" spans="1:17" x14ac:dyDescent="0.4">
      <c r="A12" s="57" t="s">
        <v>159</v>
      </c>
      <c r="B12" s="49">
        <v>6</v>
      </c>
      <c r="C12" s="42">
        <f t="shared" si="1"/>
        <v>0.2</v>
      </c>
      <c r="E12" s="63" t="s">
        <v>84</v>
      </c>
      <c r="F12" s="60" t="s">
        <v>39</v>
      </c>
      <c r="G12" s="47">
        <v>4</v>
      </c>
      <c r="H12" s="133">
        <f>IF(B$17=0,0,G12/B$17)</f>
        <v>4.7619047619047616E-2</v>
      </c>
      <c r="I12" s="94">
        <v>6</v>
      </c>
      <c r="K12" s="38">
        <v>10</v>
      </c>
      <c r="L12" s="99">
        <v>-78.399999999999991</v>
      </c>
      <c r="N12" s="116" t="s">
        <v>165</v>
      </c>
      <c r="O12" s="126">
        <f>IF(P12=0,0,Q12/P12)</f>
        <v>-7.0583333333333327</v>
      </c>
      <c r="P12" s="120">
        <v>12</v>
      </c>
      <c r="Q12" s="108">
        <v>-84.699999999999989</v>
      </c>
    </row>
    <row r="13" spans="1:17" x14ac:dyDescent="0.4">
      <c r="A13" s="58" t="s">
        <v>122</v>
      </c>
      <c r="B13" s="50">
        <v>52</v>
      </c>
      <c r="C13" s="44">
        <f>IF(B$3=0,0,B13/B$3)</f>
        <v>0.2</v>
      </c>
      <c r="E13" s="63" t="s">
        <v>79</v>
      </c>
      <c r="F13" s="60" t="s">
        <v>34</v>
      </c>
      <c r="G13" s="47">
        <v>3</v>
      </c>
      <c r="H13" s="133">
        <f>IF(B$17=0,0,G13/B$17)</f>
        <v>3.5714285714285712E-2</v>
      </c>
      <c r="I13" s="94">
        <v>4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79</v>
      </c>
      <c r="C14" s="39">
        <f>IF(B$3=0,0,B14/B$3)</f>
        <v>0.30384615384615382</v>
      </c>
      <c r="E14" s="63" t="s">
        <v>71</v>
      </c>
      <c r="F14" s="60" t="s">
        <v>26</v>
      </c>
      <c r="G14" s="47">
        <v>2</v>
      </c>
      <c r="H14" s="133">
        <f>IF(B$17=0,0,G14/B$17)</f>
        <v>2.3809523809523808E-2</v>
      </c>
      <c r="I14" s="94">
        <v>9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30</v>
      </c>
      <c r="C15" s="37">
        <f>IF(B$13=0,0,B15/B$13)</f>
        <v>0.57692307692307687</v>
      </c>
      <c r="E15" s="63" t="s">
        <v>72</v>
      </c>
      <c r="F15" s="60" t="s">
        <v>27</v>
      </c>
      <c r="G15" s="47">
        <v>2</v>
      </c>
      <c r="H15" s="133">
        <f>IF(B$17=0,0,G15/B$17)</f>
        <v>2.3809523809523808E-2</v>
      </c>
      <c r="I15" s="94">
        <v>8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36</v>
      </c>
      <c r="C16" s="37">
        <f>IF(B$14=0,0,B16/B$14)</f>
        <v>0.45569620253164556</v>
      </c>
      <c r="E16" s="63" t="s">
        <v>80</v>
      </c>
      <c r="F16" s="60" t="s">
        <v>35</v>
      </c>
      <c r="G16" s="47">
        <v>2</v>
      </c>
      <c r="H16" s="133">
        <f>IF(B$17=0,0,G16/B$17)</f>
        <v>2.3809523809523808E-2</v>
      </c>
      <c r="I16" s="94">
        <v>3</v>
      </c>
      <c r="K16" s="38">
        <v>14</v>
      </c>
      <c r="L16" s="99">
        <v>-138.4</v>
      </c>
      <c r="N16" s="115" t="s">
        <v>179</v>
      </c>
      <c r="O16" s="125">
        <f>IF(P16=0,0,Q16/P16)</f>
        <v>32.980000000000004</v>
      </c>
      <c r="P16" s="119">
        <v>5</v>
      </c>
      <c r="Q16" s="107">
        <v>164.9</v>
      </c>
    </row>
    <row r="17" spans="1:17" x14ac:dyDescent="0.4">
      <c r="A17" s="54" t="s">
        <v>10</v>
      </c>
      <c r="B17" s="46">
        <f>B19+B18</f>
        <v>84</v>
      </c>
      <c r="C17" s="37">
        <f>IF(B$3=0,0,B17/B$3)</f>
        <v>0.32307692307692309</v>
      </c>
      <c r="E17" s="63" t="s">
        <v>92</v>
      </c>
      <c r="F17" s="60" t="s">
        <v>47</v>
      </c>
      <c r="G17" s="47">
        <v>2</v>
      </c>
      <c r="H17" s="133">
        <f>IF(B$17=0,0,G17/B$17)</f>
        <v>2.3809523809523808E-2</v>
      </c>
      <c r="I17" s="94">
        <v>2</v>
      </c>
      <c r="K17" s="38">
        <v>15</v>
      </c>
      <c r="L17" s="99">
        <v>-144.30000000000001</v>
      </c>
      <c r="N17" s="115" t="s">
        <v>178</v>
      </c>
      <c r="O17" s="125">
        <f>IF(P17=0,0,Q17/P17)</f>
        <v>27.333333333333332</v>
      </c>
      <c r="P17" s="119">
        <v>6</v>
      </c>
      <c r="Q17" s="107">
        <v>164</v>
      </c>
    </row>
    <row r="18" spans="1:17" x14ac:dyDescent="0.4">
      <c r="A18" s="55" t="s">
        <v>12</v>
      </c>
      <c r="B18" s="47">
        <v>28</v>
      </c>
      <c r="C18" s="39">
        <f>IF(B$17=0,0,B18/B$17)</f>
        <v>0.33333333333333331</v>
      </c>
      <c r="E18" s="63" t="s">
        <v>82</v>
      </c>
      <c r="F18" s="60" t="s">
        <v>37</v>
      </c>
      <c r="G18" s="47">
        <v>1</v>
      </c>
      <c r="H18" s="133">
        <f>IF(B$17=0,0,G18/B$17)</f>
        <v>1.1904761904761904E-2</v>
      </c>
      <c r="I18" s="94">
        <v>6</v>
      </c>
      <c r="K18" s="38">
        <v>16</v>
      </c>
      <c r="L18" s="99">
        <v>-187.3</v>
      </c>
      <c r="N18" s="115" t="s">
        <v>180</v>
      </c>
      <c r="O18" s="125">
        <f>IF(P18=0,0,Q18/P18)</f>
        <v>10.424999999999999</v>
      </c>
      <c r="P18" s="119">
        <v>12</v>
      </c>
      <c r="Q18" s="107">
        <v>125.1</v>
      </c>
    </row>
    <row r="19" spans="1:17" x14ac:dyDescent="0.4">
      <c r="A19" s="55" t="s">
        <v>11</v>
      </c>
      <c r="B19" s="47">
        <v>56</v>
      </c>
      <c r="C19" s="39">
        <f>IF(B$17=0,0,B19/B$17)</f>
        <v>0.66666666666666663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-179.70000000000002</v>
      </c>
      <c r="N19" s="115" t="s">
        <v>167</v>
      </c>
      <c r="O19" s="125">
        <f>IF(P19=0,0,Q19/P19)</f>
        <v>-1.7100000000000009</v>
      </c>
      <c r="P19" s="119">
        <v>10</v>
      </c>
      <c r="Q19" s="107">
        <v>-17.100000000000009</v>
      </c>
    </row>
    <row r="20" spans="1:17" x14ac:dyDescent="0.4">
      <c r="A20" s="55" t="s">
        <v>13</v>
      </c>
      <c r="B20" s="47">
        <v>49</v>
      </c>
      <c r="C20" s="39">
        <f>IF(B$3=0,0,B20/B$3)</f>
        <v>0.18846153846153846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127</v>
      </c>
      <c r="O20" s="125">
        <f>IF(P20=0,0,Q20/P20)</f>
        <v>-15.599999999999996</v>
      </c>
      <c r="P20" s="119">
        <v>24</v>
      </c>
      <c r="Q20" s="107">
        <v>-374.39999999999992</v>
      </c>
    </row>
    <row r="21" spans="1:17" x14ac:dyDescent="0.4">
      <c r="A21" s="55" t="s">
        <v>170</v>
      </c>
      <c r="B21" s="47">
        <v>7</v>
      </c>
      <c r="C21" s="135">
        <v>2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-162.40000000000003</v>
      </c>
      <c r="N21" s="115" t="s">
        <v>182</v>
      </c>
      <c r="O21" s="125">
        <f>IF(P21=0,0,Q21/P21)</f>
        <v>-22.6</v>
      </c>
      <c r="P21" s="119">
        <v>1</v>
      </c>
      <c r="Q21" s="107">
        <v>-22.6</v>
      </c>
    </row>
    <row r="22" spans="1:17" x14ac:dyDescent="0.4">
      <c r="A22" s="55" t="s">
        <v>171</v>
      </c>
      <c r="B22" s="47">
        <v>23</v>
      </c>
      <c r="C22" s="135">
        <v>3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-96.000000000000028</v>
      </c>
    </row>
    <row r="23" spans="1:17" x14ac:dyDescent="0.4">
      <c r="A23" s="55" t="s">
        <v>5</v>
      </c>
      <c r="B23" s="51">
        <f>IF(B$17=0,0,C23/B$17)</f>
        <v>8714.2857142857138</v>
      </c>
      <c r="C23" s="41">
        <v>732000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-7412.2448979591836</v>
      </c>
      <c r="C24" s="45">
        <v>-363200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-66.400000000000034</v>
      </c>
    </row>
    <row r="25" spans="1:17" x14ac:dyDescent="0.4">
      <c r="A25" s="90" t="s">
        <v>141</v>
      </c>
      <c r="B25" s="146">
        <v>5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-66.400000000000034</v>
      </c>
    </row>
    <row r="26" spans="1:17" x14ac:dyDescent="0.4">
      <c r="A26" s="58" t="s">
        <v>151</v>
      </c>
      <c r="B26" s="144">
        <v>91800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-39.500000000000036</v>
      </c>
    </row>
    <row r="27" spans="1:17" x14ac:dyDescent="0.4">
      <c r="A27" s="57" t="s">
        <v>142</v>
      </c>
      <c r="B27" s="65">
        <v>1</v>
      </c>
      <c r="C27" s="42">
        <f>IF(B$3=0,0,B27/B$3)</f>
        <v>3.8461538461538464E-3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-31.400000000000034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-62.900000000000034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-34.100000000000037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-16.100000000000037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40.799999999999962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63.499999999999957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6371-8558-42A4-A975-4857D325F966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180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14</v>
      </c>
      <c r="C2" s="153"/>
      <c r="E2" s="62" t="s">
        <v>67</v>
      </c>
      <c r="F2" s="59" t="s">
        <v>23</v>
      </c>
      <c r="G2" s="46">
        <v>24</v>
      </c>
      <c r="H2" s="132">
        <f>IF(B$17=0,0,G2/B$17)</f>
        <v>0.77419354838709675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2385.7142857142858</v>
      </c>
      <c r="P2" s="118">
        <v>14</v>
      </c>
      <c r="Q2" s="102">
        <v>33400</v>
      </c>
    </row>
    <row r="3" spans="1:17" x14ac:dyDescent="0.4">
      <c r="A3" s="55" t="s">
        <v>8</v>
      </c>
      <c r="B3" s="154">
        <v>128</v>
      </c>
      <c r="C3" s="155"/>
      <c r="E3" s="63" t="s">
        <v>65</v>
      </c>
      <c r="F3" s="60" t="s">
        <v>21</v>
      </c>
      <c r="G3" s="47">
        <v>20</v>
      </c>
      <c r="H3" s="133">
        <f>IF(B$17=0,0,G3/B$17)</f>
        <v>0.64516129032258063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-2330.7692307692309</v>
      </c>
      <c r="P3" s="119">
        <v>13</v>
      </c>
      <c r="Q3" s="103">
        <v>-30300</v>
      </c>
    </row>
    <row r="4" spans="1:17" x14ac:dyDescent="0.4">
      <c r="A4" s="55" t="s">
        <v>6</v>
      </c>
      <c r="B4" s="156">
        <v>-204.8</v>
      </c>
      <c r="C4" s="157"/>
      <c r="E4" s="63" t="s">
        <v>73</v>
      </c>
      <c r="F4" s="60" t="s">
        <v>28</v>
      </c>
      <c r="G4" s="47">
        <v>16</v>
      </c>
      <c r="H4" s="133">
        <f>IF(B$17=0,0,G4/B$17)</f>
        <v>0.5161290322580645</v>
      </c>
      <c r="I4" s="94">
        <v>6</v>
      </c>
      <c r="K4" s="38">
        <v>2</v>
      </c>
      <c r="L4" s="99">
        <v>-30.099999999999998</v>
      </c>
      <c r="N4" s="115" t="s">
        <v>133</v>
      </c>
      <c r="O4" s="122">
        <f t="shared" si="0"/>
        <v>2269.2307692307691</v>
      </c>
      <c r="P4" s="119">
        <v>13</v>
      </c>
      <c r="Q4" s="103">
        <v>29500</v>
      </c>
    </row>
    <row r="5" spans="1:17" x14ac:dyDescent="0.4">
      <c r="A5" s="55" t="s">
        <v>7</v>
      </c>
      <c r="B5" s="158">
        <f>IF(B$2=0,0,B$4/B$2)</f>
        <v>-14.62857142857143</v>
      </c>
      <c r="C5" s="159"/>
      <c r="E5" s="63" t="s">
        <v>172</v>
      </c>
      <c r="F5" s="60" t="s">
        <v>173</v>
      </c>
      <c r="G5" s="47">
        <v>14</v>
      </c>
      <c r="H5" s="133">
        <f>IF(B$17=0,0,G5/B$17)</f>
        <v>0.45161290322580644</v>
      </c>
      <c r="I5" s="94">
        <v>3</v>
      </c>
      <c r="K5" s="38">
        <v>3</v>
      </c>
      <c r="L5" s="99">
        <v>-17.599999999999998</v>
      </c>
      <c r="N5" s="115" t="s">
        <v>134</v>
      </c>
      <c r="O5" s="122">
        <f t="shared" si="0"/>
        <v>-5230.7692307692305</v>
      </c>
      <c r="P5" s="119">
        <v>13</v>
      </c>
      <c r="Q5" s="103">
        <v>-68000</v>
      </c>
    </row>
    <row r="6" spans="1:17" x14ac:dyDescent="0.4">
      <c r="A6" s="55" t="s">
        <v>1</v>
      </c>
      <c r="B6" s="148">
        <f>IF(B$2=0,0,(B$7*1+B$8*2+B$9*3)/B$2)</f>
        <v>2.4285714285714284</v>
      </c>
      <c r="C6" s="149"/>
      <c r="E6" s="63" t="s">
        <v>68</v>
      </c>
      <c r="F6" s="60" t="s">
        <v>24</v>
      </c>
      <c r="G6" s="47">
        <v>8</v>
      </c>
      <c r="H6" s="133">
        <f>IF(B$17=0,0,G6/B$17)</f>
        <v>0.25806451612903225</v>
      </c>
      <c r="I6" s="94">
        <v>7</v>
      </c>
      <c r="K6" s="38">
        <v>4</v>
      </c>
      <c r="L6" s="99">
        <v>-54.899999999999991</v>
      </c>
      <c r="N6" s="115" t="s">
        <v>135</v>
      </c>
      <c r="O6" s="122">
        <f t="shared" si="0"/>
        <v>-7358.333333333333</v>
      </c>
      <c r="P6" s="119">
        <v>12</v>
      </c>
      <c r="Q6" s="103">
        <v>-88300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7.1428571428571425E-2</v>
      </c>
      <c r="E7" s="63" t="s">
        <v>69</v>
      </c>
      <c r="F7" s="60" t="s">
        <v>12</v>
      </c>
      <c r="G7" s="47">
        <v>7</v>
      </c>
      <c r="H7" s="133">
        <f>IF(B$17=0,0,G7/B$17)</f>
        <v>0.22580645161290322</v>
      </c>
      <c r="I7" s="94">
        <v>7</v>
      </c>
      <c r="K7" s="38">
        <v>5</v>
      </c>
      <c r="L7" s="99">
        <v>-33.699999999999989</v>
      </c>
      <c r="N7" s="116" t="s">
        <v>136</v>
      </c>
      <c r="O7" s="123">
        <f t="shared" si="0"/>
        <v>-1918.1818181818182</v>
      </c>
      <c r="P7" s="120">
        <v>11</v>
      </c>
      <c r="Q7" s="104">
        <v>-21100</v>
      </c>
    </row>
    <row r="8" spans="1:17" x14ac:dyDescent="0.4">
      <c r="A8" s="55" t="s">
        <v>3</v>
      </c>
      <c r="B8" s="47">
        <v>6</v>
      </c>
      <c r="C8" s="39">
        <f t="shared" si="1"/>
        <v>0.42857142857142855</v>
      </c>
      <c r="E8" s="63" t="s">
        <v>70</v>
      </c>
      <c r="F8" s="60" t="s">
        <v>25</v>
      </c>
      <c r="G8" s="47">
        <v>6</v>
      </c>
      <c r="H8" s="133">
        <f>IF(B$17=0,0,G8/B$17)</f>
        <v>0.19354838709677419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0.5</v>
      </c>
      <c r="E9" s="63" t="s">
        <v>66</v>
      </c>
      <c r="F9" s="60" t="s">
        <v>22</v>
      </c>
      <c r="G9" s="47">
        <v>5</v>
      </c>
      <c r="H9" s="133">
        <f>IF(B$17=0,0,G9/B$17)</f>
        <v>0.16129032258064516</v>
      </c>
      <c r="I9" s="94">
        <v>4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0.14285714285714285</v>
      </c>
      <c r="E10" s="63" t="s">
        <v>71</v>
      </c>
      <c r="F10" s="60" t="s">
        <v>26</v>
      </c>
      <c r="G10" s="47">
        <v>3</v>
      </c>
      <c r="H10" s="133">
        <f>IF(B$17=0,0,G10/B$17)</f>
        <v>9.6774193548387094E-2</v>
      </c>
      <c r="I10" s="94">
        <v>5</v>
      </c>
      <c r="K10" s="38">
        <v>8</v>
      </c>
      <c r="L10" s="99">
        <v>-62.999999999999993</v>
      </c>
      <c r="N10" s="114" t="s">
        <v>163</v>
      </c>
      <c r="O10" s="124">
        <f>IF(P10=0,0,Q10/P10)</f>
        <v>-4.0000000000000009</v>
      </c>
      <c r="P10" s="118">
        <v>6</v>
      </c>
      <c r="Q10" s="106">
        <v>-24.000000000000004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3</v>
      </c>
      <c r="H11" s="133">
        <f>IF(B$17=0,0,G11/B$17)</f>
        <v>9.6774193548387094E-2</v>
      </c>
      <c r="I11" s="94">
        <v>3</v>
      </c>
      <c r="K11" s="38">
        <v>9</v>
      </c>
      <c r="L11" s="99">
        <v>-74.199999999999989</v>
      </c>
      <c r="N11" s="115" t="s">
        <v>164</v>
      </c>
      <c r="O11" s="125">
        <f>IF(P11=0,0,Q11/P11)</f>
        <v>-19.940000000000001</v>
      </c>
      <c r="P11" s="119">
        <v>5</v>
      </c>
      <c r="Q11" s="107">
        <v>-99.7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84</v>
      </c>
      <c r="F12" s="60" t="s">
        <v>39</v>
      </c>
      <c r="G12" s="47">
        <v>3</v>
      </c>
      <c r="H12" s="133">
        <f>IF(B$17=0,0,G12/B$17)</f>
        <v>9.6774193548387094E-2</v>
      </c>
      <c r="I12" s="94">
        <v>3</v>
      </c>
      <c r="K12" s="38">
        <v>10</v>
      </c>
      <c r="L12" s="99">
        <v>-117.19999999999999</v>
      </c>
      <c r="N12" s="116" t="s">
        <v>165</v>
      </c>
      <c r="O12" s="126">
        <f>IF(P12=0,0,Q12/P12)</f>
        <v>-27.033333333333331</v>
      </c>
      <c r="P12" s="120">
        <v>3</v>
      </c>
      <c r="Q12" s="108">
        <v>-81.099999999999994</v>
      </c>
    </row>
    <row r="13" spans="1:17" x14ac:dyDescent="0.4">
      <c r="A13" s="58" t="s">
        <v>122</v>
      </c>
      <c r="B13" s="50">
        <v>32</v>
      </c>
      <c r="C13" s="44">
        <f>IF(B$3=0,0,B13/B$3)</f>
        <v>0.25</v>
      </c>
      <c r="E13" s="63" t="s">
        <v>79</v>
      </c>
      <c r="F13" s="60" t="s">
        <v>34</v>
      </c>
      <c r="G13" s="47">
        <v>2</v>
      </c>
      <c r="H13" s="133">
        <f>IF(B$17=0,0,G13/B$17)</f>
        <v>6.4516129032258063E-2</v>
      </c>
      <c r="I13" s="94">
        <v>3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0.171875</v>
      </c>
      <c r="E14" s="63" t="s">
        <v>90</v>
      </c>
      <c r="F14" s="60" t="s">
        <v>45</v>
      </c>
      <c r="G14" s="47">
        <v>2</v>
      </c>
      <c r="H14" s="133">
        <f>IF(B$17=0,0,G14/B$17)</f>
        <v>6.4516129032258063E-2</v>
      </c>
      <c r="I14" s="94">
        <v>9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19</v>
      </c>
      <c r="C15" s="37">
        <f>IF(B$13=0,0,B15/B$13)</f>
        <v>0.59375</v>
      </c>
      <c r="E15" s="63" t="s">
        <v>82</v>
      </c>
      <c r="F15" s="60" t="s">
        <v>37</v>
      </c>
      <c r="G15" s="47">
        <v>1</v>
      </c>
      <c r="H15" s="133">
        <f>IF(B$17=0,0,G15/B$17)</f>
        <v>3.2258064516129031E-2</v>
      </c>
      <c r="I15" s="94">
        <v>4</v>
      </c>
      <c r="K15" s="38">
        <v>13</v>
      </c>
      <c r="L15" s="99">
        <v>-207.3</v>
      </c>
      <c r="N15" s="114" t="s">
        <v>167</v>
      </c>
      <c r="O15" s="124">
        <f>IF(P15=0,0,Q15/P15)</f>
        <v>31.2</v>
      </c>
      <c r="P15" s="118">
        <v>2</v>
      </c>
      <c r="Q15" s="106">
        <v>62.4</v>
      </c>
    </row>
    <row r="16" spans="1:17" x14ac:dyDescent="0.4">
      <c r="A16" s="54" t="s">
        <v>125</v>
      </c>
      <c r="B16" s="46">
        <v>5</v>
      </c>
      <c r="C16" s="37">
        <f>IF(B$14=0,0,B16/B$14)</f>
        <v>0.22727272727272727</v>
      </c>
      <c r="E16" s="63" t="s">
        <v>87</v>
      </c>
      <c r="F16" s="60" t="s">
        <v>42</v>
      </c>
      <c r="G16" s="47">
        <v>1</v>
      </c>
      <c r="H16" s="133">
        <f>IF(B$17=0,0,G16/B$17)</f>
        <v>3.2258064516129031E-2</v>
      </c>
      <c r="I16" s="94">
        <v>7</v>
      </c>
      <c r="K16" s="38">
        <v>14</v>
      </c>
      <c r="L16" s="99">
        <v>-204.8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 x14ac:dyDescent="0.4">
      <c r="A17" s="54" t="s">
        <v>10</v>
      </c>
      <c r="B17" s="46">
        <f>B19+B18</f>
        <v>31</v>
      </c>
      <c r="C17" s="37">
        <f>IF(B$3=0,0,B17/B$3)</f>
        <v>0.2421875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182</v>
      </c>
      <c r="O17" s="125">
        <f>IF(P17=0,0,Q17/P17)</f>
        <v>-19</v>
      </c>
      <c r="P17" s="119">
        <v>1</v>
      </c>
      <c r="Q17" s="107">
        <v>-19</v>
      </c>
    </row>
    <row r="18" spans="1:17" x14ac:dyDescent="0.4">
      <c r="A18" s="55" t="s">
        <v>12</v>
      </c>
      <c r="B18" s="47">
        <v>11</v>
      </c>
      <c r="C18" s="39">
        <f>IF(B$17=0,0,B18/B$17)</f>
        <v>0.35483870967741937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N18" s="115" t="s">
        <v>178</v>
      </c>
      <c r="O18" s="125">
        <f>IF(P18=0,0,Q18/P18)</f>
        <v>-28.699999999999996</v>
      </c>
      <c r="P18" s="119">
        <v>1</v>
      </c>
      <c r="Q18" s="107">
        <v>-28.699999999999996</v>
      </c>
    </row>
    <row r="19" spans="1:17" x14ac:dyDescent="0.4">
      <c r="A19" s="55" t="s">
        <v>11</v>
      </c>
      <c r="B19" s="47">
        <v>20</v>
      </c>
      <c r="C19" s="39">
        <f>IF(B$17=0,0,B19/B$17)</f>
        <v>0.64516129032258063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-38.118181818181824</v>
      </c>
      <c r="P19" s="119">
        <v>11</v>
      </c>
      <c r="Q19" s="107">
        <v>-419.30000000000007</v>
      </c>
    </row>
    <row r="20" spans="1:17" x14ac:dyDescent="0.4">
      <c r="A20" s="55" t="s">
        <v>13</v>
      </c>
      <c r="B20" s="47">
        <v>32</v>
      </c>
      <c r="C20" s="39">
        <f>IF(B$3=0,0,B20/B$3)</f>
        <v>0.25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179</v>
      </c>
      <c r="O20" s="125">
        <f>IF(P20=0,0,Q20/P20)</f>
        <v>-84.699999999999989</v>
      </c>
      <c r="P20" s="119">
        <v>1</v>
      </c>
      <c r="Q20" s="107">
        <v>-84.699999999999989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</row>
    <row r="22" spans="1:17" x14ac:dyDescent="0.4">
      <c r="A22" s="55" t="s">
        <v>171</v>
      </c>
      <c r="B22" s="47">
        <v>8</v>
      </c>
      <c r="C22" s="135">
        <v>0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8000</v>
      </c>
      <c r="C23" s="41">
        <v>248000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-8203.125</v>
      </c>
      <c r="C24" s="45">
        <v>-262500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6">
        <v>3</v>
      </c>
      <c r="C25" s="147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53700</v>
      </c>
      <c r="C26" s="145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E1F6-F37C-4DF7-BE5A-7B9F86CAAD43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10</v>
      </c>
      <c r="C2" s="153"/>
      <c r="E2" s="62" t="s">
        <v>73</v>
      </c>
      <c r="F2" s="59" t="s">
        <v>28</v>
      </c>
      <c r="G2" s="46">
        <v>16</v>
      </c>
      <c r="H2" s="132">
        <f>IF(B$17=0,0,G2/B$17)</f>
        <v>0.88888888888888884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1700</v>
      </c>
      <c r="P2" s="118">
        <v>10</v>
      </c>
      <c r="Q2" s="102">
        <v>17000</v>
      </c>
    </row>
    <row r="3" spans="1:17" x14ac:dyDescent="0.4">
      <c r="A3" s="55" t="s">
        <v>8</v>
      </c>
      <c r="B3" s="154">
        <v>76</v>
      </c>
      <c r="C3" s="155"/>
      <c r="E3" s="63" t="s">
        <v>67</v>
      </c>
      <c r="F3" s="60" t="s">
        <v>23</v>
      </c>
      <c r="G3" s="47">
        <v>15</v>
      </c>
      <c r="H3" s="133">
        <f>IF(B$17=0,0,G3/B$17)</f>
        <v>0.83333333333333337</v>
      </c>
      <c r="I3" s="94">
        <v>4</v>
      </c>
      <c r="K3" s="38">
        <v>1</v>
      </c>
      <c r="L3" s="99">
        <v>-9.1</v>
      </c>
      <c r="N3" s="115" t="s">
        <v>132</v>
      </c>
      <c r="O3" s="122">
        <f t="shared" si="0"/>
        <v>300</v>
      </c>
      <c r="P3" s="119">
        <v>9</v>
      </c>
      <c r="Q3" s="103">
        <v>2700</v>
      </c>
    </row>
    <row r="4" spans="1:17" x14ac:dyDescent="0.4">
      <c r="A4" s="55" t="s">
        <v>6</v>
      </c>
      <c r="B4" s="156">
        <v>-113.29999999999998</v>
      </c>
      <c r="C4" s="157"/>
      <c r="E4" s="63" t="s">
        <v>90</v>
      </c>
      <c r="F4" s="60" t="s">
        <v>45</v>
      </c>
      <c r="G4" s="47">
        <v>9</v>
      </c>
      <c r="H4" s="133">
        <f>IF(B$17=0,0,G4/B$17)</f>
        <v>0.5</v>
      </c>
      <c r="I4" s="94">
        <v>1</v>
      </c>
      <c r="K4" s="38">
        <v>2</v>
      </c>
      <c r="L4" s="99">
        <v>-67.3</v>
      </c>
      <c r="N4" s="115" t="s">
        <v>133</v>
      </c>
      <c r="O4" s="122">
        <f t="shared" si="0"/>
        <v>-2750</v>
      </c>
      <c r="P4" s="119">
        <v>8</v>
      </c>
      <c r="Q4" s="103">
        <v>-22000</v>
      </c>
    </row>
    <row r="5" spans="1:17" x14ac:dyDescent="0.4">
      <c r="A5" s="55" t="s">
        <v>7</v>
      </c>
      <c r="B5" s="158">
        <f>IF(B$2=0,0,B$4/B$2)</f>
        <v>-11.329999999999998</v>
      </c>
      <c r="C5" s="159"/>
      <c r="E5" s="63" t="s">
        <v>68</v>
      </c>
      <c r="F5" s="60" t="s">
        <v>24</v>
      </c>
      <c r="G5" s="47">
        <v>7</v>
      </c>
      <c r="H5" s="133">
        <f>IF(B$17=0,0,G5/B$17)</f>
        <v>0.3888888888888889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375</v>
      </c>
      <c r="P5" s="119">
        <v>8</v>
      </c>
      <c r="Q5" s="103">
        <v>3000</v>
      </c>
    </row>
    <row r="6" spans="1:17" x14ac:dyDescent="0.4">
      <c r="A6" s="55" t="s">
        <v>1</v>
      </c>
      <c r="B6" s="148">
        <f>IF(B$2=0,0,(B$7*1+B$8*2+B$9*3)/B$2)</f>
        <v>2.2000000000000002</v>
      </c>
      <c r="C6" s="149"/>
      <c r="E6" s="63" t="s">
        <v>65</v>
      </c>
      <c r="F6" s="60" t="s">
        <v>21</v>
      </c>
      <c r="G6" s="47">
        <v>5</v>
      </c>
      <c r="H6" s="133">
        <f>IF(B$17=0,0,G6/B$17)</f>
        <v>0.27777777777777779</v>
      </c>
      <c r="I6" s="94">
        <v>10</v>
      </c>
      <c r="K6" s="38">
        <v>4</v>
      </c>
      <c r="L6" s="99">
        <v>-74.599999999999994</v>
      </c>
      <c r="N6" s="115" t="s">
        <v>135</v>
      </c>
      <c r="O6" s="122">
        <f t="shared" si="0"/>
        <v>-4100</v>
      </c>
      <c r="P6" s="119">
        <v>7</v>
      </c>
      <c r="Q6" s="103">
        <v>-28700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0.2</v>
      </c>
      <c r="E7" s="63" t="s">
        <v>69</v>
      </c>
      <c r="F7" s="60" t="s">
        <v>12</v>
      </c>
      <c r="G7" s="47">
        <v>4</v>
      </c>
      <c r="H7" s="133">
        <f>IF(B$17=0,0,G7/B$17)</f>
        <v>0.22222222222222221</v>
      </c>
      <c r="I7" s="94">
        <v>8</v>
      </c>
      <c r="K7" s="38">
        <v>5</v>
      </c>
      <c r="L7" s="99">
        <v>-118.3</v>
      </c>
      <c r="N7" s="116" t="s">
        <v>136</v>
      </c>
      <c r="O7" s="123">
        <f t="shared" si="0"/>
        <v>-13060</v>
      </c>
      <c r="P7" s="120">
        <v>5</v>
      </c>
      <c r="Q7" s="104">
        <v>-65300</v>
      </c>
    </row>
    <row r="8" spans="1:17" x14ac:dyDescent="0.4">
      <c r="A8" s="55" t="s">
        <v>3</v>
      </c>
      <c r="B8" s="47">
        <v>4</v>
      </c>
      <c r="C8" s="39">
        <f t="shared" si="1"/>
        <v>0.4</v>
      </c>
      <c r="E8" s="63" t="s">
        <v>84</v>
      </c>
      <c r="F8" s="60" t="s">
        <v>39</v>
      </c>
      <c r="G8" s="47">
        <v>2</v>
      </c>
      <c r="H8" s="133">
        <f>IF(B$17=0,0,G8/B$17)</f>
        <v>0.1111111111111111</v>
      </c>
      <c r="I8" s="94">
        <v>1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0.4</v>
      </c>
      <c r="E9" s="63" t="s">
        <v>172</v>
      </c>
      <c r="F9" s="60" t="s">
        <v>173</v>
      </c>
      <c r="G9" s="47">
        <v>2</v>
      </c>
      <c r="H9" s="133">
        <f>IF(B$17=0,0,G9/B$17)</f>
        <v>0.1111111111111111</v>
      </c>
      <c r="I9" s="94">
        <v>10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0.3</v>
      </c>
      <c r="E10" s="63" t="s">
        <v>66</v>
      </c>
      <c r="F10" s="60" t="s">
        <v>22</v>
      </c>
      <c r="G10" s="47">
        <v>1</v>
      </c>
      <c r="H10" s="133">
        <f>IF(B$17=0,0,G10/B$17)</f>
        <v>5.5555555555555552E-2</v>
      </c>
      <c r="I10" s="94">
        <v>9</v>
      </c>
      <c r="K10" s="38">
        <v>8</v>
      </c>
      <c r="L10" s="99">
        <v>-110.19999999999999</v>
      </c>
      <c r="N10" s="114" t="s">
        <v>163</v>
      </c>
      <c r="O10" s="124">
        <f>IF(P10=0,0,Q10/P10)</f>
        <v>14.600000000000001</v>
      </c>
      <c r="P10" s="118">
        <v>4</v>
      </c>
      <c r="Q10" s="106">
        <v>58.400000000000006</v>
      </c>
    </row>
    <row r="11" spans="1:17" x14ac:dyDescent="0.4">
      <c r="A11" s="56" t="s">
        <v>139</v>
      </c>
      <c r="B11" s="48">
        <v>2</v>
      </c>
      <c r="C11" s="40">
        <f t="shared" si="1"/>
        <v>0.2</v>
      </c>
      <c r="E11" s="63" t="s">
        <v>72</v>
      </c>
      <c r="F11" s="60" t="s">
        <v>27</v>
      </c>
      <c r="G11" s="47">
        <v>1</v>
      </c>
      <c r="H11" s="133">
        <f>IF(B$17=0,0,G11/B$17)</f>
        <v>5.5555555555555552E-2</v>
      </c>
      <c r="I11" s="94">
        <v>6</v>
      </c>
      <c r="K11" s="38">
        <v>9</v>
      </c>
      <c r="L11" s="99">
        <v>-120.99999999999999</v>
      </c>
      <c r="N11" s="115" t="s">
        <v>164</v>
      </c>
      <c r="O11" s="125">
        <f>IF(P11=0,0,Q11/P11)</f>
        <v>-21.200000000000003</v>
      </c>
      <c r="P11" s="119">
        <v>3</v>
      </c>
      <c r="Q11" s="107">
        <v>-63.600000000000009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82</v>
      </c>
      <c r="F12" s="60" t="s">
        <v>37</v>
      </c>
      <c r="G12" s="47">
        <v>1</v>
      </c>
      <c r="H12" s="133">
        <f>IF(B$17=0,0,G12/B$17)</f>
        <v>5.5555555555555552E-2</v>
      </c>
      <c r="I12" s="94">
        <v>1</v>
      </c>
      <c r="K12" s="38">
        <v>10</v>
      </c>
      <c r="L12" s="99">
        <v>-113.29999999999998</v>
      </c>
      <c r="N12" s="116" t="s">
        <v>165</v>
      </c>
      <c r="O12" s="126">
        <f>IF(P12=0,0,Q12/P12)</f>
        <v>-36.033333333333331</v>
      </c>
      <c r="P12" s="120">
        <v>3</v>
      </c>
      <c r="Q12" s="108">
        <v>-108.1</v>
      </c>
    </row>
    <row r="13" spans="1:17" x14ac:dyDescent="0.4">
      <c r="A13" s="58" t="s">
        <v>122</v>
      </c>
      <c r="B13" s="50">
        <v>15</v>
      </c>
      <c r="C13" s="44">
        <f>IF(B$3=0,0,B13/B$3)</f>
        <v>0.19736842105263158</v>
      </c>
      <c r="E13" s="63" t="s">
        <v>92</v>
      </c>
      <c r="F13" s="60" t="s">
        <v>47</v>
      </c>
      <c r="G13" s="47">
        <v>1</v>
      </c>
      <c r="H13" s="133">
        <f>IF(B$17=0,0,G13/B$17)</f>
        <v>5.5555555555555552E-2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0.28947368421052633</v>
      </c>
      <c r="E14" s="63" t="s">
        <v>93</v>
      </c>
      <c r="F14" s="60" t="s">
        <v>48</v>
      </c>
      <c r="G14" s="47">
        <v>1</v>
      </c>
      <c r="H14" s="133">
        <f>IF(B$17=0,0,G14/B$17)</f>
        <v>5.5555555555555552E-2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0.33333333333333331</v>
      </c>
      <c r="E15" s="63" t="s">
        <v>70</v>
      </c>
      <c r="F15" s="60" t="s">
        <v>25</v>
      </c>
      <c r="G15" s="47">
        <v>0</v>
      </c>
      <c r="H15" s="133">
        <f>IF(B$17=0,0,G15/B$17)</f>
        <v>0</v>
      </c>
      <c r="I15" s="94">
        <v>8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10</v>
      </c>
      <c r="C16" s="37">
        <f>IF(B$14=0,0,B16/B$14)</f>
        <v>0.45454545454545453</v>
      </c>
      <c r="E16" s="63" t="s">
        <v>71</v>
      </c>
      <c r="F16" s="60" t="s">
        <v>26</v>
      </c>
      <c r="G16" s="47">
        <v>0</v>
      </c>
      <c r="H16" s="133">
        <f>IF(B$17=0,0,G16/B$17)</f>
        <v>0</v>
      </c>
      <c r="I16" s="94">
        <v>10</v>
      </c>
      <c r="N16" s="115" t="s">
        <v>127</v>
      </c>
      <c r="O16" s="125">
        <f>IF(P16=0,0,Q16/P16)</f>
        <v>22.15</v>
      </c>
      <c r="P16" s="119">
        <v>4</v>
      </c>
      <c r="Q16" s="107">
        <v>88.6</v>
      </c>
    </row>
    <row r="17" spans="1:17" x14ac:dyDescent="0.4">
      <c r="A17" s="54" t="s">
        <v>10</v>
      </c>
      <c r="B17" s="46">
        <f>B19+B18</f>
        <v>18</v>
      </c>
      <c r="C17" s="37">
        <f>IF(B$3=0,0,B17/B$3)</f>
        <v>0.23684210526315788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179</v>
      </c>
      <c r="O17" s="125">
        <f>IF(P17=0,0,Q17/P17)</f>
        <v>4.1800000000000006</v>
      </c>
      <c r="P17" s="119">
        <v>5</v>
      </c>
      <c r="Q17" s="107">
        <v>20.900000000000002</v>
      </c>
    </row>
    <row r="18" spans="1:17" x14ac:dyDescent="0.4">
      <c r="A18" s="55" t="s">
        <v>12</v>
      </c>
      <c r="B18" s="47">
        <v>6</v>
      </c>
      <c r="C18" s="39">
        <f>IF(B$17=0,0,B18/B$17)</f>
        <v>0.33333333333333331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-27.333333333333332</v>
      </c>
      <c r="P18" s="119">
        <v>6</v>
      </c>
      <c r="Q18" s="107">
        <v>-164</v>
      </c>
    </row>
    <row r="19" spans="1:17" x14ac:dyDescent="0.4">
      <c r="A19" s="55" t="s">
        <v>11</v>
      </c>
      <c r="B19" s="47">
        <v>12</v>
      </c>
      <c r="C19" s="39">
        <f>IF(B$17=0,0,B19/B$17)</f>
        <v>0.66666666666666663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183</v>
      </c>
      <c r="O19" s="125">
        <f>IF(P19=0,0,Q19/P19)</f>
        <v>-49.85</v>
      </c>
      <c r="P19" s="119">
        <v>2</v>
      </c>
      <c r="Q19" s="107">
        <v>-99.7</v>
      </c>
    </row>
    <row r="20" spans="1:17" x14ac:dyDescent="0.4">
      <c r="A20" s="55" t="s">
        <v>13</v>
      </c>
      <c r="B20" s="47">
        <v>17</v>
      </c>
      <c r="C20" s="39">
        <f>IF(B$3=0,0,B20/B$3)</f>
        <v>0.22368421052631579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182</v>
      </c>
      <c r="O20" s="125">
        <f>IF(P20=0,0,Q20/P20)</f>
        <v>-107.2</v>
      </c>
      <c r="P20" s="119">
        <v>2</v>
      </c>
      <c r="Q20" s="107">
        <v>-214.4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</row>
    <row r="22" spans="1:17" x14ac:dyDescent="0.4">
      <c r="A22" s="55" t="s">
        <v>171</v>
      </c>
      <c r="B22" s="47">
        <v>14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12288.888888888889</v>
      </c>
      <c r="C23" s="41">
        <v>221200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-11082.35294117647</v>
      </c>
      <c r="C24" s="45">
        <v>-188400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6">
        <v>8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83000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87</v>
      </c>
      <c r="F28" s="60" t="s">
        <v>42</v>
      </c>
      <c r="G28" s="47">
        <v>0</v>
      </c>
      <c r="H28" s="133">
        <f>IF(B$17=0,0,G28/B$17)</f>
        <v>0</v>
      </c>
      <c r="I28" s="94">
        <v>8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29A9-3C62-4631-A441-71BE338F04F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179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8</v>
      </c>
      <c r="C2" s="153"/>
      <c r="E2" s="62" t="s">
        <v>73</v>
      </c>
      <c r="F2" s="59" t="s">
        <v>28</v>
      </c>
      <c r="G2" s="46">
        <v>15</v>
      </c>
      <c r="H2" s="132">
        <f>IF(B$17=0,0,G2/B$17)</f>
        <v>0.83333333333333337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-3000</v>
      </c>
      <c r="P2" s="118">
        <v>8</v>
      </c>
      <c r="Q2" s="102">
        <v>-24000</v>
      </c>
    </row>
    <row r="3" spans="1:17" x14ac:dyDescent="0.4">
      <c r="A3" s="55" t="s">
        <v>8</v>
      </c>
      <c r="B3" s="154">
        <v>73</v>
      </c>
      <c r="C3" s="155"/>
      <c r="E3" s="63" t="s">
        <v>67</v>
      </c>
      <c r="F3" s="60" t="s">
        <v>23</v>
      </c>
      <c r="G3" s="47">
        <v>11</v>
      </c>
      <c r="H3" s="133">
        <f>IF(B$17=0,0,G3/B$17)</f>
        <v>0.61111111111111116</v>
      </c>
      <c r="I3" s="94">
        <v>8</v>
      </c>
      <c r="K3" s="38">
        <v>1</v>
      </c>
      <c r="L3" s="99">
        <v>46.9</v>
      </c>
      <c r="N3" s="115" t="s">
        <v>132</v>
      </c>
      <c r="O3" s="122">
        <f t="shared" si="0"/>
        <v>-1575</v>
      </c>
      <c r="P3" s="119">
        <v>8</v>
      </c>
      <c r="Q3" s="103">
        <v>-12600</v>
      </c>
    </row>
    <row r="4" spans="1:17" x14ac:dyDescent="0.4">
      <c r="A4" s="55" t="s">
        <v>6</v>
      </c>
      <c r="B4" s="156">
        <v>-46.7</v>
      </c>
      <c r="C4" s="157"/>
      <c r="E4" s="63" t="s">
        <v>65</v>
      </c>
      <c r="F4" s="60" t="s">
        <v>21</v>
      </c>
      <c r="G4" s="47">
        <v>8</v>
      </c>
      <c r="H4" s="133">
        <f>IF(B$17=0,0,G4/B$17)</f>
        <v>0.44444444444444442</v>
      </c>
      <c r="I4" s="94">
        <v>6</v>
      </c>
      <c r="K4" s="38">
        <v>2</v>
      </c>
      <c r="L4" s="99">
        <v>8.1000000000000014</v>
      </c>
      <c r="N4" s="115" t="s">
        <v>133</v>
      </c>
      <c r="O4" s="122">
        <f t="shared" si="0"/>
        <v>1314.2857142857142</v>
      </c>
      <c r="P4" s="119">
        <v>7</v>
      </c>
      <c r="Q4" s="103">
        <v>9200</v>
      </c>
    </row>
    <row r="5" spans="1:17" x14ac:dyDescent="0.4">
      <c r="A5" s="55" t="s">
        <v>7</v>
      </c>
      <c r="B5" s="158">
        <f>IF(B$2=0,0,B$4/B$2)</f>
        <v>-5.8375000000000004</v>
      </c>
      <c r="C5" s="159"/>
      <c r="E5" s="63" t="s">
        <v>172</v>
      </c>
      <c r="F5" s="60" t="s">
        <v>173</v>
      </c>
      <c r="G5" s="47">
        <v>5</v>
      </c>
      <c r="H5" s="133">
        <f>IF(B$17=0,0,G5/B$17)</f>
        <v>0.27777777777777779</v>
      </c>
      <c r="I5" s="94">
        <v>8</v>
      </c>
      <c r="K5" s="38">
        <v>3</v>
      </c>
      <c r="L5" s="99">
        <v>-37</v>
      </c>
      <c r="N5" s="115" t="s">
        <v>134</v>
      </c>
      <c r="O5" s="122">
        <f t="shared" si="0"/>
        <v>528.57142857142856</v>
      </c>
      <c r="P5" s="119">
        <v>7</v>
      </c>
      <c r="Q5" s="103">
        <v>3700</v>
      </c>
    </row>
    <row r="6" spans="1:17" x14ac:dyDescent="0.4">
      <c r="A6" s="55" t="s">
        <v>1</v>
      </c>
      <c r="B6" s="148">
        <f>IF(B$2=0,0,(B$7*1+B$8*2+B$9*3)/B$2)</f>
        <v>2.25</v>
      </c>
      <c r="C6" s="149"/>
      <c r="E6" s="63" t="s">
        <v>68</v>
      </c>
      <c r="F6" s="60" t="s">
        <v>24</v>
      </c>
      <c r="G6" s="47">
        <v>4</v>
      </c>
      <c r="H6" s="133">
        <f>IF(B$17=0,0,G6/B$17)</f>
        <v>0.22222222222222221</v>
      </c>
      <c r="I6" s="94">
        <v>9</v>
      </c>
      <c r="K6" s="38">
        <v>4</v>
      </c>
      <c r="L6" s="99">
        <v>-19.3</v>
      </c>
      <c r="N6" s="115" t="s">
        <v>135</v>
      </c>
      <c r="O6" s="122">
        <f t="shared" si="0"/>
        <v>-4250</v>
      </c>
      <c r="P6" s="119">
        <v>4</v>
      </c>
      <c r="Q6" s="103">
        <v>-17000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0.25</v>
      </c>
      <c r="E7" s="63" t="s">
        <v>69</v>
      </c>
      <c r="F7" s="60" t="s">
        <v>12</v>
      </c>
      <c r="G7" s="47">
        <v>4</v>
      </c>
      <c r="H7" s="133">
        <f>IF(B$17=0,0,G7/B$17)</f>
        <v>0.22222222222222221</v>
      </c>
      <c r="I7" s="94">
        <v>8</v>
      </c>
      <c r="K7" s="38">
        <v>5</v>
      </c>
      <c r="L7" s="99">
        <v>-1.6000000000000014</v>
      </c>
      <c r="N7" s="116" t="s">
        <v>136</v>
      </c>
      <c r="O7" s="123">
        <f t="shared" si="0"/>
        <v>4666.666666666667</v>
      </c>
      <c r="P7" s="120">
        <v>3</v>
      </c>
      <c r="Q7" s="104">
        <v>14000</v>
      </c>
    </row>
    <row r="8" spans="1:17" x14ac:dyDescent="0.4">
      <c r="A8" s="55" t="s">
        <v>3</v>
      </c>
      <c r="B8" s="47">
        <v>2</v>
      </c>
      <c r="C8" s="39">
        <f t="shared" si="1"/>
        <v>0.25</v>
      </c>
      <c r="E8" s="63" t="s">
        <v>79</v>
      </c>
      <c r="F8" s="60" t="s">
        <v>34</v>
      </c>
      <c r="G8" s="47">
        <v>2</v>
      </c>
      <c r="H8" s="133">
        <f>IF(B$17=0,0,G8/B$17)</f>
        <v>0.1111111111111111</v>
      </c>
      <c r="I8" s="94">
        <v>2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0.5</v>
      </c>
      <c r="E9" s="63" t="s">
        <v>80</v>
      </c>
      <c r="F9" s="60" t="s">
        <v>35</v>
      </c>
      <c r="G9" s="47">
        <v>2</v>
      </c>
      <c r="H9" s="133">
        <f>IF(B$17=0,0,G9/B$17)</f>
        <v>0.1111111111111111</v>
      </c>
      <c r="I9" s="94">
        <v>1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0.25</v>
      </c>
      <c r="E10" s="63" t="s">
        <v>84</v>
      </c>
      <c r="F10" s="60" t="s">
        <v>39</v>
      </c>
      <c r="G10" s="47">
        <v>2</v>
      </c>
      <c r="H10" s="133">
        <f>IF(B$17=0,0,G10/B$17)</f>
        <v>0.1111111111111111</v>
      </c>
      <c r="I10" s="94">
        <v>1</v>
      </c>
      <c r="K10" s="38">
        <v>8</v>
      </c>
      <c r="L10" s="99">
        <v>-46.7</v>
      </c>
      <c r="N10" s="114" t="s">
        <v>163</v>
      </c>
      <c r="O10" s="124">
        <f>IF(P10=0,0,Q10/P10)</f>
        <v>22.266666666666666</v>
      </c>
      <c r="P10" s="118">
        <v>3</v>
      </c>
      <c r="Q10" s="106">
        <v>66.8</v>
      </c>
    </row>
    <row r="11" spans="1:17" x14ac:dyDescent="0.4">
      <c r="A11" s="56" t="s">
        <v>139</v>
      </c>
      <c r="B11" s="48">
        <v>1</v>
      </c>
      <c r="C11" s="40">
        <f t="shared" si="1"/>
        <v>0.125</v>
      </c>
      <c r="E11" s="63" t="s">
        <v>87</v>
      </c>
      <c r="F11" s="60" t="s">
        <v>42</v>
      </c>
      <c r="G11" s="47">
        <v>2</v>
      </c>
      <c r="H11" s="133">
        <f>IF(B$17=0,0,G11/B$17)</f>
        <v>0.1111111111111111</v>
      </c>
      <c r="I11" s="94">
        <v>1</v>
      </c>
      <c r="N11" s="115" t="s">
        <v>164</v>
      </c>
      <c r="O11" s="125">
        <f>IF(P11=0,0,Q11/P11)</f>
        <v>-37.75</v>
      </c>
      <c r="P11" s="119">
        <v>2</v>
      </c>
      <c r="Q11" s="107">
        <v>-75.5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90</v>
      </c>
      <c r="F12" s="60" t="s">
        <v>45</v>
      </c>
      <c r="G12" s="47">
        <v>2</v>
      </c>
      <c r="H12" s="133">
        <f>IF(B$17=0,0,G12/B$17)</f>
        <v>0.1111111111111111</v>
      </c>
      <c r="I12" s="94">
        <v>5</v>
      </c>
      <c r="N12" s="116" t="s">
        <v>165</v>
      </c>
      <c r="O12" s="126">
        <f>IF(P12=0,0,Q12/P12)</f>
        <v>-12.666666666666666</v>
      </c>
      <c r="P12" s="120">
        <v>3</v>
      </c>
      <c r="Q12" s="108">
        <v>-38</v>
      </c>
    </row>
    <row r="13" spans="1:17" x14ac:dyDescent="0.4">
      <c r="A13" s="58" t="s">
        <v>122</v>
      </c>
      <c r="B13" s="50">
        <v>13</v>
      </c>
      <c r="C13" s="44">
        <f>IF(B$3=0,0,B13/B$3)</f>
        <v>0.17808219178082191</v>
      </c>
      <c r="E13" s="63" t="s">
        <v>66</v>
      </c>
      <c r="F13" s="60" t="s">
        <v>22</v>
      </c>
      <c r="G13" s="47">
        <v>1</v>
      </c>
      <c r="H13" s="133">
        <f>IF(B$17=0,0,G13/B$17)</f>
        <v>5.5555555555555552E-2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0.17808219178082191</v>
      </c>
      <c r="E14" s="63" t="s">
        <v>70</v>
      </c>
      <c r="F14" s="60" t="s">
        <v>25</v>
      </c>
      <c r="G14" s="47">
        <v>1</v>
      </c>
      <c r="H14" s="133">
        <f>IF(B$17=0,0,G14/B$17)</f>
        <v>5.5555555555555552E-2</v>
      </c>
      <c r="I14" s="94">
        <v>7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8</v>
      </c>
      <c r="C15" s="37">
        <f>IF(B$13=0,0,B15/B$13)</f>
        <v>0.61538461538461542</v>
      </c>
      <c r="E15" s="63" t="s">
        <v>71</v>
      </c>
      <c r="F15" s="60" t="s">
        <v>26</v>
      </c>
      <c r="G15" s="47">
        <v>1</v>
      </c>
      <c r="H15" s="133">
        <f>IF(B$17=0,0,G15/B$17)</f>
        <v>5.5555555555555552E-2</v>
      </c>
      <c r="I15" s="94">
        <v>8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7</v>
      </c>
      <c r="C16" s="37">
        <f>IF(B$14=0,0,B16/B$14)</f>
        <v>0.53846153846153844</v>
      </c>
      <c r="E16" s="63" t="s">
        <v>72</v>
      </c>
      <c r="F16" s="60" t="s">
        <v>27</v>
      </c>
      <c r="G16" s="47">
        <v>1</v>
      </c>
      <c r="H16" s="133">
        <f>IF(B$17=0,0,G16/B$17)</f>
        <v>5.5555555555555552E-2</v>
      </c>
      <c r="I16" s="94">
        <v>6</v>
      </c>
      <c r="N16" s="115" t="s">
        <v>196</v>
      </c>
      <c r="O16" s="125">
        <f>IF(P16=0,0,Q16/P16)</f>
        <v>64.2</v>
      </c>
      <c r="P16" s="119">
        <v>2</v>
      </c>
      <c r="Q16" s="107">
        <v>128.4</v>
      </c>
    </row>
    <row r="17" spans="1:17" x14ac:dyDescent="0.4">
      <c r="A17" s="54" t="s">
        <v>10</v>
      </c>
      <c r="B17" s="46">
        <f>B19+B18</f>
        <v>18</v>
      </c>
      <c r="C17" s="37">
        <f>IF(B$3=0,0,B17/B$3)</f>
        <v>0.24657534246575341</v>
      </c>
      <c r="E17" s="63" t="s">
        <v>86</v>
      </c>
      <c r="F17" s="60" t="s">
        <v>41</v>
      </c>
      <c r="G17" s="47">
        <v>1</v>
      </c>
      <c r="H17" s="133">
        <f>IF(B$17=0,0,G17/B$17)</f>
        <v>5.5555555555555552E-2</v>
      </c>
      <c r="I17" s="94">
        <v>1</v>
      </c>
      <c r="N17" s="115" t="s">
        <v>178</v>
      </c>
      <c r="O17" s="125">
        <f>IF(P17=0,0,Q17/P17)</f>
        <v>-4.1800000000000015</v>
      </c>
      <c r="P17" s="119">
        <v>5</v>
      </c>
      <c r="Q17" s="107">
        <v>-20.900000000000006</v>
      </c>
    </row>
    <row r="18" spans="1:17" x14ac:dyDescent="0.4">
      <c r="A18" s="55" t="s">
        <v>12</v>
      </c>
      <c r="B18" s="47">
        <v>6</v>
      </c>
      <c r="C18" s="39">
        <f>IF(B$17=0,0,B18/B$17)</f>
        <v>0.33333333333333331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167</v>
      </c>
      <c r="O18" s="125">
        <f>IF(P18=0,0,Q18/P18)</f>
        <v>-16.399999999999999</v>
      </c>
      <c r="P18" s="119">
        <v>1</v>
      </c>
      <c r="Q18" s="107">
        <v>-16.399999999999999</v>
      </c>
    </row>
    <row r="19" spans="1:17" x14ac:dyDescent="0.4">
      <c r="A19" s="55" t="s">
        <v>11</v>
      </c>
      <c r="B19" s="47">
        <v>12</v>
      </c>
      <c r="C19" s="39">
        <f>IF(B$17=0,0,B19/B$17)</f>
        <v>0.66666666666666663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  <c r="N19" s="115" t="s">
        <v>128</v>
      </c>
      <c r="O19" s="125">
        <f>IF(P19=0,0,Q19/P19)</f>
        <v>-32.980000000000004</v>
      </c>
      <c r="P19" s="119">
        <v>5</v>
      </c>
      <c r="Q19" s="107">
        <v>-164.9</v>
      </c>
    </row>
    <row r="20" spans="1:17" x14ac:dyDescent="0.4">
      <c r="A20" s="55" t="s">
        <v>13</v>
      </c>
      <c r="B20" s="47">
        <v>10</v>
      </c>
      <c r="C20" s="39">
        <f>IF(B$3=0,0,B20/B$3)</f>
        <v>0.13698630136986301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N20" s="115" t="s">
        <v>127</v>
      </c>
      <c r="O20" s="125">
        <f>IF(P20=0,0,Q20/P20)</f>
        <v>-75.5</v>
      </c>
      <c r="P20" s="119">
        <v>2</v>
      </c>
      <c r="Q20" s="107">
        <v>-151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15</v>
      </c>
      <c r="C22" s="135">
        <v>2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8544.4444444444453</v>
      </c>
      <c r="C23" s="41">
        <v>153800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-6370</v>
      </c>
      <c r="C24" s="45">
        <v>-63700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8</v>
      </c>
    </row>
    <row r="25" spans="1:17" x14ac:dyDescent="0.4">
      <c r="A25" s="90" t="s">
        <v>141</v>
      </c>
      <c r="B25" s="146">
        <v>3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71900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CD9DB-615D-40D9-BF44-9A36D24B2C3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4</v>
      </c>
      <c r="C2" s="153"/>
      <c r="E2" s="62" t="s">
        <v>68</v>
      </c>
      <c r="F2" s="59" t="s">
        <v>24</v>
      </c>
      <c r="G2" s="46">
        <v>8</v>
      </c>
      <c r="H2" s="132">
        <f>IF(B$17=0,0,G2/B$17)</f>
        <v>1.1428571428571428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75</v>
      </c>
      <c r="P2" s="118">
        <v>4</v>
      </c>
      <c r="Q2" s="102">
        <v>300</v>
      </c>
    </row>
    <row r="3" spans="1:17" x14ac:dyDescent="0.4">
      <c r="A3" s="55" t="s">
        <v>8</v>
      </c>
      <c r="B3" s="154">
        <v>37</v>
      </c>
      <c r="C3" s="155"/>
      <c r="E3" s="63" t="s">
        <v>65</v>
      </c>
      <c r="F3" s="60" t="s">
        <v>21</v>
      </c>
      <c r="G3" s="47">
        <v>6</v>
      </c>
      <c r="H3" s="133">
        <f>IF(B$17=0,0,G3/B$17)</f>
        <v>0.8571428571428571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-6400</v>
      </c>
      <c r="P3" s="119">
        <v>4</v>
      </c>
      <c r="Q3" s="103">
        <v>-25600</v>
      </c>
    </row>
    <row r="4" spans="1:17" x14ac:dyDescent="0.4">
      <c r="A4" s="55" t="s">
        <v>6</v>
      </c>
      <c r="B4" s="156">
        <v>-80.5</v>
      </c>
      <c r="C4" s="157"/>
      <c r="E4" s="63" t="s">
        <v>73</v>
      </c>
      <c r="F4" s="60" t="s">
        <v>28</v>
      </c>
      <c r="G4" s="47">
        <v>4</v>
      </c>
      <c r="H4" s="133">
        <f>IF(B$17=0,0,G4/B$17)</f>
        <v>0.5714285714285714</v>
      </c>
      <c r="I4" s="94">
        <v>5</v>
      </c>
      <c r="K4" s="38">
        <v>2</v>
      </c>
      <c r="L4" s="99">
        <v>-40.6</v>
      </c>
      <c r="N4" s="115" t="s">
        <v>133</v>
      </c>
      <c r="O4" s="122">
        <f t="shared" si="0"/>
        <v>-5700</v>
      </c>
      <c r="P4" s="119">
        <v>4</v>
      </c>
      <c r="Q4" s="103">
        <v>-22800</v>
      </c>
    </row>
    <row r="5" spans="1:17" x14ac:dyDescent="0.4">
      <c r="A5" s="55" t="s">
        <v>7</v>
      </c>
      <c r="B5" s="158">
        <f>IF(B$2=0,0,B$4/B$2)</f>
        <v>-20.125</v>
      </c>
      <c r="C5" s="159"/>
      <c r="E5" s="63" t="s">
        <v>69</v>
      </c>
      <c r="F5" s="60" t="s">
        <v>12</v>
      </c>
      <c r="G5" s="47">
        <v>3</v>
      </c>
      <c r="H5" s="133">
        <f>IF(B$17=0,0,G5/B$17)</f>
        <v>0.42857142857142855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-1625</v>
      </c>
      <c r="P5" s="119">
        <v>4</v>
      </c>
      <c r="Q5" s="103">
        <v>-6500</v>
      </c>
    </row>
    <row r="6" spans="1:17" x14ac:dyDescent="0.4">
      <c r="A6" s="55" t="s">
        <v>1</v>
      </c>
      <c r="B6" s="148">
        <f>IF(B$2=0,0,(B$7*1+B$8*2+B$9*3)/B$2)</f>
        <v>2.5</v>
      </c>
      <c r="C6" s="149"/>
      <c r="E6" s="63" t="s">
        <v>172</v>
      </c>
      <c r="F6" s="60" t="s">
        <v>173</v>
      </c>
      <c r="G6" s="47">
        <v>3</v>
      </c>
      <c r="H6" s="133">
        <f>IF(B$17=0,0,G6/B$17)</f>
        <v>0.42857142857142855</v>
      </c>
      <c r="I6" s="94">
        <v>4</v>
      </c>
      <c r="K6" s="38">
        <v>4</v>
      </c>
      <c r="L6" s="99">
        <v>-80.5</v>
      </c>
      <c r="N6" s="115" t="s">
        <v>135</v>
      </c>
      <c r="O6" s="122">
        <f t="shared" si="0"/>
        <v>400</v>
      </c>
      <c r="P6" s="119">
        <v>4</v>
      </c>
      <c r="Q6" s="103">
        <v>1600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66</v>
      </c>
      <c r="F7" s="60" t="s">
        <v>22</v>
      </c>
      <c r="G7" s="47">
        <v>2</v>
      </c>
      <c r="H7" s="133">
        <f>IF(B$17=0,0,G7/B$17)</f>
        <v>0.2857142857142857</v>
      </c>
      <c r="I7" s="94">
        <v>1</v>
      </c>
      <c r="N7" s="116" t="s">
        <v>136</v>
      </c>
      <c r="O7" s="123">
        <f t="shared" si="0"/>
        <v>-3750</v>
      </c>
      <c r="P7" s="120">
        <v>2</v>
      </c>
      <c r="Q7" s="104">
        <v>-7500</v>
      </c>
    </row>
    <row r="8" spans="1:17" x14ac:dyDescent="0.4">
      <c r="A8" s="55" t="s">
        <v>3</v>
      </c>
      <c r="B8" s="47">
        <v>2</v>
      </c>
      <c r="C8" s="39">
        <f t="shared" si="1"/>
        <v>0.5</v>
      </c>
      <c r="E8" s="63" t="s">
        <v>67</v>
      </c>
      <c r="F8" s="60" t="s">
        <v>23</v>
      </c>
      <c r="G8" s="47">
        <v>2</v>
      </c>
      <c r="H8" s="133">
        <f>IF(B$17=0,0,G8/B$17)</f>
        <v>0.2857142857142857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71</v>
      </c>
      <c r="F9" s="60" t="s">
        <v>26</v>
      </c>
      <c r="G9" s="47">
        <v>1</v>
      </c>
      <c r="H9" s="133">
        <f>IF(B$17=0,0,G9/B$17)</f>
        <v>0.14285714285714285</v>
      </c>
      <c r="I9" s="94">
        <v>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0.25</v>
      </c>
      <c r="E10" s="63" t="s">
        <v>79</v>
      </c>
      <c r="F10" s="60" t="s">
        <v>34</v>
      </c>
      <c r="G10" s="47">
        <v>1</v>
      </c>
      <c r="H10" s="133">
        <f>IF(B$17=0,0,G10/B$17)</f>
        <v>0.14285714285714285</v>
      </c>
      <c r="I10" s="94">
        <v>1</v>
      </c>
      <c r="N10" s="114" t="s">
        <v>163</v>
      </c>
      <c r="O10" s="124">
        <f>IF(P10=0,0,Q10/P10)</f>
        <v>-29.45</v>
      </c>
      <c r="P10" s="118">
        <v>2</v>
      </c>
      <c r="Q10" s="106">
        <v>-58.9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8</v>
      </c>
      <c r="N11" s="115" t="s">
        <v>164</v>
      </c>
      <c r="O11" s="125">
        <f>IF(P11=0,0,Q11/P11)</f>
        <v>7</v>
      </c>
      <c r="P11" s="119">
        <v>1</v>
      </c>
      <c r="Q11" s="107">
        <v>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0</v>
      </c>
      <c r="H12" s="133">
        <f>IF(B$17=0,0,G12/B$17)</f>
        <v>0</v>
      </c>
      <c r="I12" s="94">
        <v>9</v>
      </c>
      <c r="N12" s="116" t="s">
        <v>165</v>
      </c>
      <c r="O12" s="126">
        <f>IF(P12=0,0,Q12/P12)</f>
        <v>-28.6</v>
      </c>
      <c r="P12" s="120">
        <v>1</v>
      </c>
      <c r="Q12" s="108">
        <v>-28.6</v>
      </c>
    </row>
    <row r="13" spans="1:17" x14ac:dyDescent="0.4">
      <c r="A13" s="58" t="s">
        <v>122</v>
      </c>
      <c r="B13" s="50">
        <v>10</v>
      </c>
      <c r="C13" s="44">
        <f>IF(B$3=0,0,B13/B$3)</f>
        <v>0.27027027027027029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</v>
      </c>
      <c r="C14" s="39">
        <f>IF(B$3=0,0,B14/B$3)</f>
        <v>0.24324324324324326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</v>
      </c>
      <c r="C15" s="37">
        <f>IF(B$13=0,0,B15/B$13)</f>
        <v>0.6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49.85</v>
      </c>
      <c r="P15" s="118">
        <v>2</v>
      </c>
      <c r="Q15" s="106">
        <v>99.7</v>
      </c>
    </row>
    <row r="16" spans="1:17" x14ac:dyDescent="0.4">
      <c r="A16" s="54" t="s">
        <v>125</v>
      </c>
      <c r="B16" s="46">
        <v>1</v>
      </c>
      <c r="C16" s="37">
        <f>IF(B$14=0,0,B16/B$14)</f>
        <v>0.1111111111111111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182</v>
      </c>
      <c r="O16" s="125">
        <f>IF(P16=0,0,Q16/P16)</f>
        <v>-52.525000000000006</v>
      </c>
      <c r="P16" s="119">
        <v>4</v>
      </c>
      <c r="Q16" s="107">
        <v>-210.10000000000002</v>
      </c>
    </row>
    <row r="17" spans="1:17" x14ac:dyDescent="0.4">
      <c r="A17" s="54" t="s">
        <v>10</v>
      </c>
      <c r="B17" s="46">
        <f>B19+B18</f>
        <v>7</v>
      </c>
      <c r="C17" s="37">
        <f>IF(B$3=0,0,B17/B$3)</f>
        <v>0.1891891891891892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4</v>
      </c>
      <c r="N17" s="115" t="s">
        <v>196</v>
      </c>
      <c r="O17" s="125">
        <f>IF(P17=0,0,Q17/P17)</f>
        <v>-65.55</v>
      </c>
      <c r="P17" s="119">
        <v>2</v>
      </c>
      <c r="Q17" s="107">
        <v>-131.1</v>
      </c>
    </row>
    <row r="18" spans="1:17" x14ac:dyDescent="0.4">
      <c r="A18" s="55" t="s">
        <v>12</v>
      </c>
      <c r="B18" s="47">
        <v>4</v>
      </c>
      <c r="C18" s="39">
        <f>IF(B$17=0,0,B18/B$17)</f>
        <v>0.5714285714285714</v>
      </c>
      <c r="E18" s="63" t="s">
        <v>80</v>
      </c>
      <c r="F18" s="60" t="s">
        <v>35</v>
      </c>
      <c r="G18" s="47">
        <v>0</v>
      </c>
      <c r="H18" s="133">
        <f>IF(B$17=0,0,G18/B$17)</f>
        <v>0</v>
      </c>
      <c r="I18" s="94">
        <v>5</v>
      </c>
    </row>
    <row r="19" spans="1:17" x14ac:dyDescent="0.4">
      <c r="A19" s="55" t="s">
        <v>11</v>
      </c>
      <c r="B19" s="47">
        <v>3</v>
      </c>
      <c r="C19" s="39">
        <f>IF(B$17=0,0,B19/B$17)</f>
        <v>0.42857142857142855</v>
      </c>
      <c r="E19" s="63" t="s">
        <v>81</v>
      </c>
      <c r="F19" s="60" t="s">
        <v>36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9</v>
      </c>
      <c r="C20" s="39">
        <f>IF(B$3=0,0,B20/B$3)</f>
        <v>0.24324324324324326</v>
      </c>
      <c r="E20" s="63" t="s">
        <v>82</v>
      </c>
      <c r="F20" s="60" t="s">
        <v>37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11</v>
      </c>
      <c r="C22" s="135">
        <v>0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8</v>
      </c>
    </row>
    <row r="23" spans="1:17" x14ac:dyDescent="0.4">
      <c r="A23" s="55" t="s">
        <v>5</v>
      </c>
      <c r="B23" s="51">
        <f>IF(B$17=0,0,C23/B$17)</f>
        <v>9028.5714285714294</v>
      </c>
      <c r="C23" s="41">
        <v>63200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-8566.6666666666661</v>
      </c>
      <c r="C24" s="45">
        <v>-77100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6">
        <v>4</v>
      </c>
      <c r="C25" s="147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8</v>
      </c>
    </row>
    <row r="26" spans="1:17" x14ac:dyDescent="0.4">
      <c r="A26" s="58" t="s">
        <v>151</v>
      </c>
      <c r="B26" s="144">
        <v>42000</v>
      </c>
      <c r="C26" s="145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10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471A-0CF4-40E3-AFDD-127B55705D3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182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7</v>
      </c>
      <c r="C2" s="153"/>
      <c r="E2" s="62" t="s">
        <v>67</v>
      </c>
      <c r="F2" s="59" t="s">
        <v>23</v>
      </c>
      <c r="G2" s="46">
        <v>24</v>
      </c>
      <c r="H2" s="132">
        <f>IF(B$17=0,0,G2/B$17)</f>
        <v>1.0909090909090908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-2700</v>
      </c>
      <c r="P2" s="118">
        <v>7</v>
      </c>
      <c r="Q2" s="102">
        <v>-18900</v>
      </c>
    </row>
    <row r="3" spans="1:17" x14ac:dyDescent="0.4">
      <c r="A3" s="55" t="s">
        <v>8</v>
      </c>
      <c r="B3" s="154">
        <v>64</v>
      </c>
      <c r="C3" s="155"/>
      <c r="E3" s="63" t="s">
        <v>65</v>
      </c>
      <c r="F3" s="60" t="s">
        <v>21</v>
      </c>
      <c r="G3" s="47">
        <v>15</v>
      </c>
      <c r="H3" s="133">
        <f>IF(B$17=0,0,G3/B$17)</f>
        <v>0.68181818181818177</v>
      </c>
      <c r="I3" s="94">
        <v>2</v>
      </c>
      <c r="K3" s="38">
        <v>1</v>
      </c>
      <c r="L3" s="99">
        <v>70.2</v>
      </c>
      <c r="N3" s="115" t="s">
        <v>132</v>
      </c>
      <c r="O3" s="122">
        <f t="shared" si="0"/>
        <v>5242.8571428571431</v>
      </c>
      <c r="P3" s="119">
        <v>7</v>
      </c>
      <c r="Q3" s="103">
        <v>36700</v>
      </c>
    </row>
    <row r="4" spans="1:17" x14ac:dyDescent="0.4">
      <c r="A4" s="55" t="s">
        <v>6</v>
      </c>
      <c r="B4" s="156">
        <v>123</v>
      </c>
      <c r="C4" s="157"/>
      <c r="E4" s="63" t="s">
        <v>172</v>
      </c>
      <c r="F4" s="60" t="s">
        <v>173</v>
      </c>
      <c r="G4" s="47">
        <v>11</v>
      </c>
      <c r="H4" s="133">
        <f>IF(B$17=0,0,G4/B$17)</f>
        <v>0.5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-114.28571428571429</v>
      </c>
      <c r="P4" s="119">
        <v>7</v>
      </c>
      <c r="Q4" s="103">
        <v>-800</v>
      </c>
    </row>
    <row r="5" spans="1:17" x14ac:dyDescent="0.4">
      <c r="A5" s="55" t="s">
        <v>7</v>
      </c>
      <c r="B5" s="158">
        <f>IF(B$2=0,0,B$4/B$2)</f>
        <v>17.571428571428573</v>
      </c>
      <c r="C5" s="159"/>
      <c r="E5" s="63" t="s">
        <v>69</v>
      </c>
      <c r="F5" s="60" t="s">
        <v>12</v>
      </c>
      <c r="G5" s="47">
        <v>9</v>
      </c>
      <c r="H5" s="133">
        <f>IF(B$17=0,0,G5/B$17)</f>
        <v>0.40909090909090912</v>
      </c>
      <c r="I5" s="94">
        <v>2</v>
      </c>
      <c r="K5" s="38">
        <v>3</v>
      </c>
      <c r="L5" s="99">
        <v>76</v>
      </c>
      <c r="N5" s="115" t="s">
        <v>134</v>
      </c>
      <c r="O5" s="122">
        <f t="shared" si="0"/>
        <v>1285.7142857142858</v>
      </c>
      <c r="P5" s="119">
        <v>7</v>
      </c>
      <c r="Q5" s="103">
        <v>9000</v>
      </c>
    </row>
    <row r="6" spans="1:17" x14ac:dyDescent="0.4">
      <c r="A6" s="55" t="s">
        <v>1</v>
      </c>
      <c r="B6" s="148">
        <f>IF(B$2=0,0,(B$7*1+B$8*2+B$9*3)/B$2)</f>
        <v>1.7142857142857142</v>
      </c>
      <c r="C6" s="149"/>
      <c r="E6" s="63" t="s">
        <v>68</v>
      </c>
      <c r="F6" s="60" t="s">
        <v>24</v>
      </c>
      <c r="G6" s="47">
        <v>6</v>
      </c>
      <c r="H6" s="133">
        <f>IF(B$17=0,0,G6/B$17)</f>
        <v>0.27272727272727271</v>
      </c>
      <c r="I6" s="94">
        <v>5</v>
      </c>
      <c r="K6" s="38">
        <v>4</v>
      </c>
      <c r="L6" s="99">
        <v>115.5</v>
      </c>
      <c r="N6" s="115" t="s">
        <v>135</v>
      </c>
      <c r="O6" s="122">
        <f t="shared" si="0"/>
        <v>8042.8571428571431</v>
      </c>
      <c r="P6" s="119">
        <v>7</v>
      </c>
      <c r="Q6" s="103">
        <v>56300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0.42857142857142855</v>
      </c>
      <c r="E7" s="63" t="s">
        <v>70</v>
      </c>
      <c r="F7" s="60" t="s">
        <v>25</v>
      </c>
      <c r="G7" s="47">
        <v>6</v>
      </c>
      <c r="H7" s="133">
        <f>IF(B$17=0,0,G7/B$17)</f>
        <v>0.27272727272727271</v>
      </c>
      <c r="I7" s="94">
        <v>2</v>
      </c>
      <c r="K7" s="38">
        <v>5</v>
      </c>
      <c r="L7" s="99">
        <v>127.9</v>
      </c>
      <c r="N7" s="116" t="s">
        <v>136</v>
      </c>
      <c r="O7" s="123">
        <f t="shared" si="0"/>
        <v>4140</v>
      </c>
      <c r="P7" s="120">
        <v>5</v>
      </c>
      <c r="Q7" s="104">
        <v>20700</v>
      </c>
    </row>
    <row r="8" spans="1:17" x14ac:dyDescent="0.4">
      <c r="A8" s="55" t="s">
        <v>3</v>
      </c>
      <c r="B8" s="47">
        <v>3</v>
      </c>
      <c r="C8" s="39">
        <f t="shared" si="1"/>
        <v>0.42857142857142855</v>
      </c>
      <c r="E8" s="63" t="s">
        <v>73</v>
      </c>
      <c r="F8" s="60" t="s">
        <v>28</v>
      </c>
      <c r="G8" s="47">
        <v>6</v>
      </c>
      <c r="H8" s="133">
        <f>IF(B$17=0,0,G8/B$17)</f>
        <v>0.27272727272727271</v>
      </c>
      <c r="I8" s="94">
        <v>10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0.14285714285714285</v>
      </c>
      <c r="E9" s="63" t="s">
        <v>71</v>
      </c>
      <c r="F9" s="60" t="s">
        <v>26</v>
      </c>
      <c r="G9" s="47">
        <v>4</v>
      </c>
      <c r="H9" s="133">
        <f>IF(B$17=0,0,G9/B$17)</f>
        <v>0.18181818181818182</v>
      </c>
      <c r="I9" s="94">
        <v>1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4</v>
      </c>
      <c r="H10" s="133">
        <f>IF(B$17=0,0,G10/B$17)</f>
        <v>0.18181818181818182</v>
      </c>
      <c r="I10" s="94">
        <v>1</v>
      </c>
      <c r="N10" s="114" t="s">
        <v>163</v>
      </c>
      <c r="O10" s="124">
        <f>IF(P10=0,0,Q10/P10)</f>
        <v>0.22500000000000053</v>
      </c>
      <c r="P10" s="118">
        <v>4</v>
      </c>
      <c r="Q10" s="106">
        <v>0.90000000000000213</v>
      </c>
    </row>
    <row r="11" spans="1:17" x14ac:dyDescent="0.4">
      <c r="A11" s="56" t="s">
        <v>139</v>
      </c>
      <c r="B11" s="48">
        <v>2</v>
      </c>
      <c r="C11" s="40">
        <f t="shared" si="1"/>
        <v>0.2857142857142857</v>
      </c>
      <c r="E11" s="63" t="s">
        <v>66</v>
      </c>
      <c r="F11" s="60" t="s">
        <v>22</v>
      </c>
      <c r="G11" s="47">
        <v>2</v>
      </c>
      <c r="H11" s="133">
        <f>IF(B$17=0,0,G11/B$17)</f>
        <v>9.0909090909090912E-2</v>
      </c>
      <c r="I11" s="94">
        <v>6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90</v>
      </c>
      <c r="F12" s="60" t="s">
        <v>45</v>
      </c>
      <c r="G12" s="47">
        <v>2</v>
      </c>
      <c r="H12" s="133">
        <f>IF(B$17=0,0,G12/B$17)</f>
        <v>9.0909090909090912E-2</v>
      </c>
      <c r="I12" s="94">
        <v>7</v>
      </c>
      <c r="N12" s="116" t="s">
        <v>165</v>
      </c>
      <c r="O12" s="126">
        <f>IF(P12=0,0,Q12/P12)</f>
        <v>25.95</v>
      </c>
      <c r="P12" s="120">
        <v>2</v>
      </c>
      <c r="Q12" s="108">
        <v>51.9</v>
      </c>
    </row>
    <row r="13" spans="1:17" x14ac:dyDescent="0.4">
      <c r="A13" s="58" t="s">
        <v>122</v>
      </c>
      <c r="B13" s="50">
        <v>23</v>
      </c>
      <c r="C13" s="44">
        <f>IF(B$3=0,0,B13/B$3)</f>
        <v>0.359375</v>
      </c>
      <c r="E13" s="63" t="s">
        <v>82</v>
      </c>
      <c r="F13" s="60" t="s">
        <v>37</v>
      </c>
      <c r="G13" s="47">
        <v>1</v>
      </c>
      <c r="H13" s="133">
        <f>IF(B$17=0,0,G13/B$17)</f>
        <v>4.5454545454545456E-2</v>
      </c>
      <c r="I13" s="94">
        <v>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</v>
      </c>
      <c r="C14" s="39">
        <f>IF(B$3=0,0,B14/B$3)</f>
        <v>0.109375</v>
      </c>
      <c r="E14" s="63" t="s">
        <v>88</v>
      </c>
      <c r="F14" s="60" t="s">
        <v>43</v>
      </c>
      <c r="G14" s="47">
        <v>1</v>
      </c>
      <c r="H14" s="133">
        <f>IF(B$17=0,0,G14/B$17)</f>
        <v>4.5454545454545456E-2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15</v>
      </c>
      <c r="C15" s="37">
        <f>IF(B$13=0,0,B15/B$13)</f>
        <v>0.65217391304347827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2</v>
      </c>
      <c r="C16" s="37">
        <f>IF(B$14=0,0,B16/B$14)</f>
        <v>0.2857142857142857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22</v>
      </c>
      <c r="C17" s="37">
        <f>IF(B$3=0,0,B17/B$3)</f>
        <v>0.34375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10</v>
      </c>
      <c r="C18" s="39">
        <f>IF(B$17=0,0,B18/B$17)</f>
        <v>0.45454545454545453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19</v>
      </c>
      <c r="P18" s="119">
        <v>1</v>
      </c>
      <c r="Q18" s="107">
        <v>19</v>
      </c>
    </row>
    <row r="19" spans="1:17" x14ac:dyDescent="0.4">
      <c r="A19" s="55" t="s">
        <v>11</v>
      </c>
      <c r="B19" s="47">
        <v>12</v>
      </c>
      <c r="C19" s="39">
        <f>IF(B$17=0,0,B19/B$17)</f>
        <v>0.54545454545454541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  <c r="N19" s="115" t="s">
        <v>167</v>
      </c>
      <c r="O19" s="125">
        <f>IF(P19=0,0,Q19/P19)</f>
        <v>12.9</v>
      </c>
      <c r="P19" s="119">
        <v>2</v>
      </c>
      <c r="Q19" s="107">
        <v>25.8</v>
      </c>
    </row>
    <row r="20" spans="1:17" x14ac:dyDescent="0.4">
      <c r="A20" s="55" t="s">
        <v>13</v>
      </c>
      <c r="B20" s="47">
        <v>6</v>
      </c>
      <c r="C20" s="39">
        <f>IF(B$3=0,0,B20/B$3)</f>
        <v>9.375E-2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7</v>
      </c>
      <c r="N20" s="115" t="s">
        <v>196</v>
      </c>
      <c r="O20" s="125">
        <f>IF(P20=0,0,Q20/P20)</f>
        <v>-17.850000000000001</v>
      </c>
      <c r="P20" s="119">
        <v>2</v>
      </c>
      <c r="Q20" s="107">
        <v>-35.700000000000003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5</v>
      </c>
      <c r="N21" s="115" t="s">
        <v>127</v>
      </c>
      <c r="O21" s="125">
        <f>IF(P21=0,0,Q21/P21)</f>
        <v>-43.599999999999994</v>
      </c>
      <c r="P21" s="119">
        <v>2</v>
      </c>
      <c r="Q21" s="107">
        <v>-87.199999999999989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8622.7272727272721</v>
      </c>
      <c r="C23" s="41">
        <v>189700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-5550</v>
      </c>
      <c r="C24" s="45">
        <v>-33300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8</v>
      </c>
    </row>
    <row r="25" spans="1:17" x14ac:dyDescent="0.4">
      <c r="A25" s="90" t="s">
        <v>141</v>
      </c>
      <c r="B25" s="146">
        <v>7</v>
      </c>
      <c r="C25" s="147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95200</v>
      </c>
      <c r="C26" s="145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8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B55A-02FA-447B-A9BB-763BF778AFE2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196</v>
      </c>
      <c r="C1" s="151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4</v>
      </c>
      <c r="C2" s="153"/>
      <c r="E2" s="62" t="s">
        <v>67</v>
      </c>
      <c r="F2" s="59" t="s">
        <v>23</v>
      </c>
      <c r="G2" s="46">
        <v>9</v>
      </c>
      <c r="H2" s="132">
        <f>IF(B$17=0,0,G2/B$17)</f>
        <v>0.9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-750</v>
      </c>
      <c r="P2" s="118">
        <v>4</v>
      </c>
      <c r="Q2" s="102">
        <v>-3000</v>
      </c>
    </row>
    <row r="3" spans="1:17" x14ac:dyDescent="0.4">
      <c r="A3" s="55" t="s">
        <v>8</v>
      </c>
      <c r="B3" s="154">
        <v>40</v>
      </c>
      <c r="C3" s="155"/>
      <c r="E3" s="63" t="s">
        <v>68</v>
      </c>
      <c r="F3" s="60" t="s">
        <v>24</v>
      </c>
      <c r="G3" s="47">
        <v>6</v>
      </c>
      <c r="H3" s="133">
        <f>IF(B$17=0,0,G3/B$17)</f>
        <v>0.6</v>
      </c>
      <c r="I3" s="94">
        <v>2</v>
      </c>
      <c r="K3" s="38">
        <v>1</v>
      </c>
      <c r="L3" s="99">
        <v>21.1</v>
      </c>
      <c r="N3" s="115" t="s">
        <v>132</v>
      </c>
      <c r="O3" s="122">
        <f t="shared" si="0"/>
        <v>3025</v>
      </c>
      <c r="P3" s="119">
        <v>4</v>
      </c>
      <c r="Q3" s="103">
        <v>12100</v>
      </c>
    </row>
    <row r="4" spans="1:17" x14ac:dyDescent="0.4">
      <c r="A4" s="55" t="s">
        <v>6</v>
      </c>
      <c r="B4" s="156">
        <v>-37.400000000000006</v>
      </c>
      <c r="C4" s="157"/>
      <c r="E4" s="63" t="s">
        <v>65</v>
      </c>
      <c r="F4" s="60" t="s">
        <v>21</v>
      </c>
      <c r="G4" s="47">
        <v>5</v>
      </c>
      <c r="H4" s="133">
        <f>IF(B$17=0,0,G4/B$17)</f>
        <v>0.5</v>
      </c>
      <c r="I4" s="94">
        <v>4</v>
      </c>
      <c r="K4" s="38">
        <v>2</v>
      </c>
      <c r="L4" s="99">
        <v>-25.4</v>
      </c>
      <c r="N4" s="115" t="s">
        <v>133</v>
      </c>
      <c r="O4" s="122">
        <f t="shared" si="0"/>
        <v>-10100</v>
      </c>
      <c r="P4" s="119">
        <v>4</v>
      </c>
      <c r="Q4" s="103">
        <v>-40400</v>
      </c>
    </row>
    <row r="5" spans="1:17" x14ac:dyDescent="0.4">
      <c r="A5" s="55" t="s">
        <v>7</v>
      </c>
      <c r="B5" s="158">
        <f>IF(B$2=0,0,B$4/B$2)</f>
        <v>-9.3500000000000014</v>
      </c>
      <c r="C5" s="159"/>
      <c r="E5" s="63" t="s">
        <v>73</v>
      </c>
      <c r="F5" s="60" t="s">
        <v>28</v>
      </c>
      <c r="G5" s="47">
        <v>5</v>
      </c>
      <c r="H5" s="133">
        <f>IF(B$17=0,0,G5/B$17)</f>
        <v>0.5</v>
      </c>
      <c r="I5" s="94">
        <v>7</v>
      </c>
      <c r="K5" s="38">
        <v>3</v>
      </c>
      <c r="L5" s="99">
        <v>-71.900000000000006</v>
      </c>
      <c r="N5" s="115" t="s">
        <v>134</v>
      </c>
      <c r="O5" s="122">
        <f t="shared" si="0"/>
        <v>-4000</v>
      </c>
      <c r="P5" s="119">
        <v>4</v>
      </c>
      <c r="Q5" s="103">
        <v>-16000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66</v>
      </c>
      <c r="F6" s="60" t="s">
        <v>22</v>
      </c>
      <c r="G6" s="47">
        <v>2</v>
      </c>
      <c r="H6" s="133">
        <f>IF(B$17=0,0,G6/B$17)</f>
        <v>0.2</v>
      </c>
      <c r="I6" s="94">
        <v>2</v>
      </c>
      <c r="K6" s="38">
        <v>4</v>
      </c>
      <c r="L6" s="99">
        <v>-37.400000000000006</v>
      </c>
      <c r="N6" s="115" t="s">
        <v>135</v>
      </c>
      <c r="O6" s="122">
        <f t="shared" si="0"/>
        <v>7200</v>
      </c>
      <c r="P6" s="119">
        <v>2</v>
      </c>
      <c r="Q6" s="103">
        <v>14400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0.5</v>
      </c>
      <c r="E7" s="63" t="s">
        <v>69</v>
      </c>
      <c r="F7" s="60" t="s">
        <v>12</v>
      </c>
      <c r="G7" s="47">
        <v>2</v>
      </c>
      <c r="H7" s="133">
        <f>IF(B$17=0,0,G7/B$17)</f>
        <v>0.2</v>
      </c>
      <c r="I7" s="94">
        <v>10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172</v>
      </c>
      <c r="F8" s="60" t="s">
        <v>173</v>
      </c>
      <c r="G8" s="47">
        <v>2</v>
      </c>
      <c r="H8" s="133">
        <f>IF(B$17=0,0,G8/B$17)</f>
        <v>0.2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71</v>
      </c>
      <c r="F9" s="60" t="s">
        <v>26</v>
      </c>
      <c r="G9" s="47">
        <v>1</v>
      </c>
      <c r="H9" s="133">
        <f>IF(B$17=0,0,G9/B$17)</f>
        <v>0.1</v>
      </c>
      <c r="I9" s="94">
        <v>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0.5</v>
      </c>
      <c r="E10" s="63" t="s">
        <v>80</v>
      </c>
      <c r="F10" s="60" t="s">
        <v>35</v>
      </c>
      <c r="G10" s="47">
        <v>1</v>
      </c>
      <c r="H10" s="133">
        <f>IF(B$17=0,0,G10/B$17)</f>
        <v>0.1</v>
      </c>
      <c r="I10" s="94">
        <v>2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0.25</v>
      </c>
      <c r="E11" s="63" t="s">
        <v>87</v>
      </c>
      <c r="F11" s="60" t="s">
        <v>42</v>
      </c>
      <c r="G11" s="47">
        <v>1</v>
      </c>
      <c r="H11" s="133">
        <f>IF(B$17=0,0,G11/B$17)</f>
        <v>0.1</v>
      </c>
      <c r="I11" s="94">
        <v>2</v>
      </c>
      <c r="N11" s="115" t="s">
        <v>164</v>
      </c>
      <c r="O11" s="125">
        <f>IF(P11=0,0,Q11/P11)</f>
        <v>-9.3500000000000014</v>
      </c>
      <c r="P11" s="119">
        <v>4</v>
      </c>
      <c r="Q11" s="107">
        <v>-37.400000000000006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90</v>
      </c>
      <c r="F12" s="60" t="s">
        <v>45</v>
      </c>
      <c r="G12" s="47">
        <v>1</v>
      </c>
      <c r="H12" s="133">
        <f>IF(B$17=0,0,G12/B$17)</f>
        <v>0.1</v>
      </c>
      <c r="I12" s="94">
        <v>6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11</v>
      </c>
      <c r="C13" s="44">
        <f>IF(B$3=0,0,B13/B$3)</f>
        <v>0.27500000000000002</v>
      </c>
      <c r="E13" s="63" t="s">
        <v>70</v>
      </c>
      <c r="F13" s="60" t="s">
        <v>25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</v>
      </c>
      <c r="C14" s="39">
        <f>IF(B$3=0,0,B14/B$3)</f>
        <v>0.35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0.45454545454545453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4</v>
      </c>
      <c r="C16" s="37">
        <f>IF(B$14=0,0,B16/B$14)</f>
        <v>0.2857142857142857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182</v>
      </c>
      <c r="O16" s="125">
        <f>IF(P16=0,0,Q16/P16)</f>
        <v>17.850000000000001</v>
      </c>
      <c r="P16" s="119">
        <v>2</v>
      </c>
      <c r="Q16" s="107">
        <v>35.700000000000003</v>
      </c>
    </row>
    <row r="17" spans="1:17" x14ac:dyDescent="0.4">
      <c r="A17" s="54" t="s">
        <v>10</v>
      </c>
      <c r="B17" s="46">
        <f>B19+B18</f>
        <v>10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  <c r="N17" s="115" t="s">
        <v>179</v>
      </c>
      <c r="O17" s="125">
        <f>IF(P17=0,0,Q17/P17)</f>
        <v>-64.2</v>
      </c>
      <c r="P17" s="119">
        <v>2</v>
      </c>
      <c r="Q17" s="107">
        <v>-128.4</v>
      </c>
    </row>
    <row r="18" spans="1:17" x14ac:dyDescent="0.4">
      <c r="A18" s="55" t="s">
        <v>12</v>
      </c>
      <c r="B18" s="47">
        <v>4</v>
      </c>
      <c r="C18" s="39">
        <f>IF(B$17=0,0,B18/B$17)</f>
        <v>0.4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-75.3</v>
      </c>
      <c r="P18" s="119">
        <v>2</v>
      </c>
      <c r="Q18" s="107">
        <v>-150.6</v>
      </c>
    </row>
    <row r="19" spans="1:17" x14ac:dyDescent="0.4">
      <c r="A19" s="55" t="s">
        <v>11</v>
      </c>
      <c r="B19" s="47">
        <v>6</v>
      </c>
      <c r="C19" s="39">
        <f>IF(B$17=0,0,B19/B$17)</f>
        <v>0.6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7</v>
      </c>
      <c r="C20" s="39">
        <f>IF(B$3=0,0,B20/B$3)</f>
        <v>0.17499999999999999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170</v>
      </c>
      <c r="B21" s="47">
        <v>2</v>
      </c>
      <c r="C21" s="135">
        <v>2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13</v>
      </c>
      <c r="C22" s="135">
        <v>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8</v>
      </c>
    </row>
    <row r="23" spans="1:17" x14ac:dyDescent="0.4">
      <c r="A23" s="55" t="s">
        <v>5</v>
      </c>
      <c r="B23" s="51">
        <f>IF(B$17=0,0,C23/B$17)</f>
        <v>7780</v>
      </c>
      <c r="C23" s="41">
        <v>77800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-9142.8571428571431</v>
      </c>
      <c r="C24" s="45">
        <v>-64000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8</v>
      </c>
    </row>
    <row r="25" spans="1:17" x14ac:dyDescent="0.4">
      <c r="A25" s="90" t="s">
        <v>141</v>
      </c>
      <c r="B25" s="146">
        <v>3</v>
      </c>
      <c r="C25" s="147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59500</v>
      </c>
      <c r="C26" s="145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B42B-035C-4745-9D27-596E460E45CB}">
  <sheetPr codeName="Sheet24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21.1</v>
      </c>
      <c r="C4" s="66">
        <v>21.1</v>
      </c>
      <c r="D4" s="71">
        <v>1</v>
      </c>
      <c r="E4" s="67">
        <v>1</v>
      </c>
      <c r="F4" s="67">
        <v>0</v>
      </c>
      <c r="G4" s="67">
        <v>0.42857142857142855</v>
      </c>
      <c r="H4" s="67">
        <v>0</v>
      </c>
      <c r="I4" s="68">
        <v>8600</v>
      </c>
      <c r="J4" s="68">
        <v>0</v>
      </c>
      <c r="K4" s="67">
        <v>0</v>
      </c>
      <c r="L4" s="67">
        <v>0</v>
      </c>
      <c r="M4" s="67">
        <v>0.2857142857142857</v>
      </c>
      <c r="N4" s="67">
        <v>0.2857142857142857</v>
      </c>
      <c r="O4" s="67">
        <v>0.5</v>
      </c>
      <c r="P4" s="67">
        <v>1</v>
      </c>
      <c r="Q4" s="67">
        <v>0.33333333333333331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CDB3B-A64D-4420-9DD1-03B571055DD1}">
  <sheetPr codeName="Sheet22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274A4-C451-4F7E-8BE8-EEF2F5FC9B1C}">
  <sheetPr codeName="Sheet20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BE43-86D8-4840-AF3B-468C065733F1}">
  <sheetPr codeName="Sheet18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-37</v>
      </c>
      <c r="C6" s="66">
        <v>-12.333333333333334</v>
      </c>
      <c r="D6" s="71">
        <v>2.3333333333333335</v>
      </c>
      <c r="E6" s="67">
        <v>0.33333333333333331</v>
      </c>
      <c r="F6" s="67">
        <v>0.66666666666666663</v>
      </c>
      <c r="G6" s="67">
        <v>0.14285714285714285</v>
      </c>
      <c r="H6" s="67">
        <v>0.10714285714285714</v>
      </c>
      <c r="I6" s="68">
        <v>8950</v>
      </c>
      <c r="J6" s="68">
        <v>-7866.666666666667</v>
      </c>
      <c r="K6" s="67">
        <v>0.33333333333333331</v>
      </c>
      <c r="L6" s="67">
        <v>0</v>
      </c>
      <c r="M6" s="67">
        <v>7.1428571428571425E-2</v>
      </c>
      <c r="N6" s="67">
        <v>0.21428571428571427</v>
      </c>
      <c r="O6" s="67">
        <v>0.5</v>
      </c>
      <c r="P6" s="67">
        <v>0.5</v>
      </c>
      <c r="Q6" s="67">
        <v>0.25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FF45-0476-4547-83B9-13704A1B557F}">
  <sheetPr codeName="Sheet1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74043-41AF-4853-8621-1FB5E451354E}">
  <sheetPr codeName="Sheet1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6B8E-4B66-4BFC-99AB-21B66AD74733}">
  <sheetPr codeName="Sheet12"/>
  <dimension ref="A1:Q3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-66.400000000000034</v>
      </c>
      <c r="C25" s="66">
        <v>-3.0181818181818199</v>
      </c>
      <c r="D25" s="71">
        <v>2.1363636363636362</v>
      </c>
      <c r="E25" s="67">
        <v>0.22727272727272727</v>
      </c>
      <c r="F25" s="67">
        <v>0.36363636363636365</v>
      </c>
      <c r="G25" s="67">
        <v>0.30049261083743845</v>
      </c>
      <c r="H25" s="67">
        <v>0.18719211822660098</v>
      </c>
      <c r="I25" s="68">
        <v>8349.1803278688531</v>
      </c>
      <c r="J25" s="68">
        <v>-7721.0526315789475</v>
      </c>
      <c r="K25" s="67">
        <v>0.18181818181818182</v>
      </c>
      <c r="L25" s="67">
        <v>0.13636363636363635</v>
      </c>
      <c r="M25" s="67">
        <v>0.19704433497536947</v>
      </c>
      <c r="N25" s="67">
        <v>0.2857142857142857</v>
      </c>
      <c r="O25" s="67">
        <v>0.52500000000000002</v>
      </c>
      <c r="P25" s="67">
        <v>0.46551724137931033</v>
      </c>
      <c r="Q25" s="67">
        <v>0.27868852459016391</v>
      </c>
    </row>
    <row r="26" spans="1:17" x14ac:dyDescent="0.4">
      <c r="A26" s="69">
        <v>23</v>
      </c>
      <c r="B26" s="66">
        <v>-66.400000000000034</v>
      </c>
      <c r="C26" s="66">
        <v>-2.886956521739132</v>
      </c>
      <c r="D26" s="71">
        <v>2.1304347826086958</v>
      </c>
      <c r="E26" s="67">
        <v>0.21739130434782608</v>
      </c>
      <c r="F26" s="67">
        <v>0.34782608695652173</v>
      </c>
      <c r="G26" s="67">
        <v>0.29901960784313725</v>
      </c>
      <c r="H26" s="67">
        <v>0.18627450980392157</v>
      </c>
      <c r="I26" s="68">
        <v>8349.1803278688531</v>
      </c>
      <c r="J26" s="68">
        <v>-7721.0526315789475</v>
      </c>
      <c r="K26" s="67">
        <v>0.17391304347826086</v>
      </c>
      <c r="L26" s="67">
        <v>0.13043478260869565</v>
      </c>
      <c r="M26" s="67">
        <v>0.19607843137254902</v>
      </c>
      <c r="N26" s="67">
        <v>0.28431372549019607</v>
      </c>
      <c r="O26" s="67">
        <v>0.52500000000000002</v>
      </c>
      <c r="P26" s="67">
        <v>0.46551724137931033</v>
      </c>
      <c r="Q26" s="67">
        <v>0.27868852459016391</v>
      </c>
    </row>
    <row r="27" spans="1:17" x14ac:dyDescent="0.4">
      <c r="A27" s="69">
        <v>24</v>
      </c>
      <c r="B27" s="66">
        <v>-39.500000000000036</v>
      </c>
      <c r="C27" s="66">
        <v>-1.6458333333333348</v>
      </c>
      <c r="D27" s="71">
        <v>2.0833333333333335</v>
      </c>
      <c r="E27" s="67">
        <v>0.25</v>
      </c>
      <c r="F27" s="67">
        <v>0.33333333333333331</v>
      </c>
      <c r="G27" s="67">
        <v>0.30331753554502372</v>
      </c>
      <c r="H27" s="67">
        <v>0.18483412322274881</v>
      </c>
      <c r="I27" s="68">
        <v>8581.25</v>
      </c>
      <c r="J27" s="68">
        <v>-7548.7179487179483</v>
      </c>
      <c r="K27" s="67">
        <v>0.16666666666666666</v>
      </c>
      <c r="L27" s="67">
        <v>0.125</v>
      </c>
      <c r="M27" s="67">
        <v>0.1990521327014218</v>
      </c>
      <c r="N27" s="67">
        <v>0.28436018957345971</v>
      </c>
      <c r="O27" s="67">
        <v>0.54761904761904767</v>
      </c>
      <c r="P27" s="67">
        <v>0.46666666666666667</v>
      </c>
      <c r="Q27" s="67">
        <v>0.296875</v>
      </c>
    </row>
    <row r="28" spans="1:17" x14ac:dyDescent="0.4">
      <c r="A28" s="69">
        <v>25</v>
      </c>
      <c r="B28" s="66">
        <v>-31.400000000000034</v>
      </c>
      <c r="C28" s="66">
        <v>-1.2560000000000013</v>
      </c>
      <c r="D28" s="71">
        <v>2.08</v>
      </c>
      <c r="E28" s="67">
        <v>0.24</v>
      </c>
      <c r="F28" s="67">
        <v>0.32</v>
      </c>
      <c r="G28" s="67">
        <v>0.30593607305936071</v>
      </c>
      <c r="H28" s="67">
        <v>0.18721461187214611</v>
      </c>
      <c r="I28" s="68">
        <v>8492.5373134328365</v>
      </c>
      <c r="J28" s="68">
        <v>-7343.9024390243903</v>
      </c>
      <c r="K28" s="67">
        <v>0.16</v>
      </c>
      <c r="L28" s="67">
        <v>0.12</v>
      </c>
      <c r="M28" s="67">
        <v>0.19634703196347031</v>
      </c>
      <c r="N28" s="67">
        <v>0.28310502283105021</v>
      </c>
      <c r="O28" s="67">
        <v>0.55813953488372092</v>
      </c>
      <c r="P28" s="67">
        <v>0.45161290322580644</v>
      </c>
      <c r="Q28" s="67">
        <v>0.28358208955223879</v>
      </c>
    </row>
    <row r="29" spans="1:17" x14ac:dyDescent="0.4">
      <c r="A29" s="69">
        <v>26</v>
      </c>
      <c r="B29" s="66">
        <v>-62.900000000000034</v>
      </c>
      <c r="C29" s="66">
        <v>-2.4192307692307704</v>
      </c>
      <c r="D29" s="71">
        <v>2.1153846153846154</v>
      </c>
      <c r="E29" s="67">
        <v>0.23076923076923078</v>
      </c>
      <c r="F29" s="67">
        <v>0.34615384615384615</v>
      </c>
      <c r="G29" s="67">
        <v>0.30088495575221241</v>
      </c>
      <c r="H29" s="67">
        <v>0.19026548672566371</v>
      </c>
      <c r="I29" s="68">
        <v>8426.4705882352937</v>
      </c>
      <c r="J29" s="68">
        <v>-7211.6279069767443</v>
      </c>
      <c r="K29" s="67">
        <v>0.15384615384615385</v>
      </c>
      <c r="L29" s="67">
        <v>0.11538461538461539</v>
      </c>
      <c r="M29" s="67">
        <v>0.19469026548672566</v>
      </c>
      <c r="N29" s="67">
        <v>0.2831858407079646</v>
      </c>
      <c r="O29" s="67">
        <v>0.56818181818181823</v>
      </c>
      <c r="P29" s="67">
        <v>0.4375</v>
      </c>
      <c r="Q29" s="67">
        <v>0.29411764705882354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66276-1FD8-451C-B820-D6057F46E871}">
  <sheetPr codeName="Sheet10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5C1E-6888-4E77-8314-EE1303D3ECF6}">
  <sheetPr codeName="Sheet8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5625D-ED1E-4AF4-B528-9E96F6E47C26}">
  <sheetPr codeName="Sheet6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0.3046757164404223</v>
      </c>
      <c r="H27" s="67">
        <v>0.18099547511312217</v>
      </c>
      <c r="I27" s="68">
        <v>8074.7524752475247</v>
      </c>
      <c r="J27" s="68">
        <v>-8031.666666666667</v>
      </c>
      <c r="K27" s="67">
        <v>9.7222222222222224E-2</v>
      </c>
      <c r="L27" s="67">
        <v>9.7222222222222224E-2</v>
      </c>
      <c r="M27" s="67">
        <v>0.2458521870286576</v>
      </c>
      <c r="N27" s="67">
        <v>0.22021116138763197</v>
      </c>
      <c r="O27" s="67">
        <v>0.57668711656441718</v>
      </c>
      <c r="P27" s="67">
        <v>0.4452054794520548</v>
      </c>
      <c r="Q27" s="67">
        <v>0.40099009900990101</v>
      </c>
    </row>
    <row r="28" spans="1:17" x14ac:dyDescent="0.4">
      <c r="A28" s="69">
        <v>25</v>
      </c>
      <c r="B28" s="66">
        <v>0</v>
      </c>
      <c r="C28" s="66">
        <v>0</v>
      </c>
      <c r="D28" s="71">
        <v>2</v>
      </c>
      <c r="E28" s="67">
        <v>0.33333333333333331</v>
      </c>
      <c r="F28" s="67">
        <v>0.33333333333333331</v>
      </c>
      <c r="G28" s="67">
        <v>0.30158730158730157</v>
      </c>
      <c r="H28" s="67">
        <v>0.18037518037518038</v>
      </c>
      <c r="I28" s="68">
        <v>8120.0956937799047</v>
      </c>
      <c r="J28" s="68">
        <v>-8078.4</v>
      </c>
      <c r="K28" s="67">
        <v>0.10666666666666667</v>
      </c>
      <c r="L28" s="67">
        <v>0.10666666666666667</v>
      </c>
      <c r="M28" s="67">
        <v>0.24963924963924963</v>
      </c>
      <c r="N28" s="67">
        <v>0.22366522366522368</v>
      </c>
      <c r="O28" s="67">
        <v>0.5722543352601156</v>
      </c>
      <c r="P28" s="67">
        <v>0.43225806451612903</v>
      </c>
      <c r="Q28" s="67">
        <v>0.39712918660287083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0.3009845288326301</v>
      </c>
      <c r="H29" s="67">
        <v>0.18002812939521801</v>
      </c>
      <c r="I29" s="68">
        <v>8330.3738317757015</v>
      </c>
      <c r="J29" s="68">
        <v>-8120.3125</v>
      </c>
      <c r="K29" s="67">
        <v>0.11538461538461539</v>
      </c>
      <c r="L29" s="67">
        <v>0.11538461538461539</v>
      </c>
      <c r="M29" s="67">
        <v>0.24894514767932491</v>
      </c>
      <c r="N29" s="67">
        <v>0.22362869198312235</v>
      </c>
      <c r="O29" s="67">
        <v>0.57627118644067798</v>
      </c>
      <c r="P29" s="67">
        <v>0.42767295597484278</v>
      </c>
      <c r="Q29" s="67">
        <v>0.39719626168224298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-4.2188474935755949E-15</v>
      </c>
      <c r="C31" s="66">
        <v>-5.0224374923518987E-17</v>
      </c>
      <c r="D31" s="71">
        <v>2</v>
      </c>
      <c r="E31" s="67">
        <v>0.33333333333333331</v>
      </c>
      <c r="F31" s="67">
        <v>0.33333333333333331</v>
      </c>
      <c r="G31" s="67">
        <v>0.29961089494163423</v>
      </c>
      <c r="H31" s="67">
        <v>0.18028534370946822</v>
      </c>
      <c r="I31" s="68">
        <v>8304.3290043290035</v>
      </c>
      <c r="J31" s="68">
        <v>-8043.1654676258995</v>
      </c>
      <c r="K31" s="67">
        <v>0.11904761904761904</v>
      </c>
      <c r="L31" s="67">
        <v>0.11904761904761904</v>
      </c>
      <c r="M31" s="67">
        <v>0.24254215304798962</v>
      </c>
      <c r="N31" s="67">
        <v>0.22957198443579765</v>
      </c>
      <c r="O31" s="67">
        <v>0.58288770053475936</v>
      </c>
      <c r="P31" s="67">
        <v>0.42372881355932202</v>
      </c>
      <c r="Q31" s="67">
        <v>0.39393939393939392</v>
      </c>
    </row>
    <row r="32" spans="1:17" x14ac:dyDescent="0.4">
      <c r="A32" s="69">
        <v>29</v>
      </c>
      <c r="B32" s="66">
        <v>-7.1054273576010019E-15</v>
      </c>
      <c r="C32" s="66">
        <v>-8.167157882300002E-17</v>
      </c>
      <c r="D32" s="71">
        <v>2</v>
      </c>
      <c r="E32" s="67">
        <v>0.33333333333333331</v>
      </c>
      <c r="F32" s="67">
        <v>0.33333333333333331</v>
      </c>
      <c r="G32" s="67">
        <v>0.29974160206718348</v>
      </c>
      <c r="H32" s="67">
        <v>0.18087855297157623</v>
      </c>
      <c r="I32" s="68">
        <v>8475.4310344827591</v>
      </c>
      <c r="J32" s="68">
        <v>-8328.5714285714294</v>
      </c>
      <c r="K32" s="67">
        <v>0.12643678160919541</v>
      </c>
      <c r="L32" s="67">
        <v>0.12643678160919541</v>
      </c>
      <c r="M32" s="67">
        <v>0.24160206718346253</v>
      </c>
      <c r="N32" s="67">
        <v>0.22868217054263565</v>
      </c>
      <c r="O32" s="67">
        <v>0.58288770053475936</v>
      </c>
      <c r="P32" s="67">
        <v>0.42372881355932202</v>
      </c>
      <c r="Q32" s="67">
        <v>0.39224137931034481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0.30062893081761005</v>
      </c>
      <c r="H33" s="67">
        <v>0.17861635220125785</v>
      </c>
      <c r="I33" s="68">
        <v>8590.7949790794974</v>
      </c>
      <c r="J33" s="68">
        <v>-8245.7746478873232</v>
      </c>
      <c r="K33" s="67">
        <v>0.12222222222222222</v>
      </c>
      <c r="L33" s="67">
        <v>0.12222222222222222</v>
      </c>
      <c r="M33" s="67">
        <v>0.24150943396226415</v>
      </c>
      <c r="N33" s="67">
        <v>0.23522012578616353</v>
      </c>
      <c r="O33" s="67">
        <v>0.58333333333333337</v>
      </c>
      <c r="P33" s="67">
        <v>0.42245989304812837</v>
      </c>
      <c r="Q33" s="67">
        <v>0.40167364016736401</v>
      </c>
    </row>
    <row r="34" spans="1:17" x14ac:dyDescent="0.4">
      <c r="A34" s="69">
        <v>31</v>
      </c>
      <c r="B34" s="66">
        <v>-5.3290705182007514E-15</v>
      </c>
      <c r="C34" s="66">
        <v>-5.7301833529040336E-17</v>
      </c>
      <c r="D34" s="71">
        <v>2</v>
      </c>
      <c r="E34" s="67">
        <v>0.33333333333333331</v>
      </c>
      <c r="F34" s="67">
        <v>0.33333333333333331</v>
      </c>
      <c r="G34" s="67">
        <v>0.30036630036630035</v>
      </c>
      <c r="H34" s="67">
        <v>0.1807081807081807</v>
      </c>
      <c r="I34" s="68">
        <v>8523.9837398373984</v>
      </c>
      <c r="J34" s="68">
        <v>-8125.6756756756758</v>
      </c>
      <c r="K34" s="67">
        <v>0.11827956989247312</v>
      </c>
      <c r="L34" s="67">
        <v>0.11827956989247312</v>
      </c>
      <c r="M34" s="67">
        <v>0.23931623931623933</v>
      </c>
      <c r="N34" s="67">
        <v>0.23809523809523808</v>
      </c>
      <c r="O34" s="67">
        <v>0.58673469387755106</v>
      </c>
      <c r="P34" s="67">
        <v>0.41025641025641024</v>
      </c>
      <c r="Q34" s="67">
        <v>0.39430894308943087</v>
      </c>
    </row>
    <row r="35" spans="1:17" x14ac:dyDescent="0.4">
      <c r="A35" s="69">
        <v>32</v>
      </c>
      <c r="B35" s="66">
        <v>-1.0658141036401503E-14</v>
      </c>
      <c r="C35" s="66">
        <v>-1.1102230246251565E-16</v>
      </c>
      <c r="D35" s="71">
        <v>2</v>
      </c>
      <c r="E35" s="67">
        <v>0.33333333333333331</v>
      </c>
      <c r="F35" s="67">
        <v>0.33333333333333331</v>
      </c>
      <c r="G35" s="67">
        <v>0.3</v>
      </c>
      <c r="H35" s="67">
        <v>0.17976190476190476</v>
      </c>
      <c r="I35" s="68">
        <v>8498.4126984126979</v>
      </c>
      <c r="J35" s="68">
        <v>-8074.8344370860923</v>
      </c>
      <c r="K35" s="67">
        <v>0.11458333333333333</v>
      </c>
      <c r="L35" s="67">
        <v>0.11458333333333333</v>
      </c>
      <c r="M35" s="67">
        <v>0.2369047619047619</v>
      </c>
      <c r="N35" s="67">
        <v>0.24166666666666667</v>
      </c>
      <c r="O35" s="67">
        <v>0.59296482412060303</v>
      </c>
      <c r="P35" s="67">
        <v>0.4039408866995074</v>
      </c>
      <c r="Q35" s="67">
        <v>0.3968253968253968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2019-10-03T15:54:48Z</dcterms:modified>
</cp:coreProperties>
</file>