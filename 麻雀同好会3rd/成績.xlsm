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95647A1B-0AB4-4FCB-A580-E58D127BA86D}" xr6:coauthVersionLast="41" xr6:coauthVersionMax="41" xr10:uidLastSave="{00000000-0000-0000-0000-000000000000}"/>
  <bookViews>
    <workbookView xWindow="-120" yWindow="-120" windowWidth="29040" windowHeight="16440" tabRatio="663" firstSheet="4" activeTab="5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65" r:id="rId6"/>
    <sheet name="たかの" sheetId="5667" r:id="rId7"/>
    <sheet name="だいち" sheetId="5669" r:id="rId8"/>
    <sheet name="ただ" sheetId="5671" r:id="rId9"/>
    <sheet name="りくと" sheetId="5673" r:id="rId10"/>
    <sheet name="れんたろう" sheetId="5675" r:id="rId11"/>
    <sheet name="まっつん" sheetId="5677" r:id="rId12"/>
    <sheet name="のり" sheetId="5679" r:id="rId13"/>
    <sheet name="ぱぱ" sheetId="5681" r:id="rId14"/>
    <sheet name="ほたに" sheetId="5683" r:id="rId15"/>
    <sheet name="ほたに2" sheetId="5684" state="hidden" r:id="rId16"/>
    <sheet name="ぱぱ2" sheetId="5682" state="hidden" r:id="rId17"/>
    <sheet name="のり2" sheetId="5680" state="hidden" r:id="rId18"/>
    <sheet name="まっつん2" sheetId="5678" state="hidden" r:id="rId19"/>
    <sheet name="れんたろう2" sheetId="5676" state="hidden" r:id="rId20"/>
    <sheet name="りくと2" sheetId="5674" state="hidden" r:id="rId21"/>
    <sheet name="ただ2" sheetId="5672" state="hidden" r:id="rId22"/>
    <sheet name="だいち2" sheetId="5670" state="hidden" r:id="rId23"/>
    <sheet name="たかの2" sheetId="5668" state="hidden" r:id="rId24"/>
    <sheet name="全体2" sheetId="566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673" l="1"/>
  <c r="O18" i="5679"/>
  <c r="O16" i="5683" l="1"/>
  <c r="O22" i="5673"/>
  <c r="O20" i="5667" l="1"/>
  <c r="O16" i="5669"/>
  <c r="O15" i="5679"/>
  <c r="O19" i="5679"/>
  <c r="O18" i="5677" l="1"/>
  <c r="O18" i="5681"/>
  <c r="O16" i="5671" l="1"/>
  <c r="O17" i="5677"/>
  <c r="O20" i="5679"/>
  <c r="O17" i="5679"/>
  <c r="O17" i="5667" l="1"/>
  <c r="O19" i="5681"/>
  <c r="O20" i="5681"/>
  <c r="O18" i="5673"/>
  <c r="O18" i="5671" l="1"/>
  <c r="O19" i="5675"/>
  <c r="O17" i="5675" l="1"/>
  <c r="O21" i="5669"/>
  <c r="O22" i="5679"/>
  <c r="O17" i="5683"/>
  <c r="O15" i="5683"/>
  <c r="O21" i="5681"/>
  <c r="O15" i="5671" l="1"/>
  <c r="O17" i="5671"/>
  <c r="O18" i="5683"/>
  <c r="O19" i="5683"/>
  <c r="C27" i="5683"/>
  <c r="B24" i="5683"/>
  <c r="C20" i="5683"/>
  <c r="B17" i="5683"/>
  <c r="H52" i="5683" s="1"/>
  <c r="C16" i="5683"/>
  <c r="C15" i="5683"/>
  <c r="C14" i="5683"/>
  <c r="C13" i="5683"/>
  <c r="O12" i="5683"/>
  <c r="C12" i="5683"/>
  <c r="O11" i="5683"/>
  <c r="C11" i="5683"/>
  <c r="O10" i="5683"/>
  <c r="C10" i="5683"/>
  <c r="C9" i="5683"/>
  <c r="C8" i="5683"/>
  <c r="O7" i="5683"/>
  <c r="C7" i="5683"/>
  <c r="O6" i="5683"/>
  <c r="B6" i="5683"/>
  <c r="O5" i="5683"/>
  <c r="B5" i="5683"/>
  <c r="O4" i="5683"/>
  <c r="O3" i="5683"/>
  <c r="O2" i="5683"/>
  <c r="O21" i="5677"/>
  <c r="O15" i="5677"/>
  <c r="O20" i="5665"/>
  <c r="C17" i="5683" l="1"/>
  <c r="H3" i="5683"/>
  <c r="H37" i="5683"/>
  <c r="H8" i="5683"/>
  <c r="H15" i="5683"/>
  <c r="H12" i="5683"/>
  <c r="H21" i="5683"/>
  <c r="H23" i="5683"/>
  <c r="H2" i="5683"/>
  <c r="H34" i="5683"/>
  <c r="H46" i="5683"/>
  <c r="H38" i="5683"/>
  <c r="H6" i="5683"/>
  <c r="H9" i="5683"/>
  <c r="H24" i="5683"/>
  <c r="H42" i="5683"/>
  <c r="H13" i="5683"/>
  <c r="H4" i="5683"/>
  <c r="H47" i="5683"/>
  <c r="H39" i="5683"/>
  <c r="H18" i="5683"/>
  <c r="H10" i="5683"/>
  <c r="C19" i="5683"/>
  <c r="H29" i="5683"/>
  <c r="H7" i="5683"/>
  <c r="H19" i="5683"/>
  <c r="H30" i="5683"/>
  <c r="H31" i="5683"/>
  <c r="H50" i="5683"/>
  <c r="H45" i="5683"/>
  <c r="H16" i="5683"/>
  <c r="H25" i="5683"/>
  <c r="H32" i="5683"/>
  <c r="H40" i="5683"/>
  <c r="H48" i="5683"/>
  <c r="H20" i="5683"/>
  <c r="H26" i="5683"/>
  <c r="H33" i="5683"/>
  <c r="H41" i="5683"/>
  <c r="H49" i="5683"/>
  <c r="H17" i="5683"/>
  <c r="H22" i="5683"/>
  <c r="H27" i="5683"/>
  <c r="H35" i="5683"/>
  <c r="H43" i="5683"/>
  <c r="H51" i="5683"/>
  <c r="H5" i="5683"/>
  <c r="H11" i="5683"/>
  <c r="H14" i="5683"/>
  <c r="C18" i="5683"/>
  <c r="B23" i="5683"/>
  <c r="H28" i="5683"/>
  <c r="H36" i="5683"/>
  <c r="H44" i="5683"/>
  <c r="O18" i="5669" l="1"/>
  <c r="O19" i="5673"/>
  <c r="O17" i="5669" l="1"/>
  <c r="O19" i="5677"/>
  <c r="O22" i="5677"/>
  <c r="O15" i="5667"/>
  <c r="O19" i="5671"/>
  <c r="O16" i="5673"/>
  <c r="O17" i="5673"/>
  <c r="O19" i="5667"/>
  <c r="O22" i="5671"/>
  <c r="O15" i="5669"/>
  <c r="O17" i="5681"/>
  <c r="O22" i="5681"/>
  <c r="O20" i="5675" l="1"/>
  <c r="O18" i="5675"/>
  <c r="O16" i="5681"/>
  <c r="O15" i="5681"/>
  <c r="C27" i="5681"/>
  <c r="B24" i="5681"/>
  <c r="C20" i="5681"/>
  <c r="B17" i="5681"/>
  <c r="H51" i="5681" s="1"/>
  <c r="C16" i="5681"/>
  <c r="C15" i="5681"/>
  <c r="C14" i="5681"/>
  <c r="C13" i="5681"/>
  <c r="O12" i="5681"/>
  <c r="C12" i="5681"/>
  <c r="O11" i="5681"/>
  <c r="C11" i="5681"/>
  <c r="O10" i="5681"/>
  <c r="C10" i="5681"/>
  <c r="C9" i="5681"/>
  <c r="C8" i="5681"/>
  <c r="O7" i="5681"/>
  <c r="C7" i="5681"/>
  <c r="O6" i="5681"/>
  <c r="B6" i="5681"/>
  <c r="O5" i="5681"/>
  <c r="B5" i="5681"/>
  <c r="O4" i="5681"/>
  <c r="O3" i="5681"/>
  <c r="O2" i="5681"/>
  <c r="O15" i="5665"/>
  <c r="O16" i="5679"/>
  <c r="O21" i="5679"/>
  <c r="C27" i="5679"/>
  <c r="B24" i="5679"/>
  <c r="C20" i="5679"/>
  <c r="B17" i="5679"/>
  <c r="H6" i="5679" s="1"/>
  <c r="C16" i="5679"/>
  <c r="C15" i="5679"/>
  <c r="C14" i="5679"/>
  <c r="C13" i="5679"/>
  <c r="O12" i="5679"/>
  <c r="C12" i="5679"/>
  <c r="O11" i="5679"/>
  <c r="C11" i="5679"/>
  <c r="O10" i="5679"/>
  <c r="C10" i="5679"/>
  <c r="C9" i="5679"/>
  <c r="C8" i="5679"/>
  <c r="O7" i="5679"/>
  <c r="C7" i="5679"/>
  <c r="O6" i="5679"/>
  <c r="B6" i="5679"/>
  <c r="O5" i="5679"/>
  <c r="B5" i="5679"/>
  <c r="O4" i="5679"/>
  <c r="O3" i="5679"/>
  <c r="O2" i="5679"/>
  <c r="O23" i="5665"/>
  <c r="H5" i="5681" l="1"/>
  <c r="H15" i="5681"/>
  <c r="H2" i="5681"/>
  <c r="H8" i="5681"/>
  <c r="H19" i="5681"/>
  <c r="H3" i="5681"/>
  <c r="H6" i="5681"/>
  <c r="H12" i="5681"/>
  <c r="H4" i="5681"/>
  <c r="H14" i="5681"/>
  <c r="H25" i="5681"/>
  <c r="H9" i="5681"/>
  <c r="H11" i="5681"/>
  <c r="H24" i="5681"/>
  <c r="H18" i="5681"/>
  <c r="H37" i="5681"/>
  <c r="H10" i="5681"/>
  <c r="C19" i="5681"/>
  <c r="H39" i="5681"/>
  <c r="H40" i="5681"/>
  <c r="H28" i="5681"/>
  <c r="H44" i="5681"/>
  <c r="H16" i="5681"/>
  <c r="H21" i="5681"/>
  <c r="H29" i="5681"/>
  <c r="H45" i="5681"/>
  <c r="B23" i="5681"/>
  <c r="H31" i="5681"/>
  <c r="H47" i="5681"/>
  <c r="H7" i="5681"/>
  <c r="H13" i="5681"/>
  <c r="C17" i="5681"/>
  <c r="H23" i="5681"/>
  <c r="H32" i="5681"/>
  <c r="H48" i="5681"/>
  <c r="C18" i="5681"/>
  <c r="H36" i="5681"/>
  <c r="H52" i="5681"/>
  <c r="H30" i="5681"/>
  <c r="H38" i="5681"/>
  <c r="H46" i="5681"/>
  <c r="H20" i="5681"/>
  <c r="H26" i="5681"/>
  <c r="H33" i="5681"/>
  <c r="H41" i="5681"/>
  <c r="H49" i="5681"/>
  <c r="H34" i="5681"/>
  <c r="H42" i="5681"/>
  <c r="H50" i="5681"/>
  <c r="H17" i="5681"/>
  <c r="H22" i="5681"/>
  <c r="H27" i="5681"/>
  <c r="H35" i="5681"/>
  <c r="H43" i="5681"/>
  <c r="H2" i="5679"/>
  <c r="H4" i="5679"/>
  <c r="H45" i="5679"/>
  <c r="H47" i="5679"/>
  <c r="H14" i="5679"/>
  <c r="H19" i="5679"/>
  <c r="H32" i="5679"/>
  <c r="C18" i="5679"/>
  <c r="H5" i="5679"/>
  <c r="H20" i="5679"/>
  <c r="H12" i="5679"/>
  <c r="H46" i="5679"/>
  <c r="H3" i="5679"/>
  <c r="H15" i="5679"/>
  <c r="C19" i="5679"/>
  <c r="H27" i="5679"/>
  <c r="H37" i="5679"/>
  <c r="H21" i="5679"/>
  <c r="H11" i="5679"/>
  <c r="H38" i="5679"/>
  <c r="H48" i="5679"/>
  <c r="H43" i="5679"/>
  <c r="H49" i="5679"/>
  <c r="C17" i="5679"/>
  <c r="H26" i="5679"/>
  <c r="H33" i="5679"/>
  <c r="H18" i="5679"/>
  <c r="H23" i="5679"/>
  <c r="H35" i="5679"/>
  <c r="H8" i="5679"/>
  <c r="H7" i="5679"/>
  <c r="H10" i="5679"/>
  <c r="H16" i="5679"/>
  <c r="H29" i="5679"/>
  <c r="H39" i="5679"/>
  <c r="H17" i="5679"/>
  <c r="H9" i="5679"/>
  <c r="H30" i="5679"/>
  <c r="H40" i="5679"/>
  <c r="H51" i="5679"/>
  <c r="B23" i="5679"/>
  <c r="H31" i="5679"/>
  <c r="H41" i="5679"/>
  <c r="H52" i="5679"/>
  <c r="H24" i="5679"/>
  <c r="H28" i="5679"/>
  <c r="H34" i="5679"/>
  <c r="H42" i="5679"/>
  <c r="H50" i="5679"/>
  <c r="H22" i="5679"/>
  <c r="H25" i="5679"/>
  <c r="H13" i="5679"/>
  <c r="H36" i="5679"/>
  <c r="H44" i="5679"/>
  <c r="O20" i="5677" l="1"/>
  <c r="O16" i="5677"/>
  <c r="C27" i="5677"/>
  <c r="B24" i="5677"/>
  <c r="C20" i="5677"/>
  <c r="B17" i="5677"/>
  <c r="H52" i="5677" s="1"/>
  <c r="C16" i="5677"/>
  <c r="C15" i="5677"/>
  <c r="C14" i="5677"/>
  <c r="C13" i="5677"/>
  <c r="O12" i="5677"/>
  <c r="C12" i="5677"/>
  <c r="O11" i="5677"/>
  <c r="C11" i="5677"/>
  <c r="O10" i="5677"/>
  <c r="C10" i="5677"/>
  <c r="C9" i="5677"/>
  <c r="C8" i="5677"/>
  <c r="O7" i="5677"/>
  <c r="C7" i="5677"/>
  <c r="O6" i="5677"/>
  <c r="B6" i="5677"/>
  <c r="O5" i="5677"/>
  <c r="B5" i="5677"/>
  <c r="O4" i="5677"/>
  <c r="O3" i="5677"/>
  <c r="O2" i="5677"/>
  <c r="O15" i="5675"/>
  <c r="O16" i="5675"/>
  <c r="C27" i="5675"/>
  <c r="B24" i="5675"/>
  <c r="C20" i="5675"/>
  <c r="B17" i="5675"/>
  <c r="H52" i="5675" s="1"/>
  <c r="C16" i="5675"/>
  <c r="C15" i="5675"/>
  <c r="C14" i="5675"/>
  <c r="C13" i="5675"/>
  <c r="O12" i="5675"/>
  <c r="C12" i="5675"/>
  <c r="O11" i="5675"/>
  <c r="C11" i="5675"/>
  <c r="O10" i="5675"/>
  <c r="C10" i="5675"/>
  <c r="C9" i="5675"/>
  <c r="C8" i="5675"/>
  <c r="O7" i="5675"/>
  <c r="C7" i="5675"/>
  <c r="O6" i="5675"/>
  <c r="B6" i="5675"/>
  <c r="O5" i="5675"/>
  <c r="B5" i="5675"/>
  <c r="O4" i="5675"/>
  <c r="O3" i="5675"/>
  <c r="O2" i="5675"/>
  <c r="O16" i="5665"/>
  <c r="O21" i="5673"/>
  <c r="O20" i="5673"/>
  <c r="C27" i="5673"/>
  <c r="B24" i="5673"/>
  <c r="C20" i="5673"/>
  <c r="B17" i="5673"/>
  <c r="H52" i="5673" s="1"/>
  <c r="C16" i="5673"/>
  <c r="C15" i="5673"/>
  <c r="C14" i="5673"/>
  <c r="C13" i="5673"/>
  <c r="O12" i="5673"/>
  <c r="C12" i="5673"/>
  <c r="O11" i="5673"/>
  <c r="C11" i="5673"/>
  <c r="O10" i="5673"/>
  <c r="C10" i="5673"/>
  <c r="C9" i="5673"/>
  <c r="C8" i="5673"/>
  <c r="O7" i="5673"/>
  <c r="C7" i="5673"/>
  <c r="O6" i="5673"/>
  <c r="B6" i="5673"/>
  <c r="O5" i="5673"/>
  <c r="B5" i="5673"/>
  <c r="O4" i="5673"/>
  <c r="O3" i="5673"/>
  <c r="O2" i="5673"/>
  <c r="O18" i="5665"/>
  <c r="O19" i="5665"/>
  <c r="B23" i="5673" l="1"/>
  <c r="H4" i="5673"/>
  <c r="H16" i="5673"/>
  <c r="H32" i="5673"/>
  <c r="H13" i="5677"/>
  <c r="H10" i="5677"/>
  <c r="H23" i="5675"/>
  <c r="H23" i="5677"/>
  <c r="H4" i="5677"/>
  <c r="H7" i="5677"/>
  <c r="H15" i="5677"/>
  <c r="H30" i="5677"/>
  <c r="H31" i="5677"/>
  <c r="C19" i="5677"/>
  <c r="H38" i="5677"/>
  <c r="H5" i="5677"/>
  <c r="H8" i="5677"/>
  <c r="H12" i="5677"/>
  <c r="H2" i="5677"/>
  <c r="H19" i="5677"/>
  <c r="H39" i="5677"/>
  <c r="H37" i="5677"/>
  <c r="H24" i="5677"/>
  <c r="H45" i="5677"/>
  <c r="H3" i="5677"/>
  <c r="H9" i="5677"/>
  <c r="C17" i="5677"/>
  <c r="H46" i="5677"/>
  <c r="H6" i="5677"/>
  <c r="H18" i="5677"/>
  <c r="H29" i="5677"/>
  <c r="H47" i="5677"/>
  <c r="H16" i="5677"/>
  <c r="H25" i="5677"/>
  <c r="H32" i="5677"/>
  <c r="H40" i="5677"/>
  <c r="H48" i="5677"/>
  <c r="H20" i="5677"/>
  <c r="H26" i="5677"/>
  <c r="H33" i="5677"/>
  <c r="H41" i="5677"/>
  <c r="H49" i="5677"/>
  <c r="H21" i="5677"/>
  <c r="H34" i="5677"/>
  <c r="H42" i="5677"/>
  <c r="H50" i="5677"/>
  <c r="H17" i="5677"/>
  <c r="H22" i="5677"/>
  <c r="H27" i="5677"/>
  <c r="H35" i="5677"/>
  <c r="H43" i="5677"/>
  <c r="H51" i="5677"/>
  <c r="H11" i="5677"/>
  <c r="H14" i="5677"/>
  <c r="C18" i="5677"/>
  <c r="B23" i="5677"/>
  <c r="H28" i="5677"/>
  <c r="H36" i="5677"/>
  <c r="H44" i="5677"/>
  <c r="H38" i="5675"/>
  <c r="H39" i="5675"/>
  <c r="H3" i="5675"/>
  <c r="C17" i="5675"/>
  <c r="H25" i="5675"/>
  <c r="C19" i="5675"/>
  <c r="H2" i="5675"/>
  <c r="H46" i="5675"/>
  <c r="H18" i="5675"/>
  <c r="H14" i="5675"/>
  <c r="H12" i="5675"/>
  <c r="H5" i="5675"/>
  <c r="H22" i="5675"/>
  <c r="H28" i="5675"/>
  <c r="H47" i="5675"/>
  <c r="H10" i="5675"/>
  <c r="H7" i="5675"/>
  <c r="H15" i="5675"/>
  <c r="H20" i="5675"/>
  <c r="H13" i="5675"/>
  <c r="H17" i="5675"/>
  <c r="H32" i="5675"/>
  <c r="H40" i="5675"/>
  <c r="H48" i="5675"/>
  <c r="H29" i="5675"/>
  <c r="H33" i="5675"/>
  <c r="H41" i="5675"/>
  <c r="H49" i="5675"/>
  <c r="H26" i="5675"/>
  <c r="H30" i="5675"/>
  <c r="H34" i="5675"/>
  <c r="H42" i="5675"/>
  <c r="H50" i="5675"/>
  <c r="H9" i="5675"/>
  <c r="H16" i="5675"/>
  <c r="H11" i="5675"/>
  <c r="H35" i="5675"/>
  <c r="H43" i="5675"/>
  <c r="H51" i="5675"/>
  <c r="H24" i="5675"/>
  <c r="H27" i="5675"/>
  <c r="H6" i="5675"/>
  <c r="H36" i="5675"/>
  <c r="H44" i="5675"/>
  <c r="H8" i="5675"/>
  <c r="H4" i="5675"/>
  <c r="H19" i="5675"/>
  <c r="H21" i="5675"/>
  <c r="C18" i="5675"/>
  <c r="B23" i="5675"/>
  <c r="H31" i="5675"/>
  <c r="H37" i="5675"/>
  <c r="H45" i="5675"/>
  <c r="H37" i="5673"/>
  <c r="H38" i="5673"/>
  <c r="H7" i="5673"/>
  <c r="H13" i="5673"/>
  <c r="C18" i="5673"/>
  <c r="H11" i="5673"/>
  <c r="H18" i="5673"/>
  <c r="H40" i="5673"/>
  <c r="H23" i="5673"/>
  <c r="H25" i="5673"/>
  <c r="H8" i="5673"/>
  <c r="C19" i="5673"/>
  <c r="H28" i="5673"/>
  <c r="H44" i="5673"/>
  <c r="H10" i="5673"/>
  <c r="C17" i="5673"/>
  <c r="H14" i="5673"/>
  <c r="H45" i="5673"/>
  <c r="H36" i="5673"/>
  <c r="H5" i="5673"/>
  <c r="H2" i="5673"/>
  <c r="H15" i="5673"/>
  <c r="H29" i="5673"/>
  <c r="H3" i="5673"/>
  <c r="H6" i="5673"/>
  <c r="H9" i="5673"/>
  <c r="H12" i="5673"/>
  <c r="H21" i="5673"/>
  <c r="H30" i="5673"/>
  <c r="H46" i="5673"/>
  <c r="H19" i="5673"/>
  <c r="H24" i="5673"/>
  <c r="H31" i="5673"/>
  <c r="H39" i="5673"/>
  <c r="H47" i="5673"/>
  <c r="H48" i="5673"/>
  <c r="H20" i="5673"/>
  <c r="H26" i="5673"/>
  <c r="H33" i="5673"/>
  <c r="H41" i="5673"/>
  <c r="H49" i="5673"/>
  <c r="H34" i="5673"/>
  <c r="H42" i="5673"/>
  <c r="H50" i="5673"/>
  <c r="H17" i="5673"/>
  <c r="H22" i="5673"/>
  <c r="H27" i="5673"/>
  <c r="H35" i="5673"/>
  <c r="H43" i="5673"/>
  <c r="H51" i="5673"/>
  <c r="O21" i="5671" l="1"/>
  <c r="O20" i="5671"/>
  <c r="C27" i="5671"/>
  <c r="B24" i="5671"/>
  <c r="C20" i="5671"/>
  <c r="B17" i="5671"/>
  <c r="H51" i="5671" s="1"/>
  <c r="C16" i="5671"/>
  <c r="C15" i="5671"/>
  <c r="C14" i="5671"/>
  <c r="C13" i="5671"/>
  <c r="O12" i="5671"/>
  <c r="C12" i="5671"/>
  <c r="O11" i="5671"/>
  <c r="C11" i="5671"/>
  <c r="O10" i="5671"/>
  <c r="C10" i="5671"/>
  <c r="C9" i="5671"/>
  <c r="C8" i="5671"/>
  <c r="O7" i="5671"/>
  <c r="C7" i="5671"/>
  <c r="O6" i="5671"/>
  <c r="B6" i="5671"/>
  <c r="O5" i="5671"/>
  <c r="B5" i="5671"/>
  <c r="O4" i="5671"/>
  <c r="O3" i="5671"/>
  <c r="O2" i="5671"/>
  <c r="O19" i="5669"/>
  <c r="O20" i="5669"/>
  <c r="C27" i="5669"/>
  <c r="B24" i="5669"/>
  <c r="C20" i="5669"/>
  <c r="B17" i="5669"/>
  <c r="H52" i="5669" s="1"/>
  <c r="C16" i="5669"/>
  <c r="C15" i="5669"/>
  <c r="C14" i="5669"/>
  <c r="C13" i="5669"/>
  <c r="O12" i="5669"/>
  <c r="C12" i="5669"/>
  <c r="O11" i="5669"/>
  <c r="C11" i="5669"/>
  <c r="O10" i="5669"/>
  <c r="C10" i="5669"/>
  <c r="C9" i="5669"/>
  <c r="C8" i="5669"/>
  <c r="O7" i="5669"/>
  <c r="C7" i="5669"/>
  <c r="O6" i="5669"/>
  <c r="B6" i="5669"/>
  <c r="O5" i="5669"/>
  <c r="B5" i="5669"/>
  <c r="O4" i="5669"/>
  <c r="O3" i="5669"/>
  <c r="O2" i="5669"/>
  <c r="O17" i="5665"/>
  <c r="O16" i="5667"/>
  <c r="O18" i="5667"/>
  <c r="C27" i="5667"/>
  <c r="B24" i="5667"/>
  <c r="C20" i="5667"/>
  <c r="B17" i="5667"/>
  <c r="H49" i="5667" s="1"/>
  <c r="C16" i="5667"/>
  <c r="C15" i="5667"/>
  <c r="C14" i="5667"/>
  <c r="C13" i="5667"/>
  <c r="O12" i="5667"/>
  <c r="C12" i="5667"/>
  <c r="O11" i="5667"/>
  <c r="C11" i="5667"/>
  <c r="O10" i="5667"/>
  <c r="C10" i="5667"/>
  <c r="C9" i="5667"/>
  <c r="C8" i="5667"/>
  <c r="O7" i="5667"/>
  <c r="C7" i="5667"/>
  <c r="O6" i="5667"/>
  <c r="B6" i="5667"/>
  <c r="O5" i="5667"/>
  <c r="B5" i="5667"/>
  <c r="O4" i="5667"/>
  <c r="O3" i="5667"/>
  <c r="O2" i="5667"/>
  <c r="O21" i="5665"/>
  <c r="O22" i="5665"/>
  <c r="C27" i="5665"/>
  <c r="B24" i="5665"/>
  <c r="C20" i="5665"/>
  <c r="B17" i="5665"/>
  <c r="H19" i="5665" s="1"/>
  <c r="C16" i="5665"/>
  <c r="C15" i="5665"/>
  <c r="C14" i="5665"/>
  <c r="C13" i="5665"/>
  <c r="O12" i="5665"/>
  <c r="C12" i="5665"/>
  <c r="O11" i="5665"/>
  <c r="C11" i="5665"/>
  <c r="O10" i="5665"/>
  <c r="C10" i="5665"/>
  <c r="C9" i="5665"/>
  <c r="C8" i="5665"/>
  <c r="O7" i="5665"/>
  <c r="C7" i="5665"/>
  <c r="O6" i="5665"/>
  <c r="B6" i="5665"/>
  <c r="O5" i="5665"/>
  <c r="B5" i="5665"/>
  <c r="O4" i="5665"/>
  <c r="O3" i="5665"/>
  <c r="O2" i="5665"/>
  <c r="H16" i="5669" l="1"/>
  <c r="H8" i="5667"/>
  <c r="H5" i="5667"/>
  <c r="H12" i="5667"/>
  <c r="H23" i="5667"/>
  <c r="H3" i="5667"/>
  <c r="H11" i="5667"/>
  <c r="H21" i="5667"/>
  <c r="H15" i="5667"/>
  <c r="H29" i="5667"/>
  <c r="H16" i="5667"/>
  <c r="H13" i="5671"/>
  <c r="H2" i="5671"/>
  <c r="H14" i="5671"/>
  <c r="H3" i="5671"/>
  <c r="H31" i="5671"/>
  <c r="H44" i="5671"/>
  <c r="H27" i="5671"/>
  <c r="H15" i="5671"/>
  <c r="H45" i="5671"/>
  <c r="H9" i="5671"/>
  <c r="H22" i="5671"/>
  <c r="C17" i="5671"/>
  <c r="B23" i="5671"/>
  <c r="H34" i="5671"/>
  <c r="H46" i="5671"/>
  <c r="H28" i="5671"/>
  <c r="H36" i="5671"/>
  <c r="H47" i="5671"/>
  <c r="H7" i="5671"/>
  <c r="H20" i="5671"/>
  <c r="H23" i="5671"/>
  <c r="C18" i="5671"/>
  <c r="H37" i="5671"/>
  <c r="H50" i="5671"/>
  <c r="H25" i="5671"/>
  <c r="H19" i="5671"/>
  <c r="H4" i="5671"/>
  <c r="H16" i="5671"/>
  <c r="H29" i="5671"/>
  <c r="C19" i="5671"/>
  <c r="H39" i="5671"/>
  <c r="H5" i="5671"/>
  <c r="H17" i="5671"/>
  <c r="H38" i="5671"/>
  <c r="H24" i="5671"/>
  <c r="H10" i="5671"/>
  <c r="H6" i="5671"/>
  <c r="H11" i="5671"/>
  <c r="H21" i="5671"/>
  <c r="H8" i="5671"/>
  <c r="H42" i="5671"/>
  <c r="H52" i="5671"/>
  <c r="H32" i="5671"/>
  <c r="H40" i="5671"/>
  <c r="H48" i="5671"/>
  <c r="H18" i="5671"/>
  <c r="H12" i="5671"/>
  <c r="H33" i="5671"/>
  <c r="H41" i="5671"/>
  <c r="H49" i="5671"/>
  <c r="H26" i="5671"/>
  <c r="H30" i="5671"/>
  <c r="H35" i="5671"/>
  <c r="H43" i="5671"/>
  <c r="H31" i="5669"/>
  <c r="H47" i="5669"/>
  <c r="H12" i="5669"/>
  <c r="H21" i="5669"/>
  <c r="H3" i="5669"/>
  <c r="H9" i="5669"/>
  <c r="H22" i="5669"/>
  <c r="H50" i="5669"/>
  <c r="H35" i="5669"/>
  <c r="H4" i="5669"/>
  <c r="H10" i="5669"/>
  <c r="H13" i="5669"/>
  <c r="H17" i="5669"/>
  <c r="H37" i="5669"/>
  <c r="H7" i="5669"/>
  <c r="H18" i="5669"/>
  <c r="H24" i="5669"/>
  <c r="H39" i="5669"/>
  <c r="H6" i="5669"/>
  <c r="H34" i="5669"/>
  <c r="H51" i="5669"/>
  <c r="H43" i="5669"/>
  <c r="C17" i="5669"/>
  <c r="H23" i="5669"/>
  <c r="C19" i="5669"/>
  <c r="H42" i="5669"/>
  <c r="H5" i="5669"/>
  <c r="H15" i="5669"/>
  <c r="H19" i="5669"/>
  <c r="H27" i="5669"/>
  <c r="H2" i="5669"/>
  <c r="H8" i="5669"/>
  <c r="H29" i="5669"/>
  <c r="H45" i="5669"/>
  <c r="H30" i="5669"/>
  <c r="H38" i="5669"/>
  <c r="H46" i="5669"/>
  <c r="H25" i="5669"/>
  <c r="H32" i="5669"/>
  <c r="H40" i="5669"/>
  <c r="H48" i="5669"/>
  <c r="H20" i="5669"/>
  <c r="H26" i="5669"/>
  <c r="H33" i="5669"/>
  <c r="H41" i="5669"/>
  <c r="H49" i="5669"/>
  <c r="H11" i="5669"/>
  <c r="H14" i="5669"/>
  <c r="C18" i="5669"/>
  <c r="B23" i="5669"/>
  <c r="H28" i="5669"/>
  <c r="H36" i="5669"/>
  <c r="H44" i="5669"/>
  <c r="H36" i="5667"/>
  <c r="H37" i="5667"/>
  <c r="H9" i="5667"/>
  <c r="C19" i="5667"/>
  <c r="H2" i="5667"/>
  <c r="H42" i="5667"/>
  <c r="H44" i="5667"/>
  <c r="H17" i="5667"/>
  <c r="H27" i="5667"/>
  <c r="H45" i="5667"/>
  <c r="H6" i="5667"/>
  <c r="H43" i="5667"/>
  <c r="H10" i="5667"/>
  <c r="H4" i="5667"/>
  <c r="C18" i="5667"/>
  <c r="H14" i="5667"/>
  <c r="H18" i="5667"/>
  <c r="H28" i="5667"/>
  <c r="H52" i="5667"/>
  <c r="H50" i="5667"/>
  <c r="H22" i="5667"/>
  <c r="H34" i="5667"/>
  <c r="H7" i="5667"/>
  <c r="H13" i="5667"/>
  <c r="C17" i="5667"/>
  <c r="B23" i="5667"/>
  <c r="H35" i="5667"/>
  <c r="H51" i="5667"/>
  <c r="H30" i="5667"/>
  <c r="H38" i="5667"/>
  <c r="H46" i="5667"/>
  <c r="H19" i="5667"/>
  <c r="H24" i="5667"/>
  <c r="H31" i="5667"/>
  <c r="H39" i="5667"/>
  <c r="H47" i="5667"/>
  <c r="H25" i="5667"/>
  <c r="H32" i="5667"/>
  <c r="H40" i="5667"/>
  <c r="H48" i="5667"/>
  <c r="H20" i="5667"/>
  <c r="H26" i="5667"/>
  <c r="H33" i="5667"/>
  <c r="H41" i="5667"/>
  <c r="H23" i="5665"/>
  <c r="H37" i="5665"/>
  <c r="C19" i="5665"/>
  <c r="H12" i="5665"/>
  <c r="H22" i="5665"/>
  <c r="H4" i="5665"/>
  <c r="H6" i="5665"/>
  <c r="H10" i="5665"/>
  <c r="H15" i="5665"/>
  <c r="H38" i="5665"/>
  <c r="H44" i="5665"/>
  <c r="H3" i="5665"/>
  <c r="H27" i="5665"/>
  <c r="H46" i="5665"/>
  <c r="H49" i="5665"/>
  <c r="H14" i="5665"/>
  <c r="C18" i="5665"/>
  <c r="H45" i="5665"/>
  <c r="H2" i="5665"/>
  <c r="H32" i="5665"/>
  <c r="H31" i="5665"/>
  <c r="H34" i="5665"/>
  <c r="H47" i="5665"/>
  <c r="H30" i="5665"/>
  <c r="H16" i="5665"/>
  <c r="H35" i="5665"/>
  <c r="H7" i="5665"/>
  <c r="H11" i="5665"/>
  <c r="H21" i="5665"/>
  <c r="H36" i="5665"/>
  <c r="H50" i="5665"/>
  <c r="H13" i="5665"/>
  <c r="H9" i="5665"/>
  <c r="H24" i="5665"/>
  <c r="H28" i="5665"/>
  <c r="H5" i="5665"/>
  <c r="H39" i="5665"/>
  <c r="H8" i="5665"/>
  <c r="C17" i="5665"/>
  <c r="H25" i="5665"/>
  <c r="H41" i="5665"/>
  <c r="H18" i="5665"/>
  <c r="B23" i="5665"/>
  <c r="H17" i="5665"/>
  <c r="H42" i="5665"/>
  <c r="H52" i="5665"/>
  <c r="H20" i="5665"/>
  <c r="H40" i="5665"/>
  <c r="H48" i="5665"/>
  <c r="H33" i="5665"/>
  <c r="H26" i="5665"/>
  <c r="H29" i="5665"/>
  <c r="H43" i="5665"/>
  <c r="H51" i="566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<sst xmlns="http://schemas.openxmlformats.org/spreadsheetml/2006/main" count="2455" uniqueCount="214">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</sst>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全体!$K$2:$K$200</c:f>
              <c:numCache>
                <c:formatCode>General</c:formatCode>
                <c:ptCount val="1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</c:numCache>
            </c:numRef>
          </c:xVal>
          <c:yVal>
            <c:numRef>
              <c:f>全体!$L$2:$L$200</c:f>
              <c:numCache>
                <c:formatCode>\+0.0;\-0.0;\±0</c:formatCode>
                <c:ptCount val="19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02-403D-BA07-A990C55E3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-25.641025641025642</c:v>
                </c:pt>
                <c:pt idx="1">
                  <c:v>20.833333333333332</c:v>
                </c:pt>
                <c:pt idx="2">
                  <c:v>-31.746031746031747</c:v>
                </c:pt>
                <c:pt idx="3">
                  <c:v>28.248587570621471</c:v>
                </c:pt>
                <c:pt idx="4">
                  <c:v>12.345679012345679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59-4B5C-82E9-83ED5D979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たかの!$L$2:$L$21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51-4C6D-9771-1B74EF7B3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-1289.4736842105262</c:v>
                </c:pt>
                <c:pt idx="1">
                  <c:v>84.21052631578948</c:v>
                </c:pt>
                <c:pt idx="2">
                  <c:v>784.21052631578948</c:v>
                </c:pt>
                <c:pt idx="3">
                  <c:v>-622.22222222222217</c:v>
                </c:pt>
                <c:pt idx="4">
                  <c:v>-2044.4444444444443</c:v>
                </c:pt>
                <c:pt idx="5">
                  <c:v>-2933.3333333333335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99-4539-AA5A-C881C365A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だいち!$L$2:$L$42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03-4341-B7CA-CD2E323D1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-189.74358974358975</c:v>
                </c:pt>
                <c:pt idx="1">
                  <c:v>-907.89473684210532</c:v>
                </c:pt>
                <c:pt idx="2">
                  <c:v>110.52631578947368</c:v>
                </c:pt>
                <c:pt idx="3">
                  <c:v>-494.28571428571428</c:v>
                </c:pt>
                <c:pt idx="4">
                  <c:v>5387.878787878788</c:v>
                </c:pt>
                <c:pt idx="5">
                  <c:v>5842.3076923076924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55-464B-88F4-41EEC8EC0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ただ!$L$2:$L$45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F-4C31-AEEE-335926D73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471.42857142857144</c:v>
                </c:pt>
                <c:pt idx="1">
                  <c:v>1321.9512195121952</c:v>
                </c:pt>
                <c:pt idx="2">
                  <c:v>1630</c:v>
                </c:pt>
                <c:pt idx="3">
                  <c:v>2721.0526315789475</c:v>
                </c:pt>
                <c:pt idx="4">
                  <c:v>-1925.7142857142858</c:v>
                </c:pt>
                <c:pt idx="5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7-495C-A777-A1D4DCD7D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DC8-BBAB-FE7157434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891.304347826087</c:v>
                </c:pt>
                <c:pt idx="1">
                  <c:v>-860.86956521739125</c:v>
                </c:pt>
                <c:pt idx="2">
                  <c:v>1230.4347826086957</c:v>
                </c:pt>
                <c:pt idx="3">
                  <c:v>-1680.952380952381</c:v>
                </c:pt>
                <c:pt idx="4">
                  <c:v>-4430</c:v>
                </c:pt>
                <c:pt idx="5">
                  <c:v>-2072.2222222222222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C5-4723-82C1-676023641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れんたろう!$L$2:$L$22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A-4C2B-8BC6-DA81B8A14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1090</c:v>
                </c:pt>
                <c:pt idx="1">
                  <c:v>-2952.6315789473683</c:v>
                </c:pt>
                <c:pt idx="2">
                  <c:v>-411.11111111111109</c:v>
                </c:pt>
                <c:pt idx="3">
                  <c:v>5323.5294117647063</c:v>
                </c:pt>
                <c:pt idx="4">
                  <c:v>-1413.3333333333333</c:v>
                </c:pt>
                <c:pt idx="5">
                  <c:v>-5818.181818181818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77-4681-A154-0B6FC96D3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C-4CBA-828B-4BEC4C565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352.38095238095241</c:v>
                </c:pt>
                <c:pt idx="1">
                  <c:v>-223.8095238095238</c:v>
                </c:pt>
                <c:pt idx="2">
                  <c:v>-2355</c:v>
                </c:pt>
                <c:pt idx="3">
                  <c:v>-755.55555555555554</c:v>
                </c:pt>
                <c:pt idx="4">
                  <c:v>-3085.7142857142858</c:v>
                </c:pt>
                <c:pt idx="5">
                  <c:v>1458.3333333333333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6D-4729-99D5-A27B0865B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32-450B-BF62-1B72BB824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-2226.6666666666665</c:v>
                </c:pt>
                <c:pt idx="1">
                  <c:v>-546.66666666666663</c:v>
                </c:pt>
                <c:pt idx="2">
                  <c:v>-2753.3333333333335</c:v>
                </c:pt>
                <c:pt idx="3">
                  <c:v>-4764.2857142857147</c:v>
                </c:pt>
                <c:pt idx="4">
                  <c:v>-207.69230769230768</c:v>
                </c:pt>
                <c:pt idx="5">
                  <c:v>-4720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C1-4C32-94EF-9AC6880D4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9-4C51-AB18-C41C4A699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75-4844-9E3F-875CAE775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5C-45FD-B500-34E6076E2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-1740</c:v>
                </c:pt>
                <c:pt idx="1">
                  <c:v>3760</c:v>
                </c:pt>
                <c:pt idx="2">
                  <c:v>-5480</c:v>
                </c:pt>
                <c:pt idx="3">
                  <c:v>-1600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7D-4283-881C-9D04966D3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のり2!$B$3:$B$18</c:f>
              <c:numCache>
                <c:formatCode>\+0.0;\-0.0;\±0</c:formatCode>
                <c:ptCount val="1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90798504668055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のり2!$C$3:$C$18</c:f>
              <c:numCache>
                <c:formatCode>\+0.0;\-0.0;\±0</c:formatCode>
                <c:ptCount val="16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9737298215558337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のり2!$D$3:$D$18</c:f>
              <c:numCache>
                <c:formatCode>0.00\ "位"</c:formatCode>
                <c:ptCount val="1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のり2!$E$3:$E$18</c:f>
              <c:numCache>
                <c:formatCode>0.0%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のり2!$F$3:$F$18</c:f>
              <c:numCache>
                <c:formatCode>0.0%</c:formatCode>
                <c:ptCount val="1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のり2!$G$3:$G$18</c:f>
              <c:numCache>
                <c:formatCode>0.0%</c:formatCode>
                <c:ptCount val="16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316580011554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のり2!$H$3:$H$18</c:f>
              <c:numCache>
                <c:formatCode>0.0%</c:formatCode>
                <c:ptCount val="16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688619295205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のり2!$I$3:$I$18</c:f>
              <c:numCache>
                <c:formatCode>0</c:formatCode>
                <c:ptCount val="16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71.34387351778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のり2!$J$3:$J$18</c:f>
              <c:numCache>
                <c:formatCode>0</c:formatCode>
                <c:ptCount val="16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1.02739726027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のり2!$K$3:$K$18</c:f>
              <c:numCache>
                <c:formatCode>0.0%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のり2!$L$3:$L$18</c:f>
              <c:numCache>
                <c:formatCode>0.0%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のり2!$M$3:$M$18</c:f>
              <c:numCache>
                <c:formatCode>0.0%</c:formatCode>
                <c:ptCount val="16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100519930675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のり2!$N$3:$N$18</c:f>
              <c:numCache>
                <c:formatCode>0.0%</c:formatCode>
                <c:ptCount val="16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100519930675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のり2!$O$3:$O$18</c:f>
              <c:numCache>
                <c:formatCode>0.0%</c:formatCode>
                <c:ptCount val="16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643192488262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のり2!$P$3:$P$18</c:f>
              <c:numCache>
                <c:formatCode>0.0%</c:formatCode>
                <c:ptCount val="16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0187793427230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のり2!$Q$1:$Q$2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のり2!$Q$3:$Q$18</c:f>
              <c:numCache>
                <c:formatCode>0.0%</c:formatCode>
                <c:ptCount val="16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0948616600790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5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43735.624351851853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43735.624351851853</v>
      </c>
      <c r="C3" s="30" t="s">
        <v>129</v>
      </c>
    </row>
    <row r="4" spans="1:12" x14ac:dyDescent="0.4">
      <c r="A4" s="30" t="s">
        <v>181</v>
      </c>
      <c r="B4" s="31">
        <v>43735.624351851853</v>
      </c>
      <c r="C4" s="30" t="s">
        <v>129</v>
      </c>
    </row>
    <row r="5" spans="1:12" x14ac:dyDescent="0.4">
      <c r="A5" s="30" t="s">
        <v>184</v>
      </c>
      <c r="B5" s="31">
        <v>43736.046932870369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43737.059895833336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43739.000706018516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198</v>
      </c>
      <c r="B8" s="31">
        <v>43741.94121527778</v>
      </c>
      <c r="C8" s="30" t="s">
        <v>129</v>
      </c>
    </row>
    <row r="9" spans="1:12" x14ac:dyDescent="0.4">
      <c r="A9" s="30" t="s">
        <v>195</v>
      </c>
      <c r="B9" s="31">
        <v>43739.660624999997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197</v>
      </c>
      <c r="B10" s="31">
        <v>43740.021921296298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 x14ac:dyDescent="0.4">
      <c r="A11" s="30" t="s">
        <v>199</v>
      </c>
      <c r="B11" s="31">
        <v>43741.94121527778</v>
      </c>
      <c r="C11" s="30" t="s">
        <v>129</v>
      </c>
    </row>
    <row r="12" spans="1:12" x14ac:dyDescent="0.4">
      <c r="A12" s="30" t="s">
        <v>200</v>
      </c>
      <c r="B12" s="31">
        <v>43744.941354166665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202</v>
      </c>
      <c r="B13" s="31">
        <v>43744.941354166665</v>
      </c>
      <c r="C13" s="30" t="s">
        <v>129</v>
      </c>
      <c r="D13" s="30" t="s">
        <v>130</v>
      </c>
    </row>
    <row r="14" spans="1:12" x14ac:dyDescent="0.4">
      <c r="A14" s="30" t="s">
        <v>201</v>
      </c>
      <c r="B14" s="31">
        <v>43743.104375000003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 x14ac:dyDescent="0.4">
      <c r="A15" s="30" t="s">
        <v>203</v>
      </c>
      <c r="B15" s="31">
        <v>43744.941354166665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43743.786203703705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7" x14ac:dyDescent="0.4">
      <c r="A17" s="30" t="s">
        <v>205</v>
      </c>
      <c r="B17" s="31">
        <v>43745.016377314816</v>
      </c>
      <c r="C17" s="30" t="s">
        <v>129</v>
      </c>
      <c r="D17" s="30" t="s">
        <v>130</v>
      </c>
    </row>
    <row r="18" spans="1:7" x14ac:dyDescent="0.4">
      <c r="A18" s="30" t="s">
        <v>206</v>
      </c>
      <c r="B18" s="31">
        <v>43745.531828703701</v>
      </c>
      <c r="C18" s="30" t="s">
        <v>129</v>
      </c>
    </row>
    <row r="19" spans="1:7" x14ac:dyDescent="0.4">
      <c r="A19" s="30" t="s">
        <v>207</v>
      </c>
      <c r="B19" s="31">
        <v>43748.019456018519</v>
      </c>
      <c r="C19" s="30" t="s">
        <v>129</v>
      </c>
    </row>
    <row r="20" spans="1:7" x14ac:dyDescent="0.4">
      <c r="A20" s="30" t="s">
        <v>208</v>
      </c>
      <c r="B20" s="31">
        <v>43747.02511574074</v>
      </c>
      <c r="C20" s="30" t="s">
        <v>129</v>
      </c>
      <c r="D20" s="30" t="s">
        <v>130</v>
      </c>
    </row>
    <row r="21" spans="1:7" x14ac:dyDescent="0.4">
      <c r="A21" s="30" t="s">
        <v>209</v>
      </c>
      <c r="B21" s="31">
        <v>43747.024814814817</v>
      </c>
      <c r="C21" s="30" t="s">
        <v>129</v>
      </c>
    </row>
    <row r="22" spans="1:7" x14ac:dyDescent="0.4">
      <c r="A22" s="30" t="s">
        <v>210</v>
      </c>
      <c r="B22" s="31">
        <v>43748.018101851849</v>
      </c>
      <c r="C22" s="30" t="s">
        <v>129</v>
      </c>
      <c r="D22" s="30" t="s">
        <v>130</v>
      </c>
      <c r="E22" s="30" t="s">
        <v>185</v>
      </c>
    </row>
    <row r="23" spans="1:7" x14ac:dyDescent="0.4">
      <c r="A23" s="30" t="s">
        <v>211</v>
      </c>
      <c r="B23" s="31">
        <v>43748.021782407406</v>
      </c>
      <c r="C23" s="30" t="s">
        <v>129</v>
      </c>
    </row>
    <row r="24" spans="1:7" x14ac:dyDescent="0.4">
      <c r="A24" s="30" t="s">
        <v>212</v>
      </c>
      <c r="B24" s="31">
        <v>43750.139062499999</v>
      </c>
      <c r="C24" s="30" t="s">
        <v>129</v>
      </c>
      <c r="D24" s="30" t="s">
        <v>130</v>
      </c>
      <c r="E24" s="30" t="s">
        <v>185</v>
      </c>
      <c r="F24" s="30" t="s">
        <v>186</v>
      </c>
      <c r="G24" s="30" t="s">
        <v>187</v>
      </c>
    </row>
    <row r="25" spans="1:7" x14ac:dyDescent="0.4">
      <c r="A25" s="30" t="s">
        <v>213</v>
      </c>
      <c r="B25" s="31">
        <v>43750.169328703705</v>
      </c>
      <c r="C25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198</v>
      </c>
    </row>
    <row r="2" spans="1:2" x14ac:dyDescent="0.4">
      <c r="A2" t="s">
        <v>167</v>
      </c>
      <c r="B2">
        <v>19</v>
      </c>
    </row>
    <row r="3" spans="1:2" x14ac:dyDescent="0.4">
      <c r="A3" t="s">
        <v>127</v>
      </c>
      <c r="B3">
        <v>40</v>
      </c>
    </row>
    <row r="4" spans="1:2" x14ac:dyDescent="0.4">
      <c r="A4" t="s">
        <v>128</v>
      </c>
      <c r="B4">
        <v>43</v>
      </c>
    </row>
    <row r="5" spans="1:2" x14ac:dyDescent="0.4">
      <c r="A5" t="s">
        <v>180</v>
      </c>
      <c r="B5">
        <v>24</v>
      </c>
    </row>
    <row r="6" spans="1:2" x14ac:dyDescent="0.4">
      <c r="A6" t="s">
        <v>178</v>
      </c>
      <c r="B6">
        <v>20</v>
      </c>
    </row>
    <row r="7" spans="1:2" x14ac:dyDescent="0.4">
      <c r="A7" t="s">
        <v>179</v>
      </c>
      <c r="B7">
        <v>21</v>
      </c>
    </row>
    <row r="8" spans="1:2" x14ac:dyDescent="0.4">
      <c r="A8" t="s">
        <v>183</v>
      </c>
      <c r="B8">
        <v>15</v>
      </c>
    </row>
    <row r="9" spans="1:2" x14ac:dyDescent="0.4">
      <c r="A9" t="s">
        <v>182</v>
      </c>
      <c r="B9">
        <v>11</v>
      </c>
    </row>
    <row r="10" spans="1:2" x14ac:dyDescent="0.4">
      <c r="A10" t="s">
        <v>196</v>
      </c>
      <c r="B10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zoomScale="115" zoomScaleNormal="115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161</v>
      </c>
      <c r="K1" s="159"/>
      <c r="L1" s="158" t="s">
        <v>148</v>
      </c>
      <c r="M1" s="159"/>
      <c r="N1" s="158" t="s">
        <v>149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140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150</v>
      </c>
      <c r="AE1" s="159"/>
      <c r="AF1" s="158" t="s">
        <v>143</v>
      </c>
      <c r="AG1" s="159"/>
      <c r="AH1" s="158" t="s">
        <v>152</v>
      </c>
      <c r="AI1" s="159"/>
    </row>
    <row r="2" spans="1:35" x14ac:dyDescent="0.4">
      <c r="A2" s="72" t="s">
        <v>160</v>
      </c>
      <c r="B2" s="160"/>
      <c r="C2" s="161"/>
      <c r="D2" s="160"/>
      <c r="E2" s="161"/>
      <c r="F2" s="162">
        <v>0.98898141597859768</v>
      </c>
      <c r="G2" s="163"/>
      <c r="H2" s="162">
        <v>0.96981670265450681</v>
      </c>
      <c r="I2" s="163"/>
      <c r="J2" s="162">
        <v>0.97874754860134938</v>
      </c>
      <c r="K2" s="163"/>
      <c r="L2" s="162">
        <v>0.88465648374514372</v>
      </c>
      <c r="M2" s="163"/>
      <c r="N2" s="162">
        <v>0.68924429104837703</v>
      </c>
      <c r="O2" s="163"/>
      <c r="P2" s="162">
        <v>7.2605562651318192E-2</v>
      </c>
      <c r="Q2" s="163"/>
      <c r="R2" s="162">
        <v>0.55935561924306587</v>
      </c>
      <c r="S2" s="163"/>
      <c r="T2" s="162">
        <v>0.53725597759604971</v>
      </c>
      <c r="U2" s="163"/>
      <c r="V2" s="162">
        <v>0.55342218907824703</v>
      </c>
      <c r="W2" s="163"/>
      <c r="X2" s="162">
        <v>0.19731928513332236</v>
      </c>
      <c r="Y2" s="163"/>
      <c r="Z2" s="162">
        <v>-0.11899032386305081</v>
      </c>
      <c r="AA2" s="163"/>
      <c r="AB2" s="162">
        <v>0.47524026834115696</v>
      </c>
      <c r="AC2" s="163"/>
      <c r="AD2" s="162">
        <v>0.23660094108490529</v>
      </c>
      <c r="AE2" s="163"/>
      <c r="AF2" s="162">
        <v>9.3441094800519625E-2</v>
      </c>
      <c r="AG2" s="163"/>
      <c r="AH2" s="162">
        <v>0.4753978192131792</v>
      </c>
      <c r="AI2" s="163"/>
    </row>
    <row r="3" spans="1:35" x14ac:dyDescent="0.4">
      <c r="A3" s="74">
        <v>1</v>
      </c>
      <c r="B3" s="75" t="s">
        <v>127</v>
      </c>
      <c r="C3" s="76">
        <v>398.79999999999984</v>
      </c>
      <c r="D3" s="77" t="s">
        <v>182</v>
      </c>
      <c r="E3" s="96">
        <v>11.463636363636365</v>
      </c>
      <c r="F3" s="77" t="s">
        <v>127</v>
      </c>
      <c r="G3" s="78">
        <v>1.7250000000000001</v>
      </c>
      <c r="H3" s="77" t="s">
        <v>196</v>
      </c>
      <c r="I3" s="79">
        <v>0.6</v>
      </c>
      <c r="J3" s="77" t="s">
        <v>182</v>
      </c>
      <c r="K3" s="79">
        <v>0.18181818181818182</v>
      </c>
      <c r="L3" s="77" t="s">
        <v>127</v>
      </c>
      <c r="M3" s="80">
        <v>0.33819241982507287</v>
      </c>
      <c r="N3" s="77" t="s">
        <v>182</v>
      </c>
      <c r="O3" s="80">
        <v>0.11650485436893204</v>
      </c>
      <c r="P3" s="77" t="s">
        <v>178</v>
      </c>
      <c r="Q3" s="81">
        <v>11657.5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</v>
      </c>
      <c r="X3" s="77" t="s">
        <v>182</v>
      </c>
      <c r="Y3" s="80">
        <v>0.29126213592233008</v>
      </c>
      <c r="Z3" s="77" t="s">
        <v>196</v>
      </c>
      <c r="AA3" s="80">
        <v>0.375</v>
      </c>
      <c r="AB3" s="77" t="s">
        <v>182</v>
      </c>
      <c r="AC3" s="80">
        <v>0.66666666666666663</v>
      </c>
      <c r="AD3" s="77" t="s">
        <v>127</v>
      </c>
      <c r="AE3" s="80">
        <v>0.52631578947368418</v>
      </c>
      <c r="AF3" s="77" t="s">
        <v>182</v>
      </c>
      <c r="AG3" s="80">
        <v>0.52941176470588236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128</v>
      </c>
      <c r="C4" s="84">
        <v>211.89999999999989</v>
      </c>
      <c r="D4" s="85" t="s">
        <v>127</v>
      </c>
      <c r="E4" s="97">
        <v>9.9699999999999953</v>
      </c>
      <c r="F4" s="85" t="s">
        <v>182</v>
      </c>
      <c r="G4" s="86">
        <v>1.7272727272727273</v>
      </c>
      <c r="H4" s="85" t="s">
        <v>127</v>
      </c>
      <c r="I4" s="87">
        <v>0.52500000000000002</v>
      </c>
      <c r="J4" s="85" t="s">
        <v>127</v>
      </c>
      <c r="K4" s="87">
        <v>0.25</v>
      </c>
      <c r="L4" s="85" t="s">
        <v>182</v>
      </c>
      <c r="M4" s="88">
        <v>0.3300970873786408</v>
      </c>
      <c r="N4" s="85" t="s">
        <v>127</v>
      </c>
      <c r="O4" s="88">
        <v>0.13119533527696792</v>
      </c>
      <c r="P4" s="85" t="s">
        <v>128</v>
      </c>
      <c r="Q4" s="89">
        <v>8802.4590163934427</v>
      </c>
      <c r="R4" s="85" t="s">
        <v>167</v>
      </c>
      <c r="S4" s="89">
        <v>-6670</v>
      </c>
      <c r="T4" s="85" t="s">
        <v>182</v>
      </c>
      <c r="U4" s="87">
        <v>0</v>
      </c>
      <c r="V4" s="85" t="s">
        <v>196</v>
      </c>
      <c r="W4" s="87">
        <v>0.2</v>
      </c>
      <c r="X4" s="85" t="s">
        <v>196</v>
      </c>
      <c r="Y4" s="88">
        <v>0.27083333333333331</v>
      </c>
      <c r="Z4" s="85" t="s">
        <v>128</v>
      </c>
      <c r="AA4" s="88">
        <v>0.32894736842105265</v>
      </c>
      <c r="AB4" s="85" t="s">
        <v>127</v>
      </c>
      <c r="AC4" s="88">
        <v>0.61904761904761907</v>
      </c>
      <c r="AD4" s="85" t="s">
        <v>178</v>
      </c>
      <c r="AE4" s="88">
        <v>0.47222222222222221</v>
      </c>
      <c r="AF4" s="85" t="s">
        <v>167</v>
      </c>
      <c r="AG4" s="88">
        <v>0.51219512195121952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182</v>
      </c>
      <c r="C5" s="84">
        <v>126.10000000000001</v>
      </c>
      <c r="D5" s="85" t="s">
        <v>128</v>
      </c>
      <c r="E5" s="97">
        <v>4.9279069767441834</v>
      </c>
      <c r="F5" s="85" t="s">
        <v>196</v>
      </c>
      <c r="G5" s="86">
        <v>1.8</v>
      </c>
      <c r="H5" s="85" t="s">
        <v>182</v>
      </c>
      <c r="I5" s="87">
        <v>0.45454545454545453</v>
      </c>
      <c r="J5" s="85" t="s">
        <v>128</v>
      </c>
      <c r="K5" s="87">
        <v>0.2558139534883721</v>
      </c>
      <c r="L5" s="85" t="s">
        <v>128</v>
      </c>
      <c r="M5" s="88">
        <v>0.32105263157894737</v>
      </c>
      <c r="N5" s="85" t="s">
        <v>179</v>
      </c>
      <c r="O5" s="88">
        <v>0.14659685863874344</v>
      </c>
      <c r="P5" s="85" t="s">
        <v>144</v>
      </c>
      <c r="Q5" s="89">
        <v>8271.3438735177861</v>
      </c>
      <c r="R5" s="85" t="s">
        <v>179</v>
      </c>
      <c r="S5" s="89">
        <v>-6960.7142857142853</v>
      </c>
      <c r="T5" s="85" t="s">
        <v>127</v>
      </c>
      <c r="U5" s="87">
        <v>0.05</v>
      </c>
      <c r="V5" s="85" t="s">
        <v>182</v>
      </c>
      <c r="W5" s="87">
        <v>0.18181818181818182</v>
      </c>
      <c r="X5" s="85" t="s">
        <v>180</v>
      </c>
      <c r="Y5" s="88">
        <v>0.26666666666666666</v>
      </c>
      <c r="Z5" s="85" t="s">
        <v>179</v>
      </c>
      <c r="AA5" s="88">
        <v>0.25654450261780104</v>
      </c>
      <c r="AB5" s="85" t="s">
        <v>180</v>
      </c>
      <c r="AC5" s="88">
        <v>0.6071428571428571</v>
      </c>
      <c r="AD5" s="85" t="s">
        <v>179</v>
      </c>
      <c r="AE5" s="88">
        <v>0.46938775510204084</v>
      </c>
      <c r="AF5" s="85" t="s">
        <v>183</v>
      </c>
      <c r="AG5" s="88">
        <v>0.48148148148148145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-3.907985046680551E-14</v>
      </c>
      <c r="D6" s="85" t="s">
        <v>144</v>
      </c>
      <c r="E6" s="97">
        <v>-1.9737298215558337E-16</v>
      </c>
      <c r="F6" s="85" t="s">
        <v>128</v>
      </c>
      <c r="G6" s="86">
        <v>1.8837209302325582</v>
      </c>
      <c r="H6" s="85" t="s">
        <v>128</v>
      </c>
      <c r="I6" s="87">
        <v>0.37209302325581395</v>
      </c>
      <c r="J6" s="85" t="s">
        <v>144</v>
      </c>
      <c r="K6" s="87">
        <v>0.33333333333333331</v>
      </c>
      <c r="L6" s="85" t="s">
        <v>180</v>
      </c>
      <c r="M6" s="88">
        <v>0.29523809523809524</v>
      </c>
      <c r="N6" s="85" t="s">
        <v>178</v>
      </c>
      <c r="O6" s="88">
        <v>0.16666666666666666</v>
      </c>
      <c r="P6" s="85" t="s">
        <v>183</v>
      </c>
      <c r="Q6" s="89">
        <v>8133.333333333333</v>
      </c>
      <c r="R6" s="85" t="s">
        <v>128</v>
      </c>
      <c r="S6" s="89">
        <v>-7548.6842105263158</v>
      </c>
      <c r="T6" s="85" t="s">
        <v>180</v>
      </c>
      <c r="U6" s="87">
        <v>8.3333333333333329E-2</v>
      </c>
      <c r="V6" s="85" t="s">
        <v>128</v>
      </c>
      <c r="W6" s="87">
        <v>0.16279069767441862</v>
      </c>
      <c r="X6" s="85" t="s">
        <v>178</v>
      </c>
      <c r="Y6" s="88">
        <v>0.26543209876543211</v>
      </c>
      <c r="Z6" s="85" t="s">
        <v>144</v>
      </c>
      <c r="AA6" s="88">
        <v>0.24610051993067592</v>
      </c>
      <c r="AB6" s="85" t="s">
        <v>128</v>
      </c>
      <c r="AC6" s="88">
        <v>0.57471264367816088</v>
      </c>
      <c r="AD6" s="85" t="s">
        <v>180</v>
      </c>
      <c r="AE6" s="88">
        <v>0.42499999999999999</v>
      </c>
      <c r="AF6" s="85" t="s">
        <v>127</v>
      </c>
      <c r="AG6" s="88">
        <v>0.43103448275862066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196</v>
      </c>
      <c r="C7" s="84">
        <v>-12.100000000000005</v>
      </c>
      <c r="D7" s="85" t="s">
        <v>196</v>
      </c>
      <c r="E7" s="97">
        <v>-2.4200000000000008</v>
      </c>
      <c r="F7" s="85" t="s">
        <v>144</v>
      </c>
      <c r="G7" s="86">
        <v>2</v>
      </c>
      <c r="H7" s="85" t="s">
        <v>144</v>
      </c>
      <c r="I7" s="87">
        <v>0.33333333333333331</v>
      </c>
      <c r="J7" s="85" t="s">
        <v>178</v>
      </c>
      <c r="K7" s="87">
        <v>0.35</v>
      </c>
      <c r="L7" s="85" t="s">
        <v>144</v>
      </c>
      <c r="M7" s="88">
        <v>0.29231658001155403</v>
      </c>
      <c r="N7" s="85" t="s">
        <v>196</v>
      </c>
      <c r="O7" s="88">
        <v>0.16666666666666666</v>
      </c>
      <c r="P7" s="85" t="s">
        <v>127</v>
      </c>
      <c r="Q7" s="89">
        <v>8048.2758620689656</v>
      </c>
      <c r="R7" s="85" t="s">
        <v>127</v>
      </c>
      <c r="S7" s="89">
        <v>-7595.5555555555557</v>
      </c>
      <c r="T7" s="85" t="s">
        <v>144</v>
      </c>
      <c r="U7" s="87">
        <v>0.1111111111111111</v>
      </c>
      <c r="V7" s="85" t="s">
        <v>144</v>
      </c>
      <c r="W7" s="87">
        <v>0.1111111111111111</v>
      </c>
      <c r="X7" s="85" t="s">
        <v>179</v>
      </c>
      <c r="Y7" s="88">
        <v>0.25654450261780104</v>
      </c>
      <c r="Z7" s="85" t="s">
        <v>183</v>
      </c>
      <c r="AA7" s="88">
        <v>0.22950819672131148</v>
      </c>
      <c r="AB7" s="85" t="s">
        <v>144</v>
      </c>
      <c r="AC7" s="88">
        <v>0.55164319248826288</v>
      </c>
      <c r="AD7" s="85" t="s">
        <v>144</v>
      </c>
      <c r="AE7" s="88">
        <v>0.42018779342723006</v>
      </c>
      <c r="AF7" s="85" t="s">
        <v>144</v>
      </c>
      <c r="AG7" s="88">
        <v>0.42094861660079053</v>
      </c>
      <c r="AH7" s="85" t="s">
        <v>183</v>
      </c>
      <c r="AI7" s="92">
        <v>85100</v>
      </c>
    </row>
    <row r="8" spans="1:35" x14ac:dyDescent="0.4">
      <c r="A8" s="82">
        <v>6</v>
      </c>
      <c r="B8" s="83" t="s">
        <v>178</v>
      </c>
      <c r="C8" s="84">
        <v>-50.39999999999997</v>
      </c>
      <c r="D8" s="85" t="s">
        <v>178</v>
      </c>
      <c r="E8" s="97">
        <v>-2.5199999999999987</v>
      </c>
      <c r="F8" s="85" t="s">
        <v>178</v>
      </c>
      <c r="G8" s="86">
        <v>2.0499999999999998</v>
      </c>
      <c r="H8" s="85" t="s">
        <v>178</v>
      </c>
      <c r="I8" s="87">
        <v>0.3</v>
      </c>
      <c r="J8" s="85" t="s">
        <v>167</v>
      </c>
      <c r="K8" s="87">
        <v>0.36842105263157893</v>
      </c>
      <c r="L8" s="85" t="s">
        <v>196</v>
      </c>
      <c r="M8" s="88">
        <v>0.29166666666666669</v>
      </c>
      <c r="N8" s="85" t="s">
        <v>144</v>
      </c>
      <c r="O8" s="88">
        <v>0.16868861929520509</v>
      </c>
      <c r="P8" s="85" t="s">
        <v>196</v>
      </c>
      <c r="Q8" s="89">
        <v>7914.2857142857147</v>
      </c>
      <c r="R8" s="85" t="s">
        <v>144</v>
      </c>
      <c r="S8" s="89">
        <v>-7851.0273972602736</v>
      </c>
      <c r="T8" s="85" t="s">
        <v>128</v>
      </c>
      <c r="U8" s="87">
        <v>0.13953488372093023</v>
      </c>
      <c r="V8" s="85" t="s">
        <v>127</v>
      </c>
      <c r="W8" s="87">
        <v>0.1</v>
      </c>
      <c r="X8" s="85" t="s">
        <v>183</v>
      </c>
      <c r="Y8" s="88">
        <v>0.25409836065573771</v>
      </c>
      <c r="Z8" s="85" t="s">
        <v>167</v>
      </c>
      <c r="AA8" s="88">
        <v>0.22674418604651161</v>
      </c>
      <c r="AB8" s="85" t="s">
        <v>167</v>
      </c>
      <c r="AC8" s="88">
        <v>0.54545454545454541</v>
      </c>
      <c r="AD8" s="85" t="s">
        <v>128</v>
      </c>
      <c r="AE8" s="88">
        <v>0.4</v>
      </c>
      <c r="AF8" s="85" t="s">
        <v>178</v>
      </c>
      <c r="AG8" s="88">
        <v>0.4</v>
      </c>
      <c r="AH8" s="85" t="s">
        <v>178</v>
      </c>
      <c r="AI8" s="92">
        <v>83000</v>
      </c>
    </row>
    <row r="9" spans="1:35" x14ac:dyDescent="0.4">
      <c r="A9" s="82">
        <v>7</v>
      </c>
      <c r="B9" s="83" t="s">
        <v>167</v>
      </c>
      <c r="C9" s="84">
        <v>-115.1</v>
      </c>
      <c r="D9" s="85" t="s">
        <v>179</v>
      </c>
      <c r="E9" s="97">
        <v>-5.89047619047619</v>
      </c>
      <c r="F9" s="85" t="s">
        <v>167</v>
      </c>
      <c r="G9" s="86">
        <v>2.1052631578947367</v>
      </c>
      <c r="H9" s="85" t="s">
        <v>167</v>
      </c>
      <c r="I9" s="87">
        <v>0.26315789473684209</v>
      </c>
      <c r="J9" s="85" t="s">
        <v>196</v>
      </c>
      <c r="K9" s="87">
        <v>0.4</v>
      </c>
      <c r="L9" s="85" t="s">
        <v>179</v>
      </c>
      <c r="M9" s="88">
        <v>0.26178010471204188</v>
      </c>
      <c r="N9" s="85" t="s">
        <v>167</v>
      </c>
      <c r="O9" s="88">
        <v>0.1744186046511628</v>
      </c>
      <c r="P9" s="85" t="s">
        <v>182</v>
      </c>
      <c r="Q9" s="89">
        <v>7779.411764705882</v>
      </c>
      <c r="R9" s="85" t="s">
        <v>180</v>
      </c>
      <c r="S9" s="89">
        <v>-7934.1463414634145</v>
      </c>
      <c r="T9" s="85" t="s">
        <v>179</v>
      </c>
      <c r="U9" s="87">
        <v>0.14285714285714285</v>
      </c>
      <c r="V9" s="85" t="s">
        <v>180</v>
      </c>
      <c r="W9" s="87">
        <v>8.3333333333333329E-2</v>
      </c>
      <c r="X9" s="85" t="s">
        <v>144</v>
      </c>
      <c r="Y9" s="88">
        <v>0.24610051993067592</v>
      </c>
      <c r="Z9" s="85" t="s">
        <v>178</v>
      </c>
      <c r="AA9" s="88">
        <v>0.22222222222222221</v>
      </c>
      <c r="AB9" s="85" t="s">
        <v>196</v>
      </c>
      <c r="AC9" s="88">
        <v>0.53846153846153844</v>
      </c>
      <c r="AD9" s="85" t="s">
        <v>183</v>
      </c>
      <c r="AE9" s="88">
        <v>0.35714285714285715</v>
      </c>
      <c r="AF9" s="85" t="s">
        <v>128</v>
      </c>
      <c r="AG9" s="88">
        <v>0.39344262295081966</v>
      </c>
      <c r="AH9" s="85" t="s">
        <v>179</v>
      </c>
      <c r="AI9" s="92">
        <v>75000</v>
      </c>
    </row>
    <row r="10" spans="1:35" x14ac:dyDescent="0.4">
      <c r="A10" s="82">
        <v>8</v>
      </c>
      <c r="B10" s="83" t="s">
        <v>179</v>
      </c>
      <c r="C10" s="84">
        <v>-123.69999999999999</v>
      </c>
      <c r="D10" s="85" t="s">
        <v>167</v>
      </c>
      <c r="E10" s="97">
        <v>-6.0578947368421048</v>
      </c>
      <c r="F10" s="85" t="s">
        <v>179</v>
      </c>
      <c r="G10" s="86">
        <v>2.1904761904761907</v>
      </c>
      <c r="H10" s="85" t="s">
        <v>179</v>
      </c>
      <c r="I10" s="87">
        <v>0.23809523809523808</v>
      </c>
      <c r="J10" s="85" t="s">
        <v>180</v>
      </c>
      <c r="K10" s="87">
        <v>0.41666666666666669</v>
      </c>
      <c r="L10" s="85" t="s">
        <v>178</v>
      </c>
      <c r="M10" s="88">
        <v>0.24691358024691357</v>
      </c>
      <c r="N10" s="85" t="s">
        <v>180</v>
      </c>
      <c r="O10" s="88">
        <v>0.19523809523809524</v>
      </c>
      <c r="P10" s="85" t="s">
        <v>179</v>
      </c>
      <c r="Q10" s="89">
        <v>7544</v>
      </c>
      <c r="R10" s="85" t="s">
        <v>196</v>
      </c>
      <c r="S10" s="89">
        <v>-8962.5</v>
      </c>
      <c r="T10" s="85" t="s">
        <v>178</v>
      </c>
      <c r="U10" s="87">
        <v>0.2</v>
      </c>
      <c r="V10" s="85" t="s">
        <v>183</v>
      </c>
      <c r="W10" s="87">
        <v>6.6666666666666666E-2</v>
      </c>
      <c r="X10" s="85" t="s">
        <v>127</v>
      </c>
      <c r="Y10" s="88">
        <v>0.24489795918367346</v>
      </c>
      <c r="Z10" s="85" t="s">
        <v>127</v>
      </c>
      <c r="AA10" s="88">
        <v>0.22157434402332363</v>
      </c>
      <c r="AB10" s="85" t="s">
        <v>183</v>
      </c>
      <c r="AC10" s="88">
        <v>0.5161290322580645</v>
      </c>
      <c r="AD10" s="85" t="s">
        <v>182</v>
      </c>
      <c r="AE10" s="88">
        <v>0.33333333333333331</v>
      </c>
      <c r="AF10" s="85" t="s">
        <v>179</v>
      </c>
      <c r="AG10" s="88">
        <v>0.38</v>
      </c>
      <c r="AH10" s="85" t="s">
        <v>180</v>
      </c>
      <c r="AI10" s="92">
        <v>69300</v>
      </c>
    </row>
    <row r="11" spans="1:35" x14ac:dyDescent="0.4">
      <c r="A11" s="82">
        <v>9</v>
      </c>
      <c r="B11" s="83" t="s">
        <v>180</v>
      </c>
      <c r="C11" s="84">
        <v>-163.00000000000003</v>
      </c>
      <c r="D11" s="85" t="s">
        <v>180</v>
      </c>
      <c r="E11" s="97">
        <v>-6.7916666666666679</v>
      </c>
      <c r="F11" s="85" t="s">
        <v>180</v>
      </c>
      <c r="G11" s="86">
        <v>2.25</v>
      </c>
      <c r="H11" s="85" t="s">
        <v>180</v>
      </c>
      <c r="I11" s="87">
        <v>0.16666666666666666</v>
      </c>
      <c r="J11" s="85" t="s">
        <v>179</v>
      </c>
      <c r="K11" s="87">
        <v>0.42857142857142855</v>
      </c>
      <c r="L11" s="85" t="s">
        <v>167</v>
      </c>
      <c r="M11" s="88">
        <v>0.23837209302325582</v>
      </c>
      <c r="N11" s="85" t="s">
        <v>128</v>
      </c>
      <c r="O11" s="88">
        <v>0.2</v>
      </c>
      <c r="P11" s="85" t="s">
        <v>180</v>
      </c>
      <c r="Q11" s="89">
        <v>7233.8709677419356</v>
      </c>
      <c r="R11" s="85" t="s">
        <v>183</v>
      </c>
      <c r="S11" s="89">
        <v>-9804</v>
      </c>
      <c r="T11" s="85" t="s">
        <v>183</v>
      </c>
      <c r="U11" s="87">
        <v>0.2</v>
      </c>
      <c r="V11" s="85" t="s">
        <v>179</v>
      </c>
      <c r="W11" s="87">
        <v>4.7619047619047616E-2</v>
      </c>
      <c r="X11" s="85" t="s">
        <v>128</v>
      </c>
      <c r="Y11" s="88">
        <v>0.22894736842105262</v>
      </c>
      <c r="Z11" s="85" t="s">
        <v>180</v>
      </c>
      <c r="AA11" s="88">
        <v>0.19047619047619047</v>
      </c>
      <c r="AB11" s="85" t="s">
        <v>179</v>
      </c>
      <c r="AC11" s="88">
        <v>0.46938775510204084</v>
      </c>
      <c r="AD11" s="85" t="s">
        <v>196</v>
      </c>
      <c r="AE11" s="88">
        <v>0.33333333333333331</v>
      </c>
      <c r="AF11" s="85" t="s">
        <v>180</v>
      </c>
      <c r="AG11" s="88">
        <v>0.37096774193548387</v>
      </c>
      <c r="AH11" s="85" t="s">
        <v>196</v>
      </c>
      <c r="AI11" s="92">
        <v>59500</v>
      </c>
    </row>
    <row r="12" spans="1:35" x14ac:dyDescent="0.4">
      <c r="A12" s="82">
        <v>10</v>
      </c>
      <c r="B12" s="83" t="s">
        <v>183</v>
      </c>
      <c r="C12" s="84">
        <v>-272.50000000000006</v>
      </c>
      <c r="D12" s="85" t="s">
        <v>183</v>
      </c>
      <c r="E12" s="97">
        <v>-18.166666666666671</v>
      </c>
      <c r="F12" s="85" t="s">
        <v>183</v>
      </c>
      <c r="G12" s="86">
        <v>2.4666666666666668</v>
      </c>
      <c r="H12" s="85" t="s">
        <v>183</v>
      </c>
      <c r="I12" s="87">
        <v>6.6666666666666666E-2</v>
      </c>
      <c r="J12" s="85" t="s">
        <v>183</v>
      </c>
      <c r="K12" s="87">
        <v>0.53333333333333333</v>
      </c>
      <c r="L12" s="85" t="s">
        <v>183</v>
      </c>
      <c r="M12" s="88">
        <v>0.22131147540983606</v>
      </c>
      <c r="N12" s="85" t="s">
        <v>183</v>
      </c>
      <c r="O12" s="88">
        <v>0.20491803278688525</v>
      </c>
      <c r="P12" s="85" t="s">
        <v>167</v>
      </c>
      <c r="Q12" s="89">
        <v>7095.1219512195121</v>
      </c>
      <c r="R12" s="85" t="s">
        <v>178</v>
      </c>
      <c r="S12" s="89">
        <v>-9903.7037037037044</v>
      </c>
      <c r="T12" s="85" t="s">
        <v>196</v>
      </c>
      <c r="U12" s="87">
        <v>0.4</v>
      </c>
      <c r="V12" s="85" t="s">
        <v>167</v>
      </c>
      <c r="W12" s="87">
        <v>0</v>
      </c>
      <c r="X12" s="85" t="s">
        <v>167</v>
      </c>
      <c r="Y12" s="88">
        <v>0.19186046511627908</v>
      </c>
      <c r="Z12" s="85" t="s">
        <v>182</v>
      </c>
      <c r="AA12" s="88">
        <v>0.14563106796116504</v>
      </c>
      <c r="AB12" s="85" t="s">
        <v>178</v>
      </c>
      <c r="AC12" s="88">
        <v>0.34883720930232559</v>
      </c>
      <c r="AD12" s="85" t="s">
        <v>167</v>
      </c>
      <c r="AE12" s="88">
        <v>0.28205128205128205</v>
      </c>
      <c r="AF12" s="85" t="s">
        <v>196</v>
      </c>
      <c r="AG12" s="88">
        <v>0.35714285714285715</v>
      </c>
      <c r="AH12" s="85" t="s">
        <v>167</v>
      </c>
      <c r="AI12" s="92">
        <v>51800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E5444-540C-4096-B142-38C5B32E8541}">
  <sheetPr codeName="Sheet4"/>
  <dimension ref="A1:Q200"/>
  <sheetViews>
    <sheetView showGridLines="0" tabSelected="1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198</v>
      </c>
      <c r="C2" s="151"/>
      <c r="E2" s="62" t="s">
        <v>67</v>
      </c>
      <c r="F2" s="59" t="s">
        <v>23</v>
      </c>
      <c r="G2" s="46">
        <v>386</v>
      </c>
      <c r="H2" s="132">
        <f>IF(B$17=0,0,G2/B$17)</f>
        <v>0.76284584980237158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-25.641025641025642</v>
      </c>
      <c r="P2" s="118">
        <v>195</v>
      </c>
      <c r="Q2" s="102">
        <v>-5000</v>
      </c>
    </row>
    <row r="3" spans="1:17" x14ac:dyDescent="0.4">
      <c r="A3" s="55" t="s">
        <v>8</v>
      </c>
      <c r="B3" s="152">
        <v>1731</v>
      </c>
      <c r="C3" s="153"/>
      <c r="E3" s="63" t="s">
        <v>73</v>
      </c>
      <c r="F3" s="60" t="s">
        <v>28</v>
      </c>
      <c r="G3" s="47">
        <v>293</v>
      </c>
      <c r="H3" s="133">
        <f>IF(B$17=0,0,G3/B$17)</f>
        <v>0.57905138339920947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20.833333333333332</v>
      </c>
      <c r="P3" s="119">
        <v>192</v>
      </c>
      <c r="Q3" s="103">
        <v>4000</v>
      </c>
    </row>
    <row r="4" spans="1:17" x14ac:dyDescent="0.4">
      <c r="A4" s="55" t="s">
        <v>6</v>
      </c>
      <c r="B4" s="154">
        <v>-3.907985046680551E-14</v>
      </c>
      <c r="C4" s="155"/>
      <c r="E4" s="63" t="s">
        <v>65</v>
      </c>
      <c r="F4" s="60" t="s">
        <v>21</v>
      </c>
      <c r="G4" s="47">
        <v>229</v>
      </c>
      <c r="H4" s="133">
        <f>IF(B$17=0,0,G4/B$17)</f>
        <v>0.4525691699604743</v>
      </c>
      <c r="I4" s="94">
        <v>6</v>
      </c>
      <c r="K4" s="38">
        <v>2</v>
      </c>
      <c r="L4" s="99">
        <v>45.6</v>
      </c>
      <c r="N4" s="115" t="s">
        <v>133</v>
      </c>
      <c r="O4" s="122">
        <f t="shared" si="0"/>
        <v>-31.746031746031747</v>
      </c>
      <c r="P4" s="119">
        <v>189</v>
      </c>
      <c r="Q4" s="103">
        <v>-6000</v>
      </c>
    </row>
    <row r="5" spans="1:17" x14ac:dyDescent="0.4">
      <c r="A5" s="55" t="s">
        <v>7</v>
      </c>
      <c r="B5" s="156">
        <f>IF(B$2=0,0,B$4/B$2)</f>
        <v>-1.9737298215558337E-16</v>
      </c>
      <c r="C5" s="157"/>
      <c r="E5" s="63" t="s">
        <v>172</v>
      </c>
      <c r="F5" s="60" t="s">
        <v>173</v>
      </c>
      <c r="G5" s="47">
        <v>184</v>
      </c>
      <c r="H5" s="133">
        <f>IF(B$17=0,0,G5/B$17)</f>
        <v>0.36363636363636365</v>
      </c>
      <c r="I5" s="94">
        <v>4</v>
      </c>
      <c r="K5" s="38">
        <v>3</v>
      </c>
      <c r="L5" s="99">
        <v>0</v>
      </c>
      <c r="N5" s="115" t="s">
        <v>134</v>
      </c>
      <c r="O5" s="122">
        <f t="shared" si="0"/>
        <v>28.248587570621471</v>
      </c>
      <c r="P5" s="119">
        <v>177</v>
      </c>
      <c r="Q5" s="103">
        <v>5000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150</v>
      </c>
      <c r="H6" s="133">
        <f>IF(B$17=0,0,G6/B$17)</f>
        <v>0.29644268774703558</v>
      </c>
      <c r="I6" s="94">
        <v>5</v>
      </c>
      <c r="K6" s="38">
        <v>4</v>
      </c>
      <c r="L6" s="99">
        <v>24.5</v>
      </c>
      <c r="N6" s="115" t="s">
        <v>135</v>
      </c>
      <c r="O6" s="122">
        <f t="shared" si="0"/>
        <v>12.345679012345679</v>
      </c>
      <c r="P6" s="119">
        <v>162</v>
      </c>
      <c r="Q6" s="103">
        <v>2000</v>
      </c>
    </row>
    <row r="7" spans="1:17" x14ac:dyDescent="0.4">
      <c r="A7" s="55" t="s">
        <v>2</v>
      </c>
      <c r="B7" s="47">
        <v>66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135</v>
      </c>
      <c r="H7" s="133">
        <f>IF(B$17=0,0,G7/B$17)</f>
        <v>0.26679841897233203</v>
      </c>
      <c r="I7" s="94">
        <v>6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129</v>
      </c>
      <c r="Q7" s="104">
        <v>0</v>
      </c>
    </row>
    <row r="8" spans="1:17" x14ac:dyDescent="0.4">
      <c r="A8" s="55" t="s">
        <v>3</v>
      </c>
      <c r="B8" s="47">
        <v>66</v>
      </c>
      <c r="C8" s="39">
        <f t="shared" si="1"/>
        <v>0.33333333333333331</v>
      </c>
      <c r="E8" s="63" t="s">
        <v>70</v>
      </c>
      <c r="F8" s="60" t="s">
        <v>25</v>
      </c>
      <c r="G8" s="47">
        <v>68</v>
      </c>
      <c r="H8" s="133">
        <f>IF(B$17=0,0,G8/B$17)</f>
        <v>0.13438735177865613</v>
      </c>
      <c r="I8" s="94">
        <v>6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66</v>
      </c>
      <c r="C9" s="40">
        <f t="shared" si="1"/>
        <v>0.33333333333333331</v>
      </c>
      <c r="E9" s="63" t="s">
        <v>90</v>
      </c>
      <c r="F9" s="60" t="s">
        <v>45</v>
      </c>
      <c r="G9" s="47">
        <v>68</v>
      </c>
      <c r="H9" s="133">
        <f>IF(B$17=0,0,G9/B$17)</f>
        <v>0.13438735177865613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22</v>
      </c>
      <c r="C10" s="40">
        <f t="shared" si="1"/>
        <v>0.1111111111111111</v>
      </c>
      <c r="E10" s="63" t="s">
        <v>66</v>
      </c>
      <c r="F10" s="60" t="s">
        <v>22</v>
      </c>
      <c r="G10" s="47">
        <v>50</v>
      </c>
      <c r="H10" s="133">
        <f>IF(B$17=0,0,G10/B$17)</f>
        <v>9.8814229249011856E-2</v>
      </c>
      <c r="I10" s="94">
        <v>7</v>
      </c>
      <c r="K10" s="38">
        <v>8</v>
      </c>
      <c r="L10" s="99">
        <v>-46.9</v>
      </c>
      <c r="N10" s="114" t="s">
        <v>163</v>
      </c>
      <c r="O10" s="124">
        <f>IF(P10=0,0,Q10/P10)</f>
        <v>0.63787878787878682</v>
      </c>
      <c r="P10" s="118">
        <v>66</v>
      </c>
      <c r="Q10" s="106">
        <v>42.09999999999993</v>
      </c>
    </row>
    <row r="11" spans="1:17" x14ac:dyDescent="0.4">
      <c r="A11" s="56" t="s">
        <v>139</v>
      </c>
      <c r="B11" s="48">
        <v>22</v>
      </c>
      <c r="C11" s="40">
        <f t="shared" si="1"/>
        <v>0.1111111111111111</v>
      </c>
      <c r="E11" s="63" t="s">
        <v>71</v>
      </c>
      <c r="F11" s="60" t="s">
        <v>26</v>
      </c>
      <c r="G11" s="47">
        <v>37</v>
      </c>
      <c r="H11" s="133">
        <f>IF(B$17=0,0,G11/B$17)</f>
        <v>7.3122529644268769E-2</v>
      </c>
      <c r="I11" s="94">
        <v>4</v>
      </c>
      <c r="K11" s="38">
        <v>9</v>
      </c>
      <c r="L11" s="99">
        <v>0</v>
      </c>
      <c r="N11" s="115" t="s">
        <v>164</v>
      </c>
      <c r="O11" s="125">
        <f>IF(P11=0,0,Q11/P11)</f>
        <v>1.322727272727273</v>
      </c>
      <c r="P11" s="119">
        <v>66</v>
      </c>
      <c r="Q11" s="107">
        <v>87.300000000000011</v>
      </c>
    </row>
    <row r="12" spans="1:17" x14ac:dyDescent="0.4">
      <c r="A12" s="57" t="s">
        <v>159</v>
      </c>
      <c r="B12" s="49">
        <v>19</v>
      </c>
      <c r="C12" s="42">
        <f t="shared" si="1"/>
        <v>9.5959595959595953E-2</v>
      </c>
      <c r="E12" s="63" t="s">
        <v>72</v>
      </c>
      <c r="F12" s="60" t="s">
        <v>27</v>
      </c>
      <c r="G12" s="47">
        <v>36</v>
      </c>
      <c r="H12" s="133">
        <f>IF(B$17=0,0,G12/B$17)</f>
        <v>7.1146245059288543E-2</v>
      </c>
      <c r="I12" s="94">
        <v>6</v>
      </c>
      <c r="K12" s="38">
        <v>10</v>
      </c>
      <c r="L12" s="99">
        <v>-12</v>
      </c>
      <c r="N12" s="116" t="s">
        <v>165</v>
      </c>
      <c r="O12" s="126">
        <f>IF(P12=0,0,Q12/P12)</f>
        <v>-1.9606060606060598</v>
      </c>
      <c r="P12" s="120">
        <v>66</v>
      </c>
      <c r="Q12" s="108">
        <v>-129.39999999999995</v>
      </c>
    </row>
    <row r="13" spans="1:17" x14ac:dyDescent="0.4">
      <c r="A13" s="58" t="s">
        <v>122</v>
      </c>
      <c r="B13" s="50">
        <v>426</v>
      </c>
      <c r="C13" s="44">
        <f>IF(B$3=0,0,B13/B$3)</f>
        <v>0.24610051993067592</v>
      </c>
      <c r="E13" s="63" t="s">
        <v>84</v>
      </c>
      <c r="F13" s="60" t="s">
        <v>39</v>
      </c>
      <c r="G13" s="47">
        <v>32</v>
      </c>
      <c r="H13" s="133">
        <f>IF(B$17=0,0,G13/B$17)</f>
        <v>6.3241106719367585E-2</v>
      </c>
      <c r="I13" s="94">
        <v>7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426</v>
      </c>
      <c r="C14" s="39">
        <f>IF(B$3=0,0,B14/B$3)</f>
        <v>0.24610051993067592</v>
      </c>
      <c r="E14" s="63" t="s">
        <v>87</v>
      </c>
      <c r="F14" s="60" t="s">
        <v>42</v>
      </c>
      <c r="G14" s="47">
        <v>22</v>
      </c>
      <c r="H14" s="133">
        <f>IF(B$17=0,0,G14/B$17)</f>
        <v>4.3478260869565216E-2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235</v>
      </c>
      <c r="C15" s="37">
        <f>IF(B$13=0,0,B15/B$13)</f>
        <v>0.55164319248826288</v>
      </c>
      <c r="E15" s="63" t="s">
        <v>79</v>
      </c>
      <c r="F15" s="60" t="s">
        <v>34</v>
      </c>
      <c r="G15" s="47">
        <v>14</v>
      </c>
      <c r="H15" s="133">
        <f>IF(B$17=0,0,G15/B$17)</f>
        <v>2.766798418972332E-2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>IF(P15=0,0,Q15/P15)</f>
        <v>27.250000000000004</v>
      </c>
      <c r="P15" s="118">
        <v>30</v>
      </c>
      <c r="Q15" s="106">
        <v>817.50000000000011</v>
      </c>
    </row>
    <row r="16" spans="1:17" x14ac:dyDescent="0.4">
      <c r="A16" s="54" t="s">
        <v>125</v>
      </c>
      <c r="B16" s="46">
        <v>179</v>
      </c>
      <c r="C16" s="37">
        <f>IF(B$14=0,0,B16/B$14)</f>
        <v>0.42018779342723006</v>
      </c>
      <c r="E16" s="63" t="s">
        <v>82</v>
      </c>
      <c r="F16" s="60" t="s">
        <v>37</v>
      </c>
      <c r="G16" s="47">
        <v>11</v>
      </c>
      <c r="H16" s="133">
        <f>IF(B$17=0,0,G16/B$17)</f>
        <v>2.1739130434782608E-2</v>
      </c>
      <c r="I16" s="94">
        <v>6</v>
      </c>
      <c r="K16" s="38">
        <v>14</v>
      </c>
      <c r="L16" s="99">
        <v>24.3</v>
      </c>
      <c r="N16" s="115" t="s">
        <v>180</v>
      </c>
      <c r="O16" s="125">
        <f>IF(P16=0,0,Q16/P16)</f>
        <v>10.187500000000004</v>
      </c>
      <c r="P16" s="119">
        <v>48</v>
      </c>
      <c r="Q16" s="107">
        <v>489.00000000000017</v>
      </c>
    </row>
    <row r="17" spans="1:17" x14ac:dyDescent="0.4">
      <c r="A17" s="54" t="s">
        <v>10</v>
      </c>
      <c r="B17" s="46">
        <f>B19+B18</f>
        <v>506</v>
      </c>
      <c r="C17" s="37">
        <f>IF(B$3=0,0,B17/B$3)</f>
        <v>0.29231658001155403</v>
      </c>
      <c r="E17" s="63" t="s">
        <v>92</v>
      </c>
      <c r="F17" s="60" t="s">
        <v>47</v>
      </c>
      <c r="G17" s="47">
        <v>8</v>
      </c>
      <c r="H17" s="133">
        <f>IF(B$17=0,0,G17/B$17)</f>
        <v>1.5810276679841896E-2</v>
      </c>
      <c r="I17" s="94">
        <v>4</v>
      </c>
      <c r="K17" s="38">
        <v>15</v>
      </c>
      <c r="L17" s="99">
        <v>0</v>
      </c>
      <c r="N17" s="115" t="s">
        <v>167</v>
      </c>
      <c r="O17" s="125">
        <f>IF(P17=0,0,Q17/P17)</f>
        <v>9.0868421052631589</v>
      </c>
      <c r="P17" s="119">
        <v>38</v>
      </c>
      <c r="Q17" s="107">
        <v>345.3</v>
      </c>
    </row>
    <row r="18" spans="1:17" x14ac:dyDescent="0.4">
      <c r="A18" s="55" t="s">
        <v>12</v>
      </c>
      <c r="B18" s="47">
        <v>213</v>
      </c>
      <c r="C18" s="39">
        <f>IF(B$17=0,0,B18/B$17)</f>
        <v>0.42094861660079053</v>
      </c>
      <c r="E18" s="63" t="s">
        <v>80</v>
      </c>
      <c r="F18" s="60" t="s">
        <v>35</v>
      </c>
      <c r="G18" s="47">
        <v>7</v>
      </c>
      <c r="H18" s="133">
        <f>IF(B$17=0,0,G18/B$17)</f>
        <v>1.383399209486166E-2</v>
      </c>
      <c r="I18" s="94">
        <v>5</v>
      </c>
      <c r="K18" s="38">
        <v>16</v>
      </c>
      <c r="L18" s="99">
        <v>-28.2</v>
      </c>
      <c r="N18" s="115" t="s">
        <v>179</v>
      </c>
      <c r="O18" s="125">
        <f>IF(P18=0,0,Q18/P18)</f>
        <v>8.8357142857142854</v>
      </c>
      <c r="P18" s="119">
        <v>42</v>
      </c>
      <c r="Q18" s="107">
        <v>371.09999999999997</v>
      </c>
    </row>
    <row r="19" spans="1:17" x14ac:dyDescent="0.4">
      <c r="A19" s="55" t="s">
        <v>11</v>
      </c>
      <c r="B19" s="47">
        <v>293</v>
      </c>
      <c r="C19" s="39">
        <f>IF(B$17=0,0,B19/B$17)</f>
        <v>0.57905138339920947</v>
      </c>
      <c r="E19" s="63" t="s">
        <v>168</v>
      </c>
      <c r="F19" s="60" t="s">
        <v>169</v>
      </c>
      <c r="G19" s="47">
        <v>7</v>
      </c>
      <c r="H19" s="133">
        <f>IF(B$17=0,0,G19/B$17)</f>
        <v>1.383399209486166E-2</v>
      </c>
      <c r="I19" s="94">
        <v>3</v>
      </c>
      <c r="K19" s="38">
        <v>17</v>
      </c>
      <c r="L19" s="99">
        <v>-20.5</v>
      </c>
      <c r="N19" s="115" t="s">
        <v>178</v>
      </c>
      <c r="O19" s="125">
        <f>IF(P19=0,0,Q19/P19)</f>
        <v>3.7799999999999989</v>
      </c>
      <c r="P19" s="119">
        <v>40</v>
      </c>
      <c r="Q19" s="107">
        <v>151.19999999999996</v>
      </c>
    </row>
    <row r="20" spans="1:17" x14ac:dyDescent="0.4">
      <c r="A20" s="55" t="s">
        <v>13</v>
      </c>
      <c r="B20" s="47">
        <v>292</v>
      </c>
      <c r="C20" s="39">
        <f>IF(B$3=0,0,B20/B$3)</f>
        <v>0.16868861929520509</v>
      </c>
      <c r="E20" s="63" t="s">
        <v>93</v>
      </c>
      <c r="F20" s="60" t="s">
        <v>48</v>
      </c>
      <c r="G20" s="47">
        <v>5</v>
      </c>
      <c r="H20" s="133">
        <f>IF(B$17=0,0,G20/B$17)</f>
        <v>9.881422924901186E-3</v>
      </c>
      <c r="I20" s="94">
        <v>3</v>
      </c>
      <c r="K20" s="38">
        <v>18</v>
      </c>
      <c r="L20" s="99">
        <v>0</v>
      </c>
      <c r="N20" s="115" t="s">
        <v>196</v>
      </c>
      <c r="O20" s="125">
        <f>IF(P20=0,0,Q20/P20)</f>
        <v>3.6300000000000052</v>
      </c>
      <c r="P20" s="119">
        <v>10</v>
      </c>
      <c r="Q20" s="107">
        <v>36.300000000000054</v>
      </c>
    </row>
    <row r="21" spans="1:17" x14ac:dyDescent="0.4">
      <c r="A21" s="55" t="s">
        <v>170</v>
      </c>
      <c r="B21" s="47">
        <v>7</v>
      </c>
      <c r="C21" s="135">
        <v>2</v>
      </c>
      <c r="E21" s="63" t="s">
        <v>78</v>
      </c>
      <c r="F21" s="60" t="s">
        <v>33</v>
      </c>
      <c r="G21" s="47">
        <v>3</v>
      </c>
      <c r="H21" s="133">
        <f>IF(B$17=0,0,G21/B$17)</f>
        <v>5.9288537549407111E-3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-7.3918604651162818</v>
      </c>
      <c r="P21" s="119">
        <v>86</v>
      </c>
      <c r="Q21" s="107">
        <v>-635.70000000000027</v>
      </c>
    </row>
    <row r="22" spans="1:17" x14ac:dyDescent="0.4">
      <c r="A22" s="55" t="s">
        <v>171</v>
      </c>
      <c r="B22" s="47">
        <v>26</v>
      </c>
      <c r="C22" s="135">
        <v>2</v>
      </c>
      <c r="E22" s="63" t="s">
        <v>86</v>
      </c>
      <c r="F22" s="60" t="s">
        <v>41</v>
      </c>
      <c r="G22" s="47">
        <v>3</v>
      </c>
      <c r="H22" s="133">
        <f>IF(B$17=0,0,G22/B$17)</f>
        <v>5.9288537549407111E-3</v>
      </c>
      <c r="I22" s="94">
        <v>4</v>
      </c>
      <c r="K22" s="38">
        <v>20</v>
      </c>
      <c r="L22" s="99">
        <v>-61.199999999999996</v>
      </c>
      <c r="N22" s="115" t="s">
        <v>127</v>
      </c>
      <c r="O22" s="125">
        <f>IF(P22=0,0,Q22/P22)</f>
        <v>-14.955000000000016</v>
      </c>
      <c r="P22" s="119">
        <v>80</v>
      </c>
      <c r="Q22" s="107">
        <v>-1196.4000000000012</v>
      </c>
    </row>
    <row r="23" spans="1:17" x14ac:dyDescent="0.4">
      <c r="A23" s="55" t="s">
        <v>5</v>
      </c>
      <c r="B23" s="51">
        <f>IF(B$17=0,0,C23/B$17)</f>
        <v>8271.3438735177861</v>
      </c>
      <c r="C23" s="41">
        <v>4185300</v>
      </c>
      <c r="E23" s="63" t="s">
        <v>75</v>
      </c>
      <c r="F23" s="60" t="s">
        <v>30</v>
      </c>
      <c r="G23" s="47">
        <v>2</v>
      </c>
      <c r="H23" s="133">
        <f>IF(B$17=0,0,G23/B$17)</f>
        <v>3.952569169960474E-3</v>
      </c>
      <c r="I23" s="94">
        <v>3</v>
      </c>
      <c r="K23" s="38">
        <v>21</v>
      </c>
      <c r="L23" s="99">
        <v>7.1054273576010019E-15</v>
      </c>
      <c r="N23" s="115" t="s">
        <v>182</v>
      </c>
      <c r="O23" s="125">
        <f>IF(P23=0,0,Q23/P23)</f>
        <v>-17.195454545454549</v>
      </c>
      <c r="P23" s="119">
        <v>22</v>
      </c>
      <c r="Q23" s="107">
        <v>-378.30000000000007</v>
      </c>
    </row>
    <row r="24" spans="1:17" x14ac:dyDescent="0.4">
      <c r="A24" s="57" t="s">
        <v>14</v>
      </c>
      <c r="B24" s="52">
        <f>IF(B$20=0,0,C24/B$20)</f>
        <v>-7851.0273972602736</v>
      </c>
      <c r="C24" s="45">
        <v>-2292500</v>
      </c>
      <c r="E24" s="63" t="s">
        <v>76</v>
      </c>
      <c r="F24" s="60" t="s">
        <v>31</v>
      </c>
      <c r="G24" s="47">
        <v>2</v>
      </c>
      <c r="H24" s="133">
        <f>IF(B$17=0,0,G24/B$17)</f>
        <v>3.952569169960474E-3</v>
      </c>
      <c r="I24" s="94">
        <v>3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85</v>
      </c>
      <c r="F25" s="60" t="s">
        <v>40</v>
      </c>
      <c r="G25" s="47">
        <v>2</v>
      </c>
      <c r="H25" s="133">
        <f>IF(B$17=0,0,G25/B$17)</f>
        <v>3.952569169960474E-3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2</v>
      </c>
      <c r="H26" s="133">
        <f>IF(B$17=0,0,G26/B$17)</f>
        <v>3.952569169960474E-3</v>
      </c>
      <c r="I26" s="94">
        <v>3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5</v>
      </c>
      <c r="C27" s="42">
        <f>IF(B$3=0,0,B27/B$3)</f>
        <v>2.8885037550548816E-3</v>
      </c>
      <c r="E27" s="63" t="s">
        <v>88</v>
      </c>
      <c r="F27" s="60" t="s">
        <v>43</v>
      </c>
      <c r="G27" s="47">
        <v>1</v>
      </c>
      <c r="H27" s="133">
        <f>IF(B$17=0,0,G27/B$17)</f>
        <v>1.976284584980237E-3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1.976284584980237E-3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1.976284584980237E-3</v>
      </c>
      <c r="I29" s="94">
        <v>2</v>
      </c>
      <c r="K29" s="38">
        <v>27</v>
      </c>
      <c r="L29" s="99">
        <v>6.7723604502134549E-15</v>
      </c>
    </row>
    <row r="30" spans="1:17" x14ac:dyDescent="0.4">
      <c r="E30" s="63" t="s">
        <v>74</v>
      </c>
      <c r="F30" s="60" t="s">
        <v>29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  <row r="168" spans="11:12" x14ac:dyDescent="0.4">
      <c r="K168" s="38">
        <v>166</v>
      </c>
      <c r="L168" s="99">
        <v>-32.600000000000037</v>
      </c>
    </row>
    <row r="169" spans="11:12" x14ac:dyDescent="0.4">
      <c r="K169" s="38">
        <v>167</v>
      </c>
      <c r="L169" s="99">
        <v>-47.900000000000034</v>
      </c>
    </row>
    <row r="170" spans="11:12" x14ac:dyDescent="0.4">
      <c r="K170" s="38">
        <v>168</v>
      </c>
      <c r="L170" s="99">
        <v>-3.5527136788005009E-14</v>
      </c>
    </row>
    <row r="171" spans="11:12" x14ac:dyDescent="0.4">
      <c r="K171" s="38">
        <v>169</v>
      </c>
      <c r="L171" s="99">
        <v>1.9999999999999645</v>
      </c>
    </row>
    <row r="172" spans="11:12" x14ac:dyDescent="0.4">
      <c r="K172" s="38">
        <v>170</v>
      </c>
      <c r="L172" s="99">
        <v>14.999999999999964</v>
      </c>
    </row>
    <row r="173" spans="11:12" x14ac:dyDescent="0.4">
      <c r="K173" s="38">
        <v>171</v>
      </c>
      <c r="L173" s="99">
        <v>-3.5527136788005009E-14</v>
      </c>
    </row>
    <row r="174" spans="11:12" x14ac:dyDescent="0.4">
      <c r="K174" s="38">
        <v>172</v>
      </c>
      <c r="L174" s="99">
        <v>-0.50000000000003553</v>
      </c>
    </row>
    <row r="175" spans="11:12" x14ac:dyDescent="0.4">
      <c r="K175" s="38">
        <v>173</v>
      </c>
      <c r="L175" s="99">
        <v>34.899999999999963</v>
      </c>
    </row>
    <row r="176" spans="11:12" x14ac:dyDescent="0.4">
      <c r="K176" s="38">
        <v>174</v>
      </c>
      <c r="L176" s="99">
        <v>-3.5527136788005009E-14</v>
      </c>
    </row>
    <row r="177" spans="11:12" x14ac:dyDescent="0.4">
      <c r="K177" s="38">
        <v>175</v>
      </c>
      <c r="L177" s="99">
        <v>4.8999999999999648</v>
      </c>
    </row>
    <row r="178" spans="11:12" x14ac:dyDescent="0.4">
      <c r="K178" s="38">
        <v>176</v>
      </c>
      <c r="L178" s="99">
        <v>49.19999999999996</v>
      </c>
    </row>
    <row r="179" spans="11:12" x14ac:dyDescent="0.4">
      <c r="K179" s="38">
        <v>177</v>
      </c>
      <c r="L179" s="99">
        <v>-4.2632564145606011E-14</v>
      </c>
    </row>
    <row r="180" spans="11:12" x14ac:dyDescent="0.4">
      <c r="K180" s="38">
        <v>178</v>
      </c>
      <c r="L180" s="99">
        <v>-31.300000000000043</v>
      </c>
    </row>
    <row r="181" spans="11:12" x14ac:dyDescent="0.4">
      <c r="K181" s="38">
        <v>179</v>
      </c>
      <c r="L181" s="99">
        <v>-25.300000000000043</v>
      </c>
    </row>
    <row r="182" spans="11:12" x14ac:dyDescent="0.4">
      <c r="K182" s="38">
        <v>180</v>
      </c>
      <c r="L182" s="99">
        <v>-4.2632564145606011E-14</v>
      </c>
    </row>
    <row r="183" spans="11:12" x14ac:dyDescent="0.4">
      <c r="K183" s="38">
        <v>181</v>
      </c>
      <c r="L183" s="99">
        <v>-23.900000000000041</v>
      </c>
    </row>
    <row r="184" spans="11:12" x14ac:dyDescent="0.4">
      <c r="K184" s="38">
        <v>182</v>
      </c>
      <c r="L184" s="99">
        <v>-22.000000000000043</v>
      </c>
    </row>
    <row r="185" spans="11:12" x14ac:dyDescent="0.4">
      <c r="K185" s="38">
        <v>183</v>
      </c>
      <c r="L185" s="99">
        <v>-4.2632564145606011E-14</v>
      </c>
    </row>
    <row r="186" spans="11:12" x14ac:dyDescent="0.4">
      <c r="K186" s="38">
        <v>184</v>
      </c>
      <c r="L186" s="99">
        <v>-1.9000000000000425</v>
      </c>
    </row>
    <row r="187" spans="11:12" x14ac:dyDescent="0.4">
      <c r="K187" s="38">
        <v>185</v>
      </c>
      <c r="L187" s="99">
        <v>36.799999999999962</v>
      </c>
    </row>
    <row r="188" spans="11:12" x14ac:dyDescent="0.4">
      <c r="K188" s="38">
        <v>186</v>
      </c>
      <c r="L188" s="99">
        <v>-3.5527136788005009E-14</v>
      </c>
    </row>
    <row r="189" spans="11:12" x14ac:dyDescent="0.4">
      <c r="K189" s="38">
        <v>187</v>
      </c>
      <c r="L189" s="99">
        <v>-40.700000000000038</v>
      </c>
    </row>
    <row r="190" spans="11:12" x14ac:dyDescent="0.4">
      <c r="K190" s="38">
        <v>188</v>
      </c>
      <c r="L190" s="99">
        <v>-33.400000000000041</v>
      </c>
    </row>
    <row r="191" spans="11:12" x14ac:dyDescent="0.4">
      <c r="K191" s="38">
        <v>189</v>
      </c>
      <c r="L191" s="99">
        <v>-4.2632564145606011E-14</v>
      </c>
    </row>
    <row r="192" spans="11:12" x14ac:dyDescent="0.4">
      <c r="K192" s="38">
        <v>190</v>
      </c>
      <c r="L192" s="99">
        <v>-30.500000000000043</v>
      </c>
    </row>
    <row r="193" spans="11:12" x14ac:dyDescent="0.4">
      <c r="K193" s="38">
        <v>191</v>
      </c>
      <c r="L193" s="99">
        <v>0.29999999999995808</v>
      </c>
    </row>
    <row r="194" spans="11:12" x14ac:dyDescent="0.4">
      <c r="K194" s="38">
        <v>192</v>
      </c>
      <c r="L194" s="99">
        <v>-4.1910919179599659E-14</v>
      </c>
    </row>
    <row r="195" spans="11:12" x14ac:dyDescent="0.4">
      <c r="K195" s="38">
        <v>193</v>
      </c>
      <c r="L195" s="99">
        <v>52.099999999999959</v>
      </c>
    </row>
    <row r="196" spans="11:12" x14ac:dyDescent="0.4">
      <c r="K196" s="38">
        <v>194</v>
      </c>
      <c r="L196" s="99">
        <v>49.299999999999962</v>
      </c>
    </row>
    <row r="197" spans="11:12" x14ac:dyDescent="0.4">
      <c r="K197" s="38">
        <v>195</v>
      </c>
      <c r="L197" s="99">
        <v>-3.5527136788005009E-14</v>
      </c>
    </row>
    <row r="198" spans="11:12" x14ac:dyDescent="0.4">
      <c r="K198" s="38">
        <v>196</v>
      </c>
      <c r="L198" s="99">
        <v>-5.6000000000000352</v>
      </c>
    </row>
    <row r="199" spans="11:12" x14ac:dyDescent="0.4">
      <c r="K199" s="38">
        <v>197</v>
      </c>
      <c r="L199" s="99">
        <v>-28.200000000000038</v>
      </c>
    </row>
    <row r="200" spans="11:12" x14ac:dyDescent="0.4">
      <c r="K200" s="38">
        <v>198</v>
      </c>
      <c r="L200" s="99">
        <v>-3.907985046680551E-14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AD7B8-2678-4974-A574-B68893BF4D0F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19</v>
      </c>
      <c r="C2" s="151"/>
      <c r="E2" s="62" t="s">
        <v>65</v>
      </c>
      <c r="F2" s="59" t="s">
        <v>21</v>
      </c>
      <c r="G2" s="46">
        <v>16</v>
      </c>
      <c r="H2" s="132">
        <f>IF(B$17=0,0,G2/B$17)</f>
        <v>0.3902439024390244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-1289.4736842105262</v>
      </c>
      <c r="P2" s="118">
        <v>19</v>
      </c>
      <c r="Q2" s="102">
        <v>-24500</v>
      </c>
    </row>
    <row r="3" spans="1:17" x14ac:dyDescent="0.4">
      <c r="A3" s="55" t="s">
        <v>8</v>
      </c>
      <c r="B3" s="152">
        <v>172</v>
      </c>
      <c r="C3" s="153"/>
      <c r="E3" s="63" t="s">
        <v>66</v>
      </c>
      <c r="F3" s="60" t="s">
        <v>22</v>
      </c>
      <c r="G3" s="47">
        <v>6</v>
      </c>
      <c r="H3" s="133">
        <f>IF(B$17=0,0,G3/B$17)</f>
        <v>0.14634146341463414</v>
      </c>
      <c r="I3" s="94">
        <v>3</v>
      </c>
      <c r="K3" s="38">
        <v>1</v>
      </c>
      <c r="L3" s="99">
        <v>-4.5999999999999996</v>
      </c>
      <c r="N3" s="115" t="s">
        <v>132</v>
      </c>
      <c r="O3" s="122">
        <f t="shared" si="0"/>
        <v>84.21052631578948</v>
      </c>
      <c r="P3" s="119">
        <v>19</v>
      </c>
      <c r="Q3" s="103">
        <v>1600</v>
      </c>
    </row>
    <row r="4" spans="1:17" x14ac:dyDescent="0.4">
      <c r="A4" s="55" t="s">
        <v>6</v>
      </c>
      <c r="B4" s="154">
        <v>-115.1</v>
      </c>
      <c r="C4" s="155"/>
      <c r="E4" s="63" t="s">
        <v>67</v>
      </c>
      <c r="F4" s="60" t="s">
        <v>23</v>
      </c>
      <c r="G4" s="47">
        <v>25</v>
      </c>
      <c r="H4" s="133">
        <f>IF(B$17=0,0,G4/B$17)</f>
        <v>0.6097560975609756</v>
      </c>
      <c r="I4" s="94">
        <v>9</v>
      </c>
      <c r="K4" s="38">
        <v>2</v>
      </c>
      <c r="L4" s="99">
        <v>19.899999999999999</v>
      </c>
      <c r="N4" s="115" t="s">
        <v>133</v>
      </c>
      <c r="O4" s="122">
        <f t="shared" si="0"/>
        <v>784.21052631578948</v>
      </c>
      <c r="P4" s="119">
        <v>19</v>
      </c>
      <c r="Q4" s="103">
        <v>14900</v>
      </c>
    </row>
    <row r="5" spans="1:17" x14ac:dyDescent="0.4">
      <c r="A5" s="55" t="s">
        <v>7</v>
      </c>
      <c r="B5" s="156">
        <f>IF(B$2=0,0,B$4/B$2)</f>
        <v>-6.0578947368421048</v>
      </c>
      <c r="C5" s="157"/>
      <c r="E5" s="63" t="s">
        <v>68</v>
      </c>
      <c r="F5" s="60" t="s">
        <v>24</v>
      </c>
      <c r="G5" s="47">
        <v>6</v>
      </c>
      <c r="H5" s="133">
        <f>IF(B$17=0,0,G5/B$17)</f>
        <v>0.14634146341463414</v>
      </c>
      <c r="I5" s="94">
        <v>10</v>
      </c>
      <c r="K5" s="38">
        <v>3</v>
      </c>
      <c r="L5" s="99">
        <v>-8.3000000000000007</v>
      </c>
      <c r="N5" s="115" t="s">
        <v>134</v>
      </c>
      <c r="O5" s="122">
        <f t="shared" si="0"/>
        <v>-622.22222222222217</v>
      </c>
      <c r="P5" s="119">
        <v>18</v>
      </c>
      <c r="Q5" s="103">
        <v>-11200</v>
      </c>
    </row>
    <row r="6" spans="1:17" x14ac:dyDescent="0.4">
      <c r="A6" s="55" t="s">
        <v>1</v>
      </c>
      <c r="B6" s="146">
        <f>IF(B$2=0,0,(B$7*1+B$8*2+B$9*3)/B$2)</f>
        <v>2.1052631578947367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0.36585365853658536</v>
      </c>
      <c r="I6" s="94">
        <v>2</v>
      </c>
      <c r="K6" s="38">
        <v>4</v>
      </c>
      <c r="L6" s="99">
        <v>-30.7</v>
      </c>
      <c r="N6" s="115" t="s">
        <v>135</v>
      </c>
      <c r="O6" s="122">
        <f t="shared" si="0"/>
        <v>-2044.4444444444443</v>
      </c>
      <c r="P6" s="119">
        <v>18</v>
      </c>
      <c r="Q6" s="103">
        <v>-36800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0.26315789473684209</v>
      </c>
      <c r="E7" s="63" t="s">
        <v>70</v>
      </c>
      <c r="F7" s="60" t="s">
        <v>25</v>
      </c>
      <c r="G7" s="47">
        <v>11</v>
      </c>
      <c r="H7" s="133">
        <f>IF(B$17=0,0,G7/B$17)</f>
        <v>0.26829268292682928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-2933.3333333333335</v>
      </c>
      <c r="P7" s="120">
        <v>15</v>
      </c>
      <c r="Q7" s="104">
        <v>-44000</v>
      </c>
    </row>
    <row r="8" spans="1:17" x14ac:dyDescent="0.4">
      <c r="A8" s="55" t="s">
        <v>3</v>
      </c>
      <c r="B8" s="47">
        <v>7</v>
      </c>
      <c r="C8" s="39">
        <f t="shared" si="1"/>
        <v>0.36842105263157893</v>
      </c>
      <c r="E8" s="63" t="s">
        <v>71</v>
      </c>
      <c r="F8" s="60" t="s">
        <v>26</v>
      </c>
      <c r="G8" s="47">
        <v>6</v>
      </c>
      <c r="H8" s="133">
        <f>IF(B$17=0,0,G8/B$17)</f>
        <v>0.14634146341463414</v>
      </c>
      <c r="I8" s="94">
        <v>2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0.36842105263157893</v>
      </c>
      <c r="E9" s="63" t="s">
        <v>72</v>
      </c>
      <c r="F9" s="60" t="s">
        <v>27</v>
      </c>
      <c r="G9" s="47">
        <v>6</v>
      </c>
      <c r="H9" s="133">
        <f>IF(B$17=0,0,G9/B$17)</f>
        <v>0.14634146341463414</v>
      </c>
      <c r="I9" s="94">
        <v>1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20</v>
      </c>
      <c r="H10" s="133">
        <f>IF(B$17=0,0,G10/B$17)</f>
        <v>0.48780487804878048</v>
      </c>
      <c r="I10" s="94">
        <v>9</v>
      </c>
      <c r="K10" s="38">
        <v>8</v>
      </c>
      <c r="L10" s="99">
        <v>-76.900000000000006</v>
      </c>
      <c r="N10" s="114" t="s">
        <v>163</v>
      </c>
      <c r="O10" s="124">
        <f>IF(P10=0,0,Q10/P10)</f>
        <v>-6.3833333333333329</v>
      </c>
      <c r="P10" s="118">
        <v>6</v>
      </c>
      <c r="Q10" s="106">
        <v>-38.299999999999997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-15.579999999999998</v>
      </c>
      <c r="P11" s="119">
        <v>5</v>
      </c>
      <c r="Q11" s="107">
        <v>-77.899999999999991</v>
      </c>
    </row>
    <row r="12" spans="1:17" x14ac:dyDescent="0.4">
      <c r="A12" s="57" t="s">
        <v>159</v>
      </c>
      <c r="B12" s="49">
        <v>3</v>
      </c>
      <c r="C12" s="42">
        <f t="shared" si="1"/>
        <v>0.15789473684210525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4</v>
      </c>
      <c r="K12" s="38">
        <v>10</v>
      </c>
      <c r="L12" s="99">
        <v>-32.700000000000003</v>
      </c>
      <c r="N12" s="116" t="s">
        <v>165</v>
      </c>
      <c r="O12" s="126">
        <f>IF(P12=0,0,Q12/P12)</f>
        <v>0.13750000000000018</v>
      </c>
      <c r="P12" s="120">
        <v>8</v>
      </c>
      <c r="Q12" s="108">
        <v>1.1000000000000014</v>
      </c>
    </row>
    <row r="13" spans="1:17" x14ac:dyDescent="0.4">
      <c r="A13" s="58" t="s">
        <v>122</v>
      </c>
      <c r="B13" s="50">
        <v>33</v>
      </c>
      <c r="C13" s="44">
        <f>IF(B$3=0,0,B13/B$3)</f>
        <v>0.19186046511627908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4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39</v>
      </c>
      <c r="C14" s="39">
        <f>IF(B$3=0,0,B14/B$3)</f>
        <v>0.22674418604651161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0.54545454545454541</v>
      </c>
      <c r="E15" s="63" t="s">
        <v>78</v>
      </c>
      <c r="F15" s="60" t="s">
        <v>33</v>
      </c>
      <c r="G15" s="47">
        <v>1</v>
      </c>
      <c r="H15" s="133">
        <f>IF(B$17=0,0,G15/B$17)</f>
        <v>2.4390243902439025E-2</v>
      </c>
      <c r="I15" s="94">
        <v>1</v>
      </c>
      <c r="K15" s="38">
        <v>13</v>
      </c>
      <c r="L15" s="99">
        <v>-66.2</v>
      </c>
      <c r="N15" s="114" t="s">
        <v>179</v>
      </c>
      <c r="O15" s="124">
        <f t="shared" ref="O15:O20" si="2"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0.28205128205128205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K16" s="38">
        <v>14</v>
      </c>
      <c r="L16" s="99">
        <v>-51.1</v>
      </c>
      <c r="N16" s="115" t="s">
        <v>128</v>
      </c>
      <c r="O16" s="125">
        <f t="shared" si="2"/>
        <v>1.7100000000000002</v>
      </c>
      <c r="P16" s="119">
        <v>10</v>
      </c>
      <c r="Q16" s="107">
        <v>17.100000000000001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0.23837209302325582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K17" s="38">
        <v>15</v>
      </c>
      <c r="L17" s="99">
        <v>-65.2</v>
      </c>
      <c r="N17" s="115" t="s">
        <v>182</v>
      </c>
      <c r="O17" s="125">
        <f t="shared" si="2"/>
        <v>-10.825000000000001</v>
      </c>
      <c r="P17" s="119">
        <v>4</v>
      </c>
      <c r="Q17" s="107">
        <v>-43.300000000000004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-70.600000000000009</v>
      </c>
      <c r="N18" s="115" t="s">
        <v>127</v>
      </c>
      <c r="O18" s="125">
        <f t="shared" si="2"/>
        <v>-11.98666666666667</v>
      </c>
      <c r="P18" s="119">
        <v>15</v>
      </c>
      <c r="Q18" s="107">
        <v>-179.80000000000004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82</v>
      </c>
      <c r="F19" s="60" t="s">
        <v>37</v>
      </c>
      <c r="G19" s="47">
        <v>2</v>
      </c>
      <c r="H19" s="133">
        <f>IF(B$17=0,0,G19/B$17)</f>
        <v>4.878048780487805E-2</v>
      </c>
      <c r="I19" s="94">
        <v>3</v>
      </c>
      <c r="K19" s="38">
        <v>17</v>
      </c>
      <c r="L19" s="99">
        <v>-65.2</v>
      </c>
      <c r="N19" s="115" t="s">
        <v>180</v>
      </c>
      <c r="O19" s="125">
        <f t="shared" si="2"/>
        <v>-17.383333333333333</v>
      </c>
      <c r="P19" s="119">
        <v>6</v>
      </c>
      <c r="Q19" s="107">
        <v>-104.3</v>
      </c>
    </row>
    <row r="20" spans="1:17" x14ac:dyDescent="0.4">
      <c r="A20" s="55" t="s">
        <v>13</v>
      </c>
      <c r="B20" s="47">
        <v>30</v>
      </c>
      <c r="C20" s="39">
        <f>IF(B$3=0,0,B20/B$3)</f>
        <v>0.1744186046511628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-80.2</v>
      </c>
      <c r="N20" s="115" t="s">
        <v>183</v>
      </c>
      <c r="O20" s="125">
        <f t="shared" si="2"/>
        <v>-25.7</v>
      </c>
      <c r="P20" s="119">
        <v>2</v>
      </c>
      <c r="Q20" s="107">
        <v>-51.4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9.7560975609756101E-2</v>
      </c>
      <c r="I21" s="94">
        <v>2</v>
      </c>
      <c r="K21" s="38">
        <v>19</v>
      </c>
      <c r="L21" s="99">
        <v>-115.1</v>
      </c>
    </row>
    <row r="22" spans="1:17" x14ac:dyDescent="0.4">
      <c r="A22" s="55" t="s">
        <v>171</v>
      </c>
      <c r="B22" s="47">
        <v>17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7095.1219512195121</v>
      </c>
      <c r="C23" s="41">
        <v>290900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-6670</v>
      </c>
      <c r="C24" s="45">
        <v>-200100</v>
      </c>
      <c r="E24" s="63" t="s">
        <v>87</v>
      </c>
      <c r="F24" s="60" t="s">
        <v>42</v>
      </c>
      <c r="G24" s="47">
        <v>1</v>
      </c>
      <c r="H24" s="133">
        <f>IF(B$17=0,0,G24/B$17)</f>
        <v>2.4390243902439025E-2</v>
      </c>
      <c r="I24" s="94">
        <v>10</v>
      </c>
    </row>
    <row r="25" spans="1:17" x14ac:dyDescent="0.4">
      <c r="A25" s="90" t="s">
        <v>141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51800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2.4390243902439025E-2</v>
      </c>
      <c r="I26" s="94">
        <v>1</v>
      </c>
    </row>
    <row r="27" spans="1:17" x14ac:dyDescent="0.4">
      <c r="A27" s="57" t="s">
        <v>142</v>
      </c>
      <c r="B27" s="65">
        <v>2</v>
      </c>
      <c r="C27" s="42">
        <f>IF(B$3=0,0,B27/B$3)</f>
        <v>1.1627906976744186E-2</v>
      </c>
      <c r="E27" s="63" t="s">
        <v>90</v>
      </c>
      <c r="F27" s="60" t="s">
        <v>45</v>
      </c>
      <c r="G27" s="47">
        <v>2</v>
      </c>
      <c r="H27" s="133">
        <f>IF(B$17=0,0,G27/B$17)</f>
        <v>4.878048780487805E-2</v>
      </c>
      <c r="I27" s="94">
        <v>10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5</v>
      </c>
    </row>
    <row r="51" spans="5:9" x14ac:dyDescent="0.4">
      <c r="E51" s="136" t="s">
        <v>172</v>
      </c>
      <c r="F51" s="137" t="s">
        <v>173</v>
      </c>
      <c r="G51" s="48">
        <v>17</v>
      </c>
      <c r="H51" s="138">
        <f>IF(B$17=0,0,G51/B$17)</f>
        <v>0.41463414634146339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8548F-5EB2-4E05-A9C9-F7EA501C6AD4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40</v>
      </c>
      <c r="C2" s="151"/>
      <c r="E2" s="62" t="s">
        <v>65</v>
      </c>
      <c r="F2" s="59" t="s">
        <v>21</v>
      </c>
      <c r="G2" s="46">
        <v>46</v>
      </c>
      <c r="H2" s="132">
        <f>IF(B$17=0,0,G2/B$17)</f>
        <v>0.39655172413793105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-189.74358974358975</v>
      </c>
      <c r="P2" s="118">
        <v>39</v>
      </c>
      <c r="Q2" s="102">
        <v>-7400</v>
      </c>
    </row>
    <row r="3" spans="1:17" x14ac:dyDescent="0.4">
      <c r="A3" s="55" t="s">
        <v>8</v>
      </c>
      <c r="B3" s="152">
        <v>343</v>
      </c>
      <c r="C3" s="153"/>
      <c r="E3" s="63" t="s">
        <v>66</v>
      </c>
      <c r="F3" s="60" t="s">
        <v>22</v>
      </c>
      <c r="G3" s="47">
        <v>12</v>
      </c>
      <c r="H3" s="133">
        <f>IF(B$17=0,0,G3/B$17)</f>
        <v>0.10344827586206896</v>
      </c>
      <c r="I3" s="94">
        <v>5</v>
      </c>
      <c r="K3" s="38">
        <v>1</v>
      </c>
      <c r="L3" s="99">
        <v>50.2</v>
      </c>
      <c r="N3" s="115" t="s">
        <v>132</v>
      </c>
      <c r="O3" s="122">
        <f t="shared" si="0"/>
        <v>-907.89473684210532</v>
      </c>
      <c r="P3" s="119">
        <v>38</v>
      </c>
      <c r="Q3" s="103">
        <v>-34500</v>
      </c>
    </row>
    <row r="4" spans="1:17" x14ac:dyDescent="0.4">
      <c r="A4" s="55" t="s">
        <v>6</v>
      </c>
      <c r="B4" s="154">
        <v>398.79999999999984</v>
      </c>
      <c r="C4" s="155"/>
      <c r="E4" s="63" t="s">
        <v>67</v>
      </c>
      <c r="F4" s="60" t="s">
        <v>23</v>
      </c>
      <c r="G4" s="47">
        <v>63</v>
      </c>
      <c r="H4" s="133">
        <f>IF(B$17=0,0,G4/B$17)</f>
        <v>0.5431034482758621</v>
      </c>
      <c r="I4" s="94">
        <v>10</v>
      </c>
      <c r="K4" s="38">
        <v>2</v>
      </c>
      <c r="L4" s="99">
        <v>14.400000000000006</v>
      </c>
      <c r="N4" s="115" t="s">
        <v>133</v>
      </c>
      <c r="O4" s="122">
        <f t="shared" si="0"/>
        <v>110.52631578947368</v>
      </c>
      <c r="P4" s="119">
        <v>38</v>
      </c>
      <c r="Q4" s="103">
        <v>4200</v>
      </c>
    </row>
    <row r="5" spans="1:17" x14ac:dyDescent="0.4">
      <c r="A5" s="55" t="s">
        <v>7</v>
      </c>
      <c r="B5" s="156">
        <f>IF(B$2=0,0,B$4/B$2)</f>
        <v>9.9699999999999953</v>
      </c>
      <c r="C5" s="157"/>
      <c r="E5" s="63" t="s">
        <v>68</v>
      </c>
      <c r="F5" s="60" t="s">
        <v>24</v>
      </c>
      <c r="G5" s="47">
        <v>31</v>
      </c>
      <c r="H5" s="133">
        <f>IF(B$17=0,0,G5/B$17)</f>
        <v>0.26724137931034481</v>
      </c>
      <c r="I5" s="94">
        <v>5</v>
      </c>
      <c r="K5" s="38">
        <v>3</v>
      </c>
      <c r="L5" s="99">
        <v>40.400000000000006</v>
      </c>
      <c r="N5" s="115" t="s">
        <v>134</v>
      </c>
      <c r="O5" s="122">
        <f t="shared" si="0"/>
        <v>-494.28571428571428</v>
      </c>
      <c r="P5" s="119">
        <v>35</v>
      </c>
      <c r="Q5" s="103">
        <v>-17300</v>
      </c>
    </row>
    <row r="6" spans="1:17" x14ac:dyDescent="0.4">
      <c r="A6" s="55" t="s">
        <v>1</v>
      </c>
      <c r="B6" s="146">
        <f>IF(B$2=0,0,(B$7*1+B$8*2+B$9*3)/B$2)</f>
        <v>1.7250000000000001</v>
      </c>
      <c r="C6" s="147"/>
      <c r="E6" s="63" t="s">
        <v>69</v>
      </c>
      <c r="F6" s="60" t="s">
        <v>12</v>
      </c>
      <c r="G6" s="47">
        <v>32</v>
      </c>
      <c r="H6" s="133">
        <f>IF(B$17=0,0,G6/B$17)</f>
        <v>0.27586206896551724</v>
      </c>
      <c r="I6" s="94">
        <v>8</v>
      </c>
      <c r="K6" s="38">
        <v>4</v>
      </c>
      <c r="L6" s="99">
        <v>101.60000000000001</v>
      </c>
      <c r="N6" s="115" t="s">
        <v>135</v>
      </c>
      <c r="O6" s="122">
        <f t="shared" si="0"/>
        <v>5387.878787878788</v>
      </c>
      <c r="P6" s="119">
        <v>33</v>
      </c>
      <c r="Q6" s="103">
        <v>177800</v>
      </c>
    </row>
    <row r="7" spans="1:17" x14ac:dyDescent="0.4">
      <c r="A7" s="55" t="s">
        <v>2</v>
      </c>
      <c r="B7" s="47">
        <v>21</v>
      </c>
      <c r="C7" s="39">
        <f t="shared" ref="C7:C12" si="1">IF(B$2=0,0,B7/B$2)</f>
        <v>0.52500000000000002</v>
      </c>
      <c r="E7" s="63" t="s">
        <v>70</v>
      </c>
      <c r="F7" s="60" t="s">
        <v>25</v>
      </c>
      <c r="G7" s="47">
        <v>17</v>
      </c>
      <c r="H7" s="133">
        <f>IF(B$17=0,0,G7/B$17)</f>
        <v>0.14655172413793102</v>
      </c>
      <c r="I7" s="94">
        <v>5</v>
      </c>
      <c r="K7" s="38">
        <v>5</v>
      </c>
      <c r="L7" s="99">
        <v>99.9</v>
      </c>
      <c r="N7" s="116" t="s">
        <v>136</v>
      </c>
      <c r="O7" s="123">
        <f t="shared" si="0"/>
        <v>5842.3076923076924</v>
      </c>
      <c r="P7" s="120">
        <v>26</v>
      </c>
      <c r="Q7" s="104">
        <v>151900</v>
      </c>
    </row>
    <row r="8" spans="1:17" x14ac:dyDescent="0.4">
      <c r="A8" s="55" t="s">
        <v>3</v>
      </c>
      <c r="B8" s="47">
        <v>9</v>
      </c>
      <c r="C8" s="39">
        <f t="shared" si="1"/>
        <v>0.22500000000000001</v>
      </c>
      <c r="E8" s="63" t="s">
        <v>71</v>
      </c>
      <c r="F8" s="60" t="s">
        <v>26</v>
      </c>
      <c r="G8" s="47">
        <v>8</v>
      </c>
      <c r="H8" s="133">
        <f>IF(B$17=0,0,G8/B$17)</f>
        <v>6.8965517241379309E-2</v>
      </c>
      <c r="I8" s="94">
        <v>6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0.25</v>
      </c>
      <c r="E9" s="63" t="s">
        <v>72</v>
      </c>
      <c r="F9" s="60" t="s">
        <v>27</v>
      </c>
      <c r="G9" s="47">
        <v>8</v>
      </c>
      <c r="H9" s="133">
        <f>IF(B$17=0,0,G9/B$17)</f>
        <v>6.8965517241379309E-2</v>
      </c>
      <c r="I9" s="94">
        <v>7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0.05</v>
      </c>
      <c r="E10" s="63" t="s">
        <v>73</v>
      </c>
      <c r="F10" s="60" t="s">
        <v>28</v>
      </c>
      <c r="G10" s="47">
        <v>58</v>
      </c>
      <c r="H10" s="133">
        <f>IF(B$17=0,0,G10/B$17)</f>
        <v>0.5</v>
      </c>
      <c r="I10" s="94">
        <v>7</v>
      </c>
      <c r="K10" s="38">
        <v>8</v>
      </c>
      <c r="L10" s="99">
        <v>148.1</v>
      </c>
      <c r="N10" s="114" t="s">
        <v>163</v>
      </c>
      <c r="O10" s="124">
        <f>IF(P10=0,0,Q10/P10)</f>
        <v>16.928571428571427</v>
      </c>
      <c r="P10" s="118">
        <v>7</v>
      </c>
      <c r="Q10" s="106">
        <v>118.5</v>
      </c>
    </row>
    <row r="11" spans="1:17" x14ac:dyDescent="0.4">
      <c r="A11" s="56" t="s">
        <v>139</v>
      </c>
      <c r="B11" s="48">
        <v>4</v>
      </c>
      <c r="C11" s="40">
        <f t="shared" si="1"/>
        <v>0.1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180.89999999999998</v>
      </c>
      <c r="N11" s="115" t="s">
        <v>164</v>
      </c>
      <c r="O11" s="125">
        <f>IF(P11=0,0,Q11/P11)</f>
        <v>9.7222222222222232</v>
      </c>
      <c r="P11" s="119">
        <v>18</v>
      </c>
      <c r="Q11" s="107">
        <v>175.00000000000003</v>
      </c>
    </row>
    <row r="12" spans="1:17" x14ac:dyDescent="0.4">
      <c r="A12" s="57" t="s">
        <v>159</v>
      </c>
      <c r="B12" s="49">
        <v>6</v>
      </c>
      <c r="C12" s="42">
        <f t="shared" si="1"/>
        <v>0.15</v>
      </c>
      <c r="E12" s="63" t="s">
        <v>75</v>
      </c>
      <c r="F12" s="60" t="s">
        <v>30</v>
      </c>
      <c r="G12" s="47">
        <v>1</v>
      </c>
      <c r="H12" s="133">
        <f>IF(B$17=0,0,G12/B$17)</f>
        <v>8.6206896551724137E-3</v>
      </c>
      <c r="I12" s="94">
        <v>2</v>
      </c>
      <c r="K12" s="38">
        <v>10</v>
      </c>
      <c r="L12" s="99">
        <v>158.19999999999999</v>
      </c>
      <c r="N12" s="116" t="s">
        <v>165</v>
      </c>
      <c r="O12" s="126">
        <f>IF(P12=0,0,Q12/P12)</f>
        <v>7.0199999999999987</v>
      </c>
      <c r="P12" s="120">
        <v>15</v>
      </c>
      <c r="Q12" s="108">
        <v>105.29999999999998</v>
      </c>
    </row>
    <row r="13" spans="1:17" x14ac:dyDescent="0.4">
      <c r="A13" s="58" t="s">
        <v>122</v>
      </c>
      <c r="B13" s="50">
        <v>84</v>
      </c>
      <c r="C13" s="44">
        <f>IF(B$3=0,0,B13/B$3)</f>
        <v>0.24489795918367346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4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76</v>
      </c>
      <c r="C14" s="39">
        <f>IF(B$3=0,0,B14/B$3)</f>
        <v>0.22157434402332363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52</v>
      </c>
      <c r="C15" s="37">
        <f>IF(B$13=0,0,B15/B$13)</f>
        <v>0.61904761904761907</v>
      </c>
      <c r="E15" s="63" t="s">
        <v>78</v>
      </c>
      <c r="F15" s="60" t="s">
        <v>33</v>
      </c>
      <c r="G15" s="47">
        <v>2</v>
      </c>
      <c r="H15" s="133">
        <f>IF(B$17=0,0,G15/B$17)</f>
        <v>1.7241379310344827E-2</v>
      </c>
      <c r="I15" s="94">
        <v>2</v>
      </c>
      <c r="K15" s="38">
        <v>13</v>
      </c>
      <c r="L15" s="99">
        <v>206.39999999999998</v>
      </c>
      <c r="N15" s="114" t="s">
        <v>182</v>
      </c>
      <c r="O15" s="124">
        <f t="shared" ref="O15:O21" si="2"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125</v>
      </c>
      <c r="B16" s="46">
        <v>40</v>
      </c>
      <c r="C16" s="37">
        <f>IF(B$14=0,0,B16/B$14)</f>
        <v>0.52631578947368418</v>
      </c>
      <c r="E16" s="63" t="s">
        <v>79</v>
      </c>
      <c r="F16" s="60" t="s">
        <v>34</v>
      </c>
      <c r="G16" s="47">
        <v>4</v>
      </c>
      <c r="H16" s="133">
        <f>IF(B$17=0,0,G16/B$17)</f>
        <v>3.4482758620689655E-2</v>
      </c>
      <c r="I16" s="94">
        <v>4</v>
      </c>
      <c r="K16" s="38">
        <v>14</v>
      </c>
      <c r="L16" s="99">
        <v>240.09999999999997</v>
      </c>
      <c r="N16" s="115" t="s">
        <v>183</v>
      </c>
      <c r="O16" s="125">
        <f t="shared" si="2"/>
        <v>40.333333333333336</v>
      </c>
      <c r="P16" s="119">
        <v>3</v>
      </c>
      <c r="Q16" s="107">
        <v>121</v>
      </c>
    </row>
    <row r="17" spans="1:17" x14ac:dyDescent="0.4">
      <c r="A17" s="54" t="s">
        <v>10</v>
      </c>
      <c r="B17" s="46">
        <f>B19+B18</f>
        <v>116</v>
      </c>
      <c r="C17" s="37">
        <f>IF(B$3=0,0,B17/B$3)</f>
        <v>0.33819241982507287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K17" s="38">
        <v>15</v>
      </c>
      <c r="L17" s="99">
        <v>269.49999999999994</v>
      </c>
      <c r="N17" s="115" t="s">
        <v>179</v>
      </c>
      <c r="O17" s="125">
        <f t="shared" si="2"/>
        <v>29.966666666666672</v>
      </c>
      <c r="P17" s="119">
        <v>6</v>
      </c>
      <c r="Q17" s="107">
        <v>179.80000000000004</v>
      </c>
    </row>
    <row r="18" spans="1:17" x14ac:dyDescent="0.4">
      <c r="A18" s="55" t="s">
        <v>12</v>
      </c>
      <c r="B18" s="47">
        <v>50</v>
      </c>
      <c r="C18" s="39">
        <f>IF(B$17=0,0,B18/B$17)</f>
        <v>0.43103448275862066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323.69999999999993</v>
      </c>
      <c r="N18" s="115" t="s">
        <v>180</v>
      </c>
      <c r="O18" s="125">
        <f t="shared" si="2"/>
        <v>17.933333333333334</v>
      </c>
      <c r="P18" s="119">
        <v>15</v>
      </c>
      <c r="Q18" s="107">
        <v>269</v>
      </c>
    </row>
    <row r="19" spans="1:17" x14ac:dyDescent="0.4">
      <c r="A19" s="55" t="s">
        <v>11</v>
      </c>
      <c r="B19" s="47">
        <v>66</v>
      </c>
      <c r="C19" s="39">
        <f>IF(B$17=0,0,B19/B$17)</f>
        <v>0.56896551724137934</v>
      </c>
      <c r="E19" s="63" t="s">
        <v>82</v>
      </c>
      <c r="F19" s="60" t="s">
        <v>37</v>
      </c>
      <c r="G19" s="47">
        <v>1</v>
      </c>
      <c r="H19" s="133">
        <f>IF(B$17=0,0,G19/B$17)</f>
        <v>8.6206896551724137E-3</v>
      </c>
      <c r="I19" s="94">
        <v>7</v>
      </c>
      <c r="K19" s="38">
        <v>17</v>
      </c>
      <c r="L19" s="99">
        <v>359.09999999999991</v>
      </c>
      <c r="N19" s="115" t="s">
        <v>167</v>
      </c>
      <c r="O19" s="125">
        <f t="shared" si="2"/>
        <v>11.986666666666666</v>
      </c>
      <c r="P19" s="119">
        <v>15</v>
      </c>
      <c r="Q19" s="107">
        <v>179.79999999999998</v>
      </c>
    </row>
    <row r="20" spans="1:17" x14ac:dyDescent="0.4">
      <c r="A20" s="55" t="s">
        <v>13</v>
      </c>
      <c r="B20" s="47">
        <v>45</v>
      </c>
      <c r="C20" s="39">
        <f>IF(B$3=0,0,B20/B$3)</f>
        <v>0.13119533527696792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352.39999999999992</v>
      </c>
      <c r="N20" s="115" t="s">
        <v>128</v>
      </c>
      <c r="O20" s="125">
        <f t="shared" si="2"/>
        <v>11.432258064516127</v>
      </c>
      <c r="P20" s="119">
        <v>31</v>
      </c>
      <c r="Q20" s="107">
        <v>354.39999999999992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5.1724137931034482E-2</v>
      </c>
      <c r="I21" s="94">
        <v>8</v>
      </c>
      <c r="K21" s="38">
        <v>19</v>
      </c>
      <c r="L21" s="99">
        <v>383.19999999999993</v>
      </c>
      <c r="N21" s="115" t="s">
        <v>178</v>
      </c>
      <c r="O21" s="125">
        <f t="shared" si="2"/>
        <v>-8.1142857142857157</v>
      </c>
      <c r="P21" s="119">
        <v>7</v>
      </c>
      <c r="Q21" s="107">
        <v>-56.800000000000004</v>
      </c>
    </row>
    <row r="22" spans="1:17" x14ac:dyDescent="0.4">
      <c r="A22" s="55" t="s">
        <v>171</v>
      </c>
      <c r="B22" s="47">
        <v>27</v>
      </c>
      <c r="C22" s="135">
        <v>15</v>
      </c>
      <c r="E22" s="63" t="s">
        <v>85</v>
      </c>
      <c r="F22" s="60" t="s">
        <v>40</v>
      </c>
      <c r="G22" s="47">
        <v>2</v>
      </c>
      <c r="H22" s="133">
        <f>IF(B$17=0,0,G22/B$17)</f>
        <v>1.7241379310344827E-2</v>
      </c>
      <c r="I22" s="94">
        <v>1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8048.2758620689656</v>
      </c>
      <c r="C23" s="41">
        <v>933600</v>
      </c>
      <c r="E23" s="63" t="s">
        <v>86</v>
      </c>
      <c r="F23" s="60" t="s">
        <v>41</v>
      </c>
      <c r="G23" s="47">
        <v>1</v>
      </c>
      <c r="H23" s="133">
        <f>IF(B$17=0,0,G23/B$17)</f>
        <v>8.6206896551724137E-3</v>
      </c>
      <c r="I23" s="94">
        <v>3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-7595.5555555555557</v>
      </c>
      <c r="C24" s="45">
        <v>-341800</v>
      </c>
      <c r="E24" s="63" t="s">
        <v>87</v>
      </c>
      <c r="F24" s="60" t="s">
        <v>42</v>
      </c>
      <c r="G24" s="47">
        <v>4</v>
      </c>
      <c r="H24" s="133">
        <f>IF(B$17=0,0,G24/B$17)</f>
        <v>3.4482758620689655E-2</v>
      </c>
      <c r="I24" s="94">
        <v>7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2">
        <v>86200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8.6206896551724137E-3</v>
      </c>
      <c r="I26" s="94">
        <v>2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19</v>
      </c>
      <c r="H27" s="133">
        <f>IF(B$17=0,0,G27/B$17)</f>
        <v>0.16379310344827586</v>
      </c>
      <c r="I27" s="94">
        <v>2</v>
      </c>
      <c r="K27" s="38">
        <v>25</v>
      </c>
      <c r="L27" s="99">
        <v>294.99999999999994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8.6206896551724137E-3</v>
      </c>
      <c r="I28" s="94">
        <v>1</v>
      </c>
      <c r="K28" s="38">
        <v>26</v>
      </c>
      <c r="L28" s="99">
        <v>329.29999999999995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8.6206896551724137E-3</v>
      </c>
      <c r="I29" s="94">
        <v>5</v>
      </c>
      <c r="K29" s="38">
        <v>27</v>
      </c>
      <c r="L29" s="99">
        <v>362.4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1.7241379310344827E-2</v>
      </c>
      <c r="I30" s="94">
        <v>2</v>
      </c>
      <c r="K30" s="38">
        <v>28</v>
      </c>
      <c r="L30" s="99">
        <v>375.79999999999995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8.6206896551724137E-3</v>
      </c>
      <c r="I33" s="94">
        <v>1</v>
      </c>
      <c r="K33" s="38">
        <v>31</v>
      </c>
      <c r="L33" s="99">
        <v>319.49999999999994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349.39999999999992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325.09999999999991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360.49999999999989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365.39999999999986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398.79999999999984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5</v>
      </c>
      <c r="H50" s="133">
        <f>IF(B$17=0,0,G50/B$17)</f>
        <v>4.3103448275862072E-2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38</v>
      </c>
      <c r="H51" s="138">
        <f>IF(B$17=0,0,G51/B$17)</f>
        <v>0.32758620689655171</v>
      </c>
      <c r="I51" s="139">
        <v>9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A1E48-639A-4B4B-8DB0-7421E62C1E69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43</v>
      </c>
      <c r="C2" s="151"/>
      <c r="E2" s="62" t="s">
        <v>67</v>
      </c>
      <c r="F2" s="59" t="s">
        <v>23</v>
      </c>
      <c r="G2" s="46">
        <v>123</v>
      </c>
      <c r="H2" s="132">
        <f>IF(B$17=0,0,G2/B$17)</f>
        <v>1.0081967213114753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471.42857142857144</v>
      </c>
      <c r="P2" s="118">
        <v>42</v>
      </c>
      <c r="Q2" s="102">
        <v>19800</v>
      </c>
    </row>
    <row r="3" spans="1:17" x14ac:dyDescent="0.4">
      <c r="A3" s="55" t="s">
        <v>8</v>
      </c>
      <c r="B3" s="152">
        <v>380</v>
      </c>
      <c r="C3" s="153"/>
      <c r="E3" s="63" t="s">
        <v>73</v>
      </c>
      <c r="F3" s="60" t="s">
        <v>28</v>
      </c>
      <c r="G3" s="47">
        <v>77</v>
      </c>
      <c r="H3" s="133">
        <f>IF(B$17=0,0,G3/B$17)</f>
        <v>0.63114754098360659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1321.9512195121952</v>
      </c>
      <c r="P3" s="119">
        <v>41</v>
      </c>
      <c r="Q3" s="103">
        <v>54200</v>
      </c>
    </row>
    <row r="4" spans="1:17" x14ac:dyDescent="0.4">
      <c r="A4" s="55" t="s">
        <v>6</v>
      </c>
      <c r="B4" s="154">
        <v>211.89999999999989</v>
      </c>
      <c r="C4" s="155"/>
      <c r="E4" s="63" t="s">
        <v>65</v>
      </c>
      <c r="F4" s="60" t="s">
        <v>21</v>
      </c>
      <c r="G4" s="47">
        <v>51</v>
      </c>
      <c r="H4" s="133">
        <f>IF(B$17=0,0,G4/B$17)</f>
        <v>0.41803278688524592</v>
      </c>
      <c r="I4" s="94">
        <v>7</v>
      </c>
      <c r="K4" s="38">
        <v>2</v>
      </c>
      <c r="L4" s="99">
        <v>-34.299999999999997</v>
      </c>
      <c r="N4" s="115" t="s">
        <v>133</v>
      </c>
      <c r="O4" s="122">
        <f t="shared" si="0"/>
        <v>1630</v>
      </c>
      <c r="P4" s="119">
        <v>40</v>
      </c>
      <c r="Q4" s="103">
        <v>65200</v>
      </c>
    </row>
    <row r="5" spans="1:17" x14ac:dyDescent="0.4">
      <c r="A5" s="55" t="s">
        <v>7</v>
      </c>
      <c r="B5" s="156">
        <f>IF(B$2=0,0,B$4/B$2)</f>
        <v>4.9279069767441834</v>
      </c>
      <c r="C5" s="157"/>
      <c r="E5" s="63" t="s">
        <v>172</v>
      </c>
      <c r="F5" s="60" t="s">
        <v>173</v>
      </c>
      <c r="G5" s="47">
        <v>51</v>
      </c>
      <c r="H5" s="133">
        <f>IF(B$17=0,0,G5/B$17)</f>
        <v>0.41803278688524592</v>
      </c>
      <c r="I5" s="94">
        <v>1</v>
      </c>
      <c r="K5" s="38">
        <v>3</v>
      </c>
      <c r="L5" s="99">
        <v>-58.599999999999994</v>
      </c>
      <c r="N5" s="115" t="s">
        <v>134</v>
      </c>
      <c r="O5" s="122">
        <f t="shared" si="0"/>
        <v>2721.0526315789475</v>
      </c>
      <c r="P5" s="119">
        <v>38</v>
      </c>
      <c r="Q5" s="103">
        <v>103400</v>
      </c>
    </row>
    <row r="6" spans="1:17" x14ac:dyDescent="0.4">
      <c r="A6" s="55" t="s">
        <v>1</v>
      </c>
      <c r="B6" s="146">
        <f>IF(B$2=0,0,(B$7*1+B$8*2+B$9*3)/B$2)</f>
        <v>1.8837209302325582</v>
      </c>
      <c r="C6" s="147"/>
      <c r="E6" s="63" t="s">
        <v>69</v>
      </c>
      <c r="F6" s="60" t="s">
        <v>12</v>
      </c>
      <c r="G6" s="47">
        <v>37</v>
      </c>
      <c r="H6" s="133">
        <f>IF(B$17=0,0,G6/B$17)</f>
        <v>0.30327868852459017</v>
      </c>
      <c r="I6" s="94">
        <v>3</v>
      </c>
      <c r="K6" s="38">
        <v>4</v>
      </c>
      <c r="L6" s="99">
        <v>-38.099999999999994</v>
      </c>
      <c r="N6" s="115" t="s">
        <v>135</v>
      </c>
      <c r="O6" s="122">
        <f t="shared" si="0"/>
        <v>-1925.7142857142858</v>
      </c>
      <c r="P6" s="119">
        <v>35</v>
      </c>
      <c r="Q6" s="103">
        <v>-67400</v>
      </c>
    </row>
    <row r="7" spans="1:17" x14ac:dyDescent="0.4">
      <c r="A7" s="55" t="s">
        <v>2</v>
      </c>
      <c r="B7" s="47">
        <v>16</v>
      </c>
      <c r="C7" s="39">
        <f t="shared" ref="C7:C12" si="1">IF(B$2=0,0,B7/B$2)</f>
        <v>0.37209302325581395</v>
      </c>
      <c r="E7" s="63" t="s">
        <v>68</v>
      </c>
      <c r="F7" s="60" t="s">
        <v>24</v>
      </c>
      <c r="G7" s="47">
        <v>33</v>
      </c>
      <c r="H7" s="133">
        <f>IF(B$17=0,0,G7/B$17)</f>
        <v>0.27049180327868855</v>
      </c>
      <c r="I7" s="94">
        <v>4</v>
      </c>
      <c r="K7" s="38">
        <v>5</v>
      </c>
      <c r="L7" s="99">
        <v>-11.299999999999994</v>
      </c>
      <c r="N7" s="116" t="s">
        <v>136</v>
      </c>
      <c r="O7" s="123">
        <f t="shared" si="0"/>
        <v>700</v>
      </c>
      <c r="P7" s="120">
        <v>27</v>
      </c>
      <c r="Q7" s="104">
        <v>18900</v>
      </c>
    </row>
    <row r="8" spans="1:17" x14ac:dyDescent="0.4">
      <c r="A8" s="55" t="s">
        <v>3</v>
      </c>
      <c r="B8" s="47">
        <v>16</v>
      </c>
      <c r="C8" s="39">
        <f t="shared" si="1"/>
        <v>0.37209302325581395</v>
      </c>
      <c r="E8" s="63" t="s">
        <v>90</v>
      </c>
      <c r="F8" s="60" t="s">
        <v>45</v>
      </c>
      <c r="G8" s="47">
        <v>16</v>
      </c>
      <c r="H8" s="133">
        <f>IF(B$17=0,0,G8/B$17)</f>
        <v>0.13114754098360656</v>
      </c>
      <c r="I8" s="94">
        <v>5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1"/>
        <v>0.2558139534883721</v>
      </c>
      <c r="E9" s="63" t="s">
        <v>70</v>
      </c>
      <c r="F9" s="60" t="s">
        <v>25</v>
      </c>
      <c r="G9" s="47">
        <v>11</v>
      </c>
      <c r="H9" s="133">
        <f>IF(B$17=0,0,G9/B$17)</f>
        <v>9.0163934426229511E-2</v>
      </c>
      <c r="I9" s="94">
        <v>7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6</v>
      </c>
      <c r="C10" s="40">
        <f t="shared" si="1"/>
        <v>0.13953488372093023</v>
      </c>
      <c r="E10" s="63" t="s">
        <v>66</v>
      </c>
      <c r="F10" s="60" t="s">
        <v>22</v>
      </c>
      <c r="G10" s="47">
        <v>9</v>
      </c>
      <c r="H10" s="133">
        <f>IF(B$17=0,0,G10/B$17)</f>
        <v>7.3770491803278687E-2</v>
      </c>
      <c r="I10" s="94">
        <v>9</v>
      </c>
      <c r="K10" s="38">
        <v>8</v>
      </c>
      <c r="L10" s="99">
        <v>-56.79999999999999</v>
      </c>
      <c r="N10" s="114" t="s">
        <v>163</v>
      </c>
      <c r="O10" s="124">
        <f>IF(P10=0,0,Q10/P10)</f>
        <v>10.054545454545455</v>
      </c>
      <c r="P10" s="118">
        <v>11</v>
      </c>
      <c r="Q10" s="106">
        <v>110.60000000000001</v>
      </c>
    </row>
    <row r="11" spans="1:17" x14ac:dyDescent="0.4">
      <c r="A11" s="56" t="s">
        <v>139</v>
      </c>
      <c r="B11" s="48">
        <v>7</v>
      </c>
      <c r="C11" s="40">
        <f t="shared" si="1"/>
        <v>0.16279069767441862</v>
      </c>
      <c r="E11" s="63" t="s">
        <v>72</v>
      </c>
      <c r="F11" s="60" t="s">
        <v>27</v>
      </c>
      <c r="G11" s="47">
        <v>7</v>
      </c>
      <c r="H11" s="133">
        <f>IF(B$17=0,0,G11/B$17)</f>
        <v>5.737704918032787E-2</v>
      </c>
      <c r="I11" s="94">
        <v>8</v>
      </c>
      <c r="K11" s="38">
        <v>9</v>
      </c>
      <c r="L11" s="99">
        <v>-83.699999999999989</v>
      </c>
      <c r="N11" s="115" t="s">
        <v>164</v>
      </c>
      <c r="O11" s="125">
        <f>IF(P11=0,0,Q11/P11)</f>
        <v>6.4230769230769234</v>
      </c>
      <c r="P11" s="119">
        <v>13</v>
      </c>
      <c r="Q11" s="107">
        <v>83.5</v>
      </c>
    </row>
    <row r="12" spans="1:17" x14ac:dyDescent="0.4">
      <c r="A12" s="57" t="s">
        <v>159</v>
      </c>
      <c r="B12" s="49">
        <v>9</v>
      </c>
      <c r="C12" s="42">
        <f t="shared" si="1"/>
        <v>0.20930232558139536</v>
      </c>
      <c r="E12" s="63" t="s">
        <v>87</v>
      </c>
      <c r="F12" s="60" t="s">
        <v>42</v>
      </c>
      <c r="G12" s="47">
        <v>7</v>
      </c>
      <c r="H12" s="133">
        <f>IF(B$17=0,0,G12/B$17)</f>
        <v>5.737704918032787E-2</v>
      </c>
      <c r="I12" s="94">
        <v>4</v>
      </c>
      <c r="K12" s="38">
        <v>10</v>
      </c>
      <c r="L12" s="99">
        <v>-78.399999999999991</v>
      </c>
      <c r="N12" s="116" t="s">
        <v>165</v>
      </c>
      <c r="O12" s="126">
        <f>IF(P12=0,0,Q12/P12)</f>
        <v>0.93684210526315759</v>
      </c>
      <c r="P12" s="120">
        <v>19</v>
      </c>
      <c r="Q12" s="108">
        <v>17.799999999999994</v>
      </c>
    </row>
    <row r="13" spans="1:17" x14ac:dyDescent="0.4">
      <c r="A13" s="58" t="s">
        <v>122</v>
      </c>
      <c r="B13" s="50">
        <v>87</v>
      </c>
      <c r="C13" s="44">
        <f>IF(B$3=0,0,B13/B$3)</f>
        <v>0.22894736842105262</v>
      </c>
      <c r="E13" s="63" t="s">
        <v>79</v>
      </c>
      <c r="F13" s="60" t="s">
        <v>34</v>
      </c>
      <c r="G13" s="47">
        <v>5</v>
      </c>
      <c r="H13" s="133">
        <f>IF(B$17=0,0,G13/B$17)</f>
        <v>4.0983606557377046E-2</v>
      </c>
      <c r="I13" s="94">
        <v>1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125</v>
      </c>
      <c r="C14" s="39">
        <f>IF(B$3=0,0,B14/B$3)</f>
        <v>0.32894736842105265</v>
      </c>
      <c r="E14" s="63" t="s">
        <v>84</v>
      </c>
      <c r="F14" s="60" t="s">
        <v>39</v>
      </c>
      <c r="G14" s="47">
        <v>5</v>
      </c>
      <c r="H14" s="133">
        <f>IF(B$17=0,0,G14/B$17)</f>
        <v>4.0983606557377046E-2</v>
      </c>
      <c r="I14" s="94">
        <v>9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50</v>
      </c>
      <c r="C15" s="37">
        <f>IF(B$13=0,0,B15/B$13)</f>
        <v>0.57471264367816088</v>
      </c>
      <c r="E15" s="63" t="s">
        <v>92</v>
      </c>
      <c r="F15" s="60" t="s">
        <v>47</v>
      </c>
      <c r="G15" s="47">
        <v>5</v>
      </c>
      <c r="H15" s="133">
        <f>IF(B$17=0,0,G15/B$17)</f>
        <v>4.0983606557377046E-2</v>
      </c>
      <c r="I15" s="94">
        <v>1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50</v>
      </c>
      <c r="C16" s="37">
        <f>IF(B$14=0,0,B16/B$14)</f>
        <v>0.4</v>
      </c>
      <c r="E16" s="63" t="s">
        <v>71</v>
      </c>
      <c r="F16" s="60" t="s">
        <v>26</v>
      </c>
      <c r="G16" s="47">
        <v>4</v>
      </c>
      <c r="H16" s="133">
        <f>IF(B$17=0,0,G16/B$17)</f>
        <v>3.2786885245901641E-2</v>
      </c>
      <c r="I16" s="94">
        <v>9</v>
      </c>
      <c r="K16" s="38">
        <v>14</v>
      </c>
      <c r="L16" s="99">
        <v>-138.4</v>
      </c>
      <c r="N16" s="115" t="s">
        <v>183</v>
      </c>
      <c r="O16" s="125">
        <f>IF(P16=0,0,Q16/P16)</f>
        <v>49.339999999999989</v>
      </c>
      <c r="P16" s="119">
        <v>5</v>
      </c>
      <c r="Q16" s="107">
        <v>246.69999999999996</v>
      </c>
    </row>
    <row r="17" spans="1:17" x14ac:dyDescent="0.4">
      <c r="A17" s="54" t="s">
        <v>10</v>
      </c>
      <c r="B17" s="46">
        <f>B19+B18</f>
        <v>122</v>
      </c>
      <c r="C17" s="37">
        <f>IF(B$3=0,0,B17/B$3)</f>
        <v>0.32105263157894737</v>
      </c>
      <c r="E17" s="63" t="s">
        <v>80</v>
      </c>
      <c r="F17" s="60" t="s">
        <v>35</v>
      </c>
      <c r="G17" s="47">
        <v>2</v>
      </c>
      <c r="H17" s="133">
        <f>IF(B$17=0,0,G17/B$17)</f>
        <v>1.6393442622950821E-2</v>
      </c>
      <c r="I17" s="94">
        <v>3</v>
      </c>
      <c r="K17" s="38">
        <v>15</v>
      </c>
      <c r="L17" s="99">
        <v>-144.30000000000001</v>
      </c>
      <c r="N17" s="115" t="s">
        <v>179</v>
      </c>
      <c r="O17" s="125">
        <f>IF(P17=0,0,Q17/P17)</f>
        <v>27.13333333333334</v>
      </c>
      <c r="P17" s="119">
        <v>12</v>
      </c>
      <c r="Q17" s="107">
        <v>325.60000000000008</v>
      </c>
    </row>
    <row r="18" spans="1:17" x14ac:dyDescent="0.4">
      <c r="A18" s="55" t="s">
        <v>12</v>
      </c>
      <c r="B18" s="47">
        <v>48</v>
      </c>
      <c r="C18" s="39">
        <f>IF(B$17=0,0,B18/B$17)</f>
        <v>0.39344262295081966</v>
      </c>
      <c r="E18" s="63" t="s">
        <v>82</v>
      </c>
      <c r="F18" s="60" t="s">
        <v>37</v>
      </c>
      <c r="G18" s="47">
        <v>1</v>
      </c>
      <c r="H18" s="133">
        <f>IF(B$17=0,0,G18/B$17)</f>
        <v>8.1967213114754103E-3</v>
      </c>
      <c r="I18" s="94">
        <v>8</v>
      </c>
      <c r="K18" s="38">
        <v>16</v>
      </c>
      <c r="L18" s="99">
        <v>-187.3</v>
      </c>
      <c r="N18" s="115" t="s">
        <v>178</v>
      </c>
      <c r="O18" s="125">
        <f>IF(P18=0,0,Q18/P18)</f>
        <v>23.2</v>
      </c>
      <c r="P18" s="119">
        <v>11</v>
      </c>
      <c r="Q18" s="107">
        <v>255.2</v>
      </c>
    </row>
    <row r="19" spans="1:17" x14ac:dyDescent="0.4">
      <c r="A19" s="55" t="s">
        <v>11</v>
      </c>
      <c r="B19" s="47">
        <v>74</v>
      </c>
      <c r="C19" s="39">
        <f>IF(B$17=0,0,B19/B$17)</f>
        <v>0.60655737704918034</v>
      </c>
      <c r="E19" s="63" t="s">
        <v>168</v>
      </c>
      <c r="F19" s="60" t="s">
        <v>169</v>
      </c>
      <c r="G19" s="47">
        <v>1</v>
      </c>
      <c r="H19" s="133">
        <f>IF(B$17=0,0,G19/B$17)</f>
        <v>8.1967213114754103E-3</v>
      </c>
      <c r="I19" s="94">
        <v>4</v>
      </c>
      <c r="K19" s="38">
        <v>17</v>
      </c>
      <c r="L19" s="99">
        <v>-179.70000000000002</v>
      </c>
      <c r="N19" s="115" t="s">
        <v>180</v>
      </c>
      <c r="O19" s="125">
        <f>IF(P19=0,0,Q19/P19)</f>
        <v>3.6928571428571426</v>
      </c>
      <c r="P19" s="119">
        <v>14</v>
      </c>
      <c r="Q19" s="107">
        <v>51.699999999999996</v>
      </c>
    </row>
    <row r="20" spans="1:17" x14ac:dyDescent="0.4">
      <c r="A20" s="55" t="s">
        <v>13</v>
      </c>
      <c r="B20" s="47">
        <v>76</v>
      </c>
      <c r="C20" s="39">
        <f>IF(B$3=0,0,B20/B$3)</f>
        <v>0.2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  <c r="N20" s="115" t="s">
        <v>167</v>
      </c>
      <c r="O20" s="125">
        <f>IF(P20=0,0,Q20/P20)</f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2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-162.40000000000003</v>
      </c>
      <c r="N21" s="115" t="s">
        <v>127</v>
      </c>
      <c r="O21" s="125">
        <f>IF(P21=0,0,Q21/P21)</f>
        <v>-11.432258064516125</v>
      </c>
      <c r="P21" s="119">
        <v>31</v>
      </c>
      <c r="Q21" s="107">
        <v>-354.39999999999986</v>
      </c>
    </row>
    <row r="22" spans="1:17" x14ac:dyDescent="0.4">
      <c r="A22" s="55" t="s">
        <v>171</v>
      </c>
      <c r="B22" s="47">
        <v>23</v>
      </c>
      <c r="C22" s="135">
        <v>2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-96.000000000000028</v>
      </c>
      <c r="N22" s="115" t="s">
        <v>182</v>
      </c>
      <c r="O22" s="125">
        <f>IF(P22=0,0,Q22/P22)</f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8802.4590163934427</v>
      </c>
      <c r="C23" s="41">
        <v>1073900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-7548.6842105263158</v>
      </c>
      <c r="C24" s="45">
        <v>-573700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-38.400000000000034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-37.600000000000037</v>
      </c>
    </row>
    <row r="26" spans="1:17" x14ac:dyDescent="0.4">
      <c r="A26" s="58" t="s">
        <v>151</v>
      </c>
      <c r="B26" s="142">
        <v>91800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-37.600000000000037</v>
      </c>
    </row>
    <row r="27" spans="1:17" x14ac:dyDescent="0.4">
      <c r="A27" s="57" t="s">
        <v>142</v>
      </c>
      <c r="B27" s="65">
        <v>1</v>
      </c>
      <c r="C27" s="42">
        <f>IF(B$3=0,0,B27/B$3)</f>
        <v>2.631578947368421E-3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-10.700000000000038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-2.6000000000000387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-34.100000000000037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40.799999999999962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63.499999999999957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94.299999999999955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153.39999999999995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158.79999999999993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109.59999999999992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131.59999999999991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183.6999999999999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211.89999999999989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125D5-87A6-418C-B88F-8855CF46B74E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24</v>
      </c>
      <c r="C2" s="151"/>
      <c r="E2" s="62" t="s">
        <v>65</v>
      </c>
      <c r="F2" s="59" t="s">
        <v>21</v>
      </c>
      <c r="G2" s="46">
        <v>34</v>
      </c>
      <c r="H2" s="132">
        <f>IF(B$17=0,0,G2/B$17)</f>
        <v>0.54838709677419351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891.304347826087</v>
      </c>
      <c r="P2" s="118">
        <v>23</v>
      </c>
      <c r="Q2" s="102">
        <v>20500</v>
      </c>
    </row>
    <row r="3" spans="1:17" x14ac:dyDescent="0.4">
      <c r="A3" s="55" t="s">
        <v>8</v>
      </c>
      <c r="B3" s="152">
        <v>210</v>
      </c>
      <c r="C3" s="153"/>
      <c r="E3" s="63" t="s">
        <v>66</v>
      </c>
      <c r="F3" s="60" t="s">
        <v>22</v>
      </c>
      <c r="G3" s="47">
        <v>7</v>
      </c>
      <c r="H3" s="133">
        <f>IF(B$17=0,0,G3/B$17)</f>
        <v>0.11290322580645161</v>
      </c>
      <c r="I3" s="94">
        <v>4</v>
      </c>
      <c r="K3" s="38">
        <v>1</v>
      </c>
      <c r="L3" s="99">
        <v>-37.799999999999997</v>
      </c>
      <c r="N3" s="115" t="s">
        <v>132</v>
      </c>
      <c r="O3" s="122">
        <f t="shared" si="0"/>
        <v>-860.86956521739125</v>
      </c>
      <c r="P3" s="119">
        <v>23</v>
      </c>
      <c r="Q3" s="103">
        <v>-19800</v>
      </c>
    </row>
    <row r="4" spans="1:17" x14ac:dyDescent="0.4">
      <c r="A4" s="55" t="s">
        <v>6</v>
      </c>
      <c r="B4" s="154">
        <v>-163.00000000000003</v>
      </c>
      <c r="C4" s="155"/>
      <c r="E4" s="63" t="s">
        <v>67</v>
      </c>
      <c r="F4" s="60" t="s">
        <v>23</v>
      </c>
      <c r="G4" s="47">
        <v>39</v>
      </c>
      <c r="H4" s="133">
        <f>IF(B$17=0,0,G4/B$17)</f>
        <v>0.62903225806451613</v>
      </c>
      <c r="I4" s="94">
        <v>8</v>
      </c>
      <c r="K4" s="38">
        <v>2</v>
      </c>
      <c r="L4" s="99">
        <v>-30.099999999999998</v>
      </c>
      <c r="N4" s="115" t="s">
        <v>133</v>
      </c>
      <c r="O4" s="122">
        <f t="shared" si="0"/>
        <v>1230.4347826086957</v>
      </c>
      <c r="P4" s="119">
        <v>23</v>
      </c>
      <c r="Q4" s="103">
        <v>28300</v>
      </c>
    </row>
    <row r="5" spans="1:17" x14ac:dyDescent="0.4">
      <c r="A5" s="55" t="s">
        <v>7</v>
      </c>
      <c r="B5" s="156">
        <f>IF(B$2=0,0,B$4/B$2)</f>
        <v>-6.7916666666666679</v>
      </c>
      <c r="C5" s="157"/>
      <c r="E5" s="63" t="s">
        <v>68</v>
      </c>
      <c r="F5" s="60" t="s">
        <v>24</v>
      </c>
      <c r="G5" s="47">
        <v>13</v>
      </c>
      <c r="H5" s="133">
        <f>IF(B$17=0,0,G5/B$17)</f>
        <v>0.20967741935483872</v>
      </c>
      <c r="I5" s="94">
        <v>7</v>
      </c>
      <c r="K5" s="38">
        <v>3</v>
      </c>
      <c r="L5" s="99">
        <v>-17.599999999999998</v>
      </c>
      <c r="N5" s="115" t="s">
        <v>134</v>
      </c>
      <c r="O5" s="122">
        <f t="shared" si="0"/>
        <v>-1680.952380952381</v>
      </c>
      <c r="P5" s="119">
        <v>21</v>
      </c>
      <c r="Q5" s="103">
        <v>-35300</v>
      </c>
    </row>
    <row r="6" spans="1:17" x14ac:dyDescent="0.4">
      <c r="A6" s="55" t="s">
        <v>1</v>
      </c>
      <c r="B6" s="146">
        <f>IF(B$2=0,0,(B$7*1+B$8*2+B$9*3)/B$2)</f>
        <v>2.25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0.24193548387096775</v>
      </c>
      <c r="I6" s="94">
        <v>9</v>
      </c>
      <c r="K6" s="38">
        <v>4</v>
      </c>
      <c r="L6" s="99">
        <v>-54.899999999999991</v>
      </c>
      <c r="N6" s="115" t="s">
        <v>135</v>
      </c>
      <c r="O6" s="122">
        <f t="shared" si="0"/>
        <v>-4430</v>
      </c>
      <c r="P6" s="119">
        <v>20</v>
      </c>
      <c r="Q6" s="103">
        <v>-88600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0.16666666666666666</v>
      </c>
      <c r="E7" s="63" t="s">
        <v>70</v>
      </c>
      <c r="F7" s="60" t="s">
        <v>25</v>
      </c>
      <c r="G7" s="47">
        <v>10</v>
      </c>
      <c r="H7" s="133">
        <f>IF(B$17=0,0,G7/B$17)</f>
        <v>0.16129032258064516</v>
      </c>
      <c r="I7" s="94">
        <v>3</v>
      </c>
      <c r="K7" s="38">
        <v>5</v>
      </c>
      <c r="L7" s="99">
        <v>-33.699999999999989</v>
      </c>
      <c r="N7" s="116" t="s">
        <v>136</v>
      </c>
      <c r="O7" s="123">
        <f t="shared" si="0"/>
        <v>-2072.2222222222222</v>
      </c>
      <c r="P7" s="120">
        <v>18</v>
      </c>
      <c r="Q7" s="104">
        <v>-37300</v>
      </c>
    </row>
    <row r="8" spans="1:17" x14ac:dyDescent="0.4">
      <c r="A8" s="55" t="s">
        <v>3</v>
      </c>
      <c r="B8" s="47">
        <v>10</v>
      </c>
      <c r="C8" s="39">
        <f t="shared" si="1"/>
        <v>0.41666666666666669</v>
      </c>
      <c r="E8" s="63" t="s">
        <v>71</v>
      </c>
      <c r="F8" s="60" t="s">
        <v>26</v>
      </c>
      <c r="G8" s="47">
        <v>8</v>
      </c>
      <c r="H8" s="133">
        <f>IF(B$17=0,0,G8/B$17)</f>
        <v>0.12903225806451613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0.41666666666666669</v>
      </c>
      <c r="E9" s="63" t="s">
        <v>72</v>
      </c>
      <c r="F9" s="60" t="s">
        <v>27</v>
      </c>
      <c r="G9" s="47">
        <v>5</v>
      </c>
      <c r="H9" s="133">
        <f>IF(B$17=0,0,G9/B$17)</f>
        <v>8.0645161290322578E-2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8.3333333333333329E-2</v>
      </c>
      <c r="E10" s="63" t="s">
        <v>73</v>
      </c>
      <c r="F10" s="60" t="s">
        <v>28</v>
      </c>
      <c r="G10" s="47">
        <v>33</v>
      </c>
      <c r="H10" s="133">
        <f>IF(B$17=0,0,G10/B$17)</f>
        <v>0.532258064516129</v>
      </c>
      <c r="I10" s="94">
        <v>5</v>
      </c>
      <c r="K10" s="38">
        <v>8</v>
      </c>
      <c r="L10" s="99">
        <v>-62.999999999999993</v>
      </c>
      <c r="N10" s="114" t="s">
        <v>163</v>
      </c>
      <c r="O10" s="124">
        <f>IF(P10=0,0,Q10/P10)</f>
        <v>5.5399999999999991</v>
      </c>
      <c r="P10" s="118">
        <v>10</v>
      </c>
      <c r="Q10" s="106">
        <v>55.399999999999991</v>
      </c>
    </row>
    <row r="11" spans="1:17" x14ac:dyDescent="0.4">
      <c r="A11" s="56" t="s">
        <v>139</v>
      </c>
      <c r="B11" s="48">
        <v>2</v>
      </c>
      <c r="C11" s="40">
        <f t="shared" si="1"/>
        <v>8.3333333333333329E-2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-14.37142857142857</v>
      </c>
      <c r="P11" s="119">
        <v>7</v>
      </c>
      <c r="Q11" s="107">
        <v>-100.6</v>
      </c>
    </row>
    <row r="12" spans="1:17" x14ac:dyDescent="0.4">
      <c r="A12" s="57" t="s">
        <v>159</v>
      </c>
      <c r="B12" s="49">
        <v>1</v>
      </c>
      <c r="C12" s="42">
        <f t="shared" si="1"/>
        <v>4.1666666666666664E-2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4</v>
      </c>
      <c r="K12" s="38">
        <v>10</v>
      </c>
      <c r="L12" s="99">
        <v>-117.19999999999999</v>
      </c>
      <c r="N12" s="116" t="s">
        <v>165</v>
      </c>
      <c r="O12" s="126">
        <f>IF(P12=0,0,Q12/P12)</f>
        <v>-16.828571428571426</v>
      </c>
      <c r="P12" s="120">
        <v>7</v>
      </c>
      <c r="Q12" s="108">
        <v>-117.79999999999998</v>
      </c>
    </row>
    <row r="13" spans="1:17" x14ac:dyDescent="0.4">
      <c r="A13" s="58" t="s">
        <v>122</v>
      </c>
      <c r="B13" s="50">
        <v>56</v>
      </c>
      <c r="C13" s="44">
        <f>IF(B$3=0,0,B13/B$3)</f>
        <v>0.26666666666666666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4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40</v>
      </c>
      <c r="C14" s="39">
        <f>IF(B$3=0,0,B14/B$3)</f>
        <v>0.19047619047619047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34</v>
      </c>
      <c r="C15" s="37">
        <f>IF(B$13=0,0,B15/B$13)</f>
        <v>0.6071428571428571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-207.3</v>
      </c>
      <c r="N15" s="114" t="s">
        <v>183</v>
      </c>
      <c r="O15" s="124">
        <f t="shared" ref="O15:O22" si="2">IF(P15=0,0,Q15/P15)</f>
        <v>25.799999999999997</v>
      </c>
      <c r="P15" s="118">
        <v>1</v>
      </c>
      <c r="Q15" s="106">
        <v>25.799999999999997</v>
      </c>
    </row>
    <row r="16" spans="1:17" x14ac:dyDescent="0.4">
      <c r="A16" s="54" t="s">
        <v>125</v>
      </c>
      <c r="B16" s="46">
        <v>17</v>
      </c>
      <c r="C16" s="37">
        <f>IF(B$14=0,0,B16/B$14)</f>
        <v>0.42499999999999999</v>
      </c>
      <c r="E16" s="63" t="s">
        <v>79</v>
      </c>
      <c r="F16" s="60" t="s">
        <v>34</v>
      </c>
      <c r="G16" s="47">
        <v>2</v>
      </c>
      <c r="H16" s="133">
        <f>IF(B$17=0,0,G16/B$17)</f>
        <v>3.2258064516129031E-2</v>
      </c>
      <c r="I16" s="94">
        <v>5</v>
      </c>
      <c r="K16" s="38">
        <v>14</v>
      </c>
      <c r="L16" s="99">
        <v>-204.8</v>
      </c>
      <c r="N16" s="115" t="s">
        <v>167</v>
      </c>
      <c r="O16" s="125">
        <f t="shared" si="2"/>
        <v>17.383333333333329</v>
      </c>
      <c r="P16" s="119">
        <v>6</v>
      </c>
      <c r="Q16" s="107">
        <v>104.29999999999998</v>
      </c>
    </row>
    <row r="17" spans="1:17" x14ac:dyDescent="0.4">
      <c r="A17" s="54" t="s">
        <v>10</v>
      </c>
      <c r="B17" s="46">
        <f>B19+B18</f>
        <v>62</v>
      </c>
      <c r="C17" s="37">
        <f>IF(B$3=0,0,B17/B$3)</f>
        <v>0.29523809523809524</v>
      </c>
      <c r="E17" s="63" t="s">
        <v>80</v>
      </c>
      <c r="F17" s="60" t="s">
        <v>35</v>
      </c>
      <c r="G17" s="47">
        <v>1</v>
      </c>
      <c r="H17" s="133">
        <f>IF(B$17=0,0,G17/B$17)</f>
        <v>1.6129032258064516E-2</v>
      </c>
      <c r="I17" s="94">
        <v>4</v>
      </c>
      <c r="K17" s="38">
        <v>15</v>
      </c>
      <c r="L17" s="99">
        <v>-221.5</v>
      </c>
      <c r="N17" s="115" t="s">
        <v>128</v>
      </c>
      <c r="O17" s="125">
        <f t="shared" si="2"/>
        <v>-3.6928571428571435</v>
      </c>
      <c r="P17" s="119">
        <v>14</v>
      </c>
      <c r="Q17" s="107">
        <v>-51.70000000000001</v>
      </c>
    </row>
    <row r="18" spans="1:17" x14ac:dyDescent="0.4">
      <c r="A18" s="55" t="s">
        <v>12</v>
      </c>
      <c r="B18" s="47">
        <v>23</v>
      </c>
      <c r="C18" s="39">
        <f>IF(B$17=0,0,B18/B$17)</f>
        <v>0.37096774193548387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-224.3</v>
      </c>
      <c r="N18" s="115" t="s">
        <v>182</v>
      </c>
      <c r="O18" s="125">
        <f t="shared" si="2"/>
        <v>-11.459999999999997</v>
      </c>
      <c r="P18" s="119">
        <v>5</v>
      </c>
      <c r="Q18" s="107">
        <v>-57.299999999999983</v>
      </c>
    </row>
    <row r="19" spans="1:17" x14ac:dyDescent="0.4">
      <c r="A19" s="55" t="s">
        <v>11</v>
      </c>
      <c r="B19" s="47">
        <v>39</v>
      </c>
      <c r="C19" s="39">
        <f>IF(B$17=0,0,B19/B$17)</f>
        <v>0.62903225806451613</v>
      </c>
      <c r="E19" s="63" t="s">
        <v>82</v>
      </c>
      <c r="F19" s="60" t="s">
        <v>37</v>
      </c>
      <c r="G19" s="47">
        <v>2</v>
      </c>
      <c r="H19" s="133">
        <f>IF(B$17=0,0,G19/B$17)</f>
        <v>3.2258064516129031E-2</v>
      </c>
      <c r="I19" s="94">
        <v>4</v>
      </c>
      <c r="K19" s="38">
        <v>17</v>
      </c>
      <c r="L19" s="99">
        <v>-251.4</v>
      </c>
      <c r="N19" s="115" t="s">
        <v>127</v>
      </c>
      <c r="O19" s="125">
        <f t="shared" si="2"/>
        <v>-17.933333333333337</v>
      </c>
      <c r="P19" s="119">
        <v>15</v>
      </c>
      <c r="Q19" s="107">
        <v>-269.00000000000006</v>
      </c>
    </row>
    <row r="20" spans="1:17" x14ac:dyDescent="0.4">
      <c r="A20" s="55" t="s">
        <v>13</v>
      </c>
      <c r="B20" s="47">
        <v>41</v>
      </c>
      <c r="C20" s="39">
        <f>IF(B$3=0,0,B20/B$3)</f>
        <v>0.19523809523809524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-240</v>
      </c>
      <c r="N20" s="115" t="s">
        <v>178</v>
      </c>
      <c r="O20" s="125">
        <f t="shared" si="2"/>
        <v>-29.9</v>
      </c>
      <c r="P20" s="119">
        <v>2</v>
      </c>
      <c r="Q20" s="107">
        <v>-59.8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9.6774193548387094E-2</v>
      </c>
      <c r="I21" s="94">
        <v>3</v>
      </c>
      <c r="K21" s="38">
        <v>19</v>
      </c>
      <c r="L21" s="99">
        <v>-218</v>
      </c>
      <c r="N21" s="115" t="s">
        <v>179</v>
      </c>
      <c r="O21" s="125">
        <f t="shared" si="2"/>
        <v>-31.174999999999997</v>
      </c>
      <c r="P21" s="119">
        <v>4</v>
      </c>
      <c r="Q21" s="107">
        <v>-124.69999999999999</v>
      </c>
    </row>
    <row r="22" spans="1:17" x14ac:dyDescent="0.4">
      <c r="A22" s="55" t="s">
        <v>171</v>
      </c>
      <c r="B22" s="47">
        <v>20</v>
      </c>
      <c r="C22" s="135">
        <v>20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-177.6</v>
      </c>
      <c r="N22" s="115" t="s">
        <v>196</v>
      </c>
      <c r="O22" s="125">
        <f t="shared" si="2"/>
        <v>-56.6</v>
      </c>
      <c r="P22" s="119">
        <v>1</v>
      </c>
      <c r="Q22" s="107">
        <v>-56.6</v>
      </c>
    </row>
    <row r="23" spans="1:17" x14ac:dyDescent="0.4">
      <c r="A23" s="55" t="s">
        <v>5</v>
      </c>
      <c r="B23" s="51">
        <f>IF(B$17=0,0,C23/B$17)</f>
        <v>7233.8709677419356</v>
      </c>
      <c r="C23" s="41">
        <v>448500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-133.30000000000001</v>
      </c>
    </row>
    <row r="24" spans="1:17" x14ac:dyDescent="0.4">
      <c r="A24" s="57" t="s">
        <v>14</v>
      </c>
      <c r="B24" s="52">
        <f>IF(B$20=0,0,C24/B$20)</f>
        <v>-7934.1463414634145</v>
      </c>
      <c r="C24" s="45">
        <v>-325300</v>
      </c>
      <c r="E24" s="63" t="s">
        <v>87</v>
      </c>
      <c r="F24" s="60" t="s">
        <v>42</v>
      </c>
      <c r="G24" s="47">
        <v>2</v>
      </c>
      <c r="H24" s="133">
        <f>IF(B$17=0,0,G24/B$17)</f>
        <v>3.2258064516129031E-2</v>
      </c>
      <c r="I24" s="94">
        <v>8</v>
      </c>
      <c r="K24" s="38">
        <v>22</v>
      </c>
      <c r="L24" s="99">
        <v>-164.60000000000002</v>
      </c>
    </row>
    <row r="25" spans="1:17" x14ac:dyDescent="0.4">
      <c r="A25" s="90" t="s">
        <v>141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-162.70000000000002</v>
      </c>
    </row>
    <row r="26" spans="1:17" x14ac:dyDescent="0.4">
      <c r="A26" s="58" t="s">
        <v>151</v>
      </c>
      <c r="B26" s="142">
        <v>69300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-163.00000000000003</v>
      </c>
    </row>
    <row r="27" spans="1:17" x14ac:dyDescent="0.4">
      <c r="A27" s="57" t="s">
        <v>142</v>
      </c>
      <c r="B27" s="65">
        <v>1</v>
      </c>
      <c r="C27" s="42">
        <f>IF(B$3=0,0,B27/B$3)</f>
        <v>4.7619047619047623E-3</v>
      </c>
      <c r="E27" s="63" t="s">
        <v>90</v>
      </c>
      <c r="F27" s="60" t="s">
        <v>45</v>
      </c>
      <c r="G27" s="47">
        <v>5</v>
      </c>
      <c r="H27" s="133">
        <f>IF(B$17=0,0,G27/B$17)</f>
        <v>8.0645161290322578E-2</v>
      </c>
      <c r="I27" s="94">
        <v>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1.6129032258064516E-2</v>
      </c>
      <c r="I29" s="94">
        <v>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1</v>
      </c>
      <c r="H50" s="133">
        <f>IF(B$17=0,0,G50/B$17)</f>
        <v>1.6129032258064516E-2</v>
      </c>
      <c r="I50" s="94">
        <v>2</v>
      </c>
    </row>
    <row r="51" spans="5:9" x14ac:dyDescent="0.4">
      <c r="E51" s="136" t="s">
        <v>172</v>
      </c>
      <c r="F51" s="137" t="s">
        <v>173</v>
      </c>
      <c r="G51" s="48">
        <v>22</v>
      </c>
      <c r="H51" s="138">
        <f>IF(B$17=0,0,G51/B$17)</f>
        <v>0.35483870967741937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B363-C5C6-4103-B42C-FBBA8658C4CA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20</v>
      </c>
      <c r="C2" s="151"/>
      <c r="E2" s="62" t="s">
        <v>73</v>
      </c>
      <c r="F2" s="59" t="s">
        <v>28</v>
      </c>
      <c r="G2" s="46">
        <v>29</v>
      </c>
      <c r="H2" s="132">
        <f>IF(B$17=0,0,G2/B$17)</f>
        <v>0.72499999999999998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1090</v>
      </c>
      <c r="P2" s="118">
        <v>20</v>
      </c>
      <c r="Q2" s="102">
        <v>21800</v>
      </c>
    </row>
    <row r="3" spans="1:17" x14ac:dyDescent="0.4">
      <c r="A3" s="55" t="s">
        <v>8</v>
      </c>
      <c r="B3" s="152">
        <v>162</v>
      </c>
      <c r="C3" s="153"/>
      <c r="E3" s="63" t="s">
        <v>67</v>
      </c>
      <c r="F3" s="60" t="s">
        <v>23</v>
      </c>
      <c r="G3" s="47">
        <v>26</v>
      </c>
      <c r="H3" s="133">
        <f>IF(B$17=0,0,G3/B$17)</f>
        <v>0.65</v>
      </c>
      <c r="I3" s="94">
        <v>7</v>
      </c>
      <c r="K3" s="38">
        <v>1</v>
      </c>
      <c r="L3" s="99">
        <v>-9.1</v>
      </c>
      <c r="N3" s="115" t="s">
        <v>132</v>
      </c>
      <c r="O3" s="122">
        <f t="shared" si="0"/>
        <v>-2952.6315789473683</v>
      </c>
      <c r="P3" s="119">
        <v>19</v>
      </c>
      <c r="Q3" s="103">
        <v>-56100</v>
      </c>
    </row>
    <row r="4" spans="1:17" x14ac:dyDescent="0.4">
      <c r="A4" s="55" t="s">
        <v>6</v>
      </c>
      <c r="B4" s="154">
        <v>-50.39999999999997</v>
      </c>
      <c r="C4" s="155"/>
      <c r="E4" s="63" t="s">
        <v>68</v>
      </c>
      <c r="F4" s="60" t="s">
        <v>24</v>
      </c>
      <c r="G4" s="47">
        <v>17</v>
      </c>
      <c r="H4" s="133">
        <f>IF(B$17=0,0,G4/B$17)</f>
        <v>0.42499999999999999</v>
      </c>
      <c r="I4" s="94">
        <v>3</v>
      </c>
      <c r="K4" s="38">
        <v>2</v>
      </c>
      <c r="L4" s="99">
        <v>-67.3</v>
      </c>
      <c r="N4" s="115" t="s">
        <v>133</v>
      </c>
      <c r="O4" s="122">
        <f t="shared" si="0"/>
        <v>-411.11111111111109</v>
      </c>
      <c r="P4" s="119">
        <v>18</v>
      </c>
      <c r="Q4" s="103">
        <v>-7400</v>
      </c>
    </row>
    <row r="5" spans="1:17" x14ac:dyDescent="0.4">
      <c r="A5" s="55" t="s">
        <v>7</v>
      </c>
      <c r="B5" s="156">
        <f>IF(B$2=0,0,B$4/B$2)</f>
        <v>-2.5199999999999987</v>
      </c>
      <c r="C5" s="157"/>
      <c r="E5" s="63" t="s">
        <v>65</v>
      </c>
      <c r="F5" s="60" t="s">
        <v>21</v>
      </c>
      <c r="G5" s="47">
        <v>15</v>
      </c>
      <c r="H5" s="133">
        <f>IF(B$17=0,0,G5/B$17)</f>
        <v>0.375</v>
      </c>
      <c r="I5" s="94">
        <v>10</v>
      </c>
      <c r="K5" s="38">
        <v>3</v>
      </c>
      <c r="L5" s="99">
        <v>-113.8</v>
      </c>
      <c r="N5" s="115" t="s">
        <v>134</v>
      </c>
      <c r="O5" s="122">
        <f t="shared" si="0"/>
        <v>5323.5294117647063</v>
      </c>
      <c r="P5" s="119">
        <v>17</v>
      </c>
      <c r="Q5" s="103">
        <v>90500</v>
      </c>
    </row>
    <row r="6" spans="1:17" x14ac:dyDescent="0.4">
      <c r="A6" s="55" t="s">
        <v>1</v>
      </c>
      <c r="B6" s="146">
        <f>IF(B$2=0,0,(B$7*1+B$8*2+B$9*3)/B$2)</f>
        <v>2.0499999999999998</v>
      </c>
      <c r="C6" s="147"/>
      <c r="E6" s="63" t="s">
        <v>90</v>
      </c>
      <c r="F6" s="60" t="s">
        <v>45</v>
      </c>
      <c r="G6" s="47">
        <v>15</v>
      </c>
      <c r="H6" s="133">
        <f>IF(B$17=0,0,G6/B$17)</f>
        <v>0.375</v>
      </c>
      <c r="I6" s="94">
        <v>1</v>
      </c>
      <c r="K6" s="38">
        <v>4</v>
      </c>
      <c r="L6" s="99">
        <v>-74.599999999999994</v>
      </c>
      <c r="N6" s="115" t="s">
        <v>135</v>
      </c>
      <c r="O6" s="122">
        <f t="shared" si="0"/>
        <v>-1413.3333333333333</v>
      </c>
      <c r="P6" s="119">
        <v>15</v>
      </c>
      <c r="Q6" s="103">
        <v>-21200</v>
      </c>
    </row>
    <row r="7" spans="1:17" x14ac:dyDescent="0.4">
      <c r="A7" s="55" t="s">
        <v>2</v>
      </c>
      <c r="B7" s="47">
        <v>6</v>
      </c>
      <c r="C7" s="39">
        <f t="shared" ref="C7:C12" si="1">IF(B$2=0,0,B7/B$2)</f>
        <v>0.3</v>
      </c>
      <c r="E7" s="63" t="s">
        <v>69</v>
      </c>
      <c r="F7" s="60" t="s">
        <v>12</v>
      </c>
      <c r="G7" s="47">
        <v>12</v>
      </c>
      <c r="H7" s="133">
        <f>IF(B$17=0,0,G7/B$17)</f>
        <v>0.3</v>
      </c>
      <c r="I7" s="94">
        <v>4</v>
      </c>
      <c r="K7" s="38">
        <v>5</v>
      </c>
      <c r="L7" s="99">
        <v>-118.3</v>
      </c>
      <c r="N7" s="116" t="s">
        <v>136</v>
      </c>
      <c r="O7" s="123">
        <f t="shared" si="0"/>
        <v>-5818.181818181818</v>
      </c>
      <c r="P7" s="120">
        <v>11</v>
      </c>
      <c r="Q7" s="104">
        <v>-64000</v>
      </c>
    </row>
    <row r="8" spans="1:17" x14ac:dyDescent="0.4">
      <c r="A8" s="55" t="s">
        <v>3</v>
      </c>
      <c r="B8" s="47">
        <v>7</v>
      </c>
      <c r="C8" s="39">
        <f t="shared" si="1"/>
        <v>0.35</v>
      </c>
      <c r="E8" s="63" t="s">
        <v>172</v>
      </c>
      <c r="F8" s="60" t="s">
        <v>173</v>
      </c>
      <c r="G8" s="47">
        <v>11</v>
      </c>
      <c r="H8" s="133">
        <f>IF(B$17=0,0,G8/B$17)</f>
        <v>0.27500000000000002</v>
      </c>
      <c r="I8" s="94">
        <v>10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0.35</v>
      </c>
      <c r="E9" s="63" t="s">
        <v>70</v>
      </c>
      <c r="F9" s="60" t="s">
        <v>25</v>
      </c>
      <c r="G9" s="47">
        <v>6</v>
      </c>
      <c r="H9" s="133">
        <f>IF(B$17=0,0,G9/B$17)</f>
        <v>0.15</v>
      </c>
      <c r="I9" s="94">
        <v>4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0.2</v>
      </c>
      <c r="E10" s="63" t="s">
        <v>66</v>
      </c>
      <c r="F10" s="60" t="s">
        <v>22</v>
      </c>
      <c r="G10" s="47">
        <v>4</v>
      </c>
      <c r="H10" s="133">
        <f>IF(B$17=0,0,G10/B$17)</f>
        <v>0.1</v>
      </c>
      <c r="I10" s="94">
        <v>6</v>
      </c>
      <c r="K10" s="38">
        <v>8</v>
      </c>
      <c r="L10" s="99">
        <v>-110.19999999999999</v>
      </c>
      <c r="N10" s="114" t="s">
        <v>163</v>
      </c>
      <c r="O10" s="124">
        <f>IF(P10=0,0,Q10/P10)</f>
        <v>2.0875000000000008</v>
      </c>
      <c r="P10" s="118">
        <v>8</v>
      </c>
      <c r="Q10" s="106">
        <v>16.700000000000006</v>
      </c>
    </row>
    <row r="11" spans="1:17" x14ac:dyDescent="0.4">
      <c r="A11" s="56" t="s">
        <v>139</v>
      </c>
      <c r="B11" s="48">
        <v>4</v>
      </c>
      <c r="C11" s="40">
        <f t="shared" si="1"/>
        <v>0.2</v>
      </c>
      <c r="E11" s="63" t="s">
        <v>84</v>
      </c>
      <c r="F11" s="60" t="s">
        <v>39</v>
      </c>
      <c r="G11" s="47">
        <v>3</v>
      </c>
      <c r="H11" s="133">
        <f>IF(B$17=0,0,G11/B$17)</f>
        <v>7.4999999999999997E-2</v>
      </c>
      <c r="I11" s="94">
        <v>5</v>
      </c>
      <c r="K11" s="38">
        <v>9</v>
      </c>
      <c r="L11" s="99">
        <v>-120.99999999999999</v>
      </c>
      <c r="N11" s="115" t="s">
        <v>164</v>
      </c>
      <c r="O11" s="125">
        <f>IF(P11=0,0,Q11/P11)</f>
        <v>-1.3428571428571436</v>
      </c>
      <c r="P11" s="119">
        <v>7</v>
      </c>
      <c r="Q11" s="107">
        <v>-9.4000000000000057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93</v>
      </c>
      <c r="F12" s="60" t="s">
        <v>48</v>
      </c>
      <c r="G12" s="47">
        <v>3</v>
      </c>
      <c r="H12" s="133">
        <f>IF(B$17=0,0,G12/B$17)</f>
        <v>7.4999999999999997E-2</v>
      </c>
      <c r="I12" s="94">
        <v>1</v>
      </c>
      <c r="K12" s="38">
        <v>10</v>
      </c>
      <c r="L12" s="99">
        <v>-113.29999999999998</v>
      </c>
      <c r="N12" s="116" t="s">
        <v>165</v>
      </c>
      <c r="O12" s="126">
        <f>IF(P12=0,0,Q12/P12)</f>
        <v>-11.539999999999997</v>
      </c>
      <c r="P12" s="120">
        <v>5</v>
      </c>
      <c r="Q12" s="108">
        <v>-57.699999999999989</v>
      </c>
    </row>
    <row r="13" spans="1:17" x14ac:dyDescent="0.4">
      <c r="A13" s="58" t="s">
        <v>122</v>
      </c>
      <c r="B13" s="50">
        <v>43</v>
      </c>
      <c r="C13" s="44">
        <f>IF(B$3=0,0,B13/B$3)</f>
        <v>0.26543209876543211</v>
      </c>
      <c r="E13" s="63" t="s">
        <v>82</v>
      </c>
      <c r="F13" s="60" t="s">
        <v>37</v>
      </c>
      <c r="G13" s="47">
        <v>2</v>
      </c>
      <c r="H13" s="133">
        <f>IF(B$17=0,0,G13/B$17)</f>
        <v>0.05</v>
      </c>
      <c r="I13" s="94">
        <v>2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36</v>
      </c>
      <c r="C14" s="39">
        <f>IF(B$3=0,0,B14/B$3)</f>
        <v>0.22222222222222221</v>
      </c>
      <c r="E14" s="63" t="s">
        <v>71</v>
      </c>
      <c r="F14" s="60" t="s">
        <v>26</v>
      </c>
      <c r="G14" s="47">
        <v>1</v>
      </c>
      <c r="H14" s="133">
        <f>IF(B$17=0,0,G14/B$17)</f>
        <v>2.5000000000000001E-2</v>
      </c>
      <c r="I14" s="94">
        <v>10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15</v>
      </c>
      <c r="C15" s="37">
        <f>IF(B$13=0,0,B15/B$13)</f>
        <v>0.34883720930232559</v>
      </c>
      <c r="E15" s="63" t="s">
        <v>72</v>
      </c>
      <c r="F15" s="60" t="s">
        <v>27</v>
      </c>
      <c r="G15" s="47">
        <v>1</v>
      </c>
      <c r="H15" s="133">
        <f>IF(B$17=0,0,G15/B$17)</f>
        <v>2.5000000000000001E-2</v>
      </c>
      <c r="I15" s="94">
        <v>10</v>
      </c>
      <c r="K15" s="38">
        <v>13</v>
      </c>
      <c r="L15" s="99">
        <v>-132.39999999999998</v>
      </c>
      <c r="N15" s="114" t="s">
        <v>180</v>
      </c>
      <c r="O15" s="124">
        <f>IF(P15=0,0,Q15/P15)</f>
        <v>29.9</v>
      </c>
      <c r="P15" s="118">
        <v>2</v>
      </c>
      <c r="Q15" s="106">
        <v>59.8</v>
      </c>
    </row>
    <row r="16" spans="1:17" x14ac:dyDescent="0.4">
      <c r="A16" s="54" t="s">
        <v>125</v>
      </c>
      <c r="B16" s="46">
        <v>17</v>
      </c>
      <c r="C16" s="37">
        <f>IF(B$14=0,0,B16/B$14)</f>
        <v>0.47222222222222221</v>
      </c>
      <c r="E16" s="63" t="s">
        <v>76</v>
      </c>
      <c r="F16" s="60" t="s">
        <v>31</v>
      </c>
      <c r="G16" s="47">
        <v>1</v>
      </c>
      <c r="H16" s="133">
        <f>IF(B$17=0,0,G16/B$17)</f>
        <v>2.5000000000000001E-2</v>
      </c>
      <c r="I16" s="94">
        <v>2</v>
      </c>
      <c r="K16" s="38">
        <v>14</v>
      </c>
      <c r="L16" s="99">
        <v>-86.499999999999972</v>
      </c>
      <c r="N16" s="115" t="s">
        <v>179</v>
      </c>
      <c r="O16" s="125">
        <f>IF(P16=0,0,Q16/P16)</f>
        <v>18.760000000000002</v>
      </c>
      <c r="P16" s="119">
        <v>10</v>
      </c>
      <c r="Q16" s="107">
        <v>187.60000000000002</v>
      </c>
    </row>
    <row r="17" spans="1:17" x14ac:dyDescent="0.4">
      <c r="A17" s="54" t="s">
        <v>10</v>
      </c>
      <c r="B17" s="46">
        <f>B19+B18</f>
        <v>40</v>
      </c>
      <c r="C17" s="37">
        <f>IF(B$3=0,0,B17/B$3)</f>
        <v>0.24691358024691357</v>
      </c>
      <c r="E17" s="63" t="s">
        <v>87</v>
      </c>
      <c r="F17" s="60" t="s">
        <v>42</v>
      </c>
      <c r="G17" s="47">
        <v>1</v>
      </c>
      <c r="H17" s="133">
        <f>IF(B$17=0,0,G17/B$17)</f>
        <v>2.5000000000000001E-2</v>
      </c>
      <c r="I17" s="94">
        <v>9</v>
      </c>
      <c r="K17" s="38">
        <v>15</v>
      </c>
      <c r="L17" s="99">
        <v>-101.79999999999997</v>
      </c>
      <c r="N17" s="115" t="s">
        <v>127</v>
      </c>
      <c r="O17" s="125">
        <f>IF(P17=0,0,Q17/P17)</f>
        <v>8.1142857142857121</v>
      </c>
      <c r="P17" s="119">
        <v>7</v>
      </c>
      <c r="Q17" s="107">
        <v>56.79999999999999</v>
      </c>
    </row>
    <row r="18" spans="1:17" x14ac:dyDescent="0.4">
      <c r="A18" s="55" t="s">
        <v>12</v>
      </c>
      <c r="B18" s="47">
        <v>16</v>
      </c>
      <c r="C18" s="39">
        <f>IF(B$17=0,0,B18/B$17)</f>
        <v>0.4</v>
      </c>
      <c r="E18" s="63" t="s">
        <v>92</v>
      </c>
      <c r="F18" s="60" t="s">
        <v>47</v>
      </c>
      <c r="G18" s="47">
        <v>1</v>
      </c>
      <c r="H18" s="133">
        <f>IF(B$17=0,0,G18/B$17)</f>
        <v>2.5000000000000001E-2</v>
      </c>
      <c r="I18" s="94">
        <v>2</v>
      </c>
      <c r="K18" s="38">
        <v>16</v>
      </c>
      <c r="L18" s="99">
        <v>-63.099999999999966</v>
      </c>
      <c r="N18" s="115" t="s">
        <v>183</v>
      </c>
      <c r="O18" s="125">
        <f>IF(P18=0,0,Q18/P18)</f>
        <v>1.7749999999999988</v>
      </c>
      <c r="P18" s="119">
        <v>8</v>
      </c>
      <c r="Q18" s="107">
        <v>14.19999999999999</v>
      </c>
    </row>
    <row r="19" spans="1:17" x14ac:dyDescent="0.4">
      <c r="A19" s="55" t="s">
        <v>11</v>
      </c>
      <c r="B19" s="47">
        <v>24</v>
      </c>
      <c r="C19" s="39">
        <f>IF(B$17=0,0,B19/B$17)</f>
        <v>0.6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-55.799999999999969</v>
      </c>
      <c r="N19" s="115" t="s">
        <v>128</v>
      </c>
      <c r="O19" s="125">
        <f>IF(P19=0,0,Q19/P19)</f>
        <v>-23.2</v>
      </c>
      <c r="P19" s="119">
        <v>11</v>
      </c>
      <c r="Q19" s="107">
        <v>-255.2</v>
      </c>
    </row>
    <row r="20" spans="1:17" x14ac:dyDescent="0.4">
      <c r="A20" s="55" t="s">
        <v>13</v>
      </c>
      <c r="B20" s="47">
        <v>27</v>
      </c>
      <c r="C20" s="39">
        <f>IF(B$3=0,0,B20/B$3)</f>
        <v>0.16666666666666666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-24.999999999999968</v>
      </c>
      <c r="N20" s="115" t="s">
        <v>182</v>
      </c>
      <c r="O20" s="125">
        <f>IF(P20=0,0,Q20/P20)</f>
        <v>-107.2</v>
      </c>
      <c r="P20" s="119">
        <v>2</v>
      </c>
      <c r="Q20" s="107">
        <v>-214.4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-27.799999999999969</v>
      </c>
    </row>
    <row r="22" spans="1:17" x14ac:dyDescent="0.4">
      <c r="A22" s="55" t="s">
        <v>171</v>
      </c>
      <c r="B22" s="47">
        <v>25</v>
      </c>
      <c r="C22" s="135">
        <v>10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-50.39999999999997</v>
      </c>
    </row>
    <row r="23" spans="1:17" x14ac:dyDescent="0.4">
      <c r="A23" s="55" t="s">
        <v>5</v>
      </c>
      <c r="B23" s="51">
        <f>IF(B$17=0,0,C23/B$17)</f>
        <v>11657.5</v>
      </c>
      <c r="C23" s="41">
        <v>466300</v>
      </c>
      <c r="E23" s="63" t="s">
        <v>79</v>
      </c>
      <c r="F23" s="60" t="s">
        <v>34</v>
      </c>
      <c r="G23" s="47">
        <v>0</v>
      </c>
      <c r="H23" s="133">
        <f>IF(B$17=0,0,G23/B$17)</f>
        <v>0</v>
      </c>
      <c r="I23" s="94">
        <v>7</v>
      </c>
    </row>
    <row r="24" spans="1:17" x14ac:dyDescent="0.4">
      <c r="A24" s="57" t="s">
        <v>14</v>
      </c>
      <c r="B24" s="52">
        <f>IF(B$20=0,0,C24/B$20)</f>
        <v>-9903.7037037037044</v>
      </c>
      <c r="C24" s="45">
        <v>-267400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83000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169A-D2D8-4DF1-B02C-C10CB8E34A99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21</v>
      </c>
      <c r="C2" s="151"/>
      <c r="E2" s="62" t="s">
        <v>65</v>
      </c>
      <c r="F2" s="59" t="s">
        <v>21</v>
      </c>
      <c r="G2" s="46">
        <v>23</v>
      </c>
      <c r="H2" s="132">
        <f>IF(B$17=0,0,G2/B$17)</f>
        <v>0.46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352.38095238095241</v>
      </c>
      <c r="P2" s="118">
        <v>21</v>
      </c>
      <c r="Q2" s="102">
        <v>7400</v>
      </c>
    </row>
    <row r="3" spans="1:17" x14ac:dyDescent="0.4">
      <c r="A3" s="55" t="s">
        <v>8</v>
      </c>
      <c r="B3" s="152">
        <v>191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0.04</v>
      </c>
      <c r="I3" s="94">
        <v>10</v>
      </c>
      <c r="K3" s="38">
        <v>1</v>
      </c>
      <c r="L3" s="99">
        <v>46.9</v>
      </c>
      <c r="N3" s="115" t="s">
        <v>132</v>
      </c>
      <c r="O3" s="122">
        <f t="shared" si="0"/>
        <v>-223.8095238095238</v>
      </c>
      <c r="P3" s="119">
        <v>21</v>
      </c>
      <c r="Q3" s="103">
        <v>-4700</v>
      </c>
    </row>
    <row r="4" spans="1:17" x14ac:dyDescent="0.4">
      <c r="A4" s="55" t="s">
        <v>6</v>
      </c>
      <c r="B4" s="154">
        <v>-123.69999999999999</v>
      </c>
      <c r="C4" s="155"/>
      <c r="E4" s="63" t="s">
        <v>67</v>
      </c>
      <c r="F4" s="60" t="s">
        <v>23</v>
      </c>
      <c r="G4" s="47">
        <v>40</v>
      </c>
      <c r="H4" s="133">
        <f>IF(B$17=0,0,G4/B$17)</f>
        <v>0.8</v>
      </c>
      <c r="I4" s="94">
        <v>4</v>
      </c>
      <c r="K4" s="38">
        <v>2</v>
      </c>
      <c r="L4" s="99">
        <v>8.1000000000000014</v>
      </c>
      <c r="N4" s="115" t="s">
        <v>133</v>
      </c>
      <c r="O4" s="122">
        <f t="shared" si="0"/>
        <v>-2355</v>
      </c>
      <c r="P4" s="119">
        <v>20</v>
      </c>
      <c r="Q4" s="103">
        <v>-47100</v>
      </c>
    </row>
    <row r="5" spans="1:17" x14ac:dyDescent="0.4">
      <c r="A5" s="55" t="s">
        <v>7</v>
      </c>
      <c r="B5" s="156">
        <f>IF(B$2=0,0,B$4/B$2)</f>
        <v>-5.89047619047619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0.18</v>
      </c>
      <c r="I5" s="94">
        <v>9</v>
      </c>
      <c r="K5" s="38">
        <v>3</v>
      </c>
      <c r="L5" s="99">
        <v>25.8</v>
      </c>
      <c r="N5" s="115" t="s">
        <v>134</v>
      </c>
      <c r="O5" s="122">
        <f t="shared" si="0"/>
        <v>-755.55555555555554</v>
      </c>
      <c r="P5" s="119">
        <v>18</v>
      </c>
      <c r="Q5" s="103">
        <v>-13600</v>
      </c>
    </row>
    <row r="6" spans="1:17" x14ac:dyDescent="0.4">
      <c r="A6" s="55" t="s">
        <v>1</v>
      </c>
      <c r="B6" s="146">
        <f>IF(B$2=0,0,(B$7*1+B$8*2+B$9*3)/B$2)</f>
        <v>2.1904761904761907</v>
      </c>
      <c r="C6" s="147"/>
      <c r="E6" s="63" t="s">
        <v>69</v>
      </c>
      <c r="F6" s="60" t="s">
        <v>12</v>
      </c>
      <c r="G6" s="47">
        <v>14</v>
      </c>
      <c r="H6" s="133">
        <f>IF(B$17=0,0,G6/B$17)</f>
        <v>0.28000000000000003</v>
      </c>
      <c r="I6" s="94">
        <v>7</v>
      </c>
      <c r="K6" s="38">
        <v>4</v>
      </c>
      <c r="L6" s="99">
        <v>-19.3</v>
      </c>
      <c r="N6" s="115" t="s">
        <v>135</v>
      </c>
      <c r="O6" s="122">
        <f t="shared" si="0"/>
        <v>-3085.7142857142858</v>
      </c>
      <c r="P6" s="119">
        <v>14</v>
      </c>
      <c r="Q6" s="103">
        <v>-43200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0.23809523809523808</v>
      </c>
      <c r="E7" s="63" t="s">
        <v>70</v>
      </c>
      <c r="F7" s="60" t="s">
        <v>25</v>
      </c>
      <c r="G7" s="47">
        <v>4</v>
      </c>
      <c r="H7" s="133">
        <f>IF(B$17=0,0,G7/B$17)</f>
        <v>0.08</v>
      </c>
      <c r="I7" s="94">
        <v>8</v>
      </c>
      <c r="K7" s="38">
        <v>5</v>
      </c>
      <c r="L7" s="99">
        <v>-1.6000000000000014</v>
      </c>
      <c r="N7" s="116" t="s">
        <v>136</v>
      </c>
      <c r="O7" s="123">
        <f t="shared" si="0"/>
        <v>1458.3333333333333</v>
      </c>
      <c r="P7" s="120">
        <v>12</v>
      </c>
      <c r="Q7" s="104">
        <v>17500</v>
      </c>
    </row>
    <row r="8" spans="1:17" x14ac:dyDescent="0.4">
      <c r="A8" s="55" t="s">
        <v>3</v>
      </c>
      <c r="B8" s="47">
        <v>7</v>
      </c>
      <c r="C8" s="39">
        <f t="shared" si="1"/>
        <v>0.33333333333333331</v>
      </c>
      <c r="E8" s="63" t="s">
        <v>71</v>
      </c>
      <c r="F8" s="60" t="s">
        <v>26</v>
      </c>
      <c r="G8" s="47">
        <v>3</v>
      </c>
      <c r="H8" s="133">
        <f>IF(B$17=0,0,G8/B$17)</f>
        <v>0.06</v>
      </c>
      <c r="I8" s="94">
        <v>7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1"/>
        <v>0.42857142857142855</v>
      </c>
      <c r="E9" s="63" t="s">
        <v>72</v>
      </c>
      <c r="F9" s="60" t="s">
        <v>27</v>
      </c>
      <c r="G9" s="47">
        <v>2</v>
      </c>
      <c r="H9" s="133">
        <f>IF(B$17=0,0,G9/B$17)</f>
        <v>0.04</v>
      </c>
      <c r="I9" s="94">
        <v>9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0.14285714285714285</v>
      </c>
      <c r="E10" s="63" t="s">
        <v>73</v>
      </c>
      <c r="F10" s="60" t="s">
        <v>28</v>
      </c>
      <c r="G10" s="47">
        <v>45</v>
      </c>
      <c r="H10" s="133">
        <f>IF(B$17=0,0,G10/B$17)</f>
        <v>0.9</v>
      </c>
      <c r="I10" s="94">
        <v>1</v>
      </c>
      <c r="K10" s="38">
        <v>8</v>
      </c>
      <c r="L10" s="99">
        <v>-46.7</v>
      </c>
      <c r="N10" s="114" t="s">
        <v>163</v>
      </c>
      <c r="O10" s="124">
        <f>IF(P10=0,0,Q10/P10)</f>
        <v>-1.2333333333333334</v>
      </c>
      <c r="P10" s="118">
        <v>9</v>
      </c>
      <c r="Q10" s="106">
        <v>-11.100000000000001</v>
      </c>
    </row>
    <row r="11" spans="1:17" x14ac:dyDescent="0.4">
      <c r="A11" s="56" t="s">
        <v>139</v>
      </c>
      <c r="B11" s="48">
        <v>1</v>
      </c>
      <c r="C11" s="40">
        <f t="shared" si="1"/>
        <v>4.7619047619047616E-2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-90.9</v>
      </c>
      <c r="N11" s="115" t="s">
        <v>164</v>
      </c>
      <c r="O11" s="125">
        <f>IF(P11=0,0,Q11/P11)</f>
        <v>-7.62</v>
      </c>
      <c r="P11" s="119">
        <v>5</v>
      </c>
      <c r="Q11" s="107">
        <v>-38.1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4</v>
      </c>
      <c r="K12" s="38">
        <v>10</v>
      </c>
      <c r="L12" s="99">
        <v>-146.69999999999999</v>
      </c>
      <c r="N12" s="116" t="s">
        <v>165</v>
      </c>
      <c r="O12" s="126">
        <f>IF(P12=0,0,Q12/P12)</f>
        <v>-10.642857142857142</v>
      </c>
      <c r="P12" s="120">
        <v>7</v>
      </c>
      <c r="Q12" s="108">
        <v>-74.5</v>
      </c>
    </row>
    <row r="13" spans="1:17" x14ac:dyDescent="0.4">
      <c r="A13" s="58" t="s">
        <v>122</v>
      </c>
      <c r="B13" s="50">
        <v>49</v>
      </c>
      <c r="C13" s="44">
        <f>IF(B$3=0,0,B13/B$3)</f>
        <v>0.25654450261780104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4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49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23</v>
      </c>
      <c r="C15" s="37">
        <f>IF(B$13=0,0,B15/B$13)</f>
        <v>0.46938775510204084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-68.399999999999991</v>
      </c>
      <c r="N15" s="114" t="s">
        <v>196</v>
      </c>
      <c r="O15" s="124">
        <f t="shared" ref="O15:O22" si="2">IF(P15=0,0,Q15/P15)</f>
        <v>36.366666666666667</v>
      </c>
      <c r="P15" s="118">
        <v>3</v>
      </c>
      <c r="Q15" s="106">
        <v>109.10000000000001</v>
      </c>
    </row>
    <row r="16" spans="1:17" x14ac:dyDescent="0.4">
      <c r="A16" s="54" t="s">
        <v>125</v>
      </c>
      <c r="B16" s="46">
        <v>23</v>
      </c>
      <c r="C16" s="37">
        <f>IF(B$14=0,0,B16/B$14)</f>
        <v>0.46938775510204084</v>
      </c>
      <c r="E16" s="63" t="s">
        <v>79</v>
      </c>
      <c r="F16" s="60" t="s">
        <v>34</v>
      </c>
      <c r="G16" s="47">
        <v>2</v>
      </c>
      <c r="H16" s="133">
        <f>IF(B$17=0,0,G16/B$17)</f>
        <v>0.04</v>
      </c>
      <c r="I16" s="94">
        <v>2</v>
      </c>
      <c r="K16" s="38">
        <v>14</v>
      </c>
      <c r="L16" s="99">
        <v>-25.79999999999999</v>
      </c>
      <c r="N16" s="115" t="s">
        <v>180</v>
      </c>
      <c r="O16" s="125">
        <f t="shared" si="2"/>
        <v>31.175000000000001</v>
      </c>
      <c r="P16" s="119">
        <v>4</v>
      </c>
      <c r="Q16" s="107">
        <v>124.7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0.26178010471204188</v>
      </c>
      <c r="E17" s="63" t="s">
        <v>80</v>
      </c>
      <c r="F17" s="60" t="s">
        <v>35</v>
      </c>
      <c r="G17" s="47">
        <v>3</v>
      </c>
      <c r="H17" s="133">
        <f>IF(B$17=0,0,G17/B$17)</f>
        <v>0.06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 t="shared" si="2"/>
        <v>24.000000000000004</v>
      </c>
      <c r="P17" s="119">
        <v>5</v>
      </c>
      <c r="Q17" s="107">
        <v>120.00000000000001</v>
      </c>
    </row>
    <row r="18" spans="1:17" x14ac:dyDescent="0.4">
      <c r="A18" s="55" t="s">
        <v>12</v>
      </c>
      <c r="B18" s="47">
        <v>19</v>
      </c>
      <c r="C18" s="39">
        <f>IF(B$17=0,0,B18/B$17)</f>
        <v>0.38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-35.599999999999987</v>
      </c>
      <c r="N18" s="115" t="s">
        <v>182</v>
      </c>
      <c r="O18" s="125">
        <f t="shared" si="2"/>
        <v>-15.5</v>
      </c>
      <c r="P18" s="119">
        <v>1</v>
      </c>
      <c r="Q18" s="107">
        <v>-15.5</v>
      </c>
    </row>
    <row r="19" spans="1:17" x14ac:dyDescent="0.4">
      <c r="A19" s="55" t="s">
        <v>11</v>
      </c>
      <c r="B19" s="47">
        <v>31</v>
      </c>
      <c r="C19" s="39">
        <f>IF(B$17=0,0,B19/B$17)</f>
        <v>0.62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9</v>
      </c>
      <c r="K19" s="38">
        <v>17</v>
      </c>
      <c r="L19" s="99">
        <v>-29.799999999999986</v>
      </c>
      <c r="N19" s="115" t="s">
        <v>167</v>
      </c>
      <c r="O19" s="125">
        <f t="shared" si="2"/>
        <v>-16.399999999999999</v>
      </c>
      <c r="P19" s="119">
        <v>1</v>
      </c>
      <c r="Q19" s="107">
        <v>-16.399999999999999</v>
      </c>
    </row>
    <row r="20" spans="1:17" x14ac:dyDescent="0.4">
      <c r="A20" s="55" t="s">
        <v>13</v>
      </c>
      <c r="B20" s="47">
        <v>28</v>
      </c>
      <c r="C20" s="39">
        <f>IF(B$3=0,0,B20/B$3)</f>
        <v>0.14659685863874344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-62.399999999999991</v>
      </c>
      <c r="N20" s="115" t="s">
        <v>178</v>
      </c>
      <c r="O20" s="125">
        <f t="shared" si="2"/>
        <v>-18.760000000000002</v>
      </c>
      <c r="P20" s="119">
        <v>10</v>
      </c>
      <c r="Q20" s="107">
        <v>-187.60000000000002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0.08</v>
      </c>
      <c r="I21" s="94">
        <v>4</v>
      </c>
      <c r="K21" s="38">
        <v>19</v>
      </c>
      <c r="L21" s="99">
        <v>-56.399999999999991</v>
      </c>
      <c r="N21" s="115" t="s">
        <v>128</v>
      </c>
      <c r="O21" s="125">
        <f t="shared" si="2"/>
        <v>-27.133333333333336</v>
      </c>
      <c r="P21" s="119">
        <v>12</v>
      </c>
      <c r="Q21" s="107">
        <v>-325.60000000000002</v>
      </c>
    </row>
    <row r="22" spans="1:17" x14ac:dyDescent="0.4">
      <c r="A22" s="55" t="s">
        <v>171</v>
      </c>
      <c r="B22" s="47">
        <v>44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-93.199999999999989</v>
      </c>
      <c r="N22" s="115" t="s">
        <v>127</v>
      </c>
      <c r="O22" s="125">
        <f t="shared" si="2"/>
        <v>-29.966666666666665</v>
      </c>
      <c r="P22" s="119">
        <v>6</v>
      </c>
      <c r="Q22" s="107">
        <v>-179.79999999999998</v>
      </c>
    </row>
    <row r="23" spans="1:17" x14ac:dyDescent="0.4">
      <c r="A23" s="55" t="s">
        <v>5</v>
      </c>
      <c r="B23" s="51">
        <f>IF(B$17=0,0,C23/B$17)</f>
        <v>7544</v>
      </c>
      <c r="C23" s="41">
        <v>377200</v>
      </c>
      <c r="E23" s="63" t="s">
        <v>86</v>
      </c>
      <c r="F23" s="60" t="s">
        <v>41</v>
      </c>
      <c r="G23" s="47">
        <v>1</v>
      </c>
      <c r="H23" s="133">
        <f>IF(B$17=0,0,G23/B$17)</f>
        <v>0.02</v>
      </c>
      <c r="I23" s="94">
        <v>2</v>
      </c>
      <c r="K23" s="38">
        <v>21</v>
      </c>
      <c r="L23" s="99">
        <v>-123.69999999999999</v>
      </c>
    </row>
    <row r="24" spans="1:17" x14ac:dyDescent="0.4">
      <c r="A24" s="57" t="s">
        <v>14</v>
      </c>
      <c r="B24" s="52">
        <f>IF(B$20=0,0,C24/B$20)</f>
        <v>-6960.7142857142853</v>
      </c>
      <c r="C24" s="45">
        <v>-194900</v>
      </c>
      <c r="E24" s="63" t="s">
        <v>87</v>
      </c>
      <c r="F24" s="60" t="s">
        <v>42</v>
      </c>
      <c r="G24" s="47">
        <v>2</v>
      </c>
      <c r="H24" s="133">
        <f>IF(B$17=0,0,G24/B$17)</f>
        <v>0.04</v>
      </c>
      <c r="I24" s="94">
        <v>6</v>
      </c>
    </row>
    <row r="25" spans="1:17" x14ac:dyDescent="0.4">
      <c r="A25" s="90" t="s">
        <v>141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75000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1</v>
      </c>
      <c r="C27" s="42">
        <f>IF(B$3=0,0,B27/B$3)</f>
        <v>5.235602094240838E-3</v>
      </c>
      <c r="E27" s="63" t="s">
        <v>90</v>
      </c>
      <c r="F27" s="60" t="s">
        <v>45</v>
      </c>
      <c r="G27" s="47">
        <v>5</v>
      </c>
      <c r="H27" s="133">
        <f>IF(B$17=0,0,G27/B$17)</f>
        <v>0.1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5</v>
      </c>
    </row>
    <row r="51" spans="5:9" x14ac:dyDescent="0.4">
      <c r="E51" s="136" t="s">
        <v>172</v>
      </c>
      <c r="F51" s="137" t="s">
        <v>173</v>
      </c>
      <c r="G51" s="48">
        <v>17</v>
      </c>
      <c r="H51" s="138">
        <f>IF(B$17=0,0,G51/B$17)</f>
        <v>0.34</v>
      </c>
      <c r="I51" s="139">
        <v>7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9312A-D705-4F98-8F38-A4412B5AEDE0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15</v>
      </c>
      <c r="C2" s="151"/>
      <c r="E2" s="62" t="s">
        <v>67</v>
      </c>
      <c r="F2" s="59" t="s">
        <v>23</v>
      </c>
      <c r="G2" s="46">
        <v>22</v>
      </c>
      <c r="H2" s="132">
        <f>IF(B$17=0,0,G2/B$17)</f>
        <v>0.81481481481481477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-2226.6666666666665</v>
      </c>
      <c r="P2" s="118">
        <v>15</v>
      </c>
      <c r="Q2" s="102">
        <v>-33400</v>
      </c>
    </row>
    <row r="3" spans="1:17" x14ac:dyDescent="0.4">
      <c r="A3" s="55" t="s">
        <v>8</v>
      </c>
      <c r="B3" s="152">
        <v>122</v>
      </c>
      <c r="C3" s="153"/>
      <c r="E3" s="63" t="s">
        <v>65</v>
      </c>
      <c r="F3" s="60" t="s">
        <v>21</v>
      </c>
      <c r="G3" s="47">
        <v>16</v>
      </c>
      <c r="H3" s="133">
        <f>IF(B$17=0,0,G3/B$17)</f>
        <v>0.59259259259259256</v>
      </c>
      <c r="I3" s="94">
        <v>2</v>
      </c>
      <c r="K3" s="38">
        <v>1</v>
      </c>
      <c r="L3" s="99">
        <v>-12</v>
      </c>
      <c r="N3" s="115" t="s">
        <v>132</v>
      </c>
      <c r="O3" s="122">
        <f t="shared" si="0"/>
        <v>-546.66666666666663</v>
      </c>
      <c r="P3" s="119">
        <v>15</v>
      </c>
      <c r="Q3" s="103">
        <v>-8200</v>
      </c>
    </row>
    <row r="4" spans="1:17" x14ac:dyDescent="0.4">
      <c r="A4" s="55" t="s">
        <v>6</v>
      </c>
      <c r="B4" s="154">
        <v>-272.50000000000006</v>
      </c>
      <c r="C4" s="155"/>
      <c r="E4" s="63" t="s">
        <v>73</v>
      </c>
      <c r="F4" s="60" t="s">
        <v>28</v>
      </c>
      <c r="G4" s="47">
        <v>14</v>
      </c>
      <c r="H4" s="133">
        <f>IF(B$17=0,0,G4/B$17)</f>
        <v>0.51851851851851849</v>
      </c>
      <c r="I4" s="94">
        <v>6</v>
      </c>
      <c r="K4" s="38">
        <v>2</v>
      </c>
      <c r="L4" s="99">
        <v>-40.6</v>
      </c>
      <c r="N4" s="115" t="s">
        <v>133</v>
      </c>
      <c r="O4" s="122">
        <f t="shared" si="0"/>
        <v>-2753.3333333333335</v>
      </c>
      <c r="P4" s="119">
        <v>15</v>
      </c>
      <c r="Q4" s="103">
        <v>-41300</v>
      </c>
    </row>
    <row r="5" spans="1:17" x14ac:dyDescent="0.4">
      <c r="A5" s="55" t="s">
        <v>7</v>
      </c>
      <c r="B5" s="156">
        <f>IF(B$2=0,0,B$4/B$2)</f>
        <v>-18.166666666666671</v>
      </c>
      <c r="C5" s="157"/>
      <c r="E5" s="63" t="s">
        <v>68</v>
      </c>
      <c r="F5" s="60" t="s">
        <v>24</v>
      </c>
      <c r="G5" s="47">
        <v>12</v>
      </c>
      <c r="H5" s="133">
        <f>IF(B$17=0,0,G5/B$17)</f>
        <v>0.44444444444444442</v>
      </c>
      <c r="I5" s="94">
        <v>2</v>
      </c>
      <c r="K5" s="38">
        <v>3</v>
      </c>
      <c r="L5" s="99">
        <v>-33.6</v>
      </c>
      <c r="N5" s="115" t="s">
        <v>134</v>
      </c>
      <c r="O5" s="122">
        <f t="shared" si="0"/>
        <v>-4764.2857142857147</v>
      </c>
      <c r="P5" s="119">
        <v>14</v>
      </c>
      <c r="Q5" s="103">
        <v>-66700</v>
      </c>
    </row>
    <row r="6" spans="1:17" x14ac:dyDescent="0.4">
      <c r="A6" s="55" t="s">
        <v>1</v>
      </c>
      <c r="B6" s="146">
        <f>IF(B$2=0,0,(B$7*1+B$8*2+B$9*3)/B$2)</f>
        <v>2.4666666666666668</v>
      </c>
      <c r="C6" s="147"/>
      <c r="E6" s="63" t="s">
        <v>172</v>
      </c>
      <c r="F6" s="60" t="s">
        <v>173</v>
      </c>
      <c r="G6" s="47">
        <v>9</v>
      </c>
      <c r="H6" s="133">
        <f>IF(B$17=0,0,G6/B$17)</f>
        <v>0.33333333333333331</v>
      </c>
      <c r="I6" s="94">
        <v>8</v>
      </c>
      <c r="K6" s="38">
        <v>4</v>
      </c>
      <c r="L6" s="99">
        <v>-80.5</v>
      </c>
      <c r="N6" s="115" t="s">
        <v>135</v>
      </c>
      <c r="O6" s="122">
        <f t="shared" si="0"/>
        <v>-207.69230769230768</v>
      </c>
      <c r="P6" s="119">
        <v>13</v>
      </c>
      <c r="Q6" s="103">
        <v>-2700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6.6666666666666666E-2</v>
      </c>
      <c r="E7" s="63" t="s">
        <v>69</v>
      </c>
      <c r="F7" s="60" t="s">
        <v>12</v>
      </c>
      <c r="G7" s="47">
        <v>8</v>
      </c>
      <c r="H7" s="133">
        <f>IF(B$17=0,0,G7/B$17)</f>
        <v>0.29629629629629628</v>
      </c>
      <c r="I7" s="94">
        <v>6</v>
      </c>
      <c r="K7" s="38">
        <v>5</v>
      </c>
      <c r="L7" s="99">
        <v>-124.3</v>
      </c>
      <c r="N7" s="116" t="s">
        <v>136</v>
      </c>
      <c r="O7" s="123">
        <f t="shared" si="0"/>
        <v>-4720</v>
      </c>
      <c r="P7" s="120">
        <v>10</v>
      </c>
      <c r="Q7" s="104">
        <v>-47200</v>
      </c>
    </row>
    <row r="8" spans="1:17" x14ac:dyDescent="0.4">
      <c r="A8" s="55" t="s">
        <v>3</v>
      </c>
      <c r="B8" s="47">
        <v>6</v>
      </c>
      <c r="C8" s="39">
        <f t="shared" si="1"/>
        <v>0.4</v>
      </c>
      <c r="E8" s="63" t="s">
        <v>66</v>
      </c>
      <c r="F8" s="60" t="s">
        <v>22</v>
      </c>
      <c r="G8" s="47">
        <v>4</v>
      </c>
      <c r="H8" s="133">
        <f>IF(B$17=0,0,G8/B$17)</f>
        <v>0.14814814814814814</v>
      </c>
      <c r="I8" s="94">
        <v>2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0.53333333333333333</v>
      </c>
      <c r="E9" s="63" t="s">
        <v>84</v>
      </c>
      <c r="F9" s="60" t="s">
        <v>39</v>
      </c>
      <c r="G9" s="47">
        <v>3</v>
      </c>
      <c r="H9" s="133">
        <f>IF(B$17=0,0,G9/B$17)</f>
        <v>0.1111111111111111</v>
      </c>
      <c r="I9" s="94">
        <v>1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0.2</v>
      </c>
      <c r="E10" s="63" t="s">
        <v>72</v>
      </c>
      <c r="F10" s="60" t="s">
        <v>27</v>
      </c>
      <c r="G10" s="47">
        <v>2</v>
      </c>
      <c r="H10" s="133">
        <f>IF(B$17=0,0,G10/B$17)</f>
        <v>7.407407407407407E-2</v>
      </c>
      <c r="I10" s="94">
        <v>4</v>
      </c>
      <c r="K10" s="38">
        <v>8</v>
      </c>
      <c r="L10" s="99">
        <v>-152.6</v>
      </c>
      <c r="N10" s="114" t="s">
        <v>163</v>
      </c>
      <c r="O10" s="124">
        <f>IF(P10=0,0,Q10/P10)</f>
        <v>-23.19</v>
      </c>
      <c r="P10" s="118">
        <v>10</v>
      </c>
      <c r="Q10" s="106">
        <v>-231.9</v>
      </c>
    </row>
    <row r="11" spans="1:17" x14ac:dyDescent="0.4">
      <c r="A11" s="56" t="s">
        <v>139</v>
      </c>
      <c r="B11" s="48">
        <v>1</v>
      </c>
      <c r="C11" s="40">
        <f t="shared" si="1"/>
        <v>6.6666666666666666E-2</v>
      </c>
      <c r="E11" s="63" t="s">
        <v>82</v>
      </c>
      <c r="F11" s="60" t="s">
        <v>37</v>
      </c>
      <c r="G11" s="47">
        <v>2</v>
      </c>
      <c r="H11" s="133">
        <f>IF(B$17=0,0,G11/B$17)</f>
        <v>7.407407407407407E-2</v>
      </c>
      <c r="I11" s="94">
        <v>1</v>
      </c>
      <c r="K11" s="38">
        <v>9</v>
      </c>
      <c r="L11" s="99">
        <v>-150.6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2</v>
      </c>
      <c r="H12" s="133">
        <f>IF(B$17=0,0,G12/B$17)</f>
        <v>7.407407407407407E-2</v>
      </c>
      <c r="I12" s="94">
        <v>1</v>
      </c>
      <c r="K12" s="38">
        <v>10</v>
      </c>
      <c r="L12" s="99">
        <v>-151.1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31</v>
      </c>
      <c r="C13" s="44">
        <f>IF(B$3=0,0,B13/B$3)</f>
        <v>0.25409836065573771</v>
      </c>
      <c r="E13" s="63" t="s">
        <v>90</v>
      </c>
      <c r="F13" s="60" t="s">
        <v>45</v>
      </c>
      <c r="G13" s="47">
        <v>2</v>
      </c>
      <c r="H13" s="133">
        <f>IF(B$17=0,0,G13/B$17)</f>
        <v>7.407407407407407E-2</v>
      </c>
      <c r="I13" s="94">
        <v>8</v>
      </c>
      <c r="K13" s="38">
        <v>11</v>
      </c>
      <c r="L13" s="99">
        <v>-175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</v>
      </c>
      <c r="C14" s="39">
        <f>IF(B$3=0,0,B14/B$3)</f>
        <v>0.22950819672131148</v>
      </c>
      <c r="E14" s="63" t="s">
        <v>70</v>
      </c>
      <c r="F14" s="60" t="s">
        <v>25</v>
      </c>
      <c r="G14" s="47">
        <v>1</v>
      </c>
      <c r="H14" s="133">
        <f>IF(B$17=0,0,G14/B$17)</f>
        <v>3.7037037037037035E-2</v>
      </c>
      <c r="I14" s="94">
        <v>10</v>
      </c>
      <c r="K14" s="38">
        <v>12</v>
      </c>
      <c r="L14" s="99">
        <v>-176.9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16</v>
      </c>
      <c r="C15" s="37">
        <f>IF(B$13=0,0,B15/B$13)</f>
        <v>0.5161290322580645</v>
      </c>
      <c r="E15" s="63" t="s">
        <v>71</v>
      </c>
      <c r="F15" s="60" t="s">
        <v>26</v>
      </c>
      <c r="G15" s="47">
        <v>1</v>
      </c>
      <c r="H15" s="133">
        <f>IF(B$17=0,0,G15/B$17)</f>
        <v>3.7037037037037035E-2</v>
      </c>
      <c r="I15" s="94">
        <v>8</v>
      </c>
      <c r="K15" s="38">
        <v>13</v>
      </c>
      <c r="L15" s="99">
        <v>-217.60000000000002</v>
      </c>
      <c r="N15" s="114" t="s">
        <v>167</v>
      </c>
      <c r="O15" s="124">
        <f>IF(P15=0,0,Q15/P15)</f>
        <v>25.7</v>
      </c>
      <c r="P15" s="118">
        <v>2</v>
      </c>
      <c r="Q15" s="106">
        <v>51.4</v>
      </c>
    </row>
    <row r="16" spans="1:17" x14ac:dyDescent="0.4">
      <c r="A16" s="54" t="s">
        <v>125</v>
      </c>
      <c r="B16" s="46">
        <v>10</v>
      </c>
      <c r="C16" s="37">
        <f>IF(B$14=0,0,B16/B$14)</f>
        <v>0.35714285714285715</v>
      </c>
      <c r="E16" s="63" t="s">
        <v>75</v>
      </c>
      <c r="F16" s="60" t="s">
        <v>30</v>
      </c>
      <c r="G16" s="47">
        <v>1</v>
      </c>
      <c r="H16" s="133">
        <f>IF(B$17=0,0,G16/B$17)</f>
        <v>3.7037037037037035E-2</v>
      </c>
      <c r="I16" s="94">
        <v>1</v>
      </c>
      <c r="K16" s="38">
        <v>14</v>
      </c>
      <c r="L16" s="99">
        <v>-266.90000000000003</v>
      </c>
      <c r="N16" s="115" t="s">
        <v>178</v>
      </c>
      <c r="O16" s="125">
        <f>IF(P16=0,0,Q16/P16)</f>
        <v>-1.7749999999999977</v>
      </c>
      <c r="P16" s="119">
        <v>8</v>
      </c>
      <c r="Q16" s="107">
        <v>-14.199999999999982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79</v>
      </c>
      <c r="F17" s="60" t="s">
        <v>34</v>
      </c>
      <c r="G17" s="47">
        <v>1</v>
      </c>
      <c r="H17" s="133">
        <f>IF(B$17=0,0,G17/B$17)</f>
        <v>3.7037037037037035E-2</v>
      </c>
      <c r="I17" s="94">
        <v>3</v>
      </c>
      <c r="K17" s="38">
        <v>15</v>
      </c>
      <c r="L17" s="99">
        <v>-272.50000000000006</v>
      </c>
      <c r="N17" s="115" t="s">
        <v>179</v>
      </c>
      <c r="O17" s="125">
        <f>IF(P17=0,0,Q17/P17)</f>
        <v>-24.000000000000004</v>
      </c>
      <c r="P17" s="119">
        <v>5</v>
      </c>
      <c r="Q17" s="107">
        <v>-120.00000000000001</v>
      </c>
    </row>
    <row r="18" spans="1:17" x14ac:dyDescent="0.4">
      <c r="A18" s="55" t="s">
        <v>12</v>
      </c>
      <c r="B18" s="47">
        <v>13</v>
      </c>
      <c r="C18" s="39">
        <f>IF(B$17=0,0,B18/B$17)</f>
        <v>0.48148148148148145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>IF(P18=0,0,Q18/P18)</f>
        <v>-25.799999999999997</v>
      </c>
      <c r="P18" s="119">
        <v>1</v>
      </c>
      <c r="Q18" s="107">
        <v>-25.799999999999997</v>
      </c>
    </row>
    <row r="19" spans="1:17" x14ac:dyDescent="0.4">
      <c r="A19" s="55" t="s">
        <v>11</v>
      </c>
      <c r="B19" s="47">
        <v>14</v>
      </c>
      <c r="C19" s="39">
        <f>IF(B$17=0,0,B19/B$17)</f>
        <v>0.51851851851851849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4</v>
      </c>
      <c r="N19" s="115" t="s">
        <v>127</v>
      </c>
      <c r="O19" s="125">
        <f>IF(P19=0,0,Q19/P19)</f>
        <v>-40.333333333333336</v>
      </c>
      <c r="P19" s="119">
        <v>3</v>
      </c>
      <c r="Q19" s="107">
        <v>-121</v>
      </c>
    </row>
    <row r="20" spans="1:17" x14ac:dyDescent="0.4">
      <c r="A20" s="55" t="s">
        <v>13</v>
      </c>
      <c r="B20" s="47">
        <v>25</v>
      </c>
      <c r="C20" s="39">
        <f>IF(B$3=0,0,B20/B$3)</f>
        <v>0.20491803278688525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128</v>
      </c>
      <c r="O20" s="125">
        <f>IF(P20=0,0,Q20/P20)</f>
        <v>-49.339999999999996</v>
      </c>
      <c r="P20" s="119">
        <v>5</v>
      </c>
      <c r="Q20" s="107">
        <v>-246.7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N21" s="115" t="s">
        <v>182</v>
      </c>
      <c r="O21" s="125">
        <f>IF(P21=0,0,Q21/P21)</f>
        <v>-52.525000000000006</v>
      </c>
      <c r="P21" s="119">
        <v>4</v>
      </c>
      <c r="Q21" s="107">
        <v>-210.10000000000002</v>
      </c>
    </row>
    <row r="22" spans="1:17" x14ac:dyDescent="0.4">
      <c r="A22" s="55" t="s">
        <v>171</v>
      </c>
      <c r="B22" s="47">
        <v>16</v>
      </c>
      <c r="C22" s="135">
        <v>7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N22" s="115" t="s">
        <v>196</v>
      </c>
      <c r="O22" s="125">
        <f>IF(P22=0,0,Q22/P22)</f>
        <v>-65.55</v>
      </c>
      <c r="P22" s="119">
        <v>2</v>
      </c>
      <c r="Q22" s="107">
        <v>-131.1</v>
      </c>
    </row>
    <row r="23" spans="1:17" x14ac:dyDescent="0.4">
      <c r="A23" s="55" t="s">
        <v>5</v>
      </c>
      <c r="B23" s="51">
        <f>IF(B$17=0,0,C23/B$17)</f>
        <v>8133.333333333333</v>
      </c>
      <c r="C23" s="41">
        <v>219600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-9804</v>
      </c>
      <c r="C24" s="45">
        <v>-245100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85100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CC059-4EA2-4149-8E57-36C1E73EC26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11</v>
      </c>
      <c r="C2" s="151"/>
      <c r="E2" s="62" t="s">
        <v>65</v>
      </c>
      <c r="F2" s="59" t="s">
        <v>21</v>
      </c>
      <c r="G2" s="46">
        <v>21</v>
      </c>
      <c r="H2" s="132">
        <f>IF(B$17=0,0,G2/B$17)</f>
        <v>0.61764705882352944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2">
        <v>103</v>
      </c>
      <c r="C3" s="153"/>
      <c r="E3" s="63" t="s">
        <v>66</v>
      </c>
      <c r="F3" s="60" t="s">
        <v>22</v>
      </c>
      <c r="G3" s="47">
        <v>3</v>
      </c>
      <c r="H3" s="133">
        <f>IF(B$17=0,0,G3/B$17)</f>
        <v>8.8235294117647065E-2</v>
      </c>
      <c r="I3" s="94">
        <v>8</v>
      </c>
      <c r="K3" s="38">
        <v>1</v>
      </c>
      <c r="L3" s="99">
        <v>70.2</v>
      </c>
      <c r="N3" s="115" t="s">
        <v>132</v>
      </c>
      <c r="O3" s="122">
        <f t="shared" si="0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4">
        <v>126.10000000000001</v>
      </c>
      <c r="C4" s="155"/>
      <c r="E4" s="63" t="s">
        <v>67</v>
      </c>
      <c r="F4" s="60" t="s">
        <v>23</v>
      </c>
      <c r="G4" s="47">
        <v>37</v>
      </c>
      <c r="H4" s="133">
        <f>IF(B$17=0,0,G4/B$17)</f>
        <v>1.088235294117647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6">
        <f>IF(B$2=0,0,B$4/B$2)</f>
        <v>11.463636363636365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8</v>
      </c>
      <c r="K5" s="38">
        <v>3</v>
      </c>
      <c r="L5" s="99">
        <v>76</v>
      </c>
      <c r="N5" s="115" t="s">
        <v>134</v>
      </c>
      <c r="O5" s="122">
        <f t="shared" si="0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6">
        <f>IF(B$2=0,0,(B$7*1+B$8*2+B$9*3)/B$2)</f>
        <v>1.7272727272727273</v>
      </c>
      <c r="C6" s="147"/>
      <c r="E6" s="63" t="s">
        <v>69</v>
      </c>
      <c r="F6" s="60" t="s">
        <v>12</v>
      </c>
      <c r="G6" s="47">
        <v>14</v>
      </c>
      <c r="H6" s="133">
        <f>IF(B$17=0,0,G6/B$17)</f>
        <v>0.41176470588235292</v>
      </c>
      <c r="I6" s="94">
        <v>1</v>
      </c>
      <c r="K6" s="38">
        <v>4</v>
      </c>
      <c r="L6" s="99">
        <v>115.5</v>
      </c>
      <c r="N6" s="115" t="s">
        <v>135</v>
      </c>
      <c r="O6" s="122">
        <f t="shared" si="0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0.45454545454545453</v>
      </c>
      <c r="E7" s="63" t="s">
        <v>70</v>
      </c>
      <c r="F7" s="60" t="s">
        <v>25</v>
      </c>
      <c r="G7" s="47">
        <v>7</v>
      </c>
      <c r="H7" s="133">
        <f>IF(B$17=0,0,G7/B$17)</f>
        <v>0.20588235294117646</v>
      </c>
      <c r="I7" s="94">
        <v>2</v>
      </c>
      <c r="K7" s="38">
        <v>5</v>
      </c>
      <c r="L7" s="99">
        <v>127.9</v>
      </c>
      <c r="N7" s="116" t="s">
        <v>136</v>
      </c>
      <c r="O7" s="123">
        <f t="shared" si="0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1"/>
        <v>0.36363636363636365</v>
      </c>
      <c r="E8" s="63" t="s">
        <v>71</v>
      </c>
      <c r="F8" s="60" t="s">
        <v>26</v>
      </c>
      <c r="G8" s="47">
        <v>5</v>
      </c>
      <c r="H8" s="133">
        <f>IF(B$17=0,0,G8/B$17)</f>
        <v>0.14705882352941177</v>
      </c>
      <c r="I8" s="94">
        <v>1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0.18181818181818182</v>
      </c>
      <c r="E9" s="63" t="s">
        <v>72</v>
      </c>
      <c r="F9" s="60" t="s">
        <v>27</v>
      </c>
      <c r="G9" s="47">
        <v>4</v>
      </c>
      <c r="H9" s="133">
        <f>IF(B$17=0,0,G9/B$17)</f>
        <v>0.11764705882352941</v>
      </c>
      <c r="I9" s="94">
        <v>2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10</v>
      </c>
      <c r="H10" s="133">
        <f>IF(B$17=0,0,G10/B$17)</f>
        <v>0.29411764705882354</v>
      </c>
      <c r="I10" s="94">
        <v>10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1"/>
        <v>0.18181818181818182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4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30</v>
      </c>
      <c r="C13" s="44">
        <f>IF(B$3=0,0,B13/B$3)</f>
        <v>0.29126213592233008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0.14563106796116504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178</v>
      </c>
      <c r="O15" s="124">
        <f t="shared" ref="O15:O22" si="2"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183</v>
      </c>
      <c r="O16" s="125">
        <f t="shared" si="2"/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N17" s="115" t="s">
        <v>128</v>
      </c>
      <c r="O17" s="125">
        <f t="shared" si="2"/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 t="shared" si="2"/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5</v>
      </c>
      <c r="N19" s="115" t="s">
        <v>180</v>
      </c>
      <c r="O19" s="125">
        <f t="shared" si="2"/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 t="shared" si="2"/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  <c r="N21" s="115" t="s">
        <v>196</v>
      </c>
      <c r="O21" s="125">
        <f t="shared" si="2"/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N22" s="115" t="s">
        <v>127</v>
      </c>
      <c r="O22" s="125">
        <f t="shared" si="2"/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86</v>
      </c>
      <c r="F23" s="60" t="s">
        <v>41</v>
      </c>
      <c r="G23" s="47">
        <v>1</v>
      </c>
      <c r="H23" s="133">
        <f>IF(B$17=0,0,G23/B$17)</f>
        <v>2.9411764705882353E-2</v>
      </c>
      <c r="I23" s="94">
        <v>1</v>
      </c>
    </row>
    <row r="24" spans="1:17" x14ac:dyDescent="0.4">
      <c r="A24" s="57" t="s">
        <v>14</v>
      </c>
      <c r="B24" s="52">
        <f>IF(B$20=0,0,C24/B$20)</f>
        <v>-6041.666666666667</v>
      </c>
      <c r="C24" s="45">
        <v>-72500</v>
      </c>
      <c r="E24" s="63" t="s">
        <v>87</v>
      </c>
      <c r="F24" s="60" t="s">
        <v>42</v>
      </c>
      <c r="G24" s="47">
        <v>2</v>
      </c>
      <c r="H24" s="133">
        <f>IF(B$17=0,0,G24/B$17)</f>
        <v>5.8823529411764705E-2</v>
      </c>
      <c r="I24" s="94">
        <v>3</v>
      </c>
    </row>
    <row r="25" spans="1:17" x14ac:dyDescent="0.4">
      <c r="A25" s="90" t="s">
        <v>141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2.9411764705882353E-2</v>
      </c>
      <c r="I25" s="94">
        <v>1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5.8823529411764705E-2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5</v>
      </c>
    </row>
    <row r="51" spans="5:9" x14ac:dyDescent="0.4">
      <c r="E51" s="136" t="s">
        <v>172</v>
      </c>
      <c r="F51" s="137" t="s">
        <v>173</v>
      </c>
      <c r="G51" s="48">
        <v>14</v>
      </c>
      <c r="H51" s="138">
        <f>IF(B$17=0,0,G51/B$17)</f>
        <v>0.41176470588235292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2704A-075B-40E2-AACD-3DB5888E55D5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5</v>
      </c>
      <c r="C2" s="151"/>
      <c r="E2" s="62" t="s">
        <v>65</v>
      </c>
      <c r="F2" s="59" t="s">
        <v>21</v>
      </c>
      <c r="G2" s="46">
        <v>7</v>
      </c>
      <c r="H2" s="132">
        <f>IF(B$17=0,0,G2/B$17)</f>
        <v>0.5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-1740</v>
      </c>
      <c r="P2" s="118">
        <v>5</v>
      </c>
      <c r="Q2" s="102">
        <v>-8700</v>
      </c>
    </row>
    <row r="3" spans="1:17" x14ac:dyDescent="0.4">
      <c r="A3" s="55" t="s">
        <v>8</v>
      </c>
      <c r="B3" s="152">
        <v>48</v>
      </c>
      <c r="C3" s="153"/>
      <c r="E3" s="63" t="s">
        <v>66</v>
      </c>
      <c r="F3" s="60" t="s">
        <v>22</v>
      </c>
      <c r="G3" s="47">
        <v>3</v>
      </c>
      <c r="H3" s="133">
        <f>IF(B$17=0,0,G3/B$17)</f>
        <v>0.21428571428571427</v>
      </c>
      <c r="I3" s="94">
        <v>1</v>
      </c>
      <c r="K3" s="38">
        <v>1</v>
      </c>
      <c r="L3" s="99">
        <v>-46.5</v>
      </c>
      <c r="N3" s="115" t="s">
        <v>132</v>
      </c>
      <c r="O3" s="122">
        <f t="shared" si="0"/>
        <v>3760</v>
      </c>
      <c r="P3" s="119">
        <v>5</v>
      </c>
      <c r="Q3" s="103">
        <v>18800</v>
      </c>
    </row>
    <row r="4" spans="1:17" x14ac:dyDescent="0.4">
      <c r="A4" s="55" t="s">
        <v>6</v>
      </c>
      <c r="B4" s="154">
        <v>-12.100000000000005</v>
      </c>
      <c r="C4" s="155"/>
      <c r="E4" s="63" t="s">
        <v>67</v>
      </c>
      <c r="F4" s="60" t="s">
        <v>23</v>
      </c>
      <c r="G4" s="47">
        <v>11</v>
      </c>
      <c r="H4" s="133">
        <f>IF(B$17=0,0,G4/B$17)</f>
        <v>0.7857142857142857</v>
      </c>
      <c r="I4" s="94">
        <v>5</v>
      </c>
      <c r="K4" s="38">
        <v>2</v>
      </c>
      <c r="L4" s="99">
        <v>-25.4</v>
      </c>
      <c r="N4" s="115" t="s">
        <v>133</v>
      </c>
      <c r="O4" s="122">
        <f t="shared" si="0"/>
        <v>-5480</v>
      </c>
      <c r="P4" s="119">
        <v>5</v>
      </c>
      <c r="Q4" s="103">
        <v>-27400</v>
      </c>
    </row>
    <row r="5" spans="1:17" x14ac:dyDescent="0.4">
      <c r="A5" s="55" t="s">
        <v>7</v>
      </c>
      <c r="B5" s="156">
        <f>IF(B$2=0,0,B$4/B$2)</f>
        <v>-2.4200000000000008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0.5</v>
      </c>
      <c r="I5" s="94">
        <v>1</v>
      </c>
      <c r="K5" s="38">
        <v>3</v>
      </c>
      <c r="L5" s="99">
        <v>-71.900000000000006</v>
      </c>
      <c r="N5" s="115" t="s">
        <v>134</v>
      </c>
      <c r="O5" s="122">
        <f t="shared" si="0"/>
        <v>-1600</v>
      </c>
      <c r="P5" s="119">
        <v>5</v>
      </c>
      <c r="Q5" s="103">
        <v>-8000</v>
      </c>
    </row>
    <row r="6" spans="1:17" x14ac:dyDescent="0.4">
      <c r="A6" s="55" t="s">
        <v>1</v>
      </c>
      <c r="B6" s="146">
        <f>IF(B$2=0,0,(B$7*1+B$8*2+B$9*3)/B$2)</f>
        <v>1.8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0.21428571428571427</v>
      </c>
      <c r="I6" s="94">
        <v>10</v>
      </c>
      <c r="K6" s="38">
        <v>4</v>
      </c>
      <c r="L6" s="99">
        <v>-37.400000000000006</v>
      </c>
      <c r="N6" s="115" t="s">
        <v>135</v>
      </c>
      <c r="O6" s="122">
        <f t="shared" si="0"/>
        <v>4566.666666666667</v>
      </c>
      <c r="P6" s="119">
        <v>3</v>
      </c>
      <c r="Q6" s="103">
        <v>13700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0.6</v>
      </c>
      <c r="E7" s="63" t="s">
        <v>70</v>
      </c>
      <c r="F7" s="60" t="s">
        <v>25</v>
      </c>
      <c r="G7" s="47">
        <v>1</v>
      </c>
      <c r="H7" s="133">
        <f>IF(B$17=0,0,G7/B$17)</f>
        <v>7.1428571428571425E-2</v>
      </c>
      <c r="I7" s="94">
        <v>9</v>
      </c>
      <c r="K7" s="38">
        <v>5</v>
      </c>
      <c r="L7" s="99">
        <v>-12.100000000000005</v>
      </c>
      <c r="N7" s="116" t="s">
        <v>136</v>
      </c>
      <c r="O7" s="123">
        <f t="shared" si="0"/>
        <v>-5250</v>
      </c>
      <c r="P7" s="120">
        <v>2</v>
      </c>
      <c r="Q7" s="104">
        <v>-10500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7.1428571428571425E-2</v>
      </c>
      <c r="I8" s="94">
        <v>5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0.4</v>
      </c>
      <c r="E9" s="63" t="s">
        <v>72</v>
      </c>
      <c r="F9" s="60" t="s">
        <v>27</v>
      </c>
      <c r="G9" s="47">
        <v>1</v>
      </c>
      <c r="H9" s="133">
        <f>IF(B$17=0,0,G9/B$17)</f>
        <v>7.1428571428571425E-2</v>
      </c>
      <c r="I9" s="94">
        <v>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0.4</v>
      </c>
      <c r="E10" s="63" t="s">
        <v>73</v>
      </c>
      <c r="F10" s="60" t="s">
        <v>28</v>
      </c>
      <c r="G10" s="47">
        <v>7</v>
      </c>
      <c r="H10" s="133">
        <f>IF(B$17=0,0,G10/B$17)</f>
        <v>0.5</v>
      </c>
      <c r="I10" s="94">
        <v>7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-2.4200000000000008</v>
      </c>
      <c r="P11" s="119">
        <v>5</v>
      </c>
      <c r="Q11" s="107">
        <v>-12.100000000000005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4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13</v>
      </c>
      <c r="C13" s="44">
        <f>IF(B$3=0,0,B13/B$3)</f>
        <v>0.27083333333333331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</v>
      </c>
      <c r="C14" s="39">
        <f>IF(B$3=0,0,B14/B$3)</f>
        <v>0.375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7</v>
      </c>
      <c r="C15" s="37">
        <f>IF(B$13=0,0,B15/B$13)</f>
        <v>0.53846153846153844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6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180</v>
      </c>
      <c r="O16" s="125">
        <f>IF(P16=0,0,Q16/P16)</f>
        <v>56.6</v>
      </c>
      <c r="P16" s="119">
        <v>1</v>
      </c>
      <c r="Q16" s="107">
        <v>56.6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0.29166666666666669</v>
      </c>
      <c r="E17" s="63" t="s">
        <v>80</v>
      </c>
      <c r="F17" s="60" t="s">
        <v>35</v>
      </c>
      <c r="G17" s="47">
        <v>1</v>
      </c>
      <c r="H17" s="133">
        <f>IF(B$17=0,0,G17/B$17)</f>
        <v>7.1428571428571425E-2</v>
      </c>
      <c r="I17" s="94">
        <v>1</v>
      </c>
      <c r="N17" s="115" t="s">
        <v>182</v>
      </c>
      <c r="O17" s="125">
        <f>IF(P17=0,0,Q17/P17)</f>
        <v>17.850000000000001</v>
      </c>
      <c r="P17" s="119">
        <v>2</v>
      </c>
      <c r="Q17" s="107">
        <v>35.700000000000003</v>
      </c>
    </row>
    <row r="18" spans="1:17" x14ac:dyDescent="0.4">
      <c r="A18" s="55" t="s">
        <v>12</v>
      </c>
      <c r="B18" s="47">
        <v>5</v>
      </c>
      <c r="C18" s="39">
        <f>IF(B$17=0,0,B18/B$17)</f>
        <v>0.35714285714285715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>IF(P18=0,0,Q18/P18)</f>
        <v>-36.366666666666667</v>
      </c>
      <c r="P18" s="119">
        <v>3</v>
      </c>
      <c r="Q18" s="107">
        <v>-109.10000000000001</v>
      </c>
    </row>
    <row r="19" spans="1:17" x14ac:dyDescent="0.4">
      <c r="A19" s="55" t="s">
        <v>11</v>
      </c>
      <c r="B19" s="47">
        <v>9</v>
      </c>
      <c r="C19" s="39">
        <f>IF(B$17=0,0,B19/B$17)</f>
        <v>0.6428571428571429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9</v>
      </c>
      <c r="N19" s="115" t="s">
        <v>128</v>
      </c>
      <c r="O19" s="125">
        <f>IF(P19=0,0,Q19/P19)</f>
        <v>-75.3</v>
      </c>
      <c r="P19" s="119">
        <v>2</v>
      </c>
      <c r="Q19" s="107">
        <v>-150.6</v>
      </c>
    </row>
    <row r="20" spans="1:17" x14ac:dyDescent="0.4">
      <c r="A20" s="55" t="s">
        <v>13</v>
      </c>
      <c r="B20" s="47">
        <v>8</v>
      </c>
      <c r="C20" s="39">
        <f>IF(B$3=0,0,B20/B$3)</f>
        <v>0.16666666666666666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7.1428571428571425E-2</v>
      </c>
      <c r="I21" s="94">
        <v>6</v>
      </c>
    </row>
    <row r="22" spans="1:17" x14ac:dyDescent="0.4">
      <c r="A22" s="55" t="s">
        <v>171</v>
      </c>
      <c r="B22" s="47">
        <v>13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7914.2857142857147</v>
      </c>
      <c r="C23" s="41">
        <v>110800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-8962.5</v>
      </c>
      <c r="C24" s="45">
        <v>-71700</v>
      </c>
      <c r="E24" s="63" t="s">
        <v>87</v>
      </c>
      <c r="F24" s="60" t="s">
        <v>42</v>
      </c>
      <c r="G24" s="47">
        <v>1</v>
      </c>
      <c r="H24" s="133">
        <f>IF(B$17=0,0,G24/B$17)</f>
        <v>7.1428571428571425E-2</v>
      </c>
      <c r="I24" s="94">
        <v>2</v>
      </c>
    </row>
    <row r="25" spans="1:17" x14ac:dyDescent="0.4">
      <c r="A25" s="90" t="s">
        <v>141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0.14285714285714285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5</v>
      </c>
    </row>
    <row r="51" spans="5:9" x14ac:dyDescent="0.4">
      <c r="E51" s="136" t="s">
        <v>172</v>
      </c>
      <c r="F51" s="137" t="s">
        <v>173</v>
      </c>
      <c r="G51" s="48">
        <v>5</v>
      </c>
      <c r="H51" s="138">
        <f>IF(B$17=0,0,G51/B$17)</f>
        <v>0.35714285714285715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425A7-7A13-43DA-A6EB-7B68BEA210C1}">
  <sheetPr codeName="Sheet24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  <row r="8" spans="1:17" x14ac:dyDescent="0.4">
      <c r="A8" s="69">
        <v>5</v>
      </c>
      <c r="B8" s="66">
        <v>-12.100000000000005</v>
      </c>
      <c r="C8" s="66">
        <v>-2.4200000000000008</v>
      </c>
      <c r="D8" s="71">
        <v>1.8</v>
      </c>
      <c r="E8" s="67">
        <v>0.6</v>
      </c>
      <c r="F8" s="67">
        <v>0.4</v>
      </c>
      <c r="G8" s="67">
        <v>0.29166666666666669</v>
      </c>
      <c r="H8" s="67">
        <v>0.16666666666666666</v>
      </c>
      <c r="I8" s="68">
        <v>7914.2857142857147</v>
      </c>
      <c r="J8" s="68">
        <v>-8962.5</v>
      </c>
      <c r="K8" s="67">
        <v>0.4</v>
      </c>
      <c r="L8" s="67">
        <v>0.2</v>
      </c>
      <c r="M8" s="67">
        <v>0.27083333333333331</v>
      </c>
      <c r="N8" s="67">
        <v>0.375</v>
      </c>
      <c r="O8" s="67">
        <v>0.53846153846153844</v>
      </c>
      <c r="P8" s="67">
        <v>0.33333333333333331</v>
      </c>
      <c r="Q8" s="67">
        <v>0.35714285714285715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3B9CF-DEE0-432B-9BE7-009681740264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3B911-B156-48C2-8D13-4E1FE2D7A8F3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  <row r="12" spans="1:17" x14ac:dyDescent="0.4">
      <c r="A12" s="69">
        <v>9</v>
      </c>
      <c r="B12" s="66">
        <v>-150.6</v>
      </c>
      <c r="C12" s="66">
        <v>-16.733333333333334</v>
      </c>
      <c r="D12" s="71">
        <v>2.4444444444444446</v>
      </c>
      <c r="E12" s="67">
        <v>0.1111111111111111</v>
      </c>
      <c r="F12" s="67">
        <v>0.55555555555555558</v>
      </c>
      <c r="G12" s="67">
        <v>0.21333333333333335</v>
      </c>
      <c r="H12" s="67">
        <v>0.25333333333333335</v>
      </c>
      <c r="I12" s="68">
        <v>9350</v>
      </c>
      <c r="J12" s="68">
        <v>-9452.6315789473683</v>
      </c>
      <c r="K12" s="67">
        <v>0.22222222222222221</v>
      </c>
      <c r="L12" s="67">
        <v>0.1111111111111111</v>
      </c>
      <c r="M12" s="67">
        <v>0.26666666666666666</v>
      </c>
      <c r="N12" s="67">
        <v>0.21333333333333335</v>
      </c>
      <c r="O12" s="67">
        <v>0.5</v>
      </c>
      <c r="P12" s="67">
        <v>0.375</v>
      </c>
      <c r="Q12" s="67">
        <v>0.5625</v>
      </c>
    </row>
    <row r="13" spans="1:17" x14ac:dyDescent="0.4">
      <c r="A13" s="69">
        <v>10</v>
      </c>
      <c r="B13" s="66">
        <v>-151.1</v>
      </c>
      <c r="C13" s="66">
        <v>-15.11</v>
      </c>
      <c r="D13" s="71">
        <v>2.4</v>
      </c>
      <c r="E13" s="67">
        <v>0.1</v>
      </c>
      <c r="F13" s="67">
        <v>0.5</v>
      </c>
      <c r="G13" s="67">
        <v>0.2289156626506024</v>
      </c>
      <c r="H13" s="67">
        <v>0.2289156626506024</v>
      </c>
      <c r="I13" s="68">
        <v>8273.6842105263149</v>
      </c>
      <c r="J13" s="68">
        <v>-9452.6315789473683</v>
      </c>
      <c r="K13" s="67">
        <v>0.2</v>
      </c>
      <c r="L13" s="67">
        <v>0.1</v>
      </c>
      <c r="M13" s="67">
        <v>0.25301204819277107</v>
      </c>
      <c r="N13" s="67">
        <v>0.2289156626506024</v>
      </c>
      <c r="O13" s="67">
        <v>0.52380952380952384</v>
      </c>
      <c r="P13" s="67">
        <v>0.42105263157894735</v>
      </c>
      <c r="Q13" s="67">
        <v>0.52631578947368418</v>
      </c>
    </row>
    <row r="14" spans="1:17" x14ac:dyDescent="0.4">
      <c r="A14" s="69">
        <v>11</v>
      </c>
      <c r="B14" s="66">
        <v>-175</v>
      </c>
      <c r="C14" s="66">
        <v>-15.909090909090908</v>
      </c>
      <c r="D14" s="71">
        <v>2.4545454545454546</v>
      </c>
      <c r="E14" s="67">
        <v>9.0909090909090912E-2</v>
      </c>
      <c r="F14" s="67">
        <v>0.54545454545454541</v>
      </c>
      <c r="G14" s="67">
        <v>0.22222222222222221</v>
      </c>
      <c r="H14" s="67">
        <v>0.22222222222222221</v>
      </c>
      <c r="I14" s="68">
        <v>8760</v>
      </c>
      <c r="J14" s="68">
        <v>-10180</v>
      </c>
      <c r="K14" s="67">
        <v>0.18181818181818182</v>
      </c>
      <c r="L14" s="67">
        <v>9.0909090909090912E-2</v>
      </c>
      <c r="M14" s="67">
        <v>0.24444444444444444</v>
      </c>
      <c r="N14" s="67">
        <v>0.23333333333333334</v>
      </c>
      <c r="O14" s="67">
        <v>0.54545454545454541</v>
      </c>
      <c r="P14" s="67">
        <v>0.38095238095238093</v>
      </c>
      <c r="Q14" s="67">
        <v>0.5</v>
      </c>
    </row>
    <row r="15" spans="1:17" x14ac:dyDescent="0.4">
      <c r="A15" s="69">
        <v>12</v>
      </c>
      <c r="B15" s="66">
        <v>-176.9</v>
      </c>
      <c r="C15" s="66">
        <v>-14.741666666666667</v>
      </c>
      <c r="D15" s="71">
        <v>2.4166666666666665</v>
      </c>
      <c r="E15" s="67">
        <v>8.3333333333333329E-2</v>
      </c>
      <c r="F15" s="67">
        <v>0.5</v>
      </c>
      <c r="G15" s="67">
        <v>0.23711340206185566</v>
      </c>
      <c r="H15" s="67">
        <v>0.21649484536082475</v>
      </c>
      <c r="I15" s="68">
        <v>8543.4782608695659</v>
      </c>
      <c r="J15" s="68">
        <v>-10061.904761904761</v>
      </c>
      <c r="K15" s="67">
        <v>0.16666666666666666</v>
      </c>
      <c r="L15" s="67">
        <v>8.3333333333333329E-2</v>
      </c>
      <c r="M15" s="67">
        <v>0.24742268041237114</v>
      </c>
      <c r="N15" s="67">
        <v>0.22680412371134021</v>
      </c>
      <c r="O15" s="67">
        <v>0.58333333333333337</v>
      </c>
      <c r="P15" s="67">
        <v>0.36363636363636365</v>
      </c>
      <c r="Q15" s="67">
        <v>0.47826086956521741</v>
      </c>
    </row>
    <row r="16" spans="1:17" x14ac:dyDescent="0.4">
      <c r="A16" s="69">
        <v>13</v>
      </c>
      <c r="B16" s="66">
        <v>-217.60000000000002</v>
      </c>
      <c r="C16" s="66">
        <v>-16.738461538461539</v>
      </c>
      <c r="D16" s="71">
        <v>2.4615384615384617</v>
      </c>
      <c r="E16" s="67">
        <v>7.6923076923076927E-2</v>
      </c>
      <c r="F16" s="67">
        <v>0.53846153846153844</v>
      </c>
      <c r="G16" s="67">
        <v>0.22857142857142856</v>
      </c>
      <c r="H16" s="67">
        <v>0.21904761904761905</v>
      </c>
      <c r="I16" s="68">
        <v>8354.1666666666661</v>
      </c>
      <c r="J16" s="68">
        <v>-9747.826086956522</v>
      </c>
      <c r="K16" s="67">
        <v>0.15384615384615385</v>
      </c>
      <c r="L16" s="67">
        <v>7.6923076923076927E-2</v>
      </c>
      <c r="M16" s="67">
        <v>0.24761904761904763</v>
      </c>
      <c r="N16" s="67">
        <v>0.22857142857142856</v>
      </c>
      <c r="O16" s="67">
        <v>0.57692307692307687</v>
      </c>
      <c r="P16" s="67">
        <v>0.33333333333333331</v>
      </c>
      <c r="Q16" s="67">
        <v>0.5</v>
      </c>
    </row>
    <row r="17" spans="1:17" x14ac:dyDescent="0.4">
      <c r="A17" s="69">
        <v>14</v>
      </c>
      <c r="B17" s="66">
        <v>-266.90000000000003</v>
      </c>
      <c r="C17" s="66">
        <v>-19.064285714285717</v>
      </c>
      <c r="D17" s="71">
        <v>2.5</v>
      </c>
      <c r="E17" s="67">
        <v>7.1428571428571425E-2</v>
      </c>
      <c r="F17" s="67">
        <v>0.5714285714285714</v>
      </c>
      <c r="G17" s="67">
        <v>0.22413793103448276</v>
      </c>
      <c r="H17" s="67">
        <v>0.21551724137931033</v>
      </c>
      <c r="I17" s="68">
        <v>8296.1538461538457</v>
      </c>
      <c r="J17" s="68">
        <v>-9804</v>
      </c>
      <c r="K17" s="67">
        <v>0.21428571428571427</v>
      </c>
      <c r="L17" s="67">
        <v>7.1428571428571425E-2</v>
      </c>
      <c r="M17" s="67">
        <v>0.26724137931034481</v>
      </c>
      <c r="N17" s="67">
        <v>0.21551724137931033</v>
      </c>
      <c r="O17" s="67">
        <v>0.5161290322580645</v>
      </c>
      <c r="P17" s="67">
        <v>0.36</v>
      </c>
      <c r="Q17" s="67">
        <v>0.5</v>
      </c>
    </row>
    <row r="18" spans="1:17" x14ac:dyDescent="0.4">
      <c r="A18" s="69">
        <v>15</v>
      </c>
      <c r="B18" s="66">
        <v>-272.50000000000006</v>
      </c>
      <c r="C18" s="66">
        <v>-18.166666666666671</v>
      </c>
      <c r="D18" s="71">
        <v>2.4666666666666668</v>
      </c>
      <c r="E18" s="67">
        <v>6.6666666666666666E-2</v>
      </c>
      <c r="F18" s="67">
        <v>0.53333333333333333</v>
      </c>
      <c r="G18" s="67">
        <v>0.22131147540983606</v>
      </c>
      <c r="H18" s="67">
        <v>0.20491803278688525</v>
      </c>
      <c r="I18" s="68">
        <v>8133.333333333333</v>
      </c>
      <c r="J18" s="68">
        <v>-9804</v>
      </c>
      <c r="K18" s="67">
        <v>0.2</v>
      </c>
      <c r="L18" s="67">
        <v>6.6666666666666666E-2</v>
      </c>
      <c r="M18" s="67">
        <v>0.25409836065573771</v>
      </c>
      <c r="N18" s="67">
        <v>0.22950819672131148</v>
      </c>
      <c r="O18" s="67">
        <v>0.5161290322580645</v>
      </c>
      <c r="P18" s="67">
        <v>0.35714285714285715</v>
      </c>
      <c r="Q18" s="67">
        <v>0.48148148148148145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C800-781D-49FB-BEC2-5B19921D5D2E}">
  <sheetPr codeName="Sheet18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  <row r="21" spans="1:17" x14ac:dyDescent="0.4">
      <c r="A21" s="69">
        <v>18</v>
      </c>
      <c r="B21" s="66">
        <v>-62.399999999999991</v>
      </c>
      <c r="C21" s="66">
        <v>-3.4666666666666663</v>
      </c>
      <c r="D21" s="71">
        <v>2.1111111111111112</v>
      </c>
      <c r="E21" s="67">
        <v>0.27777777777777779</v>
      </c>
      <c r="F21" s="67">
        <v>0.3888888888888889</v>
      </c>
      <c r="G21" s="67">
        <v>0.27380952380952384</v>
      </c>
      <c r="H21" s="67">
        <v>0.13095238095238096</v>
      </c>
      <c r="I21" s="68">
        <v>7491.304347826087</v>
      </c>
      <c r="J21" s="68">
        <v>-7331.818181818182</v>
      </c>
      <c r="K21" s="67">
        <v>0.16666666666666666</v>
      </c>
      <c r="L21" s="67">
        <v>5.5555555555555552E-2</v>
      </c>
      <c r="M21" s="67">
        <v>0.25</v>
      </c>
      <c r="N21" s="67">
        <v>0.25</v>
      </c>
      <c r="O21" s="67">
        <v>0.47619047619047616</v>
      </c>
      <c r="P21" s="67">
        <v>0.52380952380952384</v>
      </c>
      <c r="Q21" s="67">
        <v>0.36956521739130432</v>
      </c>
    </row>
    <row r="22" spans="1:17" x14ac:dyDescent="0.4">
      <c r="A22" s="69">
        <v>19</v>
      </c>
      <c r="B22" s="66">
        <v>-56.399999999999991</v>
      </c>
      <c r="C22" s="66">
        <v>-2.9684210526315784</v>
      </c>
      <c r="D22" s="71">
        <v>2.1052631578947367</v>
      </c>
      <c r="E22" s="67">
        <v>0.26315789473684209</v>
      </c>
      <c r="F22" s="67">
        <v>0.36842105263157893</v>
      </c>
      <c r="G22" s="67">
        <v>0.27840909090909088</v>
      </c>
      <c r="H22" s="67">
        <v>0.13636363636363635</v>
      </c>
      <c r="I22" s="68">
        <v>7540.8163265306121</v>
      </c>
      <c r="J22" s="68">
        <v>-7095.833333333333</v>
      </c>
      <c r="K22" s="67">
        <v>0.15789473684210525</v>
      </c>
      <c r="L22" s="67">
        <v>5.2631578947368418E-2</v>
      </c>
      <c r="M22" s="67">
        <v>0.25568181818181818</v>
      </c>
      <c r="N22" s="67">
        <v>0.26136363636363635</v>
      </c>
      <c r="O22" s="67">
        <v>0.48888888888888887</v>
      </c>
      <c r="P22" s="67">
        <v>0.5</v>
      </c>
      <c r="Q22" s="67">
        <v>0.38775510204081631</v>
      </c>
    </row>
    <row r="23" spans="1:17" x14ac:dyDescent="0.4">
      <c r="A23" s="69">
        <v>20</v>
      </c>
      <c r="B23" s="66">
        <v>-93.199999999999989</v>
      </c>
      <c r="C23" s="66">
        <v>-4.6599999999999993</v>
      </c>
      <c r="D23" s="71">
        <v>2.15</v>
      </c>
      <c r="E23" s="67">
        <v>0.25</v>
      </c>
      <c r="F23" s="67">
        <v>0.4</v>
      </c>
      <c r="G23" s="67">
        <v>0.27322404371584702</v>
      </c>
      <c r="H23" s="67">
        <v>0.13661202185792351</v>
      </c>
      <c r="I23" s="68">
        <v>7544</v>
      </c>
      <c r="J23" s="68">
        <v>-7292</v>
      </c>
      <c r="K23" s="67">
        <v>0.15</v>
      </c>
      <c r="L23" s="67">
        <v>0.05</v>
      </c>
      <c r="M23" s="67">
        <v>0.26229508196721313</v>
      </c>
      <c r="N23" s="67">
        <v>0.25683060109289618</v>
      </c>
      <c r="O23" s="67">
        <v>0.47916666666666669</v>
      </c>
      <c r="P23" s="67">
        <v>0.48936170212765956</v>
      </c>
      <c r="Q23" s="67">
        <v>0.38</v>
      </c>
    </row>
    <row r="24" spans="1:17" x14ac:dyDescent="0.4">
      <c r="A24" s="69">
        <v>21</v>
      </c>
      <c r="B24" s="66">
        <v>-123.69999999999999</v>
      </c>
      <c r="C24" s="66">
        <v>-5.89047619047619</v>
      </c>
      <c r="D24" s="71">
        <v>2.1904761904761907</v>
      </c>
      <c r="E24" s="67">
        <v>0.23809523809523808</v>
      </c>
      <c r="F24" s="67">
        <v>0.42857142857142855</v>
      </c>
      <c r="G24" s="67">
        <v>0.26178010471204188</v>
      </c>
      <c r="H24" s="67">
        <v>0.14659685863874344</v>
      </c>
      <c r="I24" s="68">
        <v>7544</v>
      </c>
      <c r="J24" s="68">
        <v>-6960.7142857142853</v>
      </c>
      <c r="K24" s="67">
        <v>0.14285714285714285</v>
      </c>
      <c r="L24" s="67">
        <v>4.7619047619047616E-2</v>
      </c>
      <c r="M24" s="67">
        <v>0.25654450261780104</v>
      </c>
      <c r="N24" s="67">
        <v>0.25654450261780104</v>
      </c>
      <c r="O24" s="67">
        <v>0.46938775510204084</v>
      </c>
      <c r="P24" s="67">
        <v>0.46938775510204084</v>
      </c>
      <c r="Q24" s="67">
        <v>0.38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C5614-3821-4815-AEB7-64A9B71889CE}">
  <sheetPr codeName="Sheet16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  <row r="18" spans="1:17" x14ac:dyDescent="0.4">
      <c r="A18" s="69">
        <v>15</v>
      </c>
      <c r="B18" s="66">
        <v>-101.79999999999997</v>
      </c>
      <c r="C18" s="66">
        <v>-6.7866666666666644</v>
      </c>
      <c r="D18" s="71">
        <v>2.1333333333333333</v>
      </c>
      <c r="E18" s="67">
        <v>0.26666666666666666</v>
      </c>
      <c r="F18" s="67">
        <v>0.4</v>
      </c>
      <c r="G18" s="67">
        <v>0.22131147540983606</v>
      </c>
      <c r="H18" s="67">
        <v>0.19672131147540983</v>
      </c>
      <c r="I18" s="68">
        <v>12474.074074074075</v>
      </c>
      <c r="J18" s="68">
        <v>-10254.166666666666</v>
      </c>
      <c r="K18" s="67">
        <v>0.26666666666666666</v>
      </c>
      <c r="L18" s="67">
        <v>0.26666666666666666</v>
      </c>
      <c r="M18" s="67">
        <v>0.22950819672131148</v>
      </c>
      <c r="N18" s="67">
        <v>0.23770491803278687</v>
      </c>
      <c r="O18" s="67">
        <v>0.25</v>
      </c>
      <c r="P18" s="67">
        <v>0.44827586206896552</v>
      </c>
      <c r="Q18" s="67">
        <v>0.29629629629629628</v>
      </c>
    </row>
    <row r="19" spans="1:17" x14ac:dyDescent="0.4">
      <c r="A19" s="69">
        <v>16</v>
      </c>
      <c r="B19" s="66">
        <v>-63.099999999999966</v>
      </c>
      <c r="C19" s="66">
        <v>-3.9437499999999979</v>
      </c>
      <c r="D19" s="71">
        <v>2.0625</v>
      </c>
      <c r="E19" s="67">
        <v>0.3125</v>
      </c>
      <c r="F19" s="67">
        <v>0.375</v>
      </c>
      <c r="G19" s="67">
        <v>0.23255813953488372</v>
      </c>
      <c r="H19" s="67">
        <v>0.19379844961240311</v>
      </c>
      <c r="I19" s="68">
        <v>12426.666666666666</v>
      </c>
      <c r="J19" s="68">
        <v>-9896</v>
      </c>
      <c r="K19" s="67">
        <v>0.25</v>
      </c>
      <c r="L19" s="67">
        <v>0.25</v>
      </c>
      <c r="M19" s="67">
        <v>0.24031007751937986</v>
      </c>
      <c r="N19" s="67">
        <v>0.23255813953488372</v>
      </c>
      <c r="O19" s="67">
        <v>0.29032258064516131</v>
      </c>
      <c r="P19" s="67">
        <v>0.46666666666666667</v>
      </c>
      <c r="Q19" s="67">
        <v>0.36666666666666664</v>
      </c>
    </row>
    <row r="20" spans="1:17" x14ac:dyDescent="0.4">
      <c r="A20" s="69">
        <v>17</v>
      </c>
      <c r="B20" s="66">
        <v>-55.799999999999969</v>
      </c>
      <c r="C20" s="66">
        <v>-3.2823529411764687</v>
      </c>
      <c r="D20" s="71">
        <v>2.0588235294117645</v>
      </c>
      <c r="E20" s="67">
        <v>0.29411764705882354</v>
      </c>
      <c r="F20" s="67">
        <v>0.35294117647058826</v>
      </c>
      <c r="G20" s="67">
        <v>0.24087591240875914</v>
      </c>
      <c r="H20" s="67">
        <v>0.18248175182481752</v>
      </c>
      <c r="I20" s="68">
        <v>12124.242424242424</v>
      </c>
      <c r="J20" s="68">
        <v>-9896</v>
      </c>
      <c r="K20" s="67">
        <v>0.23529411764705882</v>
      </c>
      <c r="L20" s="67">
        <v>0.23529411764705882</v>
      </c>
      <c r="M20" s="67">
        <v>0.24817518248175183</v>
      </c>
      <c r="N20" s="67">
        <v>0.22627737226277372</v>
      </c>
      <c r="O20" s="67">
        <v>0.3235294117647059</v>
      </c>
      <c r="P20" s="67">
        <v>0.4838709677419355</v>
      </c>
      <c r="Q20" s="67">
        <v>0.39393939393939392</v>
      </c>
    </row>
    <row r="21" spans="1:17" x14ac:dyDescent="0.4">
      <c r="A21" s="69">
        <v>18</v>
      </c>
      <c r="B21" s="66">
        <v>-24.999999999999968</v>
      </c>
      <c r="C21" s="66">
        <v>-1.3888888888888871</v>
      </c>
      <c r="D21" s="71">
        <v>2</v>
      </c>
      <c r="E21" s="67">
        <v>0.33333333333333331</v>
      </c>
      <c r="F21" s="67">
        <v>0.33333333333333331</v>
      </c>
      <c r="G21" s="67">
        <v>0.24827586206896551</v>
      </c>
      <c r="H21" s="67">
        <v>0.17241379310344829</v>
      </c>
      <c r="I21" s="68">
        <v>11561.111111111111</v>
      </c>
      <c r="J21" s="68">
        <v>-9896</v>
      </c>
      <c r="K21" s="67">
        <v>0.22222222222222221</v>
      </c>
      <c r="L21" s="67">
        <v>0.22222222222222221</v>
      </c>
      <c r="M21" s="67">
        <v>0.25517241379310346</v>
      </c>
      <c r="N21" s="67">
        <v>0.23448275862068965</v>
      </c>
      <c r="O21" s="67">
        <v>0.32432432432432434</v>
      </c>
      <c r="P21" s="67">
        <v>0.47058823529411764</v>
      </c>
      <c r="Q21" s="67">
        <v>0.41666666666666669</v>
      </c>
    </row>
    <row r="22" spans="1:17" x14ac:dyDescent="0.4">
      <c r="A22" s="69">
        <v>19</v>
      </c>
      <c r="B22" s="66">
        <v>-27.799999999999969</v>
      </c>
      <c r="C22" s="66">
        <v>-1.4631578947368404</v>
      </c>
      <c r="D22" s="71">
        <v>2</v>
      </c>
      <c r="E22" s="67">
        <v>0.31578947368421051</v>
      </c>
      <c r="F22" s="67">
        <v>0.31578947368421051</v>
      </c>
      <c r="G22" s="67">
        <v>0.25</v>
      </c>
      <c r="H22" s="67">
        <v>0.17307692307692307</v>
      </c>
      <c r="I22" s="68">
        <v>11823.076923076924</v>
      </c>
      <c r="J22" s="68">
        <v>-9903.7037037037044</v>
      </c>
      <c r="K22" s="67">
        <v>0.21052631578947367</v>
      </c>
      <c r="L22" s="67">
        <v>0.21052631578947367</v>
      </c>
      <c r="M22" s="67">
        <v>0.25641025641025639</v>
      </c>
      <c r="N22" s="67">
        <v>0.22435897435897437</v>
      </c>
      <c r="O22" s="67">
        <v>0.35</v>
      </c>
      <c r="P22" s="67">
        <v>0.48571428571428571</v>
      </c>
      <c r="Q22" s="67">
        <v>0.41025641025641024</v>
      </c>
    </row>
    <row r="23" spans="1:17" x14ac:dyDescent="0.4">
      <c r="A23" s="69">
        <v>20</v>
      </c>
      <c r="B23" s="66">
        <v>-50.39999999999997</v>
      </c>
      <c r="C23" s="66">
        <v>-2.5199999999999987</v>
      </c>
      <c r="D23" s="71">
        <v>2.0499999999999998</v>
      </c>
      <c r="E23" s="67">
        <v>0.3</v>
      </c>
      <c r="F23" s="67">
        <v>0.35</v>
      </c>
      <c r="G23" s="67">
        <v>0.24691358024691357</v>
      </c>
      <c r="H23" s="67">
        <v>0.16666666666666666</v>
      </c>
      <c r="I23" s="68">
        <v>11657.5</v>
      </c>
      <c r="J23" s="68">
        <v>-9903.7037037037044</v>
      </c>
      <c r="K23" s="67">
        <v>0.2</v>
      </c>
      <c r="L23" s="67">
        <v>0.2</v>
      </c>
      <c r="M23" s="67">
        <v>0.26543209876543211</v>
      </c>
      <c r="N23" s="67">
        <v>0.22222222222222221</v>
      </c>
      <c r="O23" s="67">
        <v>0.34883720930232559</v>
      </c>
      <c r="P23" s="67">
        <v>0.47222222222222221</v>
      </c>
      <c r="Q23" s="67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5A771-0C3E-4D12-94D9-B70EE1345FC4}">
  <sheetPr codeName="Sheet1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-7933.333333333333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-7933.333333333333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  <row r="24" spans="1:17" x14ac:dyDescent="0.4">
      <c r="A24" s="69">
        <v>21</v>
      </c>
      <c r="B24" s="66">
        <v>-133.30000000000001</v>
      </c>
      <c r="C24" s="66">
        <v>-6.3476190476190482</v>
      </c>
      <c r="D24" s="71">
        <v>2.2380952380952381</v>
      </c>
      <c r="E24" s="67">
        <v>0.19047619047619047</v>
      </c>
      <c r="F24" s="67">
        <v>0.42857142857142855</v>
      </c>
      <c r="G24" s="67">
        <v>0.29411764705882354</v>
      </c>
      <c r="H24" s="67">
        <v>0.21390374331550802</v>
      </c>
      <c r="I24" s="68">
        <v>7780</v>
      </c>
      <c r="J24" s="68">
        <v>-7832.5</v>
      </c>
      <c r="K24" s="67">
        <v>9.5238095238095233E-2</v>
      </c>
      <c r="L24" s="67">
        <v>9.5238095238095233E-2</v>
      </c>
      <c r="M24" s="67">
        <v>0.25133689839572193</v>
      </c>
      <c r="N24" s="67">
        <v>0.20855614973262032</v>
      </c>
      <c r="O24" s="67">
        <v>0.61702127659574468</v>
      </c>
      <c r="P24" s="67">
        <v>0.4358974358974359</v>
      </c>
      <c r="Q24" s="67">
        <v>0.34545454545454546</v>
      </c>
    </row>
    <row r="25" spans="1:17" x14ac:dyDescent="0.4">
      <c r="A25" s="69">
        <v>22</v>
      </c>
      <c r="B25" s="66">
        <v>-164.60000000000002</v>
      </c>
      <c r="C25" s="66">
        <v>-7.4818181818181833</v>
      </c>
      <c r="D25" s="71">
        <v>2.2727272727272729</v>
      </c>
      <c r="E25" s="67">
        <v>0.18181818181818182</v>
      </c>
      <c r="F25" s="67">
        <v>0.45454545454545453</v>
      </c>
      <c r="G25" s="67">
        <v>0.28717948717948716</v>
      </c>
      <c r="H25" s="67">
        <v>0.21025641025641026</v>
      </c>
      <c r="I25" s="68">
        <v>7778.5714285714284</v>
      </c>
      <c r="J25" s="68">
        <v>-7934.1463414634145</v>
      </c>
      <c r="K25" s="67">
        <v>9.0909090909090912E-2</v>
      </c>
      <c r="L25" s="67">
        <v>9.0909090909090912E-2</v>
      </c>
      <c r="M25" s="67">
        <v>0.24615384615384617</v>
      </c>
      <c r="N25" s="67">
        <v>0.2</v>
      </c>
      <c r="O25" s="67">
        <v>0.625</v>
      </c>
      <c r="P25" s="67">
        <v>0.4358974358974359</v>
      </c>
      <c r="Q25" s="67">
        <v>0.35714285714285715</v>
      </c>
    </row>
    <row r="26" spans="1:17" x14ac:dyDescent="0.4">
      <c r="A26" s="69">
        <v>23</v>
      </c>
      <c r="B26" s="66">
        <v>-162.70000000000002</v>
      </c>
      <c r="C26" s="66">
        <v>-7.073913043478262</v>
      </c>
      <c r="D26" s="71">
        <v>2.2608695652173911</v>
      </c>
      <c r="E26" s="67">
        <v>0.17391304347826086</v>
      </c>
      <c r="F26" s="67">
        <v>0.43478260869565216</v>
      </c>
      <c r="G26" s="67">
        <v>0.29207920792079206</v>
      </c>
      <c r="H26" s="67">
        <v>0.20297029702970298</v>
      </c>
      <c r="I26" s="68">
        <v>7488.1355932203387</v>
      </c>
      <c r="J26" s="68">
        <v>-7934.1463414634145</v>
      </c>
      <c r="K26" s="67">
        <v>8.6956521739130432E-2</v>
      </c>
      <c r="L26" s="67">
        <v>8.6956521739130432E-2</v>
      </c>
      <c r="M26" s="67">
        <v>0.25247524752475248</v>
      </c>
      <c r="N26" s="67">
        <v>0.19801980198019803</v>
      </c>
      <c r="O26" s="67">
        <v>0.6470588235294118</v>
      </c>
      <c r="P26" s="67">
        <v>0.42499999999999999</v>
      </c>
      <c r="Q26" s="67">
        <v>0.3728813559322034</v>
      </c>
    </row>
    <row r="27" spans="1:17" x14ac:dyDescent="0.4">
      <c r="A27" s="69">
        <v>24</v>
      </c>
      <c r="B27" s="66">
        <v>-163.00000000000003</v>
      </c>
      <c r="C27" s="66">
        <v>-6.7916666666666679</v>
      </c>
      <c r="D27" s="71">
        <v>2.25</v>
      </c>
      <c r="E27" s="67">
        <v>0.16666666666666666</v>
      </c>
      <c r="F27" s="67">
        <v>0.41666666666666669</v>
      </c>
      <c r="G27" s="67">
        <v>0.29523809523809524</v>
      </c>
      <c r="H27" s="67">
        <v>0.19523809523809524</v>
      </c>
      <c r="I27" s="68">
        <v>7233.8709677419356</v>
      </c>
      <c r="J27" s="68">
        <v>-7934.1463414634145</v>
      </c>
      <c r="K27" s="67">
        <v>8.3333333333333329E-2</v>
      </c>
      <c r="L27" s="67">
        <v>8.3333333333333329E-2</v>
      </c>
      <c r="M27" s="67">
        <v>0.26666666666666666</v>
      </c>
      <c r="N27" s="67">
        <v>0.19047619047619047</v>
      </c>
      <c r="O27" s="67">
        <v>0.6071428571428571</v>
      </c>
      <c r="P27" s="67">
        <v>0.42499999999999999</v>
      </c>
      <c r="Q27" s="67">
        <v>0.37096774193548387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8A5E-D7E1-4F0C-8094-4C931B13FCEE}">
  <sheetPr codeName="Sheet12"/>
  <dimension ref="A1:Q4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  <row r="42" spans="1:17" x14ac:dyDescent="0.4">
      <c r="A42" s="69">
        <v>39</v>
      </c>
      <c r="B42" s="66">
        <v>158.79999999999993</v>
      </c>
      <c r="C42" s="66">
        <v>4.0717948717948698</v>
      </c>
      <c r="D42" s="71">
        <v>1.9230769230769231</v>
      </c>
      <c r="E42" s="67">
        <v>0.33333333333333331</v>
      </c>
      <c r="F42" s="67">
        <v>0.25641025641025639</v>
      </c>
      <c r="G42" s="67">
        <v>0.31428571428571428</v>
      </c>
      <c r="H42" s="67">
        <v>0.19142857142857142</v>
      </c>
      <c r="I42" s="68">
        <v>8688.181818181818</v>
      </c>
      <c r="J42" s="68">
        <v>-7482.0895522388064</v>
      </c>
      <c r="K42" s="67">
        <v>0.12820512820512819</v>
      </c>
      <c r="L42" s="67">
        <v>0.15384615384615385</v>
      </c>
      <c r="M42" s="67">
        <v>0.22</v>
      </c>
      <c r="N42" s="67">
        <v>0.3342857142857143</v>
      </c>
      <c r="O42" s="67">
        <v>0.55844155844155841</v>
      </c>
      <c r="P42" s="67">
        <v>0.40170940170940173</v>
      </c>
      <c r="Q42" s="67">
        <v>0.36363636363636365</v>
      </c>
    </row>
    <row r="43" spans="1:17" x14ac:dyDescent="0.4">
      <c r="A43" s="69">
        <v>40</v>
      </c>
      <c r="B43" s="66">
        <v>109.59999999999992</v>
      </c>
      <c r="C43" s="66">
        <v>2.739999999999998</v>
      </c>
      <c r="D43" s="71">
        <v>1.95</v>
      </c>
      <c r="E43" s="67">
        <v>0.32500000000000001</v>
      </c>
      <c r="F43" s="67">
        <v>0.27500000000000002</v>
      </c>
      <c r="G43" s="67">
        <v>0.31179775280898875</v>
      </c>
      <c r="H43" s="67">
        <v>0.199438202247191</v>
      </c>
      <c r="I43" s="68">
        <v>8645.0450450450444</v>
      </c>
      <c r="J43" s="68">
        <v>-7635.211267605634</v>
      </c>
      <c r="K43" s="67">
        <v>0.15</v>
      </c>
      <c r="L43" s="67">
        <v>0.15</v>
      </c>
      <c r="M43" s="67">
        <v>0.21629213483146068</v>
      </c>
      <c r="N43" s="67">
        <v>0.3342696629213483</v>
      </c>
      <c r="O43" s="67">
        <v>0.55844155844155841</v>
      </c>
      <c r="P43" s="67">
        <v>0.3949579831932773</v>
      </c>
      <c r="Q43" s="67">
        <v>0.36036036036036034</v>
      </c>
    </row>
    <row r="44" spans="1:17" x14ac:dyDescent="0.4">
      <c r="A44" s="69">
        <v>41</v>
      </c>
      <c r="B44" s="66">
        <v>131.59999999999991</v>
      </c>
      <c r="C44" s="66">
        <v>3.2097560975609736</v>
      </c>
      <c r="D44" s="71">
        <v>1.9268292682926829</v>
      </c>
      <c r="E44" s="67">
        <v>0.34146341463414637</v>
      </c>
      <c r="F44" s="67">
        <v>0.26829268292682928</v>
      </c>
      <c r="G44" s="67">
        <v>0.31129476584022037</v>
      </c>
      <c r="H44" s="67">
        <v>0.20110192837465565</v>
      </c>
      <c r="I44" s="68">
        <v>8772.5663716814161</v>
      </c>
      <c r="J44" s="68">
        <v>-7690.41095890411</v>
      </c>
      <c r="K44" s="67">
        <v>0.14634146341463414</v>
      </c>
      <c r="L44" s="67">
        <v>0.14634146341463414</v>
      </c>
      <c r="M44" s="67">
        <v>0.21487603305785125</v>
      </c>
      <c r="N44" s="67">
        <v>0.33608815426997246</v>
      </c>
      <c r="O44" s="67">
        <v>0.5641025641025641</v>
      </c>
      <c r="P44" s="67">
        <v>0.39344262295081966</v>
      </c>
      <c r="Q44" s="67">
        <v>0.36283185840707965</v>
      </c>
    </row>
    <row r="45" spans="1:17" x14ac:dyDescent="0.4">
      <c r="A45" s="69">
        <v>42</v>
      </c>
      <c r="B45" s="66">
        <v>183.6999999999999</v>
      </c>
      <c r="C45" s="66">
        <v>4.3738095238095216</v>
      </c>
      <c r="D45" s="71">
        <v>1.9047619047619047</v>
      </c>
      <c r="E45" s="67">
        <v>0.35714285714285715</v>
      </c>
      <c r="F45" s="67">
        <v>0.26190476190476192</v>
      </c>
      <c r="G45" s="67">
        <v>0.31818181818181818</v>
      </c>
      <c r="H45" s="67">
        <v>0.19786096256684493</v>
      </c>
      <c r="I45" s="68">
        <v>8828.5714285714294</v>
      </c>
      <c r="J45" s="68">
        <v>-7629.72972972973</v>
      </c>
      <c r="K45" s="67">
        <v>0.14285714285714285</v>
      </c>
      <c r="L45" s="67">
        <v>0.16666666666666666</v>
      </c>
      <c r="M45" s="67">
        <v>0.22192513368983957</v>
      </c>
      <c r="N45" s="67">
        <v>0.33155080213903743</v>
      </c>
      <c r="O45" s="67">
        <v>0.57831325301204817</v>
      </c>
      <c r="P45" s="67">
        <v>0.40322580645161288</v>
      </c>
      <c r="Q45" s="67">
        <v>0.37815126050420167</v>
      </c>
    </row>
    <row r="46" spans="1:17" x14ac:dyDescent="0.4">
      <c r="A46" s="69">
        <v>43</v>
      </c>
      <c r="B46" s="66">
        <v>211.89999999999989</v>
      </c>
      <c r="C46" s="66">
        <v>4.9279069767441834</v>
      </c>
      <c r="D46" s="71">
        <v>1.8837209302325582</v>
      </c>
      <c r="E46" s="67">
        <v>0.37209302325581395</v>
      </c>
      <c r="F46" s="67">
        <v>0.2558139534883721</v>
      </c>
      <c r="G46" s="67">
        <v>0.32105263157894737</v>
      </c>
      <c r="H46" s="67">
        <v>0.2</v>
      </c>
      <c r="I46" s="68">
        <v>8802.4590163934427</v>
      </c>
      <c r="J46" s="68">
        <v>-7548.6842105263158</v>
      </c>
      <c r="K46" s="67">
        <v>0.13953488372093023</v>
      </c>
      <c r="L46" s="67">
        <v>0.16279069767441862</v>
      </c>
      <c r="M46" s="67">
        <v>0.22894736842105262</v>
      </c>
      <c r="N46" s="67">
        <v>0.32894736842105265</v>
      </c>
      <c r="O46" s="67">
        <v>0.57471264367816088</v>
      </c>
      <c r="P46" s="67">
        <v>0.4</v>
      </c>
      <c r="Q46" s="67">
        <v>0.39344262295081966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A982F-C61A-45F3-A5F2-F2765A47BD8D}">
  <sheetPr codeName="Sheet10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-7536.5853658536589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-7722.727272727273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  <row r="40" spans="1:17" x14ac:dyDescent="0.4">
      <c r="A40" s="69">
        <v>37</v>
      </c>
      <c r="B40" s="66">
        <v>325.09999999999991</v>
      </c>
      <c r="C40" s="66">
        <v>8.7864864864864849</v>
      </c>
      <c r="D40" s="71">
        <v>1.7567567567567568</v>
      </c>
      <c r="E40" s="67">
        <v>0.51351351351351349</v>
      </c>
      <c r="F40" s="67">
        <v>0.27027027027027029</v>
      </c>
      <c r="G40" s="67">
        <v>0.3364485981308411</v>
      </c>
      <c r="H40" s="67">
        <v>0.13707165109034267</v>
      </c>
      <c r="I40" s="68">
        <v>8024.0740740740739</v>
      </c>
      <c r="J40" s="68">
        <v>-7722.727272727273</v>
      </c>
      <c r="K40" s="67">
        <v>5.4054054054054057E-2</v>
      </c>
      <c r="L40" s="67">
        <v>0.10810810810810811</v>
      </c>
      <c r="M40" s="67">
        <v>0.24610591900311526</v>
      </c>
      <c r="N40" s="67">
        <v>0.22118380062305296</v>
      </c>
      <c r="O40" s="67">
        <v>0.60759493670886078</v>
      </c>
      <c r="P40" s="67">
        <v>0.53521126760563376</v>
      </c>
      <c r="Q40" s="67">
        <v>0.42592592592592593</v>
      </c>
    </row>
    <row r="41" spans="1:17" x14ac:dyDescent="0.4">
      <c r="A41" s="69">
        <v>38</v>
      </c>
      <c r="B41" s="66">
        <v>360.49999999999989</v>
      </c>
      <c r="C41" s="66">
        <v>9.4868421052631557</v>
      </c>
      <c r="D41" s="71">
        <v>1.736842105263158</v>
      </c>
      <c r="E41" s="67">
        <v>0.52631578947368418</v>
      </c>
      <c r="F41" s="67">
        <v>0.26315789473684209</v>
      </c>
      <c r="G41" s="67">
        <v>0.34042553191489361</v>
      </c>
      <c r="H41" s="67">
        <v>0.13677811550151975</v>
      </c>
      <c r="I41" s="68">
        <v>7992.8571428571431</v>
      </c>
      <c r="J41" s="68">
        <v>-7595.5555555555557</v>
      </c>
      <c r="K41" s="67">
        <v>5.2631578947368418E-2</v>
      </c>
      <c r="L41" s="67">
        <v>0.10526315789473684</v>
      </c>
      <c r="M41" s="67">
        <v>0.24316109422492402</v>
      </c>
      <c r="N41" s="67">
        <v>0.22492401215805471</v>
      </c>
      <c r="O41" s="67">
        <v>0.61250000000000004</v>
      </c>
      <c r="P41" s="67">
        <v>0.54054054054054057</v>
      </c>
      <c r="Q41" s="67">
        <v>0.42857142857142855</v>
      </c>
    </row>
    <row r="42" spans="1:17" x14ac:dyDescent="0.4">
      <c r="A42" s="69">
        <v>39</v>
      </c>
      <c r="B42" s="66">
        <v>365.39999999999986</v>
      </c>
      <c r="C42" s="66">
        <v>9.3692307692307661</v>
      </c>
      <c r="D42" s="71">
        <v>1.7435897435897436</v>
      </c>
      <c r="E42" s="67">
        <v>0.51282051282051277</v>
      </c>
      <c r="F42" s="67">
        <v>0.25641025641025639</v>
      </c>
      <c r="G42" s="67">
        <v>0.33731343283582088</v>
      </c>
      <c r="H42" s="67">
        <v>0.13432835820895522</v>
      </c>
      <c r="I42" s="68">
        <v>7968.141592920354</v>
      </c>
      <c r="J42" s="68">
        <v>-7595.5555555555557</v>
      </c>
      <c r="K42" s="67">
        <v>5.128205128205128E-2</v>
      </c>
      <c r="L42" s="67">
        <v>0.10256410256410256</v>
      </c>
      <c r="M42" s="67">
        <v>0.24477611940298508</v>
      </c>
      <c r="N42" s="67">
        <v>0.22388059701492538</v>
      </c>
      <c r="O42" s="67">
        <v>0.6097560975609756</v>
      </c>
      <c r="P42" s="67">
        <v>0.53333333333333333</v>
      </c>
      <c r="Q42" s="67">
        <v>0.4247787610619469</v>
      </c>
    </row>
    <row r="43" spans="1:17" x14ac:dyDescent="0.4">
      <c r="A43" s="69">
        <v>40</v>
      </c>
      <c r="B43" s="66">
        <v>398.79999999999984</v>
      </c>
      <c r="C43" s="66">
        <v>9.9699999999999953</v>
      </c>
      <c r="D43" s="71">
        <v>1.7250000000000001</v>
      </c>
      <c r="E43" s="67">
        <v>0.52500000000000002</v>
      </c>
      <c r="F43" s="67">
        <v>0.25</v>
      </c>
      <c r="G43" s="67">
        <v>0.33819241982507287</v>
      </c>
      <c r="H43" s="67">
        <v>0.13119533527696792</v>
      </c>
      <c r="I43" s="68">
        <v>8048.2758620689656</v>
      </c>
      <c r="J43" s="68">
        <v>-7595.5555555555557</v>
      </c>
      <c r="K43" s="67">
        <v>0.05</v>
      </c>
      <c r="L43" s="67">
        <v>0.1</v>
      </c>
      <c r="M43" s="67">
        <v>0.24489795918367346</v>
      </c>
      <c r="N43" s="67">
        <v>0.22157434402332363</v>
      </c>
      <c r="O43" s="67">
        <v>0.61904761904761907</v>
      </c>
      <c r="P43" s="67">
        <v>0.52631578947368418</v>
      </c>
      <c r="Q43" s="67">
        <v>0.43103448275862066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4C7C8-F494-4D2A-9656-7A06776DF465}">
  <sheetPr codeName="Sheet8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-6911.5384615384619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-6911.5384615384619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  <row r="21" spans="1:17" x14ac:dyDescent="0.4">
      <c r="A21" s="69">
        <v>18</v>
      </c>
      <c r="B21" s="66">
        <v>-80.2</v>
      </c>
      <c r="C21" s="66">
        <v>-4.4555555555555557</v>
      </c>
      <c r="D21" s="71">
        <v>2.0555555555555554</v>
      </c>
      <c r="E21" s="67">
        <v>0.27777777777777779</v>
      </c>
      <c r="F21" s="67">
        <v>0.33333333333333331</v>
      </c>
      <c r="G21" s="67">
        <v>0.24390243902439024</v>
      </c>
      <c r="H21" s="67">
        <v>0.16463414634146342</v>
      </c>
      <c r="I21" s="68">
        <v>7202.5</v>
      </c>
      <c r="J21" s="68">
        <v>-6848.1481481481478</v>
      </c>
      <c r="K21" s="67">
        <v>0</v>
      </c>
      <c r="L21" s="67">
        <v>0</v>
      </c>
      <c r="M21" s="67">
        <v>0.18902439024390244</v>
      </c>
      <c r="N21" s="67">
        <v>0.22560975609756098</v>
      </c>
      <c r="O21" s="67">
        <v>0.58064516129032262</v>
      </c>
      <c r="P21" s="67">
        <v>0.27027027027027029</v>
      </c>
      <c r="Q21" s="67">
        <v>0.5</v>
      </c>
    </row>
    <row r="22" spans="1:17" x14ac:dyDescent="0.4">
      <c r="A22" s="69">
        <v>19</v>
      </c>
      <c r="B22" s="66">
        <v>-115.1</v>
      </c>
      <c r="C22" s="66">
        <v>-6.0578947368421048</v>
      </c>
      <c r="D22" s="71">
        <v>2.1052631578947367</v>
      </c>
      <c r="E22" s="67">
        <v>0.26315789473684209</v>
      </c>
      <c r="F22" s="67">
        <v>0.36842105263157893</v>
      </c>
      <c r="G22" s="67">
        <v>0.23837209302325582</v>
      </c>
      <c r="H22" s="67">
        <v>0.1744186046511628</v>
      </c>
      <c r="I22" s="68">
        <v>7095.1219512195121</v>
      </c>
      <c r="J22" s="68">
        <v>-6670</v>
      </c>
      <c r="K22" s="67">
        <v>0</v>
      </c>
      <c r="L22" s="67">
        <v>0</v>
      </c>
      <c r="M22" s="67">
        <v>0.19186046511627908</v>
      </c>
      <c r="N22" s="67">
        <v>0.22674418604651161</v>
      </c>
      <c r="O22" s="67">
        <v>0.54545454545454541</v>
      </c>
      <c r="P22" s="67">
        <v>0.28205128205128205</v>
      </c>
      <c r="Q22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D2A5-959C-4DC2-9DC3-E61E60889215}">
  <sheetPr codeName="Sheet6"/>
  <dimension ref="A1:Q6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-7944.1295546558704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-7972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  <row r="59" spans="1:17" x14ac:dyDescent="0.4">
      <c r="A59" s="69">
        <v>56</v>
      </c>
      <c r="B59" s="66">
        <v>-3.5527136788005009E-14</v>
      </c>
      <c r="C59" s="66">
        <v>-2.1147105230955362E-16</v>
      </c>
      <c r="D59" s="71">
        <v>2</v>
      </c>
      <c r="E59" s="67">
        <v>0.33333333333333331</v>
      </c>
      <c r="F59" s="67">
        <v>0.33333333333333331</v>
      </c>
      <c r="G59" s="67">
        <v>0.28950863213811423</v>
      </c>
      <c r="H59" s="67">
        <v>0.17131474103585656</v>
      </c>
      <c r="I59" s="68">
        <v>8341.7431192660551</v>
      </c>
      <c r="J59" s="68">
        <v>-7925.1937984496126</v>
      </c>
      <c r="K59" s="67">
        <v>0.11904761904761904</v>
      </c>
      <c r="L59" s="67">
        <v>0.11904761904761904</v>
      </c>
      <c r="M59" s="67">
        <v>0.23904382470119523</v>
      </c>
      <c r="N59" s="67">
        <v>0.24966799468791501</v>
      </c>
      <c r="O59" s="67">
        <v>0.54166666666666663</v>
      </c>
      <c r="P59" s="67">
        <v>0.42021276595744683</v>
      </c>
      <c r="Q59" s="67">
        <v>0.40596330275229359</v>
      </c>
    </row>
    <row r="60" spans="1:17" x14ac:dyDescent="0.4">
      <c r="A60" s="69">
        <v>57</v>
      </c>
      <c r="B60" s="66">
        <v>-3.5527136788005009E-14</v>
      </c>
      <c r="C60" s="66">
        <v>-2.077610338479825E-16</v>
      </c>
      <c r="D60" s="71">
        <v>2</v>
      </c>
      <c r="E60" s="67">
        <v>0.33333333333333331</v>
      </c>
      <c r="F60" s="67">
        <v>0.33333333333333331</v>
      </c>
      <c r="G60" s="67">
        <v>0.29002624671916011</v>
      </c>
      <c r="H60" s="67">
        <v>0.17125984251968504</v>
      </c>
      <c r="I60" s="68">
        <v>8290.4977375565613</v>
      </c>
      <c r="J60" s="68">
        <v>-7888.5057471264372</v>
      </c>
      <c r="K60" s="67">
        <v>0.11695906432748537</v>
      </c>
      <c r="L60" s="67">
        <v>0.11695906432748537</v>
      </c>
      <c r="M60" s="67">
        <v>0.23818897637795275</v>
      </c>
      <c r="N60" s="67">
        <v>0.24803149606299213</v>
      </c>
      <c r="O60" s="67">
        <v>0.54545454545454541</v>
      </c>
      <c r="P60" s="67">
        <v>0.42328042328042326</v>
      </c>
      <c r="Q60" s="67">
        <v>0.40723981900452488</v>
      </c>
    </row>
    <row r="61" spans="1:17" x14ac:dyDescent="0.4">
      <c r="A61" s="69">
        <v>58</v>
      </c>
      <c r="B61" s="66">
        <v>-3.5527136788005009E-14</v>
      </c>
      <c r="C61" s="66">
        <v>-2.0417894705750005E-16</v>
      </c>
      <c r="D61" s="71">
        <v>2</v>
      </c>
      <c r="E61" s="67">
        <v>0.33333333333333331</v>
      </c>
      <c r="F61" s="67">
        <v>0.33333333333333331</v>
      </c>
      <c r="G61" s="67">
        <v>0.29069767441860467</v>
      </c>
      <c r="H61" s="67">
        <v>0.17118863049095606</v>
      </c>
      <c r="I61" s="68">
        <v>8229.7777777777774</v>
      </c>
      <c r="J61" s="68">
        <v>-7834.3396226415098</v>
      </c>
      <c r="K61" s="67">
        <v>0.11494252873563218</v>
      </c>
      <c r="L61" s="67">
        <v>0.11494252873563218</v>
      </c>
      <c r="M61" s="67">
        <v>0.23708010335917312</v>
      </c>
      <c r="N61" s="67">
        <v>0.24935400516795866</v>
      </c>
      <c r="O61" s="67">
        <v>0.54495912806539515</v>
      </c>
      <c r="P61" s="67">
        <v>0.42746113989637308</v>
      </c>
      <c r="Q61" s="67">
        <v>0.40888888888888891</v>
      </c>
    </row>
    <row r="62" spans="1:17" x14ac:dyDescent="0.4">
      <c r="A62" s="69">
        <v>59</v>
      </c>
      <c r="B62" s="66">
        <v>-4.2632564145606011E-14</v>
      </c>
      <c r="C62" s="66">
        <v>-2.4086194432545769E-16</v>
      </c>
      <c r="D62" s="71">
        <v>2</v>
      </c>
      <c r="E62" s="67">
        <v>0.33333333333333331</v>
      </c>
      <c r="F62" s="67">
        <v>0.33333333333333331</v>
      </c>
      <c r="G62" s="67">
        <v>0.29118773946360155</v>
      </c>
      <c r="H62" s="67">
        <v>0.17241379310344829</v>
      </c>
      <c r="I62" s="68">
        <v>8244.9561403508778</v>
      </c>
      <c r="J62" s="68">
        <v>-7854.8148148148148</v>
      </c>
      <c r="K62" s="67">
        <v>0.11864406779661017</v>
      </c>
      <c r="L62" s="67">
        <v>0.11864406779661017</v>
      </c>
      <c r="M62" s="67">
        <v>0.23690932311621968</v>
      </c>
      <c r="N62" s="67">
        <v>0.24968071519795657</v>
      </c>
      <c r="O62" s="67">
        <v>0.54716981132075471</v>
      </c>
      <c r="P62" s="67">
        <v>0.42710997442455245</v>
      </c>
      <c r="Q62" s="67">
        <v>0.4057017543859649</v>
      </c>
    </row>
    <row r="63" spans="1:17" x14ac:dyDescent="0.4">
      <c r="A63" s="69">
        <v>60</v>
      </c>
      <c r="B63" s="66">
        <v>-4.2632564145606011E-14</v>
      </c>
      <c r="C63" s="66">
        <v>-2.3684757858670006E-16</v>
      </c>
      <c r="D63" s="71">
        <v>2</v>
      </c>
      <c r="E63" s="67">
        <v>0.33333333333333331</v>
      </c>
      <c r="F63" s="67">
        <v>0.33333333333333331</v>
      </c>
      <c r="G63" s="67">
        <v>0.29182389937106917</v>
      </c>
      <c r="H63" s="67">
        <v>0.17232704402515722</v>
      </c>
      <c r="I63" s="68">
        <v>8244.1810344827591</v>
      </c>
      <c r="J63" s="68">
        <v>-7844.8905109489051</v>
      </c>
      <c r="K63" s="67">
        <v>0.11666666666666667</v>
      </c>
      <c r="L63" s="67">
        <v>0.11666666666666667</v>
      </c>
      <c r="M63" s="67">
        <v>0.23710691823899371</v>
      </c>
      <c r="N63" s="67">
        <v>0.25094339622641509</v>
      </c>
      <c r="O63" s="67">
        <v>0.55172413793103448</v>
      </c>
      <c r="P63" s="67">
        <v>0.42606516290726815</v>
      </c>
      <c r="Q63" s="67">
        <v>0.40732758620689657</v>
      </c>
    </row>
    <row r="64" spans="1:17" x14ac:dyDescent="0.4">
      <c r="A64" s="69">
        <v>61</v>
      </c>
      <c r="B64" s="66">
        <v>-4.2632564145606011E-14</v>
      </c>
      <c r="C64" s="66">
        <v>-2.3296483139675417E-16</v>
      </c>
      <c r="D64" s="71">
        <v>2</v>
      </c>
      <c r="E64" s="67">
        <v>0.33333333333333331</v>
      </c>
      <c r="F64" s="67">
        <v>0.33333333333333331</v>
      </c>
      <c r="G64" s="67">
        <v>0.29174425822470518</v>
      </c>
      <c r="H64" s="67">
        <v>0.17194289261328369</v>
      </c>
      <c r="I64" s="68">
        <v>8257.8723404255325</v>
      </c>
      <c r="J64" s="68">
        <v>-7916.2454873646211</v>
      </c>
      <c r="K64" s="67">
        <v>0.11475409836065574</v>
      </c>
      <c r="L64" s="67">
        <v>0.11475409836065574</v>
      </c>
      <c r="M64" s="67">
        <v>0.23711980136561142</v>
      </c>
      <c r="N64" s="67">
        <v>0.25139664804469275</v>
      </c>
      <c r="O64" s="67">
        <v>0.55759162303664922</v>
      </c>
      <c r="P64" s="67">
        <v>0.42222222222222222</v>
      </c>
      <c r="Q64" s="67">
        <v>0.40851063829787232</v>
      </c>
    </row>
    <row r="65" spans="1:17" x14ac:dyDescent="0.4">
      <c r="A65" s="69">
        <v>62</v>
      </c>
      <c r="B65" s="66">
        <v>-3.5527136788005009E-14</v>
      </c>
      <c r="C65" s="66">
        <v>-1.9100611176346779E-16</v>
      </c>
      <c r="D65" s="71">
        <v>2</v>
      </c>
      <c r="E65" s="67">
        <v>0.33333333333333331</v>
      </c>
      <c r="F65" s="67">
        <v>0.33333333333333331</v>
      </c>
      <c r="G65" s="67">
        <v>0.2922794117647059</v>
      </c>
      <c r="H65" s="67">
        <v>0.17156862745098039</v>
      </c>
      <c r="I65" s="68">
        <v>8272.9559748427673</v>
      </c>
      <c r="J65" s="68">
        <v>-7906.4285714285716</v>
      </c>
      <c r="K65" s="67">
        <v>0.11290322580645161</v>
      </c>
      <c r="L65" s="67">
        <v>0.11290322580645161</v>
      </c>
      <c r="M65" s="67">
        <v>0.23897058823529413</v>
      </c>
      <c r="N65" s="67">
        <v>0.25</v>
      </c>
      <c r="O65" s="67">
        <v>0.55897435897435899</v>
      </c>
      <c r="P65" s="67">
        <v>0.42156862745098039</v>
      </c>
      <c r="Q65" s="67">
        <v>0.41090146750524109</v>
      </c>
    </row>
    <row r="66" spans="1:17" x14ac:dyDescent="0.4">
      <c r="A66" s="69">
        <v>63</v>
      </c>
      <c r="B66" s="66">
        <v>-4.2632564145606011E-14</v>
      </c>
      <c r="C66" s="66">
        <v>-2.2556912246352386E-16</v>
      </c>
      <c r="D66" s="71">
        <v>2</v>
      </c>
      <c r="E66" s="67">
        <v>0.33333333333333331</v>
      </c>
      <c r="F66" s="67">
        <v>0.33333333333333331</v>
      </c>
      <c r="G66" s="67">
        <v>0.2922705314009662</v>
      </c>
      <c r="H66" s="67">
        <v>0.17028985507246377</v>
      </c>
      <c r="I66" s="68">
        <v>8286.5702479338852</v>
      </c>
      <c r="J66" s="68">
        <v>-7896.0992907801419</v>
      </c>
      <c r="K66" s="67">
        <v>0.1111111111111111</v>
      </c>
      <c r="L66" s="67">
        <v>0.1111111111111111</v>
      </c>
      <c r="M66" s="67">
        <v>0.23973429951690822</v>
      </c>
      <c r="N66" s="67">
        <v>0.24879227053140096</v>
      </c>
      <c r="O66" s="67">
        <v>0.5617128463476071</v>
      </c>
      <c r="P66" s="67">
        <v>0.4199029126213592</v>
      </c>
      <c r="Q66" s="67">
        <v>0.41528925619834711</v>
      </c>
    </row>
    <row r="67" spans="1:17" x14ac:dyDescent="0.4">
      <c r="A67" s="69">
        <v>64</v>
      </c>
      <c r="B67" s="66">
        <v>-4.1910919179599659E-14</v>
      </c>
      <c r="C67" s="66">
        <v>-2.1828603739374822E-16</v>
      </c>
      <c r="D67" s="71">
        <v>2</v>
      </c>
      <c r="E67" s="67">
        <v>0.33333333333333331</v>
      </c>
      <c r="F67" s="67">
        <v>0.33333333333333331</v>
      </c>
      <c r="G67" s="67">
        <v>0.29166666666666669</v>
      </c>
      <c r="H67" s="67">
        <v>0.16964285714285715</v>
      </c>
      <c r="I67" s="68">
        <v>8231.6326530612241</v>
      </c>
      <c r="J67" s="68">
        <v>-7857.1929824561403</v>
      </c>
      <c r="K67" s="67">
        <v>0.109375</v>
      </c>
      <c r="L67" s="67">
        <v>0.109375</v>
      </c>
      <c r="M67" s="67">
        <v>0.24166666666666667</v>
      </c>
      <c r="N67" s="67">
        <v>0.24821428571428572</v>
      </c>
      <c r="O67" s="67">
        <v>0.55418719211822665</v>
      </c>
      <c r="P67" s="67">
        <v>0.41726618705035973</v>
      </c>
      <c r="Q67" s="67">
        <v>0.41632653061224489</v>
      </c>
    </row>
    <row r="68" spans="1:17" x14ac:dyDescent="0.4">
      <c r="A68" s="69">
        <v>65</v>
      </c>
      <c r="B68" s="66">
        <v>-3.5527136788005009E-14</v>
      </c>
      <c r="C68" s="66">
        <v>-1.8219044506669235E-16</v>
      </c>
      <c r="D68" s="71">
        <v>2</v>
      </c>
      <c r="E68" s="67">
        <v>0.33333333333333331</v>
      </c>
      <c r="F68" s="67">
        <v>0.33333333333333331</v>
      </c>
      <c r="G68" s="67">
        <v>0.29246935201401053</v>
      </c>
      <c r="H68" s="67">
        <v>0.16929363689433741</v>
      </c>
      <c r="I68" s="68">
        <v>8289.2215568862284</v>
      </c>
      <c r="J68" s="68">
        <v>-7873.7931034482763</v>
      </c>
      <c r="K68" s="67">
        <v>0.11282051282051282</v>
      </c>
      <c r="L68" s="67">
        <v>0.11282051282051282</v>
      </c>
      <c r="M68" s="67">
        <v>0.24460011675423235</v>
      </c>
      <c r="N68" s="67">
        <v>0.24576765907764156</v>
      </c>
      <c r="O68" s="67">
        <v>0.55369928400954649</v>
      </c>
      <c r="P68" s="67">
        <v>0.42280285035629456</v>
      </c>
      <c r="Q68" s="67">
        <v>0.41916167664670656</v>
      </c>
    </row>
    <row r="69" spans="1:17" x14ac:dyDescent="0.4">
      <c r="A69" s="69">
        <v>66</v>
      </c>
      <c r="B69" s="66">
        <v>-3.907985046680551E-14</v>
      </c>
      <c r="C69" s="66">
        <v>-1.9737298215558337E-16</v>
      </c>
      <c r="D69" s="71">
        <v>2</v>
      </c>
      <c r="E69" s="67">
        <v>0.33333333333333331</v>
      </c>
      <c r="F69" s="67">
        <v>0.33333333333333331</v>
      </c>
      <c r="G69" s="67">
        <v>0.29231658001155403</v>
      </c>
      <c r="H69" s="67">
        <v>0.16868861929520509</v>
      </c>
      <c r="I69" s="68">
        <v>8271.3438735177861</v>
      </c>
      <c r="J69" s="68">
        <v>-7851.0273972602736</v>
      </c>
      <c r="K69" s="67">
        <v>0.1111111111111111</v>
      </c>
      <c r="L69" s="67">
        <v>0.1111111111111111</v>
      </c>
      <c r="M69" s="67">
        <v>0.24610051993067592</v>
      </c>
      <c r="N69" s="67">
        <v>0.24610051993067592</v>
      </c>
      <c r="O69" s="67">
        <v>0.55164319248826288</v>
      </c>
      <c r="P69" s="67">
        <v>0.42018779342723006</v>
      </c>
      <c r="Q69" s="67">
        <v>0.42094861660079053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2019-10-11T19:07:39Z</dcterms:modified>
</cp:coreProperties>
</file>