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E4B6EA34-A77D-498D-A326-3CFD35A7AC66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45" r:id="rId6"/>
    <sheet name="たかの" sheetId="5647" r:id="rId7"/>
    <sheet name="だいち" sheetId="5649" r:id="rId8"/>
    <sheet name="ただ" sheetId="5651" r:id="rId9"/>
    <sheet name="りくと" sheetId="5653" r:id="rId10"/>
    <sheet name="れんたろう" sheetId="5655" r:id="rId11"/>
    <sheet name="まっつん" sheetId="5657" r:id="rId12"/>
    <sheet name="のり" sheetId="5659" r:id="rId13"/>
    <sheet name="ぱぱ" sheetId="5661" r:id="rId14"/>
    <sheet name="ほたに" sheetId="5663" r:id="rId15"/>
    <sheet name="ほたに2" sheetId="5664" state="hidden" r:id="rId16"/>
    <sheet name="ぱぱ2" sheetId="5662" state="hidden" r:id="rId17"/>
    <sheet name="のり2" sheetId="5660" state="hidden" r:id="rId18"/>
    <sheet name="まっつん2" sheetId="5658" state="hidden" r:id="rId19"/>
    <sheet name="れんたろう2" sheetId="5656" state="hidden" r:id="rId20"/>
    <sheet name="りくと2" sheetId="5654" state="hidden" r:id="rId21"/>
    <sheet name="ただ2" sheetId="5652" state="hidden" r:id="rId22"/>
    <sheet name="だいち2" sheetId="5650" state="hidden" r:id="rId23"/>
    <sheet name="たかの2" sheetId="5648" state="hidden" r:id="rId24"/>
    <sheet name="全体2" sheetId="564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5657" l="1"/>
  <c r="O18" i="5661"/>
  <c r="O16" i="5651" l="1"/>
  <c r="O17" i="5657"/>
  <c r="O16" i="5659"/>
  <c r="O17" i="5659"/>
  <c r="O18" i="5647" l="1"/>
  <c r="O19" i="5661"/>
  <c r="O20" i="5661"/>
  <c r="O17" i="5653"/>
  <c r="O18" i="5651" l="1"/>
  <c r="O18" i="5655"/>
  <c r="O16" i="5655" l="1"/>
  <c r="O20" i="5649"/>
  <c r="O19" i="5659"/>
  <c r="O16" i="5663"/>
  <c r="O15" i="5663"/>
  <c r="O21" i="5661"/>
  <c r="O15" i="5651" l="1"/>
  <c r="O17" i="5651"/>
  <c r="O17" i="5663"/>
  <c r="O18" i="5663"/>
  <c r="H47" i="5663"/>
  <c r="C27" i="5663"/>
  <c r="B24" i="5663"/>
  <c r="C20" i="5663"/>
  <c r="B17" i="5663"/>
  <c r="H50" i="5663" s="1"/>
  <c r="H16" i="5663"/>
  <c r="C16" i="5663"/>
  <c r="C15" i="5663"/>
  <c r="C14" i="5663"/>
  <c r="C13" i="5663"/>
  <c r="O12" i="5663"/>
  <c r="C12" i="5663"/>
  <c r="O11" i="5663"/>
  <c r="C11" i="5663"/>
  <c r="O10" i="5663"/>
  <c r="C10" i="5663"/>
  <c r="C9" i="5663"/>
  <c r="H8" i="5663"/>
  <c r="C8" i="5663"/>
  <c r="O7" i="5663"/>
  <c r="C7" i="5663"/>
  <c r="O6" i="5663"/>
  <c r="B6" i="5663"/>
  <c r="O5" i="5663"/>
  <c r="B5" i="5663"/>
  <c r="O4" i="5663"/>
  <c r="O3" i="5663"/>
  <c r="O2" i="5663"/>
  <c r="O21" i="5657"/>
  <c r="O15" i="5657"/>
  <c r="O16" i="5645"/>
  <c r="H32" i="5663" l="1"/>
  <c r="H12" i="5663"/>
  <c r="H24" i="5663"/>
  <c r="H2" i="5663"/>
  <c r="H11" i="5663"/>
  <c r="H15" i="5663"/>
  <c r="H35" i="5663"/>
  <c r="H36" i="5663"/>
  <c r="H5" i="5663"/>
  <c r="H19" i="5663"/>
  <c r="H37" i="5663"/>
  <c r="H44" i="5663"/>
  <c r="H43" i="5663"/>
  <c r="H6" i="5663"/>
  <c r="H18" i="5663"/>
  <c r="H45" i="5663"/>
  <c r="H9" i="5663"/>
  <c r="H25" i="5663"/>
  <c r="C18" i="5663"/>
  <c r="H3" i="5663"/>
  <c r="H27" i="5663"/>
  <c r="H14" i="5663"/>
  <c r="C19" i="5663"/>
  <c r="H31" i="5663"/>
  <c r="H46" i="5663"/>
  <c r="H48" i="5663"/>
  <c r="H39" i="5663"/>
  <c r="H4" i="5663"/>
  <c r="H10" i="5663"/>
  <c r="H22" i="5663"/>
  <c r="H28" i="5663"/>
  <c r="H38" i="5663"/>
  <c r="H7" i="5663"/>
  <c r="H13" i="5663"/>
  <c r="C17" i="5663"/>
  <c r="B23" i="5663"/>
  <c r="H29" i="5663"/>
  <c r="H51" i="5663"/>
  <c r="H17" i="5663"/>
  <c r="H23" i="5663"/>
  <c r="H30" i="5663"/>
  <c r="H40" i="5663"/>
  <c r="H52" i="5663"/>
  <c r="H20" i="5663"/>
  <c r="H26" i="5663"/>
  <c r="H33" i="5663"/>
  <c r="H41" i="5663"/>
  <c r="H49" i="5663"/>
  <c r="H21" i="5663"/>
  <c r="H34" i="5663"/>
  <c r="H42" i="5663"/>
  <c r="O17" i="5649" l="1"/>
  <c r="O18" i="5653"/>
  <c r="O16" i="5649" l="1"/>
  <c r="O20" i="5657"/>
  <c r="O22" i="5657"/>
  <c r="O15" i="5647"/>
  <c r="O19" i="5651"/>
  <c r="O15" i="5653"/>
  <c r="O16" i="5653"/>
  <c r="O19" i="5647"/>
  <c r="O22" i="5651"/>
  <c r="O15" i="5649"/>
  <c r="O17" i="5661"/>
  <c r="O22" i="5661"/>
  <c r="O20" i="5655" l="1"/>
  <c r="O19" i="5655"/>
  <c r="O16" i="5661"/>
  <c r="O15" i="5661"/>
  <c r="C27" i="5661"/>
  <c r="B24" i="5661"/>
  <c r="C20" i="5661"/>
  <c r="B17" i="5661"/>
  <c r="H50" i="5661" s="1"/>
  <c r="C16" i="5661"/>
  <c r="C15" i="5661"/>
  <c r="C14" i="5661"/>
  <c r="C13" i="5661"/>
  <c r="O12" i="5661"/>
  <c r="C12" i="5661"/>
  <c r="O11" i="5661"/>
  <c r="C11" i="5661"/>
  <c r="O10" i="5661"/>
  <c r="C10" i="5661"/>
  <c r="C9" i="5661"/>
  <c r="C8" i="5661"/>
  <c r="O7" i="5661"/>
  <c r="C7" i="5661"/>
  <c r="O6" i="5661"/>
  <c r="B6" i="5661"/>
  <c r="O5" i="5661"/>
  <c r="B5" i="5661"/>
  <c r="O4" i="5661"/>
  <c r="O3" i="5661"/>
  <c r="O2" i="5661"/>
  <c r="O15" i="5645"/>
  <c r="O15" i="5659"/>
  <c r="O18" i="5659"/>
  <c r="C27" i="5659"/>
  <c r="B24" i="5659"/>
  <c r="C20" i="5659"/>
  <c r="B17" i="5659"/>
  <c r="H51" i="5659" s="1"/>
  <c r="C16" i="5659"/>
  <c r="C15" i="5659"/>
  <c r="C14" i="5659"/>
  <c r="C13" i="5659"/>
  <c r="O12" i="5659"/>
  <c r="C12" i="5659"/>
  <c r="O11" i="5659"/>
  <c r="C11" i="5659"/>
  <c r="O10" i="5659"/>
  <c r="C10" i="5659"/>
  <c r="C9" i="5659"/>
  <c r="C8" i="5659"/>
  <c r="O7" i="5659"/>
  <c r="C7" i="5659"/>
  <c r="O6" i="5659"/>
  <c r="B6" i="5659"/>
  <c r="O5" i="5659"/>
  <c r="B5" i="5659"/>
  <c r="O4" i="5659"/>
  <c r="O3" i="5659"/>
  <c r="O2" i="5659"/>
  <c r="O23" i="5645"/>
  <c r="H16" i="5661" l="1"/>
  <c r="C17" i="5661"/>
  <c r="H25" i="5661"/>
  <c r="H4" i="5661"/>
  <c r="H32" i="5661"/>
  <c r="H40" i="5661"/>
  <c r="H48" i="5661"/>
  <c r="H22" i="5661"/>
  <c r="H35" i="5661"/>
  <c r="H43" i="5661"/>
  <c r="H5" i="5661"/>
  <c r="H11" i="5661"/>
  <c r="C18" i="5661"/>
  <c r="H28" i="5661"/>
  <c r="H52" i="5661"/>
  <c r="H2" i="5661"/>
  <c r="H8" i="5661"/>
  <c r="H23" i="5661"/>
  <c r="H45" i="5661"/>
  <c r="H15" i="5661"/>
  <c r="C19" i="5661"/>
  <c r="H30" i="5661"/>
  <c r="H38" i="5661"/>
  <c r="H46" i="5661"/>
  <c r="H10" i="5661"/>
  <c r="H17" i="5661"/>
  <c r="H27" i="5661"/>
  <c r="H51" i="5661"/>
  <c r="H14" i="5661"/>
  <c r="B23" i="5661"/>
  <c r="H36" i="5661"/>
  <c r="H44" i="5661"/>
  <c r="H18" i="5661"/>
  <c r="H29" i="5661"/>
  <c r="H37" i="5661"/>
  <c r="H3" i="5661"/>
  <c r="H6" i="5661"/>
  <c r="H9" i="5661"/>
  <c r="H12" i="5661"/>
  <c r="H19" i="5661"/>
  <c r="H24" i="5661"/>
  <c r="H31" i="5661"/>
  <c r="H39" i="5661"/>
  <c r="H47" i="5661"/>
  <c r="H20" i="5661"/>
  <c r="H26" i="5661"/>
  <c r="H33" i="5661"/>
  <c r="H41" i="5661"/>
  <c r="H49" i="5661"/>
  <c r="H7" i="5661"/>
  <c r="H13" i="5661"/>
  <c r="H21" i="5661"/>
  <c r="H34" i="5661"/>
  <c r="H42" i="5661"/>
  <c r="H31" i="5659"/>
  <c r="B23" i="5659"/>
  <c r="H8" i="5659"/>
  <c r="H5" i="5659"/>
  <c r="H15" i="5659"/>
  <c r="H36" i="5659"/>
  <c r="H2" i="5659"/>
  <c r="H12" i="5659"/>
  <c r="H23" i="5659"/>
  <c r="H9" i="5659"/>
  <c r="H39" i="5659"/>
  <c r="H44" i="5659"/>
  <c r="H37" i="5659"/>
  <c r="C17" i="5659"/>
  <c r="H3" i="5659"/>
  <c r="H6" i="5659"/>
  <c r="C18" i="5659"/>
  <c r="H24" i="5659"/>
  <c r="H18" i="5659"/>
  <c r="H45" i="5659"/>
  <c r="H4" i="5659"/>
  <c r="H14" i="5659"/>
  <c r="C19" i="5659"/>
  <c r="H28" i="5659"/>
  <c r="H47" i="5659"/>
  <c r="H11" i="5659"/>
  <c r="H19" i="5659"/>
  <c r="H29" i="5659"/>
  <c r="H52" i="5659"/>
  <c r="H30" i="5659"/>
  <c r="H38" i="5659"/>
  <c r="H46" i="5659"/>
  <c r="H16" i="5659"/>
  <c r="H25" i="5659"/>
  <c r="H32" i="5659"/>
  <c r="H40" i="5659"/>
  <c r="H48" i="5659"/>
  <c r="H26" i="5659"/>
  <c r="H41" i="5659"/>
  <c r="H7" i="5659"/>
  <c r="H13" i="5659"/>
  <c r="H21" i="5659"/>
  <c r="H34" i="5659"/>
  <c r="H42" i="5659"/>
  <c r="H50" i="5659"/>
  <c r="H10" i="5659"/>
  <c r="H20" i="5659"/>
  <c r="H33" i="5659"/>
  <c r="H49" i="5659"/>
  <c r="H17" i="5659"/>
  <c r="H22" i="5659"/>
  <c r="H27" i="5659"/>
  <c r="H35" i="5659"/>
  <c r="H43" i="5659"/>
  <c r="O18" i="5657" l="1"/>
  <c r="O16" i="5657"/>
  <c r="C27" i="5657"/>
  <c r="B24" i="5657"/>
  <c r="C20" i="5657"/>
  <c r="B17" i="5657"/>
  <c r="H51" i="5657" s="1"/>
  <c r="C16" i="5657"/>
  <c r="C15" i="5657"/>
  <c r="C14" i="5657"/>
  <c r="C13" i="5657"/>
  <c r="O12" i="5657"/>
  <c r="C12" i="5657"/>
  <c r="O11" i="5657"/>
  <c r="C11" i="5657"/>
  <c r="O10" i="5657"/>
  <c r="C10" i="5657"/>
  <c r="C9" i="5657"/>
  <c r="C8" i="5657"/>
  <c r="O7" i="5657"/>
  <c r="C7" i="5657"/>
  <c r="O6" i="5657"/>
  <c r="B6" i="5657"/>
  <c r="O5" i="5657"/>
  <c r="B5" i="5657"/>
  <c r="O4" i="5657"/>
  <c r="O3" i="5657"/>
  <c r="O2" i="5657"/>
  <c r="O15" i="5655"/>
  <c r="O17" i="5655"/>
  <c r="C27" i="5655"/>
  <c r="B24" i="5655"/>
  <c r="C20" i="5655"/>
  <c r="B17" i="5655"/>
  <c r="H50" i="5655" s="1"/>
  <c r="C16" i="5655"/>
  <c r="C15" i="5655"/>
  <c r="C14" i="5655"/>
  <c r="C13" i="5655"/>
  <c r="O12" i="5655"/>
  <c r="C12" i="5655"/>
  <c r="O11" i="5655"/>
  <c r="C11" i="5655"/>
  <c r="O10" i="5655"/>
  <c r="C10" i="5655"/>
  <c r="C9" i="5655"/>
  <c r="C8" i="5655"/>
  <c r="O7" i="5655"/>
  <c r="C7" i="5655"/>
  <c r="O6" i="5655"/>
  <c r="B6" i="5655"/>
  <c r="O5" i="5655"/>
  <c r="B5" i="5655"/>
  <c r="O4" i="5655"/>
  <c r="O3" i="5655"/>
  <c r="O2" i="5655"/>
  <c r="O17" i="5645"/>
  <c r="O20" i="5653"/>
  <c r="O19" i="5653"/>
  <c r="C27" i="5653"/>
  <c r="B24" i="5653"/>
  <c r="C20" i="5653"/>
  <c r="B17" i="5653"/>
  <c r="H19" i="5653" s="1"/>
  <c r="C16" i="5653"/>
  <c r="C15" i="5653"/>
  <c r="C14" i="5653"/>
  <c r="C13" i="5653"/>
  <c r="O12" i="5653"/>
  <c r="C12" i="5653"/>
  <c r="O11" i="5653"/>
  <c r="C11" i="5653"/>
  <c r="O10" i="5653"/>
  <c r="C10" i="5653"/>
  <c r="C9" i="5653"/>
  <c r="C8" i="5653"/>
  <c r="O7" i="5653"/>
  <c r="C7" i="5653"/>
  <c r="O6" i="5653"/>
  <c r="B6" i="5653"/>
  <c r="O5" i="5653"/>
  <c r="B5" i="5653"/>
  <c r="O4" i="5653"/>
  <c r="O3" i="5653"/>
  <c r="O2" i="5653"/>
  <c r="O20" i="5645"/>
  <c r="O18" i="5645"/>
  <c r="H2" i="5653" l="1"/>
  <c r="B23" i="5653"/>
  <c r="H34" i="5653"/>
  <c r="H23" i="5653"/>
  <c r="H33" i="5653"/>
  <c r="H20" i="5653"/>
  <c r="H14" i="5653"/>
  <c r="H42" i="5653"/>
  <c r="H41" i="5653"/>
  <c r="H10" i="5653"/>
  <c r="H27" i="5653"/>
  <c r="H12" i="5653"/>
  <c r="H46" i="5653"/>
  <c r="H6" i="5653"/>
  <c r="H29" i="5653"/>
  <c r="H17" i="5653"/>
  <c r="H13" i="5653"/>
  <c r="H49" i="5653"/>
  <c r="H45" i="5653"/>
  <c r="H4" i="5653"/>
  <c r="C18" i="5653"/>
  <c r="H3" i="5653"/>
  <c r="H15" i="5653"/>
  <c r="H31" i="5653"/>
  <c r="H21" i="5655"/>
  <c r="H27" i="5655"/>
  <c r="H8" i="5655"/>
  <c r="H15" i="5655"/>
  <c r="H2" i="5655"/>
  <c r="H6" i="5655"/>
  <c r="H3" i="5655"/>
  <c r="H16" i="5655"/>
  <c r="H6" i="5657"/>
  <c r="B23" i="5657"/>
  <c r="H32" i="5657"/>
  <c r="H12" i="5657"/>
  <c r="H21" i="5657"/>
  <c r="H9" i="5657"/>
  <c r="H3" i="5657"/>
  <c r="H16" i="5657"/>
  <c r="H36" i="5657"/>
  <c r="H37" i="5657"/>
  <c r="H4" i="5657"/>
  <c r="H7" i="5657"/>
  <c r="H40" i="5657"/>
  <c r="H44" i="5657"/>
  <c r="H5" i="5657"/>
  <c r="H11" i="5657"/>
  <c r="H14" i="5657"/>
  <c r="H18" i="5657"/>
  <c r="H45" i="5657"/>
  <c r="H23" i="5657"/>
  <c r="H13" i="5657"/>
  <c r="C18" i="5657"/>
  <c r="H2" i="5657"/>
  <c r="H8" i="5657"/>
  <c r="C19" i="5657"/>
  <c r="H28" i="5657"/>
  <c r="H48" i="5657"/>
  <c r="H10" i="5657"/>
  <c r="C17" i="5657"/>
  <c r="H25" i="5657"/>
  <c r="H15" i="5657"/>
  <c r="H29" i="5657"/>
  <c r="H52" i="5657"/>
  <c r="H30" i="5657"/>
  <c r="H38" i="5657"/>
  <c r="H46" i="5657"/>
  <c r="H19" i="5657"/>
  <c r="H24" i="5657"/>
  <c r="H31" i="5657"/>
  <c r="H39" i="5657"/>
  <c r="H47" i="5657"/>
  <c r="H20" i="5657"/>
  <c r="H26" i="5657"/>
  <c r="H33" i="5657"/>
  <c r="H41" i="5657"/>
  <c r="H49" i="5657"/>
  <c r="H34" i="5657"/>
  <c r="H42" i="5657"/>
  <c r="H50" i="5657"/>
  <c r="H17" i="5657"/>
  <c r="H22" i="5657"/>
  <c r="H27" i="5657"/>
  <c r="H35" i="5657"/>
  <c r="H43" i="5657"/>
  <c r="H12" i="5655"/>
  <c r="H28" i="5655"/>
  <c r="H32" i="5655"/>
  <c r="C19" i="5655"/>
  <c r="H9" i="5655"/>
  <c r="H19" i="5655"/>
  <c r="H48" i="5655"/>
  <c r="H36" i="5655"/>
  <c r="H39" i="5655"/>
  <c r="H43" i="5655"/>
  <c r="H4" i="5655"/>
  <c r="H10" i="5655"/>
  <c r="H7" i="5655"/>
  <c r="H13" i="5655"/>
  <c r="C17" i="5655"/>
  <c r="H24" i="5655"/>
  <c r="H40" i="5655"/>
  <c r="H17" i="5655"/>
  <c r="H25" i="5655"/>
  <c r="H5" i="5655"/>
  <c r="H11" i="5655"/>
  <c r="H14" i="5655"/>
  <c r="C18" i="5655"/>
  <c r="H44" i="5655"/>
  <c r="H51" i="5655"/>
  <c r="B23" i="5655"/>
  <c r="H35" i="5655"/>
  <c r="H52" i="5655"/>
  <c r="H22" i="5655"/>
  <c r="H31" i="5655"/>
  <c r="H47" i="5655"/>
  <c r="H18" i="5655"/>
  <c r="H23" i="5655"/>
  <c r="H29" i="5655"/>
  <c r="H37" i="5655"/>
  <c r="H45" i="5655"/>
  <c r="H30" i="5655"/>
  <c r="H38" i="5655"/>
  <c r="H46" i="5655"/>
  <c r="H20" i="5655"/>
  <c r="H26" i="5655"/>
  <c r="H33" i="5655"/>
  <c r="H41" i="5655"/>
  <c r="H49" i="5655"/>
  <c r="H34" i="5655"/>
  <c r="H42" i="5655"/>
  <c r="H50" i="5653"/>
  <c r="H37" i="5653"/>
  <c r="H5" i="5653"/>
  <c r="H21" i="5653"/>
  <c r="H9" i="5653"/>
  <c r="H7" i="5653"/>
  <c r="C17" i="5653"/>
  <c r="H16" i="5653"/>
  <c r="H38" i="5653"/>
  <c r="H52" i="5653"/>
  <c r="H25" i="5653"/>
  <c r="H28" i="5653"/>
  <c r="H18" i="5653"/>
  <c r="H39" i="5653"/>
  <c r="H47" i="5653"/>
  <c r="H24" i="5653"/>
  <c r="C19" i="5653"/>
  <c r="H32" i="5653"/>
  <c r="H40" i="5653"/>
  <c r="H48" i="5653"/>
  <c r="H26" i="5653"/>
  <c r="H30" i="5653"/>
  <c r="H35" i="5653"/>
  <c r="H43" i="5653"/>
  <c r="H51" i="5653"/>
  <c r="H8" i="5653"/>
  <c r="H22" i="5653"/>
  <c r="H11" i="5653"/>
  <c r="H36" i="5653"/>
  <c r="H44" i="5653"/>
  <c r="O21" i="5651" l="1"/>
  <c r="O20" i="5651"/>
  <c r="C27" i="5651"/>
  <c r="B24" i="5651"/>
  <c r="C20" i="5651"/>
  <c r="B17" i="5651"/>
  <c r="H52" i="5651" s="1"/>
  <c r="C16" i="5651"/>
  <c r="C15" i="5651"/>
  <c r="C14" i="5651"/>
  <c r="C13" i="5651"/>
  <c r="O12" i="5651"/>
  <c r="C12" i="5651"/>
  <c r="O11" i="5651"/>
  <c r="C11" i="5651"/>
  <c r="O10" i="5651"/>
  <c r="C10" i="5651"/>
  <c r="C9" i="5651"/>
  <c r="C8" i="5651"/>
  <c r="O7" i="5651"/>
  <c r="C7" i="5651"/>
  <c r="O6" i="5651"/>
  <c r="B6" i="5651"/>
  <c r="O5" i="5651"/>
  <c r="B5" i="5651"/>
  <c r="O4" i="5651"/>
  <c r="O3" i="5651"/>
  <c r="O2" i="5651"/>
  <c r="O19" i="5649"/>
  <c r="O18" i="5649"/>
  <c r="C27" i="5649"/>
  <c r="B24" i="5649"/>
  <c r="C20" i="5649"/>
  <c r="B17" i="5649"/>
  <c r="H16" i="5649" s="1"/>
  <c r="C16" i="5649"/>
  <c r="C15" i="5649"/>
  <c r="C14" i="5649"/>
  <c r="C13" i="5649"/>
  <c r="O12" i="5649"/>
  <c r="C12" i="5649"/>
  <c r="O11" i="5649"/>
  <c r="C11" i="5649"/>
  <c r="O10" i="5649"/>
  <c r="C10" i="5649"/>
  <c r="C9" i="5649"/>
  <c r="C8" i="5649"/>
  <c r="O7" i="5649"/>
  <c r="C7" i="5649"/>
  <c r="O6" i="5649"/>
  <c r="B6" i="5649"/>
  <c r="O5" i="5649"/>
  <c r="B5" i="5649"/>
  <c r="O4" i="5649"/>
  <c r="O3" i="5649"/>
  <c r="O2" i="5649"/>
  <c r="O19" i="5645"/>
  <c r="O16" i="5647"/>
  <c r="O17" i="5647"/>
  <c r="C27" i="5647"/>
  <c r="B24" i="5647"/>
  <c r="C20" i="5647"/>
  <c r="B17" i="5647"/>
  <c r="H50" i="5647" s="1"/>
  <c r="C16" i="5647"/>
  <c r="C15" i="5647"/>
  <c r="C14" i="5647"/>
  <c r="C13" i="5647"/>
  <c r="O12" i="5647"/>
  <c r="C12" i="5647"/>
  <c r="O11" i="5647"/>
  <c r="C11" i="5647"/>
  <c r="O10" i="5647"/>
  <c r="C10" i="5647"/>
  <c r="C9" i="5647"/>
  <c r="C8" i="5647"/>
  <c r="O7" i="5647"/>
  <c r="C7" i="5647"/>
  <c r="O6" i="5647"/>
  <c r="B6" i="5647"/>
  <c r="O5" i="5647"/>
  <c r="B5" i="5647"/>
  <c r="O4" i="5647"/>
  <c r="O3" i="5647"/>
  <c r="O2" i="5647"/>
  <c r="O21" i="5645"/>
  <c r="O22" i="5645"/>
  <c r="C27" i="5645"/>
  <c r="B24" i="5645"/>
  <c r="C20" i="5645"/>
  <c r="B17" i="5645"/>
  <c r="H52" i="5645" s="1"/>
  <c r="C16" i="5645"/>
  <c r="C15" i="5645"/>
  <c r="C14" i="5645"/>
  <c r="C13" i="5645"/>
  <c r="O12" i="5645"/>
  <c r="C12" i="5645"/>
  <c r="O11" i="5645"/>
  <c r="C11" i="5645"/>
  <c r="O10" i="5645"/>
  <c r="C10" i="5645"/>
  <c r="C9" i="5645"/>
  <c r="C8" i="5645"/>
  <c r="O7" i="5645"/>
  <c r="C7" i="5645"/>
  <c r="O6" i="5645"/>
  <c r="B6" i="5645"/>
  <c r="O5" i="5645"/>
  <c r="B5" i="5645"/>
  <c r="O4" i="5645"/>
  <c r="O3" i="5645"/>
  <c r="O2" i="5645"/>
  <c r="H8" i="5651" l="1"/>
  <c r="H15" i="5651"/>
  <c r="H21" i="5651"/>
  <c r="H29" i="5651"/>
  <c r="H30" i="5651"/>
  <c r="H19" i="5651"/>
  <c r="H34" i="5651"/>
  <c r="H2" i="5651"/>
  <c r="H35" i="5651"/>
  <c r="C17" i="5651"/>
  <c r="H3" i="5651"/>
  <c r="H24" i="5651"/>
  <c r="H38" i="5651"/>
  <c r="H12" i="5651"/>
  <c r="H6" i="5651"/>
  <c r="H37" i="5651"/>
  <c r="H13" i="5651"/>
  <c r="H18" i="5651"/>
  <c r="H42" i="5651"/>
  <c r="H23" i="5651"/>
  <c r="H9" i="5651"/>
  <c r="H17" i="5651"/>
  <c r="H10" i="5651"/>
  <c r="H4" i="5651"/>
  <c r="H7" i="5651"/>
  <c r="C19" i="5651"/>
  <c r="H27" i="5651"/>
  <c r="H45" i="5651"/>
  <c r="H46" i="5651"/>
  <c r="H22" i="5651"/>
  <c r="H31" i="5651"/>
  <c r="H50" i="5651"/>
  <c r="H39" i="5651"/>
  <c r="H47" i="5651"/>
  <c r="H16" i="5651"/>
  <c r="H25" i="5651"/>
  <c r="H32" i="5651"/>
  <c r="H40" i="5651"/>
  <c r="H48" i="5651"/>
  <c r="H20" i="5651"/>
  <c r="H26" i="5651"/>
  <c r="H33" i="5651"/>
  <c r="H41" i="5651"/>
  <c r="H49" i="5651"/>
  <c r="H43" i="5651"/>
  <c r="H51" i="5651"/>
  <c r="H5" i="5651"/>
  <c r="H11" i="5651"/>
  <c r="H14" i="5651"/>
  <c r="C18" i="5651"/>
  <c r="B23" i="5651"/>
  <c r="H28" i="5651"/>
  <c r="H36" i="5651"/>
  <c r="H44" i="5651"/>
  <c r="H19" i="5645"/>
  <c r="H28" i="5645"/>
  <c r="H21" i="5645"/>
  <c r="H11" i="5649"/>
  <c r="H29" i="5649"/>
  <c r="H18" i="5649"/>
  <c r="H27" i="5649"/>
  <c r="H34" i="5649"/>
  <c r="H7" i="5649"/>
  <c r="B23" i="5649"/>
  <c r="H2" i="5649"/>
  <c r="H14" i="5649"/>
  <c r="H35" i="5649"/>
  <c r="H20" i="5649"/>
  <c r="H41" i="5649"/>
  <c r="H12" i="5649"/>
  <c r="H42" i="5649"/>
  <c r="H46" i="5649"/>
  <c r="H45" i="5649"/>
  <c r="H49" i="5649"/>
  <c r="H33" i="5649"/>
  <c r="H4" i="5649"/>
  <c r="H30" i="5649"/>
  <c r="H3" i="5649"/>
  <c r="C18" i="5649"/>
  <c r="H8" i="5649"/>
  <c r="H21" i="5649"/>
  <c r="H24" i="5649"/>
  <c r="H50" i="5649"/>
  <c r="H37" i="5649"/>
  <c r="H5" i="5649"/>
  <c r="H10" i="5649"/>
  <c r="H6" i="5649"/>
  <c r="C17" i="5649"/>
  <c r="H15" i="5649"/>
  <c r="H38" i="5649"/>
  <c r="H52" i="5649"/>
  <c r="H31" i="5649"/>
  <c r="H22" i="5649"/>
  <c r="H25" i="5649"/>
  <c r="H39" i="5649"/>
  <c r="H47" i="5649"/>
  <c r="H17" i="5649"/>
  <c r="C19" i="5649"/>
  <c r="H19" i="5649"/>
  <c r="H40" i="5649"/>
  <c r="H48" i="5649"/>
  <c r="H32" i="5649"/>
  <c r="H23" i="5649"/>
  <c r="H26" i="5649"/>
  <c r="H43" i="5649"/>
  <c r="H51" i="5649"/>
  <c r="H9" i="5649"/>
  <c r="H28" i="5649"/>
  <c r="H13" i="5649"/>
  <c r="H36" i="5649"/>
  <c r="H44" i="5649"/>
  <c r="H15" i="5645"/>
  <c r="H10" i="5645"/>
  <c r="H2" i="5645"/>
  <c r="H13" i="5645"/>
  <c r="H25" i="5645"/>
  <c r="H16" i="5645"/>
  <c r="H12" i="5645"/>
  <c r="H6" i="5645"/>
  <c r="H11" i="5647"/>
  <c r="H12" i="5647"/>
  <c r="H35" i="5647"/>
  <c r="H2" i="5647"/>
  <c r="H28" i="5647"/>
  <c r="H6" i="5647"/>
  <c r="H8" i="5647"/>
  <c r="H22" i="5647"/>
  <c r="H36" i="5647"/>
  <c r="H44" i="5647"/>
  <c r="H19" i="5647"/>
  <c r="H13" i="5647"/>
  <c r="H45" i="5647"/>
  <c r="H47" i="5647"/>
  <c r="H37" i="5647"/>
  <c r="H26" i="5647"/>
  <c r="H48" i="5647"/>
  <c r="B23" i="5647"/>
  <c r="H20" i="5647"/>
  <c r="H29" i="5647"/>
  <c r="H39" i="5647"/>
  <c r="H18" i="5647"/>
  <c r="H27" i="5647"/>
  <c r="H51" i="5647"/>
  <c r="H3" i="5647"/>
  <c r="C17" i="5647"/>
  <c r="H23" i="5647"/>
  <c r="H49" i="5647"/>
  <c r="H31" i="5647"/>
  <c r="H5" i="5647"/>
  <c r="H32" i="5647"/>
  <c r="H41" i="5647"/>
  <c r="H4" i="5647"/>
  <c r="H14" i="5647"/>
  <c r="H7" i="5647"/>
  <c r="H38" i="5647"/>
  <c r="H30" i="5647"/>
  <c r="H9" i="5647"/>
  <c r="H21" i="5647"/>
  <c r="C18" i="5647"/>
  <c r="H40" i="5647"/>
  <c r="H10" i="5647"/>
  <c r="H24" i="5647"/>
  <c r="H15" i="5647"/>
  <c r="C19" i="5647"/>
  <c r="H16" i="5647"/>
  <c r="H33" i="5647"/>
  <c r="H43" i="5647"/>
  <c r="H52" i="5647"/>
  <c r="H46" i="5647"/>
  <c r="H25" i="5647"/>
  <c r="H17" i="5647"/>
  <c r="H34" i="5647"/>
  <c r="H42" i="5647"/>
  <c r="H36" i="5645"/>
  <c r="H9" i="5645"/>
  <c r="H40" i="5645"/>
  <c r="H3" i="5645"/>
  <c r="H37" i="5645"/>
  <c r="H26" i="5645"/>
  <c r="H38" i="5645"/>
  <c r="H14" i="5645"/>
  <c r="H41" i="5645"/>
  <c r="B23" i="5645"/>
  <c r="C17" i="5645"/>
  <c r="H17" i="5645"/>
  <c r="H7" i="5645"/>
  <c r="H30" i="5645"/>
  <c r="H31" i="5645"/>
  <c r="C18" i="5645"/>
  <c r="H4" i="5645"/>
  <c r="H11" i="5645"/>
  <c r="C19" i="5645"/>
  <c r="H8" i="5645"/>
  <c r="H44" i="5645"/>
  <c r="H45" i="5645"/>
  <c r="H23" i="5645"/>
  <c r="H34" i="5645"/>
  <c r="H46" i="5645"/>
  <c r="H32" i="5645"/>
  <c r="H22" i="5645"/>
  <c r="H18" i="5645"/>
  <c r="H39" i="5645"/>
  <c r="H47" i="5645"/>
  <c r="H48" i="5645"/>
  <c r="H49" i="5645"/>
  <c r="H27" i="5645"/>
  <c r="H35" i="5645"/>
  <c r="H42" i="5645"/>
  <c r="H50" i="5645"/>
  <c r="H33" i="5645"/>
  <c r="H24" i="5645"/>
  <c r="H29" i="5645"/>
  <c r="H43" i="5645"/>
  <c r="H51" i="5645"/>
  <c r="H20" i="5645"/>
  <c r="H5" i="564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<sst xmlns="http://schemas.openxmlformats.org/spreadsheetml/2006/main" count="2431" uniqueCount="209">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</sst>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全体!$K$2:$K$167</c:f>
              <c:numCache>
                <c:formatCode>General</c:formatCode>
                <c:ptCount val="1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</c:numCache>
            </c:numRef>
          </c:xVal>
          <c:yVal>
            <c:numRef>
              <c:f>全体!$L$2:$L$167</c:f>
              <c:numCache>
                <c:formatCode>\+0.0;\-0.0;\±0</c:formatCode>
                <c:ptCount val="16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79-42D2-A1D5-70C2F327D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-24.242424242424242</c:v>
                </c:pt>
                <c:pt idx="1">
                  <c:v>18.867924528301888</c:v>
                </c:pt>
                <c:pt idx="2">
                  <c:v>-25.641025641025642</c:v>
                </c:pt>
                <c:pt idx="3">
                  <c:v>20.408163265306122</c:v>
                </c:pt>
                <c:pt idx="4">
                  <c:v>15.151515151515152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238-95E8-66FB12BD3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37-429F-A33C-D0C6048B3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-1335.2941176470588</c:v>
                </c:pt>
                <c:pt idx="1">
                  <c:v>235.29411764705881</c:v>
                </c:pt>
                <c:pt idx="2">
                  <c:v>1029.4117647058824</c:v>
                </c:pt>
                <c:pt idx="3">
                  <c:v>-418.75</c:v>
                </c:pt>
                <c:pt idx="4">
                  <c:v>-1762.5</c:v>
                </c:pt>
                <c:pt idx="5">
                  <c:v>-2615.3846153846152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C1-4ECD-AF1B-6EDD18BF2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だいち!$L$2:$L$38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69-448F-AE20-D969CC98F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-530.55555555555554</c:v>
                </c:pt>
                <c:pt idx="1">
                  <c:v>-1764.7058823529412</c:v>
                </c:pt>
                <c:pt idx="2">
                  <c:v>35.294117647058826</c:v>
                </c:pt>
                <c:pt idx="3">
                  <c:v>-618.75</c:v>
                </c:pt>
                <c:pt idx="4">
                  <c:v>5450</c:v>
                </c:pt>
                <c:pt idx="5">
                  <c:v>6343.478260869565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7-4F33-BF56-76650E571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5-4A6F-AC7F-579504125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839.47368421052636</c:v>
                </c:pt>
                <c:pt idx="1">
                  <c:v>766.66666666666663</c:v>
                </c:pt>
                <c:pt idx="2">
                  <c:v>2611.4285714285716</c:v>
                </c:pt>
                <c:pt idx="3">
                  <c:v>2679.4117647058824</c:v>
                </c:pt>
                <c:pt idx="4">
                  <c:v>-3151.6129032258063</c:v>
                </c:pt>
                <c:pt idx="5">
                  <c:v>-1920.8333333333333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C-4876-AF24-A4330C9A6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2D-458A-B2C9-634AD21FF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885</c:v>
                </c:pt>
                <c:pt idx="1">
                  <c:v>-36.842105263157897</c:v>
                </c:pt>
                <c:pt idx="2">
                  <c:v>1357.8947368421052</c:v>
                </c:pt>
                <c:pt idx="3">
                  <c:v>-2188.8888888888887</c:v>
                </c:pt>
                <c:pt idx="4">
                  <c:v>-5141.1764705882351</c:v>
                </c:pt>
                <c:pt idx="5">
                  <c:v>-1640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0-43B0-8A69-EBE52EB04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5C-4DA4-9427-EF145FB2C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857.14285714285711</c:v>
                </c:pt>
                <c:pt idx="1">
                  <c:v>-1961.5384615384614</c:v>
                </c:pt>
                <c:pt idx="2">
                  <c:v>-3841.6666666666665</c:v>
                </c:pt>
                <c:pt idx="3">
                  <c:v>3918.181818181818</c:v>
                </c:pt>
                <c:pt idx="4">
                  <c:v>1977.7777777777778</c:v>
                </c:pt>
                <c:pt idx="5">
                  <c:v>-11300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B0-4501-B12D-6FB2B2650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BC-4082-91EE-65B5DC9A7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647.05882352941171</c:v>
                </c:pt>
                <c:pt idx="1">
                  <c:v>35.294117647058826</c:v>
                </c:pt>
                <c:pt idx="2">
                  <c:v>-2631.25</c:v>
                </c:pt>
                <c:pt idx="3">
                  <c:v>2314.2857142857142</c:v>
                </c:pt>
                <c:pt idx="4">
                  <c:v>-4910</c:v>
                </c:pt>
                <c:pt idx="5">
                  <c:v>3425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9-4F04-8A17-199438044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19-4A6C-8AF0-46CC533D7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-3912.5</c:v>
                </c:pt>
                <c:pt idx="1">
                  <c:v>-975</c:v>
                </c:pt>
                <c:pt idx="2">
                  <c:v>-1987.5</c:v>
                </c:pt>
                <c:pt idx="3">
                  <c:v>-6414.2857142857147</c:v>
                </c:pt>
                <c:pt idx="4">
                  <c:v>-283.33333333333331</c:v>
                </c:pt>
                <c:pt idx="5">
                  <c:v>-2750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5-49D8-A5C7-482F10D43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BC-4A47-AD67-DC7386132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F8-44F1-A147-62AA71B62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E0-4277-964F-F11AC9924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-750</c:v>
                </c:pt>
                <c:pt idx="1">
                  <c:v>3025</c:v>
                </c:pt>
                <c:pt idx="2">
                  <c:v>-10100</c:v>
                </c:pt>
                <c:pt idx="3">
                  <c:v>-4000</c:v>
                </c:pt>
                <c:pt idx="4">
                  <c:v>7200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04-445D-A635-600CE2CA1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りくと2!$B$3:$B$23</c:f>
              <c:numCache>
                <c:formatCode>\+0.0;\-0.0;\±0</c:formatCode>
                <c:ptCount val="2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りくと2!$C$3:$C$23</c:f>
              <c:numCache>
                <c:formatCode>\+0.0;\-0.0;\±0</c:formatCode>
                <c:ptCount val="21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  <c:pt idx="4">
                  <c:v>-13.724999999999998</c:v>
                </c:pt>
                <c:pt idx="5">
                  <c:v>-6.7399999999999975</c:v>
                </c:pt>
                <c:pt idx="6">
                  <c:v>-9.5666666666666647</c:v>
                </c:pt>
                <c:pt idx="7">
                  <c:v>-5.6428571428571415</c:v>
                </c:pt>
                <c:pt idx="8">
                  <c:v>-7.8749999999999991</c:v>
                </c:pt>
                <c:pt idx="9">
                  <c:v>-8.2444444444444436</c:v>
                </c:pt>
                <c:pt idx="10">
                  <c:v>-11.719999999999999</c:v>
                </c:pt>
                <c:pt idx="11">
                  <c:v>-16.118181818181817</c:v>
                </c:pt>
                <c:pt idx="12">
                  <c:v>-13.216666666666667</c:v>
                </c:pt>
                <c:pt idx="13">
                  <c:v>-15.946153846153846</c:v>
                </c:pt>
                <c:pt idx="14">
                  <c:v>-14.62857142857143</c:v>
                </c:pt>
                <c:pt idx="15">
                  <c:v>-14.766666666666667</c:v>
                </c:pt>
                <c:pt idx="16">
                  <c:v>-14.018750000000001</c:v>
                </c:pt>
                <c:pt idx="17">
                  <c:v>-14.788235294117648</c:v>
                </c:pt>
                <c:pt idx="18">
                  <c:v>-13.333333333333334</c:v>
                </c:pt>
                <c:pt idx="19">
                  <c:v>-11.473684210526315</c:v>
                </c:pt>
                <c:pt idx="20">
                  <c:v>-8.879999999999999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5315980533363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りくと2!$D$3:$D$23</c:f>
              <c:numCache>
                <c:formatCode>0.00\ "位"</c:formatCode>
                <c:ptCount val="21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2.4375</c:v>
                </c:pt>
                <c:pt idx="17">
                  <c:v>2.4705882352941178</c:v>
                </c:pt>
                <c:pt idx="18">
                  <c:v>2.4444444444444446</c:v>
                </c:pt>
                <c:pt idx="19">
                  <c:v>2.3684210526315788</c:v>
                </c:pt>
                <c:pt idx="20">
                  <c:v>2.2999999999999998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りくと2!$E$3:$E$23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りくと2!$F$3:$F$23</c:f>
              <c:numCache>
                <c:formatCode>0.0%</c:formatCode>
                <c:ptCount val="2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0.52941176470588236</c:v>
                </c:pt>
                <c:pt idx="18">
                  <c:v>0.5</c:v>
                </c:pt>
                <c:pt idx="19">
                  <c:v>0.47368421052631576</c:v>
                </c:pt>
                <c:pt idx="2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りくと2!$G$3:$G$23</c:f>
              <c:numCache>
                <c:formatCode>0.0%</c:formatCode>
                <c:ptCount val="21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  <c:pt idx="4">
                  <c:v>0.28205128205128205</c:v>
                </c:pt>
                <c:pt idx="5">
                  <c:v>0.30612244897959184</c:v>
                </c:pt>
                <c:pt idx="6">
                  <c:v>0.2982456140350877</c:v>
                </c:pt>
                <c:pt idx="7">
                  <c:v>0.29850746268656714</c:v>
                </c:pt>
                <c:pt idx="8">
                  <c:v>0.26315789473684209</c:v>
                </c:pt>
                <c:pt idx="9">
                  <c:v>0.27058823529411763</c:v>
                </c:pt>
                <c:pt idx="10">
                  <c:v>0.23958333333333334</c:v>
                </c:pt>
                <c:pt idx="11">
                  <c:v>0.23</c:v>
                </c:pt>
                <c:pt idx="12">
                  <c:v>0.23636363636363636</c:v>
                </c:pt>
                <c:pt idx="13">
                  <c:v>0.23529411764705882</c:v>
                </c:pt>
                <c:pt idx="14">
                  <c:v>0.2421875</c:v>
                </c:pt>
                <c:pt idx="15">
                  <c:v>0.25362318840579712</c:v>
                </c:pt>
                <c:pt idx="16">
                  <c:v>0.26666666666666666</c:v>
                </c:pt>
                <c:pt idx="17">
                  <c:v>0.25477707006369427</c:v>
                </c:pt>
                <c:pt idx="18">
                  <c:v>0.26347305389221559</c:v>
                </c:pt>
                <c:pt idx="19">
                  <c:v>0.2768361581920904</c:v>
                </c:pt>
                <c:pt idx="20">
                  <c:v>0.28176795580110497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495198902606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りくと2!$H$3:$H$23</c:f>
              <c:numCache>
                <c:formatCode>0.0%</c:formatCode>
                <c:ptCount val="21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  <c:pt idx="4">
                  <c:v>0.20512820512820512</c:v>
                </c:pt>
                <c:pt idx="5">
                  <c:v>0.22448979591836735</c:v>
                </c:pt>
                <c:pt idx="6">
                  <c:v>0.22807017543859648</c:v>
                </c:pt>
                <c:pt idx="7">
                  <c:v>0.20895522388059701</c:v>
                </c:pt>
                <c:pt idx="8">
                  <c:v>0.21052631578947367</c:v>
                </c:pt>
                <c:pt idx="9">
                  <c:v>0.21176470588235294</c:v>
                </c:pt>
                <c:pt idx="10">
                  <c:v>0.22916666666666666</c:v>
                </c:pt>
                <c:pt idx="11">
                  <c:v>0.25</c:v>
                </c:pt>
                <c:pt idx="12">
                  <c:v>0.23636363636363636</c:v>
                </c:pt>
                <c:pt idx="13">
                  <c:v>0.24369747899159663</c:v>
                </c:pt>
                <c:pt idx="14">
                  <c:v>0.25</c:v>
                </c:pt>
                <c:pt idx="15">
                  <c:v>0.24637681159420291</c:v>
                </c:pt>
                <c:pt idx="16">
                  <c:v>0.23333333333333334</c:v>
                </c:pt>
                <c:pt idx="17">
                  <c:v>0.24203821656050956</c:v>
                </c:pt>
                <c:pt idx="18">
                  <c:v>0.22754491017964071</c:v>
                </c:pt>
                <c:pt idx="19">
                  <c:v>0.22033898305084745</c:v>
                </c:pt>
                <c:pt idx="20">
                  <c:v>0.21546961325966851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146776406035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りくと2!$I$3:$I$23</c:f>
              <c:numCache>
                <c:formatCode>0</c:formatCode>
                <c:ptCount val="21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  <c:pt idx="4">
                  <c:v>5290.909090909091</c:v>
                </c:pt>
                <c:pt idx="5">
                  <c:v>6226.666666666667</c:v>
                </c:pt>
                <c:pt idx="6">
                  <c:v>6670.588235294118</c:v>
                </c:pt>
                <c:pt idx="7">
                  <c:v>7750</c:v>
                </c:pt>
                <c:pt idx="8">
                  <c:v>7750</c:v>
                </c:pt>
                <c:pt idx="9">
                  <c:v>7686.95652173913</c:v>
                </c:pt>
                <c:pt idx="10">
                  <c:v>7686.95652173913</c:v>
                </c:pt>
                <c:pt idx="11">
                  <c:v>7686.95652173913</c:v>
                </c:pt>
                <c:pt idx="12">
                  <c:v>7769.2307692307695</c:v>
                </c:pt>
                <c:pt idx="13">
                  <c:v>7928.5714285714284</c:v>
                </c:pt>
                <c:pt idx="14">
                  <c:v>8000</c:v>
                </c:pt>
                <c:pt idx="15">
                  <c:v>7902.8571428571431</c:v>
                </c:pt>
                <c:pt idx="16">
                  <c:v>7385</c:v>
                </c:pt>
                <c:pt idx="17">
                  <c:v>7385</c:v>
                </c:pt>
                <c:pt idx="18">
                  <c:v>7393.181818181818</c:v>
                </c:pt>
                <c:pt idx="19">
                  <c:v>7220.408163265306</c:v>
                </c:pt>
                <c:pt idx="20">
                  <c:v>7464.7058823529414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46.35294117647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りくと2!$J$3:$J$23</c:f>
              <c:numCache>
                <c:formatCode>0</c:formatCode>
                <c:ptCount val="21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  <c:pt idx="4">
                  <c:v>-10275</c:v>
                </c:pt>
                <c:pt idx="5">
                  <c:v>-8127.272727272727</c:v>
                </c:pt>
                <c:pt idx="6">
                  <c:v>-8392.3076923076915</c:v>
                </c:pt>
                <c:pt idx="7">
                  <c:v>-8071.4285714285716</c:v>
                </c:pt>
                <c:pt idx="8">
                  <c:v>-7625</c:v>
                </c:pt>
                <c:pt idx="9">
                  <c:v>-7872.2222222222226</c:v>
                </c:pt>
                <c:pt idx="10">
                  <c:v>-7695.454545454545</c:v>
                </c:pt>
                <c:pt idx="11">
                  <c:v>-8256</c:v>
                </c:pt>
                <c:pt idx="12">
                  <c:v>-8015.3846153846152</c:v>
                </c:pt>
                <c:pt idx="13">
                  <c:v>-8551.7241379310344</c:v>
                </c:pt>
                <c:pt idx="14">
                  <c:v>-8203.125</c:v>
                </c:pt>
                <c:pt idx="15">
                  <c:v>-8285.2941176470595</c:v>
                </c:pt>
                <c:pt idx="16">
                  <c:v>-8214.2857142857138</c:v>
                </c:pt>
                <c:pt idx="17">
                  <c:v>-7931.5789473684208</c:v>
                </c:pt>
                <c:pt idx="18">
                  <c:v>-7931.5789473684208</c:v>
                </c:pt>
                <c:pt idx="19">
                  <c:v>-7933.333333333333</c:v>
                </c:pt>
                <c:pt idx="20">
                  <c:v>-7933.333333333333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りくと2!$K$3:$K$23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21212121212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りくと2!$L$3:$L$23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21212121212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りくと2!$M$3:$M$23</c:f>
              <c:numCache>
                <c:formatCode>0.0%</c:formatCode>
                <c:ptCount val="21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  <c:pt idx="4">
                  <c:v>0.25641025641025639</c:v>
                </c:pt>
                <c:pt idx="5">
                  <c:v>0.26530612244897961</c:v>
                </c:pt>
                <c:pt idx="6">
                  <c:v>0.2807017543859649</c:v>
                </c:pt>
                <c:pt idx="7">
                  <c:v>0.26865671641791045</c:v>
                </c:pt>
                <c:pt idx="8">
                  <c:v>0.25</c:v>
                </c:pt>
                <c:pt idx="9">
                  <c:v>0.24705882352941178</c:v>
                </c:pt>
                <c:pt idx="10">
                  <c:v>0.23958333333333334</c:v>
                </c:pt>
                <c:pt idx="11">
                  <c:v>0.24</c:v>
                </c:pt>
                <c:pt idx="12">
                  <c:v>0.24545454545454545</c:v>
                </c:pt>
                <c:pt idx="13">
                  <c:v>0.26050420168067229</c:v>
                </c:pt>
                <c:pt idx="14">
                  <c:v>0.25</c:v>
                </c:pt>
                <c:pt idx="15">
                  <c:v>0.25362318840579712</c:v>
                </c:pt>
                <c:pt idx="16">
                  <c:v>0.25333333333333335</c:v>
                </c:pt>
                <c:pt idx="17">
                  <c:v>0.24203821656050956</c:v>
                </c:pt>
                <c:pt idx="18">
                  <c:v>0.25149700598802394</c:v>
                </c:pt>
                <c:pt idx="19">
                  <c:v>0.24858757062146894</c:v>
                </c:pt>
                <c:pt idx="20">
                  <c:v>0.24861878453038674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7311385459533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りくと2!$N$3:$N$23</c:f>
              <c:numCache>
                <c:formatCode>0.0%</c:formatCode>
                <c:ptCount val="21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  <c:pt idx="4">
                  <c:v>0.23076923076923078</c:v>
                </c:pt>
                <c:pt idx="5">
                  <c:v>0.20408163265306123</c:v>
                </c:pt>
                <c:pt idx="6">
                  <c:v>0.21052631578947367</c:v>
                </c:pt>
                <c:pt idx="7">
                  <c:v>0.19402985074626866</c:v>
                </c:pt>
                <c:pt idx="8">
                  <c:v>0.19736842105263158</c:v>
                </c:pt>
                <c:pt idx="9">
                  <c:v>0.17647058823529413</c:v>
                </c:pt>
                <c:pt idx="10">
                  <c:v>0.15625</c:v>
                </c:pt>
                <c:pt idx="11">
                  <c:v>0.15</c:v>
                </c:pt>
                <c:pt idx="12">
                  <c:v>0.15454545454545454</c:v>
                </c:pt>
                <c:pt idx="13">
                  <c:v>0.15966386554621848</c:v>
                </c:pt>
                <c:pt idx="14">
                  <c:v>0.171875</c:v>
                </c:pt>
                <c:pt idx="15">
                  <c:v>0.18840579710144928</c:v>
                </c:pt>
                <c:pt idx="16">
                  <c:v>0.19333333333333333</c:v>
                </c:pt>
                <c:pt idx="17">
                  <c:v>0.18471337579617833</c:v>
                </c:pt>
                <c:pt idx="18">
                  <c:v>0.19161676646706588</c:v>
                </c:pt>
                <c:pt idx="19">
                  <c:v>0.19774011299435029</c:v>
                </c:pt>
                <c:pt idx="20">
                  <c:v>0.20441988950276244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8285322359396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りくと2!$O$3:$O$23</c:f>
              <c:numCache>
                <c:formatCode>0.0%</c:formatCode>
                <c:ptCount val="21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  <c:pt idx="7">
                  <c:v>0.66666666666666663</c:v>
                </c:pt>
                <c:pt idx="8">
                  <c:v>0.63157894736842102</c:v>
                </c:pt>
                <c:pt idx="9">
                  <c:v>0.61904761904761907</c:v>
                </c:pt>
                <c:pt idx="10">
                  <c:v>0.56521739130434778</c:v>
                </c:pt>
                <c:pt idx="11">
                  <c:v>0.54166666666666663</c:v>
                </c:pt>
                <c:pt idx="12">
                  <c:v>0.59259259259259256</c:v>
                </c:pt>
                <c:pt idx="13">
                  <c:v>0.58064516129032262</c:v>
                </c:pt>
                <c:pt idx="14">
                  <c:v>0.59375</c:v>
                </c:pt>
                <c:pt idx="15">
                  <c:v>0.6</c:v>
                </c:pt>
                <c:pt idx="16">
                  <c:v>0.60526315789473684</c:v>
                </c:pt>
                <c:pt idx="17">
                  <c:v>0.60526315789473684</c:v>
                </c:pt>
                <c:pt idx="18">
                  <c:v>0.59523809523809523</c:v>
                </c:pt>
                <c:pt idx="19">
                  <c:v>0.59090909090909094</c:v>
                </c:pt>
                <c:pt idx="20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242774566473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りくと2!$P$3:$P$23</c:f>
              <c:numCache>
                <c:formatCode>0.0%</c:formatCode>
                <c:ptCount val="21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  <c:pt idx="4">
                  <c:v>0.1111111111111111</c:v>
                </c:pt>
                <c:pt idx="5">
                  <c:v>0.2</c:v>
                </c:pt>
                <c:pt idx="6">
                  <c:v>0.25</c:v>
                </c:pt>
                <c:pt idx="7">
                  <c:v>0.23076923076923078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0.17647058823529413</c:v>
                </c:pt>
                <c:pt idx="13">
                  <c:v>0.15789473684210525</c:v>
                </c:pt>
                <c:pt idx="14">
                  <c:v>0.22727272727272727</c:v>
                </c:pt>
                <c:pt idx="15">
                  <c:v>0.26923076923076922</c:v>
                </c:pt>
                <c:pt idx="16">
                  <c:v>0.31034482758620691</c:v>
                </c:pt>
                <c:pt idx="17">
                  <c:v>0.31034482758620691</c:v>
                </c:pt>
                <c:pt idx="18">
                  <c:v>0.34375</c:v>
                </c:pt>
                <c:pt idx="19">
                  <c:v>0.4</c:v>
                </c:pt>
                <c:pt idx="20">
                  <c:v>0.40540540540540543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54143646408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りくと2!$Q$1:$Q$2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りくと2!$Q$3:$Q$23</c:f>
              <c:numCache>
                <c:formatCode>0.0%</c:formatCode>
                <c:ptCount val="21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  <c:pt idx="4">
                  <c:v>0.18181818181818182</c:v>
                </c:pt>
                <c:pt idx="5">
                  <c:v>0.26666666666666666</c:v>
                </c:pt>
                <c:pt idx="6">
                  <c:v>0.23529411764705882</c:v>
                </c:pt>
                <c:pt idx="7">
                  <c:v>0.3</c:v>
                </c:pt>
                <c:pt idx="8">
                  <c:v>0.3</c:v>
                </c:pt>
                <c:pt idx="9">
                  <c:v>0.34782608695652173</c:v>
                </c:pt>
                <c:pt idx="10">
                  <c:v>0.34782608695652173</c:v>
                </c:pt>
                <c:pt idx="11">
                  <c:v>0.34782608695652173</c:v>
                </c:pt>
                <c:pt idx="12">
                  <c:v>0.34615384615384615</c:v>
                </c:pt>
                <c:pt idx="13">
                  <c:v>0.32142857142857145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0.375</c:v>
                </c:pt>
                <c:pt idx="17">
                  <c:v>0.375</c:v>
                </c:pt>
                <c:pt idx="18">
                  <c:v>0.38636363636363635</c:v>
                </c:pt>
                <c:pt idx="19">
                  <c:v>0.36734693877551022</c:v>
                </c:pt>
                <c:pt idx="20">
                  <c:v>0.35294117647058826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9411764705882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0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43737.532500000001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43737.532500000001</v>
      </c>
      <c r="C3" s="30" t="s">
        <v>129</v>
      </c>
    </row>
    <row r="4" spans="1:12" x14ac:dyDescent="0.4">
      <c r="A4" s="30" t="s">
        <v>181</v>
      </c>
      <c r="B4" s="31">
        <v>43737.532500000001</v>
      </c>
      <c r="C4" s="30" t="s">
        <v>129</v>
      </c>
    </row>
    <row r="5" spans="1:12" x14ac:dyDescent="0.4">
      <c r="A5" s="30" t="s">
        <v>184</v>
      </c>
      <c r="B5" s="31">
        <v>43737.532500000001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43737.532500000001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43738.564340277779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43740.96733796296</v>
      </c>
      <c r="C8" s="30" t="s">
        <v>129</v>
      </c>
    </row>
    <row r="9" spans="1:12" x14ac:dyDescent="0.4">
      <c r="A9" s="30" t="s">
        <v>195</v>
      </c>
      <c r="B9" s="31">
        <v>43739.43246527778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43742.036736111113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43741.028969907406</v>
      </c>
      <c r="C11" s="30" t="s">
        <v>129</v>
      </c>
    </row>
    <row r="12" spans="1:12" x14ac:dyDescent="0.4">
      <c r="A12" s="30" t="s">
        <v>200</v>
      </c>
      <c r="B12" s="31">
        <v>43742.037129629629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43742.036944444444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43745.536574074074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43745.374525462961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43745.536574074074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4" x14ac:dyDescent="0.4">
      <c r="A17" s="30" t="s">
        <v>205</v>
      </c>
      <c r="B17" s="31">
        <v>43745.536574074074</v>
      </c>
      <c r="C17" s="30" t="s">
        <v>129</v>
      </c>
      <c r="D17" s="30" t="s">
        <v>130</v>
      </c>
    </row>
    <row r="18" spans="1:4" x14ac:dyDescent="0.4">
      <c r="A18" s="30" t="s">
        <v>206</v>
      </c>
      <c r="B18" s="31">
        <v>43745.374525462961</v>
      </c>
      <c r="C18" s="30" t="s">
        <v>129</v>
      </c>
    </row>
    <row r="19" spans="1:4" x14ac:dyDescent="0.4">
      <c r="A19" s="30" t="s">
        <v>207</v>
      </c>
      <c r="B19" s="31">
        <v>43745.990891203706</v>
      </c>
      <c r="C19" s="30" t="s">
        <v>129</v>
      </c>
    </row>
    <row r="20" spans="1:4" x14ac:dyDescent="0.4">
      <c r="A20" s="30" t="s">
        <v>208</v>
      </c>
      <c r="B20" s="31">
        <v>43747.006689814814</v>
      </c>
      <c r="C20" s="30" t="s">
        <v>129</v>
      </c>
      <c r="D20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165</v>
      </c>
    </row>
    <row r="2" spans="1:2" x14ac:dyDescent="0.4">
      <c r="A2" t="s">
        <v>167</v>
      </c>
      <c r="B2">
        <v>17</v>
      </c>
    </row>
    <row r="3" spans="1:2" x14ac:dyDescent="0.4">
      <c r="A3" t="s">
        <v>127</v>
      </c>
      <c r="B3">
        <v>36</v>
      </c>
    </row>
    <row r="4" spans="1:2" x14ac:dyDescent="0.4">
      <c r="A4" t="s">
        <v>128</v>
      </c>
      <c r="B4">
        <v>38</v>
      </c>
    </row>
    <row r="5" spans="1:2" x14ac:dyDescent="0.4">
      <c r="A5" t="s">
        <v>180</v>
      </c>
      <c r="B5">
        <v>20</v>
      </c>
    </row>
    <row r="6" spans="1:2" x14ac:dyDescent="0.4">
      <c r="A6" t="s">
        <v>178</v>
      </c>
      <c r="B6">
        <v>14</v>
      </c>
    </row>
    <row r="7" spans="1:2" x14ac:dyDescent="0.4">
      <c r="A7" t="s">
        <v>179</v>
      </c>
      <c r="B7">
        <v>17</v>
      </c>
    </row>
    <row r="8" spans="1:2" x14ac:dyDescent="0.4">
      <c r="A8" t="s">
        <v>183</v>
      </c>
      <c r="B8">
        <v>8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>
      <selection activeCell="D26" sqref="D26"/>
    </sheetView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58">
        <v>0.96566028456635178</v>
      </c>
      <c r="G2" s="159"/>
      <c r="H2" s="158">
        <v>0.92570924577881775</v>
      </c>
      <c r="I2" s="159"/>
      <c r="J2" s="158">
        <v>0.89439676206763696</v>
      </c>
      <c r="K2" s="159"/>
      <c r="L2" s="158">
        <v>0.82406610927510127</v>
      </c>
      <c r="M2" s="159"/>
      <c r="N2" s="158">
        <v>0.69149767834631171</v>
      </c>
      <c r="O2" s="159"/>
      <c r="P2" s="158">
        <v>-0.27656751691919618</v>
      </c>
      <c r="Q2" s="159"/>
      <c r="R2" s="158">
        <v>0.5533490792641822</v>
      </c>
      <c r="S2" s="159"/>
      <c r="T2" s="158">
        <v>0.50220676006290133</v>
      </c>
      <c r="U2" s="159"/>
      <c r="V2" s="158">
        <v>0.20511269500218735</v>
      </c>
      <c r="W2" s="159"/>
      <c r="X2" s="158">
        <v>0.51350053509463611</v>
      </c>
      <c r="Y2" s="159"/>
      <c r="Z2" s="158">
        <v>-0.22419887290516508</v>
      </c>
      <c r="AA2" s="159"/>
      <c r="AB2" s="158">
        <v>0.53458128797481896</v>
      </c>
      <c r="AC2" s="159"/>
      <c r="AD2" s="158">
        <v>7.1164386105122164E-3</v>
      </c>
      <c r="AE2" s="159"/>
      <c r="AF2" s="158">
        <v>0.67968324856948548</v>
      </c>
      <c r="AG2" s="159"/>
      <c r="AH2" s="158">
        <v>0.69937180109533481</v>
      </c>
      <c r="AI2" s="159"/>
    </row>
    <row r="3" spans="1:35" x14ac:dyDescent="0.4">
      <c r="A3" s="74">
        <v>1</v>
      </c>
      <c r="B3" s="75" t="s">
        <v>127</v>
      </c>
      <c r="C3" s="76">
        <v>312.09999999999991</v>
      </c>
      <c r="D3" s="77" t="s">
        <v>182</v>
      </c>
      <c r="E3" s="96">
        <v>11.463636363636365</v>
      </c>
      <c r="F3" s="77" t="s">
        <v>182</v>
      </c>
      <c r="G3" s="78">
        <v>1.7272727272727273</v>
      </c>
      <c r="H3" s="77" t="s">
        <v>127</v>
      </c>
      <c r="I3" s="79">
        <v>0.5</v>
      </c>
      <c r="J3" s="77" t="s">
        <v>182</v>
      </c>
      <c r="K3" s="79">
        <v>0.18181818181818182</v>
      </c>
      <c r="L3" s="77" t="s">
        <v>127</v>
      </c>
      <c r="M3" s="80">
        <v>0.33650793650793653</v>
      </c>
      <c r="N3" s="77" t="s">
        <v>182</v>
      </c>
      <c r="O3" s="80">
        <v>0.11650485436893204</v>
      </c>
      <c r="P3" s="77" t="s">
        <v>178</v>
      </c>
      <c r="Q3" s="81">
        <v>13370.833333333334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0.2857142857142857</v>
      </c>
      <c r="X3" s="77" t="s">
        <v>182</v>
      </c>
      <c r="Y3" s="80">
        <v>0.29126213592233008</v>
      </c>
      <c r="Z3" s="77" t="s">
        <v>196</v>
      </c>
      <c r="AA3" s="80">
        <v>0.35</v>
      </c>
      <c r="AB3" s="77" t="s">
        <v>182</v>
      </c>
      <c r="AC3" s="80">
        <v>0.66666666666666663</v>
      </c>
      <c r="AD3" s="77" t="s">
        <v>179</v>
      </c>
      <c r="AE3" s="80">
        <v>0.54054054054054057</v>
      </c>
      <c r="AF3" s="77" t="s">
        <v>183</v>
      </c>
      <c r="AG3" s="80">
        <v>0.5714285714285714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126.10000000000001</v>
      </c>
      <c r="D4" s="85" t="s">
        <v>127</v>
      </c>
      <c r="E4" s="97">
        <v>8.6694444444444425</v>
      </c>
      <c r="F4" s="85" t="s">
        <v>127</v>
      </c>
      <c r="G4" s="86">
        <v>1.7777777777777777</v>
      </c>
      <c r="H4" s="85" t="s">
        <v>196</v>
      </c>
      <c r="I4" s="87">
        <v>0.5</v>
      </c>
      <c r="J4" s="85" t="s">
        <v>128</v>
      </c>
      <c r="K4" s="87">
        <v>0.26315789473684209</v>
      </c>
      <c r="L4" s="85" t="s">
        <v>182</v>
      </c>
      <c r="M4" s="88">
        <v>0.3300970873786408</v>
      </c>
      <c r="N4" s="85" t="s">
        <v>179</v>
      </c>
      <c r="O4" s="88">
        <v>0.11842105263157894</v>
      </c>
      <c r="P4" s="85" t="s">
        <v>183</v>
      </c>
      <c r="Q4" s="89">
        <v>9742.8571428571431</v>
      </c>
      <c r="R4" s="85" t="s">
        <v>167</v>
      </c>
      <c r="S4" s="89">
        <v>-6911.5384615384619</v>
      </c>
      <c r="T4" s="85" t="s">
        <v>182</v>
      </c>
      <c r="U4" s="87">
        <v>0</v>
      </c>
      <c r="V4" s="85" t="s">
        <v>196</v>
      </c>
      <c r="W4" s="87">
        <v>0.25</v>
      </c>
      <c r="X4" s="85" t="s">
        <v>183</v>
      </c>
      <c r="Y4" s="88">
        <v>0.27536231884057971</v>
      </c>
      <c r="Z4" s="85" t="s">
        <v>128</v>
      </c>
      <c r="AA4" s="88">
        <v>0.33532934131736525</v>
      </c>
      <c r="AB4" s="85" t="s">
        <v>127</v>
      </c>
      <c r="AC4" s="88">
        <v>0.60256410256410253</v>
      </c>
      <c r="AD4" s="85" t="s">
        <v>127</v>
      </c>
      <c r="AE4" s="88">
        <v>0.52857142857142858</v>
      </c>
      <c r="AF4" s="85" t="s">
        <v>182</v>
      </c>
      <c r="AG4" s="88">
        <v>0.52941176470588236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128</v>
      </c>
      <c r="C5" s="84">
        <v>110.89999999999993</v>
      </c>
      <c r="D5" s="85" t="s">
        <v>128</v>
      </c>
      <c r="E5" s="97">
        <v>2.9184210526315773</v>
      </c>
      <c r="F5" s="85" t="s">
        <v>128</v>
      </c>
      <c r="G5" s="86">
        <v>1.9473684210526316</v>
      </c>
      <c r="H5" s="85" t="s">
        <v>182</v>
      </c>
      <c r="I5" s="87">
        <v>0.45454545454545453</v>
      </c>
      <c r="J5" s="85" t="s">
        <v>127</v>
      </c>
      <c r="K5" s="87">
        <v>0.27777777777777779</v>
      </c>
      <c r="L5" s="85" t="s">
        <v>128</v>
      </c>
      <c r="M5" s="88">
        <v>0.31736526946107785</v>
      </c>
      <c r="N5" s="85" t="s">
        <v>127</v>
      </c>
      <c r="O5" s="88">
        <v>0.13968253968253969</v>
      </c>
      <c r="P5" s="85" t="s">
        <v>128</v>
      </c>
      <c r="Q5" s="89">
        <v>8576.4150943396235</v>
      </c>
      <c r="R5" s="85" t="s">
        <v>179</v>
      </c>
      <c r="S5" s="89">
        <v>-7383.333333333333</v>
      </c>
      <c r="T5" s="85" t="s">
        <v>127</v>
      </c>
      <c r="U5" s="87">
        <v>5.5555555555555552E-2</v>
      </c>
      <c r="V5" s="85" t="s">
        <v>182</v>
      </c>
      <c r="W5" s="87">
        <v>0.18181818181818182</v>
      </c>
      <c r="X5" s="85" t="s">
        <v>196</v>
      </c>
      <c r="Y5" s="88">
        <v>0.27500000000000002</v>
      </c>
      <c r="Z5" s="85" t="s">
        <v>144</v>
      </c>
      <c r="AA5" s="88">
        <v>0.24828532235939643</v>
      </c>
      <c r="AB5" s="85" t="s">
        <v>180</v>
      </c>
      <c r="AC5" s="88">
        <v>0.6</v>
      </c>
      <c r="AD5" s="85" t="s">
        <v>178</v>
      </c>
      <c r="AE5" s="88">
        <v>0.48</v>
      </c>
      <c r="AF5" s="85" t="s">
        <v>167</v>
      </c>
      <c r="AG5" s="88">
        <v>0.47368421052631576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-3.5527136788005009E-14</v>
      </c>
      <c r="D6" s="85" t="s">
        <v>144</v>
      </c>
      <c r="E6" s="97">
        <v>-2.153159805333637E-16</v>
      </c>
      <c r="F6" s="85" t="s">
        <v>167</v>
      </c>
      <c r="G6" s="86">
        <v>2</v>
      </c>
      <c r="H6" s="85" t="s">
        <v>144</v>
      </c>
      <c r="I6" s="87">
        <v>0.33333333333333331</v>
      </c>
      <c r="J6" s="85" t="s">
        <v>167</v>
      </c>
      <c r="K6" s="87">
        <v>0.29411764705882354</v>
      </c>
      <c r="L6" s="85" t="s">
        <v>144</v>
      </c>
      <c r="M6" s="88">
        <v>0.29149519890260633</v>
      </c>
      <c r="N6" s="85" t="s">
        <v>167</v>
      </c>
      <c r="O6" s="88">
        <v>0.16455696202531644</v>
      </c>
      <c r="P6" s="85" t="s">
        <v>144</v>
      </c>
      <c r="Q6" s="89">
        <v>8346.3529411764703</v>
      </c>
      <c r="R6" s="85" t="s">
        <v>128</v>
      </c>
      <c r="S6" s="89">
        <v>-7552.3076923076924</v>
      </c>
      <c r="T6" s="85" t="s">
        <v>180</v>
      </c>
      <c r="U6" s="87">
        <v>0.1</v>
      </c>
      <c r="V6" s="85" t="s">
        <v>128</v>
      </c>
      <c r="W6" s="87">
        <v>0.15789473684210525</v>
      </c>
      <c r="X6" s="85" t="s">
        <v>179</v>
      </c>
      <c r="Y6" s="88">
        <v>0.25</v>
      </c>
      <c r="Z6" s="85" t="s">
        <v>179</v>
      </c>
      <c r="AA6" s="88">
        <v>0.24342105263157895</v>
      </c>
      <c r="AB6" s="85" t="s">
        <v>167</v>
      </c>
      <c r="AC6" s="88">
        <v>0.56666666666666665</v>
      </c>
      <c r="AD6" s="85" t="s">
        <v>144</v>
      </c>
      <c r="AE6" s="88">
        <v>0.425414364640884</v>
      </c>
      <c r="AF6" s="85" t="s">
        <v>127</v>
      </c>
      <c r="AG6" s="88">
        <v>0.43396226415094341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179</v>
      </c>
      <c r="C7" s="84">
        <v>-29.799999999999986</v>
      </c>
      <c r="D7" s="85" t="s">
        <v>179</v>
      </c>
      <c r="E7" s="97">
        <v>-1.7529411764705873</v>
      </c>
      <c r="F7" s="85" t="s">
        <v>144</v>
      </c>
      <c r="G7" s="86">
        <v>2</v>
      </c>
      <c r="H7" s="85" t="s">
        <v>128</v>
      </c>
      <c r="I7" s="87">
        <v>0.31578947368421051</v>
      </c>
      <c r="J7" s="85" t="s">
        <v>144</v>
      </c>
      <c r="K7" s="87">
        <v>0.33333333333333331</v>
      </c>
      <c r="L7" s="85" t="s">
        <v>180</v>
      </c>
      <c r="M7" s="88">
        <v>0.28176795580110497</v>
      </c>
      <c r="N7" s="85" t="s">
        <v>144</v>
      </c>
      <c r="O7" s="88">
        <v>0.17146776406035666</v>
      </c>
      <c r="P7" s="85" t="s">
        <v>127</v>
      </c>
      <c r="Q7" s="89">
        <v>8090.566037735849</v>
      </c>
      <c r="R7" s="85" t="s">
        <v>127</v>
      </c>
      <c r="S7" s="89">
        <v>-7722.727272727273</v>
      </c>
      <c r="T7" s="85" t="s">
        <v>144</v>
      </c>
      <c r="U7" s="87">
        <v>0.12121212121212122</v>
      </c>
      <c r="V7" s="85" t="s">
        <v>183</v>
      </c>
      <c r="W7" s="87">
        <v>0.125</v>
      </c>
      <c r="X7" s="85" t="s">
        <v>180</v>
      </c>
      <c r="Y7" s="88">
        <v>0.24861878453038674</v>
      </c>
      <c r="Z7" s="85" t="s">
        <v>178</v>
      </c>
      <c r="AA7" s="88">
        <v>0.23584905660377359</v>
      </c>
      <c r="AB7" s="85" t="s">
        <v>128</v>
      </c>
      <c r="AC7" s="88">
        <v>0.56338028169014087</v>
      </c>
      <c r="AD7" s="85" t="s">
        <v>128</v>
      </c>
      <c r="AE7" s="88">
        <v>0.4107142857142857</v>
      </c>
      <c r="AF7" s="85" t="s">
        <v>144</v>
      </c>
      <c r="AG7" s="88">
        <v>0.40941176470588236</v>
      </c>
      <c r="AH7" s="85" t="s">
        <v>183</v>
      </c>
      <c r="AI7" s="92">
        <v>85100</v>
      </c>
    </row>
    <row r="8" spans="1:35" x14ac:dyDescent="0.4">
      <c r="A8" s="82">
        <v>6</v>
      </c>
      <c r="B8" s="83" t="s">
        <v>196</v>
      </c>
      <c r="C8" s="84">
        <v>-37.400000000000006</v>
      </c>
      <c r="D8" s="85" t="s">
        <v>167</v>
      </c>
      <c r="E8" s="97">
        <v>-3.835294117647059</v>
      </c>
      <c r="F8" s="85" t="s">
        <v>196</v>
      </c>
      <c r="G8" s="86">
        <v>2</v>
      </c>
      <c r="H8" s="85" t="s">
        <v>167</v>
      </c>
      <c r="I8" s="87">
        <v>0.29411764705882354</v>
      </c>
      <c r="J8" s="85" t="s">
        <v>179</v>
      </c>
      <c r="K8" s="87">
        <v>0.35294117647058826</v>
      </c>
      <c r="L8" s="85" t="s">
        <v>179</v>
      </c>
      <c r="M8" s="88">
        <v>0.27631578947368424</v>
      </c>
      <c r="N8" s="85" t="s">
        <v>196</v>
      </c>
      <c r="O8" s="88">
        <v>0.17499999999999999</v>
      </c>
      <c r="P8" s="85" t="s">
        <v>196</v>
      </c>
      <c r="Q8" s="89">
        <v>7780</v>
      </c>
      <c r="R8" s="85" t="s">
        <v>180</v>
      </c>
      <c r="S8" s="89">
        <v>-7933.333333333333</v>
      </c>
      <c r="T8" s="85" t="s">
        <v>128</v>
      </c>
      <c r="U8" s="87">
        <v>0.13157894736842105</v>
      </c>
      <c r="V8" s="85" t="s">
        <v>144</v>
      </c>
      <c r="W8" s="87">
        <v>0.12121212121212122</v>
      </c>
      <c r="X8" s="85" t="s">
        <v>127</v>
      </c>
      <c r="Y8" s="88">
        <v>0.24761904761904763</v>
      </c>
      <c r="Z8" s="85" t="s">
        <v>167</v>
      </c>
      <c r="AA8" s="88">
        <v>0.23417721518987342</v>
      </c>
      <c r="AB8" s="85" t="s">
        <v>144</v>
      </c>
      <c r="AC8" s="88">
        <v>0.54624277456647397</v>
      </c>
      <c r="AD8" s="85" t="s">
        <v>180</v>
      </c>
      <c r="AE8" s="88">
        <v>0.40540540540540543</v>
      </c>
      <c r="AF8" s="85" t="s">
        <v>196</v>
      </c>
      <c r="AG8" s="88">
        <v>0.4</v>
      </c>
      <c r="AH8" s="85" t="s">
        <v>178</v>
      </c>
      <c r="AI8" s="92">
        <v>83000</v>
      </c>
    </row>
    <row r="9" spans="1:35" x14ac:dyDescent="0.4">
      <c r="A9" s="82">
        <v>7</v>
      </c>
      <c r="B9" s="83" t="s">
        <v>167</v>
      </c>
      <c r="C9" s="84">
        <v>-65.2</v>
      </c>
      <c r="D9" s="85" t="s">
        <v>178</v>
      </c>
      <c r="E9" s="97">
        <v>-6.1785714285714262</v>
      </c>
      <c r="F9" s="85" t="s">
        <v>179</v>
      </c>
      <c r="G9" s="86">
        <v>2.0588235294117645</v>
      </c>
      <c r="H9" s="85" t="s">
        <v>179</v>
      </c>
      <c r="I9" s="87">
        <v>0.29411764705882354</v>
      </c>
      <c r="J9" s="85" t="s">
        <v>178</v>
      </c>
      <c r="K9" s="87">
        <v>0.42857142857142855</v>
      </c>
      <c r="L9" s="85" t="s">
        <v>196</v>
      </c>
      <c r="M9" s="88">
        <v>0.25</v>
      </c>
      <c r="N9" s="85" t="s">
        <v>128</v>
      </c>
      <c r="O9" s="88">
        <v>0.19461077844311378</v>
      </c>
      <c r="P9" s="85" t="s">
        <v>182</v>
      </c>
      <c r="Q9" s="89">
        <v>7779.411764705882</v>
      </c>
      <c r="R9" s="85" t="s">
        <v>144</v>
      </c>
      <c r="S9" s="89">
        <v>-7972</v>
      </c>
      <c r="T9" s="85" t="s">
        <v>179</v>
      </c>
      <c r="U9" s="87">
        <v>0.17647058823529413</v>
      </c>
      <c r="V9" s="85" t="s">
        <v>127</v>
      </c>
      <c r="W9" s="87">
        <v>0.1111111111111111</v>
      </c>
      <c r="X9" s="85" t="s">
        <v>144</v>
      </c>
      <c r="Y9" s="88">
        <v>0.23731138545953362</v>
      </c>
      <c r="Z9" s="85" t="s">
        <v>127</v>
      </c>
      <c r="AA9" s="88">
        <v>0.22222222222222221</v>
      </c>
      <c r="AB9" s="85" t="s">
        <v>179</v>
      </c>
      <c r="AC9" s="88">
        <v>0.47368421052631576</v>
      </c>
      <c r="AD9" s="85" t="s">
        <v>182</v>
      </c>
      <c r="AE9" s="88">
        <v>0.33333333333333331</v>
      </c>
      <c r="AF9" s="85" t="s">
        <v>128</v>
      </c>
      <c r="AG9" s="88">
        <v>0.36792452830188677</v>
      </c>
      <c r="AH9" s="85" t="s">
        <v>179</v>
      </c>
      <c r="AI9" s="92">
        <v>75000</v>
      </c>
    </row>
    <row r="10" spans="1:35" x14ac:dyDescent="0.4">
      <c r="A10" s="82">
        <v>8</v>
      </c>
      <c r="B10" s="83" t="s">
        <v>178</v>
      </c>
      <c r="C10" s="84">
        <v>-86.499999999999972</v>
      </c>
      <c r="D10" s="85" t="s">
        <v>180</v>
      </c>
      <c r="E10" s="97">
        <v>-8.879999999999999</v>
      </c>
      <c r="F10" s="85" t="s">
        <v>178</v>
      </c>
      <c r="G10" s="86">
        <v>2.1428571428571428</v>
      </c>
      <c r="H10" s="85" t="s">
        <v>178</v>
      </c>
      <c r="I10" s="87">
        <v>0.2857142857142857</v>
      </c>
      <c r="J10" s="85" t="s">
        <v>180</v>
      </c>
      <c r="K10" s="87">
        <v>0.45</v>
      </c>
      <c r="L10" s="85" t="s">
        <v>167</v>
      </c>
      <c r="M10" s="88">
        <v>0.24050632911392406</v>
      </c>
      <c r="N10" s="85" t="s">
        <v>178</v>
      </c>
      <c r="O10" s="88">
        <v>0.20754716981132076</v>
      </c>
      <c r="P10" s="85" t="s">
        <v>179</v>
      </c>
      <c r="Q10" s="89">
        <v>7554.7619047619046</v>
      </c>
      <c r="R10" s="85" t="s">
        <v>196</v>
      </c>
      <c r="S10" s="89">
        <v>-9142.8571428571431</v>
      </c>
      <c r="T10" s="85" t="s">
        <v>183</v>
      </c>
      <c r="U10" s="87">
        <v>0.25</v>
      </c>
      <c r="V10" s="85" t="s">
        <v>179</v>
      </c>
      <c r="W10" s="87">
        <v>5.8823529411764705E-2</v>
      </c>
      <c r="X10" s="85" t="s">
        <v>178</v>
      </c>
      <c r="Y10" s="88">
        <v>0.22641509433962265</v>
      </c>
      <c r="Z10" s="85" t="s">
        <v>183</v>
      </c>
      <c r="AA10" s="88">
        <v>0.21739130434782608</v>
      </c>
      <c r="AB10" s="85" t="s">
        <v>183</v>
      </c>
      <c r="AC10" s="88">
        <v>0.47368421052631576</v>
      </c>
      <c r="AD10" s="85" t="s">
        <v>183</v>
      </c>
      <c r="AE10" s="88">
        <v>0.33333333333333331</v>
      </c>
      <c r="AF10" s="85" t="s">
        <v>179</v>
      </c>
      <c r="AG10" s="88">
        <v>0.35714285714285715</v>
      </c>
      <c r="AH10" s="85" t="s">
        <v>180</v>
      </c>
      <c r="AI10" s="92">
        <v>65400</v>
      </c>
    </row>
    <row r="11" spans="1:35" x14ac:dyDescent="0.4">
      <c r="A11" s="82">
        <v>9</v>
      </c>
      <c r="B11" s="83" t="s">
        <v>183</v>
      </c>
      <c r="C11" s="84">
        <v>-152.6</v>
      </c>
      <c r="D11" s="85" t="s">
        <v>196</v>
      </c>
      <c r="E11" s="97">
        <v>-9.3500000000000014</v>
      </c>
      <c r="F11" s="85" t="s">
        <v>180</v>
      </c>
      <c r="G11" s="86">
        <v>2.2999999999999998</v>
      </c>
      <c r="H11" s="85" t="s">
        <v>180</v>
      </c>
      <c r="I11" s="87">
        <v>0.15</v>
      </c>
      <c r="J11" s="85" t="s">
        <v>196</v>
      </c>
      <c r="K11" s="87">
        <v>0.5</v>
      </c>
      <c r="L11" s="85" t="s">
        <v>178</v>
      </c>
      <c r="M11" s="88">
        <v>0.22641509433962265</v>
      </c>
      <c r="N11" s="85" t="s">
        <v>180</v>
      </c>
      <c r="O11" s="88">
        <v>0.21546961325966851</v>
      </c>
      <c r="P11" s="85" t="s">
        <v>180</v>
      </c>
      <c r="Q11" s="89">
        <v>7464.7058823529414</v>
      </c>
      <c r="R11" s="85" t="s">
        <v>183</v>
      </c>
      <c r="S11" s="89">
        <v>-10035.294117647059</v>
      </c>
      <c r="T11" s="85" t="s">
        <v>178</v>
      </c>
      <c r="U11" s="87">
        <v>0.2857142857142857</v>
      </c>
      <c r="V11" s="85" t="s">
        <v>180</v>
      </c>
      <c r="W11" s="87">
        <v>0.05</v>
      </c>
      <c r="X11" s="85" t="s">
        <v>128</v>
      </c>
      <c r="Y11" s="88">
        <v>0.21257485029940121</v>
      </c>
      <c r="Z11" s="85" t="s">
        <v>180</v>
      </c>
      <c r="AA11" s="88">
        <v>0.20441988950276244</v>
      </c>
      <c r="AB11" s="85" t="s">
        <v>196</v>
      </c>
      <c r="AC11" s="88">
        <v>0.45454545454545453</v>
      </c>
      <c r="AD11" s="85" t="s">
        <v>196</v>
      </c>
      <c r="AE11" s="88">
        <v>0.2857142857142857</v>
      </c>
      <c r="AF11" s="85" t="s">
        <v>180</v>
      </c>
      <c r="AG11" s="88">
        <v>0.35294117647058826</v>
      </c>
      <c r="AH11" s="85" t="s">
        <v>196</v>
      </c>
      <c r="AI11" s="92">
        <v>59500</v>
      </c>
    </row>
    <row r="12" spans="1:35" x14ac:dyDescent="0.4">
      <c r="A12" s="82">
        <v>10</v>
      </c>
      <c r="B12" s="83" t="s">
        <v>180</v>
      </c>
      <c r="C12" s="84">
        <v>-177.6</v>
      </c>
      <c r="D12" s="85" t="s">
        <v>183</v>
      </c>
      <c r="E12" s="97">
        <v>-19.074999999999999</v>
      </c>
      <c r="F12" s="85" t="s">
        <v>183</v>
      </c>
      <c r="G12" s="86">
        <v>2.5</v>
      </c>
      <c r="H12" s="85" t="s">
        <v>183</v>
      </c>
      <c r="I12" s="87">
        <v>0.125</v>
      </c>
      <c r="J12" s="85" t="s">
        <v>183</v>
      </c>
      <c r="K12" s="87">
        <v>0.625</v>
      </c>
      <c r="L12" s="85" t="s">
        <v>183</v>
      </c>
      <c r="M12" s="88">
        <v>0.20289855072463769</v>
      </c>
      <c r="N12" s="85" t="s">
        <v>183</v>
      </c>
      <c r="O12" s="88">
        <v>0.24637681159420291</v>
      </c>
      <c r="P12" s="85" t="s">
        <v>167</v>
      </c>
      <c r="Q12" s="89">
        <v>7444.7368421052633</v>
      </c>
      <c r="R12" s="85" t="s">
        <v>178</v>
      </c>
      <c r="S12" s="89">
        <v>-10600</v>
      </c>
      <c r="T12" s="85" t="s">
        <v>196</v>
      </c>
      <c r="U12" s="87">
        <v>0.5</v>
      </c>
      <c r="V12" s="85" t="s">
        <v>167</v>
      </c>
      <c r="W12" s="87">
        <v>0</v>
      </c>
      <c r="X12" s="85" t="s">
        <v>167</v>
      </c>
      <c r="Y12" s="88">
        <v>0.189873417721519</v>
      </c>
      <c r="Z12" s="85" t="s">
        <v>182</v>
      </c>
      <c r="AA12" s="88">
        <v>0.14563106796116504</v>
      </c>
      <c r="AB12" s="85" t="s">
        <v>178</v>
      </c>
      <c r="AC12" s="88">
        <v>0.25</v>
      </c>
      <c r="AD12" s="85" t="s">
        <v>167</v>
      </c>
      <c r="AE12" s="88">
        <v>0.27027027027027029</v>
      </c>
      <c r="AF12" s="85" t="s">
        <v>178</v>
      </c>
      <c r="AG12" s="88">
        <v>0.33333333333333331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6D3B6-A6F2-46F8-AB5B-DFDB7C57E2A9}">
  <sheetPr codeName="Sheet4"/>
  <dimension ref="A1:Q16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165</v>
      </c>
      <c r="C2" s="151"/>
      <c r="E2" s="62" t="s">
        <v>67</v>
      </c>
      <c r="F2" s="59" t="s">
        <v>23</v>
      </c>
      <c r="G2" s="46">
        <v>335</v>
      </c>
      <c r="H2" s="132">
        <f>IF(B$17=0,0,G2/B$17)</f>
        <v>0.78823529411764703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-24.242424242424242</v>
      </c>
      <c r="P2" s="118">
        <v>165</v>
      </c>
      <c r="Q2" s="102">
        <v>-4000</v>
      </c>
    </row>
    <row r="3" spans="1:17" x14ac:dyDescent="0.4">
      <c r="A3" s="55" t="s">
        <v>8</v>
      </c>
      <c r="B3" s="152">
        <v>1458</v>
      </c>
      <c r="C3" s="153"/>
      <c r="E3" s="63" t="s">
        <v>73</v>
      </c>
      <c r="F3" s="60" t="s">
        <v>28</v>
      </c>
      <c r="G3" s="47">
        <v>251</v>
      </c>
      <c r="H3" s="133">
        <f>IF(B$17=0,0,G3/B$17)</f>
        <v>0.59058823529411764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18.867924528301888</v>
      </c>
      <c r="P3" s="119">
        <v>159</v>
      </c>
      <c r="Q3" s="103">
        <v>3000</v>
      </c>
    </row>
    <row r="4" spans="1:17" x14ac:dyDescent="0.4">
      <c r="A4" s="55" t="s">
        <v>6</v>
      </c>
      <c r="B4" s="154">
        <v>-3.5527136788005009E-14</v>
      </c>
      <c r="C4" s="155"/>
      <c r="E4" s="63" t="s">
        <v>65</v>
      </c>
      <c r="F4" s="60" t="s">
        <v>21</v>
      </c>
      <c r="G4" s="47">
        <v>185</v>
      </c>
      <c r="H4" s="133">
        <f>IF(B$17=0,0,G4/B$17)</f>
        <v>0.43529411764705883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-25.641025641025642</v>
      </c>
      <c r="P4" s="119">
        <v>156</v>
      </c>
      <c r="Q4" s="103">
        <v>-4000</v>
      </c>
    </row>
    <row r="5" spans="1:17" x14ac:dyDescent="0.4">
      <c r="A5" s="55" t="s">
        <v>7</v>
      </c>
      <c r="B5" s="156">
        <f>IF(B$2=0,0,B$4/B$2)</f>
        <v>-2.153159805333637E-16</v>
      </c>
      <c r="C5" s="157"/>
      <c r="E5" s="63" t="s">
        <v>172</v>
      </c>
      <c r="F5" s="60" t="s">
        <v>173</v>
      </c>
      <c r="G5" s="47">
        <v>150</v>
      </c>
      <c r="H5" s="133">
        <f>IF(B$17=0,0,G5/B$17)</f>
        <v>0.35294117647058826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20.408163265306122</v>
      </c>
      <c r="P5" s="119">
        <v>147</v>
      </c>
      <c r="Q5" s="103">
        <v>3000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121</v>
      </c>
      <c r="H6" s="133">
        <f>IF(B$17=0,0,G6/B$17)</f>
        <v>0.2847058823529412</v>
      </c>
      <c r="I6" s="94">
        <v>5</v>
      </c>
      <c r="K6" s="38">
        <v>4</v>
      </c>
      <c r="L6" s="99">
        <v>24.5</v>
      </c>
      <c r="N6" s="115" t="s">
        <v>135</v>
      </c>
      <c r="O6" s="122">
        <f t="shared" si="0"/>
        <v>15.151515151515152</v>
      </c>
      <c r="P6" s="119">
        <v>132</v>
      </c>
      <c r="Q6" s="103">
        <v>2000</v>
      </c>
    </row>
    <row r="7" spans="1:17" x14ac:dyDescent="0.4">
      <c r="A7" s="55" t="s">
        <v>2</v>
      </c>
      <c r="B7" s="47">
        <v>55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106</v>
      </c>
      <c r="H7" s="133">
        <f>IF(B$17=0,0,G7/B$17)</f>
        <v>0.24941176470588236</v>
      </c>
      <c r="I7" s="94">
        <v>5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102</v>
      </c>
      <c r="Q7" s="104">
        <v>0</v>
      </c>
    </row>
    <row r="8" spans="1:17" x14ac:dyDescent="0.4">
      <c r="A8" s="55" t="s">
        <v>3</v>
      </c>
      <c r="B8" s="47">
        <v>55</v>
      </c>
      <c r="C8" s="39">
        <f t="shared" si="1"/>
        <v>0.33333333333333331</v>
      </c>
      <c r="E8" s="63" t="s">
        <v>90</v>
      </c>
      <c r="F8" s="60" t="s">
        <v>45</v>
      </c>
      <c r="G8" s="47">
        <v>56</v>
      </c>
      <c r="H8" s="133">
        <f>IF(B$17=0,0,G8/B$17)</f>
        <v>0.13176470588235295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55</v>
      </c>
      <c r="C9" s="40">
        <f t="shared" si="1"/>
        <v>0.33333333333333331</v>
      </c>
      <c r="E9" s="63" t="s">
        <v>70</v>
      </c>
      <c r="F9" s="60" t="s">
        <v>25</v>
      </c>
      <c r="G9" s="47">
        <v>55</v>
      </c>
      <c r="H9" s="133">
        <f>IF(B$17=0,0,G9/B$17)</f>
        <v>0.12941176470588237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20</v>
      </c>
      <c r="C10" s="40">
        <f t="shared" si="1"/>
        <v>0.12121212121212122</v>
      </c>
      <c r="E10" s="63" t="s">
        <v>66</v>
      </c>
      <c r="F10" s="60" t="s">
        <v>22</v>
      </c>
      <c r="G10" s="47">
        <v>40</v>
      </c>
      <c r="H10" s="133">
        <f>IF(B$17=0,0,G10/B$17)</f>
        <v>9.4117647058823528E-2</v>
      </c>
      <c r="I10" s="94">
        <v>6</v>
      </c>
      <c r="K10" s="38">
        <v>8</v>
      </c>
      <c r="L10" s="99">
        <v>-46.9</v>
      </c>
      <c r="N10" s="114" t="s">
        <v>163</v>
      </c>
      <c r="O10" s="124">
        <f>IF(P10=0,0,Q10/P10)</f>
        <v>2.8636363636363633</v>
      </c>
      <c r="P10" s="118">
        <v>55</v>
      </c>
      <c r="Q10" s="106">
        <v>157.49999999999997</v>
      </c>
    </row>
    <row r="11" spans="1:17" x14ac:dyDescent="0.4">
      <c r="A11" s="56" t="s">
        <v>139</v>
      </c>
      <c r="B11" s="48">
        <v>20</v>
      </c>
      <c r="C11" s="40">
        <f t="shared" si="1"/>
        <v>0.12121212121212122</v>
      </c>
      <c r="E11" s="63" t="s">
        <v>71</v>
      </c>
      <c r="F11" s="60" t="s">
        <v>26</v>
      </c>
      <c r="G11" s="47">
        <v>31</v>
      </c>
      <c r="H11" s="133">
        <f>IF(B$17=0,0,G11/B$17)</f>
        <v>7.2941176470588232E-2</v>
      </c>
      <c r="I11" s="94">
        <v>5</v>
      </c>
      <c r="K11" s="38">
        <v>9</v>
      </c>
      <c r="L11" s="99">
        <v>0</v>
      </c>
      <c r="N11" s="115" t="s">
        <v>164</v>
      </c>
      <c r="O11" s="125">
        <f>IF(P11=0,0,Q11/P11)</f>
        <v>-1.6963636363636361</v>
      </c>
      <c r="P11" s="119">
        <v>55</v>
      </c>
      <c r="Q11" s="107">
        <v>-93.299999999999983</v>
      </c>
    </row>
    <row r="12" spans="1:17" x14ac:dyDescent="0.4">
      <c r="A12" s="57" t="s">
        <v>159</v>
      </c>
      <c r="B12" s="49">
        <v>17</v>
      </c>
      <c r="C12" s="42">
        <f t="shared" si="1"/>
        <v>0.10303030303030303</v>
      </c>
      <c r="E12" s="63" t="s">
        <v>72</v>
      </c>
      <c r="F12" s="60" t="s">
        <v>27</v>
      </c>
      <c r="G12" s="47">
        <v>25</v>
      </c>
      <c r="H12" s="133">
        <f>IF(B$17=0,0,G12/B$17)</f>
        <v>5.8823529411764705E-2</v>
      </c>
      <c r="I12" s="94">
        <v>5</v>
      </c>
      <c r="K12" s="38">
        <v>10</v>
      </c>
      <c r="L12" s="99">
        <v>-12</v>
      </c>
      <c r="N12" s="116" t="s">
        <v>165</v>
      </c>
      <c r="O12" s="126">
        <f>IF(P12=0,0,Q12/P12)</f>
        <v>-1.1672727272727261</v>
      </c>
      <c r="P12" s="120">
        <v>55</v>
      </c>
      <c r="Q12" s="108">
        <v>-64.199999999999932</v>
      </c>
    </row>
    <row r="13" spans="1:17" x14ac:dyDescent="0.4">
      <c r="A13" s="58" t="s">
        <v>122</v>
      </c>
      <c r="B13" s="50">
        <v>346</v>
      </c>
      <c r="C13" s="44">
        <f>IF(B$3=0,0,B13/B$3)</f>
        <v>0.23731138545953362</v>
      </c>
      <c r="E13" s="63" t="s">
        <v>84</v>
      </c>
      <c r="F13" s="60" t="s">
        <v>39</v>
      </c>
      <c r="G13" s="47">
        <v>25</v>
      </c>
      <c r="H13" s="133">
        <f>IF(B$17=0,0,G13/B$17)</f>
        <v>5.8823529411764705E-2</v>
      </c>
      <c r="I13" s="94">
        <v>6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362</v>
      </c>
      <c r="C14" s="39">
        <f>IF(B$3=0,0,B14/B$3)</f>
        <v>0.24828532235939643</v>
      </c>
      <c r="E14" s="63" t="s">
        <v>87</v>
      </c>
      <c r="F14" s="60" t="s">
        <v>42</v>
      </c>
      <c r="G14" s="47">
        <v>21</v>
      </c>
      <c r="H14" s="133">
        <f>IF(B$17=0,0,G14/B$17)</f>
        <v>4.9411764705882349E-2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189</v>
      </c>
      <c r="C15" s="37">
        <f>IF(B$13=0,0,B15/B$13)</f>
        <v>0.54624277456647397</v>
      </c>
      <c r="E15" s="63" t="s">
        <v>79</v>
      </c>
      <c r="F15" s="60" t="s">
        <v>34</v>
      </c>
      <c r="G15" s="47">
        <v>13</v>
      </c>
      <c r="H15" s="133">
        <f>IF(B$17=0,0,G15/B$17)</f>
        <v>3.0588235294117649E-2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28.612500000000004</v>
      </c>
      <c r="P15" s="118">
        <v>16</v>
      </c>
      <c r="Q15" s="106">
        <v>457.80000000000007</v>
      </c>
    </row>
    <row r="16" spans="1:17" x14ac:dyDescent="0.4">
      <c r="A16" s="54" t="s">
        <v>125</v>
      </c>
      <c r="B16" s="46">
        <v>154</v>
      </c>
      <c r="C16" s="37">
        <f>IF(B$14=0,0,B16/B$14)</f>
        <v>0.425414364640884</v>
      </c>
      <c r="E16" s="63" t="s">
        <v>82</v>
      </c>
      <c r="F16" s="60" t="s">
        <v>37</v>
      </c>
      <c r="G16" s="47">
        <v>9</v>
      </c>
      <c r="H16" s="133">
        <f>IF(B$17=0,0,G16/B$17)</f>
        <v>2.1176470588235293E-2</v>
      </c>
      <c r="I16" s="94">
        <v>6</v>
      </c>
      <c r="K16" s="38">
        <v>14</v>
      </c>
      <c r="L16" s="99">
        <v>24.3</v>
      </c>
      <c r="N16" s="115" t="s">
        <v>196</v>
      </c>
      <c r="O16" s="125">
        <f>IF(P16=0,0,Q16/P16)</f>
        <v>14.025000000000006</v>
      </c>
      <c r="P16" s="119">
        <v>8</v>
      </c>
      <c r="Q16" s="107">
        <v>112.20000000000005</v>
      </c>
    </row>
    <row r="17" spans="1:17" x14ac:dyDescent="0.4">
      <c r="A17" s="54" t="s">
        <v>10</v>
      </c>
      <c r="B17" s="46">
        <f>B19+B18</f>
        <v>425</v>
      </c>
      <c r="C17" s="37">
        <f>IF(B$3=0,0,B17/B$3)</f>
        <v>0.29149519890260633</v>
      </c>
      <c r="E17" s="63" t="s">
        <v>80</v>
      </c>
      <c r="F17" s="60" t="s">
        <v>35</v>
      </c>
      <c r="G17" s="47">
        <v>7</v>
      </c>
      <c r="H17" s="133">
        <f>IF(B$17=0,0,G17/B$17)</f>
        <v>1.6470588235294119E-2</v>
      </c>
      <c r="I17" s="94">
        <v>5</v>
      </c>
      <c r="K17" s="38">
        <v>15</v>
      </c>
      <c r="L17" s="99">
        <v>0</v>
      </c>
      <c r="N17" s="115" t="s">
        <v>180</v>
      </c>
      <c r="O17" s="125">
        <f>IF(P17=0,0,Q17/P17)</f>
        <v>13.320000000000002</v>
      </c>
      <c r="P17" s="119">
        <v>40</v>
      </c>
      <c r="Q17" s="107">
        <v>532.80000000000007</v>
      </c>
    </row>
    <row r="18" spans="1:17" x14ac:dyDescent="0.4">
      <c r="A18" s="55" t="s">
        <v>12</v>
      </c>
      <c r="B18" s="47">
        <v>174</v>
      </c>
      <c r="C18" s="39">
        <f>IF(B$17=0,0,B18/B$17)</f>
        <v>0.40941176470588236</v>
      </c>
      <c r="E18" s="63" t="s">
        <v>92</v>
      </c>
      <c r="F18" s="60" t="s">
        <v>47</v>
      </c>
      <c r="G18" s="47">
        <v>6</v>
      </c>
      <c r="H18" s="133">
        <f>IF(B$17=0,0,G18/B$17)</f>
        <v>1.411764705882353E-2</v>
      </c>
      <c r="I18" s="94">
        <v>4</v>
      </c>
      <c r="K18" s="38">
        <v>16</v>
      </c>
      <c r="L18" s="99">
        <v>-28.2</v>
      </c>
      <c r="N18" s="115" t="s">
        <v>178</v>
      </c>
      <c r="O18" s="125">
        <f>IF(P18=0,0,Q18/P18)</f>
        <v>9.2678571428571388</v>
      </c>
      <c r="P18" s="119">
        <v>28</v>
      </c>
      <c r="Q18" s="107">
        <v>259.49999999999989</v>
      </c>
    </row>
    <row r="19" spans="1:17" x14ac:dyDescent="0.4">
      <c r="A19" s="55" t="s">
        <v>11</v>
      </c>
      <c r="B19" s="47">
        <v>251</v>
      </c>
      <c r="C19" s="39">
        <f>IF(B$17=0,0,B19/B$17)</f>
        <v>0.59058823529411764</v>
      </c>
      <c r="E19" s="63" t="s">
        <v>93</v>
      </c>
      <c r="F19" s="60" t="s">
        <v>48</v>
      </c>
      <c r="G19" s="47">
        <v>5</v>
      </c>
      <c r="H19" s="133">
        <f>IF(B$17=0,0,G19/B$17)</f>
        <v>1.1764705882352941E-2</v>
      </c>
      <c r="I19" s="94">
        <v>3</v>
      </c>
      <c r="K19" s="38">
        <v>17</v>
      </c>
      <c r="L19" s="99">
        <v>-20.5</v>
      </c>
      <c r="N19" s="115" t="s">
        <v>167</v>
      </c>
      <c r="O19" s="125">
        <f>IF(P19=0,0,Q19/P19)</f>
        <v>5.75294117647059</v>
      </c>
      <c r="P19" s="119">
        <v>34</v>
      </c>
      <c r="Q19" s="107">
        <v>195.60000000000005</v>
      </c>
    </row>
    <row r="20" spans="1:17" x14ac:dyDescent="0.4">
      <c r="A20" s="55" t="s">
        <v>13</v>
      </c>
      <c r="B20" s="47">
        <v>250</v>
      </c>
      <c r="C20" s="39">
        <f>IF(B$3=0,0,B20/B$3)</f>
        <v>0.17146776406035666</v>
      </c>
      <c r="E20" s="63" t="s">
        <v>168</v>
      </c>
      <c r="F20" s="60" t="s">
        <v>169</v>
      </c>
      <c r="G20" s="47">
        <v>5</v>
      </c>
      <c r="H20" s="133">
        <f>IF(B$17=0,0,G20/B$17)</f>
        <v>1.1764705882352941E-2</v>
      </c>
      <c r="I20" s="94">
        <v>3</v>
      </c>
      <c r="K20" s="38">
        <v>18</v>
      </c>
      <c r="L20" s="99">
        <v>0</v>
      </c>
      <c r="N20" s="115" t="s">
        <v>179</v>
      </c>
      <c r="O20" s="125">
        <f>IF(P20=0,0,Q20/P20)</f>
        <v>2.6294117647058814</v>
      </c>
      <c r="P20" s="119">
        <v>34</v>
      </c>
      <c r="Q20" s="107">
        <v>89.399999999999963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78</v>
      </c>
      <c r="F21" s="60" t="s">
        <v>33</v>
      </c>
      <c r="G21" s="47">
        <v>3</v>
      </c>
      <c r="H21" s="133">
        <f>IF(B$17=0,0,G21/B$17)</f>
        <v>7.058823529411765E-3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-4.3776315789473701</v>
      </c>
      <c r="P21" s="119">
        <v>76</v>
      </c>
      <c r="Q21" s="107">
        <v>-332.7000000000001</v>
      </c>
    </row>
    <row r="22" spans="1:17" x14ac:dyDescent="0.4">
      <c r="A22" s="55" t="s">
        <v>171</v>
      </c>
      <c r="B22" s="47">
        <v>26</v>
      </c>
      <c r="C22" s="135">
        <v>1</v>
      </c>
      <c r="E22" s="63" t="s">
        <v>86</v>
      </c>
      <c r="F22" s="60" t="s">
        <v>41</v>
      </c>
      <c r="G22" s="47">
        <v>3</v>
      </c>
      <c r="H22" s="133">
        <f>IF(B$17=0,0,G22/B$17)</f>
        <v>7.058823529411765E-3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>IF(P22=0,0,Q22/P22)</f>
        <v>-13.004166666666674</v>
      </c>
      <c r="P22" s="119">
        <v>72</v>
      </c>
      <c r="Q22" s="107">
        <v>-936.30000000000052</v>
      </c>
    </row>
    <row r="23" spans="1:17" x14ac:dyDescent="0.4">
      <c r="A23" s="55" t="s">
        <v>5</v>
      </c>
      <c r="B23" s="51">
        <f>IF(B$17=0,0,C23/B$17)</f>
        <v>8346.3529411764703</v>
      </c>
      <c r="C23" s="41">
        <v>3547200</v>
      </c>
      <c r="E23" s="63" t="s">
        <v>85</v>
      </c>
      <c r="F23" s="60" t="s">
        <v>40</v>
      </c>
      <c r="G23" s="47">
        <v>2</v>
      </c>
      <c r="H23" s="133">
        <f>IF(B$17=0,0,G23/B$17)</f>
        <v>4.7058823529411761E-3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-7972</v>
      </c>
      <c r="C24" s="45">
        <v>-1993000</v>
      </c>
      <c r="E24" s="63" t="s">
        <v>89</v>
      </c>
      <c r="F24" s="60" t="s">
        <v>44</v>
      </c>
      <c r="G24" s="47">
        <v>2</v>
      </c>
      <c r="H24" s="133">
        <f>IF(B$17=0,0,G24/B$17)</f>
        <v>4.7058823529411761E-3</v>
      </c>
      <c r="I24" s="94">
        <v>3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75</v>
      </c>
      <c r="F25" s="60" t="s">
        <v>30</v>
      </c>
      <c r="G25" s="47">
        <v>1</v>
      </c>
      <c r="H25" s="133">
        <f>IF(B$17=0,0,G25/B$17)</f>
        <v>2.352941176470588E-3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76</v>
      </c>
      <c r="F26" s="60" t="s">
        <v>31</v>
      </c>
      <c r="G26" s="47">
        <v>1</v>
      </c>
      <c r="H26" s="133">
        <f>IF(B$17=0,0,G26/B$17)</f>
        <v>2.352941176470588E-3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4</v>
      </c>
      <c r="C27" s="42">
        <f>IF(B$3=0,0,B27/B$3)</f>
        <v>2.7434842249657062E-3</v>
      </c>
      <c r="E27" s="63" t="s">
        <v>88</v>
      </c>
      <c r="F27" s="60" t="s">
        <v>43</v>
      </c>
      <c r="G27" s="47">
        <v>1</v>
      </c>
      <c r="H27" s="133">
        <f>IF(B$17=0,0,G27/B$17)</f>
        <v>2.352941176470588E-3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2.352941176470588E-3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2.352941176470588E-3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74</v>
      </c>
      <c r="F30" s="60" t="s">
        <v>29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D9A38-4F8F-4D3E-96C5-D611969715B9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17</v>
      </c>
      <c r="C2" s="151"/>
      <c r="E2" s="62" t="s">
        <v>67</v>
      </c>
      <c r="F2" s="59" t="s">
        <v>23</v>
      </c>
      <c r="G2" s="46">
        <v>25</v>
      </c>
      <c r="H2" s="132">
        <f>IF(B$17=0,0,G2/B$17)</f>
        <v>0.65789473684210531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-1335.2941176470588</v>
      </c>
      <c r="P2" s="118">
        <v>17</v>
      </c>
      <c r="Q2" s="102">
        <v>-22700</v>
      </c>
    </row>
    <row r="3" spans="1:17" x14ac:dyDescent="0.4">
      <c r="A3" s="55" t="s">
        <v>8</v>
      </c>
      <c r="B3" s="152">
        <v>158</v>
      </c>
      <c r="C3" s="153"/>
      <c r="E3" s="63" t="s">
        <v>73</v>
      </c>
      <c r="F3" s="60" t="s">
        <v>28</v>
      </c>
      <c r="G3" s="47">
        <v>20</v>
      </c>
      <c r="H3" s="133">
        <f>IF(B$17=0,0,G3/B$17)</f>
        <v>0.52631578947368418</v>
      </c>
      <c r="I3" s="94">
        <v>7</v>
      </c>
      <c r="K3" s="38">
        <v>1</v>
      </c>
      <c r="L3" s="99">
        <v>-4.5999999999999996</v>
      </c>
      <c r="N3" s="115" t="s">
        <v>132</v>
      </c>
      <c r="O3" s="122">
        <f t="shared" si="0"/>
        <v>235.29411764705881</v>
      </c>
      <c r="P3" s="119">
        <v>17</v>
      </c>
      <c r="Q3" s="103">
        <v>4000</v>
      </c>
    </row>
    <row r="4" spans="1:17" x14ac:dyDescent="0.4">
      <c r="A4" s="55" t="s">
        <v>6</v>
      </c>
      <c r="B4" s="154">
        <v>-65.2</v>
      </c>
      <c r="C4" s="155"/>
      <c r="E4" s="63" t="s">
        <v>172</v>
      </c>
      <c r="F4" s="60" t="s">
        <v>173</v>
      </c>
      <c r="G4" s="47">
        <v>17</v>
      </c>
      <c r="H4" s="133">
        <f>IF(B$17=0,0,G4/B$17)</f>
        <v>0.44736842105263158</v>
      </c>
      <c r="I4" s="94">
        <v>1</v>
      </c>
      <c r="K4" s="38">
        <v>2</v>
      </c>
      <c r="L4" s="99">
        <v>19.899999999999999</v>
      </c>
      <c r="N4" s="115" t="s">
        <v>133</v>
      </c>
      <c r="O4" s="122">
        <f t="shared" si="0"/>
        <v>1029.4117647058824</v>
      </c>
      <c r="P4" s="119">
        <v>17</v>
      </c>
      <c r="Q4" s="103">
        <v>17500</v>
      </c>
    </row>
    <row r="5" spans="1:17" x14ac:dyDescent="0.4">
      <c r="A5" s="55" t="s">
        <v>7</v>
      </c>
      <c r="B5" s="156">
        <f>IF(B$2=0,0,B$4/B$2)</f>
        <v>-3.835294117647059</v>
      </c>
      <c r="C5" s="157"/>
      <c r="E5" s="63" t="s">
        <v>65</v>
      </c>
      <c r="F5" s="60" t="s">
        <v>21</v>
      </c>
      <c r="G5" s="47">
        <v>15</v>
      </c>
      <c r="H5" s="133">
        <f>IF(B$17=0,0,G5/B$17)</f>
        <v>0.39473684210526316</v>
      </c>
      <c r="I5" s="94">
        <v>9</v>
      </c>
      <c r="K5" s="38">
        <v>3</v>
      </c>
      <c r="L5" s="99">
        <v>-8.3000000000000007</v>
      </c>
      <c r="N5" s="115" t="s">
        <v>134</v>
      </c>
      <c r="O5" s="122">
        <f t="shared" si="0"/>
        <v>-418.75</v>
      </c>
      <c r="P5" s="119">
        <v>16</v>
      </c>
      <c r="Q5" s="103">
        <v>-6700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0.34210526315789475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-1762.5</v>
      </c>
      <c r="P6" s="119">
        <v>16</v>
      </c>
      <c r="Q6" s="103">
        <v>-28200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0.29411764705882354</v>
      </c>
      <c r="E7" s="63" t="s">
        <v>70</v>
      </c>
      <c r="F7" s="60" t="s">
        <v>25</v>
      </c>
      <c r="G7" s="47">
        <v>11</v>
      </c>
      <c r="H7" s="133">
        <f>IF(B$17=0,0,G7/B$17)</f>
        <v>0.28947368421052633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-2615.3846153846152</v>
      </c>
      <c r="P7" s="120">
        <v>13</v>
      </c>
      <c r="Q7" s="104">
        <v>-34000</v>
      </c>
    </row>
    <row r="8" spans="1:17" x14ac:dyDescent="0.4">
      <c r="A8" s="55" t="s">
        <v>3</v>
      </c>
      <c r="B8" s="47">
        <v>7</v>
      </c>
      <c r="C8" s="39">
        <f t="shared" si="1"/>
        <v>0.41176470588235292</v>
      </c>
      <c r="E8" s="63" t="s">
        <v>66</v>
      </c>
      <c r="F8" s="60" t="s">
        <v>22</v>
      </c>
      <c r="G8" s="47">
        <v>6</v>
      </c>
      <c r="H8" s="133">
        <f>IF(B$17=0,0,G8/B$17)</f>
        <v>0.15789473684210525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si="1"/>
        <v>0.29411764705882354</v>
      </c>
      <c r="E9" s="63" t="s">
        <v>68</v>
      </c>
      <c r="F9" s="60" t="s">
        <v>24</v>
      </c>
      <c r="G9" s="47">
        <v>6</v>
      </c>
      <c r="H9" s="133">
        <f>IF(B$17=0,0,G9/B$17)</f>
        <v>0.15789473684210525</v>
      </c>
      <c r="I9" s="94">
        <v>10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6</v>
      </c>
      <c r="H10" s="133">
        <f>IF(B$17=0,0,G10/B$17)</f>
        <v>0.15789473684210525</v>
      </c>
      <c r="I10" s="94">
        <v>1</v>
      </c>
      <c r="K10" s="38">
        <v>8</v>
      </c>
      <c r="L10" s="99">
        <v>-76.900000000000006</v>
      </c>
      <c r="N10" s="114" t="s">
        <v>163</v>
      </c>
      <c r="O10" s="124">
        <f>IF(P10=0,0,Q10/P10)</f>
        <v>-6.3833333333333329</v>
      </c>
      <c r="P10" s="118">
        <v>6</v>
      </c>
      <c r="Q10" s="106">
        <v>-38.299999999999997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5</v>
      </c>
      <c r="H11" s="133">
        <f>IF(B$17=0,0,G11/B$17)</f>
        <v>0.13157894736842105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-15.579999999999998</v>
      </c>
      <c r="P11" s="119">
        <v>5</v>
      </c>
      <c r="Q11" s="107">
        <v>-77.899999999999991</v>
      </c>
    </row>
    <row r="12" spans="1:17" x14ac:dyDescent="0.4">
      <c r="A12" s="57" t="s">
        <v>159</v>
      </c>
      <c r="B12" s="49">
        <v>3</v>
      </c>
      <c r="C12" s="42">
        <f t="shared" si="1"/>
        <v>0.17647058823529413</v>
      </c>
      <c r="E12" s="63" t="s">
        <v>84</v>
      </c>
      <c r="F12" s="60" t="s">
        <v>39</v>
      </c>
      <c r="G12" s="47">
        <v>3</v>
      </c>
      <c r="H12" s="133">
        <f>IF(B$17=0,0,G12/B$17)</f>
        <v>7.8947368421052627E-2</v>
      </c>
      <c r="I12" s="94">
        <v>4</v>
      </c>
      <c r="K12" s="38">
        <v>10</v>
      </c>
      <c r="L12" s="99">
        <v>-32.700000000000003</v>
      </c>
      <c r="N12" s="116" t="s">
        <v>165</v>
      </c>
      <c r="O12" s="126">
        <f>IF(P12=0,0,Q12/P12)</f>
        <v>8.5</v>
      </c>
      <c r="P12" s="120">
        <v>6</v>
      </c>
      <c r="Q12" s="108">
        <v>51</v>
      </c>
    </row>
    <row r="13" spans="1:17" x14ac:dyDescent="0.4">
      <c r="A13" s="58" t="s">
        <v>122</v>
      </c>
      <c r="B13" s="50">
        <v>30</v>
      </c>
      <c r="C13" s="44">
        <f>IF(B$3=0,0,B13/B$3)</f>
        <v>0.189873417721519</v>
      </c>
      <c r="E13" s="63" t="s">
        <v>82</v>
      </c>
      <c r="F13" s="60" t="s">
        <v>37</v>
      </c>
      <c r="G13" s="47">
        <v>2</v>
      </c>
      <c r="H13" s="133">
        <f>IF(B$17=0,0,G13/B$17)</f>
        <v>5.2631578947368418E-2</v>
      </c>
      <c r="I13" s="94">
        <v>2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37</v>
      </c>
      <c r="C14" s="39">
        <f>IF(B$3=0,0,B14/B$3)</f>
        <v>0.23417721518987342</v>
      </c>
      <c r="E14" s="63" t="s">
        <v>90</v>
      </c>
      <c r="F14" s="60" t="s">
        <v>45</v>
      </c>
      <c r="G14" s="47">
        <v>2</v>
      </c>
      <c r="H14" s="133">
        <f>IF(B$17=0,0,G14/B$17)</f>
        <v>5.2631578947368418E-2</v>
      </c>
      <c r="I14" s="94">
        <v>9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17</v>
      </c>
      <c r="C15" s="37">
        <f>IF(B$13=0,0,B15/B$13)</f>
        <v>0.56666666666666665</v>
      </c>
      <c r="E15" s="63" t="s">
        <v>78</v>
      </c>
      <c r="F15" s="60" t="s">
        <v>33</v>
      </c>
      <c r="G15" s="47">
        <v>1</v>
      </c>
      <c r="H15" s="133">
        <f>IF(B$17=0,0,G15/B$17)</f>
        <v>2.6315789473684209E-2</v>
      </c>
      <c r="I15" s="94">
        <v>1</v>
      </c>
      <c r="K15" s="38">
        <v>13</v>
      </c>
      <c r="L15" s="99">
        <v>-66.2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10</v>
      </c>
      <c r="C16" s="37">
        <f>IF(B$14=0,0,B16/B$14)</f>
        <v>0.27027027027027029</v>
      </c>
      <c r="E16" s="63" t="s">
        <v>87</v>
      </c>
      <c r="F16" s="60" t="s">
        <v>42</v>
      </c>
      <c r="G16" s="47">
        <v>1</v>
      </c>
      <c r="H16" s="133">
        <f>IF(B$17=0,0,G16/B$17)</f>
        <v>2.6315789473684209E-2</v>
      </c>
      <c r="I16" s="94">
        <v>9</v>
      </c>
      <c r="K16" s="38">
        <v>14</v>
      </c>
      <c r="L16" s="99">
        <v>-51.1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38</v>
      </c>
      <c r="C17" s="37">
        <f>IF(B$3=0,0,B17/B$3)</f>
        <v>0.24050632911392406</v>
      </c>
      <c r="E17" s="63" t="s">
        <v>89</v>
      </c>
      <c r="F17" s="60" t="s">
        <v>44</v>
      </c>
      <c r="G17" s="47">
        <v>1</v>
      </c>
      <c r="H17" s="133">
        <f>IF(B$17=0,0,G17/B$17)</f>
        <v>2.6315789473684209E-2</v>
      </c>
      <c r="I17" s="94">
        <v>1</v>
      </c>
      <c r="K17" s="38">
        <v>15</v>
      </c>
      <c r="L17" s="99">
        <v>-65.2</v>
      </c>
      <c r="N17" s="115" t="s">
        <v>127</v>
      </c>
      <c r="O17" s="125">
        <f>IF(P17=0,0,Q17/P17)</f>
        <v>-6.2692307692307727</v>
      </c>
      <c r="P17" s="119">
        <v>13</v>
      </c>
      <c r="Q17" s="107">
        <v>-81.500000000000043</v>
      </c>
    </row>
    <row r="18" spans="1:17" x14ac:dyDescent="0.4">
      <c r="A18" s="55" t="s">
        <v>12</v>
      </c>
      <c r="B18" s="47">
        <v>18</v>
      </c>
      <c r="C18" s="39">
        <f>IF(B$17=0,0,B18/B$17)</f>
        <v>0.47368421052631576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-70.600000000000009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20</v>
      </c>
      <c r="C19" s="39">
        <f>IF(B$17=0,0,B19/B$17)</f>
        <v>0.52631578947368418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-65.2</v>
      </c>
      <c r="N19" s="115" t="s">
        <v>180</v>
      </c>
      <c r="O19" s="125">
        <f>IF(P19=0,0,Q19/P19)</f>
        <v>-17.383333333333333</v>
      </c>
      <c r="P19" s="119">
        <v>6</v>
      </c>
      <c r="Q19" s="107">
        <v>-104.3</v>
      </c>
    </row>
    <row r="20" spans="1:17" x14ac:dyDescent="0.4">
      <c r="A20" s="55" t="s">
        <v>13</v>
      </c>
      <c r="B20" s="47">
        <v>26</v>
      </c>
      <c r="C20" s="39">
        <f>IF(B$3=0,0,B20/B$3)</f>
        <v>0.16455696202531644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3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17</v>
      </c>
      <c r="C22" s="135">
        <v>4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7444.7368421052633</v>
      </c>
      <c r="C23" s="41">
        <v>282900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6</v>
      </c>
    </row>
    <row r="24" spans="1:17" x14ac:dyDescent="0.4">
      <c r="A24" s="57" t="s">
        <v>14</v>
      </c>
      <c r="B24" s="52">
        <f>IF(B$20=0,0,C24/B$20)</f>
        <v>-6911.5384615384619</v>
      </c>
      <c r="C24" s="45">
        <v>-179700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3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51800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2</v>
      </c>
      <c r="C27" s="42">
        <f>IF(B$3=0,0,B27/B$3)</f>
        <v>1.2658227848101266E-2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F4563-924E-4BC7-A8DF-B45F62501561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36</v>
      </c>
      <c r="C2" s="151"/>
      <c r="E2" s="62" t="s">
        <v>67</v>
      </c>
      <c r="F2" s="59" t="s">
        <v>23</v>
      </c>
      <c r="G2" s="46">
        <v>54</v>
      </c>
      <c r="H2" s="132">
        <f>IF(B$17=0,0,G2/B$17)</f>
        <v>0.50943396226415094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-530.55555555555554</v>
      </c>
      <c r="P2" s="118">
        <v>36</v>
      </c>
      <c r="Q2" s="102">
        <v>-19100</v>
      </c>
    </row>
    <row r="3" spans="1:17" x14ac:dyDescent="0.4">
      <c r="A3" s="55" t="s">
        <v>8</v>
      </c>
      <c r="B3" s="152">
        <v>315</v>
      </c>
      <c r="C3" s="153"/>
      <c r="E3" s="63" t="s">
        <v>73</v>
      </c>
      <c r="F3" s="60" t="s">
        <v>28</v>
      </c>
      <c r="G3" s="47">
        <v>52</v>
      </c>
      <c r="H3" s="133">
        <f>IF(B$17=0,0,G3/B$17)</f>
        <v>0.49056603773584906</v>
      </c>
      <c r="I3" s="94">
        <v>9</v>
      </c>
      <c r="K3" s="38">
        <v>1</v>
      </c>
      <c r="L3" s="99">
        <v>50.2</v>
      </c>
      <c r="N3" s="115" t="s">
        <v>132</v>
      </c>
      <c r="O3" s="122">
        <f t="shared" si="0"/>
        <v>-1764.7058823529412</v>
      </c>
      <c r="P3" s="119">
        <v>34</v>
      </c>
      <c r="Q3" s="103">
        <v>-60000</v>
      </c>
    </row>
    <row r="4" spans="1:17" x14ac:dyDescent="0.4">
      <c r="A4" s="55" t="s">
        <v>6</v>
      </c>
      <c r="B4" s="154">
        <v>312.09999999999991</v>
      </c>
      <c r="C4" s="155"/>
      <c r="E4" s="63" t="s">
        <v>65</v>
      </c>
      <c r="F4" s="60" t="s">
        <v>21</v>
      </c>
      <c r="G4" s="47">
        <v>42</v>
      </c>
      <c r="H4" s="133">
        <f>IF(B$17=0,0,G4/B$17)</f>
        <v>0.39622641509433965</v>
      </c>
      <c r="I4" s="94">
        <v>7</v>
      </c>
      <c r="K4" s="38">
        <v>2</v>
      </c>
      <c r="L4" s="99">
        <v>14.400000000000006</v>
      </c>
      <c r="N4" s="115" t="s">
        <v>133</v>
      </c>
      <c r="O4" s="122">
        <f t="shared" si="0"/>
        <v>35.294117647058826</v>
      </c>
      <c r="P4" s="119">
        <v>34</v>
      </c>
      <c r="Q4" s="103">
        <v>1200</v>
      </c>
    </row>
    <row r="5" spans="1:17" x14ac:dyDescent="0.4">
      <c r="A5" s="55" t="s">
        <v>7</v>
      </c>
      <c r="B5" s="156">
        <f>IF(B$2=0,0,B$4/B$2)</f>
        <v>8.6694444444444425</v>
      </c>
      <c r="C5" s="157"/>
      <c r="E5" s="63" t="s">
        <v>172</v>
      </c>
      <c r="F5" s="60" t="s">
        <v>173</v>
      </c>
      <c r="G5" s="47">
        <v>32</v>
      </c>
      <c r="H5" s="133">
        <f>IF(B$17=0,0,G5/B$17)</f>
        <v>0.30188679245283018</v>
      </c>
      <c r="I5" s="94">
        <v>8</v>
      </c>
      <c r="K5" s="38">
        <v>3</v>
      </c>
      <c r="L5" s="99">
        <v>40.400000000000006</v>
      </c>
      <c r="N5" s="115" t="s">
        <v>134</v>
      </c>
      <c r="O5" s="122">
        <f t="shared" si="0"/>
        <v>-618.75</v>
      </c>
      <c r="P5" s="119">
        <v>32</v>
      </c>
      <c r="Q5" s="103">
        <v>-19800</v>
      </c>
    </row>
    <row r="6" spans="1:17" x14ac:dyDescent="0.4">
      <c r="A6" s="55" t="s">
        <v>1</v>
      </c>
      <c r="B6" s="146">
        <f>IF(B$2=0,0,(B$7*1+B$8*2+B$9*3)/B$2)</f>
        <v>1.7777777777777777</v>
      </c>
      <c r="C6" s="147"/>
      <c r="E6" s="63" t="s">
        <v>69</v>
      </c>
      <c r="F6" s="60" t="s">
        <v>12</v>
      </c>
      <c r="G6" s="47">
        <v>29</v>
      </c>
      <c r="H6" s="133">
        <f>IF(B$17=0,0,G6/B$17)</f>
        <v>0.27358490566037735</v>
      </c>
      <c r="I6" s="94">
        <v>7</v>
      </c>
      <c r="K6" s="38">
        <v>4</v>
      </c>
      <c r="L6" s="99">
        <v>101.60000000000001</v>
      </c>
      <c r="N6" s="115" t="s">
        <v>135</v>
      </c>
      <c r="O6" s="122">
        <f t="shared" si="0"/>
        <v>5450</v>
      </c>
      <c r="P6" s="119">
        <v>30</v>
      </c>
      <c r="Q6" s="103">
        <v>163500</v>
      </c>
    </row>
    <row r="7" spans="1:17" x14ac:dyDescent="0.4">
      <c r="A7" s="55" t="s">
        <v>2</v>
      </c>
      <c r="B7" s="47">
        <v>18</v>
      </c>
      <c r="C7" s="39">
        <f t="shared" ref="C7:C12" si="1">IF(B$2=0,0,B7/B$2)</f>
        <v>0.5</v>
      </c>
      <c r="E7" s="63" t="s">
        <v>68</v>
      </c>
      <c r="F7" s="60" t="s">
        <v>24</v>
      </c>
      <c r="G7" s="47">
        <v>27</v>
      </c>
      <c r="H7" s="133">
        <f>IF(B$17=0,0,G7/B$17)</f>
        <v>0.25471698113207547</v>
      </c>
      <c r="I7" s="94">
        <v>4</v>
      </c>
      <c r="K7" s="38">
        <v>5</v>
      </c>
      <c r="L7" s="99">
        <v>99.9</v>
      </c>
      <c r="N7" s="116" t="s">
        <v>136</v>
      </c>
      <c r="O7" s="123">
        <f t="shared" si="0"/>
        <v>6343.478260869565</v>
      </c>
      <c r="P7" s="120">
        <v>23</v>
      </c>
      <c r="Q7" s="104">
        <v>145900</v>
      </c>
    </row>
    <row r="8" spans="1:17" x14ac:dyDescent="0.4">
      <c r="A8" s="55" t="s">
        <v>3</v>
      </c>
      <c r="B8" s="47">
        <v>8</v>
      </c>
      <c r="C8" s="39">
        <f t="shared" si="1"/>
        <v>0.22222222222222221</v>
      </c>
      <c r="E8" s="63" t="s">
        <v>90</v>
      </c>
      <c r="F8" s="60" t="s">
        <v>45</v>
      </c>
      <c r="G8" s="47">
        <v>18</v>
      </c>
      <c r="H8" s="133">
        <f>IF(B$17=0,0,G8/B$17)</f>
        <v>0.16981132075471697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0.27777777777777779</v>
      </c>
      <c r="E9" s="63" t="s">
        <v>70</v>
      </c>
      <c r="F9" s="60" t="s">
        <v>25</v>
      </c>
      <c r="G9" s="47">
        <v>16</v>
      </c>
      <c r="H9" s="133">
        <f>IF(B$17=0,0,G9/B$17)</f>
        <v>0.15094339622641509</v>
      </c>
      <c r="I9" s="94">
        <v>4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5.5555555555555552E-2</v>
      </c>
      <c r="E10" s="63" t="s">
        <v>66</v>
      </c>
      <c r="F10" s="60" t="s">
        <v>22</v>
      </c>
      <c r="G10" s="47">
        <v>10</v>
      </c>
      <c r="H10" s="133">
        <f>IF(B$17=0,0,G10/B$17)</f>
        <v>9.4339622641509441E-2</v>
      </c>
      <c r="I10" s="94">
        <v>5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 x14ac:dyDescent="0.4">
      <c r="A11" s="56" t="s">
        <v>139</v>
      </c>
      <c r="B11" s="48">
        <v>4</v>
      </c>
      <c r="C11" s="40">
        <f t="shared" si="1"/>
        <v>0.1111111111111111</v>
      </c>
      <c r="E11" s="63" t="s">
        <v>71</v>
      </c>
      <c r="F11" s="60" t="s">
        <v>26</v>
      </c>
      <c r="G11" s="47">
        <v>7</v>
      </c>
      <c r="H11" s="133">
        <f>IF(B$17=0,0,G11/B$17)</f>
        <v>6.6037735849056603E-2</v>
      </c>
      <c r="I11" s="94">
        <v>7</v>
      </c>
      <c r="K11" s="38">
        <v>9</v>
      </c>
      <c r="L11" s="99">
        <v>180.89999999999998</v>
      </c>
      <c r="N11" s="115" t="s">
        <v>164</v>
      </c>
      <c r="O11" s="125">
        <f>IF(P11=0,0,Q11/P11)</f>
        <v>7.9125000000000014</v>
      </c>
      <c r="P11" s="119">
        <v>16</v>
      </c>
      <c r="Q11" s="107">
        <v>126.60000000000002</v>
      </c>
    </row>
    <row r="12" spans="1:17" x14ac:dyDescent="0.4">
      <c r="A12" s="57" t="s">
        <v>159</v>
      </c>
      <c r="B12" s="49">
        <v>6</v>
      </c>
      <c r="C12" s="42">
        <f t="shared" si="1"/>
        <v>0.16666666666666666</v>
      </c>
      <c r="E12" s="63" t="s">
        <v>72</v>
      </c>
      <c r="F12" s="60" t="s">
        <v>27</v>
      </c>
      <c r="G12" s="47">
        <v>7</v>
      </c>
      <c r="H12" s="133">
        <f>IF(B$17=0,0,G12/B$17)</f>
        <v>6.6037735849056603E-2</v>
      </c>
      <c r="I12" s="94">
        <v>4</v>
      </c>
      <c r="K12" s="38">
        <v>10</v>
      </c>
      <c r="L12" s="99">
        <v>158.19999999999999</v>
      </c>
      <c r="N12" s="116" t="s">
        <v>165</v>
      </c>
      <c r="O12" s="126">
        <f>IF(P12=0,0,Q12/P12)</f>
        <v>5.1538461538461524</v>
      </c>
      <c r="P12" s="120">
        <v>13</v>
      </c>
      <c r="Q12" s="108">
        <v>66.999999999999986</v>
      </c>
    </row>
    <row r="13" spans="1:17" x14ac:dyDescent="0.4">
      <c r="A13" s="58" t="s">
        <v>122</v>
      </c>
      <c r="B13" s="50">
        <v>78</v>
      </c>
      <c r="C13" s="44">
        <f>IF(B$3=0,0,B13/B$3)</f>
        <v>0.24761904761904763</v>
      </c>
      <c r="E13" s="63" t="s">
        <v>84</v>
      </c>
      <c r="F13" s="60" t="s">
        <v>39</v>
      </c>
      <c r="G13" s="47">
        <v>6</v>
      </c>
      <c r="H13" s="133">
        <f>IF(B$17=0,0,G13/B$17)</f>
        <v>5.6603773584905662E-2</v>
      </c>
      <c r="I13" s="94">
        <v>7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70</v>
      </c>
      <c r="C14" s="39">
        <f>IF(B$3=0,0,B14/B$3)</f>
        <v>0.22222222222222221</v>
      </c>
      <c r="E14" s="63" t="s">
        <v>79</v>
      </c>
      <c r="F14" s="60" t="s">
        <v>34</v>
      </c>
      <c r="G14" s="47">
        <v>4</v>
      </c>
      <c r="H14" s="133">
        <f>IF(B$17=0,0,G14/B$17)</f>
        <v>3.7735849056603772E-2</v>
      </c>
      <c r="I14" s="94">
        <v>4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47</v>
      </c>
      <c r="C15" s="37">
        <f>IF(B$13=0,0,B15/B$13)</f>
        <v>0.60256410256410253</v>
      </c>
      <c r="E15" s="63" t="s">
        <v>87</v>
      </c>
      <c r="F15" s="60" t="s">
        <v>42</v>
      </c>
      <c r="G15" s="47">
        <v>4</v>
      </c>
      <c r="H15" s="133">
        <f>IF(B$17=0,0,G15/B$17)</f>
        <v>3.7735849056603772E-2</v>
      </c>
      <c r="I15" s="94">
        <v>8</v>
      </c>
      <c r="K15" s="38">
        <v>13</v>
      </c>
      <c r="L15" s="99">
        <v>206.39999999999998</v>
      </c>
      <c r="N15" s="114" t="s">
        <v>182</v>
      </c>
      <c r="O15" s="124">
        <f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37</v>
      </c>
      <c r="C16" s="37">
        <f>IF(B$14=0,0,B16/B$14)</f>
        <v>0.52857142857142858</v>
      </c>
      <c r="E16" s="63" t="s">
        <v>168</v>
      </c>
      <c r="F16" s="60" t="s">
        <v>169</v>
      </c>
      <c r="G16" s="47">
        <v>4</v>
      </c>
      <c r="H16" s="133">
        <f>IF(B$17=0,0,G16/B$17)</f>
        <v>3.7735849056603772E-2</v>
      </c>
      <c r="I16" s="94">
        <v>1</v>
      </c>
      <c r="K16" s="38">
        <v>14</v>
      </c>
      <c r="L16" s="99">
        <v>240.09999999999997</v>
      </c>
      <c r="N16" s="115" t="s">
        <v>179</v>
      </c>
      <c r="O16" s="125">
        <f>IF(P16=0,0,Q16/P16)</f>
        <v>29.966666666666672</v>
      </c>
      <c r="P16" s="119">
        <v>6</v>
      </c>
      <c r="Q16" s="107">
        <v>179.80000000000004</v>
      </c>
    </row>
    <row r="17" spans="1:17" x14ac:dyDescent="0.4">
      <c r="A17" s="54" t="s">
        <v>10</v>
      </c>
      <c r="B17" s="46">
        <f>B19+B18</f>
        <v>106</v>
      </c>
      <c r="C17" s="37">
        <f>IF(B$3=0,0,B17/B$3)</f>
        <v>0.33650793650793653</v>
      </c>
      <c r="E17" s="63" t="s">
        <v>78</v>
      </c>
      <c r="F17" s="60" t="s">
        <v>33</v>
      </c>
      <c r="G17" s="47">
        <v>2</v>
      </c>
      <c r="H17" s="133">
        <f>IF(B$17=0,0,G17/B$17)</f>
        <v>1.8867924528301886E-2</v>
      </c>
      <c r="I17" s="94">
        <v>2</v>
      </c>
      <c r="K17" s="38">
        <v>15</v>
      </c>
      <c r="L17" s="99">
        <v>269.49999999999994</v>
      </c>
      <c r="N17" s="115" t="s">
        <v>180</v>
      </c>
      <c r="O17" s="125">
        <f>IF(P17=0,0,Q17/P17)</f>
        <v>22.028571428571432</v>
      </c>
      <c r="P17" s="119">
        <v>14</v>
      </c>
      <c r="Q17" s="107">
        <v>308.40000000000003</v>
      </c>
    </row>
    <row r="18" spans="1:17" x14ac:dyDescent="0.4">
      <c r="A18" s="55" t="s">
        <v>12</v>
      </c>
      <c r="B18" s="47">
        <v>46</v>
      </c>
      <c r="C18" s="39">
        <f>IF(B$17=0,0,B18/B$17)</f>
        <v>0.43396226415094341</v>
      </c>
      <c r="E18" s="63" t="s">
        <v>85</v>
      </c>
      <c r="F18" s="60" t="s">
        <v>40</v>
      </c>
      <c r="G18" s="47">
        <v>2</v>
      </c>
      <c r="H18" s="133">
        <f>IF(B$17=0,0,G18/B$17)</f>
        <v>1.8867924528301886E-2</v>
      </c>
      <c r="I18" s="94">
        <v>1</v>
      </c>
      <c r="K18" s="38">
        <v>16</v>
      </c>
      <c r="L18" s="99">
        <v>323.69999999999993</v>
      </c>
      <c r="N18" s="115" t="s">
        <v>128</v>
      </c>
      <c r="O18" s="125">
        <f>IF(P18=0,0,Q18/P18)</f>
        <v>10.009999999999998</v>
      </c>
      <c r="P18" s="119">
        <v>30</v>
      </c>
      <c r="Q18" s="107">
        <v>300.29999999999995</v>
      </c>
    </row>
    <row r="19" spans="1:17" x14ac:dyDescent="0.4">
      <c r="A19" s="55" t="s">
        <v>11</v>
      </c>
      <c r="B19" s="47">
        <v>60</v>
      </c>
      <c r="C19" s="39">
        <f>IF(B$17=0,0,B19/B$17)</f>
        <v>0.56603773584905659</v>
      </c>
      <c r="E19" s="63" t="s">
        <v>93</v>
      </c>
      <c r="F19" s="60" t="s">
        <v>48</v>
      </c>
      <c r="G19" s="47">
        <v>2</v>
      </c>
      <c r="H19" s="133">
        <f>IF(B$17=0,0,G19/B$17)</f>
        <v>1.8867924528301886E-2</v>
      </c>
      <c r="I19" s="94">
        <v>2</v>
      </c>
      <c r="K19" s="38">
        <v>17</v>
      </c>
      <c r="L19" s="99">
        <v>359.09999999999991</v>
      </c>
      <c r="N19" s="115" t="s">
        <v>167</v>
      </c>
      <c r="O19" s="125">
        <f>IF(P19=0,0,Q19/P19)</f>
        <v>6.2692307692307683</v>
      </c>
      <c r="P19" s="119">
        <v>13</v>
      </c>
      <c r="Q19" s="107">
        <v>81.499999999999986</v>
      </c>
    </row>
    <row r="20" spans="1:17" x14ac:dyDescent="0.4">
      <c r="A20" s="55" t="s">
        <v>13</v>
      </c>
      <c r="B20" s="47">
        <v>44</v>
      </c>
      <c r="C20" s="39">
        <f>IF(B$3=0,0,B20/B$3)</f>
        <v>0.13968253968253969</v>
      </c>
      <c r="E20" s="63" t="s">
        <v>75</v>
      </c>
      <c r="F20" s="60" t="s">
        <v>30</v>
      </c>
      <c r="G20" s="47">
        <v>1</v>
      </c>
      <c r="H20" s="133">
        <f>IF(B$17=0,0,G20/B$17)</f>
        <v>9.433962264150943E-3</v>
      </c>
      <c r="I20" s="94">
        <v>1</v>
      </c>
      <c r="K20" s="38">
        <v>18</v>
      </c>
      <c r="L20" s="99">
        <v>352.39999999999992</v>
      </c>
      <c r="N20" s="115" t="s">
        <v>178</v>
      </c>
      <c r="O20" s="125">
        <f>IF(P20=0,0,Q20/P20)</f>
        <v>-13.816666666666668</v>
      </c>
      <c r="P20" s="119">
        <v>6</v>
      </c>
      <c r="Q20" s="107">
        <v>-82.9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82</v>
      </c>
      <c r="F21" s="60" t="s">
        <v>37</v>
      </c>
      <c r="G21" s="47">
        <v>1</v>
      </c>
      <c r="H21" s="133">
        <f>IF(B$17=0,0,G21/B$17)</f>
        <v>9.433962264150943E-3</v>
      </c>
      <c r="I21" s="94">
        <v>7</v>
      </c>
      <c r="K21" s="38">
        <v>19</v>
      </c>
      <c r="L21" s="99">
        <v>383.19999999999993</v>
      </c>
    </row>
    <row r="22" spans="1:17" x14ac:dyDescent="0.4">
      <c r="A22" s="55" t="s">
        <v>171</v>
      </c>
      <c r="B22" s="47">
        <v>27</v>
      </c>
      <c r="C22" s="135">
        <v>1</v>
      </c>
      <c r="E22" s="63" t="s">
        <v>86</v>
      </c>
      <c r="F22" s="60" t="s">
        <v>41</v>
      </c>
      <c r="G22" s="47">
        <v>1</v>
      </c>
      <c r="H22" s="133">
        <f>IF(B$17=0,0,G22/B$17)</f>
        <v>9.433962264150943E-3</v>
      </c>
      <c r="I22" s="94">
        <v>3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8090.566037735849</v>
      </c>
      <c r="C23" s="41">
        <v>857600</v>
      </c>
      <c r="E23" s="63" t="s">
        <v>89</v>
      </c>
      <c r="F23" s="60" t="s">
        <v>44</v>
      </c>
      <c r="G23" s="47">
        <v>1</v>
      </c>
      <c r="H23" s="133">
        <f>IF(B$17=0,0,G23/B$17)</f>
        <v>9.433962264150943E-3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-7722.727272727273</v>
      </c>
      <c r="C24" s="45">
        <v>-339800</v>
      </c>
      <c r="E24" s="63" t="s">
        <v>91</v>
      </c>
      <c r="F24" s="60" t="s">
        <v>46</v>
      </c>
      <c r="G24" s="47">
        <v>1</v>
      </c>
      <c r="H24" s="133">
        <f>IF(B$17=0,0,G24/B$17)</f>
        <v>9.433962264150943E-3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6</v>
      </c>
      <c r="C25" s="145"/>
      <c r="E25" s="63" t="s">
        <v>92</v>
      </c>
      <c r="F25" s="60" t="s">
        <v>47</v>
      </c>
      <c r="G25" s="47">
        <v>1</v>
      </c>
      <c r="H25" s="133">
        <f>IF(B$17=0,0,G25/B$17)</f>
        <v>9.433962264150943E-3</v>
      </c>
      <c r="I25" s="94">
        <v>5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>IF(B$17=0,0,G26/B$17)</f>
        <v>9.433962264150943E-3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375.79999999999995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349.39999999999992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4C632-7738-46B8-A315-6C2E8ECBC157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38</v>
      </c>
      <c r="C2" s="151"/>
      <c r="E2" s="62" t="s">
        <v>65</v>
      </c>
      <c r="F2" s="59" t="s">
        <v>21</v>
      </c>
      <c r="G2" s="46">
        <v>42</v>
      </c>
      <c r="H2" s="132">
        <f>IF(B$17=0,0,G2/B$17)</f>
        <v>0.39622641509433965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839.47368421052636</v>
      </c>
      <c r="P2" s="118">
        <v>38</v>
      </c>
      <c r="Q2" s="102">
        <v>31900</v>
      </c>
    </row>
    <row r="3" spans="1:17" x14ac:dyDescent="0.4">
      <c r="A3" s="55" t="s">
        <v>8</v>
      </c>
      <c r="B3" s="152">
        <v>334</v>
      </c>
      <c r="C3" s="153"/>
      <c r="E3" s="63" t="s">
        <v>66</v>
      </c>
      <c r="F3" s="60" t="s">
        <v>22</v>
      </c>
      <c r="G3" s="47">
        <v>8</v>
      </c>
      <c r="H3" s="133">
        <f>IF(B$17=0,0,G3/B$17)</f>
        <v>7.5471698113207544E-2</v>
      </c>
      <c r="I3" s="94">
        <v>8</v>
      </c>
      <c r="K3" s="38">
        <v>1</v>
      </c>
      <c r="L3" s="99">
        <v>-45.6</v>
      </c>
      <c r="N3" s="115" t="s">
        <v>132</v>
      </c>
      <c r="O3" s="122">
        <f t="shared" si="0"/>
        <v>766.66666666666663</v>
      </c>
      <c r="P3" s="119">
        <v>36</v>
      </c>
      <c r="Q3" s="103">
        <v>27600</v>
      </c>
    </row>
    <row r="4" spans="1:17" x14ac:dyDescent="0.4">
      <c r="A4" s="55" t="s">
        <v>6</v>
      </c>
      <c r="B4" s="154">
        <v>110.89999999999993</v>
      </c>
      <c r="C4" s="155"/>
      <c r="E4" s="63" t="s">
        <v>67</v>
      </c>
      <c r="F4" s="60" t="s">
        <v>23</v>
      </c>
      <c r="G4" s="47">
        <v>110</v>
      </c>
      <c r="H4" s="133">
        <f>IF(B$17=0,0,G4/B$17)</f>
        <v>1.0377358490566038</v>
      </c>
      <c r="I4" s="94">
        <v>2</v>
      </c>
      <c r="K4" s="38">
        <v>2</v>
      </c>
      <c r="L4" s="99">
        <v>-34.299999999999997</v>
      </c>
      <c r="N4" s="115" t="s">
        <v>133</v>
      </c>
      <c r="O4" s="122">
        <f t="shared" si="0"/>
        <v>2611.4285714285716</v>
      </c>
      <c r="P4" s="119">
        <v>35</v>
      </c>
      <c r="Q4" s="103">
        <v>91400</v>
      </c>
    </row>
    <row r="5" spans="1:17" x14ac:dyDescent="0.4">
      <c r="A5" s="55" t="s">
        <v>7</v>
      </c>
      <c r="B5" s="156">
        <f>IF(B$2=0,0,B$4/B$2)</f>
        <v>2.9184210526315773</v>
      </c>
      <c r="C5" s="157"/>
      <c r="E5" s="63" t="s">
        <v>68</v>
      </c>
      <c r="F5" s="60" t="s">
        <v>24</v>
      </c>
      <c r="G5" s="47">
        <v>24</v>
      </c>
      <c r="H5" s="133">
        <f>IF(B$17=0,0,G5/B$17)</f>
        <v>0.22641509433962265</v>
      </c>
      <c r="I5" s="94">
        <v>6</v>
      </c>
      <c r="K5" s="38">
        <v>3</v>
      </c>
      <c r="L5" s="99">
        <v>-58.599999999999994</v>
      </c>
      <c r="N5" s="115" t="s">
        <v>134</v>
      </c>
      <c r="O5" s="122">
        <f t="shared" si="0"/>
        <v>2679.4117647058824</v>
      </c>
      <c r="P5" s="119">
        <v>34</v>
      </c>
      <c r="Q5" s="103">
        <v>91100</v>
      </c>
    </row>
    <row r="6" spans="1:17" x14ac:dyDescent="0.4">
      <c r="A6" s="55" t="s">
        <v>1</v>
      </c>
      <c r="B6" s="146">
        <f>IF(B$2=0,0,(B$7*1+B$8*2+B$9*3)/B$2)</f>
        <v>1.9473684210526316</v>
      </c>
      <c r="C6" s="147"/>
      <c r="E6" s="63" t="s">
        <v>69</v>
      </c>
      <c r="F6" s="60" t="s">
        <v>12</v>
      </c>
      <c r="G6" s="47">
        <v>30</v>
      </c>
      <c r="H6" s="133">
        <f>IF(B$17=0,0,G6/B$17)</f>
        <v>0.28301886792452829</v>
      </c>
      <c r="I6" s="94">
        <v>6</v>
      </c>
      <c r="K6" s="38">
        <v>4</v>
      </c>
      <c r="L6" s="99">
        <v>-38.099999999999994</v>
      </c>
      <c r="N6" s="115" t="s">
        <v>135</v>
      </c>
      <c r="O6" s="122">
        <f t="shared" si="0"/>
        <v>-3151.6129032258063</v>
      </c>
      <c r="P6" s="119">
        <v>31</v>
      </c>
      <c r="Q6" s="103">
        <v>-97700</v>
      </c>
    </row>
    <row r="7" spans="1:17" x14ac:dyDescent="0.4">
      <c r="A7" s="55" t="s">
        <v>2</v>
      </c>
      <c r="B7" s="47">
        <v>12</v>
      </c>
      <c r="C7" s="39">
        <f t="shared" ref="C7:C12" si="1">IF(B$2=0,0,B7/B$2)</f>
        <v>0.31578947368421051</v>
      </c>
      <c r="E7" s="63" t="s">
        <v>70</v>
      </c>
      <c r="F7" s="60" t="s">
        <v>25</v>
      </c>
      <c r="G7" s="47">
        <v>8</v>
      </c>
      <c r="H7" s="133">
        <f>IF(B$17=0,0,G7/B$17)</f>
        <v>7.5471698113207544E-2</v>
      </c>
      <c r="I7" s="94">
        <v>7</v>
      </c>
      <c r="K7" s="38">
        <v>5</v>
      </c>
      <c r="L7" s="99">
        <v>-11.299999999999994</v>
      </c>
      <c r="N7" s="116" t="s">
        <v>136</v>
      </c>
      <c r="O7" s="123">
        <f t="shared" si="0"/>
        <v>-1920.8333333333333</v>
      </c>
      <c r="P7" s="120">
        <v>24</v>
      </c>
      <c r="Q7" s="104">
        <v>-46100</v>
      </c>
    </row>
    <row r="8" spans="1:17" x14ac:dyDescent="0.4">
      <c r="A8" s="55" t="s">
        <v>3</v>
      </c>
      <c r="B8" s="47">
        <v>16</v>
      </c>
      <c r="C8" s="39">
        <f t="shared" si="1"/>
        <v>0.42105263157894735</v>
      </c>
      <c r="E8" s="63" t="s">
        <v>71</v>
      </c>
      <c r="F8" s="60" t="s">
        <v>26</v>
      </c>
      <c r="G8" s="47">
        <v>3</v>
      </c>
      <c r="H8" s="133">
        <f>IF(B$17=0,0,G8/B$17)</f>
        <v>2.8301886792452831E-2</v>
      </c>
      <c r="I8" s="94">
        <v>9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0.26315789473684209</v>
      </c>
      <c r="E9" s="63" t="s">
        <v>72</v>
      </c>
      <c r="F9" s="60" t="s">
        <v>27</v>
      </c>
      <c r="G9" s="47">
        <v>3</v>
      </c>
      <c r="H9" s="133">
        <f>IF(B$17=0,0,G9/B$17)</f>
        <v>2.8301886792452831E-2</v>
      </c>
      <c r="I9" s="94">
        <v>7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5</v>
      </c>
      <c r="C10" s="40">
        <f t="shared" si="1"/>
        <v>0.13157894736842105</v>
      </c>
      <c r="E10" s="63" t="s">
        <v>73</v>
      </c>
      <c r="F10" s="60" t="s">
        <v>28</v>
      </c>
      <c r="G10" s="47">
        <v>71</v>
      </c>
      <c r="H10" s="133">
        <f>IF(B$17=0,0,G10/B$17)</f>
        <v>0.66981132075471694</v>
      </c>
      <c r="I10" s="94">
        <v>3</v>
      </c>
      <c r="K10" s="38">
        <v>8</v>
      </c>
      <c r="L10" s="99">
        <v>-56.79999999999999</v>
      </c>
      <c r="N10" s="114" t="s">
        <v>163</v>
      </c>
      <c r="O10" s="124">
        <f>IF(P10=0,0,Q10/P10)</f>
        <v>10.054545454545455</v>
      </c>
      <c r="P10" s="118">
        <v>11</v>
      </c>
      <c r="Q10" s="106">
        <v>110.60000000000001</v>
      </c>
    </row>
    <row r="11" spans="1:17" x14ac:dyDescent="0.4">
      <c r="A11" s="56" t="s">
        <v>139</v>
      </c>
      <c r="B11" s="48">
        <v>6</v>
      </c>
      <c r="C11" s="40">
        <f t="shared" si="1"/>
        <v>0.15789473684210525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-83.699999999999989</v>
      </c>
      <c r="N11" s="115" t="s">
        <v>164</v>
      </c>
      <c r="O11" s="125">
        <f>IF(P11=0,0,Q11/P11)</f>
        <v>3.2699999999999996</v>
      </c>
      <c r="P11" s="119">
        <v>10</v>
      </c>
      <c r="Q11" s="107">
        <v>32.699999999999996</v>
      </c>
    </row>
    <row r="12" spans="1:17" x14ac:dyDescent="0.4">
      <c r="A12" s="57" t="s">
        <v>159</v>
      </c>
      <c r="B12" s="49">
        <v>8</v>
      </c>
      <c r="C12" s="42">
        <f t="shared" si="1"/>
        <v>0.21052631578947367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-78.399999999999991</v>
      </c>
      <c r="N12" s="116" t="s">
        <v>165</v>
      </c>
      <c r="O12" s="126">
        <f>IF(P12=0,0,Q12/P12)</f>
        <v>-1.9058823529411768</v>
      </c>
      <c r="P12" s="120">
        <v>17</v>
      </c>
      <c r="Q12" s="108">
        <v>-32.400000000000006</v>
      </c>
    </row>
    <row r="13" spans="1:17" x14ac:dyDescent="0.4">
      <c r="A13" s="58" t="s">
        <v>122</v>
      </c>
      <c r="B13" s="50">
        <v>71</v>
      </c>
      <c r="C13" s="44">
        <f>IF(B$3=0,0,B13/B$3)</f>
        <v>0.21257485029940121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</v>
      </c>
      <c r="C14" s="39">
        <f>IF(B$3=0,0,B14/B$3)</f>
        <v>0.33532934131736525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40</v>
      </c>
      <c r="C15" s="37">
        <f>IF(B$13=0,0,B15/B$13)</f>
        <v>0.56338028169014087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-86.8</v>
      </c>
      <c r="N15" s="114" t="s">
        <v>196</v>
      </c>
      <c r="O15" s="124">
        <f t="shared" ref="O15:O22" si="2"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46</v>
      </c>
      <c r="C16" s="37">
        <f>IF(B$14=0,0,B16/B$14)</f>
        <v>0.4107142857142857</v>
      </c>
      <c r="E16" s="63" t="s">
        <v>79</v>
      </c>
      <c r="F16" s="60" t="s">
        <v>34</v>
      </c>
      <c r="G16" s="47">
        <v>4</v>
      </c>
      <c r="H16" s="133">
        <f>IF(B$17=0,0,G16/B$17)</f>
        <v>3.7735849056603772E-2</v>
      </c>
      <c r="I16" s="94">
        <v>4</v>
      </c>
      <c r="K16" s="38">
        <v>14</v>
      </c>
      <c r="L16" s="99">
        <v>-138.4</v>
      </c>
      <c r="N16" s="115" t="s">
        <v>183</v>
      </c>
      <c r="O16" s="125">
        <f t="shared" si="2"/>
        <v>32.799999999999997</v>
      </c>
      <c r="P16" s="119">
        <v>2</v>
      </c>
      <c r="Q16" s="107">
        <v>65.599999999999994</v>
      </c>
    </row>
    <row r="17" spans="1:17" x14ac:dyDescent="0.4">
      <c r="A17" s="54" t="s">
        <v>10</v>
      </c>
      <c r="B17" s="46">
        <f>B19+B18</f>
        <v>106</v>
      </c>
      <c r="C17" s="37">
        <f>IF(B$3=0,0,B17/B$3)</f>
        <v>0.31736526946107785</v>
      </c>
      <c r="E17" s="63" t="s">
        <v>80</v>
      </c>
      <c r="F17" s="60" t="s">
        <v>35</v>
      </c>
      <c r="G17" s="47">
        <v>2</v>
      </c>
      <c r="H17" s="133">
        <f>IF(B$17=0,0,G17/B$17)</f>
        <v>1.8867924528301886E-2</v>
      </c>
      <c r="I17" s="94">
        <v>4</v>
      </c>
      <c r="K17" s="38">
        <v>15</v>
      </c>
      <c r="L17" s="99">
        <v>-144.30000000000001</v>
      </c>
      <c r="N17" s="115" t="s">
        <v>179</v>
      </c>
      <c r="O17" s="125">
        <f t="shared" si="2"/>
        <v>22.281818181818185</v>
      </c>
      <c r="P17" s="119">
        <v>11</v>
      </c>
      <c r="Q17" s="107">
        <v>245.10000000000005</v>
      </c>
    </row>
    <row r="18" spans="1:17" x14ac:dyDescent="0.4">
      <c r="A18" s="55" t="s">
        <v>12</v>
      </c>
      <c r="B18" s="47">
        <v>39</v>
      </c>
      <c r="C18" s="39">
        <f>IF(B$17=0,0,B18/B$17)</f>
        <v>0.36792452830188677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178</v>
      </c>
      <c r="O18" s="125">
        <f t="shared" si="2"/>
        <v>10.787499999999998</v>
      </c>
      <c r="P18" s="119">
        <v>8</v>
      </c>
      <c r="Q18" s="107">
        <v>86.299999999999983</v>
      </c>
    </row>
    <row r="19" spans="1:17" x14ac:dyDescent="0.4">
      <c r="A19" s="55" t="s">
        <v>11</v>
      </c>
      <c r="B19" s="47">
        <v>67</v>
      </c>
      <c r="C19" s="39">
        <f>IF(B$17=0,0,B19/B$17)</f>
        <v>0.63207547169811318</v>
      </c>
      <c r="E19" s="63" t="s">
        <v>82</v>
      </c>
      <c r="F19" s="60" t="s">
        <v>37</v>
      </c>
      <c r="G19" s="47">
        <v>1</v>
      </c>
      <c r="H19" s="133">
        <f>IF(B$17=0,0,G19/B$17)</f>
        <v>9.433962264150943E-3</v>
      </c>
      <c r="I19" s="94">
        <v>7</v>
      </c>
      <c r="K19" s="38">
        <v>17</v>
      </c>
      <c r="L19" s="99">
        <v>-179.70000000000002</v>
      </c>
      <c r="N19" s="115" t="s">
        <v>180</v>
      </c>
      <c r="O19" s="125">
        <f t="shared" si="2"/>
        <v>10.424999999999999</v>
      </c>
      <c r="P19" s="119">
        <v>12</v>
      </c>
      <c r="Q19" s="107">
        <v>125.1</v>
      </c>
    </row>
    <row r="20" spans="1:17" x14ac:dyDescent="0.4">
      <c r="A20" s="55" t="s">
        <v>13</v>
      </c>
      <c r="B20" s="47">
        <v>65</v>
      </c>
      <c r="C20" s="39">
        <f>IF(B$3=0,0,B20/B$3)</f>
        <v>0.19461077844311378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167</v>
      </c>
      <c r="O20" s="125">
        <f t="shared" si="2"/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3.7735849056603772E-2</v>
      </c>
      <c r="I21" s="94">
        <v>8</v>
      </c>
      <c r="K21" s="38">
        <v>19</v>
      </c>
      <c r="L21" s="99">
        <v>-162.40000000000003</v>
      </c>
      <c r="N21" s="115" t="s">
        <v>127</v>
      </c>
      <c r="O21" s="125">
        <f t="shared" si="2"/>
        <v>-10.009999999999996</v>
      </c>
      <c r="P21" s="119">
        <v>30</v>
      </c>
      <c r="Q21" s="107">
        <v>-300.2999999999999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  <c r="N22" s="115" t="s">
        <v>182</v>
      </c>
      <c r="O22" s="125">
        <f t="shared" si="2"/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8576.4150943396235</v>
      </c>
      <c r="C23" s="41">
        <v>909100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-7552.3076923076924</v>
      </c>
      <c r="C24" s="45">
        <v>-490900</v>
      </c>
      <c r="E24" s="63" t="s">
        <v>87</v>
      </c>
      <c r="F24" s="60" t="s">
        <v>42</v>
      </c>
      <c r="G24" s="47">
        <v>7</v>
      </c>
      <c r="H24" s="133">
        <f>IF(B$17=0,0,G24/B$17)</f>
        <v>6.6037735849056603E-2</v>
      </c>
      <c r="I24" s="94">
        <v>3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2.9940119760479044E-3</v>
      </c>
      <c r="E27" s="63" t="s">
        <v>90</v>
      </c>
      <c r="F27" s="60" t="s">
        <v>45</v>
      </c>
      <c r="G27" s="47">
        <v>15</v>
      </c>
      <c r="H27" s="133">
        <f>IF(B$17=0,0,G27/B$17)</f>
        <v>0.14150943396226415</v>
      </c>
      <c r="I27" s="94">
        <v>3</v>
      </c>
      <c r="K27" s="38">
        <v>25</v>
      </c>
      <c r="L27" s="99">
        <v>-10.700000000000038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-2.6000000000000387</v>
      </c>
    </row>
    <row r="29" spans="1:17" x14ac:dyDescent="0.4">
      <c r="E29" s="63" t="s">
        <v>92</v>
      </c>
      <c r="F29" s="60" t="s">
        <v>47</v>
      </c>
      <c r="G29" s="47">
        <v>3</v>
      </c>
      <c r="H29" s="133">
        <f>IF(B$17=0,0,G29/B$17)</f>
        <v>2.8301886792452831E-2</v>
      </c>
      <c r="I29" s="94">
        <v>2</v>
      </c>
      <c r="K29" s="38">
        <v>27</v>
      </c>
      <c r="L29" s="99">
        <v>-34.100000000000037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40.799999999999962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63.499999999999957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94.299999999999955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153.39999999999995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 x14ac:dyDescent="0.4">
      <c r="E51" s="136" t="s">
        <v>172</v>
      </c>
      <c r="F51" s="137" t="s">
        <v>173</v>
      </c>
      <c r="G51" s="48">
        <v>42</v>
      </c>
      <c r="H51" s="138">
        <f>IF(B$17=0,0,G51/B$17)</f>
        <v>0.39622641509433965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F258F-5E20-4FD3-8825-270D27173BCA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20</v>
      </c>
      <c r="C2" s="151"/>
      <c r="E2" s="62" t="s">
        <v>67</v>
      </c>
      <c r="F2" s="59" t="s">
        <v>23</v>
      </c>
      <c r="G2" s="46">
        <v>36</v>
      </c>
      <c r="H2" s="132">
        <f>IF(B$17=0,0,G2/B$17)</f>
        <v>0.70588235294117652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885</v>
      </c>
      <c r="P2" s="118">
        <v>20</v>
      </c>
      <c r="Q2" s="102">
        <v>17700</v>
      </c>
    </row>
    <row r="3" spans="1:17" x14ac:dyDescent="0.4">
      <c r="A3" s="55" t="s">
        <v>8</v>
      </c>
      <c r="B3" s="152">
        <v>181</v>
      </c>
      <c r="C3" s="153"/>
      <c r="E3" s="63" t="s">
        <v>73</v>
      </c>
      <c r="F3" s="60" t="s">
        <v>28</v>
      </c>
      <c r="G3" s="47">
        <v>28</v>
      </c>
      <c r="H3" s="133">
        <f>IF(B$17=0,0,G3/B$17)</f>
        <v>0.5490196078431373</v>
      </c>
      <c r="I3" s="94">
        <v>6</v>
      </c>
      <c r="K3" s="38">
        <v>1</v>
      </c>
      <c r="L3" s="99">
        <v>-37.799999999999997</v>
      </c>
      <c r="N3" s="115" t="s">
        <v>132</v>
      </c>
      <c r="O3" s="122">
        <f t="shared" si="0"/>
        <v>-36.842105263157897</v>
      </c>
      <c r="P3" s="119">
        <v>19</v>
      </c>
      <c r="Q3" s="103">
        <v>-700</v>
      </c>
    </row>
    <row r="4" spans="1:17" x14ac:dyDescent="0.4">
      <c r="A4" s="55" t="s">
        <v>6</v>
      </c>
      <c r="B4" s="154">
        <v>-177.6</v>
      </c>
      <c r="C4" s="155"/>
      <c r="E4" s="63" t="s">
        <v>65</v>
      </c>
      <c r="F4" s="60" t="s">
        <v>21</v>
      </c>
      <c r="G4" s="47">
        <v>27</v>
      </c>
      <c r="H4" s="133">
        <f>IF(B$17=0,0,G4/B$17)</f>
        <v>0.52941176470588236</v>
      </c>
      <c r="I4" s="94">
        <v>3</v>
      </c>
      <c r="K4" s="38">
        <v>2</v>
      </c>
      <c r="L4" s="99">
        <v>-30.099999999999998</v>
      </c>
      <c r="N4" s="115" t="s">
        <v>133</v>
      </c>
      <c r="O4" s="122">
        <f t="shared" si="0"/>
        <v>1357.8947368421052</v>
      </c>
      <c r="P4" s="119">
        <v>19</v>
      </c>
      <c r="Q4" s="103">
        <v>25800</v>
      </c>
    </row>
    <row r="5" spans="1:17" x14ac:dyDescent="0.4">
      <c r="A5" s="55" t="s">
        <v>7</v>
      </c>
      <c r="B5" s="156">
        <f>IF(B$2=0,0,B$4/B$2)</f>
        <v>-8.879999999999999</v>
      </c>
      <c r="C5" s="157"/>
      <c r="E5" s="63" t="s">
        <v>172</v>
      </c>
      <c r="F5" s="60" t="s">
        <v>173</v>
      </c>
      <c r="G5" s="47">
        <v>20</v>
      </c>
      <c r="H5" s="133">
        <f>IF(B$17=0,0,G5/B$17)</f>
        <v>0.39215686274509803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-2188.8888888888887</v>
      </c>
      <c r="P5" s="119">
        <v>18</v>
      </c>
      <c r="Q5" s="103">
        <v>-39400</v>
      </c>
    </row>
    <row r="6" spans="1:17" x14ac:dyDescent="0.4">
      <c r="A6" s="55" t="s">
        <v>1</v>
      </c>
      <c r="B6" s="146">
        <f>IF(B$2=0,0,(B$7*1+B$8*2+B$9*3)/B$2)</f>
        <v>2.2999999999999998</v>
      </c>
      <c r="C6" s="147"/>
      <c r="E6" s="63" t="s">
        <v>68</v>
      </c>
      <c r="F6" s="60" t="s">
        <v>24</v>
      </c>
      <c r="G6" s="47">
        <v>11</v>
      </c>
      <c r="H6" s="133">
        <f>IF(B$17=0,0,G6/B$17)</f>
        <v>0.21568627450980393</v>
      </c>
      <c r="I6" s="94">
        <v>7</v>
      </c>
      <c r="K6" s="38">
        <v>4</v>
      </c>
      <c r="L6" s="99">
        <v>-54.899999999999991</v>
      </c>
      <c r="N6" s="115" t="s">
        <v>135</v>
      </c>
      <c r="O6" s="122">
        <f t="shared" si="0"/>
        <v>-5141.1764705882351</v>
      </c>
      <c r="P6" s="119">
        <v>17</v>
      </c>
      <c r="Q6" s="103">
        <v>-87400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0.15</v>
      </c>
      <c r="E7" s="63" t="s">
        <v>69</v>
      </c>
      <c r="F7" s="60" t="s">
        <v>12</v>
      </c>
      <c r="G7" s="47">
        <v>10</v>
      </c>
      <c r="H7" s="133">
        <f>IF(B$17=0,0,G7/B$17)</f>
        <v>0.19607843137254902</v>
      </c>
      <c r="I7" s="94">
        <v>10</v>
      </c>
      <c r="K7" s="38">
        <v>5</v>
      </c>
      <c r="L7" s="99">
        <v>-33.699999999999989</v>
      </c>
      <c r="N7" s="116" t="s">
        <v>136</v>
      </c>
      <c r="O7" s="123">
        <f t="shared" si="0"/>
        <v>-1640</v>
      </c>
      <c r="P7" s="120">
        <v>15</v>
      </c>
      <c r="Q7" s="104">
        <v>-24600</v>
      </c>
    </row>
    <row r="8" spans="1:17" x14ac:dyDescent="0.4">
      <c r="A8" s="55" t="s">
        <v>3</v>
      </c>
      <c r="B8" s="47">
        <v>8</v>
      </c>
      <c r="C8" s="39">
        <f t="shared" si="1"/>
        <v>0.4</v>
      </c>
      <c r="E8" s="63" t="s">
        <v>70</v>
      </c>
      <c r="F8" s="60" t="s">
        <v>25</v>
      </c>
      <c r="G8" s="47">
        <v>8</v>
      </c>
      <c r="H8" s="133">
        <f>IF(B$17=0,0,G8/B$17)</f>
        <v>0.15686274509803921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0.45</v>
      </c>
      <c r="E9" s="63" t="s">
        <v>66</v>
      </c>
      <c r="F9" s="60" t="s">
        <v>22</v>
      </c>
      <c r="G9" s="47">
        <v>6</v>
      </c>
      <c r="H9" s="133">
        <f>IF(B$17=0,0,G9/B$17)</f>
        <v>0.11764705882352941</v>
      </c>
      <c r="I9" s="94">
        <v>4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</v>
      </c>
      <c r="E10" s="63" t="s">
        <v>71</v>
      </c>
      <c r="F10" s="60" t="s">
        <v>26</v>
      </c>
      <c r="G10" s="47">
        <v>6</v>
      </c>
      <c r="H10" s="133">
        <f>IF(B$17=0,0,G10/B$17)</f>
        <v>0.11764705882352941</v>
      </c>
      <c r="I10" s="94">
        <v>3</v>
      </c>
      <c r="K10" s="38">
        <v>8</v>
      </c>
      <c r="L10" s="99">
        <v>-62.999999999999993</v>
      </c>
      <c r="N10" s="114" t="s">
        <v>163</v>
      </c>
      <c r="O10" s="124">
        <f>IF(P10=0,0,Q10/P10)</f>
        <v>1.2333333333333327</v>
      </c>
      <c r="P10" s="118">
        <v>9</v>
      </c>
      <c r="Q10" s="106">
        <v>11.099999999999994</v>
      </c>
    </row>
    <row r="11" spans="1:17" x14ac:dyDescent="0.4">
      <c r="A11" s="56" t="s">
        <v>139</v>
      </c>
      <c r="B11" s="48">
        <v>1</v>
      </c>
      <c r="C11" s="40">
        <f t="shared" si="1"/>
        <v>0.05</v>
      </c>
      <c r="E11" s="63" t="s">
        <v>84</v>
      </c>
      <c r="F11" s="60" t="s">
        <v>39</v>
      </c>
      <c r="G11" s="47">
        <v>5</v>
      </c>
      <c r="H11" s="133">
        <f>IF(B$17=0,0,G11/B$17)</f>
        <v>9.8039215686274508E-2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-17.083333333333332</v>
      </c>
      <c r="P11" s="119">
        <v>6</v>
      </c>
      <c r="Q11" s="107">
        <v>-102.5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4</v>
      </c>
      <c r="H12" s="133">
        <f>IF(B$17=0,0,G12/B$17)</f>
        <v>7.8431372549019607E-2</v>
      </c>
      <c r="I12" s="94">
        <v>3</v>
      </c>
      <c r="K12" s="38">
        <v>10</v>
      </c>
      <c r="L12" s="99">
        <v>-117.19999999999999</v>
      </c>
      <c r="N12" s="116" t="s">
        <v>165</v>
      </c>
      <c r="O12" s="126">
        <f>IF(P12=0,0,Q12/P12)</f>
        <v>-17.239999999999998</v>
      </c>
      <c r="P12" s="120">
        <v>5</v>
      </c>
      <c r="Q12" s="108">
        <v>-86.199999999999989</v>
      </c>
    </row>
    <row r="13" spans="1:17" x14ac:dyDescent="0.4">
      <c r="A13" s="58" t="s">
        <v>122</v>
      </c>
      <c r="B13" s="50">
        <v>45</v>
      </c>
      <c r="C13" s="44">
        <f>IF(B$3=0,0,B13/B$3)</f>
        <v>0.24861878453038674</v>
      </c>
      <c r="E13" s="63" t="s">
        <v>90</v>
      </c>
      <c r="F13" s="60" t="s">
        <v>45</v>
      </c>
      <c r="G13" s="47">
        <v>3</v>
      </c>
      <c r="H13" s="133">
        <f>IF(B$17=0,0,G13/B$17)</f>
        <v>5.8823529411764705E-2</v>
      </c>
      <c r="I13" s="94">
        <v>7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37</v>
      </c>
      <c r="C14" s="39">
        <f>IF(B$3=0,0,B14/B$3)</f>
        <v>0.20441988950276244</v>
      </c>
      <c r="E14" s="63" t="s">
        <v>79</v>
      </c>
      <c r="F14" s="60" t="s">
        <v>34</v>
      </c>
      <c r="G14" s="47">
        <v>2</v>
      </c>
      <c r="H14" s="133">
        <f>IF(B$17=0,0,G14/B$17)</f>
        <v>3.9215686274509803E-2</v>
      </c>
      <c r="I14" s="94">
        <v>3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27</v>
      </c>
      <c r="C15" s="37">
        <f>IF(B$13=0,0,B15/B$13)</f>
        <v>0.6</v>
      </c>
      <c r="E15" s="63" t="s">
        <v>82</v>
      </c>
      <c r="F15" s="60" t="s">
        <v>37</v>
      </c>
      <c r="G15" s="47">
        <v>2</v>
      </c>
      <c r="H15" s="133">
        <f>IF(B$17=0,0,G15/B$17)</f>
        <v>3.9215686274509803E-2</v>
      </c>
      <c r="I15" s="94">
        <v>4</v>
      </c>
      <c r="K15" s="38">
        <v>13</v>
      </c>
      <c r="L15" s="99">
        <v>-207.3</v>
      </c>
      <c r="N15" s="114" t="s">
        <v>167</v>
      </c>
      <c r="O15" s="124">
        <f>IF(P15=0,0,Q15/P15)</f>
        <v>17.383333333333329</v>
      </c>
      <c r="P15" s="118">
        <v>6</v>
      </c>
      <c r="Q15" s="106">
        <v>104.29999999999998</v>
      </c>
    </row>
    <row r="16" spans="1:17" x14ac:dyDescent="0.4">
      <c r="A16" s="54" t="s">
        <v>125</v>
      </c>
      <c r="B16" s="46">
        <v>15</v>
      </c>
      <c r="C16" s="37">
        <f>IF(B$14=0,0,B16/B$14)</f>
        <v>0.40540540540540543</v>
      </c>
      <c r="E16" s="63" t="s">
        <v>87</v>
      </c>
      <c r="F16" s="60" t="s">
        <v>42</v>
      </c>
      <c r="G16" s="47">
        <v>2</v>
      </c>
      <c r="H16" s="133">
        <f>IF(B$17=0,0,G16/B$17)</f>
        <v>3.9215686274509803E-2</v>
      </c>
      <c r="I16" s="94">
        <v>7</v>
      </c>
      <c r="K16" s="38">
        <v>14</v>
      </c>
      <c r="L16" s="99">
        <v>-204.8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 x14ac:dyDescent="0.4">
      <c r="A17" s="54" t="s">
        <v>10</v>
      </c>
      <c r="B17" s="46">
        <f>B19+B18</f>
        <v>51</v>
      </c>
      <c r="C17" s="37">
        <f>IF(B$3=0,0,B17/B$3)</f>
        <v>0.28176795580110497</v>
      </c>
      <c r="E17" s="63" t="s">
        <v>80</v>
      </c>
      <c r="F17" s="60" t="s">
        <v>35</v>
      </c>
      <c r="G17" s="47">
        <v>1</v>
      </c>
      <c r="H17" s="133">
        <f>IF(B$17=0,0,G17/B$17)</f>
        <v>1.9607843137254902E-2</v>
      </c>
      <c r="I17" s="94">
        <v>3</v>
      </c>
      <c r="K17" s="38">
        <v>15</v>
      </c>
      <c r="L17" s="99">
        <v>-221.5</v>
      </c>
      <c r="N17" s="115" t="s">
        <v>182</v>
      </c>
      <c r="O17" s="125">
        <f>IF(P17=0,0,Q17/P17)</f>
        <v>-11.459999999999997</v>
      </c>
      <c r="P17" s="119">
        <v>5</v>
      </c>
      <c r="Q17" s="107">
        <v>-57.299999999999983</v>
      </c>
    </row>
    <row r="18" spans="1:17" x14ac:dyDescent="0.4">
      <c r="A18" s="55" t="s">
        <v>12</v>
      </c>
      <c r="B18" s="47">
        <v>18</v>
      </c>
      <c r="C18" s="39">
        <f>IF(B$17=0,0,B18/B$17)</f>
        <v>0.35294117647058826</v>
      </c>
      <c r="E18" s="63" t="s">
        <v>92</v>
      </c>
      <c r="F18" s="60" t="s">
        <v>47</v>
      </c>
      <c r="G18" s="47">
        <v>1</v>
      </c>
      <c r="H18" s="133">
        <f>IF(B$17=0,0,G18/B$17)</f>
        <v>1.9607843137254902E-2</v>
      </c>
      <c r="I18" s="94">
        <v>3</v>
      </c>
      <c r="K18" s="38">
        <v>16</v>
      </c>
      <c r="L18" s="99">
        <v>-224.3</v>
      </c>
      <c r="N18" s="115" t="s">
        <v>127</v>
      </c>
      <c r="O18" s="125">
        <f>IF(P18=0,0,Q18/P18)</f>
        <v>-22.028571428571436</v>
      </c>
      <c r="P18" s="119">
        <v>14</v>
      </c>
      <c r="Q18" s="107">
        <v>-308.40000000000009</v>
      </c>
    </row>
    <row r="19" spans="1:17" x14ac:dyDescent="0.4">
      <c r="A19" s="55" t="s">
        <v>11</v>
      </c>
      <c r="B19" s="47">
        <v>33</v>
      </c>
      <c r="C19" s="39">
        <f>IF(B$17=0,0,B19/B$17)</f>
        <v>0.6470588235294118</v>
      </c>
      <c r="E19" s="63" t="s">
        <v>168</v>
      </c>
      <c r="F19" s="60" t="s">
        <v>169</v>
      </c>
      <c r="G19" s="47">
        <v>1</v>
      </c>
      <c r="H19" s="133">
        <f>IF(B$17=0,0,G19/B$17)</f>
        <v>1.9607843137254902E-2</v>
      </c>
      <c r="I19" s="94">
        <v>2</v>
      </c>
      <c r="K19" s="38">
        <v>17</v>
      </c>
      <c r="L19" s="99">
        <v>-251.4</v>
      </c>
      <c r="N19" s="115" t="s">
        <v>178</v>
      </c>
      <c r="O19" s="125">
        <f>IF(P19=0,0,Q19/P19)</f>
        <v>-28.699999999999996</v>
      </c>
      <c r="P19" s="119">
        <v>1</v>
      </c>
      <c r="Q19" s="107">
        <v>-28.699999999999996</v>
      </c>
    </row>
    <row r="20" spans="1:17" x14ac:dyDescent="0.4">
      <c r="A20" s="55" t="s">
        <v>13</v>
      </c>
      <c r="B20" s="47">
        <v>39</v>
      </c>
      <c r="C20" s="39">
        <f>IF(B$3=0,0,B20/B$3)</f>
        <v>0.21546961325966851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-240</v>
      </c>
      <c r="N20" s="115" t="s">
        <v>179</v>
      </c>
      <c r="O20" s="125">
        <f>IF(P20=0,0,Q20/P20)</f>
        <v>-58.79999999999999</v>
      </c>
      <c r="P20" s="119">
        <v>2</v>
      </c>
      <c r="Q20" s="107">
        <v>-117.59999999999998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-218</v>
      </c>
    </row>
    <row r="22" spans="1:17" x14ac:dyDescent="0.4">
      <c r="A22" s="55" t="s">
        <v>171</v>
      </c>
      <c r="B22" s="47">
        <v>13</v>
      </c>
      <c r="C22" s="135">
        <v>10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-177.6</v>
      </c>
    </row>
    <row r="23" spans="1:17" x14ac:dyDescent="0.4">
      <c r="A23" s="55" t="s">
        <v>5</v>
      </c>
      <c r="B23" s="51">
        <f>IF(B$17=0,0,C23/B$17)</f>
        <v>7464.7058823529414</v>
      </c>
      <c r="C23" s="41">
        <v>380700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-7933.333333333333</v>
      </c>
      <c r="C24" s="45">
        <v>-309400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65400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137F-7E1C-474B-A848-02C5A720DE74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14</v>
      </c>
      <c r="C2" s="151"/>
      <c r="E2" s="62" t="s">
        <v>65</v>
      </c>
      <c r="F2" s="59" t="s">
        <v>21</v>
      </c>
      <c r="G2" s="46">
        <v>6</v>
      </c>
      <c r="H2" s="132">
        <f>IF(B$17=0,0,G2/B$17)</f>
        <v>0.25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857.14285714285711</v>
      </c>
      <c r="P2" s="118">
        <v>14</v>
      </c>
      <c r="Q2" s="102">
        <v>12000</v>
      </c>
    </row>
    <row r="3" spans="1:17" x14ac:dyDescent="0.4">
      <c r="A3" s="55" t="s">
        <v>8</v>
      </c>
      <c r="B3" s="152">
        <v>106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4.1666666666666664E-2</v>
      </c>
      <c r="I3" s="94">
        <v>10</v>
      </c>
      <c r="K3" s="38">
        <v>1</v>
      </c>
      <c r="L3" s="99">
        <v>-9.1</v>
      </c>
      <c r="N3" s="115" t="s">
        <v>132</v>
      </c>
      <c r="O3" s="122">
        <f t="shared" si="0"/>
        <v>-1961.5384615384614</v>
      </c>
      <c r="P3" s="119">
        <v>13</v>
      </c>
      <c r="Q3" s="103">
        <v>-25500</v>
      </c>
    </row>
    <row r="4" spans="1:17" x14ac:dyDescent="0.4">
      <c r="A4" s="55" t="s">
        <v>6</v>
      </c>
      <c r="B4" s="154">
        <v>-86.499999999999972</v>
      </c>
      <c r="C4" s="155"/>
      <c r="E4" s="63" t="s">
        <v>67</v>
      </c>
      <c r="F4" s="60" t="s">
        <v>23</v>
      </c>
      <c r="G4" s="47">
        <v>18</v>
      </c>
      <c r="H4" s="133">
        <f>IF(B$17=0,0,G4/B$17)</f>
        <v>0.75</v>
      </c>
      <c r="I4" s="94">
        <v>7</v>
      </c>
      <c r="K4" s="38">
        <v>2</v>
      </c>
      <c r="L4" s="99">
        <v>-67.3</v>
      </c>
      <c r="N4" s="115" t="s">
        <v>133</v>
      </c>
      <c r="O4" s="122">
        <f t="shared" si="0"/>
        <v>-3841.6666666666665</v>
      </c>
      <c r="P4" s="119">
        <v>12</v>
      </c>
      <c r="Q4" s="103">
        <v>-46100</v>
      </c>
    </row>
    <row r="5" spans="1:17" x14ac:dyDescent="0.4">
      <c r="A5" s="55" t="s">
        <v>7</v>
      </c>
      <c r="B5" s="156">
        <f>IF(B$2=0,0,B$4/B$2)</f>
        <v>-6.1785714285714262</v>
      </c>
      <c r="C5" s="157"/>
      <c r="E5" s="63" t="s">
        <v>68</v>
      </c>
      <c r="F5" s="60" t="s">
        <v>24</v>
      </c>
      <c r="G5" s="47">
        <v>8</v>
      </c>
      <c r="H5" s="133">
        <f>IF(B$17=0,0,G5/B$17)</f>
        <v>0.33333333333333331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3918.181818181818</v>
      </c>
      <c r="P5" s="119">
        <v>11</v>
      </c>
      <c r="Q5" s="103">
        <v>43100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6</v>
      </c>
      <c r="H6" s="133">
        <f>IF(B$17=0,0,G6/B$17)</f>
        <v>0.25</v>
      </c>
      <c r="I6" s="94">
        <v>8</v>
      </c>
      <c r="K6" s="38">
        <v>4</v>
      </c>
      <c r="L6" s="99">
        <v>-74.599999999999994</v>
      </c>
      <c r="N6" s="115" t="s">
        <v>135</v>
      </c>
      <c r="O6" s="122">
        <f t="shared" si="0"/>
        <v>1977.7777777777778</v>
      </c>
      <c r="P6" s="119">
        <v>9</v>
      </c>
      <c r="Q6" s="103">
        <v>17800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0.2857142857142857</v>
      </c>
      <c r="E7" s="63" t="s">
        <v>70</v>
      </c>
      <c r="F7" s="60" t="s">
        <v>25</v>
      </c>
      <c r="G7" s="47">
        <v>2</v>
      </c>
      <c r="H7" s="133">
        <f>IF(B$17=0,0,G7/B$17)</f>
        <v>8.3333333333333329E-2</v>
      </c>
      <c r="I7" s="94">
        <v>6</v>
      </c>
      <c r="K7" s="38">
        <v>5</v>
      </c>
      <c r="L7" s="99">
        <v>-118.3</v>
      </c>
      <c r="N7" s="116" t="s">
        <v>136</v>
      </c>
      <c r="O7" s="123">
        <f t="shared" si="0"/>
        <v>-11300</v>
      </c>
      <c r="P7" s="120">
        <v>6</v>
      </c>
      <c r="Q7" s="104">
        <v>-67800</v>
      </c>
    </row>
    <row r="8" spans="1:17" x14ac:dyDescent="0.4">
      <c r="A8" s="55" t="s">
        <v>3</v>
      </c>
      <c r="B8" s="47">
        <v>4</v>
      </c>
      <c r="C8" s="39">
        <f t="shared" si="1"/>
        <v>0.2857142857142857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0.42857142857142855</v>
      </c>
      <c r="E9" s="63" t="s">
        <v>72</v>
      </c>
      <c r="F9" s="60" t="s">
        <v>27</v>
      </c>
      <c r="G9" s="47">
        <v>1</v>
      </c>
      <c r="H9" s="133">
        <f>IF(B$17=0,0,G9/B$17)</f>
        <v>4.1666666666666664E-2</v>
      </c>
      <c r="I9" s="94">
        <v>6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0.2857142857142857</v>
      </c>
      <c r="E10" s="63" t="s">
        <v>73</v>
      </c>
      <c r="F10" s="60" t="s">
        <v>28</v>
      </c>
      <c r="G10" s="47">
        <v>20</v>
      </c>
      <c r="H10" s="133">
        <f>IF(B$17=0,0,G10/B$17)</f>
        <v>0.83333333333333337</v>
      </c>
      <c r="I10" s="94">
        <v>2</v>
      </c>
      <c r="K10" s="38">
        <v>8</v>
      </c>
      <c r="L10" s="99">
        <v>-110.19999999999999</v>
      </c>
      <c r="N10" s="114" t="s">
        <v>163</v>
      </c>
      <c r="O10" s="124">
        <f>IF(P10=0,0,Q10/P10)</f>
        <v>4.5714285714285721</v>
      </c>
      <c r="P10" s="118">
        <v>7</v>
      </c>
      <c r="Q10" s="106">
        <v>32.000000000000007</v>
      </c>
    </row>
    <row r="11" spans="1:17" x14ac:dyDescent="0.4">
      <c r="A11" s="56" t="s">
        <v>139</v>
      </c>
      <c r="B11" s="48">
        <v>4</v>
      </c>
      <c r="C11" s="40">
        <f t="shared" si="1"/>
        <v>0.2857142857142857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-120.99999999999999</v>
      </c>
      <c r="N11" s="115" t="s">
        <v>164</v>
      </c>
      <c r="O11" s="125">
        <f>IF(P11=0,0,Q11/P11)</f>
        <v>-21.200000000000003</v>
      </c>
      <c r="P11" s="119">
        <v>3</v>
      </c>
      <c r="Q11" s="107">
        <v>-63.600000000000009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-113.29999999999998</v>
      </c>
      <c r="N12" s="116" t="s">
        <v>165</v>
      </c>
      <c r="O12" s="126">
        <f>IF(P12=0,0,Q12/P12)</f>
        <v>-13.724999999999998</v>
      </c>
      <c r="P12" s="120">
        <v>4</v>
      </c>
      <c r="Q12" s="108">
        <v>-54.899999999999991</v>
      </c>
    </row>
    <row r="13" spans="1:17" x14ac:dyDescent="0.4">
      <c r="A13" s="58" t="s">
        <v>122</v>
      </c>
      <c r="B13" s="50">
        <v>24</v>
      </c>
      <c r="C13" s="44">
        <f>IF(B$3=0,0,B13/B$3)</f>
        <v>0.22641509433962265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0.23584905660377359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</v>
      </c>
      <c r="C15" s="37">
        <f>IF(B$13=0,0,B15/B$13)</f>
        <v>0.25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-132.39999999999998</v>
      </c>
      <c r="N15" s="114" t="s">
        <v>180</v>
      </c>
      <c r="O15" s="124">
        <f t="shared" ref="O15:O20" si="2"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-86.499999999999972</v>
      </c>
      <c r="N16" s="115" t="s">
        <v>127</v>
      </c>
      <c r="O16" s="125">
        <f t="shared" si="2"/>
        <v>13.816666666666665</v>
      </c>
      <c r="P16" s="119">
        <v>6</v>
      </c>
      <c r="Q16" s="107">
        <v>82.899999999999991</v>
      </c>
    </row>
    <row r="17" spans="1:17" x14ac:dyDescent="0.4">
      <c r="A17" s="54" t="s">
        <v>10</v>
      </c>
      <c r="B17" s="46">
        <f>B19+B18</f>
        <v>24</v>
      </c>
      <c r="C17" s="37">
        <f>IF(B$3=0,0,B17/B$3)</f>
        <v>0.22641509433962265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179</v>
      </c>
      <c r="O17" s="125">
        <f t="shared" si="2"/>
        <v>4.7857142857142865</v>
      </c>
      <c r="P17" s="119">
        <v>7</v>
      </c>
      <c r="Q17" s="107">
        <v>33.500000000000007</v>
      </c>
    </row>
    <row r="18" spans="1:17" x14ac:dyDescent="0.4">
      <c r="A18" s="55" t="s">
        <v>12</v>
      </c>
      <c r="B18" s="47">
        <v>8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-10.7875</v>
      </c>
      <c r="P18" s="119">
        <v>8</v>
      </c>
      <c r="Q18" s="107">
        <v>-86.3</v>
      </c>
    </row>
    <row r="19" spans="1:17" x14ac:dyDescent="0.4">
      <c r="A19" s="55" t="s">
        <v>11</v>
      </c>
      <c r="B19" s="47">
        <v>16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>IF(B$17=0,0,G19/B$17)</f>
        <v>4.1666666666666664E-2</v>
      </c>
      <c r="I19" s="94">
        <v>3</v>
      </c>
      <c r="N19" s="115" t="s">
        <v>183</v>
      </c>
      <c r="O19" s="125">
        <f t="shared" si="2"/>
        <v>-25.975000000000001</v>
      </c>
      <c r="P19" s="119">
        <v>4</v>
      </c>
      <c r="Q19" s="107">
        <v>-103.9</v>
      </c>
    </row>
    <row r="20" spans="1:17" x14ac:dyDescent="0.4">
      <c r="A20" s="55" t="s">
        <v>13</v>
      </c>
      <c r="B20" s="47">
        <v>22</v>
      </c>
      <c r="C20" s="39">
        <f>IF(B$3=0,0,B20/B$3)</f>
        <v>0.20754716981132076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182</v>
      </c>
      <c r="O20" s="125">
        <f t="shared" si="2"/>
        <v>-107.2</v>
      </c>
      <c r="P20" s="119">
        <v>2</v>
      </c>
      <c r="Q20" s="107">
        <v>-214.4</v>
      </c>
    </row>
    <row r="21" spans="1:17" x14ac:dyDescent="0.4">
      <c r="A21" s="55" t="s">
        <v>170</v>
      </c>
      <c r="B21" s="47">
        <v>2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8.3333333333333329E-2</v>
      </c>
      <c r="I21" s="94">
        <v>3</v>
      </c>
    </row>
    <row r="22" spans="1:17" x14ac:dyDescent="0.4">
      <c r="A22" s="55" t="s">
        <v>171</v>
      </c>
      <c r="B22" s="47">
        <v>14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13370.833333333334</v>
      </c>
      <c r="C23" s="41">
        <v>320900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-10600</v>
      </c>
      <c r="C24" s="45">
        <v>-233200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141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83000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11</v>
      </c>
      <c r="H27" s="133">
        <f>IF(B$17=0,0,G27/B$17)</f>
        <v>0.45833333333333331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4.1666666666666664E-2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3</v>
      </c>
      <c r="H30" s="133">
        <f>IF(B$17=0,0,G30/B$17)</f>
        <v>0.125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 x14ac:dyDescent="0.4">
      <c r="E51" s="136" t="s">
        <v>172</v>
      </c>
      <c r="F51" s="137" t="s">
        <v>173</v>
      </c>
      <c r="G51" s="48">
        <v>3</v>
      </c>
      <c r="H51" s="138">
        <f>IF(B$17=0,0,G51/B$17)</f>
        <v>0.125</v>
      </c>
      <c r="I51" s="139">
        <v>10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4344D-3567-4021-B80E-524E4C349148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17</v>
      </c>
      <c r="C2" s="151"/>
      <c r="E2" s="62" t="s">
        <v>65</v>
      </c>
      <c r="F2" s="59" t="s">
        <v>21</v>
      </c>
      <c r="G2" s="46">
        <v>18</v>
      </c>
      <c r="H2" s="132">
        <f>IF(B$17=0,0,G2/B$17)</f>
        <v>0.42857142857142855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647.05882352941171</v>
      </c>
      <c r="P2" s="118">
        <v>17</v>
      </c>
      <c r="Q2" s="102">
        <v>11000</v>
      </c>
    </row>
    <row r="3" spans="1:17" x14ac:dyDescent="0.4">
      <c r="A3" s="55" t="s">
        <v>8</v>
      </c>
      <c r="B3" s="152">
        <v>152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4.7619047619047616E-2</v>
      </c>
      <c r="I3" s="94">
        <v>9</v>
      </c>
      <c r="K3" s="38">
        <v>1</v>
      </c>
      <c r="L3" s="99">
        <v>46.9</v>
      </c>
      <c r="N3" s="115" t="s">
        <v>132</v>
      </c>
      <c r="O3" s="122">
        <f t="shared" si="0"/>
        <v>35.294117647058826</v>
      </c>
      <c r="P3" s="119">
        <v>17</v>
      </c>
      <c r="Q3" s="103">
        <v>600</v>
      </c>
    </row>
    <row r="4" spans="1:17" x14ac:dyDescent="0.4">
      <c r="A4" s="55" t="s">
        <v>6</v>
      </c>
      <c r="B4" s="154">
        <v>-29.799999999999986</v>
      </c>
      <c r="C4" s="155"/>
      <c r="E4" s="63" t="s">
        <v>67</v>
      </c>
      <c r="F4" s="60" t="s">
        <v>23</v>
      </c>
      <c r="G4" s="47">
        <v>33</v>
      </c>
      <c r="H4" s="133">
        <f>IF(B$17=0,0,G4/B$17)</f>
        <v>0.7857142857142857</v>
      </c>
      <c r="I4" s="94">
        <v>6</v>
      </c>
      <c r="K4" s="38">
        <v>2</v>
      </c>
      <c r="L4" s="99">
        <v>8.1000000000000014</v>
      </c>
      <c r="N4" s="115" t="s">
        <v>133</v>
      </c>
      <c r="O4" s="122">
        <f t="shared" si="0"/>
        <v>-2631.25</v>
      </c>
      <c r="P4" s="119">
        <v>16</v>
      </c>
      <c r="Q4" s="103">
        <v>-42100</v>
      </c>
    </row>
    <row r="5" spans="1:17" x14ac:dyDescent="0.4">
      <c r="A5" s="55" t="s">
        <v>7</v>
      </c>
      <c r="B5" s="156">
        <f>IF(B$2=0,0,B$4/B$2)</f>
        <v>-1.7529411764705873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0.16666666666666666</v>
      </c>
      <c r="I5" s="94">
        <v>9</v>
      </c>
      <c r="K5" s="38">
        <v>3</v>
      </c>
      <c r="L5" s="99">
        <v>25.8</v>
      </c>
      <c r="N5" s="115" t="s">
        <v>134</v>
      </c>
      <c r="O5" s="122">
        <f t="shared" si="0"/>
        <v>2314.2857142857142</v>
      </c>
      <c r="P5" s="119">
        <v>14</v>
      </c>
      <c r="Q5" s="103">
        <v>32400</v>
      </c>
    </row>
    <row r="6" spans="1:17" x14ac:dyDescent="0.4">
      <c r="A6" s="55" t="s">
        <v>1</v>
      </c>
      <c r="B6" s="146">
        <f>IF(B$2=0,0,(B$7*1+B$8*2+B$9*3)/B$2)</f>
        <v>2.0588235294117645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0.2857142857142857</v>
      </c>
      <c r="I6" s="94">
        <v>4</v>
      </c>
      <c r="K6" s="38">
        <v>4</v>
      </c>
      <c r="L6" s="99">
        <v>-19.3</v>
      </c>
      <c r="N6" s="115" t="s">
        <v>135</v>
      </c>
      <c r="O6" s="122">
        <f t="shared" si="0"/>
        <v>-4910</v>
      </c>
      <c r="P6" s="119">
        <v>10</v>
      </c>
      <c r="Q6" s="103">
        <v>-49100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0.29411764705882354</v>
      </c>
      <c r="E7" s="63" t="s">
        <v>70</v>
      </c>
      <c r="F7" s="60" t="s">
        <v>25</v>
      </c>
      <c r="G7" s="47">
        <v>3</v>
      </c>
      <c r="H7" s="133">
        <f>IF(B$17=0,0,G7/B$17)</f>
        <v>7.1428571428571425E-2</v>
      </c>
      <c r="I7" s="94">
        <v>8</v>
      </c>
      <c r="K7" s="38">
        <v>5</v>
      </c>
      <c r="L7" s="99">
        <v>-1.6000000000000014</v>
      </c>
      <c r="N7" s="116" t="s">
        <v>136</v>
      </c>
      <c r="O7" s="123">
        <f t="shared" si="0"/>
        <v>3425</v>
      </c>
      <c r="P7" s="120">
        <v>8</v>
      </c>
      <c r="Q7" s="104">
        <v>27400</v>
      </c>
    </row>
    <row r="8" spans="1:17" x14ac:dyDescent="0.4">
      <c r="A8" s="55" t="s">
        <v>3</v>
      </c>
      <c r="B8" s="47">
        <v>6</v>
      </c>
      <c r="C8" s="39">
        <f t="shared" si="1"/>
        <v>0.35294117647058826</v>
      </c>
      <c r="E8" s="63" t="s">
        <v>71</v>
      </c>
      <c r="F8" s="60" t="s">
        <v>26</v>
      </c>
      <c r="G8" s="47">
        <v>2</v>
      </c>
      <c r="H8" s="133">
        <f>IF(B$17=0,0,G8/B$17)</f>
        <v>4.7619047619047616E-2</v>
      </c>
      <c r="I8" s="94">
        <v>8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0.35294117647058826</v>
      </c>
      <c r="E9" s="63" t="s">
        <v>72</v>
      </c>
      <c r="F9" s="60" t="s">
        <v>27</v>
      </c>
      <c r="G9" s="47">
        <v>1</v>
      </c>
      <c r="H9" s="133">
        <f>IF(B$17=0,0,G9/B$17)</f>
        <v>2.3809523809523808E-2</v>
      </c>
      <c r="I9" s="94">
        <v>8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0.17647058823529413</v>
      </c>
      <c r="E10" s="63" t="s">
        <v>73</v>
      </c>
      <c r="F10" s="60" t="s">
        <v>28</v>
      </c>
      <c r="G10" s="47">
        <v>37</v>
      </c>
      <c r="H10" s="133">
        <f>IF(B$17=0,0,G10/B$17)</f>
        <v>0.88095238095238093</v>
      </c>
      <c r="I10" s="94">
        <v>1</v>
      </c>
      <c r="K10" s="38">
        <v>8</v>
      </c>
      <c r="L10" s="99">
        <v>-46.7</v>
      </c>
      <c r="N10" s="114" t="s">
        <v>163</v>
      </c>
      <c r="O10" s="124">
        <f>IF(P10=0,0,Q10/P10)</f>
        <v>1.9142857142857141</v>
      </c>
      <c r="P10" s="118">
        <v>7</v>
      </c>
      <c r="Q10" s="106">
        <v>13.399999999999999</v>
      </c>
    </row>
    <row r="11" spans="1:17" x14ac:dyDescent="0.4">
      <c r="A11" s="56" t="s">
        <v>139</v>
      </c>
      <c r="B11" s="48">
        <v>1</v>
      </c>
      <c r="C11" s="40">
        <f t="shared" si="1"/>
        <v>5.8823529411764705E-2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-90.9</v>
      </c>
      <c r="N11" s="115" t="s">
        <v>164</v>
      </c>
      <c r="O11" s="125">
        <f>IF(P11=0,0,Q11/P11)</f>
        <v>-7.62</v>
      </c>
      <c r="P11" s="119">
        <v>5</v>
      </c>
      <c r="Q11" s="107">
        <v>-38.1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-146.69999999999999</v>
      </c>
      <c r="N12" s="116" t="s">
        <v>165</v>
      </c>
      <c r="O12" s="126">
        <f>IF(P12=0,0,Q12/P12)</f>
        <v>-1.0199999999999996</v>
      </c>
      <c r="P12" s="120">
        <v>5</v>
      </c>
      <c r="Q12" s="108">
        <v>-5.0999999999999979</v>
      </c>
    </row>
    <row r="13" spans="1:17" x14ac:dyDescent="0.4">
      <c r="A13" s="58" t="s">
        <v>122</v>
      </c>
      <c r="B13" s="50">
        <v>38</v>
      </c>
      <c r="C13" s="44">
        <f>IF(B$3=0,0,B13/B$3)</f>
        <v>0.25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37</v>
      </c>
      <c r="C14" s="39">
        <f>IF(B$3=0,0,B14/B$3)</f>
        <v>0.24342105263157895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0.47368421052631576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-68.399999999999991</v>
      </c>
      <c r="N15" s="114" t="s">
        <v>196</v>
      </c>
      <c r="O15" s="124">
        <f t="shared" ref="O15:O22" si="2">IF(P15=0,0,Q15/P15)</f>
        <v>64.2</v>
      </c>
      <c r="P15" s="118">
        <v>2</v>
      </c>
      <c r="Q15" s="106">
        <v>128.4</v>
      </c>
    </row>
    <row r="16" spans="1:17" x14ac:dyDescent="0.4">
      <c r="A16" s="54" t="s">
        <v>125</v>
      </c>
      <c r="B16" s="46">
        <v>20</v>
      </c>
      <c r="C16" s="37">
        <f>IF(B$14=0,0,B16/B$14)</f>
        <v>0.54054054054054057</v>
      </c>
      <c r="E16" s="63" t="s">
        <v>79</v>
      </c>
      <c r="F16" s="60" t="s">
        <v>34</v>
      </c>
      <c r="G16" s="47">
        <v>2</v>
      </c>
      <c r="H16" s="133">
        <f>IF(B$17=0,0,G16/B$17)</f>
        <v>4.7619047619047616E-2</v>
      </c>
      <c r="I16" s="94">
        <v>2</v>
      </c>
      <c r="K16" s="38">
        <v>14</v>
      </c>
      <c r="L16" s="99">
        <v>-25.79999999999999</v>
      </c>
      <c r="N16" s="115" t="s">
        <v>180</v>
      </c>
      <c r="O16" s="125">
        <f t="shared" si="2"/>
        <v>58.8</v>
      </c>
      <c r="P16" s="119">
        <v>2</v>
      </c>
      <c r="Q16" s="107">
        <v>117.6</v>
      </c>
    </row>
    <row r="17" spans="1:17" x14ac:dyDescent="0.4">
      <c r="A17" s="54" t="s">
        <v>10</v>
      </c>
      <c r="B17" s="46">
        <f>B19+B18</f>
        <v>42</v>
      </c>
      <c r="C17" s="37">
        <f>IF(B$3=0,0,B17/B$3)</f>
        <v>0.27631578947368424</v>
      </c>
      <c r="E17" s="63" t="s">
        <v>80</v>
      </c>
      <c r="F17" s="60" t="s">
        <v>35</v>
      </c>
      <c r="G17" s="47">
        <v>3</v>
      </c>
      <c r="H17" s="133">
        <f>IF(B$17=0,0,G17/B$17)</f>
        <v>7.1428571428571425E-2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 t="shared" si="2"/>
        <v>38.725000000000001</v>
      </c>
      <c r="P17" s="119">
        <v>4</v>
      </c>
      <c r="Q17" s="107">
        <v>154.9</v>
      </c>
    </row>
    <row r="18" spans="1:17" x14ac:dyDescent="0.4">
      <c r="A18" s="55" t="s">
        <v>12</v>
      </c>
      <c r="B18" s="47">
        <v>15</v>
      </c>
      <c r="C18" s="39">
        <f>IF(B$17=0,0,B18/B$17)</f>
        <v>0.35714285714285715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-35.599999999999987</v>
      </c>
      <c r="N18" s="115" t="s">
        <v>178</v>
      </c>
      <c r="O18" s="125">
        <f t="shared" si="2"/>
        <v>-4.7857142857142874</v>
      </c>
      <c r="P18" s="119">
        <v>7</v>
      </c>
      <c r="Q18" s="107">
        <v>-33.500000000000014</v>
      </c>
    </row>
    <row r="19" spans="1:17" x14ac:dyDescent="0.4">
      <c r="A19" s="55" t="s">
        <v>11</v>
      </c>
      <c r="B19" s="47">
        <v>27</v>
      </c>
      <c r="C19" s="39">
        <f>IF(B$17=0,0,B19/B$17)</f>
        <v>0.6428571428571429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  <c r="K19" s="38">
        <v>17</v>
      </c>
      <c r="L19" s="99">
        <v>-29.799999999999986</v>
      </c>
      <c r="N19" s="115" t="s">
        <v>182</v>
      </c>
      <c r="O19" s="125">
        <f t="shared" si="2"/>
        <v>-15.5</v>
      </c>
      <c r="P19" s="119">
        <v>1</v>
      </c>
      <c r="Q19" s="107">
        <v>-15.5</v>
      </c>
    </row>
    <row r="20" spans="1:17" x14ac:dyDescent="0.4">
      <c r="A20" s="55" t="s">
        <v>13</v>
      </c>
      <c r="B20" s="47">
        <v>18</v>
      </c>
      <c r="C20" s="39">
        <f>IF(B$3=0,0,B20/B$3)</f>
        <v>0.11842105263157894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 t="shared" si="2"/>
        <v>-16.399999999999999</v>
      </c>
      <c r="P20" s="119">
        <v>1</v>
      </c>
      <c r="Q20" s="107">
        <v>-16.399999999999999</v>
      </c>
    </row>
    <row r="21" spans="1:17" x14ac:dyDescent="0.4">
      <c r="A21" s="55" t="s">
        <v>170</v>
      </c>
      <c r="B21" s="47">
        <v>5</v>
      </c>
      <c r="C21" s="135">
        <v>1</v>
      </c>
      <c r="E21" s="63" t="s">
        <v>84</v>
      </c>
      <c r="F21" s="60" t="s">
        <v>39</v>
      </c>
      <c r="G21" s="47">
        <v>4</v>
      </c>
      <c r="H21" s="133">
        <f>IF(B$17=0,0,G21/B$17)</f>
        <v>9.5238095238095233E-2</v>
      </c>
      <c r="I21" s="94">
        <v>2</v>
      </c>
      <c r="N21" s="115" t="s">
        <v>128</v>
      </c>
      <c r="O21" s="125">
        <f t="shared" si="2"/>
        <v>-22.281818181818185</v>
      </c>
      <c r="P21" s="119">
        <v>11</v>
      </c>
      <c r="Q21" s="107">
        <v>-245.10000000000005</v>
      </c>
    </row>
    <row r="22" spans="1:17" x14ac:dyDescent="0.4">
      <c r="A22" s="55" t="s">
        <v>171</v>
      </c>
      <c r="B22" s="47">
        <v>44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N22" s="115" t="s">
        <v>127</v>
      </c>
      <c r="O22" s="125">
        <f t="shared" si="2"/>
        <v>-29.966666666666665</v>
      </c>
      <c r="P22" s="119">
        <v>6</v>
      </c>
      <c r="Q22" s="107">
        <v>-179.79999999999998</v>
      </c>
    </row>
    <row r="23" spans="1:17" x14ac:dyDescent="0.4">
      <c r="A23" s="55" t="s">
        <v>5</v>
      </c>
      <c r="B23" s="51">
        <f>IF(B$17=0,0,C23/B$17)</f>
        <v>7554.7619047619046</v>
      </c>
      <c r="C23" s="41">
        <v>317300</v>
      </c>
      <c r="E23" s="63" t="s">
        <v>86</v>
      </c>
      <c r="F23" s="60" t="s">
        <v>41</v>
      </c>
      <c r="G23" s="47">
        <v>1</v>
      </c>
      <c r="H23" s="133">
        <f>IF(B$17=0,0,G23/B$17)</f>
        <v>2.3809523809523808E-2</v>
      </c>
      <c r="I23" s="94">
        <v>2</v>
      </c>
    </row>
    <row r="24" spans="1:17" x14ac:dyDescent="0.4">
      <c r="A24" s="57" t="s">
        <v>14</v>
      </c>
      <c r="B24" s="52">
        <f>IF(B$20=0,0,C24/B$20)</f>
        <v>-7383.333333333333</v>
      </c>
      <c r="C24" s="45">
        <v>-132900</v>
      </c>
      <c r="E24" s="63" t="s">
        <v>87</v>
      </c>
      <c r="F24" s="60" t="s">
        <v>42</v>
      </c>
      <c r="G24" s="47">
        <v>2</v>
      </c>
      <c r="H24" s="133">
        <f>IF(B$17=0,0,G24/B$17)</f>
        <v>4.7619047619047616E-2</v>
      </c>
      <c r="I24" s="94">
        <v>6</v>
      </c>
    </row>
    <row r="25" spans="1:17" x14ac:dyDescent="0.4">
      <c r="A25" s="90" t="s">
        <v>141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75000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1</v>
      </c>
      <c r="C27" s="42">
        <f>IF(B$3=0,0,B27/B$3)</f>
        <v>6.5789473684210523E-3</v>
      </c>
      <c r="E27" s="63" t="s">
        <v>90</v>
      </c>
      <c r="F27" s="60" t="s">
        <v>45</v>
      </c>
      <c r="G27" s="47">
        <v>4</v>
      </c>
      <c r="H27" s="133">
        <f>IF(B$17=0,0,G27/B$17)</f>
        <v>9.5238095238095233E-2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 x14ac:dyDescent="0.4">
      <c r="E51" s="136" t="s">
        <v>172</v>
      </c>
      <c r="F51" s="137" t="s">
        <v>173</v>
      </c>
      <c r="G51" s="48">
        <v>14</v>
      </c>
      <c r="H51" s="138">
        <f>IF(B$17=0,0,G51/B$17)</f>
        <v>0.33333333333333331</v>
      </c>
      <c r="I51" s="139">
        <v>7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E79-F6E7-4FD2-819A-978B7E8D867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8</v>
      </c>
      <c r="C2" s="151"/>
      <c r="E2" s="62" t="s">
        <v>65</v>
      </c>
      <c r="F2" s="59" t="s">
        <v>21</v>
      </c>
      <c r="G2" s="46">
        <v>9</v>
      </c>
      <c r="H2" s="132">
        <f>IF(B$17=0,0,G2/B$17)</f>
        <v>0.6428571428571429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-3912.5</v>
      </c>
      <c r="P2" s="118">
        <v>8</v>
      </c>
      <c r="Q2" s="102">
        <v>-31300</v>
      </c>
    </row>
    <row r="3" spans="1:17" x14ac:dyDescent="0.4">
      <c r="A3" s="55" t="s">
        <v>8</v>
      </c>
      <c r="B3" s="152">
        <v>69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0.14285714285714285</v>
      </c>
      <c r="I3" s="94">
        <v>3</v>
      </c>
      <c r="K3" s="38">
        <v>1</v>
      </c>
      <c r="L3" s="99">
        <v>-12</v>
      </c>
      <c r="N3" s="115" t="s">
        <v>132</v>
      </c>
      <c r="O3" s="122">
        <f t="shared" si="0"/>
        <v>-975</v>
      </c>
      <c r="P3" s="119">
        <v>8</v>
      </c>
      <c r="Q3" s="103">
        <v>-7800</v>
      </c>
    </row>
    <row r="4" spans="1:17" x14ac:dyDescent="0.4">
      <c r="A4" s="55" t="s">
        <v>6</v>
      </c>
      <c r="B4" s="154">
        <v>-152.6</v>
      </c>
      <c r="C4" s="155"/>
      <c r="E4" s="63" t="s">
        <v>67</v>
      </c>
      <c r="F4" s="60" t="s">
        <v>23</v>
      </c>
      <c r="G4" s="47">
        <v>13</v>
      </c>
      <c r="H4" s="133">
        <f>IF(B$17=0,0,G4/B$17)</f>
        <v>0.9285714285714286</v>
      </c>
      <c r="I4" s="94">
        <v>3</v>
      </c>
      <c r="K4" s="38">
        <v>2</v>
      </c>
      <c r="L4" s="99">
        <v>-40.6</v>
      </c>
      <c r="N4" s="115" t="s">
        <v>133</v>
      </c>
      <c r="O4" s="122">
        <f t="shared" si="0"/>
        <v>-1987.5</v>
      </c>
      <c r="P4" s="119">
        <v>8</v>
      </c>
      <c r="Q4" s="103">
        <v>-15900</v>
      </c>
    </row>
    <row r="5" spans="1:17" x14ac:dyDescent="0.4">
      <c r="A5" s="55" t="s">
        <v>7</v>
      </c>
      <c r="B5" s="156">
        <f>IF(B$2=0,0,B$4/B$2)</f>
        <v>-19.074999999999999</v>
      </c>
      <c r="C5" s="157"/>
      <c r="E5" s="63" t="s">
        <v>68</v>
      </c>
      <c r="F5" s="60" t="s">
        <v>24</v>
      </c>
      <c r="G5" s="47">
        <v>10</v>
      </c>
      <c r="H5" s="133">
        <f>IF(B$17=0,0,G5/B$17)</f>
        <v>0.7142857142857143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-6414.2857142857147</v>
      </c>
      <c r="P5" s="119">
        <v>7</v>
      </c>
      <c r="Q5" s="103">
        <v>-44900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0.35714285714285715</v>
      </c>
      <c r="I6" s="94">
        <v>2</v>
      </c>
      <c r="K6" s="38">
        <v>4</v>
      </c>
      <c r="L6" s="99">
        <v>-80.5</v>
      </c>
      <c r="N6" s="115" t="s">
        <v>135</v>
      </c>
      <c r="O6" s="122">
        <f t="shared" si="0"/>
        <v>-283.33333333333331</v>
      </c>
      <c r="P6" s="119">
        <v>6</v>
      </c>
      <c r="Q6" s="103">
        <v>-1700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0.125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9</v>
      </c>
      <c r="K7" s="38">
        <v>5</v>
      </c>
      <c r="L7" s="99">
        <v>-124.3</v>
      </c>
      <c r="N7" s="116" t="s">
        <v>136</v>
      </c>
      <c r="O7" s="123">
        <f t="shared" si="0"/>
        <v>-2750</v>
      </c>
      <c r="P7" s="120">
        <v>4</v>
      </c>
      <c r="Q7" s="104">
        <v>-11000</v>
      </c>
    </row>
    <row r="8" spans="1:17" x14ac:dyDescent="0.4">
      <c r="A8" s="55" t="s">
        <v>3</v>
      </c>
      <c r="B8" s="47">
        <v>2</v>
      </c>
      <c r="C8" s="39">
        <f t="shared" si="1"/>
        <v>0.25</v>
      </c>
      <c r="E8" s="63" t="s">
        <v>71</v>
      </c>
      <c r="F8" s="60" t="s">
        <v>26</v>
      </c>
      <c r="G8" s="47">
        <v>1</v>
      </c>
      <c r="H8" s="133">
        <f>IF(B$17=0,0,G8/B$17)</f>
        <v>7.1428571428571425E-2</v>
      </c>
      <c r="I8" s="94">
        <v>6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si="1"/>
        <v>0.625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0.25</v>
      </c>
      <c r="E10" s="63" t="s">
        <v>73</v>
      </c>
      <c r="F10" s="60" t="s">
        <v>28</v>
      </c>
      <c r="G10" s="47">
        <v>8</v>
      </c>
      <c r="H10" s="133">
        <f>IF(B$17=0,0,G10/B$17)</f>
        <v>0.5714285714285714</v>
      </c>
      <c r="I10" s="94">
        <v>5</v>
      </c>
      <c r="K10" s="38">
        <v>8</v>
      </c>
      <c r="L10" s="99">
        <v>-152.6</v>
      </c>
      <c r="N10" s="114" t="s">
        <v>163</v>
      </c>
      <c r="O10" s="124">
        <f>IF(P10=0,0,Q10/P10)</f>
        <v>-37.333333333333336</v>
      </c>
      <c r="P10" s="118">
        <v>3</v>
      </c>
      <c r="Q10" s="106">
        <v>-112</v>
      </c>
    </row>
    <row r="11" spans="1:17" x14ac:dyDescent="0.4">
      <c r="A11" s="56" t="s">
        <v>139</v>
      </c>
      <c r="B11" s="48">
        <v>1</v>
      </c>
      <c r="C11" s="40">
        <f t="shared" si="1"/>
        <v>0.125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19</v>
      </c>
      <c r="C13" s="44">
        <f>IF(B$3=0,0,B13/B$3)</f>
        <v>0.27536231884057971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0.21739130434782608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9</v>
      </c>
      <c r="C15" s="37">
        <f>IF(B$13=0,0,B15/B$13)</f>
        <v>0.47368421052631576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>IF(P15=0,0,Q15/P15)</f>
        <v>25.975000000000005</v>
      </c>
      <c r="P15" s="118">
        <v>4</v>
      </c>
      <c r="Q15" s="106">
        <v>103.90000000000002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1</v>
      </c>
      <c r="H16" s="133">
        <f>IF(B$17=0,0,G16/B$17)</f>
        <v>7.1428571428571425E-2</v>
      </c>
      <c r="I16" s="94">
        <v>1</v>
      </c>
      <c r="N16" s="115" t="s">
        <v>128</v>
      </c>
      <c r="O16" s="125">
        <f>IF(P16=0,0,Q16/P16)</f>
        <v>-32.799999999999997</v>
      </c>
      <c r="P16" s="119">
        <v>2</v>
      </c>
      <c r="Q16" s="107">
        <v>-65.599999999999994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0.20289855072463769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179</v>
      </c>
      <c r="O17" s="125">
        <f>IF(P17=0,0,Q17/P17)</f>
        <v>-38.725000000000001</v>
      </c>
      <c r="P17" s="119">
        <v>4</v>
      </c>
      <c r="Q17" s="107">
        <v>-154.9</v>
      </c>
    </row>
    <row r="18" spans="1:17" x14ac:dyDescent="0.4">
      <c r="A18" s="55" t="s">
        <v>12</v>
      </c>
      <c r="B18" s="47">
        <v>8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-52.525000000000006</v>
      </c>
      <c r="P18" s="119">
        <v>4</v>
      </c>
      <c r="Q18" s="107">
        <v>-210.10000000000002</v>
      </c>
    </row>
    <row r="19" spans="1:17" x14ac:dyDescent="0.4">
      <c r="A19" s="55" t="s">
        <v>11</v>
      </c>
      <c r="B19" s="47">
        <v>6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1</v>
      </c>
      <c r="H19" s="133">
        <f>IF(B$17=0,0,G19/B$17)</f>
        <v>7.1428571428571425E-2</v>
      </c>
      <c r="I19" s="94">
        <v>1</v>
      </c>
      <c r="N19" s="115" t="s">
        <v>196</v>
      </c>
      <c r="O19" s="125">
        <f>IF(P19=0,0,Q19/P19)</f>
        <v>-65.55</v>
      </c>
      <c r="P19" s="119">
        <v>2</v>
      </c>
      <c r="Q19" s="107">
        <v>-131.1</v>
      </c>
    </row>
    <row r="20" spans="1:17" x14ac:dyDescent="0.4">
      <c r="A20" s="55" t="s">
        <v>13</v>
      </c>
      <c r="B20" s="47">
        <v>17</v>
      </c>
      <c r="C20" s="39">
        <f>IF(B$3=0,0,B20/B$3)</f>
        <v>0.24637681159420291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7.1428571428571425E-2</v>
      </c>
      <c r="I21" s="94">
        <v>5</v>
      </c>
    </row>
    <row r="22" spans="1:17" x14ac:dyDescent="0.4">
      <c r="A22" s="55" t="s">
        <v>171</v>
      </c>
      <c r="B22" s="47">
        <v>11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9742.8571428571431</v>
      </c>
      <c r="C23" s="41">
        <v>136400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-10035.294117647059</v>
      </c>
      <c r="C24" s="45">
        <v>-170600</v>
      </c>
      <c r="E24" s="63" t="s">
        <v>87</v>
      </c>
      <c r="F24" s="60" t="s">
        <v>42</v>
      </c>
      <c r="G24" s="47">
        <v>2</v>
      </c>
      <c r="H24" s="133">
        <f>IF(B$17=0,0,G24/B$17)</f>
        <v>0.14285714285714285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 x14ac:dyDescent="0.4">
      <c r="E51" s="136" t="s">
        <v>172</v>
      </c>
      <c r="F51" s="137" t="s">
        <v>173</v>
      </c>
      <c r="G51" s="48">
        <v>6</v>
      </c>
      <c r="H51" s="138">
        <f>IF(B$17=0,0,G51/B$17)</f>
        <v>0.42857142857142855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94BCC-8A72-4BDC-869A-0063609CA81C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65</v>
      </c>
      <c r="F2" s="59" t="s">
        <v>21</v>
      </c>
      <c r="G2" s="46">
        <v>21</v>
      </c>
      <c r="H2" s="132">
        <f>IF(B$17=0,0,G2/B$17)</f>
        <v>0.61764705882352944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66</v>
      </c>
      <c r="F3" s="60" t="s">
        <v>22</v>
      </c>
      <c r="G3" s="47">
        <v>3</v>
      </c>
      <c r="H3" s="133">
        <f>IF(B$17=0,0,G3/B$17)</f>
        <v>8.8235294117647065E-2</v>
      </c>
      <c r="I3" s="94">
        <v>7</v>
      </c>
      <c r="K3" s="38">
        <v>1</v>
      </c>
      <c r="L3" s="99">
        <v>70.2</v>
      </c>
      <c r="N3" s="115" t="s">
        <v>132</v>
      </c>
      <c r="O3" s="122">
        <f t="shared" si="0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67</v>
      </c>
      <c r="F4" s="60" t="s">
        <v>23</v>
      </c>
      <c r="G4" s="47">
        <v>37</v>
      </c>
      <c r="H4" s="133">
        <f>IF(B$17=0,0,G4/B$17)</f>
        <v>1.088235294117647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8</v>
      </c>
      <c r="K5" s="38">
        <v>3</v>
      </c>
      <c r="L5" s="99">
        <v>76</v>
      </c>
      <c r="N5" s="115" t="s">
        <v>134</v>
      </c>
      <c r="O5" s="122">
        <f t="shared" si="0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0.41176470588235292</v>
      </c>
      <c r="I6" s="94">
        <v>1</v>
      </c>
      <c r="K6" s="38">
        <v>4</v>
      </c>
      <c r="L6" s="99">
        <v>115.5</v>
      </c>
      <c r="N6" s="115" t="s">
        <v>135</v>
      </c>
      <c r="O6" s="122">
        <f t="shared" si="0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70</v>
      </c>
      <c r="F7" s="60" t="s">
        <v>25</v>
      </c>
      <c r="G7" s="47">
        <v>7</v>
      </c>
      <c r="H7" s="133">
        <f>IF(B$17=0,0,G7/B$17)</f>
        <v>0.20588235294117646</v>
      </c>
      <c r="I7" s="94">
        <v>2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71</v>
      </c>
      <c r="F8" s="60" t="s">
        <v>26</v>
      </c>
      <c r="G8" s="47">
        <v>5</v>
      </c>
      <c r="H8" s="133">
        <f>IF(B$17=0,0,G8/B$17)</f>
        <v>0.14705882352941177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0.18181818181818182</v>
      </c>
      <c r="E9" s="63" t="s">
        <v>72</v>
      </c>
      <c r="F9" s="60" t="s">
        <v>27</v>
      </c>
      <c r="G9" s="47">
        <v>4</v>
      </c>
      <c r="H9" s="133">
        <f>IF(B$17=0,0,G9/B$17)</f>
        <v>0.11764705882352941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10</v>
      </c>
      <c r="H10" s="133">
        <f>IF(B$17=0,0,G10/B$17)</f>
        <v>0.29411764705882354</v>
      </c>
      <c r="I10" s="94">
        <v>10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1"/>
        <v>0.18181818181818182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 t="shared" ref="O15:O22" si="2"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183</v>
      </c>
      <c r="O16" s="125">
        <f t="shared" si="2"/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128</v>
      </c>
      <c r="O17" s="125">
        <f t="shared" si="2"/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 t="shared" si="2"/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5</v>
      </c>
      <c r="N19" s="115" t="s">
        <v>180</v>
      </c>
      <c r="O19" s="125">
        <f t="shared" si="2"/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 t="shared" si="2"/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9</v>
      </c>
      <c r="N21" s="115" t="s">
        <v>196</v>
      </c>
      <c r="O21" s="125">
        <f t="shared" si="2"/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N22" s="115" t="s">
        <v>127</v>
      </c>
      <c r="O22" s="125">
        <f t="shared" si="2"/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86</v>
      </c>
      <c r="F23" s="60" t="s">
        <v>41</v>
      </c>
      <c r="G23" s="47">
        <v>1</v>
      </c>
      <c r="H23" s="133">
        <f>IF(B$17=0,0,G23/B$17)</f>
        <v>2.9411764705882353E-2</v>
      </c>
      <c r="I23" s="94">
        <v>1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87</v>
      </c>
      <c r="F24" s="60" t="s">
        <v>42</v>
      </c>
      <c r="G24" s="47">
        <v>2</v>
      </c>
      <c r="H24" s="133">
        <f>IF(B$17=0,0,G24/B$17)</f>
        <v>5.8823529411764705E-2</v>
      </c>
      <c r="I24" s="94">
        <v>4</v>
      </c>
    </row>
    <row r="25" spans="1:17" x14ac:dyDescent="0.4">
      <c r="A25" s="90" t="s">
        <v>141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2.9411764705882353E-2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5.8823529411764705E-2</v>
      </c>
      <c r="I27" s="94">
        <v>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 x14ac:dyDescent="0.4">
      <c r="E51" s="136" t="s">
        <v>172</v>
      </c>
      <c r="F51" s="137" t="s">
        <v>173</v>
      </c>
      <c r="G51" s="48">
        <v>14</v>
      </c>
      <c r="H51" s="138">
        <f>IF(B$17=0,0,G51/B$17)</f>
        <v>0.41176470588235292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5824-8C20-4846-9D5C-E7EF15B4B5F3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</v>
      </c>
      <c r="C2" s="151"/>
      <c r="E2" s="62" t="s">
        <v>65</v>
      </c>
      <c r="F2" s="59" t="s">
        <v>21</v>
      </c>
      <c r="G2" s="46">
        <v>5</v>
      </c>
      <c r="H2" s="132">
        <f>IF(B$17=0,0,G2/B$17)</f>
        <v>0.5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-750</v>
      </c>
      <c r="P2" s="118">
        <v>4</v>
      </c>
      <c r="Q2" s="102">
        <v>-3000</v>
      </c>
    </row>
    <row r="3" spans="1:17" x14ac:dyDescent="0.4">
      <c r="A3" s="55" t="s">
        <v>8</v>
      </c>
      <c r="B3" s="152">
        <v>40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0.2</v>
      </c>
      <c r="I3" s="94">
        <v>1</v>
      </c>
      <c r="K3" s="38">
        <v>1</v>
      </c>
      <c r="L3" s="99">
        <v>-46.5</v>
      </c>
      <c r="N3" s="115" t="s">
        <v>132</v>
      </c>
      <c r="O3" s="122">
        <f t="shared" si="0"/>
        <v>3025</v>
      </c>
      <c r="P3" s="119">
        <v>4</v>
      </c>
      <c r="Q3" s="103">
        <v>12100</v>
      </c>
    </row>
    <row r="4" spans="1:17" x14ac:dyDescent="0.4">
      <c r="A4" s="55" t="s">
        <v>6</v>
      </c>
      <c r="B4" s="154">
        <v>-37.400000000000006</v>
      </c>
      <c r="C4" s="155"/>
      <c r="E4" s="63" t="s">
        <v>67</v>
      </c>
      <c r="F4" s="60" t="s">
        <v>23</v>
      </c>
      <c r="G4" s="47">
        <v>9</v>
      </c>
      <c r="H4" s="133">
        <f>IF(B$17=0,0,G4/B$17)</f>
        <v>0.9</v>
      </c>
      <c r="I4" s="94">
        <v>4</v>
      </c>
      <c r="K4" s="38">
        <v>2</v>
      </c>
      <c r="L4" s="99">
        <v>-25.4</v>
      </c>
      <c r="N4" s="115" t="s">
        <v>133</v>
      </c>
      <c r="O4" s="122">
        <f t="shared" si="0"/>
        <v>-10100</v>
      </c>
      <c r="P4" s="119">
        <v>4</v>
      </c>
      <c r="Q4" s="103">
        <v>-40400</v>
      </c>
    </row>
    <row r="5" spans="1:17" x14ac:dyDescent="0.4">
      <c r="A5" s="55" t="s">
        <v>7</v>
      </c>
      <c r="B5" s="156">
        <f>IF(B$2=0,0,B$4/B$2)</f>
        <v>-9.3500000000000014</v>
      </c>
      <c r="C5" s="157"/>
      <c r="E5" s="63" t="s">
        <v>68</v>
      </c>
      <c r="F5" s="60" t="s">
        <v>24</v>
      </c>
      <c r="G5" s="47">
        <v>6</v>
      </c>
      <c r="H5" s="133">
        <f>IF(B$17=0,0,G5/B$17)</f>
        <v>0.6</v>
      </c>
      <c r="I5" s="94">
        <v>2</v>
      </c>
      <c r="K5" s="38">
        <v>3</v>
      </c>
      <c r="L5" s="99">
        <v>-71.900000000000006</v>
      </c>
      <c r="N5" s="115" t="s">
        <v>134</v>
      </c>
      <c r="O5" s="122">
        <f t="shared" si="0"/>
        <v>-4000</v>
      </c>
      <c r="P5" s="119">
        <v>4</v>
      </c>
      <c r="Q5" s="103">
        <v>-16000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2</v>
      </c>
      <c r="H6" s="133">
        <f>IF(B$17=0,0,G6/B$17)</f>
        <v>0.2</v>
      </c>
      <c r="I6" s="94">
        <v>9</v>
      </c>
      <c r="K6" s="38">
        <v>4</v>
      </c>
      <c r="L6" s="99">
        <v>-37.400000000000006</v>
      </c>
      <c r="N6" s="115" t="s">
        <v>135</v>
      </c>
      <c r="O6" s="122">
        <f t="shared" si="0"/>
        <v>7200</v>
      </c>
      <c r="P6" s="119">
        <v>2</v>
      </c>
      <c r="Q6" s="103">
        <v>14400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9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0.1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0.5</v>
      </c>
      <c r="E10" s="63" t="s">
        <v>73</v>
      </c>
      <c r="F10" s="60" t="s">
        <v>28</v>
      </c>
      <c r="G10" s="47">
        <v>5</v>
      </c>
      <c r="H10" s="133">
        <f>IF(B$17=0,0,G10/B$17)</f>
        <v>0.5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-9.3500000000000014</v>
      </c>
      <c r="P11" s="119">
        <v>4</v>
      </c>
      <c r="Q11" s="107">
        <v>-37.400000000000006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11</v>
      </c>
      <c r="C13" s="44">
        <f>IF(B$3=0,0,B13/B$3)</f>
        <v>0.27500000000000002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</v>
      </c>
      <c r="C14" s="39">
        <f>IF(B$3=0,0,B14/B$3)</f>
        <v>0.35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0.45454545454545453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4</v>
      </c>
      <c r="C16" s="37">
        <f>IF(B$14=0,0,B16/B$14)</f>
        <v>0.2857142857142857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182</v>
      </c>
      <c r="O16" s="125">
        <f>IF(P16=0,0,Q16/P16)</f>
        <v>17.850000000000001</v>
      </c>
      <c r="P16" s="119">
        <v>2</v>
      </c>
      <c r="Q16" s="107">
        <v>35.700000000000003</v>
      </c>
    </row>
    <row r="17" spans="1:17" x14ac:dyDescent="0.4">
      <c r="A17" s="54" t="s">
        <v>10</v>
      </c>
      <c r="B17" s="46">
        <f>B19+B18</f>
        <v>10</v>
      </c>
      <c r="C17" s="37">
        <f>IF(B$3=0,0,B17/B$3)</f>
        <v>0.25</v>
      </c>
      <c r="E17" s="63" t="s">
        <v>80</v>
      </c>
      <c r="F17" s="60" t="s">
        <v>35</v>
      </c>
      <c r="G17" s="47">
        <v>1</v>
      </c>
      <c r="H17" s="133">
        <f>IF(B$17=0,0,G17/B$17)</f>
        <v>0.1</v>
      </c>
      <c r="I17" s="94">
        <v>1</v>
      </c>
      <c r="N17" s="115" t="s">
        <v>179</v>
      </c>
      <c r="O17" s="125">
        <f>IF(P17=0,0,Q17/P17)</f>
        <v>-64.2</v>
      </c>
      <c r="P17" s="119">
        <v>2</v>
      </c>
      <c r="Q17" s="107">
        <v>-128.4</v>
      </c>
    </row>
    <row r="18" spans="1:17" x14ac:dyDescent="0.4">
      <c r="A18" s="55" t="s">
        <v>12</v>
      </c>
      <c r="B18" s="47">
        <v>4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-75.3</v>
      </c>
      <c r="P18" s="119">
        <v>2</v>
      </c>
      <c r="Q18" s="107">
        <v>-150.6</v>
      </c>
    </row>
    <row r="19" spans="1:17" x14ac:dyDescent="0.4">
      <c r="A19" s="55" t="s">
        <v>11</v>
      </c>
      <c r="B19" s="47">
        <v>6</v>
      </c>
      <c r="C19" s="39">
        <f>IF(B$17=0,0,B19/B$17)</f>
        <v>0.6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7</v>
      </c>
      <c r="C20" s="39">
        <f>IF(B$3=0,0,B20/B$3)</f>
        <v>0.17499999999999999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2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171</v>
      </c>
      <c r="B22" s="47">
        <v>13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7780</v>
      </c>
      <c r="C23" s="41">
        <v>77800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-9142.8571428571431</v>
      </c>
      <c r="C24" s="45">
        <v>-64000</v>
      </c>
      <c r="E24" s="63" t="s">
        <v>87</v>
      </c>
      <c r="F24" s="60" t="s">
        <v>42</v>
      </c>
      <c r="G24" s="47">
        <v>1</v>
      </c>
      <c r="H24" s="133">
        <f>IF(B$17=0,0,G24/B$17)</f>
        <v>0.1</v>
      </c>
      <c r="I24" s="94">
        <v>2</v>
      </c>
    </row>
    <row r="25" spans="1:17" x14ac:dyDescent="0.4">
      <c r="A25" s="90" t="s">
        <v>141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0.1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 x14ac:dyDescent="0.4">
      <c r="E51" s="136" t="s">
        <v>172</v>
      </c>
      <c r="F51" s="137" t="s">
        <v>173</v>
      </c>
      <c r="G51" s="48">
        <v>2</v>
      </c>
      <c r="H51" s="138">
        <f>IF(B$17=0,0,G51/B$17)</f>
        <v>0.2</v>
      </c>
      <c r="I51" s="139">
        <v>9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568B1-55DE-4516-9416-A6830A49187F}">
  <sheetPr codeName="Sheet24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9A9B4-3CEF-4057-B48F-7D763D56FEA5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5FEDB-3C6C-4BB6-AFB3-76FEFE68A70E}">
  <sheetPr codeName="Sheet20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612DF-837D-450C-A84D-B9E16C14B0FA}">
  <sheetPr codeName="Sheet18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9D078-CFD4-4E95-90C5-72D9DA2A0314}">
  <sheetPr codeName="Sheet16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0073-F59A-4CF5-A5A8-E6A9D522410B}">
  <sheetPr codeName="Sheet14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27004-6DF1-41C8-B066-845D83FDEC9C}">
  <sheetPr codeName="Sheet12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2757-6349-42A0-892B-7964F95DC5E6}">
  <sheetPr codeName="Sheet10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A7B25-C5CE-42C7-8BB2-D941CEF55F88}">
  <sheetPr codeName="Sheet8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5D729-2F7E-47E3-9773-0731796D1FC5}">
  <sheetPr codeName="Sheet6"/>
  <dimension ref="A1:Q5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2019-10-08T15:10:04Z</dcterms:modified>
</cp:coreProperties>
</file>