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14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5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6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7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8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0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1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2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3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4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5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6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7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8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3rd\"/>
    </mc:Choice>
  </mc:AlternateContent>
  <xr:revisionPtr revIDLastSave="0" documentId="13_ncr:1_{F0403579-A571-4DDC-A62C-A87CE0680B26}" xr6:coauthVersionLast="41" xr6:coauthVersionMax="41" xr10:uidLastSave="{00000000-0000-0000-0000-000000000000}"/>
  <bookViews>
    <workbookView xWindow="-120" yWindow="-120" windowWidth="29040" windowHeight="16440" tabRatio="663" firstSheet="4" activeTab="1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625" r:id="rId6"/>
    <sheet name="たかの" sheetId="5627" r:id="rId7"/>
    <sheet name="だいち" sheetId="5629" r:id="rId8"/>
    <sheet name="ただ" sheetId="5631" r:id="rId9"/>
    <sheet name="りくと" sheetId="5633" r:id="rId10"/>
    <sheet name="れんたろう" sheetId="5635" r:id="rId11"/>
    <sheet name="まっつん" sheetId="5637" r:id="rId12"/>
    <sheet name="のり" sheetId="5639" r:id="rId13"/>
    <sheet name="ぱぱ" sheetId="5641" r:id="rId14"/>
    <sheet name="ほたに" sheetId="5643" r:id="rId15"/>
    <sheet name="ほたに2" sheetId="5644" state="hidden" r:id="rId16"/>
    <sheet name="ぱぱ2" sheetId="5642" state="hidden" r:id="rId17"/>
    <sheet name="のり2" sheetId="5640" state="hidden" r:id="rId18"/>
    <sheet name="まっつん2" sheetId="5638" state="hidden" r:id="rId19"/>
    <sheet name="れんたろう2" sheetId="5636" state="hidden" r:id="rId20"/>
    <sheet name="りくと2" sheetId="5634" state="hidden" r:id="rId21"/>
    <sheet name="ただ2" sheetId="5632" state="hidden" r:id="rId22"/>
    <sheet name="だいち2" sheetId="5630" state="hidden" r:id="rId23"/>
    <sheet name="たかの2" sheetId="5628" state="hidden" r:id="rId24"/>
    <sheet name="全体2" sheetId="5626" state="hidden" r:id="rId25"/>
    <sheet name="通算スコア" sheetId="3331" state="hidden" r:id="rId26"/>
    <sheet name="平均スコア" sheetId="3493" state="hidden" r:id="rId27"/>
    <sheet name="平均順位" sheetId="3183" state="hidden" r:id="rId28"/>
    <sheet name="トップ率" sheetId="3185" state="hidden" r:id="rId29"/>
    <sheet name="ラス率" sheetId="4886" state="hidden" r:id="rId30"/>
    <sheet name="アガリ率" sheetId="3189" state="hidden" r:id="rId31"/>
    <sheet name="放銃率" sheetId="3190" state="hidden" r:id="rId32"/>
    <sheet name="平均アガリ点" sheetId="3520" state="hidden" r:id="rId33"/>
    <sheet name="平均放銃点" sheetId="3521" state="hidden" r:id="rId34"/>
    <sheet name="ふっとび率" sheetId="3522" state="hidden" r:id="rId35"/>
    <sheet name="ふっとばし率" sheetId="3523" state="hidden" r:id="rId36"/>
    <sheet name="リーチ率" sheetId="3524" state="hidden" r:id="rId37"/>
    <sheet name="副露率" sheetId="3525" state="hidden" r:id="rId38"/>
    <sheet name="リーチ成功率" sheetId="4841" state="hidden" r:id="rId39"/>
    <sheet name="副露成功率" sheetId="3527" state="hidden" r:id="rId40"/>
    <sheet name="ツモ率" sheetId="3528" state="hidden" r:id="rId41"/>
  </sheets>
  <definedNames>
    <definedName name="アガリ数" localSheetId="7">だいち!$B$17</definedName>
    <definedName name="アガリ数" localSheetId="6">たかの!$B$17</definedName>
    <definedName name="アガリ数" localSheetId="8">ただ!$B$17</definedName>
    <definedName name="アガリ数" localSheetId="12">のり!$B$17</definedName>
    <definedName name="アガリ数" localSheetId="13">ぱぱ!$B$17</definedName>
    <definedName name="アガリ数" localSheetId="14">ほたに!$B$17</definedName>
    <definedName name="アガリ数" localSheetId="11">まっつん!$B$17</definedName>
    <definedName name="アガリ数" localSheetId="9">りくと!$B$17</definedName>
    <definedName name="アガリ数" localSheetId="10">れんたろう!$B$17</definedName>
    <definedName name="アガリ数" localSheetId="5">全体!$B$17</definedName>
    <definedName name="アガリ数">Template1!$B$17</definedName>
    <definedName name="アガリ率" localSheetId="7">だいち!$C$17</definedName>
    <definedName name="アガリ率" localSheetId="6">たかの!$C$17</definedName>
    <definedName name="アガリ率" localSheetId="8">ただ!$C$17</definedName>
    <definedName name="アガリ率" localSheetId="12">のり!$C$17</definedName>
    <definedName name="アガリ率" localSheetId="13">ぱぱ!$C$17</definedName>
    <definedName name="アガリ率" localSheetId="14">ほたに!$C$17</definedName>
    <definedName name="アガリ率" localSheetId="11">まっつん!$C$17</definedName>
    <definedName name="アガリ率" localSheetId="9">りくと!$C$17</definedName>
    <definedName name="アガリ率" localSheetId="10">れんたろう!$C$17</definedName>
    <definedName name="アガリ率" localSheetId="5">全体!$C$17</definedName>
    <definedName name="アガリ率">Template1!$C$17</definedName>
    <definedName name="チョンボ数" localSheetId="7">だいち!$B$27</definedName>
    <definedName name="チョンボ数" localSheetId="6">たかの!$B$27</definedName>
    <definedName name="チョンボ数" localSheetId="8">ただ!$B$27</definedName>
    <definedName name="チョンボ数" localSheetId="12">のり!$B$27</definedName>
    <definedName name="チョンボ数" localSheetId="13">ぱぱ!$B$27</definedName>
    <definedName name="チョンボ数" localSheetId="14">ほたに!$B$27</definedName>
    <definedName name="チョンボ数" localSheetId="11">まっつん!$B$27</definedName>
    <definedName name="チョンボ数" localSheetId="9">りくと!$B$27</definedName>
    <definedName name="チョンボ数" localSheetId="10">れんたろう!$B$27</definedName>
    <definedName name="チョンボ数" localSheetId="5">全体!$B$27</definedName>
    <definedName name="チョンボ数">Template1!$B$27</definedName>
    <definedName name="チョンボ率" localSheetId="7">だいち!$C$27</definedName>
    <definedName name="チョンボ率" localSheetId="6">たかの!$C$27</definedName>
    <definedName name="チョンボ率" localSheetId="8">ただ!$C$27</definedName>
    <definedName name="チョンボ率" localSheetId="12">のり!$C$27</definedName>
    <definedName name="チョンボ率" localSheetId="13">ぱぱ!$C$27</definedName>
    <definedName name="チョンボ率" localSheetId="14">ほたに!$C$27</definedName>
    <definedName name="チョンボ率" localSheetId="11">まっつん!$C$27</definedName>
    <definedName name="チョンボ率" localSheetId="9">りくと!$C$27</definedName>
    <definedName name="チョンボ率" localSheetId="10">れんたろう!$C$27</definedName>
    <definedName name="チョンボ率" localSheetId="5">全体!$C$27</definedName>
    <definedName name="チョンボ率">Template1!$C$27</definedName>
    <definedName name="ツモ数" localSheetId="7">だいち!$B$18</definedName>
    <definedName name="ツモ数" localSheetId="6">たかの!$B$18</definedName>
    <definedName name="ツモ数" localSheetId="8">ただ!$B$18</definedName>
    <definedName name="ツモ数" localSheetId="12">のり!$B$18</definedName>
    <definedName name="ツモ数" localSheetId="13">ぱぱ!$B$18</definedName>
    <definedName name="ツモ数" localSheetId="14">ほたに!$B$18</definedName>
    <definedName name="ツモ数" localSheetId="11">まっつん!$B$18</definedName>
    <definedName name="ツモ数" localSheetId="9">りくと!$B$18</definedName>
    <definedName name="ツモ数" localSheetId="10">れんたろう!$B$18</definedName>
    <definedName name="ツモ数" localSheetId="5">全体!$B$18</definedName>
    <definedName name="ツモ数">Template1!$B$18</definedName>
    <definedName name="ツモ率" localSheetId="7">だいち!$C$18</definedName>
    <definedName name="ツモ率" localSheetId="6">たかの!$C$18</definedName>
    <definedName name="ツモ率" localSheetId="8">ただ!$C$18</definedName>
    <definedName name="ツモ率" localSheetId="12">のり!$C$18</definedName>
    <definedName name="ツモ率" localSheetId="13">ぱぱ!$C$18</definedName>
    <definedName name="ツモ率" localSheetId="14">ほたに!$C$18</definedName>
    <definedName name="ツモ率" localSheetId="11">まっつん!$C$18</definedName>
    <definedName name="ツモ率" localSheetId="9">りくと!$C$18</definedName>
    <definedName name="ツモ率" localSheetId="10">れんたろう!$C$18</definedName>
    <definedName name="ツモ率" localSheetId="5">全体!$C$18</definedName>
    <definedName name="ツモ率">Template1!$C$18</definedName>
    <definedName name="トップ数" localSheetId="7">だいち!$B$7</definedName>
    <definedName name="トップ数" localSheetId="6">たかの!$B$7</definedName>
    <definedName name="トップ数" localSheetId="8">ただ!$B$7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7">だいち!$C$7</definedName>
    <definedName name="トップ率" localSheetId="6">たかの!$C$7</definedName>
    <definedName name="トップ率" localSheetId="8">ただ!$C$7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7">だいち!$B$11</definedName>
    <definedName name="ふっとばし数" localSheetId="6">たかの!$B$11</definedName>
    <definedName name="ふっとばし数" localSheetId="8">ただ!$B$11</definedName>
    <definedName name="ふっとばし数" localSheetId="12">のり!$B$11</definedName>
    <definedName name="ふっとばし数" localSheetId="13">ぱぱ!$B$11</definedName>
    <definedName name="ふっとばし数" localSheetId="14">ほたに!$B$11</definedName>
    <definedName name="ふっとばし数" localSheetId="11">まっつん!$B$11</definedName>
    <definedName name="ふっとばし数" localSheetId="9">りくと!$B$11</definedName>
    <definedName name="ふっとばし数" localSheetId="10">れんたろう!$B$11</definedName>
    <definedName name="ふっとばし数" localSheetId="5">全体!$B$11</definedName>
    <definedName name="ふっとばし数">Template1!$B$11</definedName>
    <definedName name="ふっとばし率" localSheetId="7">だいち!$C$11</definedName>
    <definedName name="ふっとばし率" localSheetId="6">たかの!$C$11</definedName>
    <definedName name="ふっとばし率" localSheetId="8">ただ!$C$11</definedName>
    <definedName name="ふっとばし率" localSheetId="12">のり!$C$11</definedName>
    <definedName name="ふっとばし率" localSheetId="13">ぱぱ!$C$11</definedName>
    <definedName name="ふっとばし率" localSheetId="14">ほたに!$C$11</definedName>
    <definedName name="ふっとばし率" localSheetId="11">まっつん!$C$11</definedName>
    <definedName name="ふっとばし率" localSheetId="9">りくと!$C$11</definedName>
    <definedName name="ふっとばし率" localSheetId="10">れんたろう!$C$11</definedName>
    <definedName name="ふっとばし率" localSheetId="5">全体!$C$11</definedName>
    <definedName name="ふっとばし率">Template1!$C$11</definedName>
    <definedName name="ふっとび数" localSheetId="7">だいち!$B$10</definedName>
    <definedName name="ふっとび数" localSheetId="6">たかの!$B$10</definedName>
    <definedName name="ふっとび数" localSheetId="8">ただ!$B$10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7">だいち!$C$10</definedName>
    <definedName name="ふっとび率" localSheetId="6">たかの!$C$10</definedName>
    <definedName name="ふっとび率" localSheetId="8">ただ!$C$10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7">だいち!$B$9</definedName>
    <definedName name="ラス数" localSheetId="6">たかの!$B$9</definedName>
    <definedName name="ラス数" localSheetId="8">ただ!$B$9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7">だいち!$C$9</definedName>
    <definedName name="ラス率" localSheetId="6">たかの!$C$9</definedName>
    <definedName name="ラス率" localSheetId="8">ただ!$C$9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数" localSheetId="7">だいち!$B$13</definedName>
    <definedName name="リーチ数" localSheetId="6">たかの!$B$13</definedName>
    <definedName name="リーチ数" localSheetId="8">ただ!$B$13</definedName>
    <definedName name="リーチ数" localSheetId="12">のり!$B$13</definedName>
    <definedName name="リーチ数" localSheetId="13">ぱぱ!$B$13</definedName>
    <definedName name="リーチ数" localSheetId="14">ほたに!$B$13</definedName>
    <definedName name="リーチ数" localSheetId="11">まっつん!$B$13</definedName>
    <definedName name="リーチ数" localSheetId="9">りくと!$B$13</definedName>
    <definedName name="リーチ数" localSheetId="10">れんたろう!$B$13</definedName>
    <definedName name="リーチ数" localSheetId="5">全体!$B$13</definedName>
    <definedName name="リーチ数">Template1!$B$13</definedName>
    <definedName name="リーチ成功数" localSheetId="7">だいち!$B$15</definedName>
    <definedName name="リーチ成功数" localSheetId="6">たかの!$B$15</definedName>
    <definedName name="リーチ成功数" localSheetId="8">ただ!$B$15</definedName>
    <definedName name="リーチ成功数" localSheetId="12">のり!$B$15</definedName>
    <definedName name="リーチ成功数" localSheetId="13">ぱぱ!$B$15</definedName>
    <definedName name="リーチ成功数" localSheetId="14">ほたに!$B$15</definedName>
    <definedName name="リーチ成功数" localSheetId="11">まっつん!$B$15</definedName>
    <definedName name="リーチ成功数" localSheetId="9">りくと!$B$15</definedName>
    <definedName name="リーチ成功数" localSheetId="10">れんたろう!$B$15</definedName>
    <definedName name="リーチ成功数" localSheetId="5">全体!$B$15</definedName>
    <definedName name="リーチ成功数">Template1!$B$15</definedName>
    <definedName name="リーチ成功率" localSheetId="7">だいち!$C$15</definedName>
    <definedName name="リーチ成功率" localSheetId="6">たかの!$C$15</definedName>
    <definedName name="リーチ成功率" localSheetId="8">ただ!$C$15</definedName>
    <definedName name="リーチ成功率" localSheetId="12">のり!$C$15</definedName>
    <definedName name="リーチ成功率" localSheetId="13">ぱぱ!$C$15</definedName>
    <definedName name="リーチ成功率" localSheetId="14">ほたに!$C$15</definedName>
    <definedName name="リーチ成功率" localSheetId="11">まっつん!$C$15</definedName>
    <definedName name="リーチ成功率" localSheetId="9">りくと!$C$15</definedName>
    <definedName name="リーチ成功率" localSheetId="10">れんたろう!$C$15</definedName>
    <definedName name="リーチ成功率" localSheetId="5">全体!$C$15</definedName>
    <definedName name="リーチ成功率">Template1!$C$15</definedName>
    <definedName name="リーチ率" localSheetId="7">だいち!$C$13</definedName>
    <definedName name="リーチ率" localSheetId="6">たかの!$C$13</definedName>
    <definedName name="リーチ率" localSheetId="8">ただ!$C$13</definedName>
    <definedName name="リーチ率" localSheetId="12">のり!$C$13</definedName>
    <definedName name="リーチ率" localSheetId="13">ぱぱ!$C$13</definedName>
    <definedName name="リーチ率" localSheetId="14">ほたに!$C$13</definedName>
    <definedName name="リーチ率" localSheetId="11">まっつん!$C$13</definedName>
    <definedName name="リーチ率" localSheetId="9">りくと!$C$13</definedName>
    <definedName name="リーチ率" localSheetId="10">れんたろう!$C$13</definedName>
    <definedName name="リーチ率" localSheetId="5">全体!$C$13</definedName>
    <definedName name="リーチ率">Template1!$C$13</definedName>
    <definedName name="ロン数" localSheetId="7">だいち!$B$19</definedName>
    <definedName name="ロン数" localSheetId="6">たかの!$B$19</definedName>
    <definedName name="ロン数" localSheetId="8">ただ!$B$19</definedName>
    <definedName name="ロン数" localSheetId="12">のり!$B$19</definedName>
    <definedName name="ロン数" localSheetId="13">ぱぱ!$B$19</definedName>
    <definedName name="ロン数" localSheetId="14">ほたに!$B$19</definedName>
    <definedName name="ロン数" localSheetId="11">まっつん!$B$19</definedName>
    <definedName name="ロン数" localSheetId="9">りくと!$B$19</definedName>
    <definedName name="ロン数" localSheetId="10">れんたろう!$B$19</definedName>
    <definedName name="ロン数" localSheetId="5">全体!$B$19</definedName>
    <definedName name="ロン数">Template1!$B$19</definedName>
    <definedName name="ロン率" localSheetId="7">だいち!$C$19</definedName>
    <definedName name="ロン率" localSheetId="6">たかの!$C$19</definedName>
    <definedName name="ロン率" localSheetId="8">ただ!$C$19</definedName>
    <definedName name="ロン率" localSheetId="12">のり!$C$19</definedName>
    <definedName name="ロン率" localSheetId="13">ぱぱ!$C$19</definedName>
    <definedName name="ロン率" localSheetId="14">ほたに!$C$19</definedName>
    <definedName name="ロン率" localSheetId="11">まっつん!$C$19</definedName>
    <definedName name="ロン率" localSheetId="9">りくと!$C$19</definedName>
    <definedName name="ロン率" localSheetId="10">れんたろう!$C$19</definedName>
    <definedName name="ロン率" localSheetId="5">全体!$C$19</definedName>
    <definedName name="ロン率">Template1!$C$19</definedName>
    <definedName name="逆転数" localSheetId="7">だいち!$B$12</definedName>
    <definedName name="逆転数" localSheetId="6">たかの!$B$12</definedName>
    <definedName name="逆転数" localSheetId="8">ただ!$B$12</definedName>
    <definedName name="逆転数" localSheetId="12">のり!$B$12</definedName>
    <definedName name="逆転数" localSheetId="13">ぱぱ!$B$12</definedName>
    <definedName name="逆転数" localSheetId="14">ほたに!$B$12</definedName>
    <definedName name="逆転数" localSheetId="11">まっつん!$B$12</definedName>
    <definedName name="逆転数" localSheetId="9">りくと!$B$12</definedName>
    <definedName name="逆転数" localSheetId="10">れんたろう!$B$12</definedName>
    <definedName name="逆転数" localSheetId="5">全体!$B$12</definedName>
    <definedName name="逆転数">Template1!$B$12</definedName>
    <definedName name="逆転率" localSheetId="7">だいち!$C$12</definedName>
    <definedName name="逆転率" localSheetId="6">たかの!$C$12</definedName>
    <definedName name="逆転率" localSheetId="8">ただ!$C$12</definedName>
    <definedName name="逆転率" localSheetId="12">のり!$C$12</definedName>
    <definedName name="逆転率" localSheetId="13">ぱぱ!$C$12</definedName>
    <definedName name="逆転率" localSheetId="14">ほたに!$C$12</definedName>
    <definedName name="逆転率" localSheetId="11">まっつん!$C$12</definedName>
    <definedName name="逆転率" localSheetId="9">りくと!$C$12</definedName>
    <definedName name="逆転率" localSheetId="10">れんたろう!$C$12</definedName>
    <definedName name="逆転率" localSheetId="5">全体!$C$12</definedName>
    <definedName name="逆転率">Template1!$C$12</definedName>
    <definedName name="最大ドラ数" localSheetId="7">だいち!$B$25</definedName>
    <definedName name="最大ドラ数" localSheetId="6">たかの!$B$25</definedName>
    <definedName name="最大ドラ数" localSheetId="8">ただ!$B$25</definedName>
    <definedName name="最大ドラ数" localSheetId="12">のり!$B$25</definedName>
    <definedName name="最大ドラ数" localSheetId="13">ぱぱ!$B$25</definedName>
    <definedName name="最大ドラ数" localSheetId="14">ほたに!$B$25</definedName>
    <definedName name="最大ドラ数" localSheetId="11">まっつん!$B$25</definedName>
    <definedName name="最大ドラ数" localSheetId="9">りくと!$B$25</definedName>
    <definedName name="最大ドラ数" localSheetId="10">れんたろう!$B$25</definedName>
    <definedName name="最大ドラ数" localSheetId="5">全体!$B$25</definedName>
    <definedName name="最大ドラ数">Template1!$B$25</definedName>
    <definedName name="最大点数" localSheetId="7">だいち!$B$26</definedName>
    <definedName name="最大点数" localSheetId="6">たかの!$B$26</definedName>
    <definedName name="最大点数" localSheetId="8">ただ!$B$26</definedName>
    <definedName name="最大点数" localSheetId="12">のり!$B$26</definedName>
    <definedName name="最大点数" localSheetId="13">ぱぱ!$B$26</definedName>
    <definedName name="最大点数" localSheetId="14">ほたに!$B$26</definedName>
    <definedName name="最大点数" localSheetId="11">まっつん!$B$26</definedName>
    <definedName name="最大点数" localSheetId="9">りくと!$B$26</definedName>
    <definedName name="最大点数" localSheetId="10">れんたろう!$B$26</definedName>
    <definedName name="最大点数" localSheetId="5">全体!$B$26</definedName>
    <definedName name="最大点数">Template1!$B$26</definedName>
    <definedName name="総局数" localSheetId="7">だいち!$B$3</definedName>
    <definedName name="総局数" localSheetId="6">たかの!$B$3</definedName>
    <definedName name="総局数" localSheetId="8">ただ!$B$3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7">だいち!$B$2</definedName>
    <definedName name="対戦数" localSheetId="6">たかの!$B$2</definedName>
    <definedName name="対戦数" localSheetId="8">ただ!$B$2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スコア" localSheetId="7">だいち!$B$4</definedName>
    <definedName name="通算スコア" localSheetId="6">たかの!$B$4</definedName>
    <definedName name="通算スコア" localSheetId="8">ただ!$B$4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副露数" localSheetId="7">だいち!$B$14</definedName>
    <definedName name="副露数" localSheetId="6">たかの!$B$14</definedName>
    <definedName name="副露数" localSheetId="8">ただ!$B$14</definedName>
    <definedName name="副露数" localSheetId="12">のり!$B$14</definedName>
    <definedName name="副露数" localSheetId="13">ぱぱ!$B$14</definedName>
    <definedName name="副露数" localSheetId="14">ほたに!$B$14</definedName>
    <definedName name="副露数" localSheetId="11">まっつん!$B$14</definedName>
    <definedName name="副露数" localSheetId="9">りくと!$B$14</definedName>
    <definedName name="副露数" localSheetId="10">れんたろう!$B$14</definedName>
    <definedName name="副露数" localSheetId="5">全体!$B$14</definedName>
    <definedName name="副露数">Template1!$B$14</definedName>
    <definedName name="副露成功数" localSheetId="7">だいち!$B$16</definedName>
    <definedName name="副露成功数" localSheetId="6">たかの!$B$16</definedName>
    <definedName name="副露成功数" localSheetId="8">ただ!$B$16</definedName>
    <definedName name="副露成功数" localSheetId="12">のり!$B$16</definedName>
    <definedName name="副露成功数" localSheetId="13">ぱぱ!$B$16</definedName>
    <definedName name="副露成功数" localSheetId="14">ほたに!$B$16</definedName>
    <definedName name="副露成功数" localSheetId="11">まっつん!$B$16</definedName>
    <definedName name="副露成功数" localSheetId="9">りくと!$B$16</definedName>
    <definedName name="副露成功数" localSheetId="10">れんたろう!$B$16</definedName>
    <definedName name="副露成功数" localSheetId="5">全体!$B$16</definedName>
    <definedName name="副露成功数">Template1!$B$16</definedName>
    <definedName name="副露成功率" localSheetId="7">だいち!$C$16</definedName>
    <definedName name="副露成功率" localSheetId="6">たかの!$C$16</definedName>
    <definedName name="副露成功率" localSheetId="8">ただ!$C$16</definedName>
    <definedName name="副露成功率" localSheetId="12">のり!$C$16</definedName>
    <definedName name="副露成功率" localSheetId="13">ぱぱ!$C$16</definedName>
    <definedName name="副露成功率" localSheetId="14">ほたに!$C$16</definedName>
    <definedName name="副露成功率" localSheetId="11">まっつん!$C$16</definedName>
    <definedName name="副露成功率" localSheetId="9">りくと!$C$16</definedName>
    <definedName name="副露成功率" localSheetId="10">れんたろう!$C$16</definedName>
    <definedName name="副露成功率" localSheetId="5">全体!$C$16</definedName>
    <definedName name="副露成功率">Template1!$C$16</definedName>
    <definedName name="副露率" localSheetId="7">だいち!$C$14</definedName>
    <definedName name="副露率" localSheetId="6">たかの!$C$14</definedName>
    <definedName name="副露率" localSheetId="8">ただ!$C$14</definedName>
    <definedName name="副露率" localSheetId="12">のり!$C$14</definedName>
    <definedName name="副露率" localSheetId="13">ぱぱ!$C$14</definedName>
    <definedName name="副露率" localSheetId="14">ほたに!$C$14</definedName>
    <definedName name="副露率" localSheetId="11">まっつん!$C$14</definedName>
    <definedName name="副露率" localSheetId="9">りくと!$C$14</definedName>
    <definedName name="副露率" localSheetId="10">れんたろう!$C$14</definedName>
    <definedName name="副露率" localSheetId="5">全体!$C$14</definedName>
    <definedName name="副露率">Template1!$C$14</definedName>
    <definedName name="平均アガリ点" localSheetId="7">だいち!$B$23</definedName>
    <definedName name="平均アガリ点" localSheetId="6">たかの!$B$23</definedName>
    <definedName name="平均アガリ点" localSheetId="8">ただ!$B$23</definedName>
    <definedName name="平均アガリ点" localSheetId="12">のり!$B$23</definedName>
    <definedName name="平均アガリ点" localSheetId="13">ぱぱ!$B$23</definedName>
    <definedName name="平均アガリ点" localSheetId="14">ほたに!$B$23</definedName>
    <definedName name="平均アガリ点" localSheetId="11">まっつん!$B$23</definedName>
    <definedName name="平均アガリ点" localSheetId="9">りくと!$B$23</definedName>
    <definedName name="平均アガリ点" localSheetId="10">れんたろう!$B$23</definedName>
    <definedName name="平均アガリ点" localSheetId="5">全体!$B$23</definedName>
    <definedName name="平均アガリ点">Template1!$B$23</definedName>
    <definedName name="平均スコア" localSheetId="7">だいち!$B$5</definedName>
    <definedName name="平均スコア" localSheetId="6">たかの!$B$5</definedName>
    <definedName name="平均スコア" localSheetId="8">ただ!$B$5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7">だいち!$B$6</definedName>
    <definedName name="平均順位" localSheetId="6">たかの!$B$6</definedName>
    <definedName name="平均順位" localSheetId="8">ただ!$B$6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7">だいち!$B$24</definedName>
    <definedName name="平均放銃点" localSheetId="6">たかの!$B$24</definedName>
    <definedName name="平均放銃点" localSheetId="8">ただ!$B$24</definedName>
    <definedName name="平均放銃点" localSheetId="12">のり!$B$24</definedName>
    <definedName name="平均放銃点" localSheetId="13">ぱぱ!$B$24</definedName>
    <definedName name="平均放銃点" localSheetId="14">ほたに!$B$24</definedName>
    <definedName name="平均放銃点" localSheetId="11">まっつん!$B$24</definedName>
    <definedName name="平均放銃点" localSheetId="9">りくと!$B$24</definedName>
    <definedName name="平均放銃点" localSheetId="10">れんたろう!$B$24</definedName>
    <definedName name="平均放銃点" localSheetId="5">全体!$B$24</definedName>
    <definedName name="平均放銃点">Template1!$B$24</definedName>
    <definedName name="放銃数" localSheetId="7">だいち!$B$20</definedName>
    <definedName name="放銃数" localSheetId="6">たかの!$B$20</definedName>
    <definedName name="放銃数" localSheetId="8">ただ!$B$20</definedName>
    <definedName name="放銃数" localSheetId="12">のり!$B$20</definedName>
    <definedName name="放銃数" localSheetId="13">ぱぱ!$B$20</definedName>
    <definedName name="放銃数" localSheetId="14">ほたに!$B$20</definedName>
    <definedName name="放銃数" localSheetId="11">まっつん!$B$20</definedName>
    <definedName name="放銃数" localSheetId="9">りくと!$B$20</definedName>
    <definedName name="放銃数" localSheetId="10">れんたろう!$B$20</definedName>
    <definedName name="放銃数" localSheetId="5">全体!$B$20</definedName>
    <definedName name="放銃数">Template1!$B$20</definedName>
    <definedName name="放銃率" localSheetId="7">だいち!$C$20</definedName>
    <definedName name="放銃率" localSheetId="6">たかの!$C$20</definedName>
    <definedName name="放銃率" localSheetId="8">ただ!$C$20</definedName>
    <definedName name="放銃率" localSheetId="12">のり!$C$20</definedName>
    <definedName name="放銃率" localSheetId="13">ぱぱ!$C$20</definedName>
    <definedName name="放銃率" localSheetId="14">ほたに!$C$20</definedName>
    <definedName name="放銃率" localSheetId="11">まっつん!$C$20</definedName>
    <definedName name="放銃率" localSheetId="9">りくと!$C$20</definedName>
    <definedName name="放銃率" localSheetId="10">れんたろう!$C$20</definedName>
    <definedName name="放銃率" localSheetId="5">全体!$C$20</definedName>
    <definedName name="放銃率">Template1!$C$20</definedName>
    <definedName name="連続アガリ" localSheetId="7">だいち!$B$21</definedName>
    <definedName name="連続アガリ" localSheetId="6">たかの!$B$21</definedName>
    <definedName name="連続アガリ" localSheetId="8">ただ!$B$21</definedName>
    <definedName name="連続アガリ" localSheetId="12">のり!$B$21</definedName>
    <definedName name="連続アガリ" localSheetId="13">ぱぱ!$B$21</definedName>
    <definedName name="連続アガリ" localSheetId="14">ほたに!$B$21</definedName>
    <definedName name="連続アガリ" localSheetId="11">まっつん!$B$21</definedName>
    <definedName name="連続アガリ" localSheetId="9">りくと!$B$21</definedName>
    <definedName name="連続アガリ" localSheetId="10">れんたろう!$B$21</definedName>
    <definedName name="連続アガリ" localSheetId="5">全体!$B$21</definedName>
    <definedName name="連続アガリ">Template1!$B$21</definedName>
    <definedName name="連続無放銃" localSheetId="7">だいち!$B$22</definedName>
    <definedName name="連続無放銃" localSheetId="6">たかの!$B$22</definedName>
    <definedName name="連続無放銃" localSheetId="8">ただ!$B$22</definedName>
    <definedName name="連続無放銃" localSheetId="12">のり!$B$22</definedName>
    <definedName name="連続無放銃" localSheetId="13">ぱぱ!$B$22</definedName>
    <definedName name="連続無放銃" localSheetId="14">ほたに!$B$22</definedName>
    <definedName name="連続無放銃" localSheetId="11">まっつん!$B$22</definedName>
    <definedName name="連続無放銃" localSheetId="9">りくと!$B$22</definedName>
    <definedName name="連続無放銃" localSheetId="10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8" i="5631" l="1"/>
  <c r="O18" i="5635"/>
  <c r="O15" i="5631" l="1"/>
  <c r="O16" i="5631"/>
  <c r="O17" i="5643"/>
  <c r="O18" i="5643"/>
  <c r="O17" i="5637"/>
  <c r="O16" i="5637"/>
  <c r="O16" i="5635" l="1"/>
  <c r="O20" i="5629"/>
  <c r="O16" i="5639"/>
  <c r="O16" i="5643"/>
  <c r="O15" i="5643"/>
  <c r="C27" i="5643"/>
  <c r="B24" i="5643"/>
  <c r="C20" i="5643"/>
  <c r="B17" i="5643"/>
  <c r="H49" i="5643" s="1"/>
  <c r="C16" i="5643"/>
  <c r="C15" i="5643"/>
  <c r="C14" i="5643"/>
  <c r="C13" i="5643"/>
  <c r="O12" i="5643"/>
  <c r="C12" i="5643"/>
  <c r="O11" i="5643"/>
  <c r="C11" i="5643"/>
  <c r="O10" i="5643"/>
  <c r="C10" i="5643"/>
  <c r="C9" i="5643"/>
  <c r="C8" i="5643"/>
  <c r="O7" i="5643"/>
  <c r="C7" i="5643"/>
  <c r="O6" i="5643"/>
  <c r="B6" i="5643"/>
  <c r="O5" i="5643"/>
  <c r="B5" i="5643"/>
  <c r="O4" i="5643"/>
  <c r="O3" i="5643"/>
  <c r="O2" i="5643"/>
  <c r="O18" i="5641"/>
  <c r="O16" i="5625"/>
  <c r="H21" i="5643" l="1"/>
  <c r="H39" i="5643"/>
  <c r="H28" i="5643"/>
  <c r="H16" i="5643"/>
  <c r="H50" i="5643"/>
  <c r="H4" i="5643"/>
  <c r="H10" i="5643"/>
  <c r="H22" i="5643"/>
  <c r="H30" i="5643"/>
  <c r="H40" i="5643"/>
  <c r="H51" i="5643"/>
  <c r="H7" i="5643"/>
  <c r="H13" i="5643"/>
  <c r="C17" i="5643"/>
  <c r="B23" i="5643"/>
  <c r="H31" i="5643"/>
  <c r="H42" i="5643"/>
  <c r="H52" i="5643"/>
  <c r="H17" i="5643"/>
  <c r="H32" i="5643"/>
  <c r="H43" i="5643"/>
  <c r="H5" i="5643"/>
  <c r="H11" i="5643"/>
  <c r="H14" i="5643"/>
  <c r="C18" i="5643"/>
  <c r="H24" i="5643"/>
  <c r="H34" i="5643"/>
  <c r="H44" i="5643"/>
  <c r="H2" i="5643"/>
  <c r="H8" i="5643"/>
  <c r="C19" i="5643"/>
  <c r="H25" i="5643"/>
  <c r="H35" i="5643"/>
  <c r="H46" i="5643"/>
  <c r="H15" i="5643"/>
  <c r="H19" i="5643"/>
  <c r="H36" i="5643"/>
  <c r="H47" i="5643"/>
  <c r="H3" i="5643"/>
  <c r="H6" i="5643"/>
  <c r="H9" i="5643"/>
  <c r="H12" i="5643"/>
  <c r="H27" i="5643"/>
  <c r="H38" i="5643"/>
  <c r="H48" i="5643"/>
  <c r="H18" i="5643"/>
  <c r="H23" i="5643"/>
  <c r="H29" i="5643"/>
  <c r="H37" i="5643"/>
  <c r="H45" i="5643"/>
  <c r="H20" i="5643"/>
  <c r="H26" i="5643"/>
  <c r="H33" i="5643"/>
  <c r="H41" i="5643"/>
  <c r="O16" i="5629" l="1"/>
  <c r="O18" i="5633"/>
  <c r="O15" i="5629" l="1"/>
  <c r="O19" i="5637"/>
  <c r="O20" i="5637"/>
  <c r="O15" i="5627"/>
  <c r="O17" i="5631"/>
  <c r="O15" i="5633"/>
  <c r="O16" i="5633"/>
  <c r="O18" i="5627"/>
  <c r="O21" i="5631"/>
  <c r="O17" i="5629"/>
  <c r="O17" i="5641"/>
  <c r="O19" i="5641"/>
  <c r="O20" i="5635" l="1"/>
  <c r="O19" i="5635"/>
  <c r="O16" i="5641"/>
  <c r="O15" i="5641"/>
  <c r="C27" i="5641"/>
  <c r="B24" i="5641"/>
  <c r="C20" i="5641"/>
  <c r="B17" i="5641"/>
  <c r="H49" i="5641" s="1"/>
  <c r="C16" i="5641"/>
  <c r="C15" i="5641"/>
  <c r="C14" i="5641"/>
  <c r="C13" i="5641"/>
  <c r="O12" i="5641"/>
  <c r="C12" i="5641"/>
  <c r="O11" i="5641"/>
  <c r="C11" i="5641"/>
  <c r="O10" i="5641"/>
  <c r="C10" i="5641"/>
  <c r="C9" i="5641"/>
  <c r="C8" i="5641"/>
  <c r="O7" i="5641"/>
  <c r="C7" i="5641"/>
  <c r="O6" i="5641"/>
  <c r="B6" i="5641"/>
  <c r="O5" i="5641"/>
  <c r="B5" i="5641"/>
  <c r="O4" i="5641"/>
  <c r="O3" i="5641"/>
  <c r="O2" i="5641"/>
  <c r="O17" i="5625"/>
  <c r="O15" i="5639"/>
  <c r="O17" i="5639"/>
  <c r="C27" i="5639"/>
  <c r="B24" i="5639"/>
  <c r="C20" i="5639"/>
  <c r="B17" i="5639"/>
  <c r="H50" i="5639" s="1"/>
  <c r="C16" i="5639"/>
  <c r="C15" i="5639"/>
  <c r="H14" i="5639"/>
  <c r="C14" i="5639"/>
  <c r="C13" i="5639"/>
  <c r="O12" i="5639"/>
  <c r="C12" i="5639"/>
  <c r="O11" i="5639"/>
  <c r="C11" i="5639"/>
  <c r="O10" i="5639"/>
  <c r="C10" i="5639"/>
  <c r="C9" i="5639"/>
  <c r="C8" i="5639"/>
  <c r="O7" i="5639"/>
  <c r="C7" i="5639"/>
  <c r="O6" i="5639"/>
  <c r="B6" i="5639"/>
  <c r="O5" i="5639"/>
  <c r="B5" i="5639"/>
  <c r="O4" i="5639"/>
  <c r="O3" i="5639"/>
  <c r="O2" i="5639"/>
  <c r="O23" i="5625"/>
  <c r="H12" i="5639" l="1"/>
  <c r="H8" i="5639"/>
  <c r="H5" i="5639"/>
  <c r="H4" i="5641"/>
  <c r="H2" i="5641"/>
  <c r="H21" i="5641"/>
  <c r="H27" i="5641"/>
  <c r="H38" i="5641"/>
  <c r="H39" i="5641"/>
  <c r="H12" i="5641"/>
  <c r="H14" i="5641"/>
  <c r="H9" i="5641"/>
  <c r="H11" i="5641"/>
  <c r="H17" i="5641"/>
  <c r="H28" i="5641"/>
  <c r="H3" i="5641"/>
  <c r="H6" i="5641"/>
  <c r="C18" i="5641"/>
  <c r="H24" i="5641"/>
  <c r="H32" i="5641"/>
  <c r="H44" i="5641"/>
  <c r="H5" i="5641"/>
  <c r="H8" i="5641"/>
  <c r="H16" i="5641"/>
  <c r="H34" i="5641"/>
  <c r="H50" i="5641"/>
  <c r="H43" i="5641"/>
  <c r="H48" i="5641"/>
  <c r="H10" i="5641"/>
  <c r="C19" i="5641"/>
  <c r="H25" i="5641"/>
  <c r="H30" i="5641"/>
  <c r="H35" i="5641"/>
  <c r="H40" i="5641"/>
  <c r="H46" i="5641"/>
  <c r="H51" i="5641"/>
  <c r="H22" i="5641"/>
  <c r="H7" i="5641"/>
  <c r="H13" i="5641"/>
  <c r="H15" i="5641"/>
  <c r="C17" i="5641"/>
  <c r="H19" i="5641"/>
  <c r="B23" i="5641"/>
  <c r="H31" i="5641"/>
  <c r="H36" i="5641"/>
  <c r="H42" i="5641"/>
  <c r="H47" i="5641"/>
  <c r="H52" i="5641"/>
  <c r="H18" i="5641"/>
  <c r="H20" i="5641"/>
  <c r="H23" i="5641"/>
  <c r="H26" i="5641"/>
  <c r="H29" i="5641"/>
  <c r="H33" i="5641"/>
  <c r="H37" i="5641"/>
  <c r="H41" i="5641"/>
  <c r="H45" i="5641"/>
  <c r="C18" i="5639"/>
  <c r="H4" i="5639"/>
  <c r="H9" i="5639"/>
  <c r="H32" i="5639"/>
  <c r="H2" i="5639"/>
  <c r="H16" i="5639"/>
  <c r="B23" i="5639"/>
  <c r="H40" i="5639"/>
  <c r="H48" i="5639"/>
  <c r="H10" i="5639"/>
  <c r="H17" i="5639"/>
  <c r="H22" i="5639"/>
  <c r="H25" i="5639"/>
  <c r="H31" i="5639"/>
  <c r="H39" i="5639"/>
  <c r="H47" i="5639"/>
  <c r="H19" i="5639"/>
  <c r="H27" i="5639"/>
  <c r="H35" i="5639"/>
  <c r="H43" i="5639"/>
  <c r="H51" i="5639"/>
  <c r="H3" i="5639"/>
  <c r="H6" i="5639"/>
  <c r="H11" i="5639"/>
  <c r="C17" i="5639"/>
  <c r="H24" i="5639"/>
  <c r="H28" i="5639"/>
  <c r="H36" i="5639"/>
  <c r="H44" i="5639"/>
  <c r="H52" i="5639"/>
  <c r="H18" i="5639"/>
  <c r="H20" i="5639"/>
  <c r="H23" i="5639"/>
  <c r="H26" i="5639"/>
  <c r="H29" i="5639"/>
  <c r="H33" i="5639"/>
  <c r="H37" i="5639"/>
  <c r="H41" i="5639"/>
  <c r="H45" i="5639"/>
  <c r="H49" i="5639"/>
  <c r="H7" i="5639"/>
  <c r="H13" i="5639"/>
  <c r="H15" i="5639"/>
  <c r="C19" i="5639"/>
  <c r="H21" i="5639"/>
  <c r="H30" i="5639"/>
  <c r="H34" i="5639"/>
  <c r="H38" i="5639"/>
  <c r="H42" i="5639"/>
  <c r="H46" i="5639"/>
  <c r="O18" i="5637" l="1"/>
  <c r="O15" i="5637"/>
  <c r="C27" i="5637"/>
  <c r="B24" i="5637"/>
  <c r="C20" i="5637"/>
  <c r="B17" i="5637"/>
  <c r="H52" i="5637" s="1"/>
  <c r="C16" i="5637"/>
  <c r="C15" i="5637"/>
  <c r="C14" i="5637"/>
  <c r="C13" i="5637"/>
  <c r="O12" i="5637"/>
  <c r="C12" i="5637"/>
  <c r="O11" i="5637"/>
  <c r="C11" i="5637"/>
  <c r="O10" i="5637"/>
  <c r="C10" i="5637"/>
  <c r="C9" i="5637"/>
  <c r="C8" i="5637"/>
  <c r="O7" i="5637"/>
  <c r="C7" i="5637"/>
  <c r="O6" i="5637"/>
  <c r="B6" i="5637"/>
  <c r="O5" i="5637"/>
  <c r="B5" i="5637"/>
  <c r="O4" i="5637"/>
  <c r="O3" i="5637"/>
  <c r="O2" i="5637"/>
  <c r="O15" i="5635"/>
  <c r="O17" i="5635"/>
  <c r="C27" i="5635"/>
  <c r="B24" i="5635"/>
  <c r="C20" i="5635"/>
  <c r="B17" i="5635"/>
  <c r="H50" i="5635" s="1"/>
  <c r="C16" i="5635"/>
  <c r="C15" i="5635"/>
  <c r="C14" i="5635"/>
  <c r="C13" i="5635"/>
  <c r="O12" i="5635"/>
  <c r="C12" i="5635"/>
  <c r="O11" i="5635"/>
  <c r="C11" i="5635"/>
  <c r="O10" i="5635"/>
  <c r="C10" i="5635"/>
  <c r="C9" i="5635"/>
  <c r="C8" i="5635"/>
  <c r="O7" i="5635"/>
  <c r="C7" i="5635"/>
  <c r="O6" i="5635"/>
  <c r="B6" i="5635"/>
  <c r="O5" i="5635"/>
  <c r="B5" i="5635"/>
  <c r="O4" i="5635"/>
  <c r="O3" i="5635"/>
  <c r="O2" i="5635"/>
  <c r="O15" i="5625"/>
  <c r="O19" i="5633"/>
  <c r="O17" i="5633"/>
  <c r="C27" i="5633"/>
  <c r="B24" i="5633"/>
  <c r="C20" i="5633"/>
  <c r="B17" i="5633"/>
  <c r="H50" i="5633" s="1"/>
  <c r="C16" i="5633"/>
  <c r="C15" i="5633"/>
  <c r="C14" i="5633"/>
  <c r="C13" i="5633"/>
  <c r="O12" i="5633"/>
  <c r="C12" i="5633"/>
  <c r="O11" i="5633"/>
  <c r="C11" i="5633"/>
  <c r="O10" i="5633"/>
  <c r="C10" i="5633"/>
  <c r="C9" i="5633"/>
  <c r="C8" i="5633"/>
  <c r="O7" i="5633"/>
  <c r="C7" i="5633"/>
  <c r="O6" i="5633"/>
  <c r="B6" i="5633"/>
  <c r="O5" i="5633"/>
  <c r="B5" i="5633"/>
  <c r="O4" i="5633"/>
  <c r="O3" i="5633"/>
  <c r="O2" i="5633"/>
  <c r="H2" i="5633"/>
  <c r="O19" i="5625"/>
  <c r="O18" i="5625"/>
  <c r="H8" i="5637" l="1"/>
  <c r="H2" i="5637"/>
  <c r="H4" i="5637"/>
  <c r="H5" i="5637"/>
  <c r="H11" i="5637"/>
  <c r="H14" i="5637"/>
  <c r="H16" i="5637"/>
  <c r="C18" i="5637"/>
  <c r="H21" i="5637"/>
  <c r="H39" i="5637"/>
  <c r="H10" i="5637"/>
  <c r="H27" i="5637"/>
  <c r="C17" i="5637"/>
  <c r="H31" i="5637"/>
  <c r="H47" i="5637"/>
  <c r="C19" i="5637"/>
  <c r="H22" i="5637"/>
  <c r="H43" i="5637"/>
  <c r="H7" i="5637"/>
  <c r="H13" i="5637"/>
  <c r="H15" i="5637"/>
  <c r="H19" i="5637"/>
  <c r="H3" i="5637"/>
  <c r="H6" i="5637"/>
  <c r="H9" i="5637"/>
  <c r="H12" i="5637"/>
  <c r="H17" i="5637"/>
  <c r="H24" i="5637"/>
  <c r="H35" i="5637"/>
  <c r="H51" i="5637"/>
  <c r="H18" i="5637"/>
  <c r="H20" i="5637"/>
  <c r="H23" i="5637"/>
  <c r="H26" i="5637"/>
  <c r="H29" i="5637"/>
  <c r="H33" i="5637"/>
  <c r="H37" i="5637"/>
  <c r="H41" i="5637"/>
  <c r="H45" i="5637"/>
  <c r="H49" i="5637"/>
  <c r="H30" i="5637"/>
  <c r="H34" i="5637"/>
  <c r="H38" i="5637"/>
  <c r="H42" i="5637"/>
  <c r="H46" i="5637"/>
  <c r="H50" i="5637"/>
  <c r="B23" i="5637"/>
  <c r="H25" i="5637"/>
  <c r="H28" i="5637"/>
  <c r="H32" i="5637"/>
  <c r="H36" i="5637"/>
  <c r="H40" i="5637"/>
  <c r="H44" i="5637"/>
  <c r="H48" i="5637"/>
  <c r="H2" i="5635"/>
  <c r="H3" i="5635"/>
  <c r="H6" i="5635"/>
  <c r="H16" i="5635"/>
  <c r="H37" i="5635"/>
  <c r="H31" i="5635"/>
  <c r="H15" i="5635"/>
  <c r="H19" i="5635"/>
  <c r="H21" i="5635"/>
  <c r="C17" i="5635"/>
  <c r="H28" i="5635"/>
  <c r="H32" i="5635"/>
  <c r="H39" i="5635"/>
  <c r="H45" i="5635"/>
  <c r="H44" i="5635"/>
  <c r="H18" i="5635"/>
  <c r="H11" i="5635"/>
  <c r="H40" i="5635"/>
  <c r="H48" i="5635"/>
  <c r="H10" i="5635"/>
  <c r="H52" i="5635"/>
  <c r="H8" i="5635"/>
  <c r="H7" i="5635"/>
  <c r="H9" i="5635"/>
  <c r="H23" i="5635"/>
  <c r="H33" i="5635"/>
  <c r="H4" i="5635"/>
  <c r="H17" i="5635"/>
  <c r="H20" i="5635"/>
  <c r="H22" i="5635"/>
  <c r="C18" i="5635"/>
  <c r="B23" i="5635"/>
  <c r="H5" i="5635"/>
  <c r="H35" i="5635"/>
  <c r="H43" i="5635"/>
  <c r="H49" i="5635"/>
  <c r="H51" i="5635"/>
  <c r="C19" i="5635"/>
  <c r="H26" i="5635"/>
  <c r="H29" i="5635"/>
  <c r="H13" i="5635"/>
  <c r="H36" i="5635"/>
  <c r="H41" i="5635"/>
  <c r="H47" i="5635"/>
  <c r="H14" i="5635"/>
  <c r="H24" i="5635"/>
  <c r="H25" i="5635"/>
  <c r="H27" i="5635"/>
  <c r="H30" i="5635"/>
  <c r="H12" i="5635"/>
  <c r="H34" i="5635"/>
  <c r="H38" i="5635"/>
  <c r="H42" i="5635"/>
  <c r="H46" i="5635"/>
  <c r="H4" i="5633"/>
  <c r="H22" i="5633"/>
  <c r="H25" i="5633"/>
  <c r="H31" i="5633"/>
  <c r="H39" i="5633"/>
  <c r="H47" i="5633"/>
  <c r="B23" i="5633"/>
  <c r="H40" i="5633"/>
  <c r="H48" i="5633"/>
  <c r="H10" i="5633"/>
  <c r="C17" i="5633"/>
  <c r="H9" i="5633"/>
  <c r="H27" i="5633"/>
  <c r="H35" i="5633"/>
  <c r="H43" i="5633"/>
  <c r="H51" i="5633"/>
  <c r="H8" i="5633"/>
  <c r="C19" i="5633"/>
  <c r="H7" i="5633"/>
  <c r="H13" i="5633"/>
  <c r="H15" i="5633"/>
  <c r="H19" i="5633"/>
  <c r="H32" i="5633"/>
  <c r="H3" i="5633"/>
  <c r="H6" i="5633"/>
  <c r="H12" i="5633"/>
  <c r="H17" i="5633"/>
  <c r="H5" i="5633"/>
  <c r="H11" i="5633"/>
  <c r="H14" i="5633"/>
  <c r="H16" i="5633"/>
  <c r="C18" i="5633"/>
  <c r="H21" i="5633"/>
  <c r="H24" i="5633"/>
  <c r="H28" i="5633"/>
  <c r="H36" i="5633"/>
  <c r="H44" i="5633"/>
  <c r="H52" i="5633"/>
  <c r="H18" i="5633"/>
  <c r="H20" i="5633"/>
  <c r="H23" i="5633"/>
  <c r="H26" i="5633"/>
  <c r="H29" i="5633"/>
  <c r="H33" i="5633"/>
  <c r="H37" i="5633"/>
  <c r="H41" i="5633"/>
  <c r="H45" i="5633"/>
  <c r="H49" i="5633"/>
  <c r="H30" i="5633"/>
  <c r="H34" i="5633"/>
  <c r="H38" i="5633"/>
  <c r="H42" i="5633"/>
  <c r="H46" i="5633"/>
  <c r="O20" i="5631" l="1"/>
  <c r="O19" i="5631"/>
  <c r="C27" i="5631"/>
  <c r="B24" i="5631"/>
  <c r="C20" i="5631"/>
  <c r="B17" i="5631"/>
  <c r="H51" i="5631" s="1"/>
  <c r="C16" i="5631"/>
  <c r="C15" i="5631"/>
  <c r="C14" i="5631"/>
  <c r="C13" i="5631"/>
  <c r="O12" i="5631"/>
  <c r="C12" i="5631"/>
  <c r="O11" i="5631"/>
  <c r="C11" i="5631"/>
  <c r="O10" i="5631"/>
  <c r="C10" i="5631"/>
  <c r="C9" i="5631"/>
  <c r="C8" i="5631"/>
  <c r="O7" i="5631"/>
  <c r="C7" i="5631"/>
  <c r="O6" i="5631"/>
  <c r="B6" i="5631"/>
  <c r="O5" i="5631"/>
  <c r="B5" i="5631"/>
  <c r="O4" i="5631"/>
  <c r="O3" i="5631"/>
  <c r="O2" i="5631"/>
  <c r="O19" i="5629"/>
  <c r="O18" i="5629"/>
  <c r="C27" i="5629"/>
  <c r="B24" i="5629"/>
  <c r="C20" i="5629"/>
  <c r="B17" i="5629"/>
  <c r="H15" i="5629" s="1"/>
  <c r="C16" i="5629"/>
  <c r="C15" i="5629"/>
  <c r="C14" i="5629"/>
  <c r="C13" i="5629"/>
  <c r="O12" i="5629"/>
  <c r="C12" i="5629"/>
  <c r="O11" i="5629"/>
  <c r="C11" i="5629"/>
  <c r="O10" i="5629"/>
  <c r="C10" i="5629"/>
  <c r="C9" i="5629"/>
  <c r="C8" i="5629"/>
  <c r="O7" i="5629"/>
  <c r="C7" i="5629"/>
  <c r="O6" i="5629"/>
  <c r="B6" i="5629"/>
  <c r="O5" i="5629"/>
  <c r="B5" i="5629"/>
  <c r="O4" i="5629"/>
  <c r="O3" i="5629"/>
  <c r="O2" i="5629"/>
  <c r="O20" i="5625"/>
  <c r="O16" i="5627"/>
  <c r="O17" i="5627"/>
  <c r="C27" i="5627"/>
  <c r="B24" i="5627"/>
  <c r="C20" i="5627"/>
  <c r="B17" i="5627"/>
  <c r="H51" i="5627" s="1"/>
  <c r="C16" i="5627"/>
  <c r="C15" i="5627"/>
  <c r="C14" i="5627"/>
  <c r="C13" i="5627"/>
  <c r="O12" i="5627"/>
  <c r="C12" i="5627"/>
  <c r="O11" i="5627"/>
  <c r="C11" i="5627"/>
  <c r="O10" i="5627"/>
  <c r="C10" i="5627"/>
  <c r="C9" i="5627"/>
  <c r="C8" i="5627"/>
  <c r="O7" i="5627"/>
  <c r="C7" i="5627"/>
  <c r="O6" i="5627"/>
  <c r="B6" i="5627"/>
  <c r="O5" i="5627"/>
  <c r="B5" i="5627"/>
  <c r="O4" i="5627"/>
  <c r="O3" i="5627"/>
  <c r="O2" i="5627"/>
  <c r="O21" i="5625"/>
  <c r="O22" i="5625"/>
  <c r="C27" i="5625"/>
  <c r="B24" i="5625"/>
  <c r="C20" i="5625"/>
  <c r="B17" i="5625"/>
  <c r="H51" i="5625" s="1"/>
  <c r="C16" i="5625"/>
  <c r="C15" i="5625"/>
  <c r="C14" i="5625"/>
  <c r="C13" i="5625"/>
  <c r="O12" i="5625"/>
  <c r="C12" i="5625"/>
  <c r="O11" i="5625"/>
  <c r="C11" i="5625"/>
  <c r="O10" i="5625"/>
  <c r="C10" i="5625"/>
  <c r="C9" i="5625"/>
  <c r="C8" i="5625"/>
  <c r="O7" i="5625"/>
  <c r="C7" i="5625"/>
  <c r="O6" i="5625"/>
  <c r="B6" i="5625"/>
  <c r="O5" i="5625"/>
  <c r="B5" i="5625"/>
  <c r="O4" i="5625"/>
  <c r="O3" i="5625"/>
  <c r="O2" i="5625"/>
  <c r="H33" i="5631" l="1"/>
  <c r="H10" i="5631"/>
  <c r="H6" i="5631"/>
  <c r="H40" i="5631"/>
  <c r="H14" i="5631"/>
  <c r="H28" i="5631"/>
  <c r="H19" i="5631"/>
  <c r="C18" i="5631"/>
  <c r="H12" i="5625"/>
  <c r="H31" i="5625"/>
  <c r="H2" i="5625"/>
  <c r="H29" i="5625"/>
  <c r="H6" i="5625"/>
  <c r="H4" i="5625"/>
  <c r="H3" i="5625"/>
  <c r="H15" i="5625"/>
  <c r="H26" i="5631"/>
  <c r="H41" i="5631"/>
  <c r="H21" i="5631"/>
  <c r="H7" i="5631"/>
  <c r="H17" i="5631"/>
  <c r="B23" i="5631"/>
  <c r="H32" i="5631"/>
  <c r="H49" i="5631"/>
  <c r="H48" i="5631"/>
  <c r="H24" i="5631"/>
  <c r="H8" i="5631"/>
  <c r="H36" i="5631"/>
  <c r="H44" i="5631"/>
  <c r="H5" i="5631"/>
  <c r="H4" i="5631"/>
  <c r="H2" i="5631"/>
  <c r="H13" i="5631"/>
  <c r="H18" i="5631"/>
  <c r="C17" i="5631"/>
  <c r="H11" i="5631"/>
  <c r="H30" i="5631"/>
  <c r="H37" i="5631"/>
  <c r="H45" i="5631"/>
  <c r="H52" i="5631"/>
  <c r="H23" i="5631"/>
  <c r="H25" i="5631"/>
  <c r="H29" i="5631"/>
  <c r="H15" i="5631"/>
  <c r="H34" i="5631"/>
  <c r="H38" i="5631"/>
  <c r="H42" i="5631"/>
  <c r="H46" i="5631"/>
  <c r="H50" i="5631"/>
  <c r="H16" i="5631"/>
  <c r="H3" i="5631"/>
  <c r="H27" i="5631"/>
  <c r="H9" i="5631"/>
  <c r="H20" i="5631"/>
  <c r="H22" i="5631"/>
  <c r="C19" i="5631"/>
  <c r="H12" i="5631"/>
  <c r="H31" i="5631"/>
  <c r="H35" i="5631"/>
  <c r="H39" i="5631"/>
  <c r="H43" i="5631"/>
  <c r="H47" i="5631"/>
  <c r="H10" i="5629"/>
  <c r="H28" i="5629"/>
  <c r="H30" i="5629"/>
  <c r="H3" i="5629"/>
  <c r="H4" i="5629"/>
  <c r="H11" i="5629"/>
  <c r="H16" i="5629"/>
  <c r="H20" i="5629"/>
  <c r="H42" i="5629"/>
  <c r="H37" i="5629"/>
  <c r="H9" i="5629"/>
  <c r="H45" i="5629"/>
  <c r="H2" i="5629"/>
  <c r="H8" i="5629"/>
  <c r="H27" i="5629"/>
  <c r="H7" i="5629"/>
  <c r="H12" i="5629"/>
  <c r="C17" i="5629"/>
  <c r="B23" i="5629"/>
  <c r="H35" i="5629"/>
  <c r="H6" i="5629"/>
  <c r="C19" i="5629"/>
  <c r="H18" i="5629"/>
  <c r="H33" i="5629"/>
  <c r="H34" i="5629"/>
  <c r="H41" i="5629"/>
  <c r="H49" i="5629"/>
  <c r="H50" i="5629"/>
  <c r="H5" i="5629"/>
  <c r="H26" i="5629"/>
  <c r="H29" i="5629"/>
  <c r="H14" i="5629"/>
  <c r="C18" i="5629"/>
  <c r="H17" i="5629"/>
  <c r="H13" i="5629"/>
  <c r="H23" i="5629"/>
  <c r="H38" i="5629"/>
  <c r="H46" i="5629"/>
  <c r="H52" i="5629"/>
  <c r="H31" i="5629"/>
  <c r="H32" i="5629"/>
  <c r="H21" i="5629"/>
  <c r="H22" i="5629"/>
  <c r="H24" i="5629"/>
  <c r="H25" i="5629"/>
  <c r="H39" i="5629"/>
  <c r="H43" i="5629"/>
  <c r="H47" i="5629"/>
  <c r="H51" i="5629"/>
  <c r="H19" i="5629"/>
  <c r="H36" i="5629"/>
  <c r="H40" i="5629"/>
  <c r="H44" i="5629"/>
  <c r="H48" i="5629"/>
  <c r="H3" i="5627"/>
  <c r="H2" i="5627"/>
  <c r="H4" i="5627"/>
  <c r="H10" i="5627"/>
  <c r="C19" i="5627"/>
  <c r="H25" i="5627"/>
  <c r="H28" i="5627"/>
  <c r="H32" i="5627"/>
  <c r="H40" i="5627"/>
  <c r="H48" i="5627"/>
  <c r="C17" i="5627"/>
  <c r="H13" i="5627"/>
  <c r="B23" i="5627"/>
  <c r="H33" i="5627"/>
  <c r="H41" i="5627"/>
  <c r="H49" i="5627"/>
  <c r="H18" i="5627"/>
  <c r="H9" i="5627"/>
  <c r="H15" i="5627"/>
  <c r="H44" i="5627"/>
  <c r="H5" i="5627"/>
  <c r="H7" i="5627"/>
  <c r="H20" i="5627"/>
  <c r="H6" i="5627"/>
  <c r="H11" i="5627"/>
  <c r="H17" i="5627"/>
  <c r="H22" i="5627"/>
  <c r="H36" i="5627"/>
  <c r="H8" i="5627"/>
  <c r="H16" i="5627"/>
  <c r="H19" i="5627"/>
  <c r="H21" i="5627"/>
  <c r="C18" i="5627"/>
  <c r="H12" i="5627"/>
  <c r="H27" i="5627"/>
  <c r="H29" i="5627"/>
  <c r="H37" i="5627"/>
  <c r="H45" i="5627"/>
  <c r="H52" i="5627"/>
  <c r="H23" i="5627"/>
  <c r="H24" i="5627"/>
  <c r="H26" i="5627"/>
  <c r="H14" i="5627"/>
  <c r="H30" i="5627"/>
  <c r="H34" i="5627"/>
  <c r="H38" i="5627"/>
  <c r="H42" i="5627"/>
  <c r="H46" i="5627"/>
  <c r="H50" i="5627"/>
  <c r="H31" i="5627"/>
  <c r="H35" i="5627"/>
  <c r="H39" i="5627"/>
  <c r="H43" i="5627"/>
  <c r="H47" i="5627"/>
  <c r="H11" i="5625"/>
  <c r="C18" i="5625"/>
  <c r="H9" i="5625"/>
  <c r="H35" i="5625"/>
  <c r="H13" i="5625"/>
  <c r="H10" i="5625"/>
  <c r="H7" i="5625"/>
  <c r="H28" i="5625"/>
  <c r="H16" i="5625"/>
  <c r="H40" i="5625"/>
  <c r="H45" i="5625"/>
  <c r="H50" i="5625"/>
  <c r="H14" i="5625"/>
  <c r="H26" i="5625"/>
  <c r="H36" i="5625"/>
  <c r="H41" i="5625"/>
  <c r="H46" i="5625"/>
  <c r="H20" i="5625"/>
  <c r="C19" i="5625"/>
  <c r="H22" i="5625"/>
  <c r="H25" i="5625"/>
  <c r="H19" i="5625"/>
  <c r="H37" i="5625"/>
  <c r="H42" i="5625"/>
  <c r="H48" i="5625"/>
  <c r="H5" i="5625"/>
  <c r="H8" i="5625"/>
  <c r="H30" i="5625"/>
  <c r="H21" i="5625"/>
  <c r="C17" i="5625"/>
  <c r="H17" i="5625"/>
  <c r="B23" i="5625"/>
  <c r="H34" i="5625"/>
  <c r="H38" i="5625"/>
  <c r="H44" i="5625"/>
  <c r="H49" i="5625"/>
  <c r="H52" i="5625"/>
  <c r="H32" i="5625"/>
  <c r="H33" i="5625"/>
  <c r="H23" i="5625"/>
  <c r="H24" i="5625"/>
  <c r="H18" i="5625"/>
  <c r="H27" i="5625"/>
  <c r="H39" i="5625"/>
  <c r="H43" i="5625"/>
  <c r="H47" i="5625"/>
  <c r="H52" i="2228" l="1"/>
  <c r="H51" i="2228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C27" i="2228"/>
  <c r="H26" i="2228"/>
  <c r="H25" i="2228"/>
  <c r="H24" i="2228"/>
  <c r="B24" i="2228"/>
  <c r="H23" i="2228"/>
  <c r="B23" i="2228"/>
  <c r="H22" i="2228"/>
  <c r="H21" i="2228"/>
  <c r="H20" i="2228"/>
  <c r="C20" i="2228"/>
  <c r="H19" i="2228"/>
  <c r="C19" i="2228"/>
  <c r="H18" i="2228"/>
  <c r="C18" i="2228"/>
  <c r="H17" i="2228"/>
  <c r="C17" i="2228"/>
  <c r="B17" i="2228"/>
  <c r="H16" i="2228"/>
  <c r="C16" i="2228"/>
  <c r="H15" i="2228"/>
  <c r="C15" i="2228"/>
  <c r="H14" i="2228"/>
  <c r="C14" i="2228"/>
  <c r="H13" i="2228"/>
  <c r="C13" i="2228"/>
  <c r="O12" i="2228"/>
  <c r="H12" i="2228"/>
  <c r="C12" i="2228"/>
  <c r="O11" i="2228"/>
  <c r="H11" i="2228"/>
  <c r="C11" i="2228"/>
  <c r="O10" i="2228"/>
  <c r="H10" i="2228"/>
  <c r="C10" i="2228"/>
  <c r="H9" i="2228"/>
  <c r="C9" i="2228"/>
  <c r="H8" i="2228"/>
  <c r="C8" i="2228"/>
  <c r="O7" i="2228"/>
  <c r="H7" i="2228"/>
  <c r="C7" i="2228"/>
  <c r="O6" i="2228"/>
  <c r="H6" i="2228"/>
  <c r="B6" i="2228"/>
  <c r="O5" i="2228"/>
  <c r="H5" i="2228"/>
  <c r="B5" i="2228"/>
  <c r="O4" i="2228"/>
  <c r="H4" i="2228"/>
  <c r="O3" i="2228"/>
  <c r="H3" i="2228"/>
  <c r="O2" i="2228"/>
  <c r="H2" i="2228"/>
</calcChain>
</file>

<file path=xl/sharedStrings.xml><?xml version="1.0" encoding="utf-8"?>
<sst xmlns="http://schemas.openxmlformats.org/spreadsheetml/2006/main" count="2387" uniqueCount="198">
  <si>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</si>
  <si>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</si>
  <si>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</si>
  <si>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</si>
  <si>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</si>
  <si>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</si>
  <si>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</si>
  <si>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</si>
  <si>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</si>
  <si>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</si>
  <si>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</si>
  <si>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</si>
  <si>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</si>
  <si>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</si>
  <si>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</si>
  <si>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</si>
  <si>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</si>
  <si>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</si>
  <si>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</si>
  <si>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</si>
  <si>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</si>
  <si>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</si>
  <si>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</si>
  <si>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</si>
  <si>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</si>
  <si>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</si>
  <si>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</si>
  <si>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</si>
  <si>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</si>
  <si>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</si>
  <si>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</si>
  <si>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</si>
  <si>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</si>
  <si>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</si>
  <si>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</si>
  <si>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</si>
  <si>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</si>
  <si>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</si>
  <si>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</si>
  <si>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</si>
  <si>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</si>
  <si>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</si>
  <si>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</si>
  <si>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</si>
  <si>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</si>
  <si>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</si>
  <si>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</si>
  <si>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</si>
  <si>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</si>
  <si>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</si>
  <si>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</si>
  <si>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</si>
  <si>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</si>
  <si>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</si>
  <si>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</si>
  <si>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</si>
  <si>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</si>
  <si>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</si>
  <si>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</si>
  <si>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</si>
  <si>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</si>
  <si>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</si>
  <si>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</si>
  <si>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</si>
  <si>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</si>
  <si>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</si>
  <si>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</si>
  <si>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</si>
  <si>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</si>
  <si>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</si>
  <si>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</si>
  <si>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</si>
  <si>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</si>
  <si>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</si>
  <si>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</si>
  <si>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</si>
  <si>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</si>
  <si>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</si>
  <si>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</si>
  <si>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</si>
  <si>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</si>
  <si>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</si>
  <si>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</si>
  <si>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</si>
  <si>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</si>
  <si>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</si>
  <si>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</si>
  <si>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</si>
  <si>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</si>
  <si>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</si>
  <si>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</si>
  <si>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</si>
  <si>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</si>
  <si>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</si>
  <si>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</si>
  <si>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</si>
  <si>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</si>
  <si>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</si>
  <si>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</si>
  <si>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</si>
  <si>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</si>
  <si>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</si>
  <si>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</si>
  <si>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</si>
  <si>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</si>
  <si>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</si>
  <si>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</si>
  <si>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</si>
  <si>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</si>
  <si>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</si>
  <si>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</si>
  <si>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</si>
  <si>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</si>
  <si>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</si>
  <si>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</si>
  <si>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</si>
  <si>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</si>
  <si>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</si>
  <si>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</si>
  <si>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</si>
  <si>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</si>
  <si>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</si>
  <si>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</si>
  <si>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</si>
  <si>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</si>
  <si>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</si>
  <si>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</si>
  <si>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</si>
  <si>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</si>
  <si>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</si>
  <si>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</si>
  <si>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</si>
  <si>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</si>
  <si>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</si>
  <si>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</si>
  <si>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</si>
  <si>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</si>
  <si>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</si>
  <si>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</si>
  <si>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</si>
  <si>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</si>
  <si>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</si>
  <si>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</si>
  <si>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</si>
  <si>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</si>
  <si>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</si>
  <si>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</si>
  <si>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</si>
  <si>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</si>
  <si>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</si>
  <si>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</si>
  <si>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</si>
  <si>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</si>
  <si>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</si>
  <si>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</si>
  <si>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</si>
  <si>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</si>
  <si>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</si>
  <si>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</si>
  <si>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</si>
  <si>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</si>
  <si>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</si>
  <si>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</si>
  <si>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</si>
  <si>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</si>
  <si>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</si>
  <si>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</si>
  <si>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</si>
  <si>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</si>
  <si>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</si>
  <si>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</si>
  <si>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</si>
  <si>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</si>
  <si>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</si>
  <si>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</si>
  <si>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</si>
  <si>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2019-09-23@2.xlsm</t>
  </si>
  <si>
    <t>2019-09-25@2.xlsm</t>
  </si>
  <si>
    <t>れんたろう</t>
  </si>
  <si>
    <t>まっつん</t>
  </si>
  <si>
    <t>りくと</t>
  </si>
  <si>
    <t>2019-09-26@3.xlsm</t>
  </si>
  <si>
    <t>ぱぱ</t>
  </si>
  <si>
    <t>のり</t>
  </si>
  <si>
    <t>2019-09-27@2.xlsm</t>
  </si>
  <si>
    <t>Sheet3</t>
  </si>
  <si>
    <t>Sheet4</t>
  </si>
  <si>
    <t>Sheet5</t>
  </si>
  <si>
    <t>Sheet6</t>
  </si>
  <si>
    <t>2019-09-28@2.xlsm</t>
  </si>
  <si>
    <t>2019-09-29@AllStar.xlsm</t>
  </si>
  <si>
    <t>Sheet7</t>
  </si>
  <si>
    <t>Sheet8</t>
  </si>
  <si>
    <t>Sheet9</t>
  </si>
  <si>
    <t>Sheet10</t>
  </si>
  <si>
    <t>2019-09-30@3.xlsm</t>
  </si>
  <si>
    <t>ほたに</t>
  </si>
  <si>
    <t>2019-10-01@2.xlsm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</si>
</sst>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6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1.xml"/><Relationship Id="rId39" Type="http://schemas.openxmlformats.org/officeDocument/2006/relationships/chartsheet" Target="chartsheets/sheet14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9.xml"/><Relationship Id="rId42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8.xml"/><Relationship Id="rId38" Type="http://schemas.openxmlformats.org/officeDocument/2006/relationships/chartsheet" Target="chartsheets/sheet13.xml"/><Relationship Id="rId46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4.xml"/><Relationship Id="rId41" Type="http://schemas.openxmlformats.org/officeDocument/2006/relationships/chartsheet" Target="chartsheets/sheet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7.xml"/><Relationship Id="rId37" Type="http://schemas.openxmlformats.org/officeDocument/2006/relationships/chartsheet" Target="chartsheets/sheet12.xml"/><Relationship Id="rId40" Type="http://schemas.openxmlformats.org/officeDocument/2006/relationships/chartsheet" Target="chartsheets/sheet15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3.xml"/><Relationship Id="rId36" Type="http://schemas.openxmlformats.org/officeDocument/2006/relationships/chartsheet" Target="chartsheets/sheet1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6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hartsheet" Target="chartsheets/sheet2.xml"/><Relationship Id="rId30" Type="http://schemas.openxmlformats.org/officeDocument/2006/relationships/chartsheet" Target="chartsheets/sheet5.xml"/><Relationship Id="rId35" Type="http://schemas.openxmlformats.org/officeDocument/2006/relationships/chartsheet" Target="chartsheets/sheet10.xml"/><Relationship Id="rId43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全体!$K$2:$K$98</c:f>
              <c:numCache>
                <c:formatCode>General</c:formatCode>
                <c:ptCount val="9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</c:numCache>
            </c:numRef>
          </c:xVal>
          <c:yVal>
            <c:numRef>
              <c:f>全体!$L$2:$L$98</c:f>
              <c:numCache>
                <c:formatCode>\+0.0;\-0.0;\±0</c:formatCode>
                <c:ptCount val="97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7.5000000000000036</c:v>
                </c:pt>
                <c:pt idx="71">
                  <c:v>28.600000000000005</c:v>
                </c:pt>
                <c:pt idx="72">
                  <c:v>3.5527136788005009E-15</c:v>
                </c:pt>
                <c:pt idx="73">
                  <c:v>39.5</c:v>
                </c:pt>
                <c:pt idx="74">
                  <c:v>-7</c:v>
                </c:pt>
                <c:pt idx="75">
                  <c:v>0</c:v>
                </c:pt>
                <c:pt idx="76">
                  <c:v>-45.1</c:v>
                </c:pt>
                <c:pt idx="77">
                  <c:v>-39.200000000000003</c:v>
                </c:pt>
                <c:pt idx="78">
                  <c:v>0</c:v>
                </c:pt>
                <c:pt idx="79">
                  <c:v>17.7</c:v>
                </c:pt>
                <c:pt idx="80">
                  <c:v>-28.8</c:v>
                </c:pt>
                <c:pt idx="81">
                  <c:v>0</c:v>
                </c:pt>
                <c:pt idx="82">
                  <c:v>42.9</c:v>
                </c:pt>
                <c:pt idx="83">
                  <c:v>-0.80000000000000426</c:v>
                </c:pt>
                <c:pt idx="84">
                  <c:v>-4.2188474935755949E-15</c:v>
                </c:pt>
                <c:pt idx="85">
                  <c:v>-58.000000000000007</c:v>
                </c:pt>
                <c:pt idx="86">
                  <c:v>-7.1054273576010019E-15</c:v>
                </c:pt>
                <c:pt idx="87">
                  <c:v>-7.1054273576010019E-15</c:v>
                </c:pt>
                <c:pt idx="88">
                  <c:v>-26.400000000000006</c:v>
                </c:pt>
                <c:pt idx="89">
                  <c:v>-26.900000000000006</c:v>
                </c:pt>
                <c:pt idx="90">
                  <c:v>-7.1054273576010019E-15</c:v>
                </c:pt>
                <c:pt idx="91">
                  <c:v>-34.900000000000006</c:v>
                </c:pt>
                <c:pt idx="92">
                  <c:v>-8.100000000000005</c:v>
                </c:pt>
                <c:pt idx="93">
                  <c:v>-5.3290705182007514E-15</c:v>
                </c:pt>
                <c:pt idx="94">
                  <c:v>34.29999999999999</c:v>
                </c:pt>
                <c:pt idx="95">
                  <c:v>31.499999999999989</c:v>
                </c:pt>
                <c:pt idx="96">
                  <c:v>-1.0658141036401503E-14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B6-4020-AA09-27AE1864D3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-10.416666666666666</c:v>
                </c:pt>
                <c:pt idx="1">
                  <c:v>11.111111111111111</c:v>
                </c:pt>
                <c:pt idx="2">
                  <c:v>-44.444444444444443</c:v>
                </c:pt>
                <c:pt idx="3">
                  <c:v>33.333333333333336</c:v>
                </c:pt>
                <c:pt idx="4">
                  <c:v>12.345679012345679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D1-4E29-B472-B9B5ADF369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たかの!$L$2:$L$13</c:f>
              <c:numCache>
                <c:formatCode>\+0.0;\-0.0;\±0</c:formatCode>
                <c:ptCount val="12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A3-4DBF-8909-790CF5615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-4472.727272727273</c:v>
                </c:pt>
                <c:pt idx="1">
                  <c:v>1063.6363636363637</c:v>
                </c:pt>
                <c:pt idx="2">
                  <c:v>1109.090909090909</c:v>
                </c:pt>
                <c:pt idx="3">
                  <c:v>-1290.909090909091</c:v>
                </c:pt>
                <c:pt idx="4">
                  <c:v>-581.81818181818187</c:v>
                </c:pt>
                <c:pt idx="5">
                  <c:v>-562.5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AB-4EB1-82A8-5EEF183378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だいち!$K$2:$K$28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だいち!$L$2:$L$28</c:f>
              <c:numCache>
                <c:formatCode>\+0.0;\-0.0;\±0</c:formatCode>
                <c:ptCount val="27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72-4FDB-AC53-35F118ED97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-1188.4615384615386</c:v>
                </c:pt>
                <c:pt idx="1">
                  <c:v>-154.16666666666666</c:v>
                </c:pt>
                <c:pt idx="2">
                  <c:v>-175</c:v>
                </c:pt>
                <c:pt idx="3">
                  <c:v>-216.66666666666666</c:v>
                </c:pt>
                <c:pt idx="4">
                  <c:v>7209.090909090909</c:v>
                </c:pt>
                <c:pt idx="5">
                  <c:v>6472.2222222222226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81-4487-B75E-9F97F6258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ただ!$K$2:$K$28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ただ!$L$2:$L$28</c:f>
              <c:numCache>
                <c:formatCode>\+0.0;\-0.0;\±0</c:formatCode>
                <c:ptCount val="27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-66.400000000000034</c:v>
                </c:pt>
                <c:pt idx="23">
                  <c:v>-66.400000000000034</c:v>
                </c:pt>
                <c:pt idx="24">
                  <c:v>-39.500000000000036</c:v>
                </c:pt>
                <c:pt idx="25">
                  <c:v>-31.400000000000034</c:v>
                </c:pt>
                <c:pt idx="26">
                  <c:v>-62.900000000000034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A5-4F61-B340-95F628EA2F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503.84615384615387</c:v>
                </c:pt>
                <c:pt idx="1">
                  <c:v>1058.3333333333333</c:v>
                </c:pt>
                <c:pt idx="2">
                  <c:v>179.16666666666666</c:v>
                </c:pt>
                <c:pt idx="3">
                  <c:v>4558.333333333333</c:v>
                </c:pt>
                <c:pt idx="4">
                  <c:v>-4236.363636363636</c:v>
                </c:pt>
                <c:pt idx="5">
                  <c:v>-4377.7777777777774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B6-4FFC-9A56-383CA4B0BA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りくと!$L$2:$L$15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2B-4124-A902-900535C911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2638.4615384615386</c:v>
                </c:pt>
                <c:pt idx="1">
                  <c:v>-2150</c:v>
                </c:pt>
                <c:pt idx="2">
                  <c:v>666.66666666666663</c:v>
                </c:pt>
                <c:pt idx="3">
                  <c:v>-5000</c:v>
                </c:pt>
                <c:pt idx="4">
                  <c:v>-7754.545454545455</c:v>
                </c:pt>
                <c:pt idx="5">
                  <c:v>-1850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89-4345-8534-6B71988DF0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れんたろう!$L$2:$L$9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D6-4CE9-854E-B48E7270E0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9185.7142857142862</c:v>
                </c:pt>
                <c:pt idx="1">
                  <c:v>-1716.6666666666667</c:v>
                </c:pt>
                <c:pt idx="2">
                  <c:v>-3383.3333333333335</c:v>
                </c:pt>
                <c:pt idx="3">
                  <c:v>-2500</c:v>
                </c:pt>
                <c:pt idx="4">
                  <c:v>-4500</c:v>
                </c:pt>
                <c:pt idx="5">
                  <c:v>-11750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33-45BA-8E86-1E4E75F26B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まっつん!$L$2:$L$6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-37</c:v>
                </c:pt>
                <c:pt idx="4">
                  <c:v>-19.3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02-4179-8FCB-E68AE1E090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-7025</c:v>
                </c:pt>
                <c:pt idx="1">
                  <c:v>-2625</c:v>
                </c:pt>
                <c:pt idx="2">
                  <c:v>5000</c:v>
                </c:pt>
                <c:pt idx="3">
                  <c:v>-2375</c:v>
                </c:pt>
                <c:pt idx="4">
                  <c:v>-750</c:v>
                </c:pt>
                <c:pt idx="5">
                  <c:v>10150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B2-4E8C-9F22-E83438CB16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のり!$L$2:$L$5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4E-48E5-BC3C-8EECD2C4EB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-400</c:v>
                </c:pt>
                <c:pt idx="1">
                  <c:v>-4833.333333333333</c:v>
                </c:pt>
                <c:pt idx="2">
                  <c:v>-1433.3333333333333</c:v>
                </c:pt>
                <c:pt idx="3">
                  <c:v>-2166.6666666666665</c:v>
                </c:pt>
                <c:pt idx="4">
                  <c:v>3466.6666666666665</c:v>
                </c:pt>
                <c:pt idx="5">
                  <c:v>-3750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D5-4165-9269-4D29F92094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ぱぱ!$L$2:$L$6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4F-4FC3-AA41-3FC1C1C1AE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-1325</c:v>
                </c:pt>
                <c:pt idx="1">
                  <c:v>7300</c:v>
                </c:pt>
                <c:pt idx="2">
                  <c:v>1825</c:v>
                </c:pt>
                <c:pt idx="3">
                  <c:v>1000</c:v>
                </c:pt>
                <c:pt idx="4">
                  <c:v>9075</c:v>
                </c:pt>
                <c:pt idx="5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AF-416E-BDD8-78309E48BB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ほたに!$L$2:$L$4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21.1</c:v>
                </c:pt>
                <c:pt idx="2">
                  <c:v>-25.4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99-4AF8-8B2F-30E29AAED1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1000</c:v>
                </c:pt>
                <c:pt idx="1">
                  <c:v>-250</c:v>
                </c:pt>
                <c:pt idx="2">
                  <c:v>-13500</c:v>
                </c:pt>
                <c:pt idx="3">
                  <c:v>0</c:v>
                </c:pt>
                <c:pt idx="4">
                  <c:v>4600</c:v>
                </c:pt>
                <c:pt idx="5">
                  <c:v>-4500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93-4305-88F6-59E2653A86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れんたろう2!$B$1:$B$2</c:f>
              <c:strCache>
                <c:ptCount val="2"/>
                <c:pt idx="0">
                  <c:v>れんたろう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れんたろう2!$B$3:$B$10</c:f>
              <c:numCache>
                <c:formatCode>\+0.0;\-0.0;\±0</c:formatCode>
                <c:ptCount val="8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1.0658141036401503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れんたろう2!$C$1:$C$2</c:f>
              <c:strCache>
                <c:ptCount val="2"/>
                <c:pt idx="0">
                  <c:v>れんたろう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れんたろう2!$C$3:$C$10</c:f>
              <c:numCache>
                <c:formatCode>\+0.0;\-0.0;\±0</c:formatCode>
                <c:ptCount val="8"/>
                <c:pt idx="1">
                  <c:v>-9.1</c:v>
                </c:pt>
                <c:pt idx="2">
                  <c:v>-33.65</c:v>
                </c:pt>
                <c:pt idx="3">
                  <c:v>-37.93333333333333</c:v>
                </c:pt>
                <c:pt idx="4">
                  <c:v>-18.649999999999999</c:v>
                </c:pt>
                <c:pt idx="5">
                  <c:v>-23.66</c:v>
                </c:pt>
                <c:pt idx="6">
                  <c:v>-10.049999999999999</c:v>
                </c:pt>
                <c:pt idx="7">
                  <c:v>-8.6857142857142851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1.1102230246251565E-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れんたろう2!$D$1:$D$2</c:f>
              <c:strCache>
                <c:ptCount val="2"/>
                <c:pt idx="0">
                  <c:v>れんたろう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れんたろう2!$D$3:$D$10</c:f>
              <c:numCache>
                <c:formatCode>0.00\ "位"</c:formatCode>
                <c:ptCount val="8"/>
                <c:pt idx="1">
                  <c:v>2</c:v>
                </c:pt>
                <c:pt idx="2">
                  <c:v>2.5</c:v>
                </c:pt>
                <c:pt idx="3">
                  <c:v>2.6666666666666665</c:v>
                </c:pt>
                <c:pt idx="4">
                  <c:v>2.25</c:v>
                </c:pt>
                <c:pt idx="5">
                  <c:v>2.4</c:v>
                </c:pt>
                <c:pt idx="6">
                  <c:v>2.1666666666666665</c:v>
                </c:pt>
                <c:pt idx="7">
                  <c:v>2.1428571428571428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れんたろう2!$E$1:$E$2</c:f>
              <c:strCache>
                <c:ptCount val="2"/>
                <c:pt idx="0">
                  <c:v>れんたろう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れんたろう2!$E$3:$E$10</c:f>
              <c:numCache>
                <c:formatCode>0.0%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0.33333333333333331</c:v>
                </c:pt>
                <c:pt idx="7">
                  <c:v>0.2857142857142857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れんたろう2!$F$1:$F$2</c:f>
              <c:strCache>
                <c:ptCount val="2"/>
                <c:pt idx="0">
                  <c:v>れんたろう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れんたろう2!$F$3:$F$10</c:f>
              <c:numCache>
                <c:formatCode>0.0%</c:formatCode>
                <c:ptCount val="8"/>
                <c:pt idx="1">
                  <c:v>0</c:v>
                </c:pt>
                <c:pt idx="2">
                  <c:v>0.5</c:v>
                </c:pt>
                <c:pt idx="3">
                  <c:v>0.66666666666666663</c:v>
                </c:pt>
                <c:pt idx="4">
                  <c:v>0.5</c:v>
                </c:pt>
                <c:pt idx="5">
                  <c:v>0.6</c:v>
                </c:pt>
                <c:pt idx="6">
                  <c:v>0.5</c:v>
                </c:pt>
                <c:pt idx="7">
                  <c:v>0.42857142857142855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れんたろう2!$G$1:$G$2</c:f>
              <c:strCache>
                <c:ptCount val="2"/>
                <c:pt idx="0">
                  <c:v>れんたろう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れんたろう2!$G$3:$G$10</c:f>
              <c:numCache>
                <c:formatCode>0.0%</c:formatCode>
                <c:ptCount val="8"/>
                <c:pt idx="1">
                  <c:v>0.36363636363636365</c:v>
                </c:pt>
                <c:pt idx="2">
                  <c:v>0.25</c:v>
                </c:pt>
                <c:pt idx="3">
                  <c:v>0.2</c:v>
                </c:pt>
                <c:pt idx="4">
                  <c:v>0.25</c:v>
                </c:pt>
                <c:pt idx="5">
                  <c:v>0.22222222222222221</c:v>
                </c:pt>
                <c:pt idx="6">
                  <c:v>0.2391304347826087</c:v>
                </c:pt>
                <c:pt idx="7">
                  <c:v>0.26415094339622641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れんたろう2!$H$1:$H$2</c:f>
              <c:strCache>
                <c:ptCount val="2"/>
                <c:pt idx="0">
                  <c:v>れんたろう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れんたろう2!$H$3:$H$10</c:f>
              <c:numCache>
                <c:formatCode>0.0%</c:formatCode>
                <c:ptCount val="8"/>
                <c:pt idx="1">
                  <c:v>0.27272727272727271</c:v>
                </c:pt>
                <c:pt idx="2">
                  <c:v>0.3</c:v>
                </c:pt>
                <c:pt idx="3">
                  <c:v>0.33333333333333331</c:v>
                </c:pt>
                <c:pt idx="4">
                  <c:v>0.27777777777777779</c:v>
                </c:pt>
                <c:pt idx="5">
                  <c:v>0.31111111111111112</c:v>
                </c:pt>
                <c:pt idx="6">
                  <c:v>0.30434782608695654</c:v>
                </c:pt>
                <c:pt idx="7">
                  <c:v>0.26415094339622641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797619047619047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れんたろう2!$I$1:$I$2</c:f>
              <c:strCache>
                <c:ptCount val="2"/>
                <c:pt idx="0">
                  <c:v>れんたろう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れんたろう2!$I$3:$I$10</c:f>
              <c:numCache>
                <c:formatCode>0</c:formatCode>
                <c:ptCount val="8"/>
                <c:pt idx="1">
                  <c:v>8125</c:v>
                </c:pt>
                <c:pt idx="2">
                  <c:v>8100</c:v>
                </c:pt>
                <c:pt idx="3">
                  <c:v>8750</c:v>
                </c:pt>
                <c:pt idx="4">
                  <c:v>11355.555555555555</c:v>
                </c:pt>
                <c:pt idx="5">
                  <c:v>10420</c:v>
                </c:pt>
                <c:pt idx="6">
                  <c:v>13836.363636363636</c:v>
                </c:pt>
                <c:pt idx="7">
                  <c:v>12942.857142857143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498.412698412697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れんたろう2!$J$1:$J$2</c:f>
              <c:strCache>
                <c:ptCount val="2"/>
                <c:pt idx="0">
                  <c:v>れんたろう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れんたろう2!$J$3:$J$10</c:f>
              <c:numCache>
                <c:formatCode>0</c:formatCode>
                <c:ptCount val="8"/>
                <c:pt idx="1">
                  <c:v>-10600</c:v>
                </c:pt>
                <c:pt idx="2">
                  <c:v>-14300</c:v>
                </c:pt>
                <c:pt idx="3">
                  <c:v>-11980</c:v>
                </c:pt>
                <c:pt idx="4">
                  <c:v>-11980</c:v>
                </c:pt>
                <c:pt idx="5">
                  <c:v>-10764.285714285714</c:v>
                </c:pt>
                <c:pt idx="6">
                  <c:v>-10764.285714285714</c:v>
                </c:pt>
                <c:pt idx="7">
                  <c:v>-10764.285714285714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074.834437086092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れんたろう2!$K$1:$K$2</c:f>
              <c:strCache>
                <c:ptCount val="2"/>
                <c:pt idx="0">
                  <c:v>れんたろう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れんたろう2!$K$3:$K$10</c:f>
              <c:numCache>
                <c:formatCode>0.0%</c:formatCode>
                <c:ptCount val="8"/>
                <c:pt idx="1">
                  <c:v>0</c:v>
                </c:pt>
                <c:pt idx="2">
                  <c:v>0.5</c:v>
                </c:pt>
                <c:pt idx="3">
                  <c:v>0.66666666666666663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0.2857142857142857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45833333333333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れんたろう2!$L$1:$L$2</c:f>
              <c:strCache>
                <c:ptCount val="2"/>
                <c:pt idx="0">
                  <c:v>れんたろう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れんたろう2!$L$3:$L$10</c:f>
              <c:numCache>
                <c:formatCode>0.0%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0.33333333333333331</c:v>
                </c:pt>
                <c:pt idx="7">
                  <c:v>0.2857142857142857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45833333333333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れんたろう2!$M$1:$M$2</c:f>
              <c:strCache>
                <c:ptCount val="2"/>
                <c:pt idx="0">
                  <c:v>れんたろう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れんたろう2!$M$3:$M$10</c:f>
              <c:numCache>
                <c:formatCode>0.0%</c:formatCode>
                <c:ptCount val="8"/>
                <c:pt idx="1">
                  <c:v>0.18181818181818182</c:v>
                </c:pt>
                <c:pt idx="2">
                  <c:v>0.15</c:v>
                </c:pt>
                <c:pt idx="3">
                  <c:v>0.2</c:v>
                </c:pt>
                <c:pt idx="4">
                  <c:v>0.22222222222222221</c:v>
                </c:pt>
                <c:pt idx="5">
                  <c:v>0.17777777777777778</c:v>
                </c:pt>
                <c:pt idx="6">
                  <c:v>0.17391304347826086</c:v>
                </c:pt>
                <c:pt idx="7">
                  <c:v>0.15094339622641509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6904761904761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れんたろう2!$N$1:$N$2</c:f>
              <c:strCache>
                <c:ptCount val="2"/>
                <c:pt idx="0">
                  <c:v>れんたろう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れんたろう2!$N$3:$N$10</c:f>
              <c:numCache>
                <c:formatCode>0.0%</c:formatCode>
                <c:ptCount val="8"/>
                <c:pt idx="1">
                  <c:v>0.18181818181818182</c:v>
                </c:pt>
                <c:pt idx="2">
                  <c:v>0.1</c:v>
                </c:pt>
                <c:pt idx="3">
                  <c:v>0.23333333333333334</c:v>
                </c:pt>
                <c:pt idx="4">
                  <c:v>0.25</c:v>
                </c:pt>
                <c:pt idx="5">
                  <c:v>0.24444444444444444</c:v>
                </c:pt>
                <c:pt idx="6">
                  <c:v>0.2391304347826087</c:v>
                </c:pt>
                <c:pt idx="7">
                  <c:v>0.30188679245283018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16666666666666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れんたろう2!$O$1:$O$2</c:f>
              <c:strCache>
                <c:ptCount val="2"/>
                <c:pt idx="0">
                  <c:v>れんたろう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れんたろう2!$O$3:$O$10</c:f>
              <c:numCache>
                <c:formatCode>0.0%</c:formatCode>
                <c:ptCount val="8"/>
                <c:pt idx="1">
                  <c:v>0.5</c:v>
                </c:pt>
                <c:pt idx="2">
                  <c:v>0.66666666666666663</c:v>
                </c:pt>
                <c:pt idx="3">
                  <c:v>0.33333333333333331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929648241206030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れんたろう2!$P$1:$P$2</c:f>
              <c:strCache>
                <c:ptCount val="2"/>
                <c:pt idx="0">
                  <c:v>れんたろう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れんたろう2!$P$3:$P$10</c:f>
              <c:numCache>
                <c:formatCode>0.0%</c:formatCode>
                <c:ptCount val="8"/>
                <c:pt idx="1">
                  <c:v>0.5</c:v>
                </c:pt>
                <c:pt idx="2">
                  <c:v>0.5</c:v>
                </c:pt>
                <c:pt idx="3">
                  <c:v>0.2857142857142857</c:v>
                </c:pt>
                <c:pt idx="4">
                  <c:v>0.33333333333333331</c:v>
                </c:pt>
                <c:pt idx="5">
                  <c:v>0.36363636363636365</c:v>
                </c:pt>
                <c:pt idx="6">
                  <c:v>0.36363636363636365</c:v>
                </c:pt>
                <c:pt idx="7">
                  <c:v>0.4375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03940886699507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れんたろう2!$Q$1:$Q$2</c:f>
              <c:strCache>
                <c:ptCount val="2"/>
                <c:pt idx="0">
                  <c:v>れんたろう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れんたろう2!$Q$3:$Q$10</c:f>
              <c:numCache>
                <c:formatCode>0.0%</c:formatCode>
                <c:ptCount val="8"/>
                <c:pt idx="1">
                  <c:v>0.5</c:v>
                </c:pt>
                <c:pt idx="2">
                  <c:v>0.4</c:v>
                </c:pt>
                <c:pt idx="3">
                  <c:v>0.33333333333333331</c:v>
                </c:pt>
                <c:pt idx="4">
                  <c:v>0.33333333333333331</c:v>
                </c:pt>
                <c:pt idx="5">
                  <c:v>0.3</c:v>
                </c:pt>
                <c:pt idx="6">
                  <c:v>0.27272727272727271</c:v>
                </c:pt>
                <c:pt idx="7">
                  <c:v>0.35714285714285715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96825396825396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50"/>
      <c r="C1" s="151"/>
      <c r="E1" s="129" t="s">
        <v>166</v>
      </c>
      <c r="F1" s="12" t="s">
        <v>116</v>
      </c>
      <c r="G1" s="26" t="s">
        <v>117</v>
      </c>
      <c r="H1" s="130" t="s">
        <v>118</v>
      </c>
      <c r="I1" s="100" t="s">
        <v>153</v>
      </c>
      <c r="K1" s="2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158</v>
      </c>
    </row>
    <row r="2" spans="1:17" x14ac:dyDescent="0.4">
      <c r="A2" s="21" t="s">
        <v>9</v>
      </c>
      <c r="B2" s="152">
        <v>0</v>
      </c>
      <c r="C2" s="153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131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54">
        <v>0</v>
      </c>
      <c r="C3" s="155"/>
      <c r="E3" s="63" t="s">
        <v>66</v>
      </c>
      <c r="F3" s="28" t="s">
        <v>22</v>
      </c>
      <c r="G3" s="15">
        <v>0</v>
      </c>
      <c r="H3" s="133">
        <f t="shared" ref="H3:H50" si="1">IF(B$17=0,0,G3/B$17)</f>
        <v>0</v>
      </c>
      <c r="I3" s="94"/>
      <c r="N3" s="115" t="s">
        <v>132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6">
        <v>0</v>
      </c>
      <c r="C4" s="157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133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8">
        <f>IF(B$2=0,0,B$4/B$2)</f>
        <v>0</v>
      </c>
      <c r="C5" s="159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134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8">
        <f>IF(B$2=0,0,(B$7*1+B$8*2+B$9*3)/B$2)</f>
        <v>0</v>
      </c>
      <c r="C6" s="149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135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 t="shared" ref="C7:C12" si="2"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136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 t="shared" si="2"/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si="2"/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23" t="s">
        <v>19</v>
      </c>
      <c r="B10" s="16">
        <v>0</v>
      </c>
      <c r="C10" s="7">
        <f t="shared" si="2"/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163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139</v>
      </c>
      <c r="B11" s="48">
        <v>0</v>
      </c>
      <c r="C11" s="40">
        <f t="shared" si="2"/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164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159</v>
      </c>
      <c r="B12" s="49">
        <v>0</v>
      </c>
      <c r="C12" s="42">
        <f t="shared" si="2"/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165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154</v>
      </c>
      <c r="O14" s="34" t="s">
        <v>155</v>
      </c>
      <c r="P14" s="117" t="s">
        <v>156</v>
      </c>
      <c r="Q14" s="105" t="s">
        <v>157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170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171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141</v>
      </c>
      <c r="B25" s="146">
        <v>0</v>
      </c>
      <c r="C25" s="147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151</v>
      </c>
      <c r="B26" s="144">
        <v>-1000000</v>
      </c>
      <c r="C26" s="145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142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168</v>
      </c>
      <c r="F50" s="60" t="s">
        <v>169</v>
      </c>
      <c r="G50" s="47">
        <v>0</v>
      </c>
      <c r="H50" s="133">
        <f t="shared" si="1"/>
        <v>0</v>
      </c>
      <c r="I50" s="94"/>
    </row>
    <row r="51" spans="5:9" x14ac:dyDescent="0.4">
      <c r="E51" s="136" t="s">
        <v>172</v>
      </c>
      <c r="F51" s="137" t="s">
        <v>173</v>
      </c>
      <c r="G51" s="48">
        <v>0</v>
      </c>
      <c r="H51" s="138">
        <f>IF(B$17=0,0,G51/B$17)</f>
        <v>0</v>
      </c>
      <c r="I51" s="139"/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9"/>
  <sheetViews>
    <sheetView workbookViewId="0"/>
  </sheetViews>
  <sheetFormatPr defaultColWidth="9" defaultRowHeight="18.75" x14ac:dyDescent="0.4"/>
  <cols>
    <col min="1" max="1" width="19.25" style="30" customWidth="1"/>
    <col min="2" max="2" width="19.25" style="31" customWidth="1"/>
    <col min="3" max="16384" width="9" style="30"/>
  </cols>
  <sheetData>
    <row r="1" spans="1:12" x14ac:dyDescent="0.4">
      <c r="A1" s="29">
        <v>32874</v>
      </c>
      <c r="B1" s="29">
        <v>2958465</v>
      </c>
    </row>
    <row r="2" spans="1:12" x14ac:dyDescent="0.4">
      <c r="A2" s="30" t="s">
        <v>176</v>
      </c>
      <c r="B2" s="31">
        <v>43735.624351851853</v>
      </c>
      <c r="C2" s="30" t="s">
        <v>129</v>
      </c>
      <c r="D2" s="30" t="s">
        <v>130</v>
      </c>
    </row>
    <row r="3" spans="1:12" x14ac:dyDescent="0.4">
      <c r="A3" s="30" t="s">
        <v>177</v>
      </c>
      <c r="B3" s="31">
        <v>43735.624351851853</v>
      </c>
      <c r="C3" s="30" t="s">
        <v>129</v>
      </c>
    </row>
    <row r="4" spans="1:12" x14ac:dyDescent="0.4">
      <c r="A4" s="30" t="s">
        <v>181</v>
      </c>
      <c r="B4" s="31">
        <v>43735.624351851853</v>
      </c>
      <c r="C4" s="30" t="s">
        <v>129</v>
      </c>
    </row>
    <row r="5" spans="1:12" x14ac:dyDescent="0.4">
      <c r="A5" s="30" t="s">
        <v>184</v>
      </c>
      <c r="B5" s="31">
        <v>43736.046932870369</v>
      </c>
      <c r="C5" s="30" t="s">
        <v>129</v>
      </c>
      <c r="D5" s="30" t="s">
        <v>130</v>
      </c>
      <c r="E5" s="30" t="s">
        <v>185</v>
      </c>
      <c r="F5" s="30" t="s">
        <v>186</v>
      </c>
      <c r="G5" s="30" t="s">
        <v>187</v>
      </c>
      <c r="H5" s="30" t="s">
        <v>188</v>
      </c>
    </row>
    <row r="6" spans="1:12" x14ac:dyDescent="0.4">
      <c r="A6" s="30" t="s">
        <v>189</v>
      </c>
      <c r="B6" s="31">
        <v>43737.059895833336</v>
      </c>
      <c r="C6" s="30" t="s">
        <v>129</v>
      </c>
      <c r="D6" s="30" t="s">
        <v>130</v>
      </c>
      <c r="E6" s="30" t="s">
        <v>185</v>
      </c>
    </row>
    <row r="7" spans="1:12" x14ac:dyDescent="0.4">
      <c r="A7" s="30" t="s">
        <v>190</v>
      </c>
      <c r="B7" s="31">
        <v>43739.000706018516</v>
      </c>
      <c r="C7" s="30" t="s">
        <v>129</v>
      </c>
      <c r="D7" s="30" t="s">
        <v>130</v>
      </c>
      <c r="E7" s="30" t="s">
        <v>185</v>
      </c>
      <c r="F7" s="30" t="s">
        <v>186</v>
      </c>
      <c r="G7" s="30" t="s">
        <v>187</v>
      </c>
      <c r="H7" s="30" t="s">
        <v>188</v>
      </c>
      <c r="I7" s="30" t="s">
        <v>191</v>
      </c>
      <c r="J7" s="30" t="s">
        <v>192</v>
      </c>
      <c r="K7" s="30" t="s">
        <v>193</v>
      </c>
      <c r="L7" s="30" t="s">
        <v>194</v>
      </c>
    </row>
    <row r="8" spans="1:12" x14ac:dyDescent="0.4">
      <c r="A8" s="30" t="s">
        <v>195</v>
      </c>
      <c r="B8" s="31">
        <v>43739.660624999997</v>
      </c>
      <c r="C8" s="30" t="s">
        <v>130</v>
      </c>
      <c r="D8" s="30" t="s">
        <v>185</v>
      </c>
      <c r="E8" s="30" t="s">
        <v>129</v>
      </c>
    </row>
    <row r="9" spans="1:12" x14ac:dyDescent="0.4">
      <c r="A9" s="30" t="s">
        <v>197</v>
      </c>
      <c r="B9" s="31">
        <v>43740.021921296298</v>
      </c>
      <c r="C9" s="30" t="s">
        <v>129</v>
      </c>
      <c r="D9" s="30" t="s">
        <v>130</v>
      </c>
      <c r="E9" s="30" t="s">
        <v>185</v>
      </c>
      <c r="F9" s="30" t="s">
        <v>186</v>
      </c>
      <c r="G9" s="30" t="s">
        <v>187</v>
      </c>
      <c r="H9" s="30" t="s">
        <v>188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0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144</v>
      </c>
      <c r="B1">
        <v>96</v>
      </c>
    </row>
    <row r="2" spans="1:2" x14ac:dyDescent="0.4">
      <c r="A2" t="s">
        <v>167</v>
      </c>
      <c r="B2">
        <v>11</v>
      </c>
    </row>
    <row r="3" spans="1:2" x14ac:dyDescent="0.4">
      <c r="A3" t="s">
        <v>127</v>
      </c>
      <c r="B3">
        <v>26</v>
      </c>
    </row>
    <row r="4" spans="1:2" x14ac:dyDescent="0.4">
      <c r="A4" t="s">
        <v>128</v>
      </c>
      <c r="B4">
        <v>26</v>
      </c>
    </row>
    <row r="5" spans="1:2" x14ac:dyDescent="0.4">
      <c r="A5" t="s">
        <v>180</v>
      </c>
      <c r="B5">
        <v>13</v>
      </c>
    </row>
    <row r="6" spans="1:2" x14ac:dyDescent="0.4">
      <c r="A6" t="s">
        <v>178</v>
      </c>
      <c r="B6">
        <v>7</v>
      </c>
    </row>
    <row r="7" spans="1:2" x14ac:dyDescent="0.4">
      <c r="A7" t="s">
        <v>179</v>
      </c>
      <c r="B7">
        <v>4</v>
      </c>
    </row>
    <row r="8" spans="1:2" x14ac:dyDescent="0.4">
      <c r="A8" t="s">
        <v>183</v>
      </c>
      <c r="B8">
        <v>3</v>
      </c>
    </row>
    <row r="9" spans="1:2" x14ac:dyDescent="0.4">
      <c r="A9" t="s">
        <v>182</v>
      </c>
      <c r="B9">
        <v>4</v>
      </c>
    </row>
    <row r="10" spans="1:2" x14ac:dyDescent="0.4">
      <c r="A10" t="s">
        <v>196</v>
      </c>
      <c r="B10">
        <v>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2"/>
  <sheetViews>
    <sheetView showGridLines="0" zoomScale="130" zoomScaleNormal="130" workbookViewId="0">
      <selection activeCell="C12" sqref="C12"/>
    </sheetView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60" t="s">
        <v>6</v>
      </c>
      <c r="C1" s="161"/>
      <c r="D1" s="160" t="s">
        <v>7</v>
      </c>
      <c r="E1" s="161"/>
      <c r="F1" s="160" t="s">
        <v>16</v>
      </c>
      <c r="G1" s="161"/>
      <c r="H1" s="160" t="s">
        <v>15</v>
      </c>
      <c r="I1" s="161"/>
      <c r="J1" s="160" t="s">
        <v>161</v>
      </c>
      <c r="K1" s="161"/>
      <c r="L1" s="160" t="s">
        <v>148</v>
      </c>
      <c r="M1" s="161"/>
      <c r="N1" s="160" t="s">
        <v>149</v>
      </c>
      <c r="O1" s="161"/>
      <c r="P1" s="160" t="s">
        <v>5</v>
      </c>
      <c r="Q1" s="161"/>
      <c r="R1" s="160" t="s">
        <v>17</v>
      </c>
      <c r="S1" s="161"/>
      <c r="T1" s="160" t="s">
        <v>18</v>
      </c>
      <c r="U1" s="161"/>
      <c r="V1" s="160" t="s">
        <v>140</v>
      </c>
      <c r="W1" s="161"/>
      <c r="X1" s="160" t="s">
        <v>123</v>
      </c>
      <c r="Y1" s="161"/>
      <c r="Z1" s="160" t="s">
        <v>120</v>
      </c>
      <c r="AA1" s="161"/>
      <c r="AB1" s="160" t="s">
        <v>126</v>
      </c>
      <c r="AC1" s="161"/>
      <c r="AD1" s="160" t="s">
        <v>150</v>
      </c>
      <c r="AE1" s="161"/>
      <c r="AF1" s="160" t="s">
        <v>143</v>
      </c>
      <c r="AG1" s="161"/>
      <c r="AH1" s="160" t="s">
        <v>152</v>
      </c>
      <c r="AI1" s="161"/>
    </row>
    <row r="2" spans="1:35" x14ac:dyDescent="0.4">
      <c r="A2" s="72" t="s">
        <v>160</v>
      </c>
      <c r="B2" s="162"/>
      <c r="C2" s="163"/>
      <c r="D2" s="162"/>
      <c r="E2" s="163"/>
      <c r="F2" s="164">
        <v>0.95255915050091033</v>
      </c>
      <c r="G2" s="165"/>
      <c r="H2" s="164">
        <v>0.95877131146729588</v>
      </c>
      <c r="I2" s="165"/>
      <c r="J2" s="164">
        <v>0.89528450033869511</v>
      </c>
      <c r="K2" s="165"/>
      <c r="L2" s="164">
        <v>0.91398419406762332</v>
      </c>
      <c r="M2" s="165"/>
      <c r="N2" s="164">
        <v>0.95875106335160099</v>
      </c>
      <c r="O2" s="165"/>
      <c r="P2" s="164">
        <v>0.19874010666920655</v>
      </c>
      <c r="Q2" s="165"/>
      <c r="R2" s="164">
        <v>0.50933660600360042</v>
      </c>
      <c r="S2" s="165"/>
      <c r="T2" s="164">
        <v>0.56234649986628715</v>
      </c>
      <c r="U2" s="165"/>
      <c r="V2" s="164">
        <v>0.81536620047605535</v>
      </c>
      <c r="W2" s="165"/>
      <c r="X2" s="164">
        <v>0.26536551207197173</v>
      </c>
      <c r="Y2" s="165"/>
      <c r="Z2" s="164">
        <v>0.57663899057266055</v>
      </c>
      <c r="AA2" s="165"/>
      <c r="AB2" s="164">
        <v>0.58293719392440979</v>
      </c>
      <c r="AC2" s="165"/>
      <c r="AD2" s="164">
        <v>0.90233948684923104</v>
      </c>
      <c r="AE2" s="165"/>
      <c r="AF2" s="164">
        <v>0.58741966172334947</v>
      </c>
      <c r="AG2" s="165"/>
      <c r="AH2" s="164">
        <v>0.64734504765085599</v>
      </c>
      <c r="AI2" s="165"/>
    </row>
    <row r="3" spans="1:35" x14ac:dyDescent="0.4">
      <c r="A3" s="74">
        <v>1</v>
      </c>
      <c r="B3" s="75" t="s">
        <v>127</v>
      </c>
      <c r="C3" s="76">
        <v>329.29999999999995</v>
      </c>
      <c r="D3" s="77" t="s">
        <v>182</v>
      </c>
      <c r="E3" s="96">
        <v>28.875</v>
      </c>
      <c r="F3" s="77" t="s">
        <v>182</v>
      </c>
      <c r="G3" s="78">
        <v>1.5</v>
      </c>
      <c r="H3" s="77" t="s">
        <v>127</v>
      </c>
      <c r="I3" s="79">
        <v>0.57692307692307687</v>
      </c>
      <c r="J3" s="77" t="s">
        <v>182</v>
      </c>
      <c r="K3" s="79">
        <v>0</v>
      </c>
      <c r="L3" s="77" t="s">
        <v>182</v>
      </c>
      <c r="M3" s="80">
        <v>0.45454545454545453</v>
      </c>
      <c r="N3" s="77" t="s">
        <v>182</v>
      </c>
      <c r="O3" s="80">
        <v>6.0606060606060608E-2</v>
      </c>
      <c r="P3" s="77" t="s">
        <v>178</v>
      </c>
      <c r="Q3" s="81">
        <v>12942.857142857143</v>
      </c>
      <c r="R3" s="77" t="s">
        <v>128</v>
      </c>
      <c r="S3" s="81">
        <v>-7211.6279069767443</v>
      </c>
      <c r="T3" s="77" t="s">
        <v>167</v>
      </c>
      <c r="U3" s="79">
        <v>0</v>
      </c>
      <c r="V3" s="77" t="s">
        <v>182</v>
      </c>
      <c r="W3" s="79">
        <v>0.5</v>
      </c>
      <c r="X3" s="77" t="s">
        <v>182</v>
      </c>
      <c r="Y3" s="80">
        <v>0.36363636363636365</v>
      </c>
      <c r="Z3" s="77" t="s">
        <v>196</v>
      </c>
      <c r="AA3" s="80">
        <v>0.33333333333333331</v>
      </c>
      <c r="AB3" s="77" t="s">
        <v>182</v>
      </c>
      <c r="AC3" s="80">
        <v>0.83333333333333337</v>
      </c>
      <c r="AD3" s="77" t="s">
        <v>179</v>
      </c>
      <c r="AE3" s="80">
        <v>0.5714285714285714</v>
      </c>
      <c r="AF3" s="77" t="s">
        <v>183</v>
      </c>
      <c r="AG3" s="80">
        <v>0.5</v>
      </c>
      <c r="AH3" s="77" t="s">
        <v>144</v>
      </c>
      <c r="AI3" s="91">
        <v>95200</v>
      </c>
    </row>
    <row r="4" spans="1:35" x14ac:dyDescent="0.4">
      <c r="A4" s="82">
        <v>2</v>
      </c>
      <c r="B4" s="83" t="s">
        <v>182</v>
      </c>
      <c r="C4" s="84">
        <v>115.5</v>
      </c>
      <c r="D4" s="85" t="s">
        <v>127</v>
      </c>
      <c r="E4" s="97">
        <v>12.665384615384614</v>
      </c>
      <c r="F4" s="85" t="s">
        <v>127</v>
      </c>
      <c r="G4" s="86">
        <v>1.6538461538461537</v>
      </c>
      <c r="H4" s="85" t="s">
        <v>182</v>
      </c>
      <c r="I4" s="87">
        <v>0.5</v>
      </c>
      <c r="J4" s="85" t="s">
        <v>127</v>
      </c>
      <c r="K4" s="87">
        <v>0.23076923076923078</v>
      </c>
      <c r="L4" s="85" t="s">
        <v>127</v>
      </c>
      <c r="M4" s="88">
        <v>0.375</v>
      </c>
      <c r="N4" s="85" t="s">
        <v>179</v>
      </c>
      <c r="O4" s="88">
        <v>0.10256410256410256</v>
      </c>
      <c r="P4" s="85" t="s">
        <v>183</v>
      </c>
      <c r="Q4" s="89">
        <v>9533.3333333333339</v>
      </c>
      <c r="R4" s="85" t="s">
        <v>167</v>
      </c>
      <c r="S4" s="89">
        <v>-7277.7777777777774</v>
      </c>
      <c r="T4" s="85" t="s">
        <v>183</v>
      </c>
      <c r="U4" s="87">
        <v>0</v>
      </c>
      <c r="V4" s="85" t="s">
        <v>178</v>
      </c>
      <c r="W4" s="87">
        <v>0.2857142857142857</v>
      </c>
      <c r="X4" s="85" t="s">
        <v>183</v>
      </c>
      <c r="Y4" s="88">
        <v>0.34615384615384615</v>
      </c>
      <c r="Z4" s="85" t="s">
        <v>178</v>
      </c>
      <c r="AA4" s="88">
        <v>0.30188679245283018</v>
      </c>
      <c r="AB4" s="85" t="s">
        <v>179</v>
      </c>
      <c r="AC4" s="88">
        <v>0.75</v>
      </c>
      <c r="AD4" s="85" t="s">
        <v>127</v>
      </c>
      <c r="AE4" s="88">
        <v>0.52727272727272723</v>
      </c>
      <c r="AF4" s="85" t="s">
        <v>196</v>
      </c>
      <c r="AG4" s="88">
        <v>0.5</v>
      </c>
      <c r="AH4" s="85" t="s">
        <v>182</v>
      </c>
      <c r="AI4" s="92">
        <v>95200</v>
      </c>
    </row>
    <row r="5" spans="1:35" x14ac:dyDescent="0.4">
      <c r="A5" s="82">
        <v>3</v>
      </c>
      <c r="B5" s="83" t="s">
        <v>144</v>
      </c>
      <c r="C5" s="84">
        <v>-1.0658141036401503E-14</v>
      </c>
      <c r="D5" s="85" t="s">
        <v>144</v>
      </c>
      <c r="E5" s="97">
        <v>-1.1102230246251565E-16</v>
      </c>
      <c r="F5" s="85" t="s">
        <v>167</v>
      </c>
      <c r="G5" s="86">
        <v>1.9090909090909092</v>
      </c>
      <c r="H5" s="85" t="s">
        <v>196</v>
      </c>
      <c r="I5" s="87">
        <v>0.5</v>
      </c>
      <c r="J5" s="85" t="s">
        <v>167</v>
      </c>
      <c r="K5" s="87">
        <v>0.27272727272727271</v>
      </c>
      <c r="L5" s="85" t="s">
        <v>128</v>
      </c>
      <c r="M5" s="88">
        <v>0.30088495575221241</v>
      </c>
      <c r="N5" s="85" t="s">
        <v>127</v>
      </c>
      <c r="O5" s="88">
        <v>0.14732142857142858</v>
      </c>
      <c r="P5" s="85" t="s">
        <v>196</v>
      </c>
      <c r="Q5" s="89">
        <v>9450</v>
      </c>
      <c r="R5" s="85" t="s">
        <v>127</v>
      </c>
      <c r="S5" s="89">
        <v>-7709.090909090909</v>
      </c>
      <c r="T5" s="85" t="s">
        <v>182</v>
      </c>
      <c r="U5" s="87">
        <v>0</v>
      </c>
      <c r="V5" s="85" t="s">
        <v>127</v>
      </c>
      <c r="W5" s="87">
        <v>0.15384615384615385</v>
      </c>
      <c r="X5" s="85" t="s">
        <v>127</v>
      </c>
      <c r="Y5" s="88">
        <v>0.28125</v>
      </c>
      <c r="Z5" s="85" t="s">
        <v>128</v>
      </c>
      <c r="AA5" s="88">
        <v>0.2831858407079646</v>
      </c>
      <c r="AB5" s="85" t="s">
        <v>127</v>
      </c>
      <c r="AC5" s="88">
        <v>0.60317460317460314</v>
      </c>
      <c r="AD5" s="85" t="s">
        <v>182</v>
      </c>
      <c r="AE5" s="88">
        <v>0.5</v>
      </c>
      <c r="AF5" s="85" t="s">
        <v>167</v>
      </c>
      <c r="AG5" s="88">
        <v>0.48</v>
      </c>
      <c r="AH5" s="85" t="s">
        <v>128</v>
      </c>
      <c r="AI5" s="92">
        <v>91800</v>
      </c>
    </row>
    <row r="6" spans="1:35" x14ac:dyDescent="0.4">
      <c r="A6" s="82">
        <v>4</v>
      </c>
      <c r="B6" s="83" t="s">
        <v>179</v>
      </c>
      <c r="C6" s="84">
        <v>-19.3</v>
      </c>
      <c r="D6" s="85" t="s">
        <v>128</v>
      </c>
      <c r="E6" s="97">
        <v>-2.4192307692307704</v>
      </c>
      <c r="F6" s="85" t="s">
        <v>144</v>
      </c>
      <c r="G6" s="86">
        <v>2</v>
      </c>
      <c r="H6" s="85" t="s">
        <v>167</v>
      </c>
      <c r="I6" s="87">
        <v>0.36363636363636365</v>
      </c>
      <c r="J6" s="85" t="s">
        <v>144</v>
      </c>
      <c r="K6" s="87">
        <v>0.33333333333333331</v>
      </c>
      <c r="L6" s="85" t="s">
        <v>144</v>
      </c>
      <c r="M6" s="88">
        <v>0.3</v>
      </c>
      <c r="N6" s="85" t="s">
        <v>196</v>
      </c>
      <c r="O6" s="88">
        <v>0.16666666666666666</v>
      </c>
      <c r="P6" s="85" t="s">
        <v>179</v>
      </c>
      <c r="Q6" s="89">
        <v>8937.5</v>
      </c>
      <c r="R6" s="85" t="s">
        <v>179</v>
      </c>
      <c r="S6" s="89">
        <v>-7900</v>
      </c>
      <c r="T6" s="85" t="s">
        <v>127</v>
      </c>
      <c r="U6" s="87">
        <v>3.8461538461538464E-2</v>
      </c>
      <c r="V6" s="85" t="s">
        <v>128</v>
      </c>
      <c r="W6" s="87">
        <v>0.11538461538461539</v>
      </c>
      <c r="X6" s="85" t="s">
        <v>196</v>
      </c>
      <c r="Y6" s="88">
        <v>0.27777777777777779</v>
      </c>
      <c r="Z6" s="85" t="s">
        <v>167</v>
      </c>
      <c r="AA6" s="88">
        <v>0.27450980392156865</v>
      </c>
      <c r="AB6" s="85" t="s">
        <v>144</v>
      </c>
      <c r="AC6" s="88">
        <v>0.59296482412060303</v>
      </c>
      <c r="AD6" s="85" t="s">
        <v>128</v>
      </c>
      <c r="AE6" s="88">
        <v>0.4375</v>
      </c>
      <c r="AF6" s="85" t="s">
        <v>182</v>
      </c>
      <c r="AG6" s="88">
        <v>0.46666666666666667</v>
      </c>
      <c r="AH6" s="85" t="s">
        <v>127</v>
      </c>
      <c r="AI6" s="92">
        <v>86200</v>
      </c>
    </row>
    <row r="7" spans="1:35" x14ac:dyDescent="0.4">
      <c r="A7" s="82">
        <v>5</v>
      </c>
      <c r="B7" s="83" t="s">
        <v>196</v>
      </c>
      <c r="C7" s="84">
        <v>-25.4</v>
      </c>
      <c r="D7" s="85" t="s">
        <v>167</v>
      </c>
      <c r="E7" s="97">
        <v>-3.2272727272727271</v>
      </c>
      <c r="F7" s="85" t="s">
        <v>196</v>
      </c>
      <c r="G7" s="86">
        <v>2</v>
      </c>
      <c r="H7" s="85" t="s">
        <v>144</v>
      </c>
      <c r="I7" s="87">
        <v>0.33333333333333331</v>
      </c>
      <c r="J7" s="85" t="s">
        <v>183</v>
      </c>
      <c r="K7" s="87">
        <v>0.33333333333333331</v>
      </c>
      <c r="L7" s="85" t="s">
        <v>178</v>
      </c>
      <c r="M7" s="88">
        <v>0.26415094339622641</v>
      </c>
      <c r="N7" s="85" t="s">
        <v>167</v>
      </c>
      <c r="O7" s="88">
        <v>0.17647058823529413</v>
      </c>
      <c r="P7" s="85" t="s">
        <v>182</v>
      </c>
      <c r="Q7" s="89">
        <v>8746.6666666666661</v>
      </c>
      <c r="R7" s="85" t="s">
        <v>144</v>
      </c>
      <c r="S7" s="89">
        <v>-8074.8344370860923</v>
      </c>
      <c r="T7" s="85" t="s">
        <v>144</v>
      </c>
      <c r="U7" s="87">
        <v>0.11458333333333333</v>
      </c>
      <c r="V7" s="85" t="s">
        <v>144</v>
      </c>
      <c r="W7" s="87">
        <v>0.11458333333333333</v>
      </c>
      <c r="X7" s="85" t="s">
        <v>180</v>
      </c>
      <c r="Y7" s="88">
        <v>0.26050420168067229</v>
      </c>
      <c r="Z7" s="85" t="s">
        <v>127</v>
      </c>
      <c r="AA7" s="88">
        <v>0.24553571428571427</v>
      </c>
      <c r="AB7" s="85" t="s">
        <v>180</v>
      </c>
      <c r="AC7" s="88">
        <v>0.58064516129032262</v>
      </c>
      <c r="AD7" s="85" t="s">
        <v>178</v>
      </c>
      <c r="AE7" s="88">
        <v>0.4375</v>
      </c>
      <c r="AF7" s="85" t="s">
        <v>127</v>
      </c>
      <c r="AG7" s="88">
        <v>0.4642857142857143</v>
      </c>
      <c r="AH7" s="85" t="s">
        <v>178</v>
      </c>
      <c r="AI7" s="92">
        <v>83000</v>
      </c>
    </row>
    <row r="8" spans="1:35" x14ac:dyDescent="0.4">
      <c r="A8" s="82">
        <v>6</v>
      </c>
      <c r="B8" s="83" t="s">
        <v>183</v>
      </c>
      <c r="C8" s="84">
        <v>-33.6</v>
      </c>
      <c r="D8" s="85" t="s">
        <v>179</v>
      </c>
      <c r="E8" s="97">
        <v>-4.8250000000000002</v>
      </c>
      <c r="F8" s="85" t="s">
        <v>128</v>
      </c>
      <c r="G8" s="86">
        <v>2.1153846153846154</v>
      </c>
      <c r="H8" s="85" t="s">
        <v>178</v>
      </c>
      <c r="I8" s="87">
        <v>0.2857142857142857</v>
      </c>
      <c r="J8" s="85" t="s">
        <v>128</v>
      </c>
      <c r="K8" s="87">
        <v>0.34615384615384615</v>
      </c>
      <c r="L8" s="85" t="s">
        <v>167</v>
      </c>
      <c r="M8" s="88">
        <v>0.24509803921568626</v>
      </c>
      <c r="N8" s="85" t="s">
        <v>144</v>
      </c>
      <c r="O8" s="88">
        <v>0.17976190476190476</v>
      </c>
      <c r="P8" s="85" t="s">
        <v>144</v>
      </c>
      <c r="Q8" s="89">
        <v>8498.4126984126979</v>
      </c>
      <c r="R8" s="85" t="s">
        <v>180</v>
      </c>
      <c r="S8" s="89">
        <v>-8551.7241379310344</v>
      </c>
      <c r="T8" s="85" t="s">
        <v>128</v>
      </c>
      <c r="U8" s="87">
        <v>0.15384615384615385</v>
      </c>
      <c r="V8" s="85" t="s">
        <v>167</v>
      </c>
      <c r="W8" s="87">
        <v>0</v>
      </c>
      <c r="X8" s="85" t="s">
        <v>144</v>
      </c>
      <c r="Y8" s="88">
        <v>0.2369047619047619</v>
      </c>
      <c r="Z8" s="85" t="s">
        <v>144</v>
      </c>
      <c r="AA8" s="88">
        <v>0.24166666666666667</v>
      </c>
      <c r="AB8" s="85" t="s">
        <v>128</v>
      </c>
      <c r="AC8" s="88">
        <v>0.56818181818181823</v>
      </c>
      <c r="AD8" s="85" t="s">
        <v>144</v>
      </c>
      <c r="AE8" s="88">
        <v>0.4039408866995074</v>
      </c>
      <c r="AF8" s="85" t="s">
        <v>144</v>
      </c>
      <c r="AG8" s="88">
        <v>0.3968253968253968</v>
      </c>
      <c r="AH8" s="85" t="s">
        <v>179</v>
      </c>
      <c r="AI8" s="92">
        <v>71900</v>
      </c>
    </row>
    <row r="9" spans="1:35" x14ac:dyDescent="0.4">
      <c r="A9" s="82">
        <v>7</v>
      </c>
      <c r="B9" s="83" t="s">
        <v>167</v>
      </c>
      <c r="C9" s="84">
        <v>-35.5</v>
      </c>
      <c r="D9" s="85" t="s">
        <v>178</v>
      </c>
      <c r="E9" s="97">
        <v>-8.6857142857142851</v>
      </c>
      <c r="F9" s="85" t="s">
        <v>178</v>
      </c>
      <c r="G9" s="86">
        <v>2.1428571428571428</v>
      </c>
      <c r="H9" s="85" t="s">
        <v>179</v>
      </c>
      <c r="I9" s="87">
        <v>0.25</v>
      </c>
      <c r="J9" s="85" t="s">
        <v>178</v>
      </c>
      <c r="K9" s="87">
        <v>0.42857142857142855</v>
      </c>
      <c r="L9" s="85" t="s">
        <v>180</v>
      </c>
      <c r="M9" s="88">
        <v>0.23529411764705882</v>
      </c>
      <c r="N9" s="85" t="s">
        <v>128</v>
      </c>
      <c r="O9" s="88">
        <v>0.19026548672566371</v>
      </c>
      <c r="P9" s="85" t="s">
        <v>128</v>
      </c>
      <c r="Q9" s="89">
        <v>8426.4705882352937</v>
      </c>
      <c r="R9" s="85" t="s">
        <v>182</v>
      </c>
      <c r="S9" s="89">
        <v>-8900</v>
      </c>
      <c r="T9" s="85" t="s">
        <v>180</v>
      </c>
      <c r="U9" s="87">
        <v>0.15384615384615385</v>
      </c>
      <c r="V9" s="85" t="s">
        <v>180</v>
      </c>
      <c r="W9" s="87">
        <v>0</v>
      </c>
      <c r="X9" s="85" t="s">
        <v>167</v>
      </c>
      <c r="Y9" s="88">
        <v>0.22549019607843138</v>
      </c>
      <c r="Z9" s="85" t="s">
        <v>183</v>
      </c>
      <c r="AA9" s="88">
        <v>0.23076923076923078</v>
      </c>
      <c r="AB9" s="85" t="s">
        <v>167</v>
      </c>
      <c r="AC9" s="88">
        <v>0.56521739130434778</v>
      </c>
      <c r="AD9" s="85" t="s">
        <v>196</v>
      </c>
      <c r="AE9" s="88">
        <v>0.33333333333333331</v>
      </c>
      <c r="AF9" s="85" t="s">
        <v>179</v>
      </c>
      <c r="AG9" s="88">
        <v>0.375</v>
      </c>
      <c r="AH9" s="85" t="s">
        <v>180</v>
      </c>
      <c r="AI9" s="92">
        <v>53700</v>
      </c>
    </row>
    <row r="10" spans="1:35" x14ac:dyDescent="0.4">
      <c r="A10" s="82">
        <v>8</v>
      </c>
      <c r="B10" s="83" t="s">
        <v>178</v>
      </c>
      <c r="C10" s="84">
        <v>-60.8</v>
      </c>
      <c r="D10" s="85" t="s">
        <v>183</v>
      </c>
      <c r="E10" s="97">
        <v>-11.200000000000001</v>
      </c>
      <c r="F10" s="85" t="s">
        <v>179</v>
      </c>
      <c r="G10" s="86">
        <v>2.25</v>
      </c>
      <c r="H10" s="85" t="s">
        <v>128</v>
      </c>
      <c r="I10" s="87">
        <v>0.23076923076923078</v>
      </c>
      <c r="J10" s="85" t="s">
        <v>179</v>
      </c>
      <c r="K10" s="87">
        <v>0.5</v>
      </c>
      <c r="L10" s="85" t="s">
        <v>183</v>
      </c>
      <c r="M10" s="88">
        <v>0.23076923076923078</v>
      </c>
      <c r="N10" s="85" t="s">
        <v>183</v>
      </c>
      <c r="O10" s="88">
        <v>0.19230769230769232</v>
      </c>
      <c r="P10" s="85" t="s">
        <v>127</v>
      </c>
      <c r="Q10" s="89">
        <v>8077.3809523809523</v>
      </c>
      <c r="R10" s="85" t="s">
        <v>196</v>
      </c>
      <c r="S10" s="89">
        <v>-9333.3333333333339</v>
      </c>
      <c r="T10" s="85" t="s">
        <v>179</v>
      </c>
      <c r="U10" s="87">
        <v>0.25</v>
      </c>
      <c r="V10" s="85" t="s">
        <v>179</v>
      </c>
      <c r="W10" s="87">
        <v>0</v>
      </c>
      <c r="X10" s="85" t="s">
        <v>128</v>
      </c>
      <c r="Y10" s="88">
        <v>0.19469026548672566</v>
      </c>
      <c r="Z10" s="85" t="s">
        <v>179</v>
      </c>
      <c r="AA10" s="88">
        <v>0.17948717948717949</v>
      </c>
      <c r="AB10" s="85" t="s">
        <v>183</v>
      </c>
      <c r="AC10" s="88">
        <v>0.55555555555555558</v>
      </c>
      <c r="AD10" s="85" t="s">
        <v>167</v>
      </c>
      <c r="AE10" s="88">
        <v>0.25</v>
      </c>
      <c r="AF10" s="85" t="s">
        <v>178</v>
      </c>
      <c r="AG10" s="88">
        <v>0.35714285714285715</v>
      </c>
      <c r="AH10" s="85" t="s">
        <v>167</v>
      </c>
      <c r="AI10" s="92">
        <v>51800</v>
      </c>
    </row>
    <row r="11" spans="1:35" x14ac:dyDescent="0.4">
      <c r="A11" s="82">
        <v>9</v>
      </c>
      <c r="B11" s="83" t="s">
        <v>128</v>
      </c>
      <c r="C11" s="84">
        <v>-62.900000000000034</v>
      </c>
      <c r="D11" s="85" t="s">
        <v>196</v>
      </c>
      <c r="E11" s="97">
        <v>-12.7</v>
      </c>
      <c r="F11" s="85" t="s">
        <v>183</v>
      </c>
      <c r="G11" s="86">
        <v>2.3333333333333335</v>
      </c>
      <c r="H11" s="85" t="s">
        <v>180</v>
      </c>
      <c r="I11" s="87">
        <v>7.6923076923076927E-2</v>
      </c>
      <c r="J11" s="85" t="s">
        <v>196</v>
      </c>
      <c r="K11" s="87">
        <v>0.5</v>
      </c>
      <c r="L11" s="85" t="s">
        <v>196</v>
      </c>
      <c r="M11" s="88">
        <v>0.22222222222222221</v>
      </c>
      <c r="N11" s="85" t="s">
        <v>180</v>
      </c>
      <c r="O11" s="88">
        <v>0.24369747899159663</v>
      </c>
      <c r="P11" s="85" t="s">
        <v>180</v>
      </c>
      <c r="Q11" s="89">
        <v>7928.5714285714284</v>
      </c>
      <c r="R11" s="85" t="s">
        <v>183</v>
      </c>
      <c r="S11" s="89">
        <v>-9540</v>
      </c>
      <c r="T11" s="85" t="s">
        <v>178</v>
      </c>
      <c r="U11" s="87">
        <v>0.2857142857142857</v>
      </c>
      <c r="V11" s="85" t="s">
        <v>183</v>
      </c>
      <c r="W11" s="87">
        <v>0</v>
      </c>
      <c r="X11" s="85" t="s">
        <v>178</v>
      </c>
      <c r="Y11" s="88">
        <v>0.15094339622641509</v>
      </c>
      <c r="Z11" s="85" t="s">
        <v>180</v>
      </c>
      <c r="AA11" s="88">
        <v>0.15966386554621848</v>
      </c>
      <c r="AB11" s="85" t="s">
        <v>178</v>
      </c>
      <c r="AC11" s="88">
        <v>0.5</v>
      </c>
      <c r="AD11" s="85" t="s">
        <v>183</v>
      </c>
      <c r="AE11" s="88">
        <v>0.16666666666666666</v>
      </c>
      <c r="AF11" s="85" t="s">
        <v>180</v>
      </c>
      <c r="AG11" s="88">
        <v>0.32142857142857145</v>
      </c>
      <c r="AH11" s="85" t="s">
        <v>196</v>
      </c>
      <c r="AI11" s="92">
        <v>46100</v>
      </c>
    </row>
    <row r="12" spans="1:35" x14ac:dyDescent="0.4">
      <c r="A12" s="82">
        <v>10</v>
      </c>
      <c r="B12" s="83" t="s">
        <v>180</v>
      </c>
      <c r="C12" s="84">
        <v>-207.3</v>
      </c>
      <c r="D12" s="85" t="s">
        <v>180</v>
      </c>
      <c r="E12" s="97">
        <v>-15.946153846153846</v>
      </c>
      <c r="F12" s="85" t="s">
        <v>180</v>
      </c>
      <c r="G12" s="86">
        <v>2.4615384615384617</v>
      </c>
      <c r="H12" s="85" t="s">
        <v>183</v>
      </c>
      <c r="I12" s="87">
        <v>0</v>
      </c>
      <c r="J12" s="85" t="s">
        <v>180</v>
      </c>
      <c r="K12" s="87">
        <v>0.53846153846153844</v>
      </c>
      <c r="L12" s="85" t="s">
        <v>179</v>
      </c>
      <c r="M12" s="88">
        <v>0.20512820512820512</v>
      </c>
      <c r="N12" s="85" t="s">
        <v>178</v>
      </c>
      <c r="O12" s="88">
        <v>0.26415094339622641</v>
      </c>
      <c r="P12" s="85" t="s">
        <v>167</v>
      </c>
      <c r="Q12" s="89">
        <v>7568</v>
      </c>
      <c r="R12" s="85" t="s">
        <v>178</v>
      </c>
      <c r="S12" s="89">
        <v>-10764.285714285714</v>
      </c>
      <c r="T12" s="85" t="s">
        <v>196</v>
      </c>
      <c r="U12" s="87">
        <v>0.5</v>
      </c>
      <c r="V12" s="85" t="s">
        <v>196</v>
      </c>
      <c r="W12" s="87">
        <v>0</v>
      </c>
      <c r="X12" s="85" t="s">
        <v>179</v>
      </c>
      <c r="Y12" s="88">
        <v>0.10256410256410256</v>
      </c>
      <c r="Z12" s="85" t="s">
        <v>182</v>
      </c>
      <c r="AA12" s="88">
        <v>6.0606060606060608E-2</v>
      </c>
      <c r="AB12" s="85" t="s">
        <v>196</v>
      </c>
      <c r="AC12" s="88">
        <v>0.4</v>
      </c>
      <c r="AD12" s="85" t="s">
        <v>180</v>
      </c>
      <c r="AE12" s="88">
        <v>0.15789473684210525</v>
      </c>
      <c r="AF12" s="85" t="s">
        <v>128</v>
      </c>
      <c r="AG12" s="88">
        <v>0.29411764705882354</v>
      </c>
      <c r="AH12" s="85" t="s">
        <v>183</v>
      </c>
      <c r="AI12" s="92">
        <v>42000</v>
      </c>
    </row>
  </sheetData>
  <sortState xmlns:xlrd2="http://schemas.microsoft.com/office/spreadsheetml/2017/richdata2" ref="AH3:AI39">
    <sortCondition descending="1" ref="AI1"/>
  </sortState>
  <mergeCells count="34"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  <mergeCell ref="B2:C2"/>
    <mergeCell ref="D2:E2"/>
    <mergeCell ref="F2:G2"/>
    <mergeCell ref="H2:I2"/>
    <mergeCell ref="L2:M2"/>
    <mergeCell ref="J2:K2"/>
    <mergeCell ref="B1:C1"/>
    <mergeCell ref="D1:E1"/>
    <mergeCell ref="F1:G1"/>
    <mergeCell ref="H1:I1"/>
    <mergeCell ref="L1:M1"/>
    <mergeCell ref="J1:K1"/>
    <mergeCell ref="AF1:AG1"/>
    <mergeCell ref="V1:W1"/>
    <mergeCell ref="X1:Y1"/>
    <mergeCell ref="Z1:AA1"/>
    <mergeCell ref="AB1:AC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3A95D-881F-4B8F-BE42-F1B610699F06}">
  <sheetPr codeName="Sheet4"/>
  <dimension ref="A1:Q98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144</v>
      </c>
      <c r="C1" s="151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2">
        <v>96</v>
      </c>
      <c r="C2" s="153"/>
      <c r="E2" s="62" t="s">
        <v>67</v>
      </c>
      <c r="F2" s="59" t="s">
        <v>23</v>
      </c>
      <c r="G2" s="46">
        <v>187</v>
      </c>
      <c r="H2" s="132">
        <f>IF(B$17=0,0,G2/B$17)</f>
        <v>0.74206349206349209</v>
      </c>
      <c r="I2" s="93">
        <v>6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-10.416666666666666</v>
      </c>
      <c r="P2" s="118">
        <v>96</v>
      </c>
      <c r="Q2" s="102">
        <v>-1000</v>
      </c>
    </row>
    <row r="3" spans="1:17" x14ac:dyDescent="0.4">
      <c r="A3" s="55" t="s">
        <v>8</v>
      </c>
      <c r="B3" s="154">
        <v>840</v>
      </c>
      <c r="C3" s="155"/>
      <c r="E3" s="63" t="s">
        <v>73</v>
      </c>
      <c r="F3" s="60" t="s">
        <v>28</v>
      </c>
      <c r="G3" s="47">
        <v>139</v>
      </c>
      <c r="H3" s="133">
        <f>IF(B$17=0,0,G3/B$17)</f>
        <v>0.55158730158730163</v>
      </c>
      <c r="I3" s="94">
        <v>6</v>
      </c>
      <c r="K3" s="38">
        <v>1</v>
      </c>
      <c r="L3" s="99">
        <v>-4.5999999999999996</v>
      </c>
      <c r="N3" s="115" t="s">
        <v>132</v>
      </c>
      <c r="O3" s="122">
        <f t="shared" si="0"/>
        <v>11.111111111111111</v>
      </c>
      <c r="P3" s="119">
        <v>90</v>
      </c>
      <c r="Q3" s="103">
        <v>1000</v>
      </c>
    </row>
    <row r="4" spans="1:17" x14ac:dyDescent="0.4">
      <c r="A4" s="55" t="s">
        <v>6</v>
      </c>
      <c r="B4" s="156">
        <v>-1.0658141036401503E-14</v>
      </c>
      <c r="C4" s="157"/>
      <c r="E4" s="63" t="s">
        <v>65</v>
      </c>
      <c r="F4" s="60" t="s">
        <v>21</v>
      </c>
      <c r="G4" s="47">
        <v>115</v>
      </c>
      <c r="H4" s="133">
        <f>IF(B$17=0,0,G4/B$17)</f>
        <v>0.45634920634920634</v>
      </c>
      <c r="I4" s="94">
        <v>6</v>
      </c>
      <c r="K4" s="38">
        <v>2</v>
      </c>
      <c r="L4" s="99">
        <v>45.6</v>
      </c>
      <c r="N4" s="115" t="s">
        <v>133</v>
      </c>
      <c r="O4" s="122">
        <f t="shared" si="0"/>
        <v>-44.444444444444443</v>
      </c>
      <c r="P4" s="119">
        <v>90</v>
      </c>
      <c r="Q4" s="103">
        <v>-4000</v>
      </c>
    </row>
    <row r="5" spans="1:17" x14ac:dyDescent="0.4">
      <c r="A5" s="55" t="s">
        <v>7</v>
      </c>
      <c r="B5" s="158">
        <f>IF(B$2=0,0,B$4/B$2)</f>
        <v>-1.1102230246251565E-16</v>
      </c>
      <c r="C5" s="159"/>
      <c r="E5" s="63" t="s">
        <v>172</v>
      </c>
      <c r="F5" s="60" t="s">
        <v>173</v>
      </c>
      <c r="G5" s="47">
        <v>85</v>
      </c>
      <c r="H5" s="133">
        <f>IF(B$17=0,0,G5/B$17)</f>
        <v>0.33730158730158732</v>
      </c>
      <c r="I5" s="94">
        <v>5</v>
      </c>
      <c r="K5" s="38">
        <v>3</v>
      </c>
      <c r="L5" s="99">
        <v>0</v>
      </c>
      <c r="N5" s="115" t="s">
        <v>134</v>
      </c>
      <c r="O5" s="122">
        <f t="shared" si="0"/>
        <v>33.333333333333336</v>
      </c>
      <c r="P5" s="119">
        <v>90</v>
      </c>
      <c r="Q5" s="103">
        <v>3000</v>
      </c>
    </row>
    <row r="6" spans="1:17" x14ac:dyDescent="0.4">
      <c r="A6" s="55" t="s">
        <v>1</v>
      </c>
      <c r="B6" s="148">
        <f>IF(B$2=0,0,(B$7*1+B$8*2+B$9*3)/B$2)</f>
        <v>2</v>
      </c>
      <c r="C6" s="149"/>
      <c r="E6" s="63" t="s">
        <v>68</v>
      </c>
      <c r="F6" s="60" t="s">
        <v>24</v>
      </c>
      <c r="G6" s="47">
        <v>81</v>
      </c>
      <c r="H6" s="133">
        <f>IF(B$17=0,0,G6/B$17)</f>
        <v>0.32142857142857145</v>
      </c>
      <c r="I6" s="94">
        <v>4</v>
      </c>
      <c r="K6" s="38">
        <v>4</v>
      </c>
      <c r="L6" s="99">
        <v>24.5</v>
      </c>
      <c r="N6" s="115" t="s">
        <v>135</v>
      </c>
      <c r="O6" s="122">
        <f t="shared" si="0"/>
        <v>12.345679012345679</v>
      </c>
      <c r="P6" s="119">
        <v>81</v>
      </c>
      <c r="Q6" s="103">
        <v>1000</v>
      </c>
    </row>
    <row r="7" spans="1:17" x14ac:dyDescent="0.4">
      <c r="A7" s="55" t="s">
        <v>2</v>
      </c>
      <c r="B7" s="47">
        <v>32</v>
      </c>
      <c r="C7" s="39">
        <f t="shared" ref="C7:C12" si="1">IF(B$2=0,0,B7/B$2)</f>
        <v>0.33333333333333331</v>
      </c>
      <c r="E7" s="63" t="s">
        <v>69</v>
      </c>
      <c r="F7" s="60" t="s">
        <v>12</v>
      </c>
      <c r="G7" s="47">
        <v>68</v>
      </c>
      <c r="H7" s="133">
        <f>IF(B$17=0,0,G7/B$17)</f>
        <v>0.26984126984126983</v>
      </c>
      <c r="I7" s="94">
        <v>5</v>
      </c>
      <c r="K7" s="38">
        <v>5</v>
      </c>
      <c r="L7" s="99">
        <v>-11.299999999999997</v>
      </c>
      <c r="N7" s="116" t="s">
        <v>136</v>
      </c>
      <c r="O7" s="123">
        <f t="shared" si="0"/>
        <v>0</v>
      </c>
      <c r="P7" s="120">
        <v>66</v>
      </c>
      <c r="Q7" s="104">
        <v>0</v>
      </c>
    </row>
    <row r="8" spans="1:17" x14ac:dyDescent="0.4">
      <c r="A8" s="55" t="s">
        <v>3</v>
      </c>
      <c r="B8" s="47">
        <v>32</v>
      </c>
      <c r="C8" s="39">
        <f t="shared" si="1"/>
        <v>0.33333333333333331</v>
      </c>
      <c r="E8" s="63" t="s">
        <v>70</v>
      </c>
      <c r="F8" s="60" t="s">
        <v>25</v>
      </c>
      <c r="G8" s="47">
        <v>37</v>
      </c>
      <c r="H8" s="133">
        <f>IF(B$17=0,0,G8/B$17)</f>
        <v>0.14682539682539683</v>
      </c>
      <c r="I8" s="94">
        <v>4</v>
      </c>
      <c r="K8" s="38">
        <v>6</v>
      </c>
      <c r="L8" s="99">
        <v>3.5527136788005009E-15</v>
      </c>
      <c r="N8" s="43"/>
      <c r="O8" s="127"/>
      <c r="P8" s="111"/>
      <c r="Q8" s="109"/>
    </row>
    <row r="9" spans="1:17" x14ac:dyDescent="0.4">
      <c r="A9" s="56" t="s">
        <v>4</v>
      </c>
      <c r="B9" s="48">
        <v>32</v>
      </c>
      <c r="C9" s="40">
        <f t="shared" si="1"/>
        <v>0.33333333333333331</v>
      </c>
      <c r="E9" s="63" t="s">
        <v>90</v>
      </c>
      <c r="F9" s="60" t="s">
        <v>45</v>
      </c>
      <c r="G9" s="47">
        <v>33</v>
      </c>
      <c r="H9" s="133">
        <f>IF(B$17=0,0,G9/B$17)</f>
        <v>0.13095238095238096</v>
      </c>
      <c r="I9" s="94">
        <v>4</v>
      </c>
      <c r="K9" s="38">
        <v>7</v>
      </c>
      <c r="L9" s="99">
        <v>-37.799999999999997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11</v>
      </c>
      <c r="C10" s="40">
        <f t="shared" si="1"/>
        <v>0.11458333333333333</v>
      </c>
      <c r="E10" s="63" t="s">
        <v>66</v>
      </c>
      <c r="F10" s="60" t="s">
        <v>22</v>
      </c>
      <c r="G10" s="47">
        <v>28</v>
      </c>
      <c r="H10" s="133">
        <f>IF(B$17=0,0,G10/B$17)</f>
        <v>0.1111111111111111</v>
      </c>
      <c r="I10" s="94">
        <v>6</v>
      </c>
      <c r="K10" s="38">
        <v>8</v>
      </c>
      <c r="L10" s="99">
        <v>-46.9</v>
      </c>
      <c r="N10" s="114" t="s">
        <v>163</v>
      </c>
      <c r="O10" s="124">
        <f>IF(P10=0,0,Q10/P10)</f>
        <v>5.9468750000000004</v>
      </c>
      <c r="P10" s="118">
        <v>32</v>
      </c>
      <c r="Q10" s="106">
        <v>190.3</v>
      </c>
    </row>
    <row r="11" spans="1:17" x14ac:dyDescent="0.4">
      <c r="A11" s="56" t="s">
        <v>139</v>
      </c>
      <c r="B11" s="48">
        <v>11</v>
      </c>
      <c r="C11" s="40">
        <f t="shared" si="1"/>
        <v>0.11458333333333333</v>
      </c>
      <c r="E11" s="63" t="s">
        <v>72</v>
      </c>
      <c r="F11" s="60" t="s">
        <v>27</v>
      </c>
      <c r="G11" s="47">
        <v>19</v>
      </c>
      <c r="H11" s="133">
        <f>IF(B$17=0,0,G11/B$17)</f>
        <v>7.5396825396825393E-2</v>
      </c>
      <c r="I11" s="94">
        <v>4</v>
      </c>
      <c r="K11" s="38">
        <v>9</v>
      </c>
      <c r="L11" s="99">
        <v>0</v>
      </c>
      <c r="N11" s="115" t="s">
        <v>164</v>
      </c>
      <c r="O11" s="125">
        <f>IF(P11=0,0,Q11/P11)</f>
        <v>-1.9187499999999993</v>
      </c>
      <c r="P11" s="119">
        <v>32</v>
      </c>
      <c r="Q11" s="107">
        <v>-61.399999999999977</v>
      </c>
    </row>
    <row r="12" spans="1:17" x14ac:dyDescent="0.4">
      <c r="A12" s="57" t="s">
        <v>159</v>
      </c>
      <c r="B12" s="49">
        <v>10</v>
      </c>
      <c r="C12" s="42">
        <f t="shared" si="1"/>
        <v>0.10416666666666667</v>
      </c>
      <c r="E12" s="63" t="s">
        <v>71</v>
      </c>
      <c r="F12" s="60" t="s">
        <v>26</v>
      </c>
      <c r="G12" s="47">
        <v>17</v>
      </c>
      <c r="H12" s="133">
        <f>IF(B$17=0,0,G12/B$17)</f>
        <v>6.7460317460317457E-2</v>
      </c>
      <c r="I12" s="94">
        <v>6</v>
      </c>
      <c r="K12" s="38">
        <v>10</v>
      </c>
      <c r="L12" s="99">
        <v>-12</v>
      </c>
      <c r="N12" s="116" t="s">
        <v>165</v>
      </c>
      <c r="O12" s="126">
        <f>IF(P12=0,0,Q12/P12)</f>
        <v>-4.0281249999999975</v>
      </c>
      <c r="P12" s="120">
        <v>32</v>
      </c>
      <c r="Q12" s="108">
        <v>-128.89999999999992</v>
      </c>
    </row>
    <row r="13" spans="1:17" x14ac:dyDescent="0.4">
      <c r="A13" s="58" t="s">
        <v>122</v>
      </c>
      <c r="B13" s="50">
        <v>199</v>
      </c>
      <c r="C13" s="44">
        <f>IF(B$3=0,0,B13/B$3)</f>
        <v>0.2369047619047619</v>
      </c>
      <c r="E13" s="63" t="s">
        <v>84</v>
      </c>
      <c r="F13" s="60" t="s">
        <v>39</v>
      </c>
      <c r="G13" s="47">
        <v>13</v>
      </c>
      <c r="H13" s="133">
        <f>IF(B$17=0,0,G13/B$17)</f>
        <v>5.1587301587301584E-2</v>
      </c>
      <c r="I13" s="94">
        <v>5</v>
      </c>
      <c r="K13" s="38">
        <v>11</v>
      </c>
      <c r="L13" s="99">
        <v>58.2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203</v>
      </c>
      <c r="C14" s="39">
        <f>IF(B$3=0,0,B14/B$3)</f>
        <v>0.24166666666666667</v>
      </c>
      <c r="E14" s="63" t="s">
        <v>87</v>
      </c>
      <c r="F14" s="60" t="s">
        <v>42</v>
      </c>
      <c r="G14" s="47">
        <v>10</v>
      </c>
      <c r="H14" s="133">
        <f>IF(B$17=0,0,G14/B$17)</f>
        <v>3.968253968253968E-2</v>
      </c>
      <c r="I14" s="94">
        <v>3</v>
      </c>
      <c r="K14" s="38">
        <v>12</v>
      </c>
      <c r="L14" s="99">
        <v>0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118</v>
      </c>
      <c r="C15" s="37">
        <f>IF(B$13=0,0,B15/B$13)</f>
        <v>0.59296482412060303</v>
      </c>
      <c r="E15" s="63" t="s">
        <v>79</v>
      </c>
      <c r="F15" s="60" t="s">
        <v>34</v>
      </c>
      <c r="G15" s="47">
        <v>9</v>
      </c>
      <c r="H15" s="133">
        <f>IF(B$17=0,0,G15/B$17)</f>
        <v>3.5714285714285712E-2</v>
      </c>
      <c r="I15" s="94">
        <v>4</v>
      </c>
      <c r="K15" s="38">
        <v>13</v>
      </c>
      <c r="L15" s="99">
        <v>-1.7</v>
      </c>
      <c r="N15" s="114" t="s">
        <v>180</v>
      </c>
      <c r="O15" s="124">
        <f>IF(P15=0,0,Q15/P15)</f>
        <v>23.919230769230772</v>
      </c>
      <c r="P15" s="118">
        <v>26</v>
      </c>
      <c r="Q15" s="106">
        <v>621.90000000000009</v>
      </c>
    </row>
    <row r="16" spans="1:17" x14ac:dyDescent="0.4">
      <c r="A16" s="54" t="s">
        <v>125</v>
      </c>
      <c r="B16" s="46">
        <v>82</v>
      </c>
      <c r="C16" s="37">
        <f>IF(B$14=0,0,B16/B$14)</f>
        <v>0.4039408866995074</v>
      </c>
      <c r="E16" s="63" t="s">
        <v>80</v>
      </c>
      <c r="F16" s="60" t="s">
        <v>35</v>
      </c>
      <c r="G16" s="47">
        <v>4</v>
      </c>
      <c r="H16" s="133">
        <f>IF(B$17=0,0,G16/B$17)</f>
        <v>1.5873015873015872E-2</v>
      </c>
      <c r="I16" s="94">
        <v>3</v>
      </c>
      <c r="K16" s="38">
        <v>14</v>
      </c>
      <c r="L16" s="99">
        <v>24.3</v>
      </c>
      <c r="N16" s="115" t="s">
        <v>196</v>
      </c>
      <c r="O16" s="125">
        <f>IF(P16=0,0,Q16/P16)</f>
        <v>19.049999999999997</v>
      </c>
      <c r="P16" s="119">
        <v>4</v>
      </c>
      <c r="Q16" s="107">
        <v>76.199999999999989</v>
      </c>
    </row>
    <row r="17" spans="1:17" x14ac:dyDescent="0.4">
      <c r="A17" s="54" t="s">
        <v>10</v>
      </c>
      <c r="B17" s="46">
        <f>B19+B18</f>
        <v>252</v>
      </c>
      <c r="C17" s="37">
        <f>IF(B$3=0,0,B17/B$3)</f>
        <v>0.3</v>
      </c>
      <c r="E17" s="63" t="s">
        <v>82</v>
      </c>
      <c r="F17" s="60" t="s">
        <v>37</v>
      </c>
      <c r="G17" s="47">
        <v>4</v>
      </c>
      <c r="H17" s="133">
        <f>IF(B$17=0,0,G17/B$17)</f>
        <v>1.5873015873015872E-2</v>
      </c>
      <c r="I17" s="94">
        <v>4</v>
      </c>
      <c r="K17" s="38">
        <v>15</v>
      </c>
      <c r="L17" s="99">
        <v>0</v>
      </c>
      <c r="N17" s="115" t="s">
        <v>183</v>
      </c>
      <c r="O17" s="125">
        <f>IF(P17=0,0,Q17/P17)</f>
        <v>16.799999999999997</v>
      </c>
      <c r="P17" s="119">
        <v>6</v>
      </c>
      <c r="Q17" s="107">
        <v>100.79999999999998</v>
      </c>
    </row>
    <row r="18" spans="1:17" x14ac:dyDescent="0.4">
      <c r="A18" s="55" t="s">
        <v>12</v>
      </c>
      <c r="B18" s="47">
        <v>100</v>
      </c>
      <c r="C18" s="39">
        <f>IF(B$17=0,0,B18/B$17)</f>
        <v>0.3968253968253968</v>
      </c>
      <c r="E18" s="63" t="s">
        <v>92</v>
      </c>
      <c r="F18" s="60" t="s">
        <v>47</v>
      </c>
      <c r="G18" s="47">
        <v>4</v>
      </c>
      <c r="H18" s="133">
        <f>IF(B$17=0,0,G18/B$17)</f>
        <v>1.5873015873015872E-2</v>
      </c>
      <c r="I18" s="94">
        <v>3</v>
      </c>
      <c r="K18" s="38">
        <v>16</v>
      </c>
      <c r="L18" s="99">
        <v>-28.2</v>
      </c>
      <c r="N18" s="115" t="s">
        <v>178</v>
      </c>
      <c r="O18" s="125">
        <f>IF(P18=0,0,Q18/P18)</f>
        <v>13.028571428571423</v>
      </c>
      <c r="P18" s="119">
        <v>14</v>
      </c>
      <c r="Q18" s="107">
        <v>182.39999999999992</v>
      </c>
    </row>
    <row r="19" spans="1:17" x14ac:dyDescent="0.4">
      <c r="A19" s="55" t="s">
        <v>11</v>
      </c>
      <c r="B19" s="47">
        <v>152</v>
      </c>
      <c r="C19" s="39">
        <f>IF(B$17=0,0,B19/B$17)</f>
        <v>0.60317460317460314</v>
      </c>
      <c r="E19" s="63" t="s">
        <v>93</v>
      </c>
      <c r="F19" s="60" t="s">
        <v>48</v>
      </c>
      <c r="G19" s="47">
        <v>3</v>
      </c>
      <c r="H19" s="133">
        <f>IF(B$17=0,0,G19/B$17)</f>
        <v>1.1904761904761904E-2</v>
      </c>
      <c r="I19" s="94">
        <v>3</v>
      </c>
      <c r="K19" s="38">
        <v>17</v>
      </c>
      <c r="L19" s="99">
        <v>-20.5</v>
      </c>
      <c r="N19" s="115" t="s">
        <v>179</v>
      </c>
      <c r="O19" s="125">
        <f>IF(P19=0,0,Q19/P19)</f>
        <v>7.2374999999999989</v>
      </c>
      <c r="P19" s="119">
        <v>8</v>
      </c>
      <c r="Q19" s="107">
        <v>57.899999999999991</v>
      </c>
    </row>
    <row r="20" spans="1:17" x14ac:dyDescent="0.4">
      <c r="A20" s="55" t="s">
        <v>13</v>
      </c>
      <c r="B20" s="47">
        <v>151</v>
      </c>
      <c r="C20" s="39">
        <f>IF(B$3=0,0,B20/B$3)</f>
        <v>0.17976190476190476</v>
      </c>
      <c r="E20" s="63" t="s">
        <v>168</v>
      </c>
      <c r="F20" s="60" t="s">
        <v>169</v>
      </c>
      <c r="G20" s="47">
        <v>3</v>
      </c>
      <c r="H20" s="133">
        <f>IF(B$17=0,0,G20/B$17)</f>
        <v>1.1904761904761904E-2</v>
      </c>
      <c r="I20" s="94">
        <v>2</v>
      </c>
      <c r="K20" s="38">
        <v>18</v>
      </c>
      <c r="L20" s="99">
        <v>0</v>
      </c>
      <c r="N20" s="115" t="s">
        <v>167</v>
      </c>
      <c r="O20" s="125">
        <f>IF(P20=0,0,Q20/P20)</f>
        <v>4.8409090909090926</v>
      </c>
      <c r="P20" s="119">
        <v>22</v>
      </c>
      <c r="Q20" s="107">
        <v>106.50000000000004</v>
      </c>
    </row>
    <row r="21" spans="1:17" x14ac:dyDescent="0.4">
      <c r="A21" s="55" t="s">
        <v>170</v>
      </c>
      <c r="B21" s="47">
        <v>7</v>
      </c>
      <c r="C21" s="135">
        <v>0</v>
      </c>
      <c r="E21" s="63" t="s">
        <v>78</v>
      </c>
      <c r="F21" s="60" t="s">
        <v>33</v>
      </c>
      <c r="G21" s="47">
        <v>2</v>
      </c>
      <c r="H21" s="133">
        <f>IF(B$17=0,0,G21/B$17)</f>
        <v>7.9365079365079361E-3</v>
      </c>
      <c r="I21" s="94">
        <v>2</v>
      </c>
      <c r="K21" s="38">
        <v>19</v>
      </c>
      <c r="L21" s="99">
        <v>-22.4</v>
      </c>
      <c r="N21" s="115" t="s">
        <v>128</v>
      </c>
      <c r="O21" s="125">
        <f>IF(P21=0,0,Q21/P21)</f>
        <v>3.6288461538461498</v>
      </c>
      <c r="P21" s="119">
        <v>52</v>
      </c>
      <c r="Q21" s="107">
        <v>188.69999999999979</v>
      </c>
    </row>
    <row r="22" spans="1:17" x14ac:dyDescent="0.4">
      <c r="A22" s="55" t="s">
        <v>171</v>
      </c>
      <c r="B22" s="47">
        <v>21</v>
      </c>
      <c r="C22" s="135">
        <v>1</v>
      </c>
      <c r="E22" s="63" t="s">
        <v>85</v>
      </c>
      <c r="F22" s="60" t="s">
        <v>40</v>
      </c>
      <c r="G22" s="47">
        <v>2</v>
      </c>
      <c r="H22" s="133">
        <f>IF(B$17=0,0,G22/B$17)</f>
        <v>7.9365079365079361E-3</v>
      </c>
      <c r="I22" s="94">
        <v>2</v>
      </c>
      <c r="K22" s="38">
        <v>20</v>
      </c>
      <c r="L22" s="99">
        <v>-61.199999999999996</v>
      </c>
      <c r="N22" s="115" t="s">
        <v>127</v>
      </c>
      <c r="O22" s="125">
        <f>IF(P22=0,0,Q22/P22)</f>
        <v>-18.998076923076926</v>
      </c>
      <c r="P22" s="119">
        <v>52</v>
      </c>
      <c r="Q22" s="107">
        <v>-987.9000000000002</v>
      </c>
    </row>
    <row r="23" spans="1:17" x14ac:dyDescent="0.4">
      <c r="A23" s="55" t="s">
        <v>5</v>
      </c>
      <c r="B23" s="51">
        <f>IF(B$17=0,0,C23/B$17)</f>
        <v>8498.4126984126979</v>
      </c>
      <c r="C23" s="41">
        <v>2141600</v>
      </c>
      <c r="E23" s="63" t="s">
        <v>86</v>
      </c>
      <c r="F23" s="60" t="s">
        <v>41</v>
      </c>
      <c r="G23" s="47">
        <v>2</v>
      </c>
      <c r="H23" s="133">
        <f>IF(B$17=0,0,G23/B$17)</f>
        <v>7.9365079365079361E-3</v>
      </c>
      <c r="I23" s="94">
        <v>3</v>
      </c>
      <c r="K23" s="38">
        <v>21</v>
      </c>
      <c r="L23" s="99">
        <v>7.1054273576010019E-15</v>
      </c>
      <c r="N23" s="115" t="s">
        <v>182</v>
      </c>
      <c r="O23" s="125">
        <f>IF(P23=0,0,Q23/P23)</f>
        <v>-43.312500000000007</v>
      </c>
      <c r="P23" s="119">
        <v>8</v>
      </c>
      <c r="Q23" s="107">
        <v>-346.50000000000006</v>
      </c>
    </row>
    <row r="24" spans="1:17" x14ac:dyDescent="0.4">
      <c r="A24" s="57" t="s">
        <v>14</v>
      </c>
      <c r="B24" s="52">
        <f>IF(B$20=0,0,C24/B$20)</f>
        <v>-8074.8344370860923</v>
      </c>
      <c r="C24" s="45">
        <v>-1219300</v>
      </c>
      <c r="E24" s="63" t="s">
        <v>89</v>
      </c>
      <c r="F24" s="60" t="s">
        <v>44</v>
      </c>
      <c r="G24" s="47">
        <v>2</v>
      </c>
      <c r="H24" s="133">
        <f>IF(B$17=0,0,G24/B$17)</f>
        <v>7.9365079365079361E-3</v>
      </c>
      <c r="I24" s="94">
        <v>3</v>
      </c>
      <c r="K24" s="38">
        <v>22</v>
      </c>
      <c r="L24" s="99">
        <v>-25.099999999999994</v>
      </c>
    </row>
    <row r="25" spans="1:17" x14ac:dyDescent="0.4">
      <c r="A25" s="90" t="s">
        <v>141</v>
      </c>
      <c r="B25" s="146">
        <v>8</v>
      </c>
      <c r="C25" s="147"/>
      <c r="E25" s="63" t="s">
        <v>88</v>
      </c>
      <c r="F25" s="60" t="s">
        <v>43</v>
      </c>
      <c r="G25" s="47">
        <v>1</v>
      </c>
      <c r="H25" s="133">
        <f>IF(B$17=0,0,G25/B$17)</f>
        <v>3.968253968253968E-3</v>
      </c>
      <c r="I25" s="94">
        <v>2</v>
      </c>
      <c r="K25" s="38">
        <v>23</v>
      </c>
      <c r="L25" s="99">
        <v>-26.799999999999994</v>
      </c>
    </row>
    <row r="26" spans="1:17" x14ac:dyDescent="0.4">
      <c r="A26" s="58" t="s">
        <v>151</v>
      </c>
      <c r="B26" s="144">
        <v>95200</v>
      </c>
      <c r="C26" s="145"/>
      <c r="E26" s="63" t="s">
        <v>91</v>
      </c>
      <c r="F26" s="60" t="s">
        <v>46</v>
      </c>
      <c r="G26" s="47">
        <v>1</v>
      </c>
      <c r="H26" s="133">
        <f>IF(B$17=0,0,G26/B$17)</f>
        <v>3.968253968253968E-3</v>
      </c>
      <c r="I26" s="94">
        <v>2</v>
      </c>
      <c r="K26" s="38">
        <v>24</v>
      </c>
      <c r="L26" s="99">
        <v>7.1054273576010019E-15</v>
      </c>
    </row>
    <row r="27" spans="1:17" x14ac:dyDescent="0.4">
      <c r="A27" s="57" t="s">
        <v>142</v>
      </c>
      <c r="B27" s="65">
        <v>2</v>
      </c>
      <c r="C27" s="42">
        <f>IF(B$3=0,0,B27/B$3)</f>
        <v>2.3809523809523812E-3</v>
      </c>
      <c r="E27" s="63" t="s">
        <v>96</v>
      </c>
      <c r="F27" s="60" t="s">
        <v>51</v>
      </c>
      <c r="G27" s="47">
        <v>1</v>
      </c>
      <c r="H27" s="133">
        <f>IF(B$17=0,0,G27/B$17)</f>
        <v>3.968253968253968E-3</v>
      </c>
      <c r="I27" s="94">
        <v>2</v>
      </c>
      <c r="K27" s="38">
        <v>25</v>
      </c>
      <c r="L27" s="99">
        <v>15.000000000000007</v>
      </c>
    </row>
    <row r="28" spans="1:17" x14ac:dyDescent="0.4">
      <c r="E28" s="63" t="s">
        <v>74</v>
      </c>
      <c r="F28" s="60" t="s">
        <v>29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0.60000000000000675</v>
      </c>
    </row>
    <row r="29" spans="1:17" x14ac:dyDescent="0.4">
      <c r="E29" s="63" t="s">
        <v>75</v>
      </c>
      <c r="F29" s="60" t="s">
        <v>30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6.7723604502134549E-15</v>
      </c>
    </row>
    <row r="30" spans="1:17" x14ac:dyDescent="0.4">
      <c r="E30" s="63" t="s">
        <v>76</v>
      </c>
      <c r="F30" s="60" t="s">
        <v>31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-30.199999999999992</v>
      </c>
    </row>
    <row r="31" spans="1:17" x14ac:dyDescent="0.4">
      <c r="E31" s="63" t="s">
        <v>77</v>
      </c>
      <c r="F31" s="60" t="s">
        <v>32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-2.3999999999999915</v>
      </c>
    </row>
    <row r="32" spans="1:17" x14ac:dyDescent="0.4">
      <c r="E32" s="63" t="s">
        <v>81</v>
      </c>
      <c r="F32" s="60" t="s">
        <v>36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8.4376949871511897E-15</v>
      </c>
    </row>
    <row r="33" spans="5:12" x14ac:dyDescent="0.4">
      <c r="E33" s="63" t="s">
        <v>83</v>
      </c>
      <c r="F33" s="60" t="s">
        <v>38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12.500000000000009</v>
      </c>
    </row>
    <row r="34" spans="5:12" x14ac:dyDescent="0.4">
      <c r="E34" s="63" t="s">
        <v>94</v>
      </c>
      <c r="F34" s="60" t="s">
        <v>49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47.300000000000004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7.1054273576010019E-15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-5.8999999999999932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26.900000000000006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17.400000000000006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-5.2999999999999936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6.2172489379008766E-15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10.300000000000008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-26.999999999999989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1.0658141036401503E-14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-20.899999999999988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0.30000000000001137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1.1379786002407855E-14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2.2000000000000117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-21.499999999999986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1.4210854715202004E-14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-51.599999999999987</v>
      </c>
    </row>
    <row r="52" spans="5:12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-33.699999999999989</v>
      </c>
    </row>
    <row r="53" spans="5:12" x14ac:dyDescent="0.4">
      <c r="K53" s="38">
        <v>51</v>
      </c>
      <c r="L53" s="99">
        <v>1.4210854715202004E-14</v>
      </c>
    </row>
    <row r="54" spans="5:12" x14ac:dyDescent="0.4">
      <c r="K54" s="38">
        <v>52</v>
      </c>
      <c r="L54" s="99">
        <v>-5.8999999999999861</v>
      </c>
    </row>
    <row r="55" spans="5:12" x14ac:dyDescent="0.4">
      <c r="K55" s="38">
        <v>53</v>
      </c>
      <c r="L55" s="99">
        <v>-29.399999999999984</v>
      </c>
    </row>
    <row r="56" spans="5:12" x14ac:dyDescent="0.4">
      <c r="K56" s="38">
        <v>54</v>
      </c>
      <c r="L56" s="99">
        <v>1.4210854715202004E-14</v>
      </c>
    </row>
    <row r="57" spans="5:12" x14ac:dyDescent="0.4">
      <c r="K57" s="38">
        <v>55</v>
      </c>
      <c r="L57" s="99">
        <v>-42.999999999999986</v>
      </c>
    </row>
    <row r="58" spans="5:12" x14ac:dyDescent="0.4">
      <c r="K58" s="38">
        <v>56</v>
      </c>
      <c r="L58" s="99">
        <v>-54.199999999999989</v>
      </c>
    </row>
    <row r="59" spans="5:12" x14ac:dyDescent="0.4">
      <c r="K59" s="38">
        <v>57</v>
      </c>
      <c r="L59" s="99">
        <v>1.4210854715202004E-14</v>
      </c>
    </row>
    <row r="60" spans="5:12" x14ac:dyDescent="0.4">
      <c r="K60" s="38">
        <v>58</v>
      </c>
      <c r="L60" s="99">
        <v>7.6000000000000139</v>
      </c>
    </row>
    <row r="61" spans="5:12" x14ac:dyDescent="0.4">
      <c r="K61" s="38">
        <v>59</v>
      </c>
      <c r="L61" s="99">
        <v>-35.399999999999984</v>
      </c>
    </row>
    <row r="62" spans="5:12" x14ac:dyDescent="0.4">
      <c r="K62" s="38">
        <v>60</v>
      </c>
      <c r="L62" s="99">
        <v>1.4210854715202004E-14</v>
      </c>
    </row>
    <row r="63" spans="5:12" x14ac:dyDescent="0.4">
      <c r="K63" s="38">
        <v>61</v>
      </c>
      <c r="L63" s="99">
        <v>66.800000000000011</v>
      </c>
    </row>
    <row r="64" spans="5:12" x14ac:dyDescent="0.4">
      <c r="K64" s="38">
        <v>62</v>
      </c>
      <c r="L64" s="99">
        <v>6.7000000000000099</v>
      </c>
    </row>
    <row r="65" spans="11:12" x14ac:dyDescent="0.4">
      <c r="K65" s="38">
        <v>63</v>
      </c>
      <c r="L65" s="99">
        <v>9.7699626167013776E-15</v>
      </c>
    </row>
    <row r="66" spans="11:12" x14ac:dyDescent="0.4">
      <c r="K66" s="38">
        <v>64</v>
      </c>
      <c r="L66" s="99">
        <v>-49.499999999999993</v>
      </c>
    </row>
    <row r="67" spans="11:12" x14ac:dyDescent="0.4">
      <c r="K67" s="38">
        <v>65</v>
      </c>
      <c r="L67" s="99">
        <v>-30.799999999999994</v>
      </c>
    </row>
    <row r="68" spans="11:12" x14ac:dyDescent="0.4">
      <c r="K68" s="38">
        <v>66</v>
      </c>
      <c r="L68" s="99">
        <v>7.1054273576010019E-15</v>
      </c>
    </row>
    <row r="69" spans="11:12" x14ac:dyDescent="0.4">
      <c r="K69" s="38">
        <v>67</v>
      </c>
      <c r="L69" s="99">
        <v>66.400000000000006</v>
      </c>
    </row>
    <row r="70" spans="11:12" x14ac:dyDescent="0.4">
      <c r="K70" s="38">
        <v>68</v>
      </c>
      <c r="L70" s="99">
        <v>17.700000000000003</v>
      </c>
    </row>
    <row r="71" spans="11:12" x14ac:dyDescent="0.4">
      <c r="K71" s="38">
        <v>69</v>
      </c>
      <c r="L71" s="99">
        <v>3.5527136788005009E-15</v>
      </c>
    </row>
    <row r="72" spans="11:12" x14ac:dyDescent="0.4">
      <c r="K72" s="38">
        <v>70</v>
      </c>
      <c r="L72" s="99">
        <v>7.5000000000000036</v>
      </c>
    </row>
    <row r="73" spans="11:12" x14ac:dyDescent="0.4">
      <c r="K73" s="38">
        <v>71</v>
      </c>
      <c r="L73" s="99">
        <v>28.600000000000005</v>
      </c>
    </row>
    <row r="74" spans="11:12" x14ac:dyDescent="0.4">
      <c r="K74" s="38">
        <v>72</v>
      </c>
      <c r="L74" s="99">
        <v>3.5527136788005009E-15</v>
      </c>
    </row>
    <row r="75" spans="11:12" x14ac:dyDescent="0.4">
      <c r="K75" s="38">
        <v>73</v>
      </c>
      <c r="L75" s="99">
        <v>39.5</v>
      </c>
    </row>
    <row r="76" spans="11:12" x14ac:dyDescent="0.4">
      <c r="K76" s="38">
        <v>74</v>
      </c>
      <c r="L76" s="99">
        <v>-7</v>
      </c>
    </row>
    <row r="77" spans="11:12" x14ac:dyDescent="0.4">
      <c r="K77" s="38">
        <v>75</v>
      </c>
      <c r="L77" s="99">
        <v>0</v>
      </c>
    </row>
    <row r="78" spans="11:12" x14ac:dyDescent="0.4">
      <c r="K78" s="38">
        <v>76</v>
      </c>
      <c r="L78" s="99">
        <v>-45.1</v>
      </c>
    </row>
    <row r="79" spans="11:12" x14ac:dyDescent="0.4">
      <c r="K79" s="38">
        <v>77</v>
      </c>
      <c r="L79" s="99">
        <v>-39.200000000000003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17.7</v>
      </c>
    </row>
    <row r="82" spans="11:12" x14ac:dyDescent="0.4">
      <c r="K82" s="38">
        <v>80</v>
      </c>
      <c r="L82" s="99">
        <v>-28.8</v>
      </c>
    </row>
    <row r="83" spans="11:12" x14ac:dyDescent="0.4">
      <c r="K83" s="38">
        <v>81</v>
      </c>
      <c r="L83" s="99">
        <v>0</v>
      </c>
    </row>
    <row r="84" spans="11:12" x14ac:dyDescent="0.4">
      <c r="K84" s="38">
        <v>82</v>
      </c>
      <c r="L84" s="99">
        <v>42.9</v>
      </c>
    </row>
    <row r="85" spans="11:12" x14ac:dyDescent="0.4">
      <c r="K85" s="38">
        <v>83</v>
      </c>
      <c r="L85" s="99">
        <v>-0.80000000000000426</v>
      </c>
    </row>
    <row r="86" spans="11:12" x14ac:dyDescent="0.4">
      <c r="K86" s="38">
        <v>84</v>
      </c>
      <c r="L86" s="99">
        <v>-4.2188474935755949E-15</v>
      </c>
    </row>
    <row r="87" spans="11:12" x14ac:dyDescent="0.4">
      <c r="K87" s="38">
        <v>85</v>
      </c>
      <c r="L87" s="99">
        <v>-58.000000000000007</v>
      </c>
    </row>
    <row r="88" spans="11:12" x14ac:dyDescent="0.4">
      <c r="K88" s="38">
        <v>86</v>
      </c>
      <c r="L88" s="99">
        <v>-7.1054273576010019E-15</v>
      </c>
    </row>
    <row r="89" spans="11:12" x14ac:dyDescent="0.4">
      <c r="K89" s="38">
        <v>87</v>
      </c>
      <c r="L89" s="99">
        <v>-7.1054273576010019E-15</v>
      </c>
    </row>
    <row r="90" spans="11:12" x14ac:dyDescent="0.4">
      <c r="K90" s="38">
        <v>88</v>
      </c>
      <c r="L90" s="99">
        <v>-26.400000000000006</v>
      </c>
    </row>
    <row r="91" spans="11:12" x14ac:dyDescent="0.4">
      <c r="K91" s="38">
        <v>89</v>
      </c>
      <c r="L91" s="99">
        <v>-26.900000000000006</v>
      </c>
    </row>
    <row r="92" spans="11:12" x14ac:dyDescent="0.4">
      <c r="K92" s="38">
        <v>90</v>
      </c>
      <c r="L92" s="99">
        <v>-7.1054273576010019E-15</v>
      </c>
    </row>
    <row r="93" spans="11:12" x14ac:dyDescent="0.4">
      <c r="K93" s="38">
        <v>91</v>
      </c>
      <c r="L93" s="99">
        <v>-34.900000000000006</v>
      </c>
    </row>
    <row r="94" spans="11:12" x14ac:dyDescent="0.4">
      <c r="K94" s="38">
        <v>92</v>
      </c>
      <c r="L94" s="99">
        <v>-8.100000000000005</v>
      </c>
    </row>
    <row r="95" spans="11:12" x14ac:dyDescent="0.4">
      <c r="K95" s="38">
        <v>93</v>
      </c>
      <c r="L95" s="99">
        <v>-5.3290705182007514E-15</v>
      </c>
    </row>
    <row r="96" spans="11:12" x14ac:dyDescent="0.4">
      <c r="K96" s="38">
        <v>94</v>
      </c>
      <c r="L96" s="99">
        <v>34.29999999999999</v>
      </c>
    </row>
    <row r="97" spans="11:12" x14ac:dyDescent="0.4">
      <c r="K97" s="38">
        <v>95</v>
      </c>
      <c r="L97" s="99">
        <v>31.499999999999989</v>
      </c>
    </row>
    <row r="98" spans="11:12" x14ac:dyDescent="0.4">
      <c r="K98" s="38">
        <v>96</v>
      </c>
      <c r="L98" s="99">
        <v>-1.0658141036401503E-14</v>
      </c>
    </row>
  </sheetData>
  <sortState xmlns:xlrd2="http://schemas.microsoft.com/office/spreadsheetml/2017/richdata2"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49C229-444A-4C61-99A0-E0AB83F79FF0}">
  <sheetPr codeName="Sheet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167</v>
      </c>
      <c r="C1" s="151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2">
        <v>11</v>
      </c>
      <c r="C2" s="153"/>
      <c r="E2" s="62" t="s">
        <v>67</v>
      </c>
      <c r="F2" s="59" t="s">
        <v>23</v>
      </c>
      <c r="G2" s="46">
        <v>16</v>
      </c>
      <c r="H2" s="132">
        <f>IF(B$17=0,0,G2/B$17)</f>
        <v>0.64</v>
      </c>
      <c r="I2" s="93">
        <v>7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-4472.727272727273</v>
      </c>
      <c r="P2" s="118">
        <v>11</v>
      </c>
      <c r="Q2" s="102">
        <v>-49200</v>
      </c>
    </row>
    <row r="3" spans="1:17" x14ac:dyDescent="0.4">
      <c r="A3" s="55" t="s">
        <v>8</v>
      </c>
      <c r="B3" s="154">
        <v>102</v>
      </c>
      <c r="C3" s="155"/>
      <c r="E3" s="63" t="s">
        <v>73</v>
      </c>
      <c r="F3" s="60" t="s">
        <v>28</v>
      </c>
      <c r="G3" s="47">
        <v>13</v>
      </c>
      <c r="H3" s="133">
        <f>IF(B$17=0,0,G3/B$17)</f>
        <v>0.52</v>
      </c>
      <c r="I3" s="94">
        <v>7</v>
      </c>
      <c r="K3" s="38">
        <v>1</v>
      </c>
      <c r="L3" s="99">
        <v>-4.5999999999999996</v>
      </c>
      <c r="N3" s="115" t="s">
        <v>132</v>
      </c>
      <c r="O3" s="122">
        <f t="shared" si="0"/>
        <v>1063.6363636363637</v>
      </c>
      <c r="P3" s="119">
        <v>11</v>
      </c>
      <c r="Q3" s="103">
        <v>11700</v>
      </c>
    </row>
    <row r="4" spans="1:17" x14ac:dyDescent="0.4">
      <c r="A4" s="55" t="s">
        <v>6</v>
      </c>
      <c r="B4" s="156">
        <v>-35.5</v>
      </c>
      <c r="C4" s="157"/>
      <c r="E4" s="63" t="s">
        <v>65</v>
      </c>
      <c r="F4" s="60" t="s">
        <v>21</v>
      </c>
      <c r="G4" s="47">
        <v>12</v>
      </c>
      <c r="H4" s="133">
        <f>IF(B$17=0,0,G4/B$17)</f>
        <v>0.48</v>
      </c>
      <c r="I4" s="94">
        <v>5</v>
      </c>
      <c r="K4" s="38">
        <v>2</v>
      </c>
      <c r="L4" s="99">
        <v>19.899999999999999</v>
      </c>
      <c r="N4" s="115" t="s">
        <v>133</v>
      </c>
      <c r="O4" s="122">
        <f t="shared" si="0"/>
        <v>1109.090909090909</v>
      </c>
      <c r="P4" s="119">
        <v>11</v>
      </c>
      <c r="Q4" s="103">
        <v>12200</v>
      </c>
    </row>
    <row r="5" spans="1:17" x14ac:dyDescent="0.4">
      <c r="A5" s="55" t="s">
        <v>7</v>
      </c>
      <c r="B5" s="158">
        <f>IF(B$2=0,0,B$4/B$2)</f>
        <v>-3.2272727272727271</v>
      </c>
      <c r="C5" s="159"/>
      <c r="E5" s="63" t="s">
        <v>172</v>
      </c>
      <c r="F5" s="60" t="s">
        <v>173</v>
      </c>
      <c r="G5" s="47">
        <v>11</v>
      </c>
      <c r="H5" s="133">
        <f>IF(B$17=0,0,G5/B$17)</f>
        <v>0.44</v>
      </c>
      <c r="I5" s="94">
        <v>2</v>
      </c>
      <c r="K5" s="38">
        <v>3</v>
      </c>
      <c r="L5" s="99">
        <v>-8.3000000000000007</v>
      </c>
      <c r="N5" s="115" t="s">
        <v>134</v>
      </c>
      <c r="O5" s="122">
        <f t="shared" si="0"/>
        <v>-1290.909090909091</v>
      </c>
      <c r="P5" s="119">
        <v>11</v>
      </c>
      <c r="Q5" s="103">
        <v>-14200</v>
      </c>
    </row>
    <row r="6" spans="1:17" x14ac:dyDescent="0.4">
      <c r="A6" s="55" t="s">
        <v>1</v>
      </c>
      <c r="B6" s="148">
        <f>IF(B$2=0,0,(B$7*1+B$8*2+B$9*3)/B$2)</f>
        <v>1.9090909090909092</v>
      </c>
      <c r="C6" s="149"/>
      <c r="E6" s="63" t="s">
        <v>69</v>
      </c>
      <c r="F6" s="60" t="s">
        <v>12</v>
      </c>
      <c r="G6" s="47">
        <v>8</v>
      </c>
      <c r="H6" s="133">
        <f>IF(B$17=0,0,G6/B$17)</f>
        <v>0.32</v>
      </c>
      <c r="I6" s="94">
        <v>3</v>
      </c>
      <c r="K6" s="38">
        <v>4</v>
      </c>
      <c r="L6" s="99">
        <v>-30.7</v>
      </c>
      <c r="N6" s="115" t="s">
        <v>135</v>
      </c>
      <c r="O6" s="122">
        <f t="shared" si="0"/>
        <v>-581.81818181818187</v>
      </c>
      <c r="P6" s="119">
        <v>11</v>
      </c>
      <c r="Q6" s="103">
        <v>-6400</v>
      </c>
    </row>
    <row r="7" spans="1:17" x14ac:dyDescent="0.4">
      <c r="A7" s="55" t="s">
        <v>2</v>
      </c>
      <c r="B7" s="47">
        <v>4</v>
      </c>
      <c r="C7" s="39">
        <f t="shared" ref="C7:C12" si="1">IF(B$2=0,0,B7/B$2)</f>
        <v>0.36363636363636365</v>
      </c>
      <c r="E7" s="63" t="s">
        <v>70</v>
      </c>
      <c r="F7" s="60" t="s">
        <v>25</v>
      </c>
      <c r="G7" s="47">
        <v>7</v>
      </c>
      <c r="H7" s="133">
        <f>IF(B$17=0,0,G7/B$17)</f>
        <v>0.28000000000000003</v>
      </c>
      <c r="I7" s="94">
        <v>2</v>
      </c>
      <c r="K7" s="38">
        <v>5</v>
      </c>
      <c r="L7" s="99">
        <v>-55.8</v>
      </c>
      <c r="N7" s="116" t="s">
        <v>136</v>
      </c>
      <c r="O7" s="123">
        <f t="shared" si="0"/>
        <v>-562.5</v>
      </c>
      <c r="P7" s="120">
        <v>8</v>
      </c>
      <c r="Q7" s="104">
        <v>-4500</v>
      </c>
    </row>
    <row r="8" spans="1:17" x14ac:dyDescent="0.4">
      <c r="A8" s="55" t="s">
        <v>3</v>
      </c>
      <c r="B8" s="47">
        <v>4</v>
      </c>
      <c r="C8" s="39">
        <f t="shared" si="1"/>
        <v>0.36363636363636365</v>
      </c>
      <c r="E8" s="63" t="s">
        <v>68</v>
      </c>
      <c r="F8" s="60" t="s">
        <v>24</v>
      </c>
      <c r="G8" s="47">
        <v>6</v>
      </c>
      <c r="H8" s="133">
        <f>IF(B$17=0,0,G8/B$17)</f>
        <v>0.24</v>
      </c>
      <c r="I8" s="94">
        <v>10</v>
      </c>
      <c r="K8" s="38">
        <v>6</v>
      </c>
      <c r="L8" s="99">
        <v>-40.799999999999997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3</v>
      </c>
      <c r="C9" s="40">
        <f t="shared" si="1"/>
        <v>0.27272727272727271</v>
      </c>
      <c r="E9" s="63" t="s">
        <v>66</v>
      </c>
      <c r="F9" s="60" t="s">
        <v>22</v>
      </c>
      <c r="G9" s="47">
        <v>5</v>
      </c>
      <c r="H9" s="133">
        <f>IF(B$17=0,0,G9/B$17)</f>
        <v>0.2</v>
      </c>
      <c r="I9" s="94">
        <v>3</v>
      </c>
      <c r="K9" s="38">
        <v>7</v>
      </c>
      <c r="L9" s="99">
        <v>-71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0</v>
      </c>
      <c r="C10" s="40">
        <f t="shared" si="1"/>
        <v>0</v>
      </c>
      <c r="E10" s="63" t="s">
        <v>71</v>
      </c>
      <c r="F10" s="60" t="s">
        <v>26</v>
      </c>
      <c r="G10" s="47">
        <v>4</v>
      </c>
      <c r="H10" s="133">
        <f>IF(B$17=0,0,G10/B$17)</f>
        <v>0.16</v>
      </c>
      <c r="I10" s="94">
        <v>2</v>
      </c>
      <c r="K10" s="38">
        <v>8</v>
      </c>
      <c r="L10" s="99">
        <v>-76.900000000000006</v>
      </c>
      <c r="N10" s="114" t="s">
        <v>163</v>
      </c>
      <c r="O10" s="124">
        <f>IF(P10=0,0,Q10/P10)</f>
        <v>-4.7</v>
      </c>
      <c r="P10" s="118">
        <v>4</v>
      </c>
      <c r="Q10" s="106">
        <v>-18.8</v>
      </c>
    </row>
    <row r="11" spans="1:17" x14ac:dyDescent="0.4">
      <c r="A11" s="56" t="s">
        <v>139</v>
      </c>
      <c r="B11" s="48">
        <v>0</v>
      </c>
      <c r="C11" s="40">
        <f t="shared" si="1"/>
        <v>0</v>
      </c>
      <c r="E11" s="63" t="s">
        <v>72</v>
      </c>
      <c r="F11" s="60" t="s">
        <v>27</v>
      </c>
      <c r="G11" s="47">
        <v>4</v>
      </c>
      <c r="H11" s="133">
        <f>IF(B$17=0,0,G11/B$17)</f>
        <v>0.16</v>
      </c>
      <c r="I11" s="94">
        <v>2</v>
      </c>
      <c r="K11" s="38">
        <v>9</v>
      </c>
      <c r="L11" s="99">
        <v>-59.500000000000007</v>
      </c>
      <c r="N11" s="115" t="s">
        <v>164</v>
      </c>
      <c r="O11" s="125">
        <f>IF(P11=0,0,Q11/P11)</f>
        <v>-26.299999999999997</v>
      </c>
      <c r="P11" s="119">
        <v>2</v>
      </c>
      <c r="Q11" s="107">
        <v>-52.599999999999994</v>
      </c>
    </row>
    <row r="12" spans="1:17" x14ac:dyDescent="0.4">
      <c r="A12" s="57" t="s">
        <v>159</v>
      </c>
      <c r="B12" s="49">
        <v>2</v>
      </c>
      <c r="C12" s="42">
        <f t="shared" si="1"/>
        <v>0.18181818181818182</v>
      </c>
      <c r="E12" s="63" t="s">
        <v>84</v>
      </c>
      <c r="F12" s="60" t="s">
        <v>39</v>
      </c>
      <c r="G12" s="47">
        <v>2</v>
      </c>
      <c r="H12" s="133">
        <f>IF(B$17=0,0,G12/B$17)</f>
        <v>0.08</v>
      </c>
      <c r="I12" s="94">
        <v>3</v>
      </c>
      <c r="K12" s="38">
        <v>10</v>
      </c>
      <c r="L12" s="99">
        <v>-32.700000000000003</v>
      </c>
      <c r="N12" s="116" t="s">
        <v>165</v>
      </c>
      <c r="O12" s="126">
        <f>IF(P12=0,0,Q12/P12)</f>
        <v>7.18</v>
      </c>
      <c r="P12" s="120">
        <v>5</v>
      </c>
      <c r="Q12" s="108">
        <v>35.9</v>
      </c>
    </row>
    <row r="13" spans="1:17" x14ac:dyDescent="0.4">
      <c r="A13" s="58" t="s">
        <v>122</v>
      </c>
      <c r="B13" s="50">
        <v>23</v>
      </c>
      <c r="C13" s="44">
        <f>IF(B$3=0,0,B13/B$3)</f>
        <v>0.22549019607843138</v>
      </c>
      <c r="E13" s="63" t="s">
        <v>82</v>
      </c>
      <c r="F13" s="60" t="s">
        <v>37</v>
      </c>
      <c r="G13" s="47">
        <v>1</v>
      </c>
      <c r="H13" s="133">
        <f>IF(B$17=0,0,G13/B$17)</f>
        <v>0.04</v>
      </c>
      <c r="I13" s="94">
        <v>2</v>
      </c>
      <c r="K13" s="38">
        <v>11</v>
      </c>
      <c r="L13" s="99">
        <v>-35.5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28</v>
      </c>
      <c r="C14" s="39">
        <f>IF(B$3=0,0,B14/B$3)</f>
        <v>0.27450980392156865</v>
      </c>
      <c r="E14" s="63" t="s">
        <v>89</v>
      </c>
      <c r="F14" s="60" t="s">
        <v>44</v>
      </c>
      <c r="G14" s="47">
        <v>1</v>
      </c>
      <c r="H14" s="133">
        <f>IF(B$17=0,0,G14/B$17)</f>
        <v>0.04</v>
      </c>
      <c r="I14" s="94">
        <v>1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13</v>
      </c>
      <c r="C15" s="37">
        <f>IF(B$13=0,0,B15/B$13)</f>
        <v>0.56521739130434778</v>
      </c>
      <c r="E15" s="63" t="s">
        <v>90</v>
      </c>
      <c r="F15" s="60" t="s">
        <v>45</v>
      </c>
      <c r="G15" s="47">
        <v>1</v>
      </c>
      <c r="H15" s="133">
        <f>IF(B$17=0,0,G15/B$17)</f>
        <v>0.04</v>
      </c>
      <c r="I15" s="94">
        <v>9</v>
      </c>
      <c r="N15" s="114" t="s">
        <v>179</v>
      </c>
      <c r="O15" s="124">
        <f>IF(P15=0,0,Q15/P15)</f>
        <v>16.399999999999999</v>
      </c>
      <c r="P15" s="118">
        <v>1</v>
      </c>
      <c r="Q15" s="106">
        <v>16.399999999999999</v>
      </c>
    </row>
    <row r="16" spans="1:17" x14ac:dyDescent="0.4">
      <c r="A16" s="54" t="s">
        <v>125</v>
      </c>
      <c r="B16" s="46">
        <v>7</v>
      </c>
      <c r="C16" s="37">
        <f>IF(B$14=0,0,B16/B$14)</f>
        <v>0.25</v>
      </c>
      <c r="E16" s="63" t="s">
        <v>74</v>
      </c>
      <c r="F16" s="60" t="s">
        <v>29</v>
      </c>
      <c r="G16" s="47">
        <v>0</v>
      </c>
      <c r="H16" s="133">
        <f>IF(B$17=0,0,G16/B$17)</f>
        <v>0</v>
      </c>
      <c r="I16" s="94">
        <v>1</v>
      </c>
      <c r="N16" s="115" t="s">
        <v>128</v>
      </c>
      <c r="O16" s="125">
        <f>IF(P16=0,0,Q16/P16)</f>
        <v>1.7100000000000002</v>
      </c>
      <c r="P16" s="119">
        <v>10</v>
      </c>
      <c r="Q16" s="107">
        <v>17.100000000000001</v>
      </c>
    </row>
    <row r="17" spans="1:17" x14ac:dyDescent="0.4">
      <c r="A17" s="54" t="s">
        <v>10</v>
      </c>
      <c r="B17" s="46">
        <f>B19+B18</f>
        <v>25</v>
      </c>
      <c r="C17" s="37">
        <f>IF(B$3=0,0,B17/B$3)</f>
        <v>0.24509803921568626</v>
      </c>
      <c r="E17" s="63" t="s">
        <v>75</v>
      </c>
      <c r="F17" s="60" t="s">
        <v>30</v>
      </c>
      <c r="G17" s="47">
        <v>0</v>
      </c>
      <c r="H17" s="133">
        <f>IF(B$17=0,0,G17/B$17)</f>
        <v>0</v>
      </c>
      <c r="I17" s="94">
        <v>1</v>
      </c>
      <c r="N17" s="115" t="s">
        <v>127</v>
      </c>
      <c r="O17" s="125">
        <f>IF(P17=0,0,Q17/P17)</f>
        <v>-10.410000000000002</v>
      </c>
      <c r="P17" s="119">
        <v>10</v>
      </c>
      <c r="Q17" s="107">
        <v>-104.10000000000002</v>
      </c>
    </row>
    <row r="18" spans="1:17" x14ac:dyDescent="0.4">
      <c r="A18" s="55" t="s">
        <v>12</v>
      </c>
      <c r="B18" s="47">
        <v>12</v>
      </c>
      <c r="C18" s="39">
        <f>IF(B$17=0,0,B18/B$17)</f>
        <v>0.48</v>
      </c>
      <c r="E18" s="63" t="s">
        <v>76</v>
      </c>
      <c r="F18" s="60" t="s">
        <v>31</v>
      </c>
      <c r="G18" s="47">
        <v>0</v>
      </c>
      <c r="H18" s="133">
        <f>IF(B$17=0,0,G18/B$17)</f>
        <v>0</v>
      </c>
      <c r="I18" s="94">
        <v>1</v>
      </c>
      <c r="N18" s="115" t="s">
        <v>180</v>
      </c>
      <c r="O18" s="125">
        <f>IF(P18=0,0,Q18/P18)</f>
        <v>-35.9</v>
      </c>
      <c r="P18" s="119">
        <v>1</v>
      </c>
      <c r="Q18" s="107">
        <v>-35.9</v>
      </c>
    </row>
    <row r="19" spans="1:17" x14ac:dyDescent="0.4">
      <c r="A19" s="55" t="s">
        <v>11</v>
      </c>
      <c r="B19" s="47">
        <v>13</v>
      </c>
      <c r="C19" s="39">
        <f>IF(B$17=0,0,B19/B$17)</f>
        <v>0.52</v>
      </c>
      <c r="E19" s="63" t="s">
        <v>77</v>
      </c>
      <c r="F19" s="60" t="s">
        <v>32</v>
      </c>
      <c r="G19" s="47">
        <v>0</v>
      </c>
      <c r="H19" s="133">
        <f>IF(B$17=0,0,G19/B$17)</f>
        <v>0</v>
      </c>
      <c r="I19" s="94">
        <v>1</v>
      </c>
    </row>
    <row r="20" spans="1:17" x14ac:dyDescent="0.4">
      <c r="A20" s="55" t="s">
        <v>13</v>
      </c>
      <c r="B20" s="47">
        <v>18</v>
      </c>
      <c r="C20" s="39">
        <f>IF(B$3=0,0,B20/B$3)</f>
        <v>0.17647058823529413</v>
      </c>
      <c r="E20" s="63" t="s">
        <v>78</v>
      </c>
      <c r="F20" s="60" t="s">
        <v>33</v>
      </c>
      <c r="G20" s="47">
        <v>0</v>
      </c>
      <c r="H20" s="133">
        <f>IF(B$17=0,0,G20/B$17)</f>
        <v>0</v>
      </c>
      <c r="I20" s="94">
        <v>3</v>
      </c>
    </row>
    <row r="21" spans="1:17" x14ac:dyDescent="0.4">
      <c r="A21" s="55" t="s">
        <v>170</v>
      </c>
      <c r="B21" s="47">
        <v>4</v>
      </c>
      <c r="C21" s="135">
        <v>0</v>
      </c>
      <c r="E21" s="63" t="s">
        <v>79</v>
      </c>
      <c r="F21" s="60" t="s">
        <v>34</v>
      </c>
      <c r="G21" s="47">
        <v>0</v>
      </c>
      <c r="H21" s="133">
        <f>IF(B$17=0,0,G21/B$17)</f>
        <v>0</v>
      </c>
      <c r="I21" s="94">
        <v>7</v>
      </c>
    </row>
    <row r="22" spans="1:17" x14ac:dyDescent="0.4">
      <c r="A22" s="55" t="s">
        <v>171</v>
      </c>
      <c r="B22" s="47">
        <v>17</v>
      </c>
      <c r="C22" s="135">
        <v>8</v>
      </c>
      <c r="E22" s="63" t="s">
        <v>80</v>
      </c>
      <c r="F22" s="60" t="s">
        <v>35</v>
      </c>
      <c r="G22" s="47">
        <v>0</v>
      </c>
      <c r="H22" s="133">
        <f>IF(B$17=0,0,G22/B$17)</f>
        <v>0</v>
      </c>
      <c r="I22" s="94">
        <v>5</v>
      </c>
    </row>
    <row r="23" spans="1:17" x14ac:dyDescent="0.4">
      <c r="A23" s="55" t="s">
        <v>5</v>
      </c>
      <c r="B23" s="51">
        <f>IF(B$17=0,0,C23/B$17)</f>
        <v>7568</v>
      </c>
      <c r="C23" s="41">
        <v>189200</v>
      </c>
      <c r="E23" s="63" t="s">
        <v>81</v>
      </c>
      <c r="F23" s="60" t="s">
        <v>36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-7277.7777777777774</v>
      </c>
      <c r="C24" s="45">
        <v>-131000</v>
      </c>
      <c r="E24" s="63" t="s">
        <v>83</v>
      </c>
      <c r="F24" s="60" t="s">
        <v>38</v>
      </c>
      <c r="G24" s="47">
        <v>0</v>
      </c>
      <c r="H24" s="133">
        <f>IF(B$17=0,0,G24/B$17)</f>
        <v>0</v>
      </c>
      <c r="I24" s="94">
        <v>1</v>
      </c>
    </row>
    <row r="25" spans="1:17" x14ac:dyDescent="0.4">
      <c r="A25" s="90" t="s">
        <v>141</v>
      </c>
      <c r="B25" s="146">
        <v>3</v>
      </c>
      <c r="C25" s="147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151</v>
      </c>
      <c r="B26" s="144">
        <v>51800</v>
      </c>
      <c r="C26" s="145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142</v>
      </c>
      <c r="B27" s="65">
        <v>1</v>
      </c>
      <c r="C27" s="42">
        <f>IF(B$3=0,0,B27/B$3)</f>
        <v>9.8039215686274508E-3</v>
      </c>
      <c r="E27" s="63" t="s">
        <v>87</v>
      </c>
      <c r="F27" s="60" t="s">
        <v>42</v>
      </c>
      <c r="G27" s="47">
        <v>0</v>
      </c>
      <c r="H27" s="133">
        <f>IF(B$17=0,0,G27/B$17)</f>
        <v>0</v>
      </c>
      <c r="I27" s="94">
        <v>5</v>
      </c>
    </row>
    <row r="28" spans="1:17" x14ac:dyDescent="0.4">
      <c r="E28" s="63" t="s">
        <v>88</v>
      </c>
      <c r="F28" s="60" t="s">
        <v>43</v>
      </c>
      <c r="G28" s="47">
        <v>0</v>
      </c>
      <c r="H28" s="133">
        <f>IF(B$17=0,0,G28/B$17)</f>
        <v>0</v>
      </c>
      <c r="I28" s="94">
        <v>3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5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4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168</v>
      </c>
      <c r="F51" s="137" t="s">
        <v>169</v>
      </c>
      <c r="G51" s="48">
        <v>0</v>
      </c>
      <c r="H51" s="138">
        <f>IF(B$17=0,0,G51/B$17)</f>
        <v>0</v>
      </c>
      <c r="I51" s="139">
        <v>3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DD9A9-F6B3-4DAF-8E82-0EC2A249DB19}">
  <sheetPr codeName="Sheet9"/>
  <dimension ref="A1:Q52"/>
  <sheetViews>
    <sheetView showGridLines="0" zoomScaleNormal="100" workbookViewId="0">
      <selection activeCell="B8" sqref="B8"/>
    </sheetView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127</v>
      </c>
      <c r="C1" s="151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2">
        <v>26</v>
      </c>
      <c r="C2" s="153"/>
      <c r="E2" s="62" t="s">
        <v>67</v>
      </c>
      <c r="F2" s="59" t="s">
        <v>23</v>
      </c>
      <c r="G2" s="46">
        <v>41</v>
      </c>
      <c r="H2" s="132">
        <f>IF(B$17=0,0,G2/B$17)</f>
        <v>0.48809523809523808</v>
      </c>
      <c r="I2" s="93">
        <v>8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-1188.4615384615386</v>
      </c>
      <c r="P2" s="118">
        <v>26</v>
      </c>
      <c r="Q2" s="102">
        <v>-30900</v>
      </c>
    </row>
    <row r="3" spans="1:17" x14ac:dyDescent="0.4">
      <c r="A3" s="55" t="s">
        <v>8</v>
      </c>
      <c r="B3" s="154">
        <v>224</v>
      </c>
      <c r="C3" s="155"/>
      <c r="E3" s="63" t="s">
        <v>73</v>
      </c>
      <c r="F3" s="60" t="s">
        <v>28</v>
      </c>
      <c r="G3" s="47">
        <v>40</v>
      </c>
      <c r="H3" s="133">
        <f>IF(B$17=0,0,G3/B$17)</f>
        <v>0.47619047619047616</v>
      </c>
      <c r="I3" s="94">
        <v>8</v>
      </c>
      <c r="K3" s="38">
        <v>1</v>
      </c>
      <c r="L3" s="99">
        <v>50.2</v>
      </c>
      <c r="N3" s="115" t="s">
        <v>132</v>
      </c>
      <c r="O3" s="122">
        <f t="shared" si="0"/>
        <v>-154.16666666666666</v>
      </c>
      <c r="P3" s="119">
        <v>24</v>
      </c>
      <c r="Q3" s="103">
        <v>-3700</v>
      </c>
    </row>
    <row r="4" spans="1:17" x14ac:dyDescent="0.4">
      <c r="A4" s="55" t="s">
        <v>6</v>
      </c>
      <c r="B4" s="156">
        <v>329.29999999999995</v>
      </c>
      <c r="C4" s="157"/>
      <c r="E4" s="63" t="s">
        <v>65</v>
      </c>
      <c r="F4" s="60" t="s">
        <v>21</v>
      </c>
      <c r="G4" s="47">
        <v>34</v>
      </c>
      <c r="H4" s="133">
        <f>IF(B$17=0,0,G4/B$17)</f>
        <v>0.40476190476190477</v>
      </c>
      <c r="I4" s="94">
        <v>7</v>
      </c>
      <c r="K4" s="38">
        <v>2</v>
      </c>
      <c r="L4" s="99">
        <v>14.400000000000006</v>
      </c>
      <c r="N4" s="115" t="s">
        <v>133</v>
      </c>
      <c r="O4" s="122">
        <f t="shared" si="0"/>
        <v>-175</v>
      </c>
      <c r="P4" s="119">
        <v>24</v>
      </c>
      <c r="Q4" s="103">
        <v>-4200</v>
      </c>
    </row>
    <row r="5" spans="1:17" x14ac:dyDescent="0.4">
      <c r="A5" s="55" t="s">
        <v>7</v>
      </c>
      <c r="B5" s="158">
        <f>IF(B$2=0,0,B$4/B$2)</f>
        <v>12.665384615384614</v>
      </c>
      <c r="C5" s="159"/>
      <c r="E5" s="63" t="s">
        <v>68</v>
      </c>
      <c r="F5" s="60" t="s">
        <v>24</v>
      </c>
      <c r="G5" s="47">
        <v>24</v>
      </c>
      <c r="H5" s="133">
        <f>IF(B$17=0,0,G5/B$17)</f>
        <v>0.2857142857142857</v>
      </c>
      <c r="I5" s="94">
        <v>5</v>
      </c>
      <c r="K5" s="38">
        <v>3</v>
      </c>
      <c r="L5" s="99">
        <v>40.400000000000006</v>
      </c>
      <c r="N5" s="115" t="s">
        <v>134</v>
      </c>
      <c r="O5" s="122">
        <f t="shared" si="0"/>
        <v>-216.66666666666666</v>
      </c>
      <c r="P5" s="119">
        <v>24</v>
      </c>
      <c r="Q5" s="103">
        <v>-5200</v>
      </c>
    </row>
    <row r="6" spans="1:17" x14ac:dyDescent="0.4">
      <c r="A6" s="55" t="s">
        <v>1</v>
      </c>
      <c r="B6" s="148">
        <f>IF(B$2=0,0,(B$7*1+B$8*2+B$9*3)/B$2)</f>
        <v>1.6538461538461537</v>
      </c>
      <c r="C6" s="149"/>
      <c r="E6" s="63" t="s">
        <v>172</v>
      </c>
      <c r="F6" s="60" t="s">
        <v>173</v>
      </c>
      <c r="G6" s="47">
        <v>24</v>
      </c>
      <c r="H6" s="133">
        <f>IF(B$17=0,0,G6/B$17)</f>
        <v>0.2857142857142857</v>
      </c>
      <c r="I6" s="94">
        <v>7</v>
      </c>
      <c r="K6" s="38">
        <v>4</v>
      </c>
      <c r="L6" s="99">
        <v>101.60000000000001</v>
      </c>
      <c r="N6" s="115" t="s">
        <v>135</v>
      </c>
      <c r="O6" s="122">
        <f t="shared" si="0"/>
        <v>7209.090909090909</v>
      </c>
      <c r="P6" s="119">
        <v>22</v>
      </c>
      <c r="Q6" s="103">
        <v>158600</v>
      </c>
    </row>
    <row r="7" spans="1:17" x14ac:dyDescent="0.4">
      <c r="A7" s="55" t="s">
        <v>2</v>
      </c>
      <c r="B7" s="47">
        <v>15</v>
      </c>
      <c r="C7" s="39">
        <f t="shared" ref="C7:C12" si="1">IF(B$2=0,0,B7/B$2)</f>
        <v>0.57692307692307687</v>
      </c>
      <c r="E7" s="63" t="s">
        <v>69</v>
      </c>
      <c r="F7" s="60" t="s">
        <v>12</v>
      </c>
      <c r="G7" s="47">
        <v>23</v>
      </c>
      <c r="H7" s="133">
        <f>IF(B$17=0,0,G7/B$17)</f>
        <v>0.27380952380952384</v>
      </c>
      <c r="I7" s="94">
        <v>4</v>
      </c>
      <c r="K7" s="38">
        <v>5</v>
      </c>
      <c r="L7" s="99">
        <v>99.9</v>
      </c>
      <c r="N7" s="116" t="s">
        <v>136</v>
      </c>
      <c r="O7" s="123">
        <f t="shared" si="0"/>
        <v>6472.2222222222226</v>
      </c>
      <c r="P7" s="120">
        <v>18</v>
      </c>
      <c r="Q7" s="104">
        <v>116500</v>
      </c>
    </row>
    <row r="8" spans="1:17" x14ac:dyDescent="0.4">
      <c r="A8" s="55" t="s">
        <v>3</v>
      </c>
      <c r="B8" s="47">
        <v>5</v>
      </c>
      <c r="C8" s="39">
        <f t="shared" si="1"/>
        <v>0.19230769230769232</v>
      </c>
      <c r="E8" s="63" t="s">
        <v>70</v>
      </c>
      <c r="F8" s="60" t="s">
        <v>25</v>
      </c>
      <c r="G8" s="47">
        <v>12</v>
      </c>
      <c r="H8" s="133">
        <f>IF(B$17=0,0,G8/B$17)</f>
        <v>0.14285714285714285</v>
      </c>
      <c r="I8" s="94">
        <v>5</v>
      </c>
      <c r="K8" s="38">
        <v>6</v>
      </c>
      <c r="L8" s="99">
        <v>85.5</v>
      </c>
      <c r="N8" s="43"/>
      <c r="O8" s="127"/>
      <c r="P8" s="111"/>
      <c r="Q8" s="109"/>
    </row>
    <row r="9" spans="1:17" x14ac:dyDescent="0.4">
      <c r="A9" s="56" t="s">
        <v>4</v>
      </c>
      <c r="B9" s="48">
        <v>6</v>
      </c>
      <c r="C9" s="40">
        <f t="shared" si="1"/>
        <v>0.23076923076923078</v>
      </c>
      <c r="E9" s="63" t="s">
        <v>90</v>
      </c>
      <c r="F9" s="60" t="s">
        <v>45</v>
      </c>
      <c r="G9" s="47">
        <v>11</v>
      </c>
      <c r="H9" s="133">
        <f>IF(B$17=0,0,G9/B$17)</f>
        <v>0.13095238095238096</v>
      </c>
      <c r="I9" s="94">
        <v>4</v>
      </c>
      <c r="K9" s="38">
        <v>7</v>
      </c>
      <c r="L9" s="99">
        <v>113.3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1</v>
      </c>
      <c r="C10" s="40">
        <f t="shared" si="1"/>
        <v>3.8461538461538464E-2</v>
      </c>
      <c r="E10" s="63" t="s">
        <v>66</v>
      </c>
      <c r="F10" s="60" t="s">
        <v>22</v>
      </c>
      <c r="G10" s="47">
        <v>7</v>
      </c>
      <c r="H10" s="133">
        <f>IF(B$17=0,0,G10/B$17)</f>
        <v>8.3333333333333329E-2</v>
      </c>
      <c r="I10" s="94">
        <v>8</v>
      </c>
      <c r="K10" s="38">
        <v>8</v>
      </c>
      <c r="L10" s="99">
        <v>148.1</v>
      </c>
      <c r="N10" s="114" t="s">
        <v>163</v>
      </c>
      <c r="O10" s="124">
        <f>IF(P10=0,0,Q10/P10)</f>
        <v>16.928571428571427</v>
      </c>
      <c r="P10" s="118">
        <v>7</v>
      </c>
      <c r="Q10" s="106">
        <v>118.5</v>
      </c>
    </row>
    <row r="11" spans="1:17" x14ac:dyDescent="0.4">
      <c r="A11" s="56" t="s">
        <v>139</v>
      </c>
      <c r="B11" s="48">
        <v>4</v>
      </c>
      <c r="C11" s="40">
        <f t="shared" si="1"/>
        <v>0.15384615384615385</v>
      </c>
      <c r="E11" s="63" t="s">
        <v>71</v>
      </c>
      <c r="F11" s="60" t="s">
        <v>26</v>
      </c>
      <c r="G11" s="47">
        <v>5</v>
      </c>
      <c r="H11" s="133">
        <f>IF(B$17=0,0,G11/B$17)</f>
        <v>5.9523809523809521E-2</v>
      </c>
      <c r="I11" s="94">
        <v>7</v>
      </c>
      <c r="K11" s="38">
        <v>9</v>
      </c>
      <c r="L11" s="99">
        <v>180.89999999999998</v>
      </c>
      <c r="N11" s="115" t="s">
        <v>164</v>
      </c>
      <c r="O11" s="125">
        <f>IF(P11=0,0,Q11/P11)</f>
        <v>11.61</v>
      </c>
      <c r="P11" s="119">
        <v>10</v>
      </c>
      <c r="Q11" s="107">
        <v>116.1</v>
      </c>
    </row>
    <row r="12" spans="1:17" x14ac:dyDescent="0.4">
      <c r="A12" s="57" t="s">
        <v>159</v>
      </c>
      <c r="B12" s="49">
        <v>4</v>
      </c>
      <c r="C12" s="42">
        <f t="shared" si="1"/>
        <v>0.15384615384615385</v>
      </c>
      <c r="E12" s="63" t="s">
        <v>72</v>
      </c>
      <c r="F12" s="60" t="s">
        <v>27</v>
      </c>
      <c r="G12" s="47">
        <v>5</v>
      </c>
      <c r="H12" s="133">
        <f>IF(B$17=0,0,G12/B$17)</f>
        <v>5.9523809523809521E-2</v>
      </c>
      <c r="I12" s="94">
        <v>6</v>
      </c>
      <c r="K12" s="38">
        <v>10</v>
      </c>
      <c r="L12" s="99">
        <v>158.19999999999999</v>
      </c>
      <c r="N12" s="116" t="s">
        <v>165</v>
      </c>
      <c r="O12" s="126">
        <f>IF(P12=0,0,Q12/P12)</f>
        <v>10.52222222222222</v>
      </c>
      <c r="P12" s="120">
        <v>9</v>
      </c>
      <c r="Q12" s="108">
        <v>94.699999999999989</v>
      </c>
    </row>
    <row r="13" spans="1:17" x14ac:dyDescent="0.4">
      <c r="A13" s="58" t="s">
        <v>122</v>
      </c>
      <c r="B13" s="50">
        <v>63</v>
      </c>
      <c r="C13" s="44">
        <f>IF(B$3=0,0,B13/B$3)</f>
        <v>0.28125</v>
      </c>
      <c r="E13" s="63" t="s">
        <v>87</v>
      </c>
      <c r="F13" s="60" t="s">
        <v>42</v>
      </c>
      <c r="G13" s="47">
        <v>4</v>
      </c>
      <c r="H13" s="133">
        <f>IF(B$17=0,0,G13/B$17)</f>
        <v>4.7619047619047616E-2</v>
      </c>
      <c r="I13" s="94">
        <v>2</v>
      </c>
      <c r="K13" s="38">
        <v>11</v>
      </c>
      <c r="L13" s="99">
        <v>185.2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55</v>
      </c>
      <c r="C14" s="39">
        <f>IF(B$3=0,0,B14/B$3)</f>
        <v>0.24553571428571427</v>
      </c>
      <c r="E14" s="63" t="s">
        <v>79</v>
      </c>
      <c r="F14" s="60" t="s">
        <v>34</v>
      </c>
      <c r="G14" s="47">
        <v>3</v>
      </c>
      <c r="H14" s="133">
        <f>IF(B$17=0,0,G14/B$17)</f>
        <v>3.5714285714285712E-2</v>
      </c>
      <c r="I14" s="94">
        <v>4</v>
      </c>
      <c r="K14" s="38">
        <v>12</v>
      </c>
      <c r="L14" s="99">
        <v>184.89999999999998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38</v>
      </c>
      <c r="C15" s="37">
        <f>IF(B$13=0,0,B15/B$13)</f>
        <v>0.60317460317460314</v>
      </c>
      <c r="E15" s="63" t="s">
        <v>168</v>
      </c>
      <c r="F15" s="60" t="s">
        <v>169</v>
      </c>
      <c r="G15" s="47">
        <v>3</v>
      </c>
      <c r="H15" s="133">
        <f>IF(B$17=0,0,G15/B$17)</f>
        <v>3.5714285714285712E-2</v>
      </c>
      <c r="I15" s="94">
        <v>1</v>
      </c>
      <c r="K15" s="38">
        <v>13</v>
      </c>
      <c r="L15" s="99">
        <v>206.39999999999998</v>
      </c>
      <c r="N15" s="114" t="s">
        <v>179</v>
      </c>
      <c r="O15" s="124">
        <f>IF(P15=0,0,Q15/P15)</f>
        <v>75.5</v>
      </c>
      <c r="P15" s="118">
        <v>2</v>
      </c>
      <c r="Q15" s="106">
        <v>151</v>
      </c>
    </row>
    <row r="16" spans="1:17" x14ac:dyDescent="0.4">
      <c r="A16" s="54" t="s">
        <v>125</v>
      </c>
      <c r="B16" s="46">
        <v>29</v>
      </c>
      <c r="C16" s="37">
        <f>IF(B$14=0,0,B16/B$14)</f>
        <v>0.52727272727272723</v>
      </c>
      <c r="E16" s="63" t="s">
        <v>78</v>
      </c>
      <c r="F16" s="60" t="s">
        <v>33</v>
      </c>
      <c r="G16" s="47">
        <v>2</v>
      </c>
      <c r="H16" s="133">
        <f>IF(B$17=0,0,G16/B$17)</f>
        <v>2.3809523809523808E-2</v>
      </c>
      <c r="I16" s="94">
        <v>1</v>
      </c>
      <c r="K16" s="38">
        <v>14</v>
      </c>
      <c r="L16" s="99">
        <v>240.09999999999997</v>
      </c>
      <c r="N16" s="115" t="s">
        <v>180</v>
      </c>
      <c r="O16" s="125">
        <f>IF(P16=0,0,Q16/P16)</f>
        <v>38.118181818181817</v>
      </c>
      <c r="P16" s="119">
        <v>11</v>
      </c>
      <c r="Q16" s="107">
        <v>419.3</v>
      </c>
    </row>
    <row r="17" spans="1:17" x14ac:dyDescent="0.4">
      <c r="A17" s="54" t="s">
        <v>10</v>
      </c>
      <c r="B17" s="46">
        <f>B19+B18</f>
        <v>84</v>
      </c>
      <c r="C17" s="37">
        <f>IF(B$3=0,0,B17/B$3)</f>
        <v>0.375</v>
      </c>
      <c r="E17" s="63" t="s">
        <v>84</v>
      </c>
      <c r="F17" s="60" t="s">
        <v>39</v>
      </c>
      <c r="G17" s="47">
        <v>2</v>
      </c>
      <c r="H17" s="133">
        <f>IF(B$17=0,0,G17/B$17)</f>
        <v>2.3809523809523808E-2</v>
      </c>
      <c r="I17" s="94">
        <v>7</v>
      </c>
      <c r="K17" s="38">
        <v>15</v>
      </c>
      <c r="L17" s="99">
        <v>269.49999999999994</v>
      </c>
      <c r="N17" s="115" t="s">
        <v>182</v>
      </c>
      <c r="O17" s="125">
        <f>IF(P17=0,0,Q17/P17)</f>
        <v>27.7</v>
      </c>
      <c r="P17" s="119">
        <v>1</v>
      </c>
      <c r="Q17" s="107">
        <v>27.7</v>
      </c>
    </row>
    <row r="18" spans="1:17" x14ac:dyDescent="0.4">
      <c r="A18" s="55" t="s">
        <v>12</v>
      </c>
      <c r="B18" s="47">
        <v>39</v>
      </c>
      <c r="C18" s="39">
        <f>IF(B$17=0,0,B18/B$17)</f>
        <v>0.4642857142857143</v>
      </c>
      <c r="E18" s="63" t="s">
        <v>85</v>
      </c>
      <c r="F18" s="60" t="s">
        <v>40</v>
      </c>
      <c r="G18" s="47">
        <v>2</v>
      </c>
      <c r="H18" s="133">
        <f>IF(B$17=0,0,G18/B$17)</f>
        <v>2.3809523809523808E-2</v>
      </c>
      <c r="I18" s="94">
        <v>1</v>
      </c>
      <c r="K18" s="38">
        <v>16</v>
      </c>
      <c r="L18" s="99">
        <v>323.69999999999993</v>
      </c>
      <c r="N18" s="115" t="s">
        <v>128</v>
      </c>
      <c r="O18" s="125">
        <f>IF(P18=0,0,Q18/P18)</f>
        <v>15.6</v>
      </c>
      <c r="P18" s="119">
        <v>24</v>
      </c>
      <c r="Q18" s="107">
        <v>374.4</v>
      </c>
    </row>
    <row r="19" spans="1:17" x14ac:dyDescent="0.4">
      <c r="A19" s="55" t="s">
        <v>11</v>
      </c>
      <c r="B19" s="47">
        <v>45</v>
      </c>
      <c r="C19" s="39">
        <f>IF(B$17=0,0,B19/B$17)</f>
        <v>0.5357142857142857</v>
      </c>
      <c r="E19" s="63" t="s">
        <v>93</v>
      </c>
      <c r="F19" s="60" t="s">
        <v>48</v>
      </c>
      <c r="G19" s="47">
        <v>2</v>
      </c>
      <c r="H19" s="133">
        <f>IF(B$17=0,0,G19/B$17)</f>
        <v>2.3809523809523808E-2</v>
      </c>
      <c r="I19" s="94">
        <v>2</v>
      </c>
      <c r="K19" s="38">
        <v>17</v>
      </c>
      <c r="L19" s="99">
        <v>359.09999999999991</v>
      </c>
      <c r="N19" s="115" t="s">
        <v>167</v>
      </c>
      <c r="O19" s="125">
        <f>IF(P19=0,0,Q19/P19)</f>
        <v>10.409999999999998</v>
      </c>
      <c r="P19" s="119">
        <v>10</v>
      </c>
      <c r="Q19" s="107">
        <v>104.09999999999998</v>
      </c>
    </row>
    <row r="20" spans="1:17" x14ac:dyDescent="0.4">
      <c r="A20" s="55" t="s">
        <v>13</v>
      </c>
      <c r="B20" s="47">
        <v>33</v>
      </c>
      <c r="C20" s="39">
        <f>IF(B$3=0,0,B20/B$3)</f>
        <v>0.14732142857142858</v>
      </c>
      <c r="E20" s="63" t="s">
        <v>82</v>
      </c>
      <c r="F20" s="60" t="s">
        <v>37</v>
      </c>
      <c r="G20" s="47">
        <v>1</v>
      </c>
      <c r="H20" s="133">
        <f>IF(B$17=0,0,G20/B$17)</f>
        <v>1.1904761904761904E-2</v>
      </c>
      <c r="I20" s="94">
        <v>5</v>
      </c>
      <c r="K20" s="38">
        <v>18</v>
      </c>
      <c r="L20" s="99">
        <v>352.39999999999992</v>
      </c>
      <c r="N20" s="115" t="s">
        <v>178</v>
      </c>
      <c r="O20" s="125">
        <f>IF(P20=0,0,Q20/P20)</f>
        <v>-22.15</v>
      </c>
      <c r="P20" s="119">
        <v>4</v>
      </c>
      <c r="Q20" s="107">
        <v>-88.6</v>
      </c>
    </row>
    <row r="21" spans="1:17" x14ac:dyDescent="0.4">
      <c r="A21" s="55" t="s">
        <v>170</v>
      </c>
      <c r="B21" s="47">
        <v>5</v>
      </c>
      <c r="C21" s="135">
        <v>3</v>
      </c>
      <c r="E21" s="63" t="s">
        <v>86</v>
      </c>
      <c r="F21" s="60" t="s">
        <v>41</v>
      </c>
      <c r="G21" s="47">
        <v>1</v>
      </c>
      <c r="H21" s="133">
        <f>IF(B$17=0,0,G21/B$17)</f>
        <v>1.1904761904761904E-2</v>
      </c>
      <c r="I21" s="94">
        <v>2</v>
      </c>
      <c r="K21" s="38">
        <v>19</v>
      </c>
      <c r="L21" s="99">
        <v>383.19999999999993</v>
      </c>
    </row>
    <row r="22" spans="1:17" x14ac:dyDescent="0.4">
      <c r="A22" s="55" t="s">
        <v>171</v>
      </c>
      <c r="B22" s="47">
        <v>27</v>
      </c>
      <c r="C22" s="135">
        <v>3</v>
      </c>
      <c r="E22" s="63" t="s">
        <v>89</v>
      </c>
      <c r="F22" s="60" t="s">
        <v>44</v>
      </c>
      <c r="G22" s="47">
        <v>1</v>
      </c>
      <c r="H22" s="133">
        <f>IF(B$17=0,0,G22/B$17)</f>
        <v>1.1904761904761904E-2</v>
      </c>
      <c r="I22" s="94">
        <v>2</v>
      </c>
      <c r="K22" s="38">
        <v>20</v>
      </c>
      <c r="L22" s="99">
        <v>365.49999999999994</v>
      </c>
    </row>
    <row r="23" spans="1:17" x14ac:dyDescent="0.4">
      <c r="A23" s="55" t="s">
        <v>5</v>
      </c>
      <c r="B23" s="51">
        <f>IF(B$17=0,0,C23/B$17)</f>
        <v>8077.3809523809523</v>
      </c>
      <c r="C23" s="41">
        <v>678500</v>
      </c>
      <c r="E23" s="63" t="s">
        <v>91</v>
      </c>
      <c r="F23" s="60" t="s">
        <v>46</v>
      </c>
      <c r="G23" s="47">
        <v>1</v>
      </c>
      <c r="H23" s="133">
        <f>IF(B$17=0,0,G23/B$17)</f>
        <v>1.1904761904761904E-2</v>
      </c>
      <c r="I23" s="94">
        <v>1</v>
      </c>
      <c r="K23" s="38">
        <v>21</v>
      </c>
      <c r="L23" s="99">
        <v>371.39999999999992</v>
      </c>
    </row>
    <row r="24" spans="1:17" x14ac:dyDescent="0.4">
      <c r="A24" s="57" t="s">
        <v>14</v>
      </c>
      <c r="B24" s="52">
        <f>IF(B$20=0,0,C24/B$20)</f>
        <v>-7709.090909090909</v>
      </c>
      <c r="C24" s="45">
        <v>-254400</v>
      </c>
      <c r="E24" s="63" t="s">
        <v>92</v>
      </c>
      <c r="F24" s="60" t="s">
        <v>47</v>
      </c>
      <c r="G24" s="47">
        <v>1</v>
      </c>
      <c r="H24" s="133">
        <f>IF(B$17=0,0,G24/B$17)</f>
        <v>1.1904761904761904E-2</v>
      </c>
      <c r="I24" s="94">
        <v>4</v>
      </c>
      <c r="K24" s="38">
        <v>22</v>
      </c>
      <c r="L24" s="99">
        <v>414.2999999999999</v>
      </c>
    </row>
    <row r="25" spans="1:17" x14ac:dyDescent="0.4">
      <c r="A25" s="90" t="s">
        <v>141</v>
      </c>
      <c r="B25" s="146">
        <v>6</v>
      </c>
      <c r="C25" s="147"/>
      <c r="E25" s="63" t="s">
        <v>96</v>
      </c>
      <c r="F25" s="60" t="s">
        <v>51</v>
      </c>
      <c r="G25" s="47">
        <v>1</v>
      </c>
      <c r="H25" s="133">
        <f>IF(B$17=0,0,G25/B$17)</f>
        <v>1.1904761904761904E-2</v>
      </c>
      <c r="I25" s="94">
        <v>1</v>
      </c>
      <c r="K25" s="38">
        <v>23</v>
      </c>
      <c r="L25" s="99">
        <v>356.2999999999999</v>
      </c>
    </row>
    <row r="26" spans="1:17" x14ac:dyDescent="0.4">
      <c r="A26" s="58" t="s">
        <v>151</v>
      </c>
      <c r="B26" s="144">
        <v>86200</v>
      </c>
      <c r="C26" s="145"/>
      <c r="E26" s="63" t="s">
        <v>74</v>
      </c>
      <c r="F26" s="60" t="s">
        <v>29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329.89999999999992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75</v>
      </c>
      <c r="F27" s="60" t="s">
        <v>30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294.99999999999994</v>
      </c>
    </row>
    <row r="28" spans="1:17" x14ac:dyDescent="0.4">
      <c r="E28" s="63" t="s">
        <v>76</v>
      </c>
      <c r="F28" s="60" t="s">
        <v>31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329.29999999999995</v>
      </c>
    </row>
    <row r="29" spans="1:17" x14ac:dyDescent="0.4">
      <c r="E29" s="63" t="s">
        <v>77</v>
      </c>
      <c r="F29" s="60" t="s">
        <v>32</v>
      </c>
      <c r="G29" s="47">
        <v>0</v>
      </c>
      <c r="H29" s="133">
        <f>IF(B$17=0,0,G29/B$17)</f>
        <v>0</v>
      </c>
      <c r="I29" s="94">
        <v>1</v>
      </c>
    </row>
    <row r="30" spans="1:17" x14ac:dyDescent="0.4">
      <c r="E30" s="63" t="s">
        <v>80</v>
      </c>
      <c r="F30" s="60" t="s">
        <v>35</v>
      </c>
      <c r="G30" s="47">
        <v>0</v>
      </c>
      <c r="H30" s="133">
        <f>IF(B$17=0,0,G30/B$17)</f>
        <v>0</v>
      </c>
      <c r="I30" s="94">
        <v>5</v>
      </c>
    </row>
    <row r="31" spans="1:17" x14ac:dyDescent="0.4">
      <c r="E31" s="63" t="s">
        <v>81</v>
      </c>
      <c r="F31" s="60" t="s">
        <v>36</v>
      </c>
      <c r="G31" s="47">
        <v>0</v>
      </c>
      <c r="H31" s="133">
        <f>IF(B$17=0,0,G31/B$17)</f>
        <v>0</v>
      </c>
      <c r="I31" s="94">
        <v>1</v>
      </c>
    </row>
    <row r="32" spans="1:17" x14ac:dyDescent="0.4">
      <c r="E32" s="63" t="s">
        <v>83</v>
      </c>
      <c r="F32" s="60" t="s">
        <v>38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88</v>
      </c>
      <c r="F33" s="60" t="s">
        <v>43</v>
      </c>
      <c r="G33" s="47">
        <v>0</v>
      </c>
      <c r="H33" s="133">
        <f>IF(B$17=0,0,G33/B$17)</f>
        <v>0</v>
      </c>
      <c r="I33" s="94">
        <v>3</v>
      </c>
    </row>
    <row r="34" spans="5:9" x14ac:dyDescent="0.4">
      <c r="E34" s="63" t="s">
        <v>94</v>
      </c>
      <c r="F34" s="60" t="s">
        <v>49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FE8546-6488-42B1-BC55-9078E526E9BA}">
  <sheetPr codeName="Sheet11"/>
  <dimension ref="A1:Q52"/>
  <sheetViews>
    <sheetView showGridLines="0" zoomScaleNormal="100" workbookViewId="0">
      <selection activeCell="L24" sqref="L24"/>
    </sheetView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128</v>
      </c>
      <c r="C1" s="151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2">
        <v>26</v>
      </c>
      <c r="C2" s="153"/>
      <c r="E2" s="62" t="s">
        <v>67</v>
      </c>
      <c r="F2" s="59" t="s">
        <v>23</v>
      </c>
      <c r="G2" s="46">
        <v>69</v>
      </c>
      <c r="H2" s="132">
        <f>IF(B$17=0,0,G2/B$17)</f>
        <v>1.0147058823529411</v>
      </c>
      <c r="I2" s="93">
        <v>2</v>
      </c>
      <c r="K2" s="36">
        <v>0</v>
      </c>
      <c r="L2" s="98">
        <v>0</v>
      </c>
      <c r="N2" s="114" t="s">
        <v>131</v>
      </c>
      <c r="O2" s="121">
        <f t="shared" ref="O2:O7" si="0">IF(P2=0,0,Q2/P2)</f>
        <v>503.84615384615387</v>
      </c>
      <c r="P2" s="118">
        <v>26</v>
      </c>
      <c r="Q2" s="102">
        <v>13100</v>
      </c>
    </row>
    <row r="3" spans="1:17" x14ac:dyDescent="0.4">
      <c r="A3" s="55" t="s">
        <v>8</v>
      </c>
      <c r="B3" s="154">
        <v>226</v>
      </c>
      <c r="C3" s="155"/>
      <c r="E3" s="63" t="s">
        <v>73</v>
      </c>
      <c r="F3" s="60" t="s">
        <v>28</v>
      </c>
      <c r="G3" s="47">
        <v>45</v>
      </c>
      <c r="H3" s="133">
        <f>IF(B$17=0,0,G3/B$17)</f>
        <v>0.66176470588235292</v>
      </c>
      <c r="I3" s="94">
        <v>4</v>
      </c>
      <c r="K3" s="38">
        <v>1</v>
      </c>
      <c r="L3" s="99">
        <v>-45.6</v>
      </c>
      <c r="N3" s="115" t="s">
        <v>132</v>
      </c>
      <c r="O3" s="122">
        <f t="shared" si="0"/>
        <v>1058.3333333333333</v>
      </c>
      <c r="P3" s="119">
        <v>24</v>
      </c>
      <c r="Q3" s="103">
        <v>25400</v>
      </c>
    </row>
    <row r="4" spans="1:17" x14ac:dyDescent="0.4">
      <c r="A4" s="55" t="s">
        <v>6</v>
      </c>
      <c r="B4" s="156">
        <v>-62.900000000000034</v>
      </c>
      <c r="C4" s="157"/>
      <c r="E4" s="63" t="s">
        <v>65</v>
      </c>
      <c r="F4" s="60" t="s">
        <v>21</v>
      </c>
      <c r="G4" s="47">
        <v>27</v>
      </c>
      <c r="H4" s="133">
        <f>IF(B$17=0,0,G4/B$17)</f>
        <v>0.39705882352941174</v>
      </c>
      <c r="I4" s="94">
        <v>8</v>
      </c>
      <c r="K4" s="38">
        <v>2</v>
      </c>
      <c r="L4" s="99">
        <v>-34.299999999999997</v>
      </c>
      <c r="N4" s="115" t="s">
        <v>133</v>
      </c>
      <c r="O4" s="122">
        <f t="shared" si="0"/>
        <v>179.16666666666666</v>
      </c>
      <c r="P4" s="119">
        <v>24</v>
      </c>
      <c r="Q4" s="103">
        <v>4300</v>
      </c>
    </row>
    <row r="5" spans="1:17" x14ac:dyDescent="0.4">
      <c r="A5" s="55" t="s">
        <v>7</v>
      </c>
      <c r="B5" s="158">
        <f>IF(B$2=0,0,B$4/B$2)</f>
        <v>-2.4192307692307704</v>
      </c>
      <c r="C5" s="159"/>
      <c r="E5" s="63" t="s">
        <v>172</v>
      </c>
      <c r="F5" s="60" t="s">
        <v>173</v>
      </c>
      <c r="G5" s="47">
        <v>26</v>
      </c>
      <c r="H5" s="133">
        <f>IF(B$17=0,0,G5/B$17)</f>
        <v>0.38235294117647056</v>
      </c>
      <c r="I5" s="94">
        <v>4</v>
      </c>
      <c r="K5" s="38">
        <v>3</v>
      </c>
      <c r="L5" s="99">
        <v>-58.599999999999994</v>
      </c>
      <c r="N5" s="115" t="s">
        <v>134</v>
      </c>
      <c r="O5" s="122">
        <f t="shared" si="0"/>
        <v>4558.333333333333</v>
      </c>
      <c r="P5" s="119">
        <v>24</v>
      </c>
      <c r="Q5" s="103">
        <v>109400</v>
      </c>
    </row>
    <row r="6" spans="1:17" x14ac:dyDescent="0.4">
      <c r="A6" s="55" t="s">
        <v>1</v>
      </c>
      <c r="B6" s="148">
        <f>IF(B$2=0,0,(B$7*1+B$8*2+B$9*3)/B$2)</f>
        <v>2.1153846153846154</v>
      </c>
      <c r="C6" s="149"/>
      <c r="E6" s="63" t="s">
        <v>68</v>
      </c>
      <c r="F6" s="60" t="s">
        <v>24</v>
      </c>
      <c r="G6" s="47">
        <v>18</v>
      </c>
      <c r="H6" s="133">
        <f>IF(B$17=0,0,G6/B$17)</f>
        <v>0.26470588235294118</v>
      </c>
      <c r="I6" s="94">
        <v>8</v>
      </c>
      <c r="K6" s="38">
        <v>4</v>
      </c>
      <c r="L6" s="99">
        <v>-38.099999999999994</v>
      </c>
      <c r="N6" s="115" t="s">
        <v>135</v>
      </c>
      <c r="O6" s="122">
        <f t="shared" si="0"/>
        <v>-4236.363636363636</v>
      </c>
      <c r="P6" s="119">
        <v>22</v>
      </c>
      <c r="Q6" s="103">
        <v>-93200</v>
      </c>
    </row>
    <row r="7" spans="1:17" x14ac:dyDescent="0.4">
      <c r="A7" s="55" t="s">
        <v>2</v>
      </c>
      <c r="B7" s="47">
        <v>6</v>
      </c>
      <c r="C7" s="39">
        <f t="shared" ref="C7:C12" si="1">IF(B$2=0,0,B7/B$2)</f>
        <v>0.23076923076923078</v>
      </c>
      <c r="E7" s="63" t="s">
        <v>69</v>
      </c>
      <c r="F7" s="60" t="s">
        <v>12</v>
      </c>
      <c r="G7" s="47">
        <v>16</v>
      </c>
      <c r="H7" s="133">
        <f>IF(B$17=0,0,G7/B$17)</f>
        <v>0.23529411764705882</v>
      </c>
      <c r="I7" s="94">
        <v>8</v>
      </c>
      <c r="K7" s="38">
        <v>5</v>
      </c>
      <c r="L7" s="99">
        <v>-11.299999999999994</v>
      </c>
      <c r="N7" s="116" t="s">
        <v>136</v>
      </c>
      <c r="O7" s="123">
        <f t="shared" si="0"/>
        <v>-4377.7777777777774</v>
      </c>
      <c r="P7" s="120">
        <v>18</v>
      </c>
      <c r="Q7" s="104">
        <v>-78800</v>
      </c>
    </row>
    <row r="8" spans="1:17" x14ac:dyDescent="0.4">
      <c r="A8" s="55" t="s">
        <v>3</v>
      </c>
      <c r="B8" s="47">
        <v>11</v>
      </c>
      <c r="C8" s="39">
        <f t="shared" si="1"/>
        <v>0.42307692307692307</v>
      </c>
      <c r="E8" s="63" t="s">
        <v>90</v>
      </c>
      <c r="F8" s="60" t="s">
        <v>45</v>
      </c>
      <c r="G8" s="47">
        <v>10</v>
      </c>
      <c r="H8" s="133">
        <f>IF(B$17=0,0,G8/B$17)</f>
        <v>0.14705882352941177</v>
      </c>
      <c r="I8" s="94">
        <v>3</v>
      </c>
      <c r="K8" s="38">
        <v>6</v>
      </c>
      <c r="L8" s="99">
        <v>-11.899999999999993</v>
      </c>
      <c r="N8" s="43"/>
      <c r="O8" s="127"/>
      <c r="P8" s="111"/>
      <c r="Q8" s="109"/>
    </row>
    <row r="9" spans="1:17" x14ac:dyDescent="0.4">
      <c r="A9" s="56" t="s">
        <v>4</v>
      </c>
      <c r="B9" s="48">
        <v>9</v>
      </c>
      <c r="C9" s="40">
        <f t="shared" si="1"/>
        <v>0.34615384615384615</v>
      </c>
      <c r="E9" s="63" t="s">
        <v>70</v>
      </c>
      <c r="F9" s="60" t="s">
        <v>25</v>
      </c>
      <c r="G9" s="47">
        <v>8</v>
      </c>
      <c r="H9" s="133">
        <f>IF(B$17=0,0,G9/B$17)</f>
        <v>0.11764705882352941</v>
      </c>
      <c r="I9" s="94">
        <v>6</v>
      </c>
      <c r="K9" s="38">
        <v>7</v>
      </c>
      <c r="L9" s="99">
        <v>-9.4999999999999929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4</v>
      </c>
      <c r="C10" s="40">
        <f t="shared" si="1"/>
        <v>0.15384615384615385</v>
      </c>
      <c r="E10" s="63" t="s">
        <v>66</v>
      </c>
      <c r="F10" s="60" t="s">
        <v>22</v>
      </c>
      <c r="G10" s="47">
        <v>6</v>
      </c>
      <c r="H10" s="133">
        <f>IF(B$17=0,0,G10/B$17)</f>
        <v>8.8235294117647065E-2</v>
      </c>
      <c r="I10" s="94">
        <v>7</v>
      </c>
      <c r="K10" s="38">
        <v>8</v>
      </c>
      <c r="L10" s="99">
        <v>-56.79999999999999</v>
      </c>
      <c r="N10" s="114" t="s">
        <v>163</v>
      </c>
      <c r="O10" s="124">
        <f>IF(P10=0,0,Q10/P10)</f>
        <v>6.5500000000000007</v>
      </c>
      <c r="P10" s="118">
        <v>8</v>
      </c>
      <c r="Q10" s="106">
        <v>52.400000000000006</v>
      </c>
    </row>
    <row r="11" spans="1:17" x14ac:dyDescent="0.4">
      <c r="A11" s="56" t="s">
        <v>139</v>
      </c>
      <c r="B11" s="48">
        <v>3</v>
      </c>
      <c r="C11" s="40">
        <f t="shared" si="1"/>
        <v>0.11538461538461539</v>
      </c>
      <c r="E11" s="63" t="s">
        <v>87</v>
      </c>
      <c r="F11" s="60" t="s">
        <v>42</v>
      </c>
      <c r="G11" s="47">
        <v>5</v>
      </c>
      <c r="H11" s="133">
        <f>IF(B$17=0,0,G11/B$17)</f>
        <v>7.3529411764705885E-2</v>
      </c>
      <c r="I11" s="94">
        <v>1</v>
      </c>
      <c r="K11" s="38">
        <v>9</v>
      </c>
      <c r="L11" s="99">
        <v>-83.699999999999989</v>
      </c>
      <c r="N11" s="115" t="s">
        <v>164</v>
      </c>
      <c r="O11" s="125">
        <f>IF(P11=0,0,Q11/P11)</f>
        <v>2.6124999999999998</v>
      </c>
      <c r="P11" s="119">
        <v>8</v>
      </c>
      <c r="Q11" s="107">
        <v>20.9</v>
      </c>
    </row>
    <row r="12" spans="1:17" x14ac:dyDescent="0.4">
      <c r="A12" s="57" t="s">
        <v>159</v>
      </c>
      <c r="B12" s="49">
        <v>4</v>
      </c>
      <c r="C12" s="42">
        <f t="shared" si="1"/>
        <v>0.15384615384615385</v>
      </c>
      <c r="E12" s="63" t="s">
        <v>84</v>
      </c>
      <c r="F12" s="60" t="s">
        <v>39</v>
      </c>
      <c r="G12" s="47">
        <v>3</v>
      </c>
      <c r="H12" s="133">
        <f>IF(B$17=0,0,G12/B$17)</f>
        <v>4.4117647058823532E-2</v>
      </c>
      <c r="I12" s="94">
        <v>6</v>
      </c>
      <c r="K12" s="38">
        <v>10</v>
      </c>
      <c r="L12" s="99">
        <v>-78.399999999999991</v>
      </c>
      <c r="N12" s="116" t="s">
        <v>165</v>
      </c>
      <c r="O12" s="126">
        <f>IF(P12=0,0,Q12/P12)</f>
        <v>-13.62</v>
      </c>
      <c r="P12" s="120">
        <v>10</v>
      </c>
      <c r="Q12" s="108">
        <v>-136.19999999999999</v>
      </c>
    </row>
    <row r="13" spans="1:17" x14ac:dyDescent="0.4">
      <c r="A13" s="58" t="s">
        <v>122</v>
      </c>
      <c r="B13" s="50">
        <v>44</v>
      </c>
      <c r="C13" s="44">
        <f>IF(B$3=0,0,B13/B$3)</f>
        <v>0.19469026548672566</v>
      </c>
      <c r="E13" s="63" t="s">
        <v>72</v>
      </c>
      <c r="F13" s="60" t="s">
        <v>27</v>
      </c>
      <c r="G13" s="47">
        <v>2</v>
      </c>
      <c r="H13" s="133">
        <f>IF(B$17=0,0,G13/B$17)</f>
        <v>2.9411764705882353E-2</v>
      </c>
      <c r="I13" s="94">
        <v>7</v>
      </c>
      <c r="K13" s="38">
        <v>11</v>
      </c>
      <c r="L13" s="99">
        <v>-68.099999999999994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64</v>
      </c>
      <c r="C14" s="39">
        <f>IF(B$3=0,0,B14/B$3)</f>
        <v>0.2831858407079646</v>
      </c>
      <c r="E14" s="63" t="s">
        <v>79</v>
      </c>
      <c r="F14" s="60" t="s">
        <v>34</v>
      </c>
      <c r="G14" s="47">
        <v>2</v>
      </c>
      <c r="H14" s="133">
        <f>IF(B$17=0,0,G14/B$17)</f>
        <v>2.9411764705882353E-2</v>
      </c>
      <c r="I14" s="94">
        <v>6</v>
      </c>
      <c r="K14" s="38">
        <v>12</v>
      </c>
      <c r="L14" s="99">
        <v>-89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25</v>
      </c>
      <c r="C15" s="37">
        <f>IF(B$13=0,0,B15/B$13)</f>
        <v>0.56818181818181823</v>
      </c>
      <c r="E15" s="63" t="s">
        <v>92</v>
      </c>
      <c r="F15" s="60" t="s">
        <v>47</v>
      </c>
      <c r="G15" s="47">
        <v>2</v>
      </c>
      <c r="H15" s="133">
        <f>IF(B$17=0,0,G15/B$17)</f>
        <v>2.9411764705882353E-2</v>
      </c>
      <c r="I15" s="94">
        <v>2</v>
      </c>
      <c r="K15" s="38">
        <v>13</v>
      </c>
      <c r="L15" s="99">
        <v>-86.8</v>
      </c>
      <c r="N15" s="114" t="s">
        <v>196</v>
      </c>
      <c r="O15" s="124">
        <f>IF(P15=0,0,Q15/P15)</f>
        <v>75.3</v>
      </c>
      <c r="P15" s="118">
        <v>1</v>
      </c>
      <c r="Q15" s="106">
        <v>75.3</v>
      </c>
    </row>
    <row r="16" spans="1:17" x14ac:dyDescent="0.4">
      <c r="A16" s="54" t="s">
        <v>125</v>
      </c>
      <c r="B16" s="46">
        <v>28</v>
      </c>
      <c r="C16" s="37">
        <f>IF(B$14=0,0,B16/B$14)</f>
        <v>0.4375</v>
      </c>
      <c r="E16" s="63" t="s">
        <v>71</v>
      </c>
      <c r="F16" s="60" t="s">
        <v>26</v>
      </c>
      <c r="G16" s="47">
        <v>1</v>
      </c>
      <c r="H16" s="133">
        <f>IF(B$17=0,0,G16/B$17)</f>
        <v>1.4705882352941176E-2</v>
      </c>
      <c r="I16" s="94">
        <v>8</v>
      </c>
      <c r="K16" s="38">
        <v>14</v>
      </c>
      <c r="L16" s="99">
        <v>-138.4</v>
      </c>
      <c r="N16" s="115" t="s">
        <v>179</v>
      </c>
      <c r="O16" s="125">
        <f>IF(P16=0,0,Q16/P16)</f>
        <v>11.100000000000001</v>
      </c>
      <c r="P16" s="119">
        <v>1</v>
      </c>
      <c r="Q16" s="107">
        <v>11.100000000000001</v>
      </c>
    </row>
    <row r="17" spans="1:17" x14ac:dyDescent="0.4">
      <c r="A17" s="54" t="s">
        <v>10</v>
      </c>
      <c r="B17" s="46">
        <f>B19+B18</f>
        <v>68</v>
      </c>
      <c r="C17" s="37">
        <f>IF(B$3=0,0,B17/B$3)</f>
        <v>0.30088495575221241</v>
      </c>
      <c r="E17" s="63" t="s">
        <v>80</v>
      </c>
      <c r="F17" s="60" t="s">
        <v>35</v>
      </c>
      <c r="G17" s="47">
        <v>1</v>
      </c>
      <c r="H17" s="133">
        <f>IF(B$17=0,0,G17/B$17)</f>
        <v>1.4705882352941176E-2</v>
      </c>
      <c r="I17" s="94">
        <v>4</v>
      </c>
      <c r="K17" s="38">
        <v>15</v>
      </c>
      <c r="L17" s="99">
        <v>-144.30000000000001</v>
      </c>
      <c r="N17" s="115" t="s">
        <v>180</v>
      </c>
      <c r="O17" s="125">
        <f>IF(P17=0,0,Q17/P17)</f>
        <v>10.424999999999999</v>
      </c>
      <c r="P17" s="119">
        <v>12</v>
      </c>
      <c r="Q17" s="107">
        <v>125.1</v>
      </c>
    </row>
    <row r="18" spans="1:17" x14ac:dyDescent="0.4">
      <c r="A18" s="55" t="s">
        <v>12</v>
      </c>
      <c r="B18" s="47">
        <v>20</v>
      </c>
      <c r="C18" s="39">
        <f>IF(B$17=0,0,B18/B$17)</f>
        <v>0.29411764705882354</v>
      </c>
      <c r="E18" s="63" t="s">
        <v>74</v>
      </c>
      <c r="F18" s="60" t="s">
        <v>29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-187.3</v>
      </c>
      <c r="N18" s="115" t="s">
        <v>178</v>
      </c>
      <c r="O18" s="125">
        <f>IF(P18=0,0,Q18/P18)</f>
        <v>4.6333333333333329</v>
      </c>
      <c r="P18" s="119">
        <v>3</v>
      </c>
      <c r="Q18" s="107">
        <v>13.899999999999999</v>
      </c>
    </row>
    <row r="19" spans="1:17" x14ac:dyDescent="0.4">
      <c r="A19" s="55" t="s">
        <v>11</v>
      </c>
      <c r="B19" s="47">
        <v>48</v>
      </c>
      <c r="C19" s="39">
        <f>IF(B$17=0,0,B19/B$17)</f>
        <v>0.70588235294117652</v>
      </c>
      <c r="E19" s="63" t="s">
        <v>75</v>
      </c>
      <c r="F19" s="60" t="s">
        <v>30</v>
      </c>
      <c r="G19" s="47">
        <v>0</v>
      </c>
      <c r="H19" s="133">
        <f>IF(B$17=0,0,G19/B$17)</f>
        <v>0</v>
      </c>
      <c r="I19" s="94">
        <v>1</v>
      </c>
      <c r="K19" s="38">
        <v>17</v>
      </c>
      <c r="L19" s="99">
        <v>-179.70000000000002</v>
      </c>
      <c r="N19" s="115" t="s">
        <v>167</v>
      </c>
      <c r="O19" s="125">
        <f>IF(P19=0,0,Q19/P19)</f>
        <v>-1.7100000000000009</v>
      </c>
      <c r="P19" s="119">
        <v>10</v>
      </c>
      <c r="Q19" s="107">
        <v>-17.100000000000009</v>
      </c>
    </row>
    <row r="20" spans="1:17" x14ac:dyDescent="0.4">
      <c r="A20" s="55" t="s">
        <v>13</v>
      </c>
      <c r="B20" s="47">
        <v>43</v>
      </c>
      <c r="C20" s="39">
        <f>IF(B$3=0,0,B20/B$3)</f>
        <v>0.19026548672566371</v>
      </c>
      <c r="E20" s="63" t="s">
        <v>76</v>
      </c>
      <c r="F20" s="60" t="s">
        <v>31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-112.90000000000002</v>
      </c>
      <c r="N20" s="115" t="s">
        <v>127</v>
      </c>
      <c r="O20" s="125">
        <f>IF(P20=0,0,Q20/P20)</f>
        <v>-15.599999999999996</v>
      </c>
      <c r="P20" s="119">
        <v>24</v>
      </c>
      <c r="Q20" s="107">
        <v>-374.39999999999992</v>
      </c>
    </row>
    <row r="21" spans="1:17" x14ac:dyDescent="0.4">
      <c r="A21" s="55" t="s">
        <v>170</v>
      </c>
      <c r="B21" s="47">
        <v>4</v>
      </c>
      <c r="C21" s="135">
        <v>0</v>
      </c>
      <c r="E21" s="63" t="s">
        <v>77</v>
      </c>
      <c r="F21" s="60" t="s">
        <v>32</v>
      </c>
      <c r="G21" s="47">
        <v>0</v>
      </c>
      <c r="H21" s="133">
        <f>IF(B$17=0,0,G21/B$17)</f>
        <v>0</v>
      </c>
      <c r="I21" s="94">
        <v>1</v>
      </c>
      <c r="K21" s="38">
        <v>19</v>
      </c>
      <c r="L21" s="99">
        <v>-162.40000000000003</v>
      </c>
      <c r="N21" s="115" t="s">
        <v>182</v>
      </c>
      <c r="O21" s="125">
        <f>IF(P21=0,0,Q21/P21)</f>
        <v>-22.6</v>
      </c>
      <c r="P21" s="119">
        <v>1</v>
      </c>
      <c r="Q21" s="107">
        <v>-22.6</v>
      </c>
    </row>
    <row r="22" spans="1:17" x14ac:dyDescent="0.4">
      <c r="A22" s="55" t="s">
        <v>171</v>
      </c>
      <c r="B22" s="47">
        <v>23</v>
      </c>
      <c r="C22" s="135">
        <v>1</v>
      </c>
      <c r="E22" s="63" t="s">
        <v>78</v>
      </c>
      <c r="F22" s="60" t="s">
        <v>33</v>
      </c>
      <c r="G22" s="47">
        <v>0</v>
      </c>
      <c r="H22" s="133">
        <f>IF(B$17=0,0,G22/B$17)</f>
        <v>0</v>
      </c>
      <c r="I22" s="94">
        <v>3</v>
      </c>
      <c r="K22" s="38">
        <v>20</v>
      </c>
      <c r="L22" s="99">
        <v>-96.000000000000028</v>
      </c>
    </row>
    <row r="23" spans="1:17" x14ac:dyDescent="0.4">
      <c r="A23" s="55" t="s">
        <v>5</v>
      </c>
      <c r="B23" s="51">
        <f>IF(B$17=0,0,C23/B$17)</f>
        <v>8426.4705882352937</v>
      </c>
      <c r="C23" s="41">
        <v>573000</v>
      </c>
      <c r="E23" s="63" t="s">
        <v>81</v>
      </c>
      <c r="F23" s="60" t="s">
        <v>36</v>
      </c>
      <c r="G23" s="47">
        <v>0</v>
      </c>
      <c r="H23" s="133">
        <f>IF(B$17=0,0,G23/B$17)</f>
        <v>0</v>
      </c>
      <c r="I23" s="94">
        <v>1</v>
      </c>
      <c r="K23" s="38">
        <v>21</v>
      </c>
      <c r="L23" s="99">
        <v>-67.200000000000031</v>
      </c>
    </row>
    <row r="24" spans="1:17" x14ac:dyDescent="0.4">
      <c r="A24" s="57" t="s">
        <v>14</v>
      </c>
      <c r="B24" s="52">
        <f>IF(B$20=0,0,C24/B$20)</f>
        <v>-7211.6279069767443</v>
      </c>
      <c r="C24" s="45">
        <v>-310100</v>
      </c>
      <c r="E24" s="63" t="s">
        <v>82</v>
      </c>
      <c r="F24" s="60" t="s">
        <v>37</v>
      </c>
      <c r="G24" s="47">
        <v>0</v>
      </c>
      <c r="H24" s="133">
        <f>IF(B$17=0,0,G24/B$17)</f>
        <v>0</v>
      </c>
      <c r="I24" s="94">
        <v>6</v>
      </c>
      <c r="K24" s="38">
        <v>22</v>
      </c>
      <c r="L24" s="99">
        <v>-66.400000000000034</v>
      </c>
    </row>
    <row r="25" spans="1:17" x14ac:dyDescent="0.4">
      <c r="A25" s="90" t="s">
        <v>141</v>
      </c>
      <c r="B25" s="146">
        <v>5</v>
      </c>
      <c r="C25" s="147"/>
      <c r="E25" s="63" t="s">
        <v>83</v>
      </c>
      <c r="F25" s="60" t="s">
        <v>38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-66.400000000000034</v>
      </c>
    </row>
    <row r="26" spans="1:17" x14ac:dyDescent="0.4">
      <c r="A26" s="58" t="s">
        <v>151</v>
      </c>
      <c r="B26" s="144">
        <v>91800</v>
      </c>
      <c r="C26" s="145"/>
      <c r="E26" s="63" t="s">
        <v>85</v>
      </c>
      <c r="F26" s="60" t="s">
        <v>40</v>
      </c>
      <c r="G26" s="47">
        <v>0</v>
      </c>
      <c r="H26" s="133">
        <f>IF(B$17=0,0,G26/B$17)</f>
        <v>0</v>
      </c>
      <c r="I26" s="94">
        <v>3</v>
      </c>
      <c r="K26" s="38">
        <v>24</v>
      </c>
      <c r="L26" s="99">
        <v>-39.500000000000036</v>
      </c>
    </row>
    <row r="27" spans="1:17" x14ac:dyDescent="0.4">
      <c r="A27" s="57" t="s">
        <v>142</v>
      </c>
      <c r="B27" s="65">
        <v>1</v>
      </c>
      <c r="C27" s="42">
        <f>IF(B$3=0,0,B27/B$3)</f>
        <v>4.4247787610619468E-3</v>
      </c>
      <c r="E27" s="63" t="s">
        <v>86</v>
      </c>
      <c r="F27" s="60" t="s">
        <v>41</v>
      </c>
      <c r="G27" s="47">
        <v>0</v>
      </c>
      <c r="H27" s="133">
        <f>IF(B$17=0,0,G27/B$17)</f>
        <v>0</v>
      </c>
      <c r="I27" s="94">
        <v>4</v>
      </c>
      <c r="K27" s="38">
        <v>25</v>
      </c>
      <c r="L27" s="99">
        <v>-31.400000000000034</v>
      </c>
    </row>
    <row r="28" spans="1:17" x14ac:dyDescent="0.4">
      <c r="E28" s="63" t="s">
        <v>88</v>
      </c>
      <c r="F28" s="60" t="s">
        <v>43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-62.900000000000034</v>
      </c>
    </row>
    <row r="29" spans="1:17" x14ac:dyDescent="0.4">
      <c r="E29" s="63" t="s">
        <v>89</v>
      </c>
      <c r="F29" s="60" t="s">
        <v>44</v>
      </c>
      <c r="G29" s="47">
        <v>0</v>
      </c>
      <c r="H29" s="133">
        <f>IF(B$17=0,0,G29/B$17)</f>
        <v>0</v>
      </c>
      <c r="I29" s="94">
        <v>4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3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4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168</v>
      </c>
      <c r="F51" s="137" t="s">
        <v>169</v>
      </c>
      <c r="G51" s="48">
        <v>0</v>
      </c>
      <c r="H51" s="138">
        <f>IF(B$17=0,0,G51/B$17)</f>
        <v>0</v>
      </c>
      <c r="I51" s="139">
        <v>3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B6371-8558-42A4-A975-4857D325F966}">
  <sheetPr codeName="Sheet1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180</v>
      </c>
      <c r="C1" s="151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2">
        <v>13</v>
      </c>
      <c r="C2" s="153"/>
      <c r="E2" s="62" t="s">
        <v>65</v>
      </c>
      <c r="F2" s="59" t="s">
        <v>21</v>
      </c>
      <c r="G2" s="46">
        <v>19</v>
      </c>
      <c r="H2" s="132">
        <f>IF(B$17=0,0,G2/B$17)</f>
        <v>0.6785714285714286</v>
      </c>
      <c r="I2" s="93">
        <v>2</v>
      </c>
      <c r="K2" s="36">
        <v>0</v>
      </c>
      <c r="L2" s="98">
        <v>0</v>
      </c>
      <c r="N2" s="114" t="s">
        <v>131</v>
      </c>
      <c r="O2" s="121">
        <f t="shared" ref="O2:O7" si="0">IF(P2=0,0,Q2/P2)</f>
        <v>2638.4615384615386</v>
      </c>
      <c r="P2" s="118">
        <v>13</v>
      </c>
      <c r="Q2" s="102">
        <v>34300</v>
      </c>
    </row>
    <row r="3" spans="1:17" x14ac:dyDescent="0.4">
      <c r="A3" s="55" t="s">
        <v>8</v>
      </c>
      <c r="B3" s="154">
        <v>119</v>
      </c>
      <c r="C3" s="155"/>
      <c r="E3" s="63" t="s">
        <v>66</v>
      </c>
      <c r="F3" s="60" t="s">
        <v>22</v>
      </c>
      <c r="G3" s="47">
        <v>4</v>
      </c>
      <c r="H3" s="133">
        <f>IF(B$17=0,0,G3/B$17)</f>
        <v>0.14285714285714285</v>
      </c>
      <c r="I3" s="94">
        <v>4</v>
      </c>
      <c r="K3" s="38">
        <v>1</v>
      </c>
      <c r="L3" s="99">
        <v>-37.799999999999997</v>
      </c>
      <c r="N3" s="115" t="s">
        <v>132</v>
      </c>
      <c r="O3" s="122">
        <f t="shared" si="0"/>
        <v>-2150</v>
      </c>
      <c r="P3" s="119">
        <v>12</v>
      </c>
      <c r="Q3" s="103">
        <v>-25800</v>
      </c>
    </row>
    <row r="4" spans="1:17" x14ac:dyDescent="0.4">
      <c r="A4" s="55" t="s">
        <v>6</v>
      </c>
      <c r="B4" s="156">
        <v>-207.3</v>
      </c>
      <c r="C4" s="157"/>
      <c r="E4" s="63" t="s">
        <v>67</v>
      </c>
      <c r="F4" s="60" t="s">
        <v>23</v>
      </c>
      <c r="G4" s="47">
        <v>23</v>
      </c>
      <c r="H4" s="133">
        <f>IF(B$17=0,0,G4/B$17)</f>
        <v>0.8214285714285714</v>
      </c>
      <c r="I4" s="94">
        <v>5</v>
      </c>
      <c r="K4" s="38">
        <v>2</v>
      </c>
      <c r="L4" s="99">
        <v>-30.099999999999998</v>
      </c>
      <c r="N4" s="115" t="s">
        <v>133</v>
      </c>
      <c r="O4" s="122">
        <f t="shared" si="0"/>
        <v>666.66666666666663</v>
      </c>
      <c r="P4" s="119">
        <v>12</v>
      </c>
      <c r="Q4" s="103">
        <v>8000</v>
      </c>
    </row>
    <row r="5" spans="1:17" x14ac:dyDescent="0.4">
      <c r="A5" s="55" t="s">
        <v>7</v>
      </c>
      <c r="B5" s="158">
        <f>IF(B$2=0,0,B$4/B$2)</f>
        <v>-15.946153846153846</v>
      </c>
      <c r="C5" s="159"/>
      <c r="E5" s="63" t="s">
        <v>68</v>
      </c>
      <c r="F5" s="60" t="s">
        <v>24</v>
      </c>
      <c r="G5" s="47">
        <v>8</v>
      </c>
      <c r="H5" s="133">
        <f>IF(B$17=0,0,G5/B$17)</f>
        <v>0.2857142857142857</v>
      </c>
      <c r="I5" s="94">
        <v>5</v>
      </c>
      <c r="K5" s="38">
        <v>3</v>
      </c>
      <c r="L5" s="99">
        <v>-17.599999999999998</v>
      </c>
      <c r="N5" s="115" t="s">
        <v>134</v>
      </c>
      <c r="O5" s="122">
        <f t="shared" si="0"/>
        <v>-5000</v>
      </c>
      <c r="P5" s="119">
        <v>12</v>
      </c>
      <c r="Q5" s="103">
        <v>-60000</v>
      </c>
    </row>
    <row r="6" spans="1:17" x14ac:dyDescent="0.4">
      <c r="A6" s="55" t="s">
        <v>1</v>
      </c>
      <c r="B6" s="148">
        <f>IF(B$2=0,0,(B$7*1+B$8*2+B$9*3)/B$2)</f>
        <v>2.4615384615384617</v>
      </c>
      <c r="C6" s="149"/>
      <c r="E6" s="63" t="s">
        <v>69</v>
      </c>
      <c r="F6" s="60" t="s">
        <v>12</v>
      </c>
      <c r="G6" s="47">
        <v>6</v>
      </c>
      <c r="H6" s="133">
        <f>IF(B$17=0,0,G6/B$17)</f>
        <v>0.21428571428571427</v>
      </c>
      <c r="I6" s="94">
        <v>9</v>
      </c>
      <c r="K6" s="38">
        <v>4</v>
      </c>
      <c r="L6" s="99">
        <v>-54.899999999999991</v>
      </c>
      <c r="N6" s="115" t="s">
        <v>135</v>
      </c>
      <c r="O6" s="122">
        <f t="shared" si="0"/>
        <v>-7754.545454545455</v>
      </c>
      <c r="P6" s="119">
        <v>11</v>
      </c>
      <c r="Q6" s="103">
        <v>-85300</v>
      </c>
    </row>
    <row r="7" spans="1:17" x14ac:dyDescent="0.4">
      <c r="A7" s="55" t="s">
        <v>2</v>
      </c>
      <c r="B7" s="47">
        <v>1</v>
      </c>
      <c r="C7" s="39">
        <f t="shared" ref="C7:C12" si="1">IF(B$2=0,0,B7/B$2)</f>
        <v>7.6923076923076927E-2</v>
      </c>
      <c r="E7" s="63" t="s">
        <v>70</v>
      </c>
      <c r="F7" s="60" t="s">
        <v>25</v>
      </c>
      <c r="G7" s="47">
        <v>5</v>
      </c>
      <c r="H7" s="133">
        <f>IF(B$17=0,0,G7/B$17)</f>
        <v>0.17857142857142858</v>
      </c>
      <c r="I7" s="94">
        <v>3</v>
      </c>
      <c r="K7" s="38">
        <v>5</v>
      </c>
      <c r="L7" s="99">
        <v>-33.699999999999989</v>
      </c>
      <c r="N7" s="116" t="s">
        <v>136</v>
      </c>
      <c r="O7" s="123">
        <f t="shared" si="0"/>
        <v>-1850</v>
      </c>
      <c r="P7" s="120">
        <v>10</v>
      </c>
      <c r="Q7" s="104">
        <v>-18500</v>
      </c>
    </row>
    <row r="8" spans="1:17" x14ac:dyDescent="0.4">
      <c r="A8" s="55" t="s">
        <v>3</v>
      </c>
      <c r="B8" s="47">
        <v>5</v>
      </c>
      <c r="C8" s="39">
        <f t="shared" si="1"/>
        <v>0.38461538461538464</v>
      </c>
      <c r="E8" s="63" t="s">
        <v>71</v>
      </c>
      <c r="F8" s="60" t="s">
        <v>26</v>
      </c>
      <c r="G8" s="47">
        <v>3</v>
      </c>
      <c r="H8" s="133">
        <f>IF(B$17=0,0,G8/B$17)</f>
        <v>0.10714285714285714</v>
      </c>
      <c r="I8" s="94">
        <v>5</v>
      </c>
      <c r="K8" s="38">
        <v>6</v>
      </c>
      <c r="L8" s="99">
        <v>-57.399999999999991</v>
      </c>
      <c r="N8" s="43"/>
      <c r="O8" s="127"/>
      <c r="P8" s="111"/>
      <c r="Q8" s="109"/>
    </row>
    <row r="9" spans="1:17" x14ac:dyDescent="0.4">
      <c r="A9" s="56" t="s">
        <v>4</v>
      </c>
      <c r="B9" s="48">
        <v>7</v>
      </c>
      <c r="C9" s="40">
        <f t="shared" si="1"/>
        <v>0.53846153846153844</v>
      </c>
      <c r="E9" s="63" t="s">
        <v>72</v>
      </c>
      <c r="F9" s="60" t="s">
        <v>27</v>
      </c>
      <c r="G9" s="47">
        <v>3</v>
      </c>
      <c r="H9" s="133">
        <f>IF(B$17=0,0,G9/B$17)</f>
        <v>0.10714285714285714</v>
      </c>
      <c r="I9" s="94">
        <v>3</v>
      </c>
      <c r="K9" s="38">
        <v>7</v>
      </c>
      <c r="L9" s="99">
        <v>-39.499999999999993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2</v>
      </c>
      <c r="C10" s="40">
        <f t="shared" si="1"/>
        <v>0.15384615384615385</v>
      </c>
      <c r="E10" s="63" t="s">
        <v>73</v>
      </c>
      <c r="F10" s="60" t="s">
        <v>28</v>
      </c>
      <c r="G10" s="47">
        <v>13</v>
      </c>
      <c r="H10" s="133">
        <f>IF(B$17=0,0,G10/B$17)</f>
        <v>0.4642857142857143</v>
      </c>
      <c r="I10" s="94">
        <v>9</v>
      </c>
      <c r="K10" s="38">
        <v>8</v>
      </c>
      <c r="L10" s="99">
        <v>-62.999999999999993</v>
      </c>
      <c r="N10" s="114" t="s">
        <v>163</v>
      </c>
      <c r="O10" s="124">
        <f>IF(P10=0,0,Q10/P10)</f>
        <v>-4.0000000000000009</v>
      </c>
      <c r="P10" s="118">
        <v>6</v>
      </c>
      <c r="Q10" s="106">
        <v>-24.000000000000004</v>
      </c>
    </row>
    <row r="11" spans="1:17" x14ac:dyDescent="0.4">
      <c r="A11" s="56" t="s">
        <v>139</v>
      </c>
      <c r="B11" s="48">
        <v>0</v>
      </c>
      <c r="C11" s="40">
        <f t="shared" si="1"/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1</v>
      </c>
      <c r="K11" s="38">
        <v>9</v>
      </c>
      <c r="L11" s="99">
        <v>-74.199999999999989</v>
      </c>
      <c r="N11" s="115" t="s">
        <v>164</v>
      </c>
      <c r="O11" s="125">
        <f>IF(P11=0,0,Q11/P11)</f>
        <v>-19.940000000000001</v>
      </c>
      <c r="P11" s="119">
        <v>5</v>
      </c>
      <c r="Q11" s="107">
        <v>-99.7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1</v>
      </c>
      <c r="K12" s="38">
        <v>10</v>
      </c>
      <c r="L12" s="99">
        <v>-117.19999999999999</v>
      </c>
      <c r="N12" s="116" t="s">
        <v>165</v>
      </c>
      <c r="O12" s="126">
        <f>IF(P12=0,0,Q12/P12)</f>
        <v>-41.8</v>
      </c>
      <c r="P12" s="120">
        <v>2</v>
      </c>
      <c r="Q12" s="108">
        <v>-83.6</v>
      </c>
    </row>
    <row r="13" spans="1:17" x14ac:dyDescent="0.4">
      <c r="A13" s="58" t="s">
        <v>122</v>
      </c>
      <c r="B13" s="50">
        <v>31</v>
      </c>
      <c r="C13" s="44">
        <f>IF(B$3=0,0,B13/B$3)</f>
        <v>0.26050420168067229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1</v>
      </c>
      <c r="K13" s="38">
        <v>11</v>
      </c>
      <c r="L13" s="99">
        <v>-177.29999999999998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19</v>
      </c>
      <c r="C14" s="39">
        <f>IF(B$3=0,0,B14/B$3)</f>
        <v>0.15966386554621848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-158.6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18</v>
      </c>
      <c r="C15" s="37">
        <f>IF(B$13=0,0,B15/B$13)</f>
        <v>0.58064516129032262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3</v>
      </c>
      <c r="K15" s="38">
        <v>13</v>
      </c>
      <c r="L15" s="99">
        <v>-207.3</v>
      </c>
      <c r="N15" s="114" t="s">
        <v>167</v>
      </c>
      <c r="O15" s="124">
        <f>IF(P15=0,0,Q15/P15)</f>
        <v>35.9</v>
      </c>
      <c r="P15" s="118">
        <v>1</v>
      </c>
      <c r="Q15" s="106">
        <v>35.9</v>
      </c>
    </row>
    <row r="16" spans="1:17" x14ac:dyDescent="0.4">
      <c r="A16" s="54" t="s">
        <v>125</v>
      </c>
      <c r="B16" s="46">
        <v>3</v>
      </c>
      <c r="C16" s="37">
        <f>IF(B$14=0,0,B16/B$14)</f>
        <v>0.15789473684210525</v>
      </c>
      <c r="E16" s="63" t="s">
        <v>79</v>
      </c>
      <c r="F16" s="60" t="s">
        <v>34</v>
      </c>
      <c r="G16" s="47">
        <v>2</v>
      </c>
      <c r="H16" s="133">
        <f>IF(B$17=0,0,G16/B$17)</f>
        <v>7.1428571428571425E-2</v>
      </c>
      <c r="I16" s="94">
        <v>3</v>
      </c>
      <c r="N16" s="115" t="s">
        <v>128</v>
      </c>
      <c r="O16" s="125">
        <f>IF(P16=0,0,Q16/P16)</f>
        <v>-10.425000000000001</v>
      </c>
      <c r="P16" s="119">
        <v>12</v>
      </c>
      <c r="Q16" s="107">
        <v>-125.10000000000001</v>
      </c>
    </row>
    <row r="17" spans="1:17" x14ac:dyDescent="0.4">
      <c r="A17" s="54" t="s">
        <v>10</v>
      </c>
      <c r="B17" s="46">
        <f>B19+B18</f>
        <v>28</v>
      </c>
      <c r="C17" s="37">
        <f>IF(B$3=0,0,B17/B$3)</f>
        <v>0.23529411764705882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5</v>
      </c>
      <c r="N17" s="115" t="s">
        <v>178</v>
      </c>
      <c r="O17" s="125">
        <f>IF(P17=0,0,Q17/P17)</f>
        <v>-28.699999999999996</v>
      </c>
      <c r="P17" s="119">
        <v>1</v>
      </c>
      <c r="Q17" s="107">
        <v>-28.699999999999996</v>
      </c>
    </row>
    <row r="18" spans="1:17" x14ac:dyDescent="0.4">
      <c r="A18" s="55" t="s">
        <v>12</v>
      </c>
      <c r="B18" s="47">
        <v>9</v>
      </c>
      <c r="C18" s="39">
        <f>IF(B$17=0,0,B18/B$17)</f>
        <v>0.32142857142857145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127</v>
      </c>
      <c r="O18" s="125">
        <f>IF(P18=0,0,Q18/P18)</f>
        <v>-38.118181818181824</v>
      </c>
      <c r="P18" s="119">
        <v>11</v>
      </c>
      <c r="Q18" s="107">
        <v>-419.30000000000007</v>
      </c>
    </row>
    <row r="19" spans="1:17" x14ac:dyDescent="0.4">
      <c r="A19" s="55" t="s">
        <v>11</v>
      </c>
      <c r="B19" s="47">
        <v>19</v>
      </c>
      <c r="C19" s="39">
        <f>IF(B$17=0,0,B19/B$17)</f>
        <v>0.6785714285714286</v>
      </c>
      <c r="E19" s="63" t="s">
        <v>82</v>
      </c>
      <c r="F19" s="60" t="s">
        <v>37</v>
      </c>
      <c r="G19" s="47">
        <v>1</v>
      </c>
      <c r="H19" s="133">
        <f>IF(B$17=0,0,G19/B$17)</f>
        <v>3.5714285714285712E-2</v>
      </c>
      <c r="I19" s="94">
        <v>3</v>
      </c>
      <c r="N19" s="115" t="s">
        <v>179</v>
      </c>
      <c r="O19" s="125">
        <f>IF(P19=0,0,Q19/P19)</f>
        <v>-84.699999999999989</v>
      </c>
      <c r="P19" s="119">
        <v>1</v>
      </c>
      <c r="Q19" s="107">
        <v>-84.699999999999989</v>
      </c>
    </row>
    <row r="20" spans="1:17" x14ac:dyDescent="0.4">
      <c r="A20" s="55" t="s">
        <v>13</v>
      </c>
      <c r="B20" s="47">
        <v>29</v>
      </c>
      <c r="C20" s="39">
        <f>IF(B$3=0,0,B20/B$3)</f>
        <v>0.24369747899159663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170</v>
      </c>
      <c r="B21" s="47">
        <v>3</v>
      </c>
      <c r="C21" s="135">
        <v>0</v>
      </c>
      <c r="E21" s="63" t="s">
        <v>84</v>
      </c>
      <c r="F21" s="60" t="s">
        <v>39</v>
      </c>
      <c r="G21" s="47">
        <v>3</v>
      </c>
      <c r="H21" s="133">
        <f>IF(B$17=0,0,G21/B$17)</f>
        <v>0.10714285714285714</v>
      </c>
      <c r="I21" s="94">
        <v>2</v>
      </c>
    </row>
    <row r="22" spans="1:17" x14ac:dyDescent="0.4">
      <c r="A22" s="55" t="s">
        <v>171</v>
      </c>
      <c r="B22" s="47">
        <v>8</v>
      </c>
      <c r="C22" s="135">
        <v>0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3</v>
      </c>
    </row>
    <row r="23" spans="1:17" x14ac:dyDescent="0.4">
      <c r="A23" s="55" t="s">
        <v>5</v>
      </c>
      <c r="B23" s="51">
        <f>IF(B$17=0,0,C23/B$17)</f>
        <v>7928.5714285714284</v>
      </c>
      <c r="C23" s="41">
        <v>222000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-8551.7241379310344</v>
      </c>
      <c r="C24" s="45">
        <v>-248000</v>
      </c>
      <c r="E24" s="63" t="s">
        <v>87</v>
      </c>
      <c r="F24" s="60" t="s">
        <v>42</v>
      </c>
      <c r="G24" s="47">
        <v>1</v>
      </c>
      <c r="H24" s="133">
        <f>IF(B$17=0,0,G24/B$17)</f>
        <v>3.5714285714285712E-2</v>
      </c>
      <c r="I24" s="94">
        <v>4</v>
      </c>
    </row>
    <row r="25" spans="1:17" x14ac:dyDescent="0.4">
      <c r="A25" s="90" t="s">
        <v>141</v>
      </c>
      <c r="B25" s="146">
        <v>3</v>
      </c>
      <c r="C25" s="147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151</v>
      </c>
      <c r="B26" s="144">
        <v>53700</v>
      </c>
      <c r="C26" s="145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2</v>
      </c>
      <c r="H27" s="133">
        <f>IF(B$17=0,0,G27/B$17)</f>
        <v>7.1428571428571425E-2</v>
      </c>
      <c r="I27" s="94">
        <v>7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5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4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3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168</v>
      </c>
      <c r="F50" s="60" t="s">
        <v>169</v>
      </c>
      <c r="G50" s="47">
        <v>0</v>
      </c>
      <c r="H50" s="133">
        <f>IF(B$17=0,0,G50/B$17)</f>
        <v>0</v>
      </c>
      <c r="I50" s="94">
        <v>3</v>
      </c>
    </row>
    <row r="51" spans="5:9" x14ac:dyDescent="0.4">
      <c r="E51" s="136" t="s">
        <v>172</v>
      </c>
      <c r="F51" s="137" t="s">
        <v>173</v>
      </c>
      <c r="G51" s="48">
        <v>11</v>
      </c>
      <c r="H51" s="138">
        <f>IF(B$17=0,0,G51/B$17)</f>
        <v>0.39285714285714285</v>
      </c>
      <c r="I51" s="139">
        <v>3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9E1F6-F37C-4DF7-BE5A-7B9F86CAAD43}">
  <sheetPr codeName="Sheet15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178</v>
      </c>
      <c r="C1" s="151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2">
        <v>7</v>
      </c>
      <c r="C2" s="153"/>
      <c r="E2" s="62" t="s">
        <v>67</v>
      </c>
      <c r="F2" s="59" t="s">
        <v>23</v>
      </c>
      <c r="G2" s="46">
        <v>14</v>
      </c>
      <c r="H2" s="132">
        <f>IF(B$17=0,0,G2/B$17)</f>
        <v>1</v>
      </c>
      <c r="I2" s="93">
        <v>3</v>
      </c>
      <c r="K2" s="36">
        <v>0</v>
      </c>
      <c r="L2" s="98">
        <v>0</v>
      </c>
      <c r="N2" s="114" t="s">
        <v>131</v>
      </c>
      <c r="O2" s="121">
        <f t="shared" ref="O2:O7" si="0">IF(P2=0,0,Q2/P2)</f>
        <v>9185.7142857142862</v>
      </c>
      <c r="P2" s="118">
        <v>7</v>
      </c>
      <c r="Q2" s="102">
        <v>64300</v>
      </c>
    </row>
    <row r="3" spans="1:17" x14ac:dyDescent="0.4">
      <c r="A3" s="55" t="s">
        <v>8</v>
      </c>
      <c r="B3" s="154">
        <v>53</v>
      </c>
      <c r="C3" s="155"/>
      <c r="E3" s="63" t="s">
        <v>73</v>
      </c>
      <c r="F3" s="60" t="s">
        <v>28</v>
      </c>
      <c r="G3" s="47">
        <v>8</v>
      </c>
      <c r="H3" s="133">
        <f>IF(B$17=0,0,G3/B$17)</f>
        <v>0.5714285714285714</v>
      </c>
      <c r="I3" s="94">
        <v>5</v>
      </c>
      <c r="K3" s="38">
        <v>1</v>
      </c>
      <c r="L3" s="99">
        <v>-9.1</v>
      </c>
      <c r="N3" s="115" t="s">
        <v>132</v>
      </c>
      <c r="O3" s="122">
        <f t="shared" si="0"/>
        <v>-1716.6666666666667</v>
      </c>
      <c r="P3" s="119">
        <v>6</v>
      </c>
      <c r="Q3" s="103">
        <v>-10300</v>
      </c>
    </row>
    <row r="4" spans="1:17" x14ac:dyDescent="0.4">
      <c r="A4" s="55" t="s">
        <v>6</v>
      </c>
      <c r="B4" s="156">
        <v>-60.8</v>
      </c>
      <c r="C4" s="157"/>
      <c r="E4" s="63" t="s">
        <v>68</v>
      </c>
      <c r="F4" s="60" t="s">
        <v>24</v>
      </c>
      <c r="G4" s="47">
        <v>7</v>
      </c>
      <c r="H4" s="133">
        <f>IF(B$17=0,0,G4/B$17)</f>
        <v>0.5</v>
      </c>
      <c r="I4" s="94">
        <v>3</v>
      </c>
      <c r="K4" s="38">
        <v>2</v>
      </c>
      <c r="L4" s="99">
        <v>-67.3</v>
      </c>
      <c r="N4" s="115" t="s">
        <v>133</v>
      </c>
      <c r="O4" s="122">
        <f t="shared" si="0"/>
        <v>-3383.3333333333335</v>
      </c>
      <c r="P4" s="119">
        <v>6</v>
      </c>
      <c r="Q4" s="103">
        <v>-20300</v>
      </c>
    </row>
    <row r="5" spans="1:17" x14ac:dyDescent="0.4">
      <c r="A5" s="55" t="s">
        <v>7</v>
      </c>
      <c r="B5" s="158">
        <f>IF(B$2=0,0,B$4/B$2)</f>
        <v>-8.6857142857142851</v>
      </c>
      <c r="C5" s="159"/>
      <c r="E5" s="63" t="s">
        <v>90</v>
      </c>
      <c r="F5" s="60" t="s">
        <v>45</v>
      </c>
      <c r="G5" s="47">
        <v>6</v>
      </c>
      <c r="H5" s="133">
        <f>IF(B$17=0,0,G5/B$17)</f>
        <v>0.42857142857142855</v>
      </c>
      <c r="I5" s="94">
        <v>1</v>
      </c>
      <c r="K5" s="38">
        <v>3</v>
      </c>
      <c r="L5" s="99">
        <v>-113.8</v>
      </c>
      <c r="N5" s="115" t="s">
        <v>134</v>
      </c>
      <c r="O5" s="122">
        <f t="shared" si="0"/>
        <v>-2500</v>
      </c>
      <c r="P5" s="119">
        <v>6</v>
      </c>
      <c r="Q5" s="103">
        <v>-15000</v>
      </c>
    </row>
    <row r="6" spans="1:17" x14ac:dyDescent="0.4">
      <c r="A6" s="55" t="s">
        <v>1</v>
      </c>
      <c r="B6" s="148">
        <f>IF(B$2=0,0,(B$7*1+B$8*2+B$9*3)/B$2)</f>
        <v>2.1428571428571428</v>
      </c>
      <c r="C6" s="149"/>
      <c r="E6" s="63" t="s">
        <v>65</v>
      </c>
      <c r="F6" s="60" t="s">
        <v>21</v>
      </c>
      <c r="G6" s="47">
        <v>4</v>
      </c>
      <c r="H6" s="133">
        <f>IF(B$17=0,0,G6/B$17)</f>
        <v>0.2857142857142857</v>
      </c>
      <c r="I6" s="94">
        <v>10</v>
      </c>
      <c r="K6" s="38">
        <v>4</v>
      </c>
      <c r="L6" s="99">
        <v>-74.599999999999994</v>
      </c>
      <c r="N6" s="115" t="s">
        <v>135</v>
      </c>
      <c r="O6" s="122">
        <f t="shared" si="0"/>
        <v>-4500</v>
      </c>
      <c r="P6" s="119">
        <v>5</v>
      </c>
      <c r="Q6" s="103">
        <v>-22500</v>
      </c>
    </row>
    <row r="7" spans="1:17" x14ac:dyDescent="0.4">
      <c r="A7" s="55" t="s">
        <v>2</v>
      </c>
      <c r="B7" s="47">
        <v>2</v>
      </c>
      <c r="C7" s="39">
        <f t="shared" ref="C7:C12" si="1">IF(B$2=0,0,B7/B$2)</f>
        <v>0.2857142857142857</v>
      </c>
      <c r="E7" s="63" t="s">
        <v>69</v>
      </c>
      <c r="F7" s="60" t="s">
        <v>12</v>
      </c>
      <c r="G7" s="47">
        <v>3</v>
      </c>
      <c r="H7" s="133">
        <f>IF(B$17=0,0,G7/B$17)</f>
        <v>0.21428571428571427</v>
      </c>
      <c r="I7" s="94">
        <v>9</v>
      </c>
      <c r="K7" s="38">
        <v>5</v>
      </c>
      <c r="L7" s="99">
        <v>-118.3</v>
      </c>
      <c r="N7" s="116" t="s">
        <v>136</v>
      </c>
      <c r="O7" s="123">
        <f t="shared" si="0"/>
        <v>-11750</v>
      </c>
      <c r="P7" s="120">
        <v>4</v>
      </c>
      <c r="Q7" s="104">
        <v>-47000</v>
      </c>
    </row>
    <row r="8" spans="1:17" x14ac:dyDescent="0.4">
      <c r="A8" s="55" t="s">
        <v>3</v>
      </c>
      <c r="B8" s="47">
        <v>2</v>
      </c>
      <c r="C8" s="39">
        <f t="shared" si="1"/>
        <v>0.2857142857142857</v>
      </c>
      <c r="E8" s="63" t="s">
        <v>66</v>
      </c>
      <c r="F8" s="60" t="s">
        <v>22</v>
      </c>
      <c r="G8" s="47">
        <v>1</v>
      </c>
      <c r="H8" s="133">
        <f>IF(B$17=0,0,G8/B$17)</f>
        <v>7.1428571428571425E-2</v>
      </c>
      <c r="I8" s="94">
        <v>9</v>
      </c>
      <c r="K8" s="38">
        <v>6</v>
      </c>
      <c r="L8" s="99">
        <v>-60.3</v>
      </c>
      <c r="N8" s="43"/>
      <c r="O8" s="127"/>
      <c r="P8" s="111"/>
      <c r="Q8" s="109"/>
    </row>
    <row r="9" spans="1:17" x14ac:dyDescent="0.4">
      <c r="A9" s="56" t="s">
        <v>4</v>
      </c>
      <c r="B9" s="48">
        <v>3</v>
      </c>
      <c r="C9" s="40">
        <f t="shared" si="1"/>
        <v>0.42857142857142855</v>
      </c>
      <c r="E9" s="63" t="s">
        <v>72</v>
      </c>
      <c r="F9" s="60" t="s">
        <v>27</v>
      </c>
      <c r="G9" s="47">
        <v>1</v>
      </c>
      <c r="H9" s="133">
        <f>IF(B$17=0,0,G9/B$17)</f>
        <v>7.1428571428571425E-2</v>
      </c>
      <c r="I9" s="94">
        <v>5</v>
      </c>
      <c r="K9" s="38">
        <v>7</v>
      </c>
      <c r="L9" s="99">
        <v>-60.8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2</v>
      </c>
      <c r="C10" s="40">
        <f t="shared" si="1"/>
        <v>0.2857142857142857</v>
      </c>
      <c r="E10" s="63" t="s">
        <v>82</v>
      </c>
      <c r="F10" s="60" t="s">
        <v>37</v>
      </c>
      <c r="G10" s="47">
        <v>1</v>
      </c>
      <c r="H10" s="133">
        <f>IF(B$17=0,0,G10/B$17)</f>
        <v>7.1428571428571425E-2</v>
      </c>
      <c r="I10" s="94">
        <v>1</v>
      </c>
      <c r="N10" s="114" t="s">
        <v>163</v>
      </c>
      <c r="O10" s="124">
        <f>IF(P10=0,0,Q10/P10)</f>
        <v>16.900000000000002</v>
      </c>
      <c r="P10" s="118">
        <v>3</v>
      </c>
      <c r="Q10" s="106">
        <v>50.7</v>
      </c>
    </row>
    <row r="11" spans="1:17" x14ac:dyDescent="0.4">
      <c r="A11" s="56" t="s">
        <v>139</v>
      </c>
      <c r="B11" s="48">
        <v>2</v>
      </c>
      <c r="C11" s="40">
        <f t="shared" si="1"/>
        <v>0.2857142857142857</v>
      </c>
      <c r="E11" s="63" t="s">
        <v>84</v>
      </c>
      <c r="F11" s="60" t="s">
        <v>39</v>
      </c>
      <c r="G11" s="47">
        <v>1</v>
      </c>
      <c r="H11" s="133">
        <f>IF(B$17=0,0,G11/B$17)</f>
        <v>7.1428571428571425E-2</v>
      </c>
      <c r="I11" s="94">
        <v>4</v>
      </c>
      <c r="N11" s="115" t="s">
        <v>164</v>
      </c>
      <c r="O11" s="125">
        <f>IF(P11=0,0,Q11/P11)</f>
        <v>-26.400000000000002</v>
      </c>
      <c r="P11" s="119">
        <v>2</v>
      </c>
      <c r="Q11" s="107">
        <v>-52.800000000000004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92</v>
      </c>
      <c r="F12" s="60" t="s">
        <v>47</v>
      </c>
      <c r="G12" s="47">
        <v>1</v>
      </c>
      <c r="H12" s="133">
        <f>IF(B$17=0,0,G12/B$17)</f>
        <v>7.1428571428571425E-2</v>
      </c>
      <c r="I12" s="94">
        <v>1</v>
      </c>
      <c r="N12" s="116" t="s">
        <v>165</v>
      </c>
      <c r="O12" s="126">
        <f>IF(P12=0,0,Q12/P12)</f>
        <v>-29.35</v>
      </c>
      <c r="P12" s="120">
        <v>2</v>
      </c>
      <c r="Q12" s="108">
        <v>-58.7</v>
      </c>
    </row>
    <row r="13" spans="1:17" x14ac:dyDescent="0.4">
      <c r="A13" s="58" t="s">
        <v>122</v>
      </c>
      <c r="B13" s="50">
        <v>8</v>
      </c>
      <c r="C13" s="44">
        <f>IF(B$3=0,0,B13/B$3)</f>
        <v>0.15094339622641509</v>
      </c>
      <c r="E13" s="63" t="s">
        <v>93</v>
      </c>
      <c r="F13" s="60" t="s">
        <v>48</v>
      </c>
      <c r="G13" s="47">
        <v>1</v>
      </c>
      <c r="H13" s="133">
        <f>IF(B$17=0,0,G13/B$17)</f>
        <v>7.1428571428571425E-2</v>
      </c>
      <c r="I13" s="94">
        <v>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16</v>
      </c>
      <c r="C14" s="39">
        <f>IF(B$3=0,0,B14/B$3)</f>
        <v>0.30188679245283018</v>
      </c>
      <c r="E14" s="63" t="s">
        <v>172</v>
      </c>
      <c r="F14" s="60" t="s">
        <v>173</v>
      </c>
      <c r="G14" s="47">
        <v>1</v>
      </c>
      <c r="H14" s="133">
        <f>IF(B$17=0,0,G14/B$17)</f>
        <v>7.1428571428571425E-2</v>
      </c>
      <c r="I14" s="94">
        <v>9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4</v>
      </c>
      <c r="C15" s="37">
        <f>IF(B$13=0,0,B15/B$13)</f>
        <v>0.5</v>
      </c>
      <c r="E15" s="63" t="s">
        <v>70</v>
      </c>
      <c r="F15" s="60" t="s">
        <v>25</v>
      </c>
      <c r="G15" s="47">
        <v>0</v>
      </c>
      <c r="H15" s="133">
        <f>IF(B$17=0,0,G15/B$17)</f>
        <v>0</v>
      </c>
      <c r="I15" s="94">
        <v>7</v>
      </c>
      <c r="N15" s="114" t="s">
        <v>180</v>
      </c>
      <c r="O15" s="124">
        <f>IF(P15=0,0,Q15/P15)</f>
        <v>28.699999999999996</v>
      </c>
      <c r="P15" s="118">
        <v>1</v>
      </c>
      <c r="Q15" s="106">
        <v>28.699999999999996</v>
      </c>
    </row>
    <row r="16" spans="1:17" x14ac:dyDescent="0.4">
      <c r="A16" s="54" t="s">
        <v>125</v>
      </c>
      <c r="B16" s="46">
        <v>7</v>
      </c>
      <c r="C16" s="37">
        <f>IF(B$14=0,0,B16/B$14)</f>
        <v>0.4375</v>
      </c>
      <c r="E16" s="63" t="s">
        <v>71</v>
      </c>
      <c r="F16" s="60" t="s">
        <v>26</v>
      </c>
      <c r="G16" s="47">
        <v>0</v>
      </c>
      <c r="H16" s="133">
        <f>IF(B$17=0,0,G16/B$17)</f>
        <v>0</v>
      </c>
      <c r="I16" s="94">
        <v>9</v>
      </c>
      <c r="N16" s="115" t="s">
        <v>127</v>
      </c>
      <c r="O16" s="125">
        <f>IF(P16=0,0,Q16/P16)</f>
        <v>22.15</v>
      </c>
      <c r="P16" s="119">
        <v>4</v>
      </c>
      <c r="Q16" s="107">
        <v>88.6</v>
      </c>
    </row>
    <row r="17" spans="1:17" x14ac:dyDescent="0.4">
      <c r="A17" s="54" t="s">
        <v>10</v>
      </c>
      <c r="B17" s="46">
        <f>B19+B18</f>
        <v>14</v>
      </c>
      <c r="C17" s="37">
        <f>IF(B$3=0,0,B17/B$3)</f>
        <v>0.26415094339622641</v>
      </c>
      <c r="E17" s="63" t="s">
        <v>74</v>
      </c>
      <c r="F17" s="60" t="s">
        <v>29</v>
      </c>
      <c r="G17" s="47">
        <v>0</v>
      </c>
      <c r="H17" s="133">
        <f>IF(B$17=0,0,G17/B$17)</f>
        <v>0</v>
      </c>
      <c r="I17" s="94">
        <v>1</v>
      </c>
      <c r="N17" s="115" t="s">
        <v>179</v>
      </c>
      <c r="O17" s="125">
        <f>IF(P17=0,0,Q17/P17)</f>
        <v>14.150000000000002</v>
      </c>
      <c r="P17" s="119">
        <v>2</v>
      </c>
      <c r="Q17" s="107">
        <v>28.300000000000004</v>
      </c>
    </row>
    <row r="18" spans="1:17" x14ac:dyDescent="0.4">
      <c r="A18" s="55" t="s">
        <v>12</v>
      </c>
      <c r="B18" s="47">
        <v>5</v>
      </c>
      <c r="C18" s="39">
        <f>IF(B$17=0,0,B18/B$17)</f>
        <v>0.35714285714285715</v>
      </c>
      <c r="E18" s="63" t="s">
        <v>75</v>
      </c>
      <c r="F18" s="60" t="s">
        <v>30</v>
      </c>
      <c r="G18" s="47">
        <v>0</v>
      </c>
      <c r="H18" s="133">
        <f>IF(B$17=0,0,G18/B$17)</f>
        <v>0</v>
      </c>
      <c r="I18" s="94">
        <v>1</v>
      </c>
      <c r="N18" s="115" t="s">
        <v>128</v>
      </c>
      <c r="O18" s="125">
        <f>IF(P18=0,0,Q18/P18)</f>
        <v>-4.6333333333333329</v>
      </c>
      <c r="P18" s="119">
        <v>3</v>
      </c>
      <c r="Q18" s="107">
        <v>-13.899999999999999</v>
      </c>
    </row>
    <row r="19" spans="1:17" x14ac:dyDescent="0.4">
      <c r="A19" s="55" t="s">
        <v>11</v>
      </c>
      <c r="B19" s="47">
        <v>9</v>
      </c>
      <c r="C19" s="39">
        <f>IF(B$17=0,0,B19/B$17)</f>
        <v>0.6428571428571429</v>
      </c>
      <c r="E19" s="63" t="s">
        <v>76</v>
      </c>
      <c r="F19" s="60" t="s">
        <v>31</v>
      </c>
      <c r="G19" s="47">
        <v>0</v>
      </c>
      <c r="H19" s="133">
        <f>IF(B$17=0,0,G19/B$17)</f>
        <v>0</v>
      </c>
      <c r="I19" s="94">
        <v>1</v>
      </c>
      <c r="N19" s="115" t="s">
        <v>183</v>
      </c>
      <c r="O19" s="125">
        <f>IF(P19=0,0,Q19/P19)</f>
        <v>-49.85</v>
      </c>
      <c r="P19" s="119">
        <v>2</v>
      </c>
      <c r="Q19" s="107">
        <v>-99.7</v>
      </c>
    </row>
    <row r="20" spans="1:17" x14ac:dyDescent="0.4">
      <c r="A20" s="55" t="s">
        <v>13</v>
      </c>
      <c r="B20" s="47">
        <v>14</v>
      </c>
      <c r="C20" s="39">
        <f>IF(B$3=0,0,B20/B$3)</f>
        <v>0.26415094339622641</v>
      </c>
      <c r="E20" s="63" t="s">
        <v>77</v>
      </c>
      <c r="F20" s="60" t="s">
        <v>32</v>
      </c>
      <c r="G20" s="47">
        <v>0</v>
      </c>
      <c r="H20" s="133">
        <f>IF(B$17=0,0,G20/B$17)</f>
        <v>0</v>
      </c>
      <c r="I20" s="94">
        <v>1</v>
      </c>
      <c r="N20" s="115" t="s">
        <v>182</v>
      </c>
      <c r="O20" s="125">
        <f>IF(P20=0,0,Q20/P20)</f>
        <v>-107.2</v>
      </c>
      <c r="P20" s="119">
        <v>2</v>
      </c>
      <c r="Q20" s="107">
        <v>-214.4</v>
      </c>
    </row>
    <row r="21" spans="1:17" x14ac:dyDescent="0.4">
      <c r="A21" s="55" t="s">
        <v>170</v>
      </c>
      <c r="B21" s="47">
        <v>2</v>
      </c>
      <c r="C21" s="135">
        <v>0</v>
      </c>
      <c r="E21" s="63" t="s">
        <v>78</v>
      </c>
      <c r="F21" s="60" t="s">
        <v>33</v>
      </c>
      <c r="G21" s="47">
        <v>0</v>
      </c>
      <c r="H21" s="133">
        <f>IF(B$17=0,0,G21/B$17)</f>
        <v>0</v>
      </c>
      <c r="I21" s="94">
        <v>3</v>
      </c>
    </row>
    <row r="22" spans="1:17" x14ac:dyDescent="0.4">
      <c r="A22" s="55" t="s">
        <v>171</v>
      </c>
      <c r="B22" s="47">
        <v>9</v>
      </c>
      <c r="C22" s="135">
        <v>9</v>
      </c>
      <c r="E22" s="63" t="s">
        <v>79</v>
      </c>
      <c r="F22" s="60" t="s">
        <v>34</v>
      </c>
      <c r="G22" s="47">
        <v>0</v>
      </c>
      <c r="H22" s="133">
        <f>IF(B$17=0,0,G22/B$17)</f>
        <v>0</v>
      </c>
      <c r="I22" s="94">
        <v>7</v>
      </c>
    </row>
    <row r="23" spans="1:17" x14ac:dyDescent="0.4">
      <c r="A23" s="55" t="s">
        <v>5</v>
      </c>
      <c r="B23" s="51">
        <f>IF(B$17=0,0,C23/B$17)</f>
        <v>12942.857142857143</v>
      </c>
      <c r="C23" s="41">
        <v>181200</v>
      </c>
      <c r="E23" s="63" t="s">
        <v>80</v>
      </c>
      <c r="F23" s="60" t="s">
        <v>35</v>
      </c>
      <c r="G23" s="47">
        <v>0</v>
      </c>
      <c r="H23" s="133">
        <f>IF(B$17=0,0,G23/B$17)</f>
        <v>0</v>
      </c>
      <c r="I23" s="94">
        <v>5</v>
      </c>
    </row>
    <row r="24" spans="1:17" x14ac:dyDescent="0.4">
      <c r="A24" s="57" t="s">
        <v>14</v>
      </c>
      <c r="B24" s="52">
        <f>IF(B$20=0,0,C24/B$20)</f>
        <v>-10764.285714285714</v>
      </c>
      <c r="C24" s="45">
        <v>-150700</v>
      </c>
      <c r="E24" s="63" t="s">
        <v>81</v>
      </c>
      <c r="F24" s="60" t="s">
        <v>36</v>
      </c>
      <c r="G24" s="47">
        <v>0</v>
      </c>
      <c r="H24" s="133">
        <f>IF(B$17=0,0,G24/B$17)</f>
        <v>0</v>
      </c>
      <c r="I24" s="94">
        <v>1</v>
      </c>
    </row>
    <row r="25" spans="1:17" x14ac:dyDescent="0.4">
      <c r="A25" s="90" t="s">
        <v>141</v>
      </c>
      <c r="B25" s="146">
        <v>8</v>
      </c>
      <c r="C25" s="147"/>
      <c r="E25" s="63" t="s">
        <v>83</v>
      </c>
      <c r="F25" s="60" t="s">
        <v>38</v>
      </c>
      <c r="G25" s="47">
        <v>0</v>
      </c>
      <c r="H25" s="133">
        <f>IF(B$17=0,0,G25/B$17)</f>
        <v>0</v>
      </c>
      <c r="I25" s="94">
        <v>1</v>
      </c>
    </row>
    <row r="26" spans="1:17" x14ac:dyDescent="0.4">
      <c r="A26" s="58" t="s">
        <v>151</v>
      </c>
      <c r="B26" s="144">
        <v>83000</v>
      </c>
      <c r="C26" s="145"/>
      <c r="E26" s="63" t="s">
        <v>85</v>
      </c>
      <c r="F26" s="60" t="s">
        <v>40</v>
      </c>
      <c r="G26" s="47">
        <v>0</v>
      </c>
      <c r="H26" s="133">
        <f>IF(B$17=0,0,G26/B$17)</f>
        <v>0</v>
      </c>
      <c r="I26" s="94">
        <v>3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86</v>
      </c>
      <c r="F27" s="60" t="s">
        <v>41</v>
      </c>
      <c r="G27" s="47">
        <v>0</v>
      </c>
      <c r="H27" s="133">
        <f>IF(B$17=0,0,G27/B$17)</f>
        <v>0</v>
      </c>
      <c r="I27" s="94">
        <v>4</v>
      </c>
    </row>
    <row r="28" spans="1:17" x14ac:dyDescent="0.4">
      <c r="E28" s="63" t="s">
        <v>87</v>
      </c>
      <c r="F28" s="60" t="s">
        <v>42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88</v>
      </c>
      <c r="F29" s="60" t="s">
        <v>43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4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3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168</v>
      </c>
      <c r="F51" s="137" t="s">
        <v>169</v>
      </c>
      <c r="G51" s="48">
        <v>0</v>
      </c>
      <c r="H51" s="138">
        <f>IF(B$17=0,0,G51/B$17)</f>
        <v>0</v>
      </c>
      <c r="I51" s="139">
        <v>3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A929A9-3C62-4631-A441-71BE338F04F5}">
  <sheetPr codeName="Sheet1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179</v>
      </c>
      <c r="C1" s="151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2">
        <v>4</v>
      </c>
      <c r="C2" s="153"/>
      <c r="E2" s="62" t="s">
        <v>65</v>
      </c>
      <c r="F2" s="59" t="s">
        <v>21</v>
      </c>
      <c r="G2" s="46">
        <v>3</v>
      </c>
      <c r="H2" s="132">
        <f>IF(B$17=0,0,G2/B$17)</f>
        <v>0.375</v>
      </c>
      <c r="I2" s="93">
        <v>9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-7025</v>
      </c>
      <c r="P2" s="118">
        <v>4</v>
      </c>
      <c r="Q2" s="102">
        <v>-28100</v>
      </c>
    </row>
    <row r="3" spans="1:17" x14ac:dyDescent="0.4">
      <c r="A3" s="55" t="s">
        <v>8</v>
      </c>
      <c r="B3" s="154">
        <v>39</v>
      </c>
      <c r="C3" s="155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10</v>
      </c>
      <c r="K3" s="38">
        <v>1</v>
      </c>
      <c r="L3" s="99">
        <v>46.9</v>
      </c>
      <c r="N3" s="115" t="s">
        <v>132</v>
      </c>
      <c r="O3" s="122">
        <f t="shared" si="0"/>
        <v>-2625</v>
      </c>
      <c r="P3" s="119">
        <v>4</v>
      </c>
      <c r="Q3" s="103">
        <v>-10500</v>
      </c>
    </row>
    <row r="4" spans="1:17" x14ac:dyDescent="0.4">
      <c r="A4" s="55" t="s">
        <v>6</v>
      </c>
      <c r="B4" s="156">
        <v>-19.3</v>
      </c>
      <c r="C4" s="157"/>
      <c r="E4" s="63" t="s">
        <v>67</v>
      </c>
      <c r="F4" s="60" t="s">
        <v>23</v>
      </c>
      <c r="G4" s="47">
        <v>2</v>
      </c>
      <c r="H4" s="133">
        <f>IF(B$17=0,0,G4/B$17)</f>
        <v>0.25</v>
      </c>
      <c r="I4" s="94">
        <v>10</v>
      </c>
      <c r="K4" s="38">
        <v>2</v>
      </c>
      <c r="L4" s="99">
        <v>8.1000000000000014</v>
      </c>
      <c r="N4" s="115" t="s">
        <v>133</v>
      </c>
      <c r="O4" s="122">
        <f t="shared" si="0"/>
        <v>5000</v>
      </c>
      <c r="P4" s="119">
        <v>4</v>
      </c>
      <c r="Q4" s="103">
        <v>20000</v>
      </c>
    </row>
    <row r="5" spans="1:17" x14ac:dyDescent="0.4">
      <c r="A5" s="55" t="s">
        <v>7</v>
      </c>
      <c r="B5" s="158">
        <f>IF(B$2=0,0,B$4/B$2)</f>
        <v>-4.8250000000000002</v>
      </c>
      <c r="C5" s="159"/>
      <c r="E5" s="63" t="s">
        <v>68</v>
      </c>
      <c r="F5" s="60" t="s">
        <v>24</v>
      </c>
      <c r="G5" s="47">
        <v>2</v>
      </c>
      <c r="H5" s="133">
        <f>IF(B$17=0,0,G5/B$17)</f>
        <v>0.25</v>
      </c>
      <c r="I5" s="94">
        <v>9</v>
      </c>
      <c r="K5" s="38">
        <v>3</v>
      </c>
      <c r="L5" s="99">
        <v>-37</v>
      </c>
      <c r="N5" s="115" t="s">
        <v>134</v>
      </c>
      <c r="O5" s="122">
        <f t="shared" si="0"/>
        <v>-2375</v>
      </c>
      <c r="P5" s="119">
        <v>4</v>
      </c>
      <c r="Q5" s="103">
        <v>-9500</v>
      </c>
    </row>
    <row r="6" spans="1:17" x14ac:dyDescent="0.4">
      <c r="A6" s="55" t="s">
        <v>1</v>
      </c>
      <c r="B6" s="148">
        <f>IF(B$2=0,0,(B$7*1+B$8*2+B$9*3)/B$2)</f>
        <v>2.25</v>
      </c>
      <c r="C6" s="149"/>
      <c r="E6" s="63" t="s">
        <v>69</v>
      </c>
      <c r="F6" s="60" t="s">
        <v>12</v>
      </c>
      <c r="G6" s="47">
        <v>2</v>
      </c>
      <c r="H6" s="133">
        <f>IF(B$17=0,0,G6/B$17)</f>
        <v>0.25</v>
      </c>
      <c r="I6" s="94">
        <v>6</v>
      </c>
      <c r="K6" s="38">
        <v>4</v>
      </c>
      <c r="L6" s="99">
        <v>-19.3</v>
      </c>
      <c r="N6" s="115" t="s">
        <v>135</v>
      </c>
      <c r="O6" s="122">
        <f t="shared" si="0"/>
        <v>-750</v>
      </c>
      <c r="P6" s="119">
        <v>2</v>
      </c>
      <c r="Q6" s="103">
        <v>-1500</v>
      </c>
    </row>
    <row r="7" spans="1:17" x14ac:dyDescent="0.4">
      <c r="A7" s="55" t="s">
        <v>2</v>
      </c>
      <c r="B7" s="47">
        <v>1</v>
      </c>
      <c r="C7" s="39">
        <f t="shared" ref="C7:C12" si="1">IF(B$2=0,0,B7/B$2)</f>
        <v>0.25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7</v>
      </c>
      <c r="N7" s="116" t="s">
        <v>136</v>
      </c>
      <c r="O7" s="123">
        <f t="shared" si="0"/>
        <v>10150</v>
      </c>
      <c r="P7" s="120">
        <v>2</v>
      </c>
      <c r="Q7" s="104">
        <v>20300</v>
      </c>
    </row>
    <row r="8" spans="1:17" x14ac:dyDescent="0.4">
      <c r="A8" s="55" t="s">
        <v>3</v>
      </c>
      <c r="B8" s="47">
        <v>1</v>
      </c>
      <c r="C8" s="39">
        <f t="shared" si="1"/>
        <v>0.25</v>
      </c>
      <c r="E8" s="63" t="s">
        <v>71</v>
      </c>
      <c r="F8" s="60" t="s">
        <v>26</v>
      </c>
      <c r="G8" s="47">
        <v>1</v>
      </c>
      <c r="H8" s="133">
        <f>IF(B$17=0,0,G8/B$17)</f>
        <v>0.125</v>
      </c>
      <c r="I8" s="94">
        <v>4</v>
      </c>
      <c r="N8" s="43"/>
      <c r="O8" s="127"/>
      <c r="P8" s="111"/>
      <c r="Q8" s="109"/>
    </row>
    <row r="9" spans="1:17" x14ac:dyDescent="0.4">
      <c r="A9" s="56" t="s">
        <v>4</v>
      </c>
      <c r="B9" s="48">
        <v>2</v>
      </c>
      <c r="C9" s="40">
        <f t="shared" si="1"/>
        <v>0.5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8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1</v>
      </c>
      <c r="C10" s="40">
        <f t="shared" si="1"/>
        <v>0.25</v>
      </c>
      <c r="E10" s="63" t="s">
        <v>73</v>
      </c>
      <c r="F10" s="60" t="s">
        <v>28</v>
      </c>
      <c r="G10" s="47">
        <v>8</v>
      </c>
      <c r="H10" s="133">
        <f>IF(B$17=0,0,G10/B$17)</f>
        <v>1</v>
      </c>
      <c r="I10" s="94">
        <v>1</v>
      </c>
      <c r="N10" s="114" t="s">
        <v>163</v>
      </c>
      <c r="O10" s="124">
        <f>IF(P10=0,0,Q10/P10)</f>
        <v>17.7</v>
      </c>
      <c r="P10" s="118">
        <v>1</v>
      </c>
      <c r="Q10" s="106">
        <v>17.7</v>
      </c>
    </row>
    <row r="11" spans="1:17" x14ac:dyDescent="0.4">
      <c r="A11" s="56" t="s">
        <v>139</v>
      </c>
      <c r="B11" s="48">
        <v>0</v>
      </c>
      <c r="C11" s="40">
        <f t="shared" si="1"/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1</v>
      </c>
      <c r="N11" s="115" t="s">
        <v>164</v>
      </c>
      <c r="O11" s="125">
        <f>IF(P11=0,0,Q11/P11)</f>
        <v>-45.1</v>
      </c>
      <c r="P11" s="119">
        <v>1</v>
      </c>
      <c r="Q11" s="107">
        <v>-45.1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1</v>
      </c>
      <c r="N12" s="116" t="s">
        <v>165</v>
      </c>
      <c r="O12" s="126">
        <f>IF(P12=0,0,Q12/P12)</f>
        <v>4.0500000000000007</v>
      </c>
      <c r="P12" s="120">
        <v>2</v>
      </c>
      <c r="Q12" s="108">
        <v>8.1000000000000014</v>
      </c>
    </row>
    <row r="13" spans="1:17" x14ac:dyDescent="0.4">
      <c r="A13" s="58" t="s">
        <v>122</v>
      </c>
      <c r="B13" s="50">
        <v>4</v>
      </c>
      <c r="C13" s="44">
        <f>IF(B$3=0,0,B13/B$3)</f>
        <v>0.10256410256410256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7</v>
      </c>
      <c r="C14" s="39">
        <f>IF(B$3=0,0,B14/B$3)</f>
        <v>0.17948717948717949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3</v>
      </c>
      <c r="C15" s="37">
        <f>IF(B$13=0,0,B15/B$13)</f>
        <v>0.75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3</v>
      </c>
      <c r="N15" s="114" t="s">
        <v>180</v>
      </c>
      <c r="O15" s="124">
        <f t="shared" ref="O15:O20" si="2">IF(P15=0,0,Q15/P15)</f>
        <v>84.699999999999989</v>
      </c>
      <c r="P15" s="118">
        <v>1</v>
      </c>
      <c r="Q15" s="106">
        <v>84.699999999999989</v>
      </c>
    </row>
    <row r="16" spans="1:17" x14ac:dyDescent="0.4">
      <c r="A16" s="54" t="s">
        <v>125</v>
      </c>
      <c r="B16" s="46">
        <v>4</v>
      </c>
      <c r="C16" s="37">
        <f>IF(B$14=0,0,B16/B$14)</f>
        <v>0.5714285714285714</v>
      </c>
      <c r="E16" s="63" t="s">
        <v>79</v>
      </c>
      <c r="F16" s="60" t="s">
        <v>34</v>
      </c>
      <c r="G16" s="47">
        <v>1</v>
      </c>
      <c r="H16" s="133">
        <f>IF(B$17=0,0,G16/B$17)</f>
        <v>0.125</v>
      </c>
      <c r="I16" s="94">
        <v>2</v>
      </c>
      <c r="N16" s="115" t="s">
        <v>196</v>
      </c>
      <c r="O16" s="125">
        <f t="shared" si="2"/>
        <v>64.2</v>
      </c>
      <c r="P16" s="119">
        <v>1</v>
      </c>
      <c r="Q16" s="107">
        <v>64.2</v>
      </c>
    </row>
    <row r="17" spans="1:17" x14ac:dyDescent="0.4">
      <c r="A17" s="54" t="s">
        <v>10</v>
      </c>
      <c r="B17" s="46">
        <f>B19+B18</f>
        <v>8</v>
      </c>
      <c r="C17" s="37">
        <f>IF(B$3=0,0,B17/B$3)</f>
        <v>0.20512820512820512</v>
      </c>
      <c r="E17" s="63" t="s">
        <v>80</v>
      </c>
      <c r="F17" s="60" t="s">
        <v>35</v>
      </c>
      <c r="G17" s="47">
        <v>2</v>
      </c>
      <c r="H17" s="133">
        <f>IF(B$17=0,0,G17/B$17)</f>
        <v>0.25</v>
      </c>
      <c r="I17" s="94">
        <v>1</v>
      </c>
      <c r="N17" s="115" t="s">
        <v>128</v>
      </c>
      <c r="O17" s="125">
        <f t="shared" si="2"/>
        <v>-11.100000000000001</v>
      </c>
      <c r="P17" s="119">
        <v>1</v>
      </c>
      <c r="Q17" s="107">
        <v>-11.100000000000001</v>
      </c>
    </row>
    <row r="18" spans="1:17" x14ac:dyDescent="0.4">
      <c r="A18" s="55" t="s">
        <v>12</v>
      </c>
      <c r="B18" s="47">
        <v>3</v>
      </c>
      <c r="C18" s="39">
        <f>IF(B$17=0,0,B18/B$17)</f>
        <v>0.375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178</v>
      </c>
      <c r="O18" s="125">
        <f t="shared" si="2"/>
        <v>-14.150000000000002</v>
      </c>
      <c r="P18" s="119">
        <v>2</v>
      </c>
      <c r="Q18" s="107">
        <v>-28.300000000000004</v>
      </c>
    </row>
    <row r="19" spans="1:17" x14ac:dyDescent="0.4">
      <c r="A19" s="55" t="s">
        <v>11</v>
      </c>
      <c r="B19" s="47">
        <v>5</v>
      </c>
      <c r="C19" s="39">
        <f>IF(B$17=0,0,B19/B$17)</f>
        <v>0.625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6</v>
      </c>
      <c r="N19" s="115" t="s">
        <v>167</v>
      </c>
      <c r="O19" s="125">
        <f t="shared" si="2"/>
        <v>-16.399999999999999</v>
      </c>
      <c r="P19" s="119">
        <v>1</v>
      </c>
      <c r="Q19" s="107">
        <v>-16.399999999999999</v>
      </c>
    </row>
    <row r="20" spans="1:17" x14ac:dyDescent="0.4">
      <c r="A20" s="55" t="s">
        <v>13</v>
      </c>
      <c r="B20" s="47">
        <v>4</v>
      </c>
      <c r="C20" s="39">
        <f>IF(B$3=0,0,B20/B$3)</f>
        <v>0.10256410256410256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N20" s="115" t="s">
        <v>127</v>
      </c>
      <c r="O20" s="125">
        <f t="shared" si="2"/>
        <v>-75.5</v>
      </c>
      <c r="P20" s="119">
        <v>2</v>
      </c>
      <c r="Q20" s="107">
        <v>-151</v>
      </c>
    </row>
    <row r="21" spans="1:17" x14ac:dyDescent="0.4">
      <c r="A21" s="55" t="s">
        <v>170</v>
      </c>
      <c r="B21" s="47">
        <v>3</v>
      </c>
      <c r="C21" s="135">
        <v>0</v>
      </c>
      <c r="E21" s="63" t="s">
        <v>84</v>
      </c>
      <c r="F21" s="60" t="s">
        <v>39</v>
      </c>
      <c r="G21" s="47">
        <v>2</v>
      </c>
      <c r="H21" s="133">
        <f>IF(B$17=0,0,G21/B$17)</f>
        <v>0.25</v>
      </c>
      <c r="I21" s="94">
        <v>1</v>
      </c>
    </row>
    <row r="22" spans="1:17" x14ac:dyDescent="0.4">
      <c r="A22" s="55" t="s">
        <v>171</v>
      </c>
      <c r="B22" s="47">
        <v>15</v>
      </c>
      <c r="C22" s="135">
        <v>7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3</v>
      </c>
    </row>
    <row r="23" spans="1:17" x14ac:dyDescent="0.4">
      <c r="A23" s="55" t="s">
        <v>5</v>
      </c>
      <c r="B23" s="51">
        <f>IF(B$17=0,0,C23/B$17)</f>
        <v>8937.5</v>
      </c>
      <c r="C23" s="41">
        <v>71500</v>
      </c>
      <c r="E23" s="63" t="s">
        <v>86</v>
      </c>
      <c r="F23" s="60" t="s">
        <v>41</v>
      </c>
      <c r="G23" s="47">
        <v>1</v>
      </c>
      <c r="H23" s="133">
        <f>IF(B$17=0,0,G23/B$17)</f>
        <v>0.125</v>
      </c>
      <c r="I23" s="94">
        <v>1</v>
      </c>
    </row>
    <row r="24" spans="1:17" x14ac:dyDescent="0.4">
      <c r="A24" s="57" t="s">
        <v>14</v>
      </c>
      <c r="B24" s="52">
        <f>IF(B$20=0,0,C24/B$20)</f>
        <v>-7900</v>
      </c>
      <c r="C24" s="45">
        <v>-31600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5</v>
      </c>
    </row>
    <row r="25" spans="1:17" x14ac:dyDescent="0.4">
      <c r="A25" s="90" t="s">
        <v>141</v>
      </c>
      <c r="B25" s="146">
        <v>3</v>
      </c>
      <c r="C25" s="147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151</v>
      </c>
      <c r="B26" s="144">
        <v>71900</v>
      </c>
      <c r="C26" s="145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1</v>
      </c>
      <c r="H27" s="133">
        <f>IF(B$17=0,0,G27/B$17)</f>
        <v>0.125</v>
      </c>
      <c r="I27" s="94">
        <v>6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5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4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3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168</v>
      </c>
      <c r="F50" s="60" t="s">
        <v>169</v>
      </c>
      <c r="G50" s="47">
        <v>0</v>
      </c>
      <c r="H50" s="133">
        <f>IF(B$17=0,0,G50/B$17)</f>
        <v>0</v>
      </c>
      <c r="I50" s="94">
        <v>3</v>
      </c>
    </row>
    <row r="51" spans="5:9" x14ac:dyDescent="0.4">
      <c r="E51" s="136" t="s">
        <v>172</v>
      </c>
      <c r="F51" s="137" t="s">
        <v>173</v>
      </c>
      <c r="G51" s="48">
        <v>2</v>
      </c>
      <c r="H51" s="138">
        <f>IF(B$17=0,0,G51/B$17)</f>
        <v>0.25</v>
      </c>
      <c r="I51" s="139">
        <v>8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CD9DB-615D-40D9-BF44-9A36D24B2C39}">
  <sheetPr codeName="Sheet1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183</v>
      </c>
      <c r="C1" s="151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2">
        <v>3</v>
      </c>
      <c r="C2" s="153"/>
      <c r="E2" s="62" t="s">
        <v>65</v>
      </c>
      <c r="F2" s="59" t="s">
        <v>21</v>
      </c>
      <c r="G2" s="46">
        <v>5</v>
      </c>
      <c r="H2" s="132">
        <f>IF(B$17=0,0,G2/B$17)</f>
        <v>0.83333333333333337</v>
      </c>
      <c r="I2" s="93">
        <v>1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-400</v>
      </c>
      <c r="P2" s="118">
        <v>3</v>
      </c>
      <c r="Q2" s="102">
        <v>-1200</v>
      </c>
    </row>
    <row r="3" spans="1:17" x14ac:dyDescent="0.4">
      <c r="A3" s="55" t="s">
        <v>8</v>
      </c>
      <c r="B3" s="154">
        <v>26</v>
      </c>
      <c r="C3" s="155"/>
      <c r="E3" s="63" t="s">
        <v>66</v>
      </c>
      <c r="F3" s="60" t="s">
        <v>22</v>
      </c>
      <c r="G3" s="47">
        <v>2</v>
      </c>
      <c r="H3" s="133">
        <f>IF(B$17=0,0,G3/B$17)</f>
        <v>0.33333333333333331</v>
      </c>
      <c r="I3" s="94">
        <v>1</v>
      </c>
      <c r="K3" s="38">
        <v>1</v>
      </c>
      <c r="L3" s="99">
        <v>-12</v>
      </c>
      <c r="N3" s="115" t="s">
        <v>132</v>
      </c>
      <c r="O3" s="122">
        <f t="shared" si="0"/>
        <v>-4833.333333333333</v>
      </c>
      <c r="P3" s="119">
        <v>3</v>
      </c>
      <c r="Q3" s="103">
        <v>-14500</v>
      </c>
    </row>
    <row r="4" spans="1:17" x14ac:dyDescent="0.4">
      <c r="A4" s="55" t="s">
        <v>6</v>
      </c>
      <c r="B4" s="156">
        <v>-33.6</v>
      </c>
      <c r="C4" s="157"/>
      <c r="E4" s="63" t="s">
        <v>67</v>
      </c>
      <c r="F4" s="60" t="s">
        <v>23</v>
      </c>
      <c r="G4" s="47">
        <v>2</v>
      </c>
      <c r="H4" s="133">
        <f>IF(B$17=0,0,G4/B$17)</f>
        <v>0.33333333333333331</v>
      </c>
      <c r="I4" s="94">
        <v>9</v>
      </c>
      <c r="K4" s="38">
        <v>2</v>
      </c>
      <c r="L4" s="99">
        <v>-40.6</v>
      </c>
      <c r="N4" s="115" t="s">
        <v>133</v>
      </c>
      <c r="O4" s="122">
        <f t="shared" si="0"/>
        <v>-1433.3333333333333</v>
      </c>
      <c r="P4" s="119">
        <v>3</v>
      </c>
      <c r="Q4" s="103">
        <v>-4300</v>
      </c>
    </row>
    <row r="5" spans="1:17" x14ac:dyDescent="0.4">
      <c r="A5" s="55" t="s">
        <v>7</v>
      </c>
      <c r="B5" s="158">
        <f>IF(B$2=0,0,B$4/B$2)</f>
        <v>-11.200000000000001</v>
      </c>
      <c r="C5" s="159"/>
      <c r="E5" s="63" t="s">
        <v>68</v>
      </c>
      <c r="F5" s="60" t="s">
        <v>24</v>
      </c>
      <c r="G5" s="47">
        <v>8</v>
      </c>
      <c r="H5" s="133">
        <f>IF(B$17=0,0,G5/B$17)</f>
        <v>1.3333333333333333</v>
      </c>
      <c r="I5" s="94">
        <v>1</v>
      </c>
      <c r="K5" s="38">
        <v>3</v>
      </c>
      <c r="L5" s="99">
        <v>-33.6</v>
      </c>
      <c r="N5" s="115" t="s">
        <v>134</v>
      </c>
      <c r="O5" s="122">
        <f t="shared" si="0"/>
        <v>-2166.6666666666665</v>
      </c>
      <c r="P5" s="119">
        <v>3</v>
      </c>
      <c r="Q5" s="103">
        <v>-6500</v>
      </c>
    </row>
    <row r="6" spans="1:17" x14ac:dyDescent="0.4">
      <c r="A6" s="55" t="s">
        <v>1</v>
      </c>
      <c r="B6" s="148">
        <f>IF(B$2=0,0,(B$7*1+B$8*2+B$9*3)/B$2)</f>
        <v>2.3333333333333335</v>
      </c>
      <c r="C6" s="149"/>
      <c r="E6" s="63" t="s">
        <v>69</v>
      </c>
      <c r="F6" s="60" t="s">
        <v>12</v>
      </c>
      <c r="G6" s="47">
        <v>2</v>
      </c>
      <c r="H6" s="133">
        <f>IF(B$17=0,0,G6/B$17)</f>
        <v>0.33333333333333331</v>
      </c>
      <c r="I6" s="94">
        <v>2</v>
      </c>
      <c r="N6" s="115" t="s">
        <v>135</v>
      </c>
      <c r="O6" s="122">
        <f t="shared" si="0"/>
        <v>3466.6666666666665</v>
      </c>
      <c r="P6" s="119">
        <v>3</v>
      </c>
      <c r="Q6" s="103">
        <v>10400</v>
      </c>
    </row>
    <row r="7" spans="1:17" x14ac:dyDescent="0.4">
      <c r="A7" s="55" t="s">
        <v>2</v>
      </c>
      <c r="B7" s="47">
        <v>0</v>
      </c>
      <c r="C7" s="39">
        <f t="shared" ref="C7:C12" si="1">IF(B$2=0,0,B7/B$2)</f>
        <v>0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7</v>
      </c>
      <c r="N7" s="116" t="s">
        <v>136</v>
      </c>
      <c r="O7" s="123">
        <f t="shared" si="0"/>
        <v>-3750</v>
      </c>
      <c r="P7" s="120">
        <v>2</v>
      </c>
      <c r="Q7" s="104">
        <v>-7500</v>
      </c>
    </row>
    <row r="8" spans="1:17" x14ac:dyDescent="0.4">
      <c r="A8" s="55" t="s">
        <v>3</v>
      </c>
      <c r="B8" s="47">
        <v>2</v>
      </c>
      <c r="C8" s="39">
        <f t="shared" si="1"/>
        <v>0.66666666666666663</v>
      </c>
      <c r="E8" s="63" t="s">
        <v>71</v>
      </c>
      <c r="F8" s="60" t="s">
        <v>26</v>
      </c>
      <c r="G8" s="47">
        <v>1</v>
      </c>
      <c r="H8" s="133">
        <f>IF(B$17=0,0,G8/B$17)</f>
        <v>0.16666666666666666</v>
      </c>
      <c r="I8" s="94">
        <v>1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si="1"/>
        <v>0.33333333333333331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8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0</v>
      </c>
      <c r="C10" s="40">
        <f t="shared" si="1"/>
        <v>0</v>
      </c>
      <c r="E10" s="63" t="s">
        <v>73</v>
      </c>
      <c r="F10" s="60" t="s">
        <v>28</v>
      </c>
      <c r="G10" s="47">
        <v>4</v>
      </c>
      <c r="H10" s="133">
        <f>IF(B$17=0,0,G10/B$17)</f>
        <v>0.66666666666666663</v>
      </c>
      <c r="I10" s="94">
        <v>3</v>
      </c>
      <c r="N10" s="114" t="s">
        <v>163</v>
      </c>
      <c r="O10" s="124">
        <f>IF(P10=0,0,Q10/P10)</f>
        <v>-12</v>
      </c>
      <c r="P10" s="118">
        <v>1</v>
      </c>
      <c r="Q10" s="106">
        <v>-12</v>
      </c>
    </row>
    <row r="11" spans="1:17" x14ac:dyDescent="0.4">
      <c r="A11" s="56" t="s">
        <v>139</v>
      </c>
      <c r="B11" s="48">
        <v>0</v>
      </c>
      <c r="C11" s="40">
        <f t="shared" si="1"/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1</v>
      </c>
      <c r="N11" s="115" t="s">
        <v>164</v>
      </c>
      <c r="O11" s="125">
        <f>IF(P11=0,0,Q11/P11)</f>
        <v>7</v>
      </c>
      <c r="P11" s="119">
        <v>1</v>
      </c>
      <c r="Q11" s="107">
        <v>7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1</v>
      </c>
      <c r="N12" s="116" t="s">
        <v>165</v>
      </c>
      <c r="O12" s="126">
        <f>IF(P12=0,0,Q12/P12)</f>
        <v>-28.6</v>
      </c>
      <c r="P12" s="120">
        <v>1</v>
      </c>
      <c r="Q12" s="108">
        <v>-28.6</v>
      </c>
    </row>
    <row r="13" spans="1:17" x14ac:dyDescent="0.4">
      <c r="A13" s="58" t="s">
        <v>122</v>
      </c>
      <c r="B13" s="50">
        <v>9</v>
      </c>
      <c r="C13" s="44">
        <f>IF(B$3=0,0,B13/B$3)</f>
        <v>0.34615384615384615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6</v>
      </c>
      <c r="C14" s="39">
        <f>IF(B$3=0,0,B14/B$3)</f>
        <v>0.23076923076923078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5</v>
      </c>
      <c r="C15" s="37">
        <f>IF(B$13=0,0,B15/B$13)</f>
        <v>0.55555555555555558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3</v>
      </c>
      <c r="N15" s="114" t="s">
        <v>178</v>
      </c>
      <c r="O15" s="124">
        <f>IF(P15=0,0,Q15/P15)</f>
        <v>49.85</v>
      </c>
      <c r="P15" s="118">
        <v>2</v>
      </c>
      <c r="Q15" s="106">
        <v>99.7</v>
      </c>
    </row>
    <row r="16" spans="1:17" x14ac:dyDescent="0.4">
      <c r="A16" s="54" t="s">
        <v>125</v>
      </c>
      <c r="B16" s="46">
        <v>1</v>
      </c>
      <c r="C16" s="37">
        <f>IF(B$14=0,0,B16/B$14)</f>
        <v>0.16666666666666666</v>
      </c>
      <c r="E16" s="63" t="s">
        <v>79</v>
      </c>
      <c r="F16" s="60" t="s">
        <v>34</v>
      </c>
      <c r="G16" s="47">
        <v>1</v>
      </c>
      <c r="H16" s="133">
        <f>IF(B$17=0,0,G16/B$17)</f>
        <v>0.16666666666666666</v>
      </c>
      <c r="I16" s="94">
        <v>1</v>
      </c>
      <c r="N16" s="115" t="s">
        <v>196</v>
      </c>
      <c r="O16" s="125">
        <f>IF(P16=0,0,Q16/P16)</f>
        <v>-49.7</v>
      </c>
      <c r="P16" s="119">
        <v>1</v>
      </c>
      <c r="Q16" s="107">
        <v>-49.7</v>
      </c>
    </row>
    <row r="17" spans="1:17" x14ac:dyDescent="0.4">
      <c r="A17" s="54" t="s">
        <v>10</v>
      </c>
      <c r="B17" s="46">
        <f>B19+B18</f>
        <v>6</v>
      </c>
      <c r="C17" s="37">
        <f>IF(B$3=0,0,B17/B$3)</f>
        <v>0.23076923076923078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5</v>
      </c>
      <c r="N17" s="115" t="s">
        <v>182</v>
      </c>
      <c r="O17" s="125">
        <f>IF(P17=0,0,Q17/P17)</f>
        <v>-50.266666666666673</v>
      </c>
      <c r="P17" s="119">
        <v>3</v>
      </c>
      <c r="Q17" s="107">
        <v>-150.80000000000001</v>
      </c>
    </row>
    <row r="18" spans="1:17" x14ac:dyDescent="0.4">
      <c r="A18" s="55" t="s">
        <v>12</v>
      </c>
      <c r="B18" s="47">
        <v>3</v>
      </c>
      <c r="C18" s="39">
        <f>IF(B$17=0,0,B18/B$17)</f>
        <v>0.5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17" x14ac:dyDescent="0.4">
      <c r="A19" s="55" t="s">
        <v>11</v>
      </c>
      <c r="B19" s="47">
        <v>3</v>
      </c>
      <c r="C19" s="39">
        <f>IF(B$17=0,0,B19/B$17)</f>
        <v>0.5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6</v>
      </c>
    </row>
    <row r="20" spans="1:17" x14ac:dyDescent="0.4">
      <c r="A20" s="55" t="s">
        <v>13</v>
      </c>
      <c r="B20" s="47">
        <v>5</v>
      </c>
      <c r="C20" s="39">
        <f>IF(B$3=0,0,B20/B$3)</f>
        <v>0.19230769230769232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170</v>
      </c>
      <c r="B21" s="47">
        <v>2</v>
      </c>
      <c r="C21" s="135">
        <v>0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8</v>
      </c>
    </row>
    <row r="22" spans="1:17" x14ac:dyDescent="0.4">
      <c r="A22" s="55" t="s">
        <v>171</v>
      </c>
      <c r="B22" s="47">
        <v>9</v>
      </c>
      <c r="C22" s="135">
        <v>9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3</v>
      </c>
    </row>
    <row r="23" spans="1:17" x14ac:dyDescent="0.4">
      <c r="A23" s="55" t="s">
        <v>5</v>
      </c>
      <c r="B23" s="51">
        <f>IF(B$17=0,0,C23/B$17)</f>
        <v>9533.3333333333339</v>
      </c>
      <c r="C23" s="41">
        <v>57200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-9540</v>
      </c>
      <c r="C24" s="45">
        <v>-47700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5</v>
      </c>
    </row>
    <row r="25" spans="1:17" x14ac:dyDescent="0.4">
      <c r="A25" s="90" t="s">
        <v>141</v>
      </c>
      <c r="B25" s="146">
        <v>4</v>
      </c>
      <c r="C25" s="147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151</v>
      </c>
      <c r="B26" s="144">
        <v>42000</v>
      </c>
      <c r="C26" s="145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0</v>
      </c>
      <c r="H27" s="133">
        <f>IF(B$17=0,0,G27/B$17)</f>
        <v>0</v>
      </c>
      <c r="I27" s="94">
        <v>10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5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4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3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168</v>
      </c>
      <c r="F50" s="60" t="s">
        <v>169</v>
      </c>
      <c r="G50" s="47">
        <v>0</v>
      </c>
      <c r="H50" s="133">
        <f>IF(B$17=0,0,G50/B$17)</f>
        <v>0</v>
      </c>
      <c r="I50" s="94">
        <v>3</v>
      </c>
    </row>
    <row r="51" spans="5:9" x14ac:dyDescent="0.4">
      <c r="E51" s="136" t="s">
        <v>172</v>
      </c>
      <c r="F51" s="137" t="s">
        <v>173</v>
      </c>
      <c r="G51" s="48">
        <v>2</v>
      </c>
      <c r="H51" s="138">
        <f>IF(B$17=0,0,G51/B$17)</f>
        <v>0.33333333333333331</v>
      </c>
      <c r="I51" s="139">
        <v>6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8471A-0CF4-40E3-AFDD-127B55705D3E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182</v>
      </c>
      <c r="C1" s="151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2">
        <v>4</v>
      </c>
      <c r="C2" s="153"/>
      <c r="E2" s="62" t="s">
        <v>65</v>
      </c>
      <c r="F2" s="59" t="s">
        <v>21</v>
      </c>
      <c r="G2" s="46">
        <v>9</v>
      </c>
      <c r="H2" s="132">
        <f>IF(B$17=0,0,G2/B$17)</f>
        <v>0.6</v>
      </c>
      <c r="I2" s="93">
        <v>3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-1325</v>
      </c>
      <c r="P2" s="118">
        <v>4</v>
      </c>
      <c r="Q2" s="102">
        <v>-5300</v>
      </c>
    </row>
    <row r="3" spans="1:17" x14ac:dyDescent="0.4">
      <c r="A3" s="55" t="s">
        <v>8</v>
      </c>
      <c r="B3" s="154">
        <v>33</v>
      </c>
      <c r="C3" s="155"/>
      <c r="E3" s="63" t="s">
        <v>66</v>
      </c>
      <c r="F3" s="60" t="s">
        <v>22</v>
      </c>
      <c r="G3" s="47">
        <v>2</v>
      </c>
      <c r="H3" s="133">
        <f>IF(B$17=0,0,G3/B$17)</f>
        <v>0.13333333333333333</v>
      </c>
      <c r="I3" s="94">
        <v>5</v>
      </c>
      <c r="K3" s="38">
        <v>1</v>
      </c>
      <c r="L3" s="99">
        <v>70.2</v>
      </c>
      <c r="N3" s="115" t="s">
        <v>132</v>
      </c>
      <c r="O3" s="122">
        <f t="shared" si="0"/>
        <v>7300</v>
      </c>
      <c r="P3" s="119">
        <v>4</v>
      </c>
      <c r="Q3" s="103">
        <v>29200</v>
      </c>
    </row>
    <row r="4" spans="1:17" x14ac:dyDescent="0.4">
      <c r="A4" s="55" t="s">
        <v>6</v>
      </c>
      <c r="B4" s="156">
        <v>115.5</v>
      </c>
      <c r="C4" s="157"/>
      <c r="E4" s="63" t="s">
        <v>67</v>
      </c>
      <c r="F4" s="60" t="s">
        <v>23</v>
      </c>
      <c r="G4" s="47">
        <v>16</v>
      </c>
      <c r="H4" s="133">
        <f>IF(B$17=0,0,G4/B$17)</f>
        <v>1.0666666666666667</v>
      </c>
      <c r="I4" s="94">
        <v>1</v>
      </c>
      <c r="K4" s="38">
        <v>2</v>
      </c>
      <c r="L4" s="99">
        <v>68.5</v>
      </c>
      <c r="N4" s="115" t="s">
        <v>133</v>
      </c>
      <c r="O4" s="122">
        <f t="shared" si="0"/>
        <v>1825</v>
      </c>
      <c r="P4" s="119">
        <v>4</v>
      </c>
      <c r="Q4" s="103">
        <v>7300</v>
      </c>
    </row>
    <row r="5" spans="1:17" x14ac:dyDescent="0.4">
      <c r="A5" s="55" t="s">
        <v>7</v>
      </c>
      <c r="B5" s="158">
        <f>IF(B$2=0,0,B$4/B$2)</f>
        <v>28.875</v>
      </c>
      <c r="C5" s="159"/>
      <c r="E5" s="63" t="s">
        <v>68</v>
      </c>
      <c r="F5" s="60" t="s">
        <v>24</v>
      </c>
      <c r="G5" s="47">
        <v>4</v>
      </c>
      <c r="H5" s="133">
        <f>IF(B$17=0,0,G5/B$17)</f>
        <v>0.26666666666666666</v>
      </c>
      <c r="I5" s="94">
        <v>7</v>
      </c>
      <c r="K5" s="38">
        <v>3</v>
      </c>
      <c r="L5" s="99">
        <v>76</v>
      </c>
      <c r="N5" s="115" t="s">
        <v>134</v>
      </c>
      <c r="O5" s="122">
        <f t="shared" si="0"/>
        <v>1000</v>
      </c>
      <c r="P5" s="119">
        <v>4</v>
      </c>
      <c r="Q5" s="103">
        <v>4000</v>
      </c>
    </row>
    <row r="6" spans="1:17" x14ac:dyDescent="0.4">
      <c r="A6" s="55" t="s">
        <v>1</v>
      </c>
      <c r="B6" s="148">
        <f>IF(B$2=0,0,(B$7*1+B$8*2+B$9*3)/B$2)</f>
        <v>1.5</v>
      </c>
      <c r="C6" s="149"/>
      <c r="E6" s="63" t="s">
        <v>69</v>
      </c>
      <c r="F6" s="60" t="s">
        <v>12</v>
      </c>
      <c r="G6" s="47">
        <v>7</v>
      </c>
      <c r="H6" s="133">
        <f>IF(B$17=0,0,G6/B$17)</f>
        <v>0.46666666666666667</v>
      </c>
      <c r="I6" s="94">
        <v>1</v>
      </c>
      <c r="K6" s="38">
        <v>4</v>
      </c>
      <c r="L6" s="99">
        <v>115.5</v>
      </c>
      <c r="N6" s="115" t="s">
        <v>135</v>
      </c>
      <c r="O6" s="122">
        <f t="shared" si="0"/>
        <v>9075</v>
      </c>
      <c r="P6" s="119">
        <v>4</v>
      </c>
      <c r="Q6" s="103">
        <v>36300</v>
      </c>
    </row>
    <row r="7" spans="1:17" x14ac:dyDescent="0.4">
      <c r="A7" s="55" t="s">
        <v>2</v>
      </c>
      <c r="B7" s="47">
        <v>2</v>
      </c>
      <c r="C7" s="39">
        <f t="shared" ref="C7:C12" si="1">IF(B$2=0,0,B7/B$2)</f>
        <v>0.5</v>
      </c>
      <c r="E7" s="63" t="s">
        <v>70</v>
      </c>
      <c r="F7" s="60" t="s">
        <v>25</v>
      </c>
      <c r="G7" s="47">
        <v>5</v>
      </c>
      <c r="H7" s="133">
        <f>IF(B$17=0,0,G7/B$17)</f>
        <v>0.33333333333333331</v>
      </c>
      <c r="I7" s="94">
        <v>1</v>
      </c>
      <c r="N7" s="116" t="s">
        <v>136</v>
      </c>
      <c r="O7" s="123">
        <f t="shared" si="0"/>
        <v>8000</v>
      </c>
      <c r="P7" s="120">
        <v>3</v>
      </c>
      <c r="Q7" s="104">
        <v>24000</v>
      </c>
    </row>
    <row r="8" spans="1:17" x14ac:dyDescent="0.4">
      <c r="A8" s="55" t="s">
        <v>3</v>
      </c>
      <c r="B8" s="47">
        <v>2</v>
      </c>
      <c r="C8" s="39">
        <f t="shared" si="1"/>
        <v>0.5</v>
      </c>
      <c r="E8" s="63" t="s">
        <v>71</v>
      </c>
      <c r="F8" s="60" t="s">
        <v>26</v>
      </c>
      <c r="G8" s="47">
        <v>2</v>
      </c>
      <c r="H8" s="133">
        <f>IF(B$17=0,0,G8/B$17)</f>
        <v>0.13333333333333333</v>
      </c>
      <c r="I8" s="94">
        <v>3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si="1"/>
        <v>0</v>
      </c>
      <c r="E9" s="63" t="s">
        <v>72</v>
      </c>
      <c r="F9" s="60" t="s">
        <v>27</v>
      </c>
      <c r="G9" s="47">
        <v>4</v>
      </c>
      <c r="H9" s="133">
        <f>IF(B$17=0,0,G9/B$17)</f>
        <v>0.26666666666666666</v>
      </c>
      <c r="I9" s="94">
        <v>1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0</v>
      </c>
      <c r="C10" s="40">
        <f t="shared" si="1"/>
        <v>0</v>
      </c>
      <c r="E10" s="63" t="s">
        <v>73</v>
      </c>
      <c r="F10" s="60" t="s">
        <v>28</v>
      </c>
      <c r="G10" s="47">
        <v>5</v>
      </c>
      <c r="H10" s="133">
        <f>IF(B$17=0,0,G10/B$17)</f>
        <v>0.33333333333333331</v>
      </c>
      <c r="I10" s="94">
        <v>10</v>
      </c>
      <c r="N10" s="114" t="s">
        <v>163</v>
      </c>
      <c r="O10" s="124">
        <f>IF(P10=0,0,Q10/P10)</f>
        <v>2.9</v>
      </c>
      <c r="P10" s="118">
        <v>2</v>
      </c>
      <c r="Q10" s="106">
        <v>5.8</v>
      </c>
    </row>
    <row r="11" spans="1:17" x14ac:dyDescent="0.4">
      <c r="A11" s="56" t="s">
        <v>139</v>
      </c>
      <c r="B11" s="48">
        <v>2</v>
      </c>
      <c r="C11" s="40">
        <f t="shared" si="1"/>
        <v>0.5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1</v>
      </c>
      <c r="N11" s="115" t="s">
        <v>164</v>
      </c>
      <c r="O11" s="125">
        <f>IF(P11=0,0,Q11/P11)</f>
        <v>70.2</v>
      </c>
      <c r="P11" s="119">
        <v>1</v>
      </c>
      <c r="Q11" s="107">
        <v>70.2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1</v>
      </c>
      <c r="N12" s="116" t="s">
        <v>165</v>
      </c>
      <c r="O12" s="126">
        <f>IF(P12=0,0,Q12/P12)</f>
        <v>39.5</v>
      </c>
      <c r="P12" s="120">
        <v>1</v>
      </c>
      <c r="Q12" s="108">
        <v>39.5</v>
      </c>
    </row>
    <row r="13" spans="1:17" x14ac:dyDescent="0.4">
      <c r="A13" s="58" t="s">
        <v>122</v>
      </c>
      <c r="B13" s="50">
        <v>12</v>
      </c>
      <c r="C13" s="44">
        <f>IF(B$3=0,0,B13/B$3)</f>
        <v>0.36363636363636365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</v>
      </c>
      <c r="C14" s="39">
        <f>IF(B$3=0,0,B14/B$3)</f>
        <v>6.0606060606060608E-2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10</v>
      </c>
      <c r="C15" s="37">
        <f>IF(B$13=0,0,B15/B$13)</f>
        <v>0.83333333333333337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3</v>
      </c>
      <c r="N15" s="114" t="s">
        <v>178</v>
      </c>
      <c r="O15" s="124">
        <f>IF(P15=0,0,Q15/P15)</f>
        <v>107.2</v>
      </c>
      <c r="P15" s="118">
        <v>2</v>
      </c>
      <c r="Q15" s="106">
        <v>214.4</v>
      </c>
    </row>
    <row r="16" spans="1:17" x14ac:dyDescent="0.4">
      <c r="A16" s="54" t="s">
        <v>125</v>
      </c>
      <c r="B16" s="46">
        <v>1</v>
      </c>
      <c r="C16" s="37">
        <f>IF(B$14=0,0,B16/B$14)</f>
        <v>0.5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7</v>
      </c>
      <c r="N16" s="115" t="s">
        <v>183</v>
      </c>
      <c r="O16" s="125">
        <f>IF(P16=0,0,Q16/P16)</f>
        <v>50.266666666666673</v>
      </c>
      <c r="P16" s="119">
        <v>3</v>
      </c>
      <c r="Q16" s="107">
        <v>150.80000000000001</v>
      </c>
    </row>
    <row r="17" spans="1:17" x14ac:dyDescent="0.4">
      <c r="A17" s="54" t="s">
        <v>10</v>
      </c>
      <c r="B17" s="46">
        <f>B19+B18</f>
        <v>15</v>
      </c>
      <c r="C17" s="37">
        <f>IF(B$3=0,0,B17/B$3)</f>
        <v>0.45454545454545453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5</v>
      </c>
      <c r="N17" s="115" t="s">
        <v>128</v>
      </c>
      <c r="O17" s="125">
        <f>IF(P17=0,0,Q17/P17)</f>
        <v>22.6</v>
      </c>
      <c r="P17" s="119">
        <v>1</v>
      </c>
      <c r="Q17" s="107">
        <v>22.6</v>
      </c>
    </row>
    <row r="18" spans="1:17" x14ac:dyDescent="0.4">
      <c r="A18" s="55" t="s">
        <v>12</v>
      </c>
      <c r="B18" s="47">
        <v>7</v>
      </c>
      <c r="C18" s="39">
        <f>IF(B$17=0,0,B18/B$17)</f>
        <v>0.46666666666666667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196</v>
      </c>
      <c r="O18" s="125">
        <f>IF(P18=0,0,Q18/P18)</f>
        <v>-13.600000000000001</v>
      </c>
      <c r="P18" s="119">
        <v>1</v>
      </c>
      <c r="Q18" s="107">
        <v>-13.600000000000001</v>
      </c>
    </row>
    <row r="19" spans="1:17" x14ac:dyDescent="0.4">
      <c r="A19" s="55" t="s">
        <v>11</v>
      </c>
      <c r="B19" s="47">
        <v>8</v>
      </c>
      <c r="C19" s="39">
        <f>IF(B$17=0,0,B19/B$17)</f>
        <v>0.53333333333333333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6</v>
      </c>
      <c r="N19" s="115" t="s">
        <v>127</v>
      </c>
      <c r="O19" s="125">
        <f>IF(P19=0,0,Q19/P19)</f>
        <v>-27.7</v>
      </c>
      <c r="P19" s="119">
        <v>1</v>
      </c>
      <c r="Q19" s="107">
        <v>-27.7</v>
      </c>
    </row>
    <row r="20" spans="1:17" x14ac:dyDescent="0.4">
      <c r="A20" s="55" t="s">
        <v>13</v>
      </c>
      <c r="B20" s="47">
        <v>2</v>
      </c>
      <c r="C20" s="39">
        <f>IF(B$3=0,0,B20/B$3)</f>
        <v>6.0606060606060608E-2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170</v>
      </c>
      <c r="B21" s="47">
        <v>3</v>
      </c>
      <c r="C21" s="135">
        <v>2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8</v>
      </c>
    </row>
    <row r="22" spans="1:17" x14ac:dyDescent="0.4">
      <c r="A22" s="55" t="s">
        <v>171</v>
      </c>
      <c r="B22" s="47">
        <v>13</v>
      </c>
      <c r="C22" s="135">
        <v>12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3</v>
      </c>
    </row>
    <row r="23" spans="1:17" x14ac:dyDescent="0.4">
      <c r="A23" s="55" t="s">
        <v>5</v>
      </c>
      <c r="B23" s="51">
        <f>IF(B$17=0,0,C23/B$17)</f>
        <v>8746.6666666666661</v>
      </c>
      <c r="C23" s="41">
        <v>131200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-8900</v>
      </c>
      <c r="C24" s="45">
        <v>-17800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5</v>
      </c>
    </row>
    <row r="25" spans="1:17" x14ac:dyDescent="0.4">
      <c r="A25" s="90" t="s">
        <v>141</v>
      </c>
      <c r="B25" s="146">
        <v>7</v>
      </c>
      <c r="C25" s="147"/>
      <c r="E25" s="63" t="s">
        <v>88</v>
      </c>
      <c r="F25" s="60" t="s">
        <v>43</v>
      </c>
      <c r="G25" s="47">
        <v>1</v>
      </c>
      <c r="H25" s="133">
        <f>IF(B$17=0,0,G25/B$17)</f>
        <v>6.6666666666666666E-2</v>
      </c>
      <c r="I25" s="94">
        <v>1</v>
      </c>
    </row>
    <row r="26" spans="1:17" x14ac:dyDescent="0.4">
      <c r="A26" s="58" t="s">
        <v>151</v>
      </c>
      <c r="B26" s="144">
        <v>95200</v>
      </c>
      <c r="C26" s="145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1</v>
      </c>
      <c r="H27" s="133">
        <f>IF(B$17=0,0,G27/B$17)</f>
        <v>6.6666666666666666E-2</v>
      </c>
      <c r="I27" s="94">
        <v>8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5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4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3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168</v>
      </c>
      <c r="F50" s="60" t="s">
        <v>169</v>
      </c>
      <c r="G50" s="47">
        <v>0</v>
      </c>
      <c r="H50" s="133">
        <f>IF(B$17=0,0,G50/B$17)</f>
        <v>0</v>
      </c>
      <c r="I50" s="94">
        <v>3</v>
      </c>
    </row>
    <row r="51" spans="5:9" x14ac:dyDescent="0.4">
      <c r="E51" s="136" t="s">
        <v>172</v>
      </c>
      <c r="F51" s="137" t="s">
        <v>173</v>
      </c>
      <c r="G51" s="48">
        <v>8</v>
      </c>
      <c r="H51" s="138">
        <f>IF(B$17=0,0,G51/B$17)</f>
        <v>0.53333333333333333</v>
      </c>
      <c r="I51" s="139">
        <v>1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B55A-02FA-447B-A9BB-763BF778AFE2}">
  <sheetPr codeName="Sheet23"/>
  <dimension ref="A1:Q52"/>
  <sheetViews>
    <sheetView showGridLines="0" tabSelected="1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196</v>
      </c>
      <c r="C1" s="151"/>
      <c r="E1" s="129" t="s">
        <v>166</v>
      </c>
      <c r="F1" s="143" t="s">
        <v>116</v>
      </c>
      <c r="G1" s="142" t="s">
        <v>117</v>
      </c>
      <c r="H1" s="130" t="s">
        <v>118</v>
      </c>
      <c r="I1" s="143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2">
        <v>2</v>
      </c>
      <c r="C2" s="153"/>
      <c r="E2" s="62" t="s">
        <v>65</v>
      </c>
      <c r="F2" s="59" t="s">
        <v>21</v>
      </c>
      <c r="G2" s="46">
        <v>2</v>
      </c>
      <c r="H2" s="132">
        <f>IF(B$17=0,0,G2/B$17)</f>
        <v>0.5</v>
      </c>
      <c r="I2" s="93">
        <v>4</v>
      </c>
      <c r="K2" s="36">
        <v>0</v>
      </c>
      <c r="L2" s="98">
        <v>0</v>
      </c>
      <c r="N2" s="114" t="s">
        <v>131</v>
      </c>
      <c r="O2" s="121">
        <f t="shared" ref="O2:O7" si="0">IF(P2=0,0,Q2/P2)</f>
        <v>1000</v>
      </c>
      <c r="P2" s="118">
        <v>2</v>
      </c>
      <c r="Q2" s="102">
        <v>2000</v>
      </c>
    </row>
    <row r="3" spans="1:17" x14ac:dyDescent="0.4">
      <c r="A3" s="55" t="s">
        <v>8</v>
      </c>
      <c r="B3" s="154">
        <v>18</v>
      </c>
      <c r="C3" s="155"/>
      <c r="E3" s="63" t="s">
        <v>66</v>
      </c>
      <c r="F3" s="60" t="s">
        <v>22</v>
      </c>
      <c r="G3" s="47">
        <v>1</v>
      </c>
      <c r="H3" s="133">
        <f>IF(B$17=0,0,G3/B$17)</f>
        <v>0.25</v>
      </c>
      <c r="I3" s="94">
        <v>2</v>
      </c>
      <c r="K3" s="38">
        <v>1</v>
      </c>
      <c r="L3" s="99">
        <v>21.1</v>
      </c>
      <c r="N3" s="115" t="s">
        <v>132</v>
      </c>
      <c r="O3" s="122">
        <f t="shared" si="0"/>
        <v>-250</v>
      </c>
      <c r="P3" s="119">
        <v>2</v>
      </c>
      <c r="Q3" s="103">
        <v>-500</v>
      </c>
    </row>
    <row r="4" spans="1:17" x14ac:dyDescent="0.4">
      <c r="A4" s="55" t="s">
        <v>6</v>
      </c>
      <c r="B4" s="156">
        <v>-25.4</v>
      </c>
      <c r="C4" s="157"/>
      <c r="E4" s="63" t="s">
        <v>67</v>
      </c>
      <c r="F4" s="60" t="s">
        <v>23</v>
      </c>
      <c r="G4" s="47">
        <v>4</v>
      </c>
      <c r="H4" s="133">
        <f>IF(B$17=0,0,G4/B$17)</f>
        <v>1</v>
      </c>
      <c r="I4" s="94">
        <v>3</v>
      </c>
      <c r="K4" s="38">
        <v>2</v>
      </c>
      <c r="L4" s="99">
        <v>-25.4</v>
      </c>
      <c r="N4" s="115" t="s">
        <v>133</v>
      </c>
      <c r="O4" s="122">
        <f t="shared" si="0"/>
        <v>-13500</v>
      </c>
      <c r="P4" s="119">
        <v>2</v>
      </c>
      <c r="Q4" s="103">
        <v>-27000</v>
      </c>
    </row>
    <row r="5" spans="1:17" x14ac:dyDescent="0.4">
      <c r="A5" s="55" t="s">
        <v>7</v>
      </c>
      <c r="B5" s="158">
        <f>IF(B$2=0,0,B$4/B$2)</f>
        <v>-12.7</v>
      </c>
      <c r="C5" s="159"/>
      <c r="E5" s="63" t="s">
        <v>68</v>
      </c>
      <c r="F5" s="60" t="s">
        <v>24</v>
      </c>
      <c r="G5" s="47">
        <v>4</v>
      </c>
      <c r="H5" s="133">
        <f>IF(B$17=0,0,G5/B$17)</f>
        <v>1</v>
      </c>
      <c r="I5" s="94">
        <v>2</v>
      </c>
      <c r="N5" s="115" t="s">
        <v>134</v>
      </c>
      <c r="O5" s="122">
        <f t="shared" si="0"/>
        <v>0</v>
      </c>
      <c r="P5" s="119">
        <v>2</v>
      </c>
      <c r="Q5" s="103">
        <v>0</v>
      </c>
    </row>
    <row r="6" spans="1:17" x14ac:dyDescent="0.4">
      <c r="A6" s="55" t="s">
        <v>1</v>
      </c>
      <c r="B6" s="148">
        <f>IF(B$2=0,0,(B$7*1+B$8*2+B$9*3)/B$2)</f>
        <v>2</v>
      </c>
      <c r="C6" s="149"/>
      <c r="E6" s="63" t="s">
        <v>69</v>
      </c>
      <c r="F6" s="60" t="s">
        <v>12</v>
      </c>
      <c r="G6" s="47">
        <v>1</v>
      </c>
      <c r="H6" s="133">
        <f>IF(B$17=0,0,G6/B$17)</f>
        <v>0.25</v>
      </c>
      <c r="I6" s="94">
        <v>6</v>
      </c>
      <c r="N6" s="115" t="s">
        <v>135</v>
      </c>
      <c r="O6" s="122">
        <f t="shared" si="0"/>
        <v>4600</v>
      </c>
      <c r="P6" s="119">
        <v>1</v>
      </c>
      <c r="Q6" s="103">
        <v>4600</v>
      </c>
    </row>
    <row r="7" spans="1:17" x14ac:dyDescent="0.4">
      <c r="A7" s="55" t="s">
        <v>2</v>
      </c>
      <c r="B7" s="47">
        <v>1</v>
      </c>
      <c r="C7" s="39">
        <f t="shared" ref="C7:C12" si="1">IF(B$2=0,0,B7/B$2)</f>
        <v>0.5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7</v>
      </c>
      <c r="N7" s="116" t="s">
        <v>136</v>
      </c>
      <c r="O7" s="123">
        <f t="shared" si="0"/>
        <v>-4500</v>
      </c>
      <c r="P7" s="120">
        <v>1</v>
      </c>
      <c r="Q7" s="104">
        <v>-4500</v>
      </c>
    </row>
    <row r="8" spans="1:17" x14ac:dyDescent="0.4">
      <c r="A8" s="55" t="s">
        <v>3</v>
      </c>
      <c r="B8" s="47">
        <v>0</v>
      </c>
      <c r="C8" s="39">
        <f t="shared" si="1"/>
        <v>0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9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si="1"/>
        <v>0.5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8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1</v>
      </c>
      <c r="C10" s="40">
        <f t="shared" si="1"/>
        <v>0.5</v>
      </c>
      <c r="E10" s="63" t="s">
        <v>73</v>
      </c>
      <c r="F10" s="60" t="s">
        <v>28</v>
      </c>
      <c r="G10" s="47">
        <v>3</v>
      </c>
      <c r="H10" s="133">
        <f>IF(B$17=0,0,G10/B$17)</f>
        <v>0.75</v>
      </c>
      <c r="I10" s="94">
        <v>2</v>
      </c>
      <c r="N10" s="114" t="s">
        <v>163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139</v>
      </c>
      <c r="B11" s="48">
        <v>0</v>
      </c>
      <c r="C11" s="40">
        <f t="shared" si="1"/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1</v>
      </c>
      <c r="N11" s="115" t="s">
        <v>164</v>
      </c>
      <c r="O11" s="125">
        <f>IF(P11=0,0,Q11/P11)</f>
        <v>-12.7</v>
      </c>
      <c r="P11" s="119">
        <v>2</v>
      </c>
      <c r="Q11" s="107">
        <v>-25.4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1</v>
      </c>
      <c r="N12" s="116" t="s">
        <v>165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5</v>
      </c>
      <c r="C13" s="44">
        <f>IF(B$3=0,0,B13/B$3)</f>
        <v>0.27777777777777779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6</v>
      </c>
      <c r="C14" s="39">
        <f>IF(B$3=0,0,B14/B$3)</f>
        <v>0.33333333333333331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2</v>
      </c>
      <c r="C15" s="37">
        <f>IF(B$13=0,0,B15/B$13)</f>
        <v>0.4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3</v>
      </c>
      <c r="N15" s="114" t="s">
        <v>183</v>
      </c>
      <c r="O15" s="124">
        <f>IF(P15=0,0,Q15/P15)</f>
        <v>49.7</v>
      </c>
      <c r="P15" s="118">
        <v>1</v>
      </c>
      <c r="Q15" s="106">
        <v>49.7</v>
      </c>
    </row>
    <row r="16" spans="1:17" x14ac:dyDescent="0.4">
      <c r="A16" s="54" t="s">
        <v>125</v>
      </c>
      <c r="B16" s="46">
        <v>2</v>
      </c>
      <c r="C16" s="37">
        <f>IF(B$14=0,0,B16/B$14)</f>
        <v>0.33333333333333331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7</v>
      </c>
      <c r="N16" s="115" t="s">
        <v>182</v>
      </c>
      <c r="O16" s="125">
        <f>IF(P16=0,0,Q16/P16)</f>
        <v>13.600000000000001</v>
      </c>
      <c r="P16" s="119">
        <v>1</v>
      </c>
      <c r="Q16" s="107">
        <v>13.600000000000001</v>
      </c>
    </row>
    <row r="17" spans="1:17" x14ac:dyDescent="0.4">
      <c r="A17" s="54" t="s">
        <v>10</v>
      </c>
      <c r="B17" s="46">
        <f>B19+B18</f>
        <v>4</v>
      </c>
      <c r="C17" s="37">
        <f>IF(B$3=0,0,B17/B$3)</f>
        <v>0.22222222222222221</v>
      </c>
      <c r="E17" s="63" t="s">
        <v>80</v>
      </c>
      <c r="F17" s="60" t="s">
        <v>35</v>
      </c>
      <c r="G17" s="47">
        <v>1</v>
      </c>
      <c r="H17" s="133">
        <f>IF(B$17=0,0,G17/B$17)</f>
        <v>0.25</v>
      </c>
      <c r="I17" s="94">
        <v>1</v>
      </c>
      <c r="N17" s="115" t="s">
        <v>179</v>
      </c>
      <c r="O17" s="125">
        <f>IF(P17=0,0,Q17/P17)</f>
        <v>-64.2</v>
      </c>
      <c r="P17" s="119">
        <v>1</v>
      </c>
      <c r="Q17" s="107">
        <v>-64.2</v>
      </c>
    </row>
    <row r="18" spans="1:17" x14ac:dyDescent="0.4">
      <c r="A18" s="55" t="s">
        <v>12</v>
      </c>
      <c r="B18" s="47">
        <v>2</v>
      </c>
      <c r="C18" s="39">
        <f>IF(B$17=0,0,B18/B$17)</f>
        <v>0.5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128</v>
      </c>
      <c r="O18" s="125">
        <f>IF(P18=0,0,Q18/P18)</f>
        <v>-75.3</v>
      </c>
      <c r="P18" s="119">
        <v>1</v>
      </c>
      <c r="Q18" s="107">
        <v>-75.3</v>
      </c>
    </row>
    <row r="19" spans="1:17" x14ac:dyDescent="0.4">
      <c r="A19" s="55" t="s">
        <v>11</v>
      </c>
      <c r="B19" s="47">
        <v>2</v>
      </c>
      <c r="C19" s="39">
        <f>IF(B$17=0,0,B19/B$17)</f>
        <v>0.5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6</v>
      </c>
    </row>
    <row r="20" spans="1:17" x14ac:dyDescent="0.4">
      <c r="A20" s="55" t="s">
        <v>13</v>
      </c>
      <c r="B20" s="47">
        <v>3</v>
      </c>
      <c r="C20" s="39">
        <f>IF(B$3=0,0,B20/B$3)</f>
        <v>0.16666666666666666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170</v>
      </c>
      <c r="B21" s="47">
        <v>2</v>
      </c>
      <c r="C21" s="135">
        <v>0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8</v>
      </c>
    </row>
    <row r="22" spans="1:17" x14ac:dyDescent="0.4">
      <c r="A22" s="55" t="s">
        <v>171</v>
      </c>
      <c r="B22" s="47">
        <v>13</v>
      </c>
      <c r="C22" s="135">
        <v>0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3</v>
      </c>
    </row>
    <row r="23" spans="1:17" x14ac:dyDescent="0.4">
      <c r="A23" s="55" t="s">
        <v>5</v>
      </c>
      <c r="B23" s="51">
        <f>IF(B$17=0,0,C23/B$17)</f>
        <v>9450</v>
      </c>
      <c r="C23" s="41">
        <v>37800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-9333.3333333333339</v>
      </c>
      <c r="C24" s="45">
        <v>-28000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5</v>
      </c>
    </row>
    <row r="25" spans="1:17" x14ac:dyDescent="0.4">
      <c r="A25" s="90" t="s">
        <v>141</v>
      </c>
      <c r="B25" s="146">
        <v>3</v>
      </c>
      <c r="C25" s="147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151</v>
      </c>
      <c r="B26" s="144">
        <v>46100</v>
      </c>
      <c r="C26" s="145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1</v>
      </c>
      <c r="H27" s="133">
        <f>IF(B$17=0,0,G27/B$17)</f>
        <v>0.25</v>
      </c>
      <c r="I27" s="94">
        <v>2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5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4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3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168</v>
      </c>
      <c r="F50" s="60" t="s">
        <v>169</v>
      </c>
      <c r="G50" s="47">
        <v>0</v>
      </c>
      <c r="H50" s="133">
        <f>IF(B$17=0,0,G50/B$17)</f>
        <v>0</v>
      </c>
      <c r="I50" s="94">
        <v>3</v>
      </c>
    </row>
    <row r="51" spans="5:9" x14ac:dyDescent="0.4">
      <c r="E51" s="136" t="s">
        <v>172</v>
      </c>
      <c r="F51" s="137" t="s">
        <v>173</v>
      </c>
      <c r="G51" s="48">
        <v>0</v>
      </c>
      <c r="H51" s="138">
        <f>IF(B$17=0,0,G51/B$17)</f>
        <v>0</v>
      </c>
      <c r="I51" s="139">
        <v>10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30B42B-035C-4745-9D27-596E460E45CB}">
  <sheetPr codeName="Sheet24"/>
  <dimension ref="A1:Q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196</v>
      </c>
      <c r="B1" s="70" t="s">
        <v>196</v>
      </c>
      <c r="C1" s="70" t="s">
        <v>196</v>
      </c>
      <c r="D1" s="71" t="s">
        <v>196</v>
      </c>
      <c r="E1" s="70" t="s">
        <v>196</v>
      </c>
      <c r="F1" s="70" t="s">
        <v>196</v>
      </c>
      <c r="G1" s="70" t="s">
        <v>196</v>
      </c>
      <c r="H1" s="70" t="s">
        <v>196</v>
      </c>
      <c r="I1" s="70" t="s">
        <v>196</v>
      </c>
      <c r="J1" s="70" t="s">
        <v>196</v>
      </c>
      <c r="K1" s="70" t="s">
        <v>196</v>
      </c>
      <c r="L1" s="70" t="s">
        <v>196</v>
      </c>
      <c r="M1" s="70" t="s">
        <v>196</v>
      </c>
      <c r="N1" s="70" t="s">
        <v>196</v>
      </c>
      <c r="O1" s="70" t="s">
        <v>196</v>
      </c>
      <c r="P1" s="70" t="s">
        <v>196</v>
      </c>
      <c r="Q1" s="70" t="s">
        <v>196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21.1</v>
      </c>
      <c r="C4" s="66">
        <v>21.1</v>
      </c>
      <c r="D4" s="71">
        <v>1</v>
      </c>
      <c r="E4" s="67">
        <v>1</v>
      </c>
      <c r="F4" s="67">
        <v>0</v>
      </c>
      <c r="G4" s="67">
        <v>0.42857142857142855</v>
      </c>
      <c r="H4" s="67">
        <v>0</v>
      </c>
      <c r="I4" s="68">
        <v>8600</v>
      </c>
      <c r="J4" s="68">
        <v>0</v>
      </c>
      <c r="K4" s="67">
        <v>0</v>
      </c>
      <c r="L4" s="67">
        <v>0</v>
      </c>
      <c r="M4" s="67">
        <v>0.2857142857142857</v>
      </c>
      <c r="N4" s="67">
        <v>0.2857142857142857</v>
      </c>
      <c r="O4" s="67">
        <v>0.5</v>
      </c>
      <c r="P4" s="67">
        <v>1</v>
      </c>
      <c r="Q4" s="67">
        <v>0.33333333333333331</v>
      </c>
    </row>
    <row r="5" spans="1:17" x14ac:dyDescent="0.4">
      <c r="A5" s="69">
        <v>2</v>
      </c>
      <c r="B5" s="66">
        <v>-25.4</v>
      </c>
      <c r="C5" s="66">
        <v>-12.7</v>
      </c>
      <c r="D5" s="71">
        <v>2</v>
      </c>
      <c r="E5" s="67">
        <v>0.5</v>
      </c>
      <c r="F5" s="67">
        <v>0.5</v>
      </c>
      <c r="G5" s="67">
        <v>0.22222222222222221</v>
      </c>
      <c r="H5" s="67">
        <v>0.16666666666666666</v>
      </c>
      <c r="I5" s="68">
        <v>9450</v>
      </c>
      <c r="J5" s="68">
        <v>-9333.3333333333339</v>
      </c>
      <c r="K5" s="67">
        <v>0.5</v>
      </c>
      <c r="L5" s="67">
        <v>0</v>
      </c>
      <c r="M5" s="67">
        <v>0.27777777777777779</v>
      </c>
      <c r="N5" s="67">
        <v>0.33333333333333331</v>
      </c>
      <c r="O5" s="67">
        <v>0.4</v>
      </c>
      <c r="P5" s="67">
        <v>0.33333333333333331</v>
      </c>
      <c r="Q5" s="67">
        <v>0.5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CDB3B-A64D-4420-9DD1-03B571055DD1}">
  <sheetPr codeName="Sheet22"/>
  <dimension ref="A1:Q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182</v>
      </c>
      <c r="B1" s="70" t="s">
        <v>182</v>
      </c>
      <c r="C1" s="70" t="s">
        <v>182</v>
      </c>
      <c r="D1" s="71" t="s">
        <v>182</v>
      </c>
      <c r="E1" s="70" t="s">
        <v>182</v>
      </c>
      <c r="F1" s="70" t="s">
        <v>182</v>
      </c>
      <c r="G1" s="70" t="s">
        <v>182</v>
      </c>
      <c r="H1" s="70" t="s">
        <v>182</v>
      </c>
      <c r="I1" s="70" t="s">
        <v>182</v>
      </c>
      <c r="J1" s="70" t="s">
        <v>182</v>
      </c>
      <c r="K1" s="70" t="s">
        <v>182</v>
      </c>
      <c r="L1" s="70" t="s">
        <v>182</v>
      </c>
      <c r="M1" s="70" t="s">
        <v>182</v>
      </c>
      <c r="N1" s="70" t="s">
        <v>182</v>
      </c>
      <c r="O1" s="70" t="s">
        <v>182</v>
      </c>
      <c r="P1" s="70" t="s">
        <v>182</v>
      </c>
      <c r="Q1" s="70" t="s">
        <v>182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70.2</v>
      </c>
      <c r="C4" s="66">
        <v>70.2</v>
      </c>
      <c r="D4" s="71">
        <v>1</v>
      </c>
      <c r="E4" s="67">
        <v>1</v>
      </c>
      <c r="F4" s="67">
        <v>0</v>
      </c>
      <c r="G4" s="67">
        <v>0.55555555555555558</v>
      </c>
      <c r="H4" s="67">
        <v>0.1111111111111111</v>
      </c>
      <c r="I4" s="68">
        <v>13940</v>
      </c>
      <c r="J4" s="68">
        <v>-12000</v>
      </c>
      <c r="K4" s="67">
        <v>0</v>
      </c>
      <c r="L4" s="67">
        <v>1</v>
      </c>
      <c r="M4" s="67">
        <v>0.44444444444444442</v>
      </c>
      <c r="N4" s="67">
        <v>0</v>
      </c>
      <c r="O4" s="67">
        <v>0.75</v>
      </c>
      <c r="P4" s="67">
        <v>0</v>
      </c>
      <c r="Q4" s="67">
        <v>0.2</v>
      </c>
    </row>
    <row r="5" spans="1:17" x14ac:dyDescent="0.4">
      <c r="A5" s="69">
        <v>2</v>
      </c>
      <c r="B5" s="66">
        <v>68.5</v>
      </c>
      <c r="C5" s="66">
        <v>34.25</v>
      </c>
      <c r="D5" s="71">
        <v>1.5</v>
      </c>
      <c r="E5" s="67">
        <v>0.5</v>
      </c>
      <c r="F5" s="67">
        <v>0</v>
      </c>
      <c r="G5" s="67">
        <v>0.5</v>
      </c>
      <c r="H5" s="67">
        <v>6.25E-2</v>
      </c>
      <c r="I5" s="68">
        <v>9800</v>
      </c>
      <c r="J5" s="68">
        <v>-12000</v>
      </c>
      <c r="K5" s="67">
        <v>0</v>
      </c>
      <c r="L5" s="67">
        <v>0.5</v>
      </c>
      <c r="M5" s="67">
        <v>0.375</v>
      </c>
      <c r="N5" s="67">
        <v>0</v>
      </c>
      <c r="O5" s="67">
        <v>0.83333333333333337</v>
      </c>
      <c r="P5" s="67">
        <v>0</v>
      </c>
      <c r="Q5" s="67">
        <v>0.375</v>
      </c>
    </row>
    <row r="6" spans="1:17" x14ac:dyDescent="0.4">
      <c r="A6" s="69">
        <v>3</v>
      </c>
      <c r="B6" s="66">
        <v>76</v>
      </c>
      <c r="C6" s="66">
        <v>25.333333333333332</v>
      </c>
      <c r="D6" s="71">
        <v>1.6666666666666667</v>
      </c>
      <c r="E6" s="67">
        <v>0.33333333333333331</v>
      </c>
      <c r="F6" s="67">
        <v>0</v>
      </c>
      <c r="G6" s="67">
        <v>0.47826086956521741</v>
      </c>
      <c r="H6" s="67">
        <v>8.6956521739130432E-2</v>
      </c>
      <c r="I6" s="68">
        <v>9200</v>
      </c>
      <c r="J6" s="68">
        <v>-8900</v>
      </c>
      <c r="K6" s="67">
        <v>0</v>
      </c>
      <c r="L6" s="67">
        <v>0.33333333333333331</v>
      </c>
      <c r="M6" s="67">
        <v>0.39130434782608697</v>
      </c>
      <c r="N6" s="67">
        <v>4.3478260869565216E-2</v>
      </c>
      <c r="O6" s="67">
        <v>0.77777777777777779</v>
      </c>
      <c r="P6" s="67">
        <v>0</v>
      </c>
      <c r="Q6" s="67">
        <v>0.54545454545454541</v>
      </c>
    </row>
    <row r="7" spans="1:17" x14ac:dyDescent="0.4">
      <c r="A7" s="69">
        <v>4</v>
      </c>
      <c r="B7" s="66">
        <v>115.5</v>
      </c>
      <c r="C7" s="66">
        <v>28.875</v>
      </c>
      <c r="D7" s="71">
        <v>1.5</v>
      </c>
      <c r="E7" s="67">
        <v>0.5</v>
      </c>
      <c r="F7" s="67">
        <v>0</v>
      </c>
      <c r="G7" s="67">
        <v>0.45454545454545453</v>
      </c>
      <c r="H7" s="67">
        <v>6.0606060606060608E-2</v>
      </c>
      <c r="I7" s="68">
        <v>8746.6666666666661</v>
      </c>
      <c r="J7" s="68">
        <v>-8900</v>
      </c>
      <c r="K7" s="67">
        <v>0</v>
      </c>
      <c r="L7" s="67">
        <v>0.5</v>
      </c>
      <c r="M7" s="67">
        <v>0.36363636363636365</v>
      </c>
      <c r="N7" s="67">
        <v>6.0606060606060608E-2</v>
      </c>
      <c r="O7" s="67">
        <v>0.83333333333333337</v>
      </c>
      <c r="P7" s="67">
        <v>0.5</v>
      </c>
      <c r="Q7" s="67">
        <v>0.46666666666666667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7274A4-C451-4F7E-8BE8-EEF2F5FC9B1C}">
  <sheetPr codeName="Sheet20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183</v>
      </c>
      <c r="B1" s="70" t="s">
        <v>183</v>
      </c>
      <c r="C1" s="70" t="s">
        <v>183</v>
      </c>
      <c r="D1" s="71" t="s">
        <v>183</v>
      </c>
      <c r="E1" s="70" t="s">
        <v>183</v>
      </c>
      <c r="F1" s="70" t="s">
        <v>183</v>
      </c>
      <c r="G1" s="70" t="s">
        <v>183</v>
      </c>
      <c r="H1" s="70" t="s">
        <v>183</v>
      </c>
      <c r="I1" s="70" t="s">
        <v>183</v>
      </c>
      <c r="J1" s="70" t="s">
        <v>183</v>
      </c>
      <c r="K1" s="70" t="s">
        <v>183</v>
      </c>
      <c r="L1" s="70" t="s">
        <v>183</v>
      </c>
      <c r="M1" s="70" t="s">
        <v>183</v>
      </c>
      <c r="N1" s="70" t="s">
        <v>183</v>
      </c>
      <c r="O1" s="70" t="s">
        <v>183</v>
      </c>
      <c r="P1" s="70" t="s">
        <v>183</v>
      </c>
      <c r="Q1" s="70" t="s">
        <v>183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</v>
      </c>
      <c r="C4" s="66">
        <v>-12</v>
      </c>
      <c r="D4" s="71">
        <v>2</v>
      </c>
      <c r="E4" s="67">
        <v>0</v>
      </c>
      <c r="F4" s="67">
        <v>0</v>
      </c>
      <c r="G4" s="67">
        <v>0.33333333333333331</v>
      </c>
      <c r="H4" s="67">
        <v>0.33333333333333331</v>
      </c>
      <c r="I4" s="68">
        <v>8400</v>
      </c>
      <c r="J4" s="68">
        <v>-9233.3333333333339</v>
      </c>
      <c r="K4" s="67">
        <v>0</v>
      </c>
      <c r="L4" s="67">
        <v>0</v>
      </c>
      <c r="M4" s="67">
        <v>0.44444444444444442</v>
      </c>
      <c r="N4" s="67">
        <v>0.22222222222222221</v>
      </c>
      <c r="O4" s="67">
        <v>0.5</v>
      </c>
      <c r="P4" s="67">
        <v>0.5</v>
      </c>
      <c r="Q4" s="67">
        <v>0.33333333333333331</v>
      </c>
    </row>
    <row r="5" spans="1:17" x14ac:dyDescent="0.4">
      <c r="A5" s="69">
        <v>2</v>
      </c>
      <c r="B5" s="66">
        <v>-40.6</v>
      </c>
      <c r="C5" s="66">
        <v>-20.3</v>
      </c>
      <c r="D5" s="71">
        <v>2.5</v>
      </c>
      <c r="E5" s="67">
        <v>0</v>
      </c>
      <c r="F5" s="67">
        <v>0.5</v>
      </c>
      <c r="G5" s="67">
        <v>0.25</v>
      </c>
      <c r="H5" s="67">
        <v>0.25</v>
      </c>
      <c r="I5" s="68">
        <v>8300</v>
      </c>
      <c r="J5" s="68">
        <v>-8925</v>
      </c>
      <c r="K5" s="67">
        <v>0</v>
      </c>
      <c r="L5" s="67">
        <v>0</v>
      </c>
      <c r="M5" s="67">
        <v>0.3125</v>
      </c>
      <c r="N5" s="67">
        <v>0.1875</v>
      </c>
      <c r="O5" s="67">
        <v>0.6</v>
      </c>
      <c r="P5" s="67">
        <v>0.33333333333333331</v>
      </c>
      <c r="Q5" s="67">
        <v>0.5</v>
      </c>
    </row>
    <row r="6" spans="1:17" x14ac:dyDescent="0.4">
      <c r="A6" s="69">
        <v>3</v>
      </c>
      <c r="B6" s="66">
        <v>-33.6</v>
      </c>
      <c r="C6" s="66">
        <v>-11.200000000000001</v>
      </c>
      <c r="D6" s="71">
        <v>2.3333333333333335</v>
      </c>
      <c r="E6" s="67">
        <v>0</v>
      </c>
      <c r="F6" s="67">
        <v>0.33333333333333331</v>
      </c>
      <c r="G6" s="67">
        <v>0.23076923076923078</v>
      </c>
      <c r="H6" s="67">
        <v>0.19230769230769232</v>
      </c>
      <c r="I6" s="68">
        <v>9533.3333333333339</v>
      </c>
      <c r="J6" s="68">
        <v>-9540</v>
      </c>
      <c r="K6" s="67">
        <v>0</v>
      </c>
      <c r="L6" s="67">
        <v>0</v>
      </c>
      <c r="M6" s="67">
        <v>0.34615384615384615</v>
      </c>
      <c r="N6" s="67">
        <v>0.23076923076923078</v>
      </c>
      <c r="O6" s="67">
        <v>0.55555555555555558</v>
      </c>
      <c r="P6" s="67">
        <v>0.16666666666666666</v>
      </c>
      <c r="Q6" s="67">
        <v>0.5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F6BE43-86D8-4840-AF3B-468C065733F1}">
  <sheetPr codeName="Sheet18"/>
  <dimension ref="A1:Q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179</v>
      </c>
      <c r="B1" s="70" t="s">
        <v>179</v>
      </c>
      <c r="C1" s="70" t="s">
        <v>179</v>
      </c>
      <c r="D1" s="71" t="s">
        <v>179</v>
      </c>
      <c r="E1" s="70" t="s">
        <v>179</v>
      </c>
      <c r="F1" s="70" t="s">
        <v>179</v>
      </c>
      <c r="G1" s="70" t="s">
        <v>179</v>
      </c>
      <c r="H1" s="70" t="s">
        <v>179</v>
      </c>
      <c r="I1" s="70" t="s">
        <v>179</v>
      </c>
      <c r="J1" s="70" t="s">
        <v>179</v>
      </c>
      <c r="K1" s="70" t="s">
        <v>179</v>
      </c>
      <c r="L1" s="70" t="s">
        <v>179</v>
      </c>
      <c r="M1" s="70" t="s">
        <v>179</v>
      </c>
      <c r="N1" s="70" t="s">
        <v>179</v>
      </c>
      <c r="O1" s="70" t="s">
        <v>179</v>
      </c>
      <c r="P1" s="70" t="s">
        <v>179</v>
      </c>
      <c r="Q1" s="70" t="s">
        <v>179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46.9</v>
      </c>
      <c r="C4" s="66">
        <v>46.9</v>
      </c>
      <c r="D4" s="71">
        <v>1</v>
      </c>
      <c r="E4" s="67">
        <v>1</v>
      </c>
      <c r="F4" s="67">
        <v>0</v>
      </c>
      <c r="G4" s="67">
        <v>0.36363636363636365</v>
      </c>
      <c r="H4" s="67">
        <v>0</v>
      </c>
      <c r="I4" s="68">
        <v>8950</v>
      </c>
      <c r="J4" s="68">
        <v>0</v>
      </c>
      <c r="K4" s="67">
        <v>0</v>
      </c>
      <c r="L4" s="67">
        <v>0</v>
      </c>
      <c r="M4" s="67">
        <v>9.0909090909090912E-2</v>
      </c>
      <c r="N4" s="67">
        <v>0.27272727272727271</v>
      </c>
      <c r="O4" s="67">
        <v>1</v>
      </c>
      <c r="P4" s="67">
        <v>1</v>
      </c>
      <c r="Q4" s="67">
        <v>0.25</v>
      </c>
    </row>
    <row r="5" spans="1:17" x14ac:dyDescent="0.4">
      <c r="A5" s="69">
        <v>2</v>
      </c>
      <c r="B5" s="66">
        <v>8.1000000000000014</v>
      </c>
      <c r="C5" s="66">
        <v>4.0500000000000007</v>
      </c>
      <c r="D5" s="71">
        <v>2</v>
      </c>
      <c r="E5" s="67">
        <v>0.5</v>
      </c>
      <c r="F5" s="67">
        <v>0.5</v>
      </c>
      <c r="G5" s="67">
        <v>0.18181818181818182</v>
      </c>
      <c r="H5" s="67">
        <v>4.5454545454545456E-2</v>
      </c>
      <c r="I5" s="68">
        <v>8950</v>
      </c>
      <c r="J5" s="68">
        <v>-12000</v>
      </c>
      <c r="K5" s="67">
        <v>0</v>
      </c>
      <c r="L5" s="67">
        <v>0</v>
      </c>
      <c r="M5" s="67">
        <v>9.0909090909090912E-2</v>
      </c>
      <c r="N5" s="67">
        <v>0.18181818181818182</v>
      </c>
      <c r="O5" s="67">
        <v>0.5</v>
      </c>
      <c r="P5" s="67">
        <v>0.75</v>
      </c>
      <c r="Q5" s="67">
        <v>0.25</v>
      </c>
    </row>
    <row r="6" spans="1:17" x14ac:dyDescent="0.4">
      <c r="A6" s="69">
        <v>3</v>
      </c>
      <c r="B6" s="66">
        <v>-37</v>
      </c>
      <c r="C6" s="66">
        <v>-12.333333333333334</v>
      </c>
      <c r="D6" s="71">
        <v>2.3333333333333335</v>
      </c>
      <c r="E6" s="67">
        <v>0.33333333333333331</v>
      </c>
      <c r="F6" s="67">
        <v>0.66666666666666663</v>
      </c>
      <c r="G6" s="67">
        <v>0.14285714285714285</v>
      </c>
      <c r="H6" s="67">
        <v>0.10714285714285714</v>
      </c>
      <c r="I6" s="68">
        <v>8950</v>
      </c>
      <c r="J6" s="68">
        <v>-7866.666666666667</v>
      </c>
      <c r="K6" s="67">
        <v>0.33333333333333331</v>
      </c>
      <c r="L6" s="67">
        <v>0</v>
      </c>
      <c r="M6" s="67">
        <v>7.1428571428571425E-2</v>
      </c>
      <c r="N6" s="67">
        <v>0.21428571428571427</v>
      </c>
      <c r="O6" s="67">
        <v>0.5</v>
      </c>
      <c r="P6" s="67">
        <v>0.5</v>
      </c>
      <c r="Q6" s="67">
        <v>0.25</v>
      </c>
    </row>
    <row r="7" spans="1:17" x14ac:dyDescent="0.4">
      <c r="A7" s="69">
        <v>4</v>
      </c>
      <c r="B7" s="66">
        <v>-19.3</v>
      </c>
      <c r="C7" s="66">
        <v>-4.8250000000000002</v>
      </c>
      <c r="D7" s="71">
        <v>2.25</v>
      </c>
      <c r="E7" s="67">
        <v>0.25</v>
      </c>
      <c r="F7" s="67">
        <v>0.5</v>
      </c>
      <c r="G7" s="67">
        <v>0.20512820512820512</v>
      </c>
      <c r="H7" s="67">
        <v>0.10256410256410256</v>
      </c>
      <c r="I7" s="68">
        <v>8937.5</v>
      </c>
      <c r="J7" s="68">
        <v>-7900</v>
      </c>
      <c r="K7" s="67">
        <v>0.25</v>
      </c>
      <c r="L7" s="67">
        <v>0</v>
      </c>
      <c r="M7" s="67">
        <v>0.10256410256410256</v>
      </c>
      <c r="N7" s="67">
        <v>0.17948717948717949</v>
      </c>
      <c r="O7" s="67">
        <v>0.75</v>
      </c>
      <c r="P7" s="67">
        <v>0.5714285714285714</v>
      </c>
      <c r="Q7" s="67">
        <v>0.375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41FF45-0476-4547-83B9-13704A1B557F}">
  <sheetPr codeName="Sheet16"/>
  <dimension ref="A1:Q1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178</v>
      </c>
      <c r="B1" s="70" t="s">
        <v>178</v>
      </c>
      <c r="C1" s="70" t="s">
        <v>178</v>
      </c>
      <c r="D1" s="71" t="s">
        <v>178</v>
      </c>
      <c r="E1" s="70" t="s">
        <v>178</v>
      </c>
      <c r="F1" s="70" t="s">
        <v>178</v>
      </c>
      <c r="G1" s="70" t="s">
        <v>178</v>
      </c>
      <c r="H1" s="70" t="s">
        <v>178</v>
      </c>
      <c r="I1" s="70" t="s">
        <v>178</v>
      </c>
      <c r="J1" s="70" t="s">
        <v>178</v>
      </c>
      <c r="K1" s="70" t="s">
        <v>178</v>
      </c>
      <c r="L1" s="70" t="s">
        <v>178</v>
      </c>
      <c r="M1" s="70" t="s">
        <v>178</v>
      </c>
      <c r="N1" s="70" t="s">
        <v>178</v>
      </c>
      <c r="O1" s="70" t="s">
        <v>178</v>
      </c>
      <c r="P1" s="70" t="s">
        <v>178</v>
      </c>
      <c r="Q1" s="70" t="s">
        <v>178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-9.1</v>
      </c>
      <c r="C4" s="66">
        <v>-9.1</v>
      </c>
      <c r="D4" s="71">
        <v>2</v>
      </c>
      <c r="E4" s="67">
        <v>0</v>
      </c>
      <c r="F4" s="67">
        <v>0</v>
      </c>
      <c r="G4" s="67">
        <v>0.36363636363636365</v>
      </c>
      <c r="H4" s="67">
        <v>0.27272727272727271</v>
      </c>
      <c r="I4" s="68">
        <v>8125</v>
      </c>
      <c r="J4" s="68">
        <v>-10600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-67.3</v>
      </c>
      <c r="C5" s="66">
        <v>-33.65</v>
      </c>
      <c r="D5" s="71">
        <v>2.5</v>
      </c>
      <c r="E5" s="67">
        <v>0</v>
      </c>
      <c r="F5" s="67">
        <v>0.5</v>
      </c>
      <c r="G5" s="67">
        <v>0.25</v>
      </c>
      <c r="H5" s="67">
        <v>0.3</v>
      </c>
      <c r="I5" s="68">
        <v>8100</v>
      </c>
      <c r="J5" s="68">
        <v>-14300</v>
      </c>
      <c r="K5" s="67">
        <v>0.5</v>
      </c>
      <c r="L5" s="67">
        <v>0</v>
      </c>
      <c r="M5" s="67">
        <v>0.15</v>
      </c>
      <c r="N5" s="67">
        <v>0.1</v>
      </c>
      <c r="O5" s="67">
        <v>0.66666666666666663</v>
      </c>
      <c r="P5" s="67">
        <v>0.5</v>
      </c>
      <c r="Q5" s="67">
        <v>0.4</v>
      </c>
    </row>
    <row r="6" spans="1:17" x14ac:dyDescent="0.4">
      <c r="A6" s="69">
        <v>3</v>
      </c>
      <c r="B6" s="66">
        <v>-113.8</v>
      </c>
      <c r="C6" s="66">
        <v>-37.93333333333333</v>
      </c>
      <c r="D6" s="71">
        <v>2.6666666666666665</v>
      </c>
      <c r="E6" s="67">
        <v>0</v>
      </c>
      <c r="F6" s="67">
        <v>0.66666666666666663</v>
      </c>
      <c r="G6" s="67">
        <v>0.2</v>
      </c>
      <c r="H6" s="67">
        <v>0.33333333333333331</v>
      </c>
      <c r="I6" s="68">
        <v>8750</v>
      </c>
      <c r="J6" s="68">
        <v>-11980</v>
      </c>
      <c r="K6" s="67">
        <v>0.66666666666666663</v>
      </c>
      <c r="L6" s="67">
        <v>0</v>
      </c>
      <c r="M6" s="67">
        <v>0.2</v>
      </c>
      <c r="N6" s="67">
        <v>0.23333333333333334</v>
      </c>
      <c r="O6" s="67">
        <v>0.33333333333333331</v>
      </c>
      <c r="P6" s="67">
        <v>0.2857142857142857</v>
      </c>
      <c r="Q6" s="67">
        <v>0.33333333333333331</v>
      </c>
    </row>
    <row r="7" spans="1:17" x14ac:dyDescent="0.4">
      <c r="A7" s="69">
        <v>4</v>
      </c>
      <c r="B7" s="66">
        <v>-74.599999999999994</v>
      </c>
      <c r="C7" s="66">
        <v>-18.649999999999999</v>
      </c>
      <c r="D7" s="71">
        <v>2.25</v>
      </c>
      <c r="E7" s="67">
        <v>0.25</v>
      </c>
      <c r="F7" s="67">
        <v>0.5</v>
      </c>
      <c r="G7" s="67">
        <v>0.25</v>
      </c>
      <c r="H7" s="67">
        <v>0.27777777777777779</v>
      </c>
      <c r="I7" s="68">
        <v>11355.555555555555</v>
      </c>
      <c r="J7" s="68">
        <v>-11980</v>
      </c>
      <c r="K7" s="67">
        <v>0.5</v>
      </c>
      <c r="L7" s="67">
        <v>0.25</v>
      </c>
      <c r="M7" s="67">
        <v>0.22222222222222221</v>
      </c>
      <c r="N7" s="67">
        <v>0.25</v>
      </c>
      <c r="O7" s="67">
        <v>0.5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-118.3</v>
      </c>
      <c r="C8" s="66">
        <v>-23.66</v>
      </c>
      <c r="D8" s="71">
        <v>2.4</v>
      </c>
      <c r="E8" s="67">
        <v>0.2</v>
      </c>
      <c r="F8" s="67">
        <v>0.6</v>
      </c>
      <c r="G8" s="67">
        <v>0.22222222222222221</v>
      </c>
      <c r="H8" s="67">
        <v>0.31111111111111112</v>
      </c>
      <c r="I8" s="68">
        <v>10420</v>
      </c>
      <c r="J8" s="68">
        <v>-10764.285714285714</v>
      </c>
      <c r="K8" s="67">
        <v>0.4</v>
      </c>
      <c r="L8" s="67">
        <v>0.2</v>
      </c>
      <c r="M8" s="67">
        <v>0.17777777777777778</v>
      </c>
      <c r="N8" s="67">
        <v>0.24444444444444444</v>
      </c>
      <c r="O8" s="67">
        <v>0.5</v>
      </c>
      <c r="P8" s="67">
        <v>0.36363636363636365</v>
      </c>
      <c r="Q8" s="67">
        <v>0.3</v>
      </c>
    </row>
    <row r="9" spans="1:17" x14ac:dyDescent="0.4">
      <c r="A9" s="69">
        <v>6</v>
      </c>
      <c r="B9" s="66">
        <v>-60.3</v>
      </c>
      <c r="C9" s="66">
        <v>-10.049999999999999</v>
      </c>
      <c r="D9" s="71">
        <v>2.1666666666666665</v>
      </c>
      <c r="E9" s="67">
        <v>0.33333333333333331</v>
      </c>
      <c r="F9" s="67">
        <v>0.5</v>
      </c>
      <c r="G9" s="67">
        <v>0.2391304347826087</v>
      </c>
      <c r="H9" s="67">
        <v>0.30434782608695654</v>
      </c>
      <c r="I9" s="68">
        <v>13836.363636363636</v>
      </c>
      <c r="J9" s="68">
        <v>-10764.285714285714</v>
      </c>
      <c r="K9" s="67">
        <v>0.33333333333333331</v>
      </c>
      <c r="L9" s="67">
        <v>0.33333333333333331</v>
      </c>
      <c r="M9" s="67">
        <v>0.17391304347826086</v>
      </c>
      <c r="N9" s="67">
        <v>0.2391304347826087</v>
      </c>
      <c r="O9" s="67">
        <v>0.5</v>
      </c>
      <c r="P9" s="67">
        <v>0.36363636363636365</v>
      </c>
      <c r="Q9" s="67">
        <v>0.27272727272727271</v>
      </c>
    </row>
    <row r="10" spans="1:17" x14ac:dyDescent="0.4">
      <c r="A10" s="69">
        <v>7</v>
      </c>
      <c r="B10" s="66">
        <v>-60.8</v>
      </c>
      <c r="C10" s="66">
        <v>-8.6857142857142851</v>
      </c>
      <c r="D10" s="71">
        <v>2.1428571428571428</v>
      </c>
      <c r="E10" s="67">
        <v>0.2857142857142857</v>
      </c>
      <c r="F10" s="67">
        <v>0.42857142857142855</v>
      </c>
      <c r="G10" s="67">
        <v>0.26415094339622641</v>
      </c>
      <c r="H10" s="67">
        <v>0.26415094339622641</v>
      </c>
      <c r="I10" s="68">
        <v>12942.857142857143</v>
      </c>
      <c r="J10" s="68">
        <v>-10764.285714285714</v>
      </c>
      <c r="K10" s="67">
        <v>0.2857142857142857</v>
      </c>
      <c r="L10" s="67">
        <v>0.2857142857142857</v>
      </c>
      <c r="M10" s="67">
        <v>0.15094339622641509</v>
      </c>
      <c r="N10" s="67">
        <v>0.30188679245283018</v>
      </c>
      <c r="O10" s="67">
        <v>0.5</v>
      </c>
      <c r="P10" s="67">
        <v>0.4375</v>
      </c>
      <c r="Q10" s="67">
        <v>0.35714285714285715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B74043-41AF-4853-8621-1FB5E451354E}">
  <sheetPr codeName="Sheet14"/>
  <dimension ref="A1:Q1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180</v>
      </c>
      <c r="B1" s="70" t="s">
        <v>180</v>
      </c>
      <c r="C1" s="70" t="s">
        <v>180</v>
      </c>
      <c r="D1" s="71" t="s">
        <v>180</v>
      </c>
      <c r="E1" s="70" t="s">
        <v>180</v>
      </c>
      <c r="F1" s="70" t="s">
        <v>180</v>
      </c>
      <c r="G1" s="70" t="s">
        <v>180</v>
      </c>
      <c r="H1" s="70" t="s">
        <v>180</v>
      </c>
      <c r="I1" s="70" t="s">
        <v>180</v>
      </c>
      <c r="J1" s="70" t="s">
        <v>180</v>
      </c>
      <c r="K1" s="70" t="s">
        <v>180</v>
      </c>
      <c r="L1" s="70" t="s">
        <v>180</v>
      </c>
      <c r="M1" s="70" t="s">
        <v>180</v>
      </c>
      <c r="N1" s="70" t="s">
        <v>180</v>
      </c>
      <c r="O1" s="70" t="s">
        <v>180</v>
      </c>
      <c r="P1" s="70" t="s">
        <v>180</v>
      </c>
      <c r="Q1" s="70" t="s">
        <v>180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-37.799999999999997</v>
      </c>
      <c r="C4" s="66">
        <v>-37.799999999999997</v>
      </c>
      <c r="D4" s="71">
        <v>3</v>
      </c>
      <c r="E4" s="67">
        <v>0</v>
      </c>
      <c r="F4" s="67">
        <v>1</v>
      </c>
      <c r="G4" s="67">
        <v>9.0909090909090912E-2</v>
      </c>
      <c r="H4" s="67">
        <v>0.18181818181818182</v>
      </c>
      <c r="I4" s="68">
        <v>2100</v>
      </c>
      <c r="J4" s="68">
        <v>-14900</v>
      </c>
      <c r="K4" s="67">
        <v>0</v>
      </c>
      <c r="L4" s="67">
        <v>0</v>
      </c>
      <c r="M4" s="67">
        <v>0.27272727272727271</v>
      </c>
      <c r="N4" s="67">
        <v>0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-30.099999999999998</v>
      </c>
      <c r="C5" s="66">
        <v>-15.049999999999999</v>
      </c>
      <c r="D5" s="71">
        <v>2.5</v>
      </c>
      <c r="E5" s="67">
        <v>0</v>
      </c>
      <c r="F5" s="67">
        <v>0.5</v>
      </c>
      <c r="G5" s="67">
        <v>0.21052631578947367</v>
      </c>
      <c r="H5" s="67">
        <v>0.15789473684210525</v>
      </c>
      <c r="I5" s="68">
        <v>4750</v>
      </c>
      <c r="J5" s="68">
        <v>-11233.333333333334</v>
      </c>
      <c r="K5" s="67">
        <v>0</v>
      </c>
      <c r="L5" s="67">
        <v>0</v>
      </c>
      <c r="M5" s="67">
        <v>0.26315789473684209</v>
      </c>
      <c r="N5" s="67">
        <v>0.26315789473684209</v>
      </c>
      <c r="O5" s="67">
        <v>0.4</v>
      </c>
      <c r="P5" s="67">
        <v>0.2</v>
      </c>
      <c r="Q5" s="67">
        <v>0.25</v>
      </c>
    </row>
    <row r="6" spans="1:17" x14ac:dyDescent="0.4">
      <c r="A6" s="69">
        <v>3</v>
      </c>
      <c r="B6" s="66">
        <v>-17.599999999999998</v>
      </c>
      <c r="C6" s="66">
        <v>-5.8666666666666663</v>
      </c>
      <c r="D6" s="71">
        <v>2.3333333333333335</v>
      </c>
      <c r="E6" s="67">
        <v>0</v>
      </c>
      <c r="F6" s="67">
        <v>0.33333333333333331</v>
      </c>
      <c r="G6" s="67">
        <v>0.26666666666666666</v>
      </c>
      <c r="H6" s="67">
        <v>0.2</v>
      </c>
      <c r="I6" s="68">
        <v>5262.5</v>
      </c>
      <c r="J6" s="68">
        <v>-7716.666666666667</v>
      </c>
      <c r="K6" s="67">
        <v>0</v>
      </c>
      <c r="L6" s="67">
        <v>0</v>
      </c>
      <c r="M6" s="67">
        <v>0.26666666666666666</v>
      </c>
      <c r="N6" s="67">
        <v>0.23333333333333334</v>
      </c>
      <c r="O6" s="67">
        <v>0.625</v>
      </c>
      <c r="P6" s="67">
        <v>0.14285714285714285</v>
      </c>
      <c r="Q6" s="67">
        <v>0.25</v>
      </c>
    </row>
    <row r="7" spans="1:17" x14ac:dyDescent="0.4">
      <c r="A7" s="69">
        <v>4</v>
      </c>
      <c r="B7" s="66">
        <v>-54.899999999999991</v>
      </c>
      <c r="C7" s="66">
        <v>-13.724999999999998</v>
      </c>
      <c r="D7" s="71">
        <v>2.5</v>
      </c>
      <c r="E7" s="67">
        <v>0</v>
      </c>
      <c r="F7" s="67">
        <v>0.5</v>
      </c>
      <c r="G7" s="67">
        <v>0.28205128205128205</v>
      </c>
      <c r="H7" s="67">
        <v>0.20512820512820512</v>
      </c>
      <c r="I7" s="68">
        <v>5290.909090909091</v>
      </c>
      <c r="J7" s="68">
        <v>-10275</v>
      </c>
      <c r="K7" s="67">
        <v>0</v>
      </c>
      <c r="L7" s="67">
        <v>0</v>
      </c>
      <c r="M7" s="67">
        <v>0.25641025641025639</v>
      </c>
      <c r="N7" s="67">
        <v>0.23076923076923078</v>
      </c>
      <c r="O7" s="67">
        <v>0.7</v>
      </c>
      <c r="P7" s="67">
        <v>0.1111111111111111</v>
      </c>
      <c r="Q7" s="67">
        <v>0.18181818181818182</v>
      </c>
    </row>
    <row r="8" spans="1:17" x14ac:dyDescent="0.4">
      <c r="A8" s="69">
        <v>5</v>
      </c>
      <c r="B8" s="66">
        <v>-33.699999999999989</v>
      </c>
      <c r="C8" s="66">
        <v>-6.7399999999999975</v>
      </c>
      <c r="D8" s="71">
        <v>2.2000000000000002</v>
      </c>
      <c r="E8" s="67">
        <v>0.2</v>
      </c>
      <c r="F8" s="67">
        <v>0.4</v>
      </c>
      <c r="G8" s="67">
        <v>0.30612244897959184</v>
      </c>
      <c r="H8" s="67">
        <v>0.22448979591836735</v>
      </c>
      <c r="I8" s="68">
        <v>6226.666666666667</v>
      </c>
      <c r="J8" s="68">
        <v>-8127.272727272727</v>
      </c>
      <c r="K8" s="67">
        <v>0</v>
      </c>
      <c r="L8" s="67">
        <v>0</v>
      </c>
      <c r="M8" s="67">
        <v>0.26530612244897961</v>
      </c>
      <c r="N8" s="67">
        <v>0.20408163265306123</v>
      </c>
      <c r="O8" s="67">
        <v>0.69230769230769229</v>
      </c>
      <c r="P8" s="67">
        <v>0.2</v>
      </c>
      <c r="Q8" s="67">
        <v>0.26666666666666666</v>
      </c>
    </row>
    <row r="9" spans="1:17" x14ac:dyDescent="0.4">
      <c r="A9" s="69">
        <v>6</v>
      </c>
      <c r="B9" s="66">
        <v>-57.399999999999991</v>
      </c>
      <c r="C9" s="66">
        <v>-9.5666666666666647</v>
      </c>
      <c r="D9" s="71">
        <v>2.3333333333333335</v>
      </c>
      <c r="E9" s="67">
        <v>0.16666666666666666</v>
      </c>
      <c r="F9" s="67">
        <v>0.5</v>
      </c>
      <c r="G9" s="67">
        <v>0.2982456140350877</v>
      </c>
      <c r="H9" s="67">
        <v>0.22807017543859648</v>
      </c>
      <c r="I9" s="68">
        <v>6670.588235294118</v>
      </c>
      <c r="J9" s="68">
        <v>-8392.3076923076915</v>
      </c>
      <c r="K9" s="67">
        <v>0</v>
      </c>
      <c r="L9" s="67">
        <v>0</v>
      </c>
      <c r="M9" s="67">
        <v>0.2807017543859649</v>
      </c>
      <c r="N9" s="67">
        <v>0.21052631578947367</v>
      </c>
      <c r="O9" s="67">
        <v>0.625</v>
      </c>
      <c r="P9" s="67">
        <v>0.25</v>
      </c>
      <c r="Q9" s="67">
        <v>0.23529411764705882</v>
      </c>
    </row>
    <row r="10" spans="1:17" x14ac:dyDescent="0.4">
      <c r="A10" s="69">
        <v>7</v>
      </c>
      <c r="B10" s="66">
        <v>-39.499999999999993</v>
      </c>
      <c r="C10" s="66">
        <v>-5.6428571428571415</v>
      </c>
      <c r="D10" s="71">
        <v>2.2857142857142856</v>
      </c>
      <c r="E10" s="67">
        <v>0.14285714285714285</v>
      </c>
      <c r="F10" s="67">
        <v>0.42857142857142855</v>
      </c>
      <c r="G10" s="67">
        <v>0.29850746268656714</v>
      </c>
      <c r="H10" s="67">
        <v>0.20895522388059701</v>
      </c>
      <c r="I10" s="68">
        <v>7750</v>
      </c>
      <c r="J10" s="68">
        <v>-8071.4285714285716</v>
      </c>
      <c r="K10" s="67">
        <v>0</v>
      </c>
      <c r="L10" s="67">
        <v>0</v>
      </c>
      <c r="M10" s="67">
        <v>0.26865671641791045</v>
      </c>
      <c r="N10" s="67">
        <v>0.19402985074626866</v>
      </c>
      <c r="O10" s="67">
        <v>0.66666666666666663</v>
      </c>
      <c r="P10" s="67">
        <v>0.23076923076923078</v>
      </c>
      <c r="Q10" s="67">
        <v>0.3</v>
      </c>
    </row>
    <row r="11" spans="1:17" x14ac:dyDescent="0.4">
      <c r="A11" s="69">
        <v>8</v>
      </c>
      <c r="B11" s="66">
        <v>-62.999999999999993</v>
      </c>
      <c r="C11" s="66">
        <v>-7.8749999999999991</v>
      </c>
      <c r="D11" s="71">
        <v>2.375</v>
      </c>
      <c r="E11" s="67">
        <v>0.125</v>
      </c>
      <c r="F11" s="67">
        <v>0.5</v>
      </c>
      <c r="G11" s="67">
        <v>0.26315789473684209</v>
      </c>
      <c r="H11" s="67">
        <v>0.21052631578947367</v>
      </c>
      <c r="I11" s="68">
        <v>7750</v>
      </c>
      <c r="J11" s="68">
        <v>-7625</v>
      </c>
      <c r="K11" s="67">
        <v>0</v>
      </c>
      <c r="L11" s="67">
        <v>0</v>
      </c>
      <c r="M11" s="67">
        <v>0.25</v>
      </c>
      <c r="N11" s="67">
        <v>0.19736842105263158</v>
      </c>
      <c r="O11" s="67">
        <v>0.63157894736842102</v>
      </c>
      <c r="P11" s="67">
        <v>0.2</v>
      </c>
      <c r="Q11" s="67">
        <v>0.3</v>
      </c>
    </row>
    <row r="12" spans="1:17" x14ac:dyDescent="0.4">
      <c r="A12" s="69">
        <v>9</v>
      </c>
      <c r="B12" s="66">
        <v>-74.199999999999989</v>
      </c>
      <c r="C12" s="66">
        <v>-8.2444444444444436</v>
      </c>
      <c r="D12" s="71">
        <v>2.3333333333333335</v>
      </c>
      <c r="E12" s="67">
        <v>0.1111111111111111</v>
      </c>
      <c r="F12" s="67">
        <v>0.44444444444444442</v>
      </c>
      <c r="G12" s="67">
        <v>0.27058823529411763</v>
      </c>
      <c r="H12" s="67">
        <v>0.21176470588235294</v>
      </c>
      <c r="I12" s="68">
        <v>7686.95652173913</v>
      </c>
      <c r="J12" s="68">
        <v>-7872.2222222222226</v>
      </c>
      <c r="K12" s="67">
        <v>0</v>
      </c>
      <c r="L12" s="67">
        <v>0</v>
      </c>
      <c r="M12" s="67">
        <v>0.24705882352941178</v>
      </c>
      <c r="N12" s="67">
        <v>0.17647058823529413</v>
      </c>
      <c r="O12" s="67">
        <v>0.61904761904761907</v>
      </c>
      <c r="P12" s="67">
        <v>0.2</v>
      </c>
      <c r="Q12" s="67">
        <v>0.34782608695652173</v>
      </c>
    </row>
    <row r="13" spans="1:17" x14ac:dyDescent="0.4">
      <c r="A13" s="69">
        <v>10</v>
      </c>
      <c r="B13" s="66">
        <v>-117.19999999999999</v>
      </c>
      <c r="C13" s="66">
        <v>-11.719999999999999</v>
      </c>
      <c r="D13" s="71">
        <v>2.4</v>
      </c>
      <c r="E13" s="67">
        <v>0.1</v>
      </c>
      <c r="F13" s="67">
        <v>0.5</v>
      </c>
      <c r="G13" s="67">
        <v>0.23958333333333334</v>
      </c>
      <c r="H13" s="67">
        <v>0.22916666666666666</v>
      </c>
      <c r="I13" s="68">
        <v>7686.95652173913</v>
      </c>
      <c r="J13" s="68">
        <v>-7695.454545454545</v>
      </c>
      <c r="K13" s="67">
        <v>0</v>
      </c>
      <c r="L13" s="67">
        <v>0</v>
      </c>
      <c r="M13" s="67">
        <v>0.23958333333333334</v>
      </c>
      <c r="N13" s="67">
        <v>0.15625</v>
      </c>
      <c r="O13" s="67">
        <v>0.56521739130434778</v>
      </c>
      <c r="P13" s="67">
        <v>0.2</v>
      </c>
      <c r="Q13" s="67">
        <v>0.34782608695652173</v>
      </c>
    </row>
    <row r="14" spans="1:17" x14ac:dyDescent="0.4">
      <c r="A14" s="69">
        <v>11</v>
      </c>
      <c r="B14" s="66">
        <v>-177.29999999999998</v>
      </c>
      <c r="C14" s="66">
        <v>-16.118181818181817</v>
      </c>
      <c r="D14" s="71">
        <v>2.4545454545454546</v>
      </c>
      <c r="E14" s="67">
        <v>9.0909090909090912E-2</v>
      </c>
      <c r="F14" s="67">
        <v>0.54545454545454541</v>
      </c>
      <c r="G14" s="67">
        <v>0.23</v>
      </c>
      <c r="H14" s="67">
        <v>0.25</v>
      </c>
      <c r="I14" s="68">
        <v>7686.95652173913</v>
      </c>
      <c r="J14" s="68">
        <v>-8256</v>
      </c>
      <c r="K14" s="67">
        <v>9.0909090909090912E-2</v>
      </c>
      <c r="L14" s="67">
        <v>0</v>
      </c>
      <c r="M14" s="67">
        <v>0.24</v>
      </c>
      <c r="N14" s="67">
        <v>0.15</v>
      </c>
      <c r="O14" s="67">
        <v>0.54166666666666663</v>
      </c>
      <c r="P14" s="67">
        <v>0.2</v>
      </c>
      <c r="Q14" s="67">
        <v>0.34782608695652173</v>
      </c>
    </row>
    <row r="15" spans="1:17" x14ac:dyDescent="0.4">
      <c r="A15" s="69">
        <v>12</v>
      </c>
      <c r="B15" s="66">
        <v>-158.6</v>
      </c>
      <c r="C15" s="66">
        <v>-13.216666666666667</v>
      </c>
      <c r="D15" s="71">
        <v>2.4166666666666665</v>
      </c>
      <c r="E15" s="67">
        <v>8.3333333333333329E-2</v>
      </c>
      <c r="F15" s="67">
        <v>0.5</v>
      </c>
      <c r="G15" s="67">
        <v>0.23636363636363636</v>
      </c>
      <c r="H15" s="67">
        <v>0.23636363636363636</v>
      </c>
      <c r="I15" s="68">
        <v>7769.2307692307695</v>
      </c>
      <c r="J15" s="68">
        <v>-8015.3846153846152</v>
      </c>
      <c r="K15" s="67">
        <v>8.3333333333333329E-2</v>
      </c>
      <c r="L15" s="67">
        <v>0</v>
      </c>
      <c r="M15" s="67">
        <v>0.24545454545454545</v>
      </c>
      <c r="N15" s="67">
        <v>0.15454545454545454</v>
      </c>
      <c r="O15" s="67">
        <v>0.59259259259259256</v>
      </c>
      <c r="P15" s="67">
        <v>0.17647058823529413</v>
      </c>
      <c r="Q15" s="67">
        <v>0.34615384615384615</v>
      </c>
    </row>
    <row r="16" spans="1:17" x14ac:dyDescent="0.4">
      <c r="A16" s="69">
        <v>13</v>
      </c>
      <c r="B16" s="66">
        <v>-207.3</v>
      </c>
      <c r="C16" s="66">
        <v>-15.946153846153846</v>
      </c>
      <c r="D16" s="71">
        <v>2.4615384615384617</v>
      </c>
      <c r="E16" s="67">
        <v>7.6923076923076927E-2</v>
      </c>
      <c r="F16" s="67">
        <v>0.53846153846153844</v>
      </c>
      <c r="G16" s="67">
        <v>0.23529411764705882</v>
      </c>
      <c r="H16" s="67">
        <v>0.24369747899159663</v>
      </c>
      <c r="I16" s="68">
        <v>7928.5714285714284</v>
      </c>
      <c r="J16" s="68">
        <v>-8551.7241379310344</v>
      </c>
      <c r="K16" s="67">
        <v>0.15384615384615385</v>
      </c>
      <c r="L16" s="67">
        <v>0</v>
      </c>
      <c r="M16" s="67">
        <v>0.26050420168067229</v>
      </c>
      <c r="N16" s="67">
        <v>0.15966386554621848</v>
      </c>
      <c r="O16" s="67">
        <v>0.58064516129032262</v>
      </c>
      <c r="P16" s="67">
        <v>0.15789473684210525</v>
      </c>
      <c r="Q16" s="67">
        <v>0.32142857142857145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46B8E-4B66-4BFC-99AB-21B66AD74733}">
  <sheetPr codeName="Sheet12"/>
  <dimension ref="A1:Q2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-45.6</v>
      </c>
      <c r="C4" s="66">
        <v>-45.6</v>
      </c>
      <c r="D4" s="71">
        <v>3</v>
      </c>
      <c r="E4" s="67">
        <v>0</v>
      </c>
      <c r="F4" s="67">
        <v>1</v>
      </c>
      <c r="G4" s="67">
        <v>0.2</v>
      </c>
      <c r="H4" s="67">
        <v>0.4</v>
      </c>
      <c r="I4" s="68">
        <v>7300</v>
      </c>
      <c r="J4" s="68">
        <v>-9925</v>
      </c>
      <c r="K4" s="67">
        <v>1</v>
      </c>
      <c r="L4" s="67">
        <v>0</v>
      </c>
      <c r="M4" s="67">
        <v>0.4</v>
      </c>
      <c r="N4" s="67">
        <v>0.3</v>
      </c>
      <c r="O4" s="67">
        <v>0.25</v>
      </c>
      <c r="P4" s="67">
        <v>0.33333333333333331</v>
      </c>
      <c r="Q4" s="67">
        <v>0.5</v>
      </c>
    </row>
    <row r="5" spans="1:17" x14ac:dyDescent="0.4">
      <c r="A5" s="69">
        <v>2</v>
      </c>
      <c r="B5" s="66">
        <v>-34.299999999999997</v>
      </c>
      <c r="C5" s="66">
        <v>-17.149999999999999</v>
      </c>
      <c r="D5" s="71">
        <v>2.5</v>
      </c>
      <c r="E5" s="67">
        <v>0</v>
      </c>
      <c r="F5" s="67">
        <v>0.5</v>
      </c>
      <c r="G5" s="67">
        <v>0.26315789473684209</v>
      </c>
      <c r="H5" s="67">
        <v>0.31578947368421051</v>
      </c>
      <c r="I5" s="68">
        <v>9320</v>
      </c>
      <c r="J5" s="68">
        <v>-7266.666666666667</v>
      </c>
      <c r="K5" s="67">
        <v>0.5</v>
      </c>
      <c r="L5" s="67">
        <v>0</v>
      </c>
      <c r="M5" s="67">
        <v>0.47368421052631576</v>
      </c>
      <c r="N5" s="67">
        <v>0.21052631578947367</v>
      </c>
      <c r="O5" s="67">
        <v>0.44444444444444442</v>
      </c>
      <c r="P5" s="67">
        <v>0.25</v>
      </c>
      <c r="Q5" s="67">
        <v>0.4</v>
      </c>
    </row>
    <row r="6" spans="1:17" x14ac:dyDescent="0.4">
      <c r="A6" s="69">
        <v>3</v>
      </c>
      <c r="B6" s="66">
        <v>-58.599999999999994</v>
      </c>
      <c r="C6" s="66">
        <v>-19.533333333333331</v>
      </c>
      <c r="D6" s="71">
        <v>2.6666666666666665</v>
      </c>
      <c r="E6" s="67">
        <v>0</v>
      </c>
      <c r="F6" s="67">
        <v>0.66666666666666663</v>
      </c>
      <c r="G6" s="67">
        <v>0.19230769230769232</v>
      </c>
      <c r="H6" s="67">
        <v>0.30769230769230771</v>
      </c>
      <c r="I6" s="68">
        <v>9320</v>
      </c>
      <c r="J6" s="68">
        <v>-5775</v>
      </c>
      <c r="K6" s="67">
        <v>0.33333333333333331</v>
      </c>
      <c r="L6" s="67">
        <v>0</v>
      </c>
      <c r="M6" s="67">
        <v>0.34615384615384615</v>
      </c>
      <c r="N6" s="67">
        <v>0.15384615384615385</v>
      </c>
      <c r="O6" s="67">
        <v>0.44444444444444442</v>
      </c>
      <c r="P6" s="67">
        <v>0.25</v>
      </c>
      <c r="Q6" s="67">
        <v>0.4</v>
      </c>
    </row>
    <row r="7" spans="1:17" x14ac:dyDescent="0.4">
      <c r="A7" s="69">
        <v>4</v>
      </c>
      <c r="B7" s="66">
        <v>-38.099999999999994</v>
      </c>
      <c r="C7" s="66">
        <v>-9.5249999999999986</v>
      </c>
      <c r="D7" s="71">
        <v>2.25</v>
      </c>
      <c r="E7" s="67">
        <v>0.25</v>
      </c>
      <c r="F7" s="67">
        <v>0.5</v>
      </c>
      <c r="G7" s="67">
        <v>0.26470588235294118</v>
      </c>
      <c r="H7" s="67">
        <v>0.29411764705882354</v>
      </c>
      <c r="I7" s="68">
        <v>7788.8888888888887</v>
      </c>
      <c r="J7" s="68">
        <v>-6020</v>
      </c>
      <c r="K7" s="67">
        <v>0.25</v>
      </c>
      <c r="L7" s="67">
        <v>0</v>
      </c>
      <c r="M7" s="67">
        <v>0.35294117647058826</v>
      </c>
      <c r="N7" s="67">
        <v>0.17647058823529413</v>
      </c>
      <c r="O7" s="67">
        <v>0.58333333333333337</v>
      </c>
      <c r="P7" s="67">
        <v>0.33333333333333331</v>
      </c>
      <c r="Q7" s="67">
        <v>0.44444444444444442</v>
      </c>
    </row>
    <row r="8" spans="1:17" x14ac:dyDescent="0.4">
      <c r="A8" s="69">
        <v>5</v>
      </c>
      <c r="B8" s="66">
        <v>-11.299999999999994</v>
      </c>
      <c r="C8" s="66">
        <v>-2.2599999999999989</v>
      </c>
      <c r="D8" s="71">
        <v>2</v>
      </c>
      <c r="E8" s="67">
        <v>0.4</v>
      </c>
      <c r="F8" s="67">
        <v>0.4</v>
      </c>
      <c r="G8" s="67">
        <v>0.29268292682926828</v>
      </c>
      <c r="H8" s="67">
        <v>0.29268292682926828</v>
      </c>
      <c r="I8" s="68">
        <v>8275</v>
      </c>
      <c r="J8" s="68">
        <v>-6008.333333333333</v>
      </c>
      <c r="K8" s="67">
        <v>0.2</v>
      </c>
      <c r="L8" s="67">
        <v>0</v>
      </c>
      <c r="M8" s="67">
        <v>0.31707317073170732</v>
      </c>
      <c r="N8" s="67">
        <v>0.1951219512195122</v>
      </c>
      <c r="O8" s="67">
        <v>0.61538461538461542</v>
      </c>
      <c r="P8" s="67">
        <v>0.375</v>
      </c>
      <c r="Q8" s="67">
        <v>0.41666666666666669</v>
      </c>
    </row>
    <row r="9" spans="1:17" x14ac:dyDescent="0.4">
      <c r="A9" s="69">
        <v>6</v>
      </c>
      <c r="B9" s="66">
        <v>-11.899999999999993</v>
      </c>
      <c r="C9" s="66">
        <v>-1.9833333333333323</v>
      </c>
      <c r="D9" s="71">
        <v>2</v>
      </c>
      <c r="E9" s="67">
        <v>0.33333333333333331</v>
      </c>
      <c r="F9" s="67">
        <v>0.33333333333333331</v>
      </c>
      <c r="G9" s="67">
        <v>0.34</v>
      </c>
      <c r="H9" s="67">
        <v>0.26</v>
      </c>
      <c r="I9" s="68">
        <v>6964.7058823529414</v>
      </c>
      <c r="J9" s="68">
        <v>-6138.4615384615381</v>
      </c>
      <c r="K9" s="67">
        <v>0.16666666666666666</v>
      </c>
      <c r="L9" s="67">
        <v>0</v>
      </c>
      <c r="M9" s="67">
        <v>0.26</v>
      </c>
      <c r="N9" s="67">
        <v>0.22</v>
      </c>
      <c r="O9" s="67">
        <v>0.61538461538461542</v>
      </c>
      <c r="P9" s="67">
        <v>0.54545454545454541</v>
      </c>
      <c r="Q9" s="67">
        <v>0.35294117647058826</v>
      </c>
    </row>
    <row r="10" spans="1:17" x14ac:dyDescent="0.4">
      <c r="A10" s="69">
        <v>7</v>
      </c>
      <c r="B10" s="66">
        <v>-9.4999999999999929</v>
      </c>
      <c r="C10" s="66">
        <v>-1.3571428571428561</v>
      </c>
      <c r="D10" s="71">
        <v>2</v>
      </c>
      <c r="E10" s="67">
        <v>0.2857142857142857</v>
      </c>
      <c r="F10" s="67">
        <v>0.2857142857142857</v>
      </c>
      <c r="G10" s="67">
        <v>0.3125</v>
      </c>
      <c r="H10" s="67">
        <v>0.234375</v>
      </c>
      <c r="I10" s="68">
        <v>7900</v>
      </c>
      <c r="J10" s="68">
        <v>-6866.666666666667</v>
      </c>
      <c r="K10" s="67">
        <v>0.14285714285714285</v>
      </c>
      <c r="L10" s="67">
        <v>0</v>
      </c>
      <c r="M10" s="67">
        <v>0.25</v>
      </c>
      <c r="N10" s="67">
        <v>0.21875</v>
      </c>
      <c r="O10" s="67">
        <v>0.625</v>
      </c>
      <c r="P10" s="67">
        <v>0.42857142857142855</v>
      </c>
      <c r="Q10" s="67">
        <v>0.35</v>
      </c>
    </row>
    <row r="11" spans="1:17" x14ac:dyDescent="0.4">
      <c r="A11" s="69">
        <v>8</v>
      </c>
      <c r="B11" s="66">
        <v>-56.79999999999999</v>
      </c>
      <c r="C11" s="66">
        <v>-7.0999999999999988</v>
      </c>
      <c r="D11" s="71">
        <v>2.125</v>
      </c>
      <c r="E11" s="67">
        <v>0.25</v>
      </c>
      <c r="F11" s="67">
        <v>0.375</v>
      </c>
      <c r="G11" s="67">
        <v>0.32</v>
      </c>
      <c r="H11" s="67">
        <v>0.25333333333333335</v>
      </c>
      <c r="I11" s="68">
        <v>7566.666666666667</v>
      </c>
      <c r="J11" s="68">
        <v>-8363.1578947368416</v>
      </c>
      <c r="K11" s="67">
        <v>0.25</v>
      </c>
      <c r="L11" s="67">
        <v>0</v>
      </c>
      <c r="M11" s="67">
        <v>0.24</v>
      </c>
      <c r="N11" s="67">
        <v>0.22666666666666666</v>
      </c>
      <c r="O11" s="67">
        <v>0.61111111111111116</v>
      </c>
      <c r="P11" s="67">
        <v>0.47058823529411764</v>
      </c>
      <c r="Q11" s="67">
        <v>0.29166666666666669</v>
      </c>
    </row>
    <row r="12" spans="1:17" x14ac:dyDescent="0.4">
      <c r="A12" s="69">
        <v>9</v>
      </c>
      <c r="B12" s="66">
        <v>-83.699999999999989</v>
      </c>
      <c r="C12" s="66">
        <v>-9.2999999999999989</v>
      </c>
      <c r="D12" s="71">
        <v>2.2222222222222223</v>
      </c>
      <c r="E12" s="67">
        <v>0.22222222222222221</v>
      </c>
      <c r="F12" s="67">
        <v>0.44444444444444442</v>
      </c>
      <c r="G12" s="67">
        <v>0.29411764705882354</v>
      </c>
      <c r="H12" s="67">
        <v>0.22352941176470589</v>
      </c>
      <c r="I12" s="68">
        <v>7584</v>
      </c>
      <c r="J12" s="68">
        <v>-8363.1578947368416</v>
      </c>
      <c r="K12" s="67">
        <v>0.22222222222222221</v>
      </c>
      <c r="L12" s="67">
        <v>0</v>
      </c>
      <c r="M12" s="67">
        <v>0.23529411764705882</v>
      </c>
      <c r="N12" s="67">
        <v>0.23529411764705882</v>
      </c>
      <c r="O12" s="67">
        <v>0.55000000000000004</v>
      </c>
      <c r="P12" s="67">
        <v>0.45</v>
      </c>
      <c r="Q12" s="67">
        <v>0.28000000000000003</v>
      </c>
    </row>
    <row r="13" spans="1:17" x14ac:dyDescent="0.4">
      <c r="A13" s="69">
        <v>10</v>
      </c>
      <c r="B13" s="66">
        <v>-78.399999999999991</v>
      </c>
      <c r="C13" s="66">
        <v>-7.839999999999999</v>
      </c>
      <c r="D13" s="71">
        <v>2.2000000000000002</v>
      </c>
      <c r="E13" s="67">
        <v>0.2</v>
      </c>
      <c r="F13" s="67">
        <v>0.4</v>
      </c>
      <c r="G13" s="67">
        <v>0.30851063829787234</v>
      </c>
      <c r="H13" s="67">
        <v>0.20212765957446807</v>
      </c>
      <c r="I13" s="68">
        <v>7389.6551724137935</v>
      </c>
      <c r="J13" s="68">
        <v>-8363.1578947368416</v>
      </c>
      <c r="K13" s="67">
        <v>0.2</v>
      </c>
      <c r="L13" s="67">
        <v>0</v>
      </c>
      <c r="M13" s="67">
        <v>0.24468085106382978</v>
      </c>
      <c r="N13" s="67">
        <v>0.25531914893617019</v>
      </c>
      <c r="O13" s="67">
        <v>0.56521739130434778</v>
      </c>
      <c r="P13" s="67">
        <v>0.41666666666666669</v>
      </c>
      <c r="Q13" s="67">
        <v>0.31034482758620691</v>
      </c>
    </row>
    <row r="14" spans="1:17" x14ac:dyDescent="0.4">
      <c r="A14" s="69">
        <v>11</v>
      </c>
      <c r="B14" s="66">
        <v>-68.099999999999994</v>
      </c>
      <c r="C14" s="66">
        <v>-6.1909090909090905</v>
      </c>
      <c r="D14" s="71">
        <v>2.1818181818181817</v>
      </c>
      <c r="E14" s="67">
        <v>0.18181818181818182</v>
      </c>
      <c r="F14" s="67">
        <v>0.36363636363636365</v>
      </c>
      <c r="G14" s="67">
        <v>0.29126213592233008</v>
      </c>
      <c r="H14" s="67">
        <v>0.1941747572815534</v>
      </c>
      <c r="I14" s="68">
        <v>7743.333333333333</v>
      </c>
      <c r="J14" s="68">
        <v>-8105</v>
      </c>
      <c r="K14" s="67">
        <v>0.18181818181818182</v>
      </c>
      <c r="L14" s="67">
        <v>0</v>
      </c>
      <c r="M14" s="67">
        <v>0.25242718446601942</v>
      </c>
      <c r="N14" s="67">
        <v>0.25242718446601942</v>
      </c>
      <c r="O14" s="67">
        <v>0.53846153846153844</v>
      </c>
      <c r="P14" s="67">
        <v>0.38461538461538464</v>
      </c>
      <c r="Q14" s="67">
        <v>0.33333333333333331</v>
      </c>
    </row>
    <row r="15" spans="1:17" x14ac:dyDescent="0.4">
      <c r="A15" s="69">
        <v>12</v>
      </c>
      <c r="B15" s="66">
        <v>-89</v>
      </c>
      <c r="C15" s="66">
        <v>-7.416666666666667</v>
      </c>
      <c r="D15" s="71">
        <v>2.25</v>
      </c>
      <c r="E15" s="67">
        <v>0.16666666666666666</v>
      </c>
      <c r="F15" s="67">
        <v>0.41666666666666669</v>
      </c>
      <c r="G15" s="67">
        <v>0.30088495575221241</v>
      </c>
      <c r="H15" s="67">
        <v>0.18584070796460178</v>
      </c>
      <c r="I15" s="68">
        <v>7385.2941176470586</v>
      </c>
      <c r="J15" s="68">
        <v>-8100</v>
      </c>
      <c r="K15" s="67">
        <v>0.16666666666666666</v>
      </c>
      <c r="L15" s="67">
        <v>0</v>
      </c>
      <c r="M15" s="67">
        <v>0.25663716814159293</v>
      </c>
      <c r="N15" s="67">
        <v>0.24778761061946902</v>
      </c>
      <c r="O15" s="67">
        <v>0.51724137931034486</v>
      </c>
      <c r="P15" s="67">
        <v>0.39285714285714285</v>
      </c>
      <c r="Q15" s="67">
        <v>0.3235294117647059</v>
      </c>
    </row>
    <row r="16" spans="1:17" x14ac:dyDescent="0.4">
      <c r="A16" s="69">
        <v>13</v>
      </c>
      <c r="B16" s="66">
        <v>-86.8</v>
      </c>
      <c r="C16" s="66">
        <v>-6.6769230769230763</v>
      </c>
      <c r="D16" s="71">
        <v>2.2307692307692308</v>
      </c>
      <c r="E16" s="67">
        <v>0.15384615384615385</v>
      </c>
      <c r="F16" s="67">
        <v>0.38461538461538464</v>
      </c>
      <c r="G16" s="67">
        <v>0.2975206611570248</v>
      </c>
      <c r="H16" s="67">
        <v>0.19834710743801653</v>
      </c>
      <c r="I16" s="68">
        <v>7641.666666666667</v>
      </c>
      <c r="J16" s="68">
        <v>-7850</v>
      </c>
      <c r="K16" s="67">
        <v>0.15384615384615385</v>
      </c>
      <c r="L16" s="67">
        <v>0</v>
      </c>
      <c r="M16" s="67">
        <v>0.24793388429752067</v>
      </c>
      <c r="N16" s="67">
        <v>0.23966942148760331</v>
      </c>
      <c r="O16" s="67">
        <v>0.53333333333333333</v>
      </c>
      <c r="P16" s="67">
        <v>0.41379310344827586</v>
      </c>
      <c r="Q16" s="67">
        <v>0.33333333333333331</v>
      </c>
    </row>
    <row r="17" spans="1:17" x14ac:dyDescent="0.4">
      <c r="A17" s="69">
        <v>14</v>
      </c>
      <c r="B17" s="66">
        <v>-138.4</v>
      </c>
      <c r="C17" s="66">
        <v>-9.8857142857142861</v>
      </c>
      <c r="D17" s="71">
        <v>2.2857142857142856</v>
      </c>
      <c r="E17" s="67">
        <v>0.14285714285714285</v>
      </c>
      <c r="F17" s="67">
        <v>0.42857142857142855</v>
      </c>
      <c r="G17" s="67">
        <v>0.28244274809160308</v>
      </c>
      <c r="H17" s="67">
        <v>0.19083969465648856</v>
      </c>
      <c r="I17" s="68">
        <v>7651.3513513513517</v>
      </c>
      <c r="J17" s="68">
        <v>-8016</v>
      </c>
      <c r="K17" s="67">
        <v>0.21428571428571427</v>
      </c>
      <c r="L17" s="67">
        <v>0</v>
      </c>
      <c r="M17" s="67">
        <v>0.24427480916030533</v>
      </c>
      <c r="N17" s="67">
        <v>0.24427480916030533</v>
      </c>
      <c r="O17" s="67">
        <v>0.5</v>
      </c>
      <c r="P17" s="67">
        <v>0.40625</v>
      </c>
      <c r="Q17" s="67">
        <v>0.35135135135135137</v>
      </c>
    </row>
    <row r="18" spans="1:17" x14ac:dyDescent="0.4">
      <c r="A18" s="69">
        <v>15</v>
      </c>
      <c r="B18" s="66">
        <v>-144.30000000000001</v>
      </c>
      <c r="C18" s="66">
        <v>-9.620000000000001</v>
      </c>
      <c r="D18" s="71">
        <v>2.2666666666666666</v>
      </c>
      <c r="E18" s="67">
        <v>0.13333333333333333</v>
      </c>
      <c r="F18" s="67">
        <v>0.4</v>
      </c>
      <c r="G18" s="67">
        <v>0.2857142857142857</v>
      </c>
      <c r="H18" s="67">
        <v>0.18571428571428572</v>
      </c>
      <c r="I18" s="68">
        <v>7475</v>
      </c>
      <c r="J18" s="68">
        <v>-7930.7692307692305</v>
      </c>
      <c r="K18" s="67">
        <v>0.2</v>
      </c>
      <c r="L18" s="67">
        <v>0</v>
      </c>
      <c r="M18" s="67">
        <v>0.23571428571428571</v>
      </c>
      <c r="N18" s="67">
        <v>0.25</v>
      </c>
      <c r="O18" s="67">
        <v>0.51515151515151514</v>
      </c>
      <c r="P18" s="67">
        <v>0.42857142857142855</v>
      </c>
      <c r="Q18" s="67">
        <v>0.35</v>
      </c>
    </row>
    <row r="19" spans="1:17" x14ac:dyDescent="0.4">
      <c r="A19" s="69">
        <v>16</v>
      </c>
      <c r="B19" s="66">
        <v>-187.3</v>
      </c>
      <c r="C19" s="66">
        <v>-11.706250000000001</v>
      </c>
      <c r="D19" s="71">
        <v>2.3125</v>
      </c>
      <c r="E19" s="67">
        <v>0.125</v>
      </c>
      <c r="F19" s="67">
        <v>0.4375</v>
      </c>
      <c r="G19" s="67">
        <v>0.27516778523489932</v>
      </c>
      <c r="H19" s="67">
        <v>0.18791946308724833</v>
      </c>
      <c r="I19" s="68">
        <v>7585.3658536585363</v>
      </c>
      <c r="J19" s="68">
        <v>-8207.1428571428569</v>
      </c>
      <c r="K19" s="67">
        <v>0.1875</v>
      </c>
      <c r="L19" s="67">
        <v>0</v>
      </c>
      <c r="M19" s="67">
        <v>0.22818791946308725</v>
      </c>
      <c r="N19" s="67">
        <v>0.25503355704697989</v>
      </c>
      <c r="O19" s="67">
        <v>0.5</v>
      </c>
      <c r="P19" s="67">
        <v>0.42105263157894735</v>
      </c>
      <c r="Q19" s="67">
        <v>0.34146341463414637</v>
      </c>
    </row>
    <row r="20" spans="1:17" x14ac:dyDescent="0.4">
      <c r="A20" s="69">
        <v>17</v>
      </c>
      <c r="B20" s="66">
        <v>-179.70000000000002</v>
      </c>
      <c r="C20" s="66">
        <v>-10.570588235294119</v>
      </c>
      <c r="D20" s="71">
        <v>2.2941176470588234</v>
      </c>
      <c r="E20" s="67">
        <v>0.11764705882352941</v>
      </c>
      <c r="F20" s="67">
        <v>0.41176470588235292</v>
      </c>
      <c r="G20" s="67">
        <v>0.28125</v>
      </c>
      <c r="H20" s="67">
        <v>0.19375000000000001</v>
      </c>
      <c r="I20" s="68">
        <v>7584.4444444444443</v>
      </c>
      <c r="J20" s="68">
        <v>-8070.9677419354839</v>
      </c>
      <c r="K20" s="67">
        <v>0.17647058823529413</v>
      </c>
      <c r="L20" s="67">
        <v>0</v>
      </c>
      <c r="M20" s="67">
        <v>0.21249999999999999</v>
      </c>
      <c r="N20" s="67">
        <v>0.25624999999999998</v>
      </c>
      <c r="O20" s="67">
        <v>0.5</v>
      </c>
      <c r="P20" s="67">
        <v>0.43902439024390244</v>
      </c>
      <c r="Q20" s="67">
        <v>0.31111111111111112</v>
      </c>
    </row>
    <row r="21" spans="1:17" x14ac:dyDescent="0.4">
      <c r="A21" s="69">
        <v>18</v>
      </c>
      <c r="B21" s="66">
        <v>-112.90000000000002</v>
      </c>
      <c r="C21" s="66">
        <v>-6.272222222222223</v>
      </c>
      <c r="D21" s="71">
        <v>2.2222222222222223</v>
      </c>
      <c r="E21" s="67">
        <v>0.16666666666666666</v>
      </c>
      <c r="F21" s="67">
        <v>0.3888888888888889</v>
      </c>
      <c r="G21" s="67">
        <v>0.29878048780487804</v>
      </c>
      <c r="H21" s="67">
        <v>0.18902439024390244</v>
      </c>
      <c r="I21" s="68">
        <v>8063.2653061224491</v>
      </c>
      <c r="J21" s="68">
        <v>-8070.9677419354839</v>
      </c>
      <c r="K21" s="67">
        <v>0.16666666666666666</v>
      </c>
      <c r="L21" s="67">
        <v>5.5555555555555552E-2</v>
      </c>
      <c r="M21" s="67">
        <v>0.2073170731707317</v>
      </c>
      <c r="N21" s="67">
        <v>0.27439024390243905</v>
      </c>
      <c r="O21" s="67">
        <v>0.5</v>
      </c>
      <c r="P21" s="67">
        <v>0.48888888888888887</v>
      </c>
      <c r="Q21" s="67">
        <v>0.30612244897959184</v>
      </c>
    </row>
    <row r="22" spans="1:17" x14ac:dyDescent="0.4">
      <c r="A22" s="69">
        <v>19</v>
      </c>
      <c r="B22" s="66">
        <v>-162.40000000000003</v>
      </c>
      <c r="C22" s="66">
        <v>-8.5473684210526333</v>
      </c>
      <c r="D22" s="71">
        <v>2.263157894736842</v>
      </c>
      <c r="E22" s="67">
        <v>0.15789473684210525</v>
      </c>
      <c r="F22" s="67">
        <v>0.42105263157894735</v>
      </c>
      <c r="G22" s="67">
        <v>0.29310344827586204</v>
      </c>
      <c r="H22" s="67">
        <v>0.20689655172413793</v>
      </c>
      <c r="I22" s="68">
        <v>8021.5686274509808</v>
      </c>
      <c r="J22" s="68">
        <v>-7880.5555555555557</v>
      </c>
      <c r="K22" s="67">
        <v>0.21052631578947367</v>
      </c>
      <c r="L22" s="67">
        <v>5.2631578947368418E-2</v>
      </c>
      <c r="M22" s="67">
        <v>0.20689655172413793</v>
      </c>
      <c r="N22" s="67">
        <v>0.27586206896551724</v>
      </c>
      <c r="O22" s="67">
        <v>0.5</v>
      </c>
      <c r="P22" s="67">
        <v>0.47916666666666669</v>
      </c>
      <c r="Q22" s="67">
        <v>0.29411764705882354</v>
      </c>
    </row>
    <row r="23" spans="1:17" x14ac:dyDescent="0.4">
      <c r="A23" s="69">
        <v>20</v>
      </c>
      <c r="B23" s="66">
        <v>-96.000000000000028</v>
      </c>
      <c r="C23" s="66">
        <v>-4.8000000000000016</v>
      </c>
      <c r="D23" s="71">
        <v>2.2000000000000002</v>
      </c>
      <c r="E23" s="67">
        <v>0.2</v>
      </c>
      <c r="F23" s="67">
        <v>0.4</v>
      </c>
      <c r="G23" s="67">
        <v>0.30601092896174864</v>
      </c>
      <c r="H23" s="67">
        <v>0.19672131147540983</v>
      </c>
      <c r="I23" s="68">
        <v>8237.5</v>
      </c>
      <c r="J23" s="68">
        <v>-7880.5555555555557</v>
      </c>
      <c r="K23" s="67">
        <v>0.2</v>
      </c>
      <c r="L23" s="67">
        <v>0.1</v>
      </c>
      <c r="M23" s="67">
        <v>0.20765027322404372</v>
      </c>
      <c r="N23" s="67">
        <v>0.27868852459016391</v>
      </c>
      <c r="O23" s="67">
        <v>0.52631578947368418</v>
      </c>
      <c r="P23" s="67">
        <v>0.49019607843137253</v>
      </c>
      <c r="Q23" s="67">
        <v>0.2857142857142857</v>
      </c>
    </row>
    <row r="24" spans="1:17" x14ac:dyDescent="0.4">
      <c r="A24" s="69">
        <v>21</v>
      </c>
      <c r="B24" s="66">
        <v>-67.200000000000031</v>
      </c>
      <c r="C24" s="66">
        <v>-3.2000000000000015</v>
      </c>
      <c r="D24" s="71">
        <v>2.1428571428571428</v>
      </c>
      <c r="E24" s="67">
        <v>0.23809523809523808</v>
      </c>
      <c r="F24" s="67">
        <v>0.38095238095238093</v>
      </c>
      <c r="G24" s="67">
        <v>0.30927835051546393</v>
      </c>
      <c r="H24" s="67">
        <v>0.19072164948453607</v>
      </c>
      <c r="I24" s="68">
        <v>8355</v>
      </c>
      <c r="J24" s="68">
        <v>-7875.6756756756758</v>
      </c>
      <c r="K24" s="67">
        <v>0.19047619047619047</v>
      </c>
      <c r="L24" s="67">
        <v>0.14285714285714285</v>
      </c>
      <c r="M24" s="67">
        <v>0.20103092783505155</v>
      </c>
      <c r="N24" s="67">
        <v>0.29381443298969073</v>
      </c>
      <c r="O24" s="67">
        <v>0.51282051282051277</v>
      </c>
      <c r="P24" s="67">
        <v>0.47368421052631576</v>
      </c>
      <c r="Q24" s="67">
        <v>0.28333333333333333</v>
      </c>
    </row>
    <row r="25" spans="1:17" x14ac:dyDescent="0.4">
      <c r="A25" s="69">
        <v>22</v>
      </c>
      <c r="B25" s="66">
        <v>-66.400000000000034</v>
      </c>
      <c r="C25" s="66">
        <v>-3.0181818181818199</v>
      </c>
      <c r="D25" s="71">
        <v>2.1363636363636362</v>
      </c>
      <c r="E25" s="67">
        <v>0.22727272727272727</v>
      </c>
      <c r="F25" s="67">
        <v>0.36363636363636365</v>
      </c>
      <c r="G25" s="67">
        <v>0.30049261083743845</v>
      </c>
      <c r="H25" s="67">
        <v>0.18719211822660098</v>
      </c>
      <c r="I25" s="68">
        <v>8349.1803278688531</v>
      </c>
      <c r="J25" s="68">
        <v>-7721.0526315789475</v>
      </c>
      <c r="K25" s="67">
        <v>0.18181818181818182</v>
      </c>
      <c r="L25" s="67">
        <v>0.13636363636363635</v>
      </c>
      <c r="M25" s="67">
        <v>0.19704433497536947</v>
      </c>
      <c r="N25" s="67">
        <v>0.2857142857142857</v>
      </c>
      <c r="O25" s="67">
        <v>0.52500000000000002</v>
      </c>
      <c r="P25" s="67">
        <v>0.46551724137931033</v>
      </c>
      <c r="Q25" s="67">
        <v>0.27868852459016391</v>
      </c>
    </row>
    <row r="26" spans="1:17" x14ac:dyDescent="0.4">
      <c r="A26" s="69">
        <v>23</v>
      </c>
      <c r="B26" s="66">
        <v>-66.400000000000034</v>
      </c>
      <c r="C26" s="66">
        <v>-2.886956521739132</v>
      </c>
      <c r="D26" s="71">
        <v>2.1304347826086958</v>
      </c>
      <c r="E26" s="67">
        <v>0.21739130434782608</v>
      </c>
      <c r="F26" s="67">
        <v>0.34782608695652173</v>
      </c>
      <c r="G26" s="67">
        <v>0.29901960784313725</v>
      </c>
      <c r="H26" s="67">
        <v>0.18627450980392157</v>
      </c>
      <c r="I26" s="68">
        <v>8349.1803278688531</v>
      </c>
      <c r="J26" s="68">
        <v>-7721.0526315789475</v>
      </c>
      <c r="K26" s="67">
        <v>0.17391304347826086</v>
      </c>
      <c r="L26" s="67">
        <v>0.13043478260869565</v>
      </c>
      <c r="M26" s="67">
        <v>0.19607843137254902</v>
      </c>
      <c r="N26" s="67">
        <v>0.28431372549019607</v>
      </c>
      <c r="O26" s="67">
        <v>0.52500000000000002</v>
      </c>
      <c r="P26" s="67">
        <v>0.46551724137931033</v>
      </c>
      <c r="Q26" s="67">
        <v>0.27868852459016391</v>
      </c>
    </row>
    <row r="27" spans="1:17" x14ac:dyDescent="0.4">
      <c r="A27" s="69">
        <v>24</v>
      </c>
      <c r="B27" s="66">
        <v>-39.500000000000036</v>
      </c>
      <c r="C27" s="66">
        <v>-1.6458333333333348</v>
      </c>
      <c r="D27" s="71">
        <v>2.0833333333333335</v>
      </c>
      <c r="E27" s="67">
        <v>0.25</v>
      </c>
      <c r="F27" s="67">
        <v>0.33333333333333331</v>
      </c>
      <c r="G27" s="67">
        <v>0.30331753554502372</v>
      </c>
      <c r="H27" s="67">
        <v>0.18483412322274881</v>
      </c>
      <c r="I27" s="68">
        <v>8581.25</v>
      </c>
      <c r="J27" s="68">
        <v>-7548.7179487179483</v>
      </c>
      <c r="K27" s="67">
        <v>0.16666666666666666</v>
      </c>
      <c r="L27" s="67">
        <v>0.125</v>
      </c>
      <c r="M27" s="67">
        <v>0.1990521327014218</v>
      </c>
      <c r="N27" s="67">
        <v>0.28436018957345971</v>
      </c>
      <c r="O27" s="67">
        <v>0.54761904761904767</v>
      </c>
      <c r="P27" s="67">
        <v>0.46666666666666667</v>
      </c>
      <c r="Q27" s="67">
        <v>0.296875</v>
      </c>
    </row>
    <row r="28" spans="1:17" x14ac:dyDescent="0.4">
      <c r="A28" s="69">
        <v>25</v>
      </c>
      <c r="B28" s="66">
        <v>-31.400000000000034</v>
      </c>
      <c r="C28" s="66">
        <v>-1.2560000000000013</v>
      </c>
      <c r="D28" s="71">
        <v>2.08</v>
      </c>
      <c r="E28" s="67">
        <v>0.24</v>
      </c>
      <c r="F28" s="67">
        <v>0.32</v>
      </c>
      <c r="G28" s="67">
        <v>0.30593607305936071</v>
      </c>
      <c r="H28" s="67">
        <v>0.18721461187214611</v>
      </c>
      <c r="I28" s="68">
        <v>8492.5373134328365</v>
      </c>
      <c r="J28" s="68">
        <v>-7343.9024390243903</v>
      </c>
      <c r="K28" s="67">
        <v>0.16</v>
      </c>
      <c r="L28" s="67">
        <v>0.12</v>
      </c>
      <c r="M28" s="67">
        <v>0.19634703196347031</v>
      </c>
      <c r="N28" s="67">
        <v>0.28310502283105021</v>
      </c>
      <c r="O28" s="67">
        <v>0.55813953488372092</v>
      </c>
      <c r="P28" s="67">
        <v>0.45161290322580644</v>
      </c>
      <c r="Q28" s="67">
        <v>0.28358208955223879</v>
      </c>
    </row>
    <row r="29" spans="1:17" x14ac:dyDescent="0.4">
      <c r="A29" s="69">
        <v>26</v>
      </c>
      <c r="B29" s="66">
        <v>-62.900000000000034</v>
      </c>
      <c r="C29" s="66">
        <v>-2.4192307692307704</v>
      </c>
      <c r="D29" s="71">
        <v>2.1153846153846154</v>
      </c>
      <c r="E29" s="67">
        <v>0.23076923076923078</v>
      </c>
      <c r="F29" s="67">
        <v>0.34615384615384615</v>
      </c>
      <c r="G29" s="67">
        <v>0.30088495575221241</v>
      </c>
      <c r="H29" s="67">
        <v>0.19026548672566371</v>
      </c>
      <c r="I29" s="68">
        <v>8426.4705882352937</v>
      </c>
      <c r="J29" s="68">
        <v>-7211.6279069767443</v>
      </c>
      <c r="K29" s="67">
        <v>0.15384615384615385</v>
      </c>
      <c r="L29" s="67">
        <v>0.11538461538461539</v>
      </c>
      <c r="M29" s="67">
        <v>0.19469026548672566</v>
      </c>
      <c r="N29" s="67">
        <v>0.2831858407079646</v>
      </c>
      <c r="O29" s="67">
        <v>0.56818181818181823</v>
      </c>
      <c r="P29" s="67">
        <v>0.4375</v>
      </c>
      <c r="Q29" s="67">
        <v>0.29411764705882354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566276-1FD8-451C-B820-D6057F46E871}">
  <sheetPr codeName="Sheet10"/>
  <dimension ref="A1:Q2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50.2</v>
      </c>
      <c r="C4" s="66">
        <v>50.2</v>
      </c>
      <c r="D4" s="71">
        <v>1</v>
      </c>
      <c r="E4" s="67">
        <v>1</v>
      </c>
      <c r="F4" s="67">
        <v>0</v>
      </c>
      <c r="G4" s="67">
        <v>0.4</v>
      </c>
      <c r="H4" s="67">
        <v>0.2</v>
      </c>
      <c r="I4" s="68">
        <v>10925</v>
      </c>
      <c r="J4" s="68">
        <v>-1500</v>
      </c>
      <c r="K4" s="67">
        <v>0</v>
      </c>
      <c r="L4" s="67">
        <v>1</v>
      </c>
      <c r="M4" s="67">
        <v>0.3</v>
      </c>
      <c r="N4" s="67">
        <v>0.1</v>
      </c>
      <c r="O4" s="67">
        <v>1</v>
      </c>
      <c r="P4" s="67">
        <v>0</v>
      </c>
      <c r="Q4" s="67">
        <v>0.25</v>
      </c>
    </row>
    <row r="5" spans="1:17" x14ac:dyDescent="0.4">
      <c r="A5" s="69">
        <v>2</v>
      </c>
      <c r="B5" s="66">
        <v>14.400000000000006</v>
      </c>
      <c r="C5" s="66">
        <v>7.2000000000000028</v>
      </c>
      <c r="D5" s="71">
        <v>2</v>
      </c>
      <c r="E5" s="67">
        <v>0.5</v>
      </c>
      <c r="F5" s="67">
        <v>0.5</v>
      </c>
      <c r="G5" s="67">
        <v>0.26315789473684209</v>
      </c>
      <c r="H5" s="67">
        <v>0.15789473684210525</v>
      </c>
      <c r="I5" s="68">
        <v>9260</v>
      </c>
      <c r="J5" s="68">
        <v>-5000</v>
      </c>
      <c r="K5" s="67">
        <v>0</v>
      </c>
      <c r="L5" s="67">
        <v>0.5</v>
      </c>
      <c r="M5" s="67">
        <v>0.36842105263157893</v>
      </c>
      <c r="N5" s="67">
        <v>0.15789473684210525</v>
      </c>
      <c r="O5" s="67">
        <v>0.5714285714285714</v>
      </c>
      <c r="P5" s="67">
        <v>0</v>
      </c>
      <c r="Q5" s="67">
        <v>0.2</v>
      </c>
    </row>
    <row r="6" spans="1:17" x14ac:dyDescent="0.4">
      <c r="A6" s="69">
        <v>3</v>
      </c>
      <c r="B6" s="66">
        <v>40.400000000000006</v>
      </c>
      <c r="C6" s="66">
        <v>13.466666666666669</v>
      </c>
      <c r="D6" s="71">
        <v>1.6666666666666667</v>
      </c>
      <c r="E6" s="67">
        <v>0.66666666666666663</v>
      </c>
      <c r="F6" s="67">
        <v>0.33333333333333331</v>
      </c>
      <c r="G6" s="67">
        <v>0.34615384615384615</v>
      </c>
      <c r="H6" s="67">
        <v>0.11538461538461539</v>
      </c>
      <c r="I6" s="68">
        <v>7488.8888888888887</v>
      </c>
      <c r="J6" s="68">
        <v>-5000</v>
      </c>
      <c r="K6" s="67">
        <v>0</v>
      </c>
      <c r="L6" s="67">
        <v>0.33333333333333331</v>
      </c>
      <c r="M6" s="67">
        <v>0.38461538461538464</v>
      </c>
      <c r="N6" s="67">
        <v>0.11538461538461539</v>
      </c>
      <c r="O6" s="67">
        <v>0.7</v>
      </c>
      <c r="P6" s="67">
        <v>0</v>
      </c>
      <c r="Q6" s="67">
        <v>0.44444444444444442</v>
      </c>
    </row>
    <row r="7" spans="1:17" x14ac:dyDescent="0.4">
      <c r="A7" s="69">
        <v>4</v>
      </c>
      <c r="B7" s="66">
        <v>101.60000000000001</v>
      </c>
      <c r="C7" s="66">
        <v>25.400000000000002</v>
      </c>
      <c r="D7" s="71">
        <v>1.5</v>
      </c>
      <c r="E7" s="67">
        <v>0.75</v>
      </c>
      <c r="F7" s="67">
        <v>0.25</v>
      </c>
      <c r="G7" s="67">
        <v>0.43243243243243246</v>
      </c>
      <c r="H7" s="67">
        <v>8.1081081081081086E-2</v>
      </c>
      <c r="I7" s="68">
        <v>7600</v>
      </c>
      <c r="J7" s="68">
        <v>-5000</v>
      </c>
      <c r="K7" s="67">
        <v>0</v>
      </c>
      <c r="L7" s="67">
        <v>0.25</v>
      </c>
      <c r="M7" s="67">
        <v>0.35135135135135137</v>
      </c>
      <c r="N7" s="67">
        <v>0.1891891891891892</v>
      </c>
      <c r="O7" s="67">
        <v>0.69230769230769229</v>
      </c>
      <c r="P7" s="67">
        <v>0.5714285714285714</v>
      </c>
      <c r="Q7" s="67">
        <v>0.5</v>
      </c>
    </row>
    <row r="8" spans="1:17" x14ac:dyDescent="0.4">
      <c r="A8" s="69">
        <v>5</v>
      </c>
      <c r="B8" s="66">
        <v>99.9</v>
      </c>
      <c r="C8" s="66">
        <v>19.98</v>
      </c>
      <c r="D8" s="71">
        <v>1.6</v>
      </c>
      <c r="E8" s="67">
        <v>0.6</v>
      </c>
      <c r="F8" s="67">
        <v>0.2</v>
      </c>
      <c r="G8" s="67">
        <v>0.40909090909090912</v>
      </c>
      <c r="H8" s="67">
        <v>9.0909090909090912E-2</v>
      </c>
      <c r="I8" s="68">
        <v>7116.666666666667</v>
      </c>
      <c r="J8" s="68">
        <v>-5050</v>
      </c>
      <c r="K8" s="67">
        <v>0</v>
      </c>
      <c r="L8" s="67">
        <v>0.2</v>
      </c>
      <c r="M8" s="67">
        <v>0.36363636363636365</v>
      </c>
      <c r="N8" s="67">
        <v>0.18181818181818182</v>
      </c>
      <c r="O8" s="67">
        <v>0.6875</v>
      </c>
      <c r="P8" s="67">
        <v>0.5</v>
      </c>
      <c r="Q8" s="67">
        <v>0.44444444444444442</v>
      </c>
    </row>
    <row r="9" spans="1:17" x14ac:dyDescent="0.4">
      <c r="A9" s="69">
        <v>6</v>
      </c>
      <c r="B9" s="66">
        <v>85.5</v>
      </c>
      <c r="C9" s="66">
        <v>14.25</v>
      </c>
      <c r="D9" s="71">
        <v>1.8333333333333333</v>
      </c>
      <c r="E9" s="67">
        <v>0.5</v>
      </c>
      <c r="F9" s="67">
        <v>0.33333333333333331</v>
      </c>
      <c r="G9" s="67">
        <v>0.37735849056603776</v>
      </c>
      <c r="H9" s="67">
        <v>0.13207547169811321</v>
      </c>
      <c r="I9" s="68">
        <v>7390</v>
      </c>
      <c r="J9" s="68">
        <v>-4828.5714285714284</v>
      </c>
      <c r="K9" s="67">
        <v>0</v>
      </c>
      <c r="L9" s="67">
        <v>0.16666666666666666</v>
      </c>
      <c r="M9" s="67">
        <v>0.35849056603773582</v>
      </c>
      <c r="N9" s="67">
        <v>0.15094339622641509</v>
      </c>
      <c r="O9" s="67">
        <v>0.68421052631578949</v>
      </c>
      <c r="P9" s="67">
        <v>0.5</v>
      </c>
      <c r="Q9" s="67">
        <v>0.4</v>
      </c>
    </row>
    <row r="10" spans="1:17" x14ac:dyDescent="0.4">
      <c r="A10" s="69">
        <v>7</v>
      </c>
      <c r="B10" s="66">
        <v>113.3</v>
      </c>
      <c r="C10" s="66">
        <v>16.185714285714287</v>
      </c>
      <c r="D10" s="71">
        <v>1.7142857142857142</v>
      </c>
      <c r="E10" s="67">
        <v>0.5714285714285714</v>
      </c>
      <c r="F10" s="67">
        <v>0.2857142857142857</v>
      </c>
      <c r="G10" s="67">
        <v>0.38805970149253732</v>
      </c>
      <c r="H10" s="67">
        <v>0.1044776119402985</v>
      </c>
      <c r="I10" s="68">
        <v>6703.8461538461543</v>
      </c>
      <c r="J10" s="68">
        <v>-4828.5714285714284</v>
      </c>
      <c r="K10" s="67">
        <v>0</v>
      </c>
      <c r="L10" s="67">
        <v>0.14285714285714285</v>
      </c>
      <c r="M10" s="67">
        <v>0.31343283582089554</v>
      </c>
      <c r="N10" s="67">
        <v>0.14925373134328357</v>
      </c>
      <c r="O10" s="67">
        <v>0.61904761904761907</v>
      </c>
      <c r="P10" s="67">
        <v>0.6</v>
      </c>
      <c r="Q10" s="67">
        <v>0.42307692307692307</v>
      </c>
    </row>
    <row r="11" spans="1:17" x14ac:dyDescent="0.4">
      <c r="A11" s="69">
        <v>8</v>
      </c>
      <c r="B11" s="66">
        <v>148.1</v>
      </c>
      <c r="C11" s="66">
        <v>18.512499999999999</v>
      </c>
      <c r="D11" s="71">
        <v>1.625</v>
      </c>
      <c r="E11" s="67">
        <v>0.625</v>
      </c>
      <c r="F11" s="67">
        <v>0.25</v>
      </c>
      <c r="G11" s="67">
        <v>0.37179487179487181</v>
      </c>
      <c r="H11" s="67">
        <v>0.12820512820512819</v>
      </c>
      <c r="I11" s="68">
        <v>7662.0689655172409</v>
      </c>
      <c r="J11" s="68">
        <v>-5390</v>
      </c>
      <c r="K11" s="67">
        <v>0</v>
      </c>
      <c r="L11" s="67">
        <v>0.25</v>
      </c>
      <c r="M11" s="67">
        <v>0.26923076923076922</v>
      </c>
      <c r="N11" s="67">
        <v>0.20512820512820512</v>
      </c>
      <c r="O11" s="67">
        <v>0.61904761904761907</v>
      </c>
      <c r="P11" s="67">
        <v>0.5625</v>
      </c>
      <c r="Q11" s="67">
        <v>0.37931034482758619</v>
      </c>
    </row>
    <row r="12" spans="1:17" x14ac:dyDescent="0.4">
      <c r="A12" s="69">
        <v>9</v>
      </c>
      <c r="B12" s="66">
        <v>180.89999999999998</v>
      </c>
      <c r="C12" s="66">
        <v>20.099999999999998</v>
      </c>
      <c r="D12" s="71">
        <v>1.5555555555555556</v>
      </c>
      <c r="E12" s="67">
        <v>0.66666666666666663</v>
      </c>
      <c r="F12" s="67">
        <v>0.22222222222222221</v>
      </c>
      <c r="G12" s="67">
        <v>0.375</v>
      </c>
      <c r="H12" s="67">
        <v>0.13636363636363635</v>
      </c>
      <c r="I12" s="68">
        <v>7575.757575757576</v>
      </c>
      <c r="J12" s="68">
        <v>-5325</v>
      </c>
      <c r="K12" s="67">
        <v>0</v>
      </c>
      <c r="L12" s="67">
        <v>0.22222222222222221</v>
      </c>
      <c r="M12" s="67">
        <v>0.28409090909090912</v>
      </c>
      <c r="N12" s="67">
        <v>0.19318181818181818</v>
      </c>
      <c r="O12" s="67">
        <v>0.6</v>
      </c>
      <c r="P12" s="67">
        <v>0.58823529411764708</v>
      </c>
      <c r="Q12" s="67">
        <v>0.45454545454545453</v>
      </c>
    </row>
    <row r="13" spans="1:17" x14ac:dyDescent="0.4">
      <c r="A13" s="69">
        <v>10</v>
      </c>
      <c r="B13" s="66">
        <v>158.19999999999999</v>
      </c>
      <c r="C13" s="66">
        <v>15.819999999999999</v>
      </c>
      <c r="D13" s="71">
        <v>1.7</v>
      </c>
      <c r="E13" s="67">
        <v>0.6</v>
      </c>
      <c r="F13" s="67">
        <v>0.3</v>
      </c>
      <c r="G13" s="67">
        <v>0.35051546391752575</v>
      </c>
      <c r="H13" s="67">
        <v>0.14432989690721648</v>
      </c>
      <c r="I13" s="68">
        <v>7705.8823529411766</v>
      </c>
      <c r="J13" s="68">
        <v>-4935.7142857142853</v>
      </c>
      <c r="K13" s="67">
        <v>0</v>
      </c>
      <c r="L13" s="67">
        <v>0.2</v>
      </c>
      <c r="M13" s="67">
        <v>0.26804123711340205</v>
      </c>
      <c r="N13" s="67">
        <v>0.20618556701030927</v>
      </c>
      <c r="O13" s="67">
        <v>0.61538461538461542</v>
      </c>
      <c r="P13" s="67">
        <v>0.5</v>
      </c>
      <c r="Q13" s="67">
        <v>0.47058823529411764</v>
      </c>
    </row>
    <row r="14" spans="1:17" x14ac:dyDescent="0.4">
      <c r="A14" s="69">
        <v>11</v>
      </c>
      <c r="B14" s="66">
        <v>185.2</v>
      </c>
      <c r="C14" s="66">
        <v>16.836363636363636</v>
      </c>
      <c r="D14" s="71">
        <v>1.6363636363636365</v>
      </c>
      <c r="E14" s="67">
        <v>0.63636363636363635</v>
      </c>
      <c r="F14" s="67">
        <v>0.27272727272727271</v>
      </c>
      <c r="G14" s="67">
        <v>0.33962264150943394</v>
      </c>
      <c r="H14" s="67">
        <v>0.15094339622641509</v>
      </c>
      <c r="I14" s="68">
        <v>8275</v>
      </c>
      <c r="J14" s="68">
        <v>-5125</v>
      </c>
      <c r="K14" s="67">
        <v>0</v>
      </c>
      <c r="L14" s="67">
        <v>0.18181818181818182</v>
      </c>
      <c r="M14" s="67">
        <v>0.25471698113207547</v>
      </c>
      <c r="N14" s="67">
        <v>0.19811320754716982</v>
      </c>
      <c r="O14" s="67">
        <v>0.59259259259259256</v>
      </c>
      <c r="P14" s="67">
        <v>0.52380952380952384</v>
      </c>
      <c r="Q14" s="67">
        <v>0.44444444444444442</v>
      </c>
    </row>
    <row r="15" spans="1:17" x14ac:dyDescent="0.4">
      <c r="A15" s="69">
        <v>12</v>
      </c>
      <c r="B15" s="66">
        <v>184.89999999999998</v>
      </c>
      <c r="C15" s="66">
        <v>15.408333333333331</v>
      </c>
      <c r="D15" s="71">
        <v>1.6666666666666667</v>
      </c>
      <c r="E15" s="67">
        <v>0.58333333333333337</v>
      </c>
      <c r="F15" s="67">
        <v>0.25</v>
      </c>
      <c r="G15" s="67">
        <v>0.32758620689655171</v>
      </c>
      <c r="H15" s="67">
        <v>0.14655172413793102</v>
      </c>
      <c r="I15" s="68">
        <v>8471.0526315789466</v>
      </c>
      <c r="J15" s="68">
        <v>-5294.1176470588234</v>
      </c>
      <c r="K15" s="67">
        <v>0</v>
      </c>
      <c r="L15" s="67">
        <v>0.16666666666666666</v>
      </c>
      <c r="M15" s="67">
        <v>0.2413793103448276</v>
      </c>
      <c r="N15" s="67">
        <v>0.20689655172413793</v>
      </c>
      <c r="O15" s="67">
        <v>0.6071428571428571</v>
      </c>
      <c r="P15" s="67">
        <v>0.5</v>
      </c>
      <c r="Q15" s="67">
        <v>0.47368421052631576</v>
      </c>
    </row>
    <row r="16" spans="1:17" x14ac:dyDescent="0.4">
      <c r="A16" s="69">
        <v>13</v>
      </c>
      <c r="B16" s="66">
        <v>206.39999999999998</v>
      </c>
      <c r="C16" s="66">
        <v>15.876923076923076</v>
      </c>
      <c r="D16" s="71">
        <v>1.6153846153846154</v>
      </c>
      <c r="E16" s="67">
        <v>0.61538461538461542</v>
      </c>
      <c r="F16" s="67">
        <v>0.23076923076923078</v>
      </c>
      <c r="G16" s="67">
        <v>0.33870967741935482</v>
      </c>
      <c r="H16" s="67">
        <v>0.14516129032258066</v>
      </c>
      <c r="I16" s="68">
        <v>8283.3333333333339</v>
      </c>
      <c r="J16" s="68">
        <v>-5444.4444444444443</v>
      </c>
      <c r="K16" s="67">
        <v>0</v>
      </c>
      <c r="L16" s="67">
        <v>0.15384615384615385</v>
      </c>
      <c r="M16" s="67">
        <v>0.27419354838709675</v>
      </c>
      <c r="N16" s="67">
        <v>0.20161290322580644</v>
      </c>
      <c r="O16" s="67">
        <v>0.58823529411764708</v>
      </c>
      <c r="P16" s="67">
        <v>0.48</v>
      </c>
      <c r="Q16" s="67">
        <v>0.45238095238095238</v>
      </c>
    </row>
    <row r="17" spans="1:17" x14ac:dyDescent="0.4">
      <c r="A17" s="69">
        <v>14</v>
      </c>
      <c r="B17" s="66">
        <v>240.09999999999997</v>
      </c>
      <c r="C17" s="66">
        <v>17.149999999999999</v>
      </c>
      <c r="D17" s="71">
        <v>1.5714285714285714</v>
      </c>
      <c r="E17" s="67">
        <v>0.6428571428571429</v>
      </c>
      <c r="F17" s="67">
        <v>0.21428571428571427</v>
      </c>
      <c r="G17" s="67">
        <v>0.35820895522388058</v>
      </c>
      <c r="H17" s="67">
        <v>0.13432835820895522</v>
      </c>
      <c r="I17" s="68">
        <v>8039.583333333333</v>
      </c>
      <c r="J17" s="68">
        <v>-5444.4444444444443</v>
      </c>
      <c r="K17" s="67">
        <v>0</v>
      </c>
      <c r="L17" s="67">
        <v>0.21428571428571427</v>
      </c>
      <c r="M17" s="67">
        <v>0.26865671641791045</v>
      </c>
      <c r="N17" s="67">
        <v>0.20895522388059701</v>
      </c>
      <c r="O17" s="67">
        <v>0.58333333333333337</v>
      </c>
      <c r="P17" s="67">
        <v>0.5357142857142857</v>
      </c>
      <c r="Q17" s="67">
        <v>0.5</v>
      </c>
    </row>
    <row r="18" spans="1:17" x14ac:dyDescent="0.4">
      <c r="A18" s="69">
        <v>15</v>
      </c>
      <c r="B18" s="66">
        <v>269.49999999999994</v>
      </c>
      <c r="C18" s="66">
        <v>17.966666666666661</v>
      </c>
      <c r="D18" s="71">
        <v>1.5333333333333334</v>
      </c>
      <c r="E18" s="67">
        <v>0.66666666666666663</v>
      </c>
      <c r="F18" s="67">
        <v>0.2</v>
      </c>
      <c r="G18" s="67">
        <v>0.36363636363636365</v>
      </c>
      <c r="H18" s="67">
        <v>0.13286713286713286</v>
      </c>
      <c r="I18" s="68">
        <v>7890.3846153846152</v>
      </c>
      <c r="J18" s="68">
        <v>-5236.8421052631575</v>
      </c>
      <c r="K18" s="67">
        <v>0</v>
      </c>
      <c r="L18" s="67">
        <v>0.2</v>
      </c>
      <c r="M18" s="67">
        <v>0.27972027972027974</v>
      </c>
      <c r="N18" s="67">
        <v>0.20279720279720279</v>
      </c>
      <c r="O18" s="67">
        <v>0.57499999999999996</v>
      </c>
      <c r="P18" s="67">
        <v>0.55172413793103448</v>
      </c>
      <c r="Q18" s="67">
        <v>0.5</v>
      </c>
    </row>
    <row r="19" spans="1:17" x14ac:dyDescent="0.4">
      <c r="A19" s="69">
        <v>16</v>
      </c>
      <c r="B19" s="66">
        <v>323.69999999999993</v>
      </c>
      <c r="C19" s="66">
        <v>20.231249999999996</v>
      </c>
      <c r="D19" s="71">
        <v>1.5</v>
      </c>
      <c r="E19" s="67">
        <v>0.6875</v>
      </c>
      <c r="F19" s="67">
        <v>0.1875</v>
      </c>
      <c r="G19" s="67">
        <v>0.375</v>
      </c>
      <c r="H19" s="67">
        <v>0.125</v>
      </c>
      <c r="I19" s="68">
        <v>8029.8245614035086</v>
      </c>
      <c r="J19" s="68">
        <v>-5236.8421052631575</v>
      </c>
      <c r="K19" s="67">
        <v>0</v>
      </c>
      <c r="L19" s="67">
        <v>0.1875</v>
      </c>
      <c r="M19" s="67">
        <v>0.27631578947368424</v>
      </c>
      <c r="N19" s="67">
        <v>0.21710526315789475</v>
      </c>
      <c r="O19" s="67">
        <v>0.5714285714285714</v>
      </c>
      <c r="P19" s="67">
        <v>0.60606060606060608</v>
      </c>
      <c r="Q19" s="67">
        <v>0.50877192982456143</v>
      </c>
    </row>
    <row r="20" spans="1:17" x14ac:dyDescent="0.4">
      <c r="A20" s="69">
        <v>17</v>
      </c>
      <c r="B20" s="66">
        <v>359.09999999999991</v>
      </c>
      <c r="C20" s="66">
        <v>21.1235294117647</v>
      </c>
      <c r="D20" s="71">
        <v>1.4705882352941178</v>
      </c>
      <c r="E20" s="67">
        <v>0.70588235294117652</v>
      </c>
      <c r="F20" s="67">
        <v>0.17647058823529413</v>
      </c>
      <c r="G20" s="67">
        <v>0.38650306748466257</v>
      </c>
      <c r="H20" s="67">
        <v>0.12883435582822086</v>
      </c>
      <c r="I20" s="68">
        <v>7984.1269841269841</v>
      </c>
      <c r="J20" s="68">
        <v>-5685.7142857142853</v>
      </c>
      <c r="K20" s="67">
        <v>0</v>
      </c>
      <c r="L20" s="67">
        <v>0.17647058823529413</v>
      </c>
      <c r="M20" s="67">
        <v>0.27607361963190186</v>
      </c>
      <c r="N20" s="67">
        <v>0.21472392638036811</v>
      </c>
      <c r="O20" s="67">
        <v>0.57777777777777772</v>
      </c>
      <c r="P20" s="67">
        <v>0.62857142857142856</v>
      </c>
      <c r="Q20" s="67">
        <v>0.47619047619047616</v>
      </c>
    </row>
    <row r="21" spans="1:17" x14ac:dyDescent="0.4">
      <c r="A21" s="69">
        <v>18</v>
      </c>
      <c r="B21" s="66">
        <v>352.39999999999992</v>
      </c>
      <c r="C21" s="66">
        <v>19.577777777777772</v>
      </c>
      <c r="D21" s="71">
        <v>1.5</v>
      </c>
      <c r="E21" s="67">
        <v>0.66666666666666663</v>
      </c>
      <c r="F21" s="67">
        <v>0.16666666666666666</v>
      </c>
      <c r="G21" s="67">
        <v>0.38323353293413176</v>
      </c>
      <c r="H21" s="67">
        <v>0.12574850299401197</v>
      </c>
      <c r="I21" s="68">
        <v>7879.6875</v>
      </c>
      <c r="J21" s="68">
        <v>-5685.7142857142853</v>
      </c>
      <c r="K21" s="67">
        <v>0</v>
      </c>
      <c r="L21" s="67">
        <v>0.16666666666666666</v>
      </c>
      <c r="M21" s="67">
        <v>0.27544910179640719</v>
      </c>
      <c r="N21" s="67">
        <v>0.20958083832335328</v>
      </c>
      <c r="O21" s="67">
        <v>0.58695652173913049</v>
      </c>
      <c r="P21" s="67">
        <v>0.62857142857142856</v>
      </c>
      <c r="Q21" s="67">
        <v>0.46875</v>
      </c>
    </row>
    <row r="22" spans="1:17" x14ac:dyDescent="0.4">
      <c r="A22" s="69">
        <v>19</v>
      </c>
      <c r="B22" s="66">
        <v>383.19999999999993</v>
      </c>
      <c r="C22" s="66">
        <v>20.168421052631576</v>
      </c>
      <c r="D22" s="71">
        <v>1.4736842105263157</v>
      </c>
      <c r="E22" s="67">
        <v>0.68421052631578949</v>
      </c>
      <c r="F22" s="67">
        <v>0.15789473684210525</v>
      </c>
      <c r="G22" s="67">
        <v>0.38983050847457629</v>
      </c>
      <c r="H22" s="67">
        <v>0.12429378531073447</v>
      </c>
      <c r="I22" s="68">
        <v>7834.782608695652</v>
      </c>
      <c r="J22" s="68">
        <v>-5972.727272727273</v>
      </c>
      <c r="K22" s="67">
        <v>0</v>
      </c>
      <c r="L22" s="67">
        <v>0.21052631578947367</v>
      </c>
      <c r="M22" s="67">
        <v>0.28813559322033899</v>
      </c>
      <c r="N22" s="67">
        <v>0.20903954802259886</v>
      </c>
      <c r="O22" s="67">
        <v>0.60784313725490191</v>
      </c>
      <c r="P22" s="67">
        <v>0.6216216216216216</v>
      </c>
      <c r="Q22" s="67">
        <v>0.46376811594202899</v>
      </c>
    </row>
    <row r="23" spans="1:17" x14ac:dyDescent="0.4">
      <c r="A23" s="69">
        <v>20</v>
      </c>
      <c r="B23" s="66">
        <v>365.49999999999994</v>
      </c>
      <c r="C23" s="66">
        <v>18.274999999999999</v>
      </c>
      <c r="D23" s="71">
        <v>1.5</v>
      </c>
      <c r="E23" s="67">
        <v>0.65</v>
      </c>
      <c r="F23" s="67">
        <v>0.15</v>
      </c>
      <c r="G23" s="67">
        <v>0.37634408602150538</v>
      </c>
      <c r="H23" s="67">
        <v>0.13440860215053763</v>
      </c>
      <c r="I23" s="68">
        <v>7888.5714285714284</v>
      </c>
      <c r="J23" s="68">
        <v>-6096</v>
      </c>
      <c r="K23" s="67">
        <v>0</v>
      </c>
      <c r="L23" s="67">
        <v>0.2</v>
      </c>
      <c r="M23" s="67">
        <v>0.27956989247311825</v>
      </c>
      <c r="N23" s="67">
        <v>0.22043010752688172</v>
      </c>
      <c r="O23" s="67">
        <v>0.59615384615384615</v>
      </c>
      <c r="P23" s="67">
        <v>0.58536585365853655</v>
      </c>
      <c r="Q23" s="67">
        <v>0.47142857142857142</v>
      </c>
    </row>
    <row r="24" spans="1:17" x14ac:dyDescent="0.4">
      <c r="A24" s="69">
        <v>21</v>
      </c>
      <c r="B24" s="66">
        <v>371.39999999999992</v>
      </c>
      <c r="C24" s="66">
        <v>17.685714285714283</v>
      </c>
      <c r="D24" s="71">
        <v>1.5238095238095237</v>
      </c>
      <c r="E24" s="67">
        <v>0.61904761904761907</v>
      </c>
      <c r="F24" s="67">
        <v>0.14285714285714285</v>
      </c>
      <c r="G24" s="67">
        <v>0.375</v>
      </c>
      <c r="H24" s="67">
        <v>0.13541666666666666</v>
      </c>
      <c r="I24" s="68">
        <v>8168.0555555555557</v>
      </c>
      <c r="J24" s="68">
        <v>-6553.8461538461543</v>
      </c>
      <c r="K24" s="67">
        <v>0</v>
      </c>
      <c r="L24" s="67">
        <v>0.19047619047619047</v>
      </c>
      <c r="M24" s="67">
        <v>0.28125</v>
      </c>
      <c r="N24" s="67">
        <v>0.21354166666666666</v>
      </c>
      <c r="O24" s="67">
        <v>0.59259259259259256</v>
      </c>
      <c r="P24" s="67">
        <v>0.58536585365853655</v>
      </c>
      <c r="Q24" s="67">
        <v>0.47222222222222221</v>
      </c>
    </row>
    <row r="25" spans="1:17" x14ac:dyDescent="0.4">
      <c r="A25" s="69">
        <v>22</v>
      </c>
      <c r="B25" s="66">
        <v>414.2999999999999</v>
      </c>
      <c r="C25" s="66">
        <v>18.831818181818178</v>
      </c>
      <c r="D25" s="71">
        <v>1.5</v>
      </c>
      <c r="E25" s="67">
        <v>0.63636363636363635</v>
      </c>
      <c r="F25" s="67">
        <v>0.13636363636363635</v>
      </c>
      <c r="G25" s="67">
        <v>0.38805970149253732</v>
      </c>
      <c r="H25" s="67">
        <v>0.13432835820895522</v>
      </c>
      <c r="I25" s="68">
        <v>8025.6410256410254</v>
      </c>
      <c r="J25" s="68">
        <v>-6385.1851851851852</v>
      </c>
      <c r="K25" s="67">
        <v>0</v>
      </c>
      <c r="L25" s="67">
        <v>0.18181818181818182</v>
      </c>
      <c r="M25" s="67">
        <v>0.28358208955223879</v>
      </c>
      <c r="N25" s="67">
        <v>0.22388059701492538</v>
      </c>
      <c r="O25" s="67">
        <v>0.61403508771929827</v>
      </c>
      <c r="P25" s="67">
        <v>0.6</v>
      </c>
      <c r="Q25" s="67">
        <v>0.46153846153846156</v>
      </c>
    </row>
    <row r="26" spans="1:17" x14ac:dyDescent="0.4">
      <c r="A26" s="69">
        <v>23</v>
      </c>
      <c r="B26" s="66">
        <v>356.2999999999999</v>
      </c>
      <c r="C26" s="66">
        <v>15.491304347826082</v>
      </c>
      <c r="D26" s="71">
        <v>1.5652173913043479</v>
      </c>
      <c r="E26" s="67">
        <v>0.60869565217391308</v>
      </c>
      <c r="F26" s="67">
        <v>0.17391304347826086</v>
      </c>
      <c r="G26" s="67">
        <v>0.38613861386138615</v>
      </c>
      <c r="H26" s="67">
        <v>0.13861386138613863</v>
      </c>
      <c r="I26" s="68">
        <v>8025.6410256410254</v>
      </c>
      <c r="J26" s="68">
        <v>-7871.4285714285716</v>
      </c>
      <c r="K26" s="67">
        <v>4.3478260869565216E-2</v>
      </c>
      <c r="L26" s="67">
        <v>0.17391304347826086</v>
      </c>
      <c r="M26" s="67">
        <v>0.28217821782178215</v>
      </c>
      <c r="N26" s="67">
        <v>0.22277227722772278</v>
      </c>
      <c r="O26" s="67">
        <v>0.61403508771929827</v>
      </c>
      <c r="P26" s="67">
        <v>0.6</v>
      </c>
      <c r="Q26" s="67">
        <v>0.46153846153846156</v>
      </c>
    </row>
    <row r="27" spans="1:17" x14ac:dyDescent="0.4">
      <c r="A27" s="69">
        <v>24</v>
      </c>
      <c r="B27" s="66">
        <v>329.89999999999992</v>
      </c>
      <c r="C27" s="66">
        <v>13.74583333333333</v>
      </c>
      <c r="D27" s="71">
        <v>1.625</v>
      </c>
      <c r="E27" s="67">
        <v>0.58333333333333337</v>
      </c>
      <c r="F27" s="67">
        <v>0.20833333333333334</v>
      </c>
      <c r="G27" s="67">
        <v>0.37799043062200954</v>
      </c>
      <c r="H27" s="67">
        <v>0.13875598086124402</v>
      </c>
      <c r="I27" s="68">
        <v>8151.8987341772154</v>
      </c>
      <c r="J27" s="68">
        <v>-7734.4827586206893</v>
      </c>
      <c r="K27" s="67">
        <v>4.1666666666666664E-2</v>
      </c>
      <c r="L27" s="67">
        <v>0.16666666666666666</v>
      </c>
      <c r="M27" s="67">
        <v>0.28708133971291866</v>
      </c>
      <c r="N27" s="67">
        <v>0.22966507177033493</v>
      </c>
      <c r="O27" s="67">
        <v>0.6</v>
      </c>
      <c r="P27" s="67">
        <v>0.5625</v>
      </c>
      <c r="Q27" s="67">
        <v>0.46835443037974683</v>
      </c>
    </row>
    <row r="28" spans="1:17" x14ac:dyDescent="0.4">
      <c r="A28" s="69">
        <v>25</v>
      </c>
      <c r="B28" s="66">
        <v>294.99999999999994</v>
      </c>
      <c r="C28" s="66">
        <v>11.799999999999997</v>
      </c>
      <c r="D28" s="71">
        <v>1.68</v>
      </c>
      <c r="E28" s="67">
        <v>0.56000000000000005</v>
      </c>
      <c r="F28" s="67">
        <v>0.24</v>
      </c>
      <c r="G28" s="67">
        <v>0.3686635944700461</v>
      </c>
      <c r="H28" s="67">
        <v>0.14746543778801843</v>
      </c>
      <c r="I28" s="68">
        <v>8068.75</v>
      </c>
      <c r="J28" s="68">
        <v>-7709.375</v>
      </c>
      <c r="K28" s="67">
        <v>0.04</v>
      </c>
      <c r="L28" s="67">
        <v>0.16</v>
      </c>
      <c r="M28" s="67">
        <v>0.28110599078341014</v>
      </c>
      <c r="N28" s="67">
        <v>0.23502304147465439</v>
      </c>
      <c r="O28" s="67">
        <v>0.5901639344262295</v>
      </c>
      <c r="P28" s="67">
        <v>0.5490196078431373</v>
      </c>
      <c r="Q28" s="67">
        <v>0.46250000000000002</v>
      </c>
    </row>
    <row r="29" spans="1:17" x14ac:dyDescent="0.4">
      <c r="A29" s="69">
        <v>26</v>
      </c>
      <c r="B29" s="66">
        <v>329.29999999999995</v>
      </c>
      <c r="C29" s="66">
        <v>12.665384615384614</v>
      </c>
      <c r="D29" s="71">
        <v>1.6538461538461537</v>
      </c>
      <c r="E29" s="67">
        <v>0.57692307692307687</v>
      </c>
      <c r="F29" s="67">
        <v>0.23076923076923078</v>
      </c>
      <c r="G29" s="67">
        <v>0.375</v>
      </c>
      <c r="H29" s="67">
        <v>0.14732142857142858</v>
      </c>
      <c r="I29" s="68">
        <v>8077.3809523809523</v>
      </c>
      <c r="J29" s="68">
        <v>-7709.090909090909</v>
      </c>
      <c r="K29" s="67">
        <v>3.8461538461538464E-2</v>
      </c>
      <c r="L29" s="67">
        <v>0.15384615384615385</v>
      </c>
      <c r="M29" s="67">
        <v>0.28125</v>
      </c>
      <c r="N29" s="67">
        <v>0.24553571428571427</v>
      </c>
      <c r="O29" s="67">
        <v>0.60317460317460314</v>
      </c>
      <c r="P29" s="67">
        <v>0.52727272727272723</v>
      </c>
      <c r="Q29" s="67">
        <v>0.4642857142857143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35C1E-6888-4E77-8314-EE1303D3ECF6}">
  <sheetPr codeName="Sheet8"/>
  <dimension ref="A1:Q1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167</v>
      </c>
      <c r="B1" s="70" t="s">
        <v>167</v>
      </c>
      <c r="C1" s="70" t="s">
        <v>167</v>
      </c>
      <c r="D1" s="71" t="s">
        <v>167</v>
      </c>
      <c r="E1" s="70" t="s">
        <v>167</v>
      </c>
      <c r="F1" s="70" t="s">
        <v>167</v>
      </c>
      <c r="G1" s="70" t="s">
        <v>167</v>
      </c>
      <c r="H1" s="70" t="s">
        <v>167</v>
      </c>
      <c r="I1" s="70" t="s">
        <v>167</v>
      </c>
      <c r="J1" s="70" t="s">
        <v>167</v>
      </c>
      <c r="K1" s="70" t="s">
        <v>167</v>
      </c>
      <c r="L1" s="70" t="s">
        <v>167</v>
      </c>
      <c r="M1" s="70" t="s">
        <v>167</v>
      </c>
      <c r="N1" s="70" t="s">
        <v>167</v>
      </c>
      <c r="O1" s="70" t="s">
        <v>167</v>
      </c>
      <c r="P1" s="70" t="s">
        <v>167</v>
      </c>
      <c r="Q1" s="70" t="s">
        <v>167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-4.5999999999999996</v>
      </c>
      <c r="C4" s="66">
        <v>-4.5999999999999996</v>
      </c>
      <c r="D4" s="71">
        <v>2</v>
      </c>
      <c r="E4" s="67">
        <v>0</v>
      </c>
      <c r="F4" s="67">
        <v>0</v>
      </c>
      <c r="G4" s="67">
        <v>0.3</v>
      </c>
      <c r="H4" s="67">
        <v>0.1</v>
      </c>
      <c r="I4" s="68">
        <v>5000</v>
      </c>
      <c r="J4" s="68">
        <v>-2600</v>
      </c>
      <c r="K4" s="67">
        <v>0</v>
      </c>
      <c r="L4" s="67">
        <v>0</v>
      </c>
      <c r="M4" s="67">
        <v>0.4</v>
      </c>
      <c r="N4" s="67">
        <v>0.2</v>
      </c>
      <c r="O4" s="67">
        <v>0.25</v>
      </c>
      <c r="P4" s="67">
        <v>0.5</v>
      </c>
      <c r="Q4" s="67">
        <v>0</v>
      </c>
    </row>
    <row r="5" spans="1:17" x14ac:dyDescent="0.4">
      <c r="A5" s="69">
        <v>2</v>
      </c>
      <c r="B5" s="66">
        <v>19.899999999999999</v>
      </c>
      <c r="C5" s="66">
        <v>9.9499999999999993</v>
      </c>
      <c r="D5" s="71">
        <v>1.5</v>
      </c>
      <c r="E5" s="67">
        <v>0.5</v>
      </c>
      <c r="F5" s="67">
        <v>0</v>
      </c>
      <c r="G5" s="67">
        <v>0.31578947368421051</v>
      </c>
      <c r="H5" s="67">
        <v>0.10526315789473684</v>
      </c>
      <c r="I5" s="68">
        <v>7000</v>
      </c>
      <c r="J5" s="68">
        <v>-7300</v>
      </c>
      <c r="K5" s="67">
        <v>0</v>
      </c>
      <c r="L5" s="67">
        <v>0</v>
      </c>
      <c r="M5" s="67">
        <v>0.36842105263157893</v>
      </c>
      <c r="N5" s="67">
        <v>0.26315789473684209</v>
      </c>
      <c r="O5" s="67">
        <v>0.42857142857142855</v>
      </c>
      <c r="P5" s="67">
        <v>0.4</v>
      </c>
      <c r="Q5" s="67">
        <v>0.33333333333333331</v>
      </c>
    </row>
    <row r="6" spans="1:17" x14ac:dyDescent="0.4">
      <c r="A6" s="69">
        <v>3</v>
      </c>
      <c r="B6" s="66">
        <v>-8.3000000000000007</v>
      </c>
      <c r="C6" s="66">
        <v>-2.7666666666666671</v>
      </c>
      <c r="D6" s="71">
        <v>2</v>
      </c>
      <c r="E6" s="67">
        <v>0.33333333333333331</v>
      </c>
      <c r="F6" s="67">
        <v>0.33333333333333331</v>
      </c>
      <c r="G6" s="67">
        <v>0.25925925925925924</v>
      </c>
      <c r="H6" s="67">
        <v>0.18518518518518517</v>
      </c>
      <c r="I6" s="68">
        <v>6557.1428571428569</v>
      </c>
      <c r="J6" s="68">
        <v>-6340</v>
      </c>
      <c r="K6" s="67">
        <v>0</v>
      </c>
      <c r="L6" s="67">
        <v>0</v>
      </c>
      <c r="M6" s="67">
        <v>0.33333333333333331</v>
      </c>
      <c r="N6" s="67">
        <v>0.22222222222222221</v>
      </c>
      <c r="O6" s="67">
        <v>0.44444444444444442</v>
      </c>
      <c r="P6" s="67">
        <v>0.33333333333333331</v>
      </c>
      <c r="Q6" s="67">
        <v>0.2857142857142857</v>
      </c>
    </row>
    <row r="7" spans="1:17" x14ac:dyDescent="0.4">
      <c r="A7" s="69">
        <v>4</v>
      </c>
      <c r="B7" s="66">
        <v>-30.7</v>
      </c>
      <c r="C7" s="66">
        <v>-7.6749999999999998</v>
      </c>
      <c r="D7" s="71">
        <v>2</v>
      </c>
      <c r="E7" s="67">
        <v>0.25</v>
      </c>
      <c r="F7" s="67">
        <v>0.25</v>
      </c>
      <c r="G7" s="67">
        <v>0.26315789473684209</v>
      </c>
      <c r="H7" s="67">
        <v>0.21052631578947367</v>
      </c>
      <c r="I7" s="68">
        <v>7390</v>
      </c>
      <c r="J7" s="68">
        <v>-8375</v>
      </c>
      <c r="K7" s="67">
        <v>0</v>
      </c>
      <c r="L7" s="67">
        <v>0</v>
      </c>
      <c r="M7" s="67">
        <v>0.34210526315789475</v>
      </c>
      <c r="N7" s="67">
        <v>0.23684210526315788</v>
      </c>
      <c r="O7" s="67">
        <v>0.46153846153846156</v>
      </c>
      <c r="P7" s="67">
        <v>0.33333333333333331</v>
      </c>
      <c r="Q7" s="67">
        <v>0.4</v>
      </c>
    </row>
    <row r="8" spans="1:17" x14ac:dyDescent="0.4">
      <c r="A8" s="69">
        <v>5</v>
      </c>
      <c r="B8" s="66">
        <v>-55.8</v>
      </c>
      <c r="C8" s="66">
        <v>-11.16</v>
      </c>
      <c r="D8" s="71">
        <v>2.2000000000000002</v>
      </c>
      <c r="E8" s="67">
        <v>0.2</v>
      </c>
      <c r="F8" s="67">
        <v>0.4</v>
      </c>
      <c r="G8" s="67">
        <v>0.24444444444444444</v>
      </c>
      <c r="H8" s="67">
        <v>0.22222222222222221</v>
      </c>
      <c r="I8" s="68">
        <v>7445.454545454545</v>
      </c>
      <c r="J8" s="68">
        <v>-8160</v>
      </c>
      <c r="K8" s="67">
        <v>0</v>
      </c>
      <c r="L8" s="67">
        <v>0</v>
      </c>
      <c r="M8" s="67">
        <v>0.28888888888888886</v>
      </c>
      <c r="N8" s="67">
        <v>0.26666666666666666</v>
      </c>
      <c r="O8" s="67">
        <v>0.46153846153846156</v>
      </c>
      <c r="P8" s="67">
        <v>0.33333333333333331</v>
      </c>
      <c r="Q8" s="67">
        <v>0.36363636363636365</v>
      </c>
    </row>
    <row r="9" spans="1:17" x14ac:dyDescent="0.4">
      <c r="A9" s="69">
        <v>6</v>
      </c>
      <c r="B9" s="66">
        <v>-40.799999999999997</v>
      </c>
      <c r="C9" s="66">
        <v>-6.8</v>
      </c>
      <c r="D9" s="71">
        <v>2</v>
      </c>
      <c r="E9" s="67">
        <v>0.33333333333333331</v>
      </c>
      <c r="F9" s="67">
        <v>0.33333333333333331</v>
      </c>
      <c r="G9" s="67">
        <v>0.24074074074074073</v>
      </c>
      <c r="H9" s="67">
        <v>0.22222222222222221</v>
      </c>
      <c r="I9" s="68">
        <v>7838.4615384615381</v>
      </c>
      <c r="J9" s="68">
        <v>-7925</v>
      </c>
      <c r="K9" s="67">
        <v>0</v>
      </c>
      <c r="L9" s="67">
        <v>0</v>
      </c>
      <c r="M9" s="67">
        <v>0.29629629629629628</v>
      </c>
      <c r="N9" s="67">
        <v>0.24074074074074073</v>
      </c>
      <c r="O9" s="67">
        <v>0.5</v>
      </c>
      <c r="P9" s="67">
        <v>0.30769230769230771</v>
      </c>
      <c r="Q9" s="67">
        <v>0.46153846153846156</v>
      </c>
    </row>
    <row r="10" spans="1:17" x14ac:dyDescent="0.4">
      <c r="A10" s="69">
        <v>7</v>
      </c>
      <c r="B10" s="66">
        <v>-71</v>
      </c>
      <c r="C10" s="66">
        <v>-10.142857142857142</v>
      </c>
      <c r="D10" s="71">
        <v>2.1428571428571428</v>
      </c>
      <c r="E10" s="67">
        <v>0.2857142857142857</v>
      </c>
      <c r="F10" s="67">
        <v>0.42857142857142855</v>
      </c>
      <c r="G10" s="67">
        <v>0.22058823529411764</v>
      </c>
      <c r="H10" s="67">
        <v>0.23529411764705882</v>
      </c>
      <c r="I10" s="68">
        <v>8180</v>
      </c>
      <c r="J10" s="68">
        <v>-7700</v>
      </c>
      <c r="K10" s="67">
        <v>0</v>
      </c>
      <c r="L10" s="67">
        <v>0</v>
      </c>
      <c r="M10" s="67">
        <v>0.25</v>
      </c>
      <c r="N10" s="67">
        <v>0.26470588235294118</v>
      </c>
      <c r="O10" s="67">
        <v>0.52941176470588236</v>
      </c>
      <c r="P10" s="67">
        <v>0.27777777777777779</v>
      </c>
      <c r="Q10" s="67">
        <v>0.46666666666666667</v>
      </c>
    </row>
    <row r="11" spans="1:17" x14ac:dyDescent="0.4">
      <c r="A11" s="69">
        <v>8</v>
      </c>
      <c r="B11" s="66">
        <v>-76.900000000000006</v>
      </c>
      <c r="C11" s="66">
        <v>-9.6125000000000007</v>
      </c>
      <c r="D11" s="71">
        <v>2.125</v>
      </c>
      <c r="E11" s="67">
        <v>0.25</v>
      </c>
      <c r="F11" s="67">
        <v>0.375</v>
      </c>
      <c r="G11" s="67">
        <v>0.21794871794871795</v>
      </c>
      <c r="H11" s="67">
        <v>0.20512820512820512</v>
      </c>
      <c r="I11" s="68">
        <v>7805.8823529411766</v>
      </c>
      <c r="J11" s="68">
        <v>-7700</v>
      </c>
      <c r="K11" s="67">
        <v>0</v>
      </c>
      <c r="L11" s="67">
        <v>0</v>
      </c>
      <c r="M11" s="67">
        <v>0.24358974358974358</v>
      </c>
      <c r="N11" s="67">
        <v>0.26923076923076922</v>
      </c>
      <c r="O11" s="67">
        <v>0.47368421052631576</v>
      </c>
      <c r="P11" s="67">
        <v>0.23809523809523808</v>
      </c>
      <c r="Q11" s="67">
        <v>0.47058823529411764</v>
      </c>
    </row>
    <row r="12" spans="1:17" x14ac:dyDescent="0.4">
      <c r="A12" s="69">
        <v>9</v>
      </c>
      <c r="B12" s="66">
        <v>-59.500000000000007</v>
      </c>
      <c r="C12" s="66">
        <v>-6.6111111111111116</v>
      </c>
      <c r="D12" s="71">
        <v>2</v>
      </c>
      <c r="E12" s="67">
        <v>0.33333333333333331</v>
      </c>
      <c r="F12" s="67">
        <v>0.33333333333333331</v>
      </c>
      <c r="G12" s="67">
        <v>0.2413793103448276</v>
      </c>
      <c r="H12" s="67">
        <v>0.19540229885057472</v>
      </c>
      <c r="I12" s="68">
        <v>7576.1904761904761</v>
      </c>
      <c r="J12" s="68">
        <v>-7552.9411764705883</v>
      </c>
      <c r="K12" s="67">
        <v>0</v>
      </c>
      <c r="L12" s="67">
        <v>0</v>
      </c>
      <c r="M12" s="67">
        <v>0.2413793103448276</v>
      </c>
      <c r="N12" s="67">
        <v>0.26436781609195403</v>
      </c>
      <c r="O12" s="67">
        <v>0.52380952380952384</v>
      </c>
      <c r="P12" s="67">
        <v>0.2608695652173913</v>
      </c>
      <c r="Q12" s="67">
        <v>0.52380952380952384</v>
      </c>
    </row>
    <row r="13" spans="1:17" x14ac:dyDescent="0.4">
      <c r="A13" s="69">
        <v>10</v>
      </c>
      <c r="B13" s="66">
        <v>-32.700000000000003</v>
      </c>
      <c r="C13" s="66">
        <v>-3.2700000000000005</v>
      </c>
      <c r="D13" s="71">
        <v>1.9</v>
      </c>
      <c r="E13" s="67">
        <v>0.4</v>
      </c>
      <c r="F13" s="67">
        <v>0.3</v>
      </c>
      <c r="G13" s="67">
        <v>0.25263157894736843</v>
      </c>
      <c r="H13" s="67">
        <v>0.18947368421052632</v>
      </c>
      <c r="I13" s="68">
        <v>7562.5</v>
      </c>
      <c r="J13" s="68">
        <v>-7277.7777777777774</v>
      </c>
      <c r="K13" s="67">
        <v>0</v>
      </c>
      <c r="L13" s="67">
        <v>0</v>
      </c>
      <c r="M13" s="67">
        <v>0.24210526315789474</v>
      </c>
      <c r="N13" s="67">
        <v>0.27368421052631581</v>
      </c>
      <c r="O13" s="67">
        <v>0.56521739130434778</v>
      </c>
      <c r="P13" s="67">
        <v>0.23076923076923078</v>
      </c>
      <c r="Q13" s="67">
        <v>0.5</v>
      </c>
    </row>
    <row r="14" spans="1:17" x14ac:dyDescent="0.4">
      <c r="A14" s="69">
        <v>11</v>
      </c>
      <c r="B14" s="66">
        <v>-35.5</v>
      </c>
      <c r="C14" s="66">
        <v>-3.2272727272727271</v>
      </c>
      <c r="D14" s="71">
        <v>1.9090909090909092</v>
      </c>
      <c r="E14" s="67">
        <v>0.36363636363636365</v>
      </c>
      <c r="F14" s="67">
        <v>0.27272727272727271</v>
      </c>
      <c r="G14" s="67">
        <v>0.24509803921568626</v>
      </c>
      <c r="H14" s="67">
        <v>0.17647058823529413</v>
      </c>
      <c r="I14" s="68">
        <v>7568</v>
      </c>
      <c r="J14" s="68">
        <v>-7277.7777777777774</v>
      </c>
      <c r="K14" s="67">
        <v>0</v>
      </c>
      <c r="L14" s="67">
        <v>0</v>
      </c>
      <c r="M14" s="67">
        <v>0.22549019607843138</v>
      </c>
      <c r="N14" s="67">
        <v>0.27450980392156865</v>
      </c>
      <c r="O14" s="67">
        <v>0.56521739130434778</v>
      </c>
      <c r="P14" s="67">
        <v>0.25</v>
      </c>
      <c r="Q14" s="67">
        <v>0.48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5625D-ED1E-4AF4-B528-9E96F6E47C26}">
  <sheetPr codeName="Sheet6"/>
  <dimension ref="A1:Q3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144</v>
      </c>
      <c r="B1" s="70" t="s">
        <v>144</v>
      </c>
      <c r="C1" s="70" t="s">
        <v>144</v>
      </c>
      <c r="D1" s="71" t="s">
        <v>144</v>
      </c>
      <c r="E1" s="70" t="s">
        <v>144</v>
      </c>
      <c r="F1" s="70" t="s">
        <v>144</v>
      </c>
      <c r="G1" s="70" t="s">
        <v>144</v>
      </c>
      <c r="H1" s="70" t="s">
        <v>144</v>
      </c>
      <c r="I1" s="70" t="s">
        <v>144</v>
      </c>
      <c r="J1" s="70" t="s">
        <v>144</v>
      </c>
      <c r="K1" s="70" t="s">
        <v>144</v>
      </c>
      <c r="L1" s="70" t="s">
        <v>144</v>
      </c>
      <c r="M1" s="70" t="s">
        <v>144</v>
      </c>
      <c r="N1" s="70" t="s">
        <v>144</v>
      </c>
      <c r="O1" s="70" t="s">
        <v>144</v>
      </c>
      <c r="P1" s="70" t="s">
        <v>144</v>
      </c>
      <c r="Q1" s="70" t="s">
        <v>144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</v>
      </c>
      <c r="H4" s="67">
        <v>0.23333333333333334</v>
      </c>
      <c r="I4" s="68">
        <v>8144.4444444444443</v>
      </c>
      <c r="J4" s="68">
        <v>-6471.4285714285716</v>
      </c>
      <c r="K4" s="67">
        <v>0.33333333333333331</v>
      </c>
      <c r="L4" s="67">
        <v>0.33333333333333331</v>
      </c>
      <c r="M4" s="67">
        <v>0.36666666666666664</v>
      </c>
      <c r="N4" s="67">
        <v>0.2</v>
      </c>
      <c r="O4" s="67">
        <v>0.45454545454545453</v>
      </c>
      <c r="P4" s="67">
        <v>0.33333333333333331</v>
      </c>
      <c r="Q4" s="67">
        <v>0.22222222222222221</v>
      </c>
    </row>
    <row r="5" spans="1:17" x14ac:dyDescent="0.4">
      <c r="A5" s="69">
        <v>2</v>
      </c>
      <c r="B5" s="66">
        <v>3.5527136788005009E-15</v>
      </c>
      <c r="C5" s="66">
        <v>5.9211894646675012E-16</v>
      </c>
      <c r="D5" s="71">
        <v>2</v>
      </c>
      <c r="E5" s="67">
        <v>0.33333333333333331</v>
      </c>
      <c r="F5" s="67">
        <v>0.33333333333333331</v>
      </c>
      <c r="G5" s="67">
        <v>0.2807017543859649</v>
      </c>
      <c r="H5" s="67">
        <v>0.19298245614035087</v>
      </c>
      <c r="I5" s="68">
        <v>8431.25</v>
      </c>
      <c r="J5" s="68">
        <v>-6654.545454545455</v>
      </c>
      <c r="K5" s="67">
        <v>0.16666666666666666</v>
      </c>
      <c r="L5" s="67">
        <v>0.16666666666666666</v>
      </c>
      <c r="M5" s="67">
        <v>0.40350877192982454</v>
      </c>
      <c r="N5" s="67">
        <v>0.21052631578947367</v>
      </c>
      <c r="O5" s="67">
        <v>0.47826086956521741</v>
      </c>
      <c r="P5" s="67">
        <v>0.25</v>
      </c>
      <c r="Q5" s="67">
        <v>0.3125</v>
      </c>
    </row>
    <row r="6" spans="1:17" x14ac:dyDescent="0.4">
      <c r="A6" s="69">
        <v>3</v>
      </c>
      <c r="B6" s="66">
        <v>0</v>
      </c>
      <c r="C6" s="66">
        <v>0</v>
      </c>
      <c r="D6" s="71">
        <v>2</v>
      </c>
      <c r="E6" s="67">
        <v>0.33333333333333331</v>
      </c>
      <c r="F6" s="67">
        <v>0.33333333333333331</v>
      </c>
      <c r="G6" s="67">
        <v>0.27777777777777779</v>
      </c>
      <c r="H6" s="67">
        <v>0.17777777777777778</v>
      </c>
      <c r="I6" s="68">
        <v>8212</v>
      </c>
      <c r="J6" s="68">
        <v>-8425</v>
      </c>
      <c r="K6" s="67">
        <v>0.1111111111111111</v>
      </c>
      <c r="L6" s="67">
        <v>0.1111111111111111</v>
      </c>
      <c r="M6" s="67">
        <v>0.32222222222222224</v>
      </c>
      <c r="N6" s="67">
        <v>0.18888888888888888</v>
      </c>
      <c r="O6" s="67">
        <v>0.44827586206896552</v>
      </c>
      <c r="P6" s="67">
        <v>0.41176470588235292</v>
      </c>
      <c r="Q6" s="67">
        <v>0.36</v>
      </c>
    </row>
    <row r="7" spans="1:17" x14ac:dyDescent="0.4">
      <c r="A7" s="69">
        <v>4</v>
      </c>
      <c r="B7" s="66">
        <v>0</v>
      </c>
      <c r="C7" s="66">
        <v>0</v>
      </c>
      <c r="D7" s="71">
        <v>2</v>
      </c>
      <c r="E7" s="67">
        <v>0.33333333333333331</v>
      </c>
      <c r="F7" s="67">
        <v>0.33333333333333331</v>
      </c>
      <c r="G7" s="67">
        <v>0.29059829059829062</v>
      </c>
      <c r="H7" s="67">
        <v>0.19658119658119658</v>
      </c>
      <c r="I7" s="68">
        <v>9064.7058823529405</v>
      </c>
      <c r="J7" s="68">
        <v>-9934.782608695652</v>
      </c>
      <c r="K7" s="67">
        <v>0.16666666666666666</v>
      </c>
      <c r="L7" s="67">
        <v>0.16666666666666666</v>
      </c>
      <c r="M7" s="67">
        <v>0.3247863247863248</v>
      </c>
      <c r="N7" s="67">
        <v>0.1623931623931624</v>
      </c>
      <c r="O7" s="67">
        <v>0.5</v>
      </c>
      <c r="P7" s="67">
        <v>0.42105263157894735</v>
      </c>
      <c r="Q7" s="67">
        <v>0.3235294117647059</v>
      </c>
    </row>
    <row r="8" spans="1:17" x14ac:dyDescent="0.4">
      <c r="A8" s="69">
        <v>5</v>
      </c>
      <c r="B8" s="66">
        <v>0</v>
      </c>
      <c r="C8" s="66">
        <v>0</v>
      </c>
      <c r="D8" s="71">
        <v>2</v>
      </c>
      <c r="E8" s="67">
        <v>0.33333333333333331</v>
      </c>
      <c r="F8" s="67">
        <v>0.33333333333333331</v>
      </c>
      <c r="G8" s="67">
        <v>0.29710144927536231</v>
      </c>
      <c r="H8" s="67">
        <v>0.18115942028985507</v>
      </c>
      <c r="I8" s="68">
        <v>8243.9024390243903</v>
      </c>
      <c r="J8" s="68">
        <v>-9244</v>
      </c>
      <c r="K8" s="67">
        <v>0.13333333333333333</v>
      </c>
      <c r="L8" s="67">
        <v>0.13333333333333333</v>
      </c>
      <c r="M8" s="67">
        <v>0.31159420289855072</v>
      </c>
      <c r="N8" s="67">
        <v>0.13768115942028986</v>
      </c>
      <c r="O8" s="67">
        <v>0.55813953488372092</v>
      </c>
      <c r="P8" s="67">
        <v>0.42105263157894735</v>
      </c>
      <c r="Q8" s="67">
        <v>0.3902439024390244</v>
      </c>
    </row>
    <row r="9" spans="1:17" x14ac:dyDescent="0.4">
      <c r="A9" s="69">
        <v>6</v>
      </c>
      <c r="B9" s="66">
        <v>0</v>
      </c>
      <c r="C9" s="66">
        <v>0</v>
      </c>
      <c r="D9" s="71">
        <v>2</v>
      </c>
      <c r="E9" s="67">
        <v>0.33333333333333331</v>
      </c>
      <c r="F9" s="67">
        <v>0.33333333333333331</v>
      </c>
      <c r="G9" s="67">
        <v>0.30246913580246915</v>
      </c>
      <c r="H9" s="67">
        <v>0.19135802469135801</v>
      </c>
      <c r="I9" s="68">
        <v>7802.0408163265311</v>
      </c>
      <c r="J9" s="68">
        <v>-8583.8709677419356</v>
      </c>
      <c r="K9" s="67">
        <v>0.1111111111111111</v>
      </c>
      <c r="L9" s="67">
        <v>0.1111111111111111</v>
      </c>
      <c r="M9" s="67">
        <v>0.30864197530864196</v>
      </c>
      <c r="N9" s="67">
        <v>0.16666666666666666</v>
      </c>
      <c r="O9" s="67">
        <v>0.6</v>
      </c>
      <c r="P9" s="67">
        <v>0.37037037037037035</v>
      </c>
      <c r="Q9" s="67">
        <v>0.36734693877551022</v>
      </c>
    </row>
    <row r="10" spans="1:17" x14ac:dyDescent="0.4">
      <c r="A10" s="69">
        <v>7</v>
      </c>
      <c r="B10" s="66">
        <v>7.1054273576010019E-15</v>
      </c>
      <c r="C10" s="66">
        <v>3.3835368369528578E-16</v>
      </c>
      <c r="D10" s="71">
        <v>2</v>
      </c>
      <c r="E10" s="67">
        <v>0.33333333333333331</v>
      </c>
      <c r="F10" s="67">
        <v>0.33333333333333331</v>
      </c>
      <c r="G10" s="67">
        <v>0.30256410256410254</v>
      </c>
      <c r="H10" s="67">
        <v>0.17948717948717949</v>
      </c>
      <c r="I10" s="68">
        <v>7872.8813559322034</v>
      </c>
      <c r="J10" s="68">
        <v>-8954.2857142857138</v>
      </c>
      <c r="K10" s="67">
        <v>9.5238095238095233E-2</v>
      </c>
      <c r="L10" s="67">
        <v>9.5238095238095233E-2</v>
      </c>
      <c r="M10" s="67">
        <v>0.29743589743589743</v>
      </c>
      <c r="N10" s="67">
        <v>0.17948717948717949</v>
      </c>
      <c r="O10" s="67">
        <v>0.58620689655172409</v>
      </c>
      <c r="P10" s="67">
        <v>0.42857142857142855</v>
      </c>
      <c r="Q10" s="67">
        <v>0.40677966101694918</v>
      </c>
    </row>
    <row r="11" spans="1:17" x14ac:dyDescent="0.4">
      <c r="A11" s="69">
        <v>8</v>
      </c>
      <c r="B11" s="66">
        <v>7.1054273576010019E-15</v>
      </c>
      <c r="C11" s="66">
        <v>2.9605947323337506E-16</v>
      </c>
      <c r="D11" s="71">
        <v>2</v>
      </c>
      <c r="E11" s="67">
        <v>0.33333333333333331</v>
      </c>
      <c r="F11" s="67">
        <v>0.33333333333333331</v>
      </c>
      <c r="G11" s="67">
        <v>0.30092592592592593</v>
      </c>
      <c r="H11" s="67">
        <v>0.18518518518518517</v>
      </c>
      <c r="I11" s="68">
        <v>7818.4615384615381</v>
      </c>
      <c r="J11" s="68">
        <v>-8627.5</v>
      </c>
      <c r="K11" s="67">
        <v>8.3333333333333329E-2</v>
      </c>
      <c r="L11" s="67">
        <v>8.3333333333333329E-2</v>
      </c>
      <c r="M11" s="67">
        <v>0.28703703703703703</v>
      </c>
      <c r="N11" s="67">
        <v>0.18981481481481483</v>
      </c>
      <c r="O11" s="67">
        <v>0.59677419354838712</v>
      </c>
      <c r="P11" s="67">
        <v>0.41463414634146339</v>
      </c>
      <c r="Q11" s="67">
        <v>0.38461538461538464</v>
      </c>
    </row>
    <row r="12" spans="1:17" x14ac:dyDescent="0.4">
      <c r="A12" s="69">
        <v>9</v>
      </c>
      <c r="B12" s="66">
        <v>6.7723604502134549E-15</v>
      </c>
      <c r="C12" s="66">
        <v>2.5082816482272053E-16</v>
      </c>
      <c r="D12" s="71">
        <v>2</v>
      </c>
      <c r="E12" s="67">
        <v>0.33333333333333331</v>
      </c>
      <c r="F12" s="67">
        <v>0.33333333333333331</v>
      </c>
      <c r="G12" s="67">
        <v>0.30452674897119342</v>
      </c>
      <c r="H12" s="67">
        <v>0.18930041152263374</v>
      </c>
      <c r="I12" s="68">
        <v>7662.1621621621625</v>
      </c>
      <c r="J12" s="68">
        <v>-8258.6956521739139</v>
      </c>
      <c r="K12" s="67">
        <v>7.407407407407407E-2</v>
      </c>
      <c r="L12" s="67">
        <v>7.407407407407407E-2</v>
      </c>
      <c r="M12" s="67">
        <v>0.27983539094650206</v>
      </c>
      <c r="N12" s="67">
        <v>0.18518518518518517</v>
      </c>
      <c r="O12" s="67">
        <v>0.6029411764705882</v>
      </c>
      <c r="P12" s="67">
        <v>0.44444444444444442</v>
      </c>
      <c r="Q12" s="67">
        <v>0.3783783783783784</v>
      </c>
    </row>
    <row r="13" spans="1:17" x14ac:dyDescent="0.4">
      <c r="A13" s="69">
        <v>10</v>
      </c>
      <c r="B13" s="66">
        <v>8.4376949871511897E-15</v>
      </c>
      <c r="C13" s="66">
        <v>2.8125649957170631E-16</v>
      </c>
      <c r="D13" s="71">
        <v>2</v>
      </c>
      <c r="E13" s="67">
        <v>0.33333333333333331</v>
      </c>
      <c r="F13" s="67">
        <v>0.33333333333333331</v>
      </c>
      <c r="G13" s="67">
        <v>0.2982456140350877</v>
      </c>
      <c r="H13" s="67">
        <v>0.18245614035087721</v>
      </c>
      <c r="I13" s="68">
        <v>7692.9411764705883</v>
      </c>
      <c r="J13" s="68">
        <v>-8292.3076923076915</v>
      </c>
      <c r="K13" s="67">
        <v>6.6666666666666666E-2</v>
      </c>
      <c r="L13" s="67">
        <v>6.6666666666666666E-2</v>
      </c>
      <c r="M13" s="67">
        <v>0.25964912280701752</v>
      </c>
      <c r="N13" s="67">
        <v>0.19298245614035087</v>
      </c>
      <c r="O13" s="67">
        <v>0.59459459459459463</v>
      </c>
      <c r="P13" s="67">
        <v>0.41818181818181815</v>
      </c>
      <c r="Q13" s="67">
        <v>0.38823529411764707</v>
      </c>
    </row>
    <row r="14" spans="1:17" x14ac:dyDescent="0.4">
      <c r="A14" s="69">
        <v>11</v>
      </c>
      <c r="B14" s="66">
        <v>7.1054273576010019E-15</v>
      </c>
      <c r="C14" s="66">
        <v>2.153159805333637E-16</v>
      </c>
      <c r="D14" s="71">
        <v>2</v>
      </c>
      <c r="E14" s="67">
        <v>0.33333333333333331</v>
      </c>
      <c r="F14" s="67">
        <v>0.33333333333333331</v>
      </c>
      <c r="G14" s="67">
        <v>0.30188679245283018</v>
      </c>
      <c r="H14" s="67">
        <v>0.19496855345911951</v>
      </c>
      <c r="I14" s="68">
        <v>7796.875</v>
      </c>
      <c r="J14" s="68">
        <v>-8383.8709677419356</v>
      </c>
      <c r="K14" s="67">
        <v>9.0909090909090912E-2</v>
      </c>
      <c r="L14" s="67">
        <v>9.0909090909090912E-2</v>
      </c>
      <c r="M14" s="67">
        <v>0.24842767295597484</v>
      </c>
      <c r="N14" s="67">
        <v>0.20754716981132076</v>
      </c>
      <c r="O14" s="67">
        <v>0.60759493670886078</v>
      </c>
      <c r="P14" s="67">
        <v>0.42424242424242425</v>
      </c>
      <c r="Q14" s="67">
        <v>0.35416666666666669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0.29597701149425287</v>
      </c>
      <c r="H15" s="67">
        <v>0.18390804597701149</v>
      </c>
      <c r="I15" s="68">
        <v>7711.6504854368932</v>
      </c>
      <c r="J15" s="68">
        <v>-8278.125</v>
      </c>
      <c r="K15" s="67">
        <v>8.3333333333333329E-2</v>
      </c>
      <c r="L15" s="67">
        <v>8.3333333333333329E-2</v>
      </c>
      <c r="M15" s="67">
        <v>0.25</v>
      </c>
      <c r="N15" s="67">
        <v>0.20977011494252873</v>
      </c>
      <c r="O15" s="67">
        <v>0.57471264367816088</v>
      </c>
      <c r="P15" s="67">
        <v>0.41095890410958902</v>
      </c>
      <c r="Q15" s="67">
        <v>0.37864077669902912</v>
      </c>
    </row>
    <row r="16" spans="1:17" x14ac:dyDescent="0.4">
      <c r="A16" s="69">
        <v>13</v>
      </c>
      <c r="B16" s="66">
        <v>6.2172489379008766E-15</v>
      </c>
      <c r="C16" s="66">
        <v>1.5941663943335581E-16</v>
      </c>
      <c r="D16" s="71">
        <v>2</v>
      </c>
      <c r="E16" s="67">
        <v>0.33333333333333331</v>
      </c>
      <c r="F16" s="67">
        <v>0.33333333333333331</v>
      </c>
      <c r="G16" s="67">
        <v>0.29866666666666669</v>
      </c>
      <c r="H16" s="67">
        <v>0.17866666666666667</v>
      </c>
      <c r="I16" s="68">
        <v>7655.3571428571431</v>
      </c>
      <c r="J16" s="68">
        <v>-8062.686567164179</v>
      </c>
      <c r="K16" s="67">
        <v>7.6923076923076927E-2</v>
      </c>
      <c r="L16" s="67">
        <v>7.6923076923076927E-2</v>
      </c>
      <c r="M16" s="67">
        <v>0.248</v>
      </c>
      <c r="N16" s="67">
        <v>0.21866666666666668</v>
      </c>
      <c r="O16" s="67">
        <v>0.59139784946236562</v>
      </c>
      <c r="P16" s="67">
        <v>0.3902439024390244</v>
      </c>
      <c r="Q16" s="67">
        <v>0.4017857142857143</v>
      </c>
    </row>
    <row r="17" spans="1:17" x14ac:dyDescent="0.4">
      <c r="A17" s="69">
        <v>14</v>
      </c>
      <c r="B17" s="66">
        <v>1.0658141036401503E-14</v>
      </c>
      <c r="C17" s="66">
        <v>2.5376526277146434E-16</v>
      </c>
      <c r="D17" s="71">
        <v>2</v>
      </c>
      <c r="E17" s="67">
        <v>0.33333333333333331</v>
      </c>
      <c r="F17" s="67">
        <v>0.33333333333333331</v>
      </c>
      <c r="G17" s="67">
        <v>0.29353233830845771</v>
      </c>
      <c r="H17" s="67">
        <v>0.17910447761194029</v>
      </c>
      <c r="I17" s="68">
        <v>7859.3220338983047</v>
      </c>
      <c r="J17" s="68">
        <v>-8225</v>
      </c>
      <c r="K17" s="67">
        <v>7.1428571428571425E-2</v>
      </c>
      <c r="L17" s="67">
        <v>7.1428571428571425E-2</v>
      </c>
      <c r="M17" s="67">
        <v>0.2462686567164179</v>
      </c>
      <c r="N17" s="67">
        <v>0.21641791044776118</v>
      </c>
      <c r="O17" s="67">
        <v>0.58585858585858586</v>
      </c>
      <c r="P17" s="67">
        <v>0.37931034482758619</v>
      </c>
      <c r="Q17" s="67">
        <v>0.38983050847457629</v>
      </c>
    </row>
    <row r="18" spans="1:17" x14ac:dyDescent="0.4">
      <c r="A18" s="69">
        <v>15</v>
      </c>
      <c r="B18" s="66">
        <v>1.1379786002407855E-14</v>
      </c>
      <c r="C18" s="66">
        <v>2.528841333868412E-16</v>
      </c>
      <c r="D18" s="71">
        <v>2</v>
      </c>
      <c r="E18" s="67">
        <v>0.33333333333333331</v>
      </c>
      <c r="F18" s="67">
        <v>0.33333333333333331</v>
      </c>
      <c r="G18" s="67">
        <v>0.29629629629629628</v>
      </c>
      <c r="H18" s="67">
        <v>0.17824074074074073</v>
      </c>
      <c r="I18" s="68">
        <v>7854.6875</v>
      </c>
      <c r="J18" s="68">
        <v>-7992.2077922077924</v>
      </c>
      <c r="K18" s="67">
        <v>6.6666666666666666E-2</v>
      </c>
      <c r="L18" s="67">
        <v>6.6666666666666666E-2</v>
      </c>
      <c r="M18" s="67">
        <v>0.24537037037037038</v>
      </c>
      <c r="N18" s="67">
        <v>0.21527777777777779</v>
      </c>
      <c r="O18" s="67">
        <v>0.58490566037735847</v>
      </c>
      <c r="P18" s="67">
        <v>0.38709677419354838</v>
      </c>
      <c r="Q18" s="67">
        <v>0.3984375</v>
      </c>
    </row>
    <row r="19" spans="1:17" x14ac:dyDescent="0.4">
      <c r="A19" s="69">
        <v>16</v>
      </c>
      <c r="B19" s="66">
        <v>1.4210854715202004E-14</v>
      </c>
      <c r="C19" s="66">
        <v>2.9605947323337506E-16</v>
      </c>
      <c r="D19" s="71">
        <v>2</v>
      </c>
      <c r="E19" s="67">
        <v>0.33333333333333331</v>
      </c>
      <c r="F19" s="67">
        <v>0.33333333333333331</v>
      </c>
      <c r="G19" s="67">
        <v>0.2982456140350877</v>
      </c>
      <c r="H19" s="67">
        <v>0.18201754385964913</v>
      </c>
      <c r="I19" s="68">
        <v>7907.3529411764703</v>
      </c>
      <c r="J19" s="68">
        <v>-7968.674698795181</v>
      </c>
      <c r="K19" s="67">
        <v>6.25E-2</v>
      </c>
      <c r="L19" s="67">
        <v>6.25E-2</v>
      </c>
      <c r="M19" s="67">
        <v>0.25438596491228072</v>
      </c>
      <c r="N19" s="67">
        <v>0.21271929824561403</v>
      </c>
      <c r="O19" s="67">
        <v>0.57758620689655171</v>
      </c>
      <c r="P19" s="67">
        <v>0.39175257731958762</v>
      </c>
      <c r="Q19" s="67">
        <v>0.38970588235294118</v>
      </c>
    </row>
    <row r="20" spans="1:17" x14ac:dyDescent="0.4">
      <c r="A20" s="69">
        <v>17</v>
      </c>
      <c r="B20" s="66">
        <v>1.4210854715202004E-14</v>
      </c>
      <c r="C20" s="66">
        <v>2.7864421010200007E-16</v>
      </c>
      <c r="D20" s="71">
        <v>2</v>
      </c>
      <c r="E20" s="67">
        <v>0.33333333333333331</v>
      </c>
      <c r="F20" s="67">
        <v>0.33333333333333331</v>
      </c>
      <c r="G20" s="67">
        <v>0.30041152263374488</v>
      </c>
      <c r="H20" s="67">
        <v>0.17489711934156379</v>
      </c>
      <c r="I20" s="68">
        <v>7965.7534246575342</v>
      </c>
      <c r="J20" s="68">
        <v>-7968.2352941176468</v>
      </c>
      <c r="K20" s="67">
        <v>7.8431372549019607E-2</v>
      </c>
      <c r="L20" s="67">
        <v>7.8431372549019607E-2</v>
      </c>
      <c r="M20" s="67">
        <v>0.25102880658436216</v>
      </c>
      <c r="N20" s="67">
        <v>0.2139917695473251</v>
      </c>
      <c r="O20" s="67">
        <v>0.57377049180327866</v>
      </c>
      <c r="P20" s="67">
        <v>0.40384615384615385</v>
      </c>
      <c r="Q20" s="67">
        <v>0.4178082191780822</v>
      </c>
    </row>
    <row r="21" spans="1:17" x14ac:dyDescent="0.4">
      <c r="A21" s="69">
        <v>18</v>
      </c>
      <c r="B21" s="66">
        <v>1.4210854715202004E-14</v>
      </c>
      <c r="C21" s="66">
        <v>2.631639762074445E-16</v>
      </c>
      <c r="D21" s="71">
        <v>2</v>
      </c>
      <c r="E21" s="67">
        <v>0.33333333333333331</v>
      </c>
      <c r="F21" s="67">
        <v>0.33333333333333331</v>
      </c>
      <c r="G21" s="67">
        <v>0.2982456140350877</v>
      </c>
      <c r="H21" s="67">
        <v>0.17348927875243664</v>
      </c>
      <c r="I21" s="68">
        <v>7864.7058823529414</v>
      </c>
      <c r="J21" s="68">
        <v>-7793.2584269662921</v>
      </c>
      <c r="K21" s="67">
        <v>7.407407407407407E-2</v>
      </c>
      <c r="L21" s="67">
        <v>7.407407407407407E-2</v>
      </c>
      <c r="M21" s="67">
        <v>0.24951267056530213</v>
      </c>
      <c r="N21" s="67">
        <v>0.21442495126705652</v>
      </c>
      <c r="O21" s="67">
        <v>0.5703125</v>
      </c>
      <c r="P21" s="67">
        <v>0.40909090909090912</v>
      </c>
      <c r="Q21" s="67">
        <v>0.41830065359477125</v>
      </c>
    </row>
    <row r="22" spans="1:17" x14ac:dyDescent="0.4">
      <c r="A22" s="69">
        <v>19</v>
      </c>
      <c r="B22" s="66">
        <v>1.4210854715202004E-14</v>
      </c>
      <c r="C22" s="66">
        <v>2.49313240617579E-16</v>
      </c>
      <c r="D22" s="71">
        <v>2</v>
      </c>
      <c r="E22" s="67">
        <v>0.33333333333333331</v>
      </c>
      <c r="F22" s="67">
        <v>0.33333333333333331</v>
      </c>
      <c r="G22" s="67">
        <v>0.3</v>
      </c>
      <c r="H22" s="67">
        <v>0.17222222222222222</v>
      </c>
      <c r="I22" s="68">
        <v>7929.0123456790125</v>
      </c>
      <c r="J22" s="68">
        <v>-7923.6559139784949</v>
      </c>
      <c r="K22" s="67">
        <v>7.0175438596491224E-2</v>
      </c>
      <c r="L22" s="67">
        <v>7.0175438596491224E-2</v>
      </c>
      <c r="M22" s="67">
        <v>0.24629629629629629</v>
      </c>
      <c r="N22" s="67">
        <v>0.21666666666666667</v>
      </c>
      <c r="O22" s="67">
        <v>0.56390977443609025</v>
      </c>
      <c r="P22" s="67">
        <v>0.42735042735042733</v>
      </c>
      <c r="Q22" s="67">
        <v>0.42592592592592593</v>
      </c>
    </row>
    <row r="23" spans="1:17" x14ac:dyDescent="0.4">
      <c r="A23" s="69">
        <v>20</v>
      </c>
      <c r="B23" s="66">
        <v>1.4210854715202004E-14</v>
      </c>
      <c r="C23" s="66">
        <v>2.3684757858670006E-16</v>
      </c>
      <c r="D23" s="71">
        <v>2</v>
      </c>
      <c r="E23" s="67">
        <v>0.33333333333333331</v>
      </c>
      <c r="F23" s="67">
        <v>0.33333333333333331</v>
      </c>
      <c r="G23" s="67">
        <v>0.30017452006980805</v>
      </c>
      <c r="H23" s="67">
        <v>0.17801047120418848</v>
      </c>
      <c r="I23" s="68">
        <v>7907.5581395348836</v>
      </c>
      <c r="J23" s="68">
        <v>-7890.1960784313724</v>
      </c>
      <c r="K23" s="67">
        <v>6.6666666666666666E-2</v>
      </c>
      <c r="L23" s="67">
        <v>6.6666666666666666E-2</v>
      </c>
      <c r="M23" s="67">
        <v>0.24083769633507854</v>
      </c>
      <c r="N23" s="67">
        <v>0.21291448516579406</v>
      </c>
      <c r="O23" s="67">
        <v>0.55797101449275366</v>
      </c>
      <c r="P23" s="67">
        <v>0.44262295081967212</v>
      </c>
      <c r="Q23" s="67">
        <v>0.40697674418604651</v>
      </c>
    </row>
    <row r="24" spans="1:17" x14ac:dyDescent="0.4">
      <c r="A24" s="69">
        <v>21</v>
      </c>
      <c r="B24" s="66">
        <v>9.7699626167013776E-15</v>
      </c>
      <c r="C24" s="66">
        <v>1.5507877169367265E-16</v>
      </c>
      <c r="D24" s="71">
        <v>2</v>
      </c>
      <c r="E24" s="67">
        <v>0.33333333333333331</v>
      </c>
      <c r="F24" s="67">
        <v>0.33333333333333331</v>
      </c>
      <c r="G24" s="67">
        <v>0.30256410256410254</v>
      </c>
      <c r="H24" s="67">
        <v>0.17948717948717949</v>
      </c>
      <c r="I24" s="68">
        <v>7995.4802259887001</v>
      </c>
      <c r="J24" s="68">
        <v>-8018.0952380952385</v>
      </c>
      <c r="K24" s="67">
        <v>7.9365079365079361E-2</v>
      </c>
      <c r="L24" s="67">
        <v>7.9365079365079361E-2</v>
      </c>
      <c r="M24" s="67">
        <v>0.23931623931623933</v>
      </c>
      <c r="N24" s="67">
        <v>0.2153846153846154</v>
      </c>
      <c r="O24" s="67">
        <v>0.55714285714285716</v>
      </c>
      <c r="P24" s="67">
        <v>0.46031746031746029</v>
      </c>
      <c r="Q24" s="67">
        <v>0.40112994350282488</v>
      </c>
    </row>
    <row r="25" spans="1:17" x14ac:dyDescent="0.4">
      <c r="A25" s="69">
        <v>22</v>
      </c>
      <c r="B25" s="66">
        <v>7.1054273576010019E-15</v>
      </c>
      <c r="C25" s="66">
        <v>1.0765799026668185E-16</v>
      </c>
      <c r="D25" s="71">
        <v>2</v>
      </c>
      <c r="E25" s="67">
        <v>0.33333333333333331</v>
      </c>
      <c r="F25" s="67">
        <v>0.33333333333333331</v>
      </c>
      <c r="G25" s="67">
        <v>0.30406504065040652</v>
      </c>
      <c r="H25" s="67">
        <v>0.1821138211382114</v>
      </c>
      <c r="I25" s="68">
        <v>7971.6577540106955</v>
      </c>
      <c r="J25" s="68">
        <v>-7941.0714285714284</v>
      </c>
      <c r="K25" s="67">
        <v>9.0909090909090912E-2</v>
      </c>
      <c r="L25" s="67">
        <v>9.0909090909090912E-2</v>
      </c>
      <c r="M25" s="67">
        <v>0.24390243902439024</v>
      </c>
      <c r="N25" s="67">
        <v>0.216260162601626</v>
      </c>
      <c r="O25" s="67">
        <v>0.57333333333333336</v>
      </c>
      <c r="P25" s="67">
        <v>0.45112781954887216</v>
      </c>
      <c r="Q25" s="67">
        <v>0.39572192513368987</v>
      </c>
    </row>
    <row r="26" spans="1:17" x14ac:dyDescent="0.4">
      <c r="A26" s="69">
        <v>23</v>
      </c>
      <c r="B26" s="66">
        <v>3.5527136788005009E-15</v>
      </c>
      <c r="C26" s="66">
        <v>5.1488604040586971E-17</v>
      </c>
      <c r="D26" s="71">
        <v>2</v>
      </c>
      <c r="E26" s="67">
        <v>0.33333333333333331</v>
      </c>
      <c r="F26" s="67">
        <v>0.33333333333333331</v>
      </c>
      <c r="G26" s="67">
        <v>0.30373831775700932</v>
      </c>
      <c r="H26" s="67">
        <v>0.18380062305295949</v>
      </c>
      <c r="I26" s="68">
        <v>8074.3589743589746</v>
      </c>
      <c r="J26" s="68">
        <v>-8050.8474576271183</v>
      </c>
      <c r="K26" s="67">
        <v>0.10144927536231885</v>
      </c>
      <c r="L26" s="67">
        <v>0.10144927536231885</v>
      </c>
      <c r="M26" s="67">
        <v>0.24454828660436137</v>
      </c>
      <c r="N26" s="67">
        <v>0.22118380062305296</v>
      </c>
      <c r="O26" s="67">
        <v>0.57324840764331209</v>
      </c>
      <c r="P26" s="67">
        <v>0.44366197183098594</v>
      </c>
      <c r="Q26" s="67">
        <v>0.38974358974358975</v>
      </c>
    </row>
    <row r="27" spans="1:17" x14ac:dyDescent="0.4">
      <c r="A27" s="69">
        <v>24</v>
      </c>
      <c r="B27" s="66">
        <v>3.5527136788005009E-15</v>
      </c>
      <c r="C27" s="66">
        <v>4.9343245538895844E-17</v>
      </c>
      <c r="D27" s="71">
        <v>2</v>
      </c>
      <c r="E27" s="67">
        <v>0.33333333333333331</v>
      </c>
      <c r="F27" s="67">
        <v>0.33333333333333331</v>
      </c>
      <c r="G27" s="67">
        <v>0.3046757164404223</v>
      </c>
      <c r="H27" s="67">
        <v>0.18099547511312217</v>
      </c>
      <c r="I27" s="68">
        <v>8074.7524752475247</v>
      </c>
      <c r="J27" s="68">
        <v>-8031.666666666667</v>
      </c>
      <c r="K27" s="67">
        <v>9.7222222222222224E-2</v>
      </c>
      <c r="L27" s="67">
        <v>9.7222222222222224E-2</v>
      </c>
      <c r="M27" s="67">
        <v>0.2458521870286576</v>
      </c>
      <c r="N27" s="67">
        <v>0.22021116138763197</v>
      </c>
      <c r="O27" s="67">
        <v>0.57668711656441718</v>
      </c>
      <c r="P27" s="67">
        <v>0.4452054794520548</v>
      </c>
      <c r="Q27" s="67">
        <v>0.40099009900990101</v>
      </c>
    </row>
    <row r="28" spans="1:17" x14ac:dyDescent="0.4">
      <c r="A28" s="69">
        <v>25</v>
      </c>
      <c r="B28" s="66">
        <v>0</v>
      </c>
      <c r="C28" s="66">
        <v>0</v>
      </c>
      <c r="D28" s="71">
        <v>2</v>
      </c>
      <c r="E28" s="67">
        <v>0.33333333333333331</v>
      </c>
      <c r="F28" s="67">
        <v>0.33333333333333331</v>
      </c>
      <c r="G28" s="67">
        <v>0.30158730158730157</v>
      </c>
      <c r="H28" s="67">
        <v>0.18037518037518038</v>
      </c>
      <c r="I28" s="68">
        <v>8120.0956937799047</v>
      </c>
      <c r="J28" s="68">
        <v>-8078.4</v>
      </c>
      <c r="K28" s="67">
        <v>0.10666666666666667</v>
      </c>
      <c r="L28" s="67">
        <v>0.10666666666666667</v>
      </c>
      <c r="M28" s="67">
        <v>0.24963924963924963</v>
      </c>
      <c r="N28" s="67">
        <v>0.22366522366522368</v>
      </c>
      <c r="O28" s="67">
        <v>0.5722543352601156</v>
      </c>
      <c r="P28" s="67">
        <v>0.43225806451612903</v>
      </c>
      <c r="Q28" s="67">
        <v>0.39712918660287083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0.3009845288326301</v>
      </c>
      <c r="H29" s="67">
        <v>0.18002812939521801</v>
      </c>
      <c r="I29" s="68">
        <v>8330.3738317757015</v>
      </c>
      <c r="J29" s="68">
        <v>-8120.3125</v>
      </c>
      <c r="K29" s="67">
        <v>0.11538461538461539</v>
      </c>
      <c r="L29" s="67">
        <v>0.11538461538461539</v>
      </c>
      <c r="M29" s="67">
        <v>0.24894514767932491</v>
      </c>
      <c r="N29" s="67">
        <v>0.22362869198312235</v>
      </c>
      <c r="O29" s="67">
        <v>0.57627118644067798</v>
      </c>
      <c r="P29" s="67">
        <v>0.42767295597484278</v>
      </c>
      <c r="Q29" s="67">
        <v>0.39719626168224298</v>
      </c>
    </row>
    <row r="30" spans="1:17" x14ac:dyDescent="0.4">
      <c r="A30" s="69">
        <v>27</v>
      </c>
      <c r="B30" s="66">
        <v>0</v>
      </c>
      <c r="C30" s="66">
        <v>0</v>
      </c>
      <c r="D30" s="71">
        <v>2</v>
      </c>
      <c r="E30" s="67">
        <v>0.33333333333333331</v>
      </c>
      <c r="F30" s="67">
        <v>0.33333333333333331</v>
      </c>
      <c r="G30" s="67">
        <v>0.29973118279569894</v>
      </c>
      <c r="H30" s="67">
        <v>0.17876344086021506</v>
      </c>
      <c r="I30" s="68">
        <v>8387.4439461883412</v>
      </c>
      <c r="J30" s="68">
        <v>-8143.6090225563912</v>
      </c>
      <c r="K30" s="67">
        <v>0.12345679012345678</v>
      </c>
      <c r="L30" s="67">
        <v>0.12345679012345678</v>
      </c>
      <c r="M30" s="67">
        <v>0.24596774193548387</v>
      </c>
      <c r="N30" s="67">
        <v>0.22849462365591397</v>
      </c>
      <c r="O30" s="67">
        <v>0.57377049180327866</v>
      </c>
      <c r="P30" s="67">
        <v>0.41764705882352943</v>
      </c>
      <c r="Q30" s="67">
        <v>0.3991031390134529</v>
      </c>
    </row>
    <row r="31" spans="1:17" x14ac:dyDescent="0.4">
      <c r="A31" s="69">
        <v>28</v>
      </c>
      <c r="B31" s="66">
        <v>-4.2188474935755949E-15</v>
      </c>
      <c r="C31" s="66">
        <v>-5.0224374923518987E-17</v>
      </c>
      <c r="D31" s="71">
        <v>2</v>
      </c>
      <c r="E31" s="67">
        <v>0.33333333333333331</v>
      </c>
      <c r="F31" s="67">
        <v>0.33333333333333331</v>
      </c>
      <c r="G31" s="67">
        <v>0.29961089494163423</v>
      </c>
      <c r="H31" s="67">
        <v>0.18028534370946822</v>
      </c>
      <c r="I31" s="68">
        <v>8304.3290043290035</v>
      </c>
      <c r="J31" s="68">
        <v>-8043.1654676258995</v>
      </c>
      <c r="K31" s="67">
        <v>0.11904761904761904</v>
      </c>
      <c r="L31" s="67">
        <v>0.11904761904761904</v>
      </c>
      <c r="M31" s="67">
        <v>0.24254215304798962</v>
      </c>
      <c r="N31" s="67">
        <v>0.22957198443579765</v>
      </c>
      <c r="O31" s="67">
        <v>0.58288770053475936</v>
      </c>
      <c r="P31" s="67">
        <v>0.42372881355932202</v>
      </c>
      <c r="Q31" s="67">
        <v>0.39393939393939392</v>
      </c>
    </row>
    <row r="32" spans="1:17" x14ac:dyDescent="0.4">
      <c r="A32" s="69">
        <v>29</v>
      </c>
      <c r="B32" s="66">
        <v>-7.1054273576010019E-15</v>
      </c>
      <c r="C32" s="66">
        <v>-8.167157882300002E-17</v>
      </c>
      <c r="D32" s="71">
        <v>2</v>
      </c>
      <c r="E32" s="67">
        <v>0.33333333333333331</v>
      </c>
      <c r="F32" s="67">
        <v>0.33333333333333331</v>
      </c>
      <c r="G32" s="67">
        <v>0.29974160206718348</v>
      </c>
      <c r="H32" s="67">
        <v>0.18087855297157623</v>
      </c>
      <c r="I32" s="68">
        <v>8475.4310344827591</v>
      </c>
      <c r="J32" s="68">
        <v>-8328.5714285714294</v>
      </c>
      <c r="K32" s="67">
        <v>0.12643678160919541</v>
      </c>
      <c r="L32" s="67">
        <v>0.12643678160919541</v>
      </c>
      <c r="M32" s="67">
        <v>0.24160206718346253</v>
      </c>
      <c r="N32" s="67">
        <v>0.22868217054263565</v>
      </c>
      <c r="O32" s="67">
        <v>0.58288770053475936</v>
      </c>
      <c r="P32" s="67">
        <v>0.42372881355932202</v>
      </c>
      <c r="Q32" s="67">
        <v>0.39224137931034481</v>
      </c>
    </row>
    <row r="33" spans="1:17" x14ac:dyDescent="0.4">
      <c r="A33" s="69">
        <v>30</v>
      </c>
      <c r="B33" s="66">
        <v>-7.1054273576010019E-15</v>
      </c>
      <c r="C33" s="66">
        <v>-7.8949192862233357E-17</v>
      </c>
      <c r="D33" s="71">
        <v>2</v>
      </c>
      <c r="E33" s="67">
        <v>0.33333333333333331</v>
      </c>
      <c r="F33" s="67">
        <v>0.33333333333333331</v>
      </c>
      <c r="G33" s="67">
        <v>0.30062893081761005</v>
      </c>
      <c r="H33" s="67">
        <v>0.17861635220125785</v>
      </c>
      <c r="I33" s="68">
        <v>8590.7949790794974</v>
      </c>
      <c r="J33" s="68">
        <v>-8245.7746478873232</v>
      </c>
      <c r="K33" s="67">
        <v>0.12222222222222222</v>
      </c>
      <c r="L33" s="67">
        <v>0.12222222222222222</v>
      </c>
      <c r="M33" s="67">
        <v>0.24150943396226415</v>
      </c>
      <c r="N33" s="67">
        <v>0.23522012578616353</v>
      </c>
      <c r="O33" s="67">
        <v>0.58333333333333337</v>
      </c>
      <c r="P33" s="67">
        <v>0.42245989304812837</v>
      </c>
      <c r="Q33" s="67">
        <v>0.40167364016736401</v>
      </c>
    </row>
    <row r="34" spans="1:17" x14ac:dyDescent="0.4">
      <c r="A34" s="69">
        <v>31</v>
      </c>
      <c r="B34" s="66">
        <v>-5.3290705182007514E-15</v>
      </c>
      <c r="C34" s="66">
        <v>-5.7301833529040336E-17</v>
      </c>
      <c r="D34" s="71">
        <v>2</v>
      </c>
      <c r="E34" s="67">
        <v>0.33333333333333331</v>
      </c>
      <c r="F34" s="67">
        <v>0.33333333333333331</v>
      </c>
      <c r="G34" s="67">
        <v>0.30036630036630035</v>
      </c>
      <c r="H34" s="67">
        <v>0.1807081807081807</v>
      </c>
      <c r="I34" s="68">
        <v>8523.9837398373984</v>
      </c>
      <c r="J34" s="68">
        <v>-8125.6756756756758</v>
      </c>
      <c r="K34" s="67">
        <v>0.11827956989247312</v>
      </c>
      <c r="L34" s="67">
        <v>0.11827956989247312</v>
      </c>
      <c r="M34" s="67">
        <v>0.23931623931623933</v>
      </c>
      <c r="N34" s="67">
        <v>0.23809523809523808</v>
      </c>
      <c r="O34" s="67">
        <v>0.58673469387755106</v>
      </c>
      <c r="P34" s="67">
        <v>0.41025641025641024</v>
      </c>
      <c r="Q34" s="67">
        <v>0.39430894308943087</v>
      </c>
    </row>
    <row r="35" spans="1:17" x14ac:dyDescent="0.4">
      <c r="A35" s="69">
        <v>32</v>
      </c>
      <c r="B35" s="66">
        <v>-1.0658141036401503E-14</v>
      </c>
      <c r="C35" s="66">
        <v>-1.1102230246251565E-16</v>
      </c>
      <c r="D35" s="71">
        <v>2</v>
      </c>
      <c r="E35" s="67">
        <v>0.33333333333333331</v>
      </c>
      <c r="F35" s="67">
        <v>0.33333333333333331</v>
      </c>
      <c r="G35" s="67">
        <v>0.3</v>
      </c>
      <c r="H35" s="67">
        <v>0.17976190476190476</v>
      </c>
      <c r="I35" s="68">
        <v>8498.4126984126979</v>
      </c>
      <c r="J35" s="68">
        <v>-8074.8344370860923</v>
      </c>
      <c r="K35" s="67">
        <v>0.11458333333333333</v>
      </c>
      <c r="L35" s="67">
        <v>0.11458333333333333</v>
      </c>
      <c r="M35" s="67">
        <v>0.2369047619047619</v>
      </c>
      <c r="N35" s="67">
        <v>0.24166666666666667</v>
      </c>
      <c r="O35" s="67">
        <v>0.59296482412060303</v>
      </c>
      <c r="P35" s="67">
        <v>0.4039408866995074</v>
      </c>
      <c r="Q35" s="67">
        <v>0.3968253968253968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25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429</vt:i4>
      </vt:variant>
    </vt:vector>
  </HeadingPairs>
  <TitlesOfParts>
    <vt:vector size="470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だいち!アガリ数</vt:lpstr>
      <vt:lpstr>たかの!アガリ数</vt:lpstr>
      <vt:lpstr>ただ!アガリ数</vt:lpstr>
      <vt:lpstr>のり!アガリ数</vt:lpstr>
      <vt:lpstr>ぱぱ!アガリ数</vt:lpstr>
      <vt:lpstr>ほたに!アガリ数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だいち!アガリ率</vt:lpstr>
      <vt:lpstr>たかの!アガリ率</vt:lpstr>
      <vt:lpstr>ただ!アガリ率</vt:lpstr>
      <vt:lpstr>のり!アガリ率</vt:lpstr>
      <vt:lpstr>ぱぱ!アガリ率</vt:lpstr>
      <vt:lpstr>ほたに!アガリ率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だいち!チョンボ数</vt:lpstr>
      <vt:lpstr>たかの!チョンボ数</vt:lpstr>
      <vt:lpstr>ただ!チョンボ数</vt:lpstr>
      <vt:lpstr>のり!チョンボ数</vt:lpstr>
      <vt:lpstr>ぱぱ!チョンボ数</vt:lpstr>
      <vt:lpstr>ほたに!チョンボ数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だいち!チョンボ率</vt:lpstr>
      <vt:lpstr>たかの!チョンボ率</vt:lpstr>
      <vt:lpstr>ただ!チョンボ率</vt:lpstr>
      <vt:lpstr>のり!チョンボ率</vt:lpstr>
      <vt:lpstr>ぱぱ!チョンボ率</vt:lpstr>
      <vt:lpstr>ほたに!チョンボ率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だいち!ツモ数</vt:lpstr>
      <vt:lpstr>たかの!ツモ数</vt:lpstr>
      <vt:lpstr>ただ!ツモ数</vt:lpstr>
      <vt:lpstr>のり!ツモ数</vt:lpstr>
      <vt:lpstr>ぱぱ!ツモ数</vt:lpstr>
      <vt:lpstr>ほたに!ツモ数</vt:lpstr>
      <vt:lpstr>まっつん!ツモ数</vt:lpstr>
      <vt:lpstr>りくと!ツモ数</vt:lpstr>
      <vt:lpstr>れんたろう!ツモ数</vt:lpstr>
      <vt:lpstr>全体!ツモ数</vt:lpstr>
      <vt:lpstr>ツモ数</vt:lpstr>
      <vt:lpstr>だいち!ツモ率</vt:lpstr>
      <vt:lpstr>たかの!ツモ率</vt:lpstr>
      <vt:lpstr>ただ!ツモ率</vt:lpstr>
      <vt:lpstr>のり!ツモ率</vt:lpstr>
      <vt:lpstr>ぱぱ!ツモ率</vt:lpstr>
      <vt:lpstr>ほたに!ツモ率</vt:lpstr>
      <vt:lpstr>まっつん!ツモ率</vt:lpstr>
      <vt:lpstr>りくと!ツモ率</vt:lpstr>
      <vt:lpstr>れんたろう!ツモ率</vt:lpstr>
      <vt:lpstr>全体!ツモ率</vt:lpstr>
      <vt:lpstr>ツモ率</vt:lpstr>
      <vt:lpstr>だいち!トップ数</vt:lpstr>
      <vt:lpstr>たかの!トップ数</vt:lpstr>
      <vt:lpstr>ただ!トップ数</vt:lpstr>
      <vt:lpstr>のり!トップ数</vt:lpstr>
      <vt:lpstr>ぱぱ!トップ数</vt:lpstr>
      <vt:lpstr>ほたに!トップ数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だいち!トップ率</vt:lpstr>
      <vt:lpstr>たかの!トップ率</vt:lpstr>
      <vt:lpstr>ただ!トップ率</vt:lpstr>
      <vt:lpstr>のり!トップ率</vt:lpstr>
      <vt:lpstr>ぱぱ!トップ率</vt:lpstr>
      <vt:lpstr>ほたに!トップ率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だいち!ふっとばし数</vt:lpstr>
      <vt:lpstr>たかの!ふっとばし数</vt:lpstr>
      <vt:lpstr>ただ!ふっとばし数</vt:lpstr>
      <vt:lpstr>のり!ふっとばし数</vt:lpstr>
      <vt:lpstr>ぱぱ!ふっとばし数</vt:lpstr>
      <vt:lpstr>ほたに!ふっとばし数</vt:lpstr>
      <vt:lpstr>まっつん!ふっとばし数</vt:lpstr>
      <vt:lpstr>りくと!ふっとばし数</vt:lpstr>
      <vt:lpstr>れんたろう!ふっとばし数</vt:lpstr>
      <vt:lpstr>全体!ふっとばし数</vt:lpstr>
      <vt:lpstr>ふっとばし数</vt:lpstr>
      <vt:lpstr>だいち!ふっとばし率</vt:lpstr>
      <vt:lpstr>たかの!ふっとばし率</vt:lpstr>
      <vt:lpstr>ただ!ふっとばし率</vt:lpstr>
      <vt:lpstr>のり!ふっとばし率</vt:lpstr>
      <vt:lpstr>ぱぱ!ふっとばし率</vt:lpstr>
      <vt:lpstr>ほたに!ふっとばし率</vt:lpstr>
      <vt:lpstr>まっつん!ふっとばし率</vt:lpstr>
      <vt:lpstr>りくと!ふっとばし率</vt:lpstr>
      <vt:lpstr>れんたろう!ふっとばし率</vt:lpstr>
      <vt:lpstr>全体!ふっとばし率</vt:lpstr>
      <vt:lpstr>ふっとばし率</vt:lpstr>
      <vt:lpstr>だいち!ふっとび数</vt:lpstr>
      <vt:lpstr>たかの!ふっとび数</vt:lpstr>
      <vt:lpstr>ただ!ふっとび数</vt:lpstr>
      <vt:lpstr>のり!ふっとび数</vt:lpstr>
      <vt:lpstr>ぱぱ!ふっとび数</vt:lpstr>
      <vt:lpstr>ほたに!ふっとび数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だいち!ふっとび率</vt:lpstr>
      <vt:lpstr>たかの!ふっとび率</vt:lpstr>
      <vt:lpstr>ただ!ふっとび率</vt:lpstr>
      <vt:lpstr>のり!ふっとび率</vt:lpstr>
      <vt:lpstr>ぱぱ!ふっとび率</vt:lpstr>
      <vt:lpstr>ほたに!ふっとび率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だいち!ラス数</vt:lpstr>
      <vt:lpstr>たかの!ラス数</vt:lpstr>
      <vt:lpstr>ただ!ラス数</vt:lpstr>
      <vt:lpstr>のり!ラス数</vt:lpstr>
      <vt:lpstr>ぱぱ!ラス数</vt:lpstr>
      <vt:lpstr>ほたに!ラス数</vt:lpstr>
      <vt:lpstr>まっつん!ラス数</vt:lpstr>
      <vt:lpstr>りくと!ラス数</vt:lpstr>
      <vt:lpstr>れんたろう!ラス数</vt:lpstr>
      <vt:lpstr>全体!ラス数</vt:lpstr>
      <vt:lpstr>ラス数</vt:lpstr>
      <vt:lpstr>だいち!ラス率</vt:lpstr>
      <vt:lpstr>たかの!ラス率</vt:lpstr>
      <vt:lpstr>ただ!ラス率</vt:lpstr>
      <vt:lpstr>のり!ラス率</vt:lpstr>
      <vt:lpstr>ぱぱ!ラス率</vt:lpstr>
      <vt:lpstr>ほたに!ラス率</vt:lpstr>
      <vt:lpstr>まっつん!ラス率</vt:lpstr>
      <vt:lpstr>りくと!ラス率</vt:lpstr>
      <vt:lpstr>れんたろう!ラス率</vt:lpstr>
      <vt:lpstr>全体!ラス率</vt:lpstr>
      <vt:lpstr>ラス率</vt:lpstr>
      <vt:lpstr>だいち!リーチ数</vt:lpstr>
      <vt:lpstr>たかの!リーチ数</vt:lpstr>
      <vt:lpstr>ただ!リーチ数</vt:lpstr>
      <vt:lpstr>のり!リーチ数</vt:lpstr>
      <vt:lpstr>ぱぱ!リーチ数</vt:lpstr>
      <vt:lpstr>ほたに!リーチ数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だいち!リーチ成功数</vt:lpstr>
      <vt:lpstr>たかの!リーチ成功数</vt:lpstr>
      <vt:lpstr>ただ!リーチ成功数</vt:lpstr>
      <vt:lpstr>のり!リーチ成功数</vt:lpstr>
      <vt:lpstr>ぱぱ!リーチ成功数</vt:lpstr>
      <vt:lpstr>ほたに!リーチ成功数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だいち!リーチ成功率</vt:lpstr>
      <vt:lpstr>たかの!リーチ成功率</vt:lpstr>
      <vt:lpstr>ただ!リーチ成功率</vt:lpstr>
      <vt:lpstr>のり!リーチ成功率</vt:lpstr>
      <vt:lpstr>ぱぱ!リーチ成功率</vt:lpstr>
      <vt:lpstr>ほたに!リーチ成功率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だいち!リーチ率</vt:lpstr>
      <vt:lpstr>たかの!リーチ率</vt:lpstr>
      <vt:lpstr>ただ!リーチ率</vt:lpstr>
      <vt:lpstr>のり!リーチ率</vt:lpstr>
      <vt:lpstr>ぱぱ!リーチ率</vt:lpstr>
      <vt:lpstr>ほたに!リーチ率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だいち!ロン数</vt:lpstr>
      <vt:lpstr>たかの!ロン数</vt:lpstr>
      <vt:lpstr>ただ!ロン数</vt:lpstr>
      <vt:lpstr>のり!ロン数</vt:lpstr>
      <vt:lpstr>ぱぱ!ロン数</vt:lpstr>
      <vt:lpstr>ほたに!ロン数</vt:lpstr>
      <vt:lpstr>まっつん!ロン数</vt:lpstr>
      <vt:lpstr>りくと!ロン数</vt:lpstr>
      <vt:lpstr>れんたろう!ロン数</vt:lpstr>
      <vt:lpstr>全体!ロン数</vt:lpstr>
      <vt:lpstr>ロン数</vt:lpstr>
      <vt:lpstr>だいち!ロン率</vt:lpstr>
      <vt:lpstr>たかの!ロン率</vt:lpstr>
      <vt:lpstr>ただ!ロン率</vt:lpstr>
      <vt:lpstr>のり!ロン率</vt:lpstr>
      <vt:lpstr>ぱぱ!ロン率</vt:lpstr>
      <vt:lpstr>ほたに!ロン率</vt:lpstr>
      <vt:lpstr>まっつん!ロン率</vt:lpstr>
      <vt:lpstr>りくと!ロン率</vt:lpstr>
      <vt:lpstr>れんたろう!ロン率</vt:lpstr>
      <vt:lpstr>全体!ロン率</vt:lpstr>
      <vt:lpstr>ロン率</vt:lpstr>
      <vt:lpstr>だいち!逆転数</vt:lpstr>
      <vt:lpstr>たかの!逆転数</vt:lpstr>
      <vt:lpstr>ただ!逆転数</vt:lpstr>
      <vt:lpstr>のり!逆転数</vt:lpstr>
      <vt:lpstr>ぱぱ!逆転数</vt:lpstr>
      <vt:lpstr>ほたに!逆転数</vt:lpstr>
      <vt:lpstr>まっつん!逆転数</vt:lpstr>
      <vt:lpstr>りくと!逆転数</vt:lpstr>
      <vt:lpstr>れんたろう!逆転数</vt:lpstr>
      <vt:lpstr>全体!逆転数</vt:lpstr>
      <vt:lpstr>逆転数</vt:lpstr>
      <vt:lpstr>だいち!逆転率</vt:lpstr>
      <vt:lpstr>たかの!逆転率</vt:lpstr>
      <vt:lpstr>ただ!逆転率</vt:lpstr>
      <vt:lpstr>のり!逆転率</vt:lpstr>
      <vt:lpstr>ぱぱ!逆転率</vt:lpstr>
      <vt:lpstr>ほたに!逆転率</vt:lpstr>
      <vt:lpstr>まっつん!逆転率</vt:lpstr>
      <vt:lpstr>りくと!逆転率</vt:lpstr>
      <vt:lpstr>れんたろう!逆転率</vt:lpstr>
      <vt:lpstr>全体!逆転率</vt:lpstr>
      <vt:lpstr>逆転率</vt:lpstr>
      <vt:lpstr>だいち!最大ドラ数</vt:lpstr>
      <vt:lpstr>たかの!最大ドラ数</vt:lpstr>
      <vt:lpstr>ただ!最大ドラ数</vt:lpstr>
      <vt:lpstr>のり!最大ドラ数</vt:lpstr>
      <vt:lpstr>ぱぱ!最大ドラ数</vt:lpstr>
      <vt:lpstr>ほたに!最大ドラ数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だいち!最大点数</vt:lpstr>
      <vt:lpstr>たかの!最大点数</vt:lpstr>
      <vt:lpstr>ただ!最大点数</vt:lpstr>
      <vt:lpstr>のり!最大点数</vt:lpstr>
      <vt:lpstr>ぱぱ!最大点数</vt:lpstr>
      <vt:lpstr>ほたに!最大点数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だいち!総局数</vt:lpstr>
      <vt:lpstr>たかの!総局数</vt:lpstr>
      <vt:lpstr>ただ!総局数</vt:lpstr>
      <vt:lpstr>のり!総局数</vt:lpstr>
      <vt:lpstr>ぱぱ!総局数</vt:lpstr>
      <vt:lpstr>ほたに!総局数</vt:lpstr>
      <vt:lpstr>まっつん!総局数</vt:lpstr>
      <vt:lpstr>りくと!総局数</vt:lpstr>
      <vt:lpstr>れんたろう!総局数</vt:lpstr>
      <vt:lpstr>全体!総局数</vt:lpstr>
      <vt:lpstr>総局数</vt:lpstr>
      <vt:lpstr>だいち!対戦数</vt:lpstr>
      <vt:lpstr>たかの!対戦数</vt:lpstr>
      <vt:lpstr>ただ!対戦数</vt:lpstr>
      <vt:lpstr>のり!対戦数</vt:lpstr>
      <vt:lpstr>ぱぱ!対戦数</vt:lpstr>
      <vt:lpstr>ほたに!対戦数</vt:lpstr>
      <vt:lpstr>まっつん!対戦数</vt:lpstr>
      <vt:lpstr>りくと!対戦数</vt:lpstr>
      <vt:lpstr>れんたろう!対戦数</vt:lpstr>
      <vt:lpstr>全体!対戦数</vt:lpstr>
      <vt:lpstr>対戦数</vt:lpstr>
      <vt:lpstr>だいち!通算スコア</vt:lpstr>
      <vt:lpstr>たかの!通算スコア</vt:lpstr>
      <vt:lpstr>ただ!通算スコア</vt:lpstr>
      <vt:lpstr>のり!通算スコア</vt:lpstr>
      <vt:lpstr>ぱぱ!通算スコア</vt:lpstr>
      <vt:lpstr>ほたに!通算スコア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だいち!副露数</vt:lpstr>
      <vt:lpstr>たかの!副露数</vt:lpstr>
      <vt:lpstr>ただ!副露数</vt:lpstr>
      <vt:lpstr>のり!副露数</vt:lpstr>
      <vt:lpstr>ぱぱ!副露数</vt:lpstr>
      <vt:lpstr>ほたに!副露数</vt:lpstr>
      <vt:lpstr>まっつん!副露数</vt:lpstr>
      <vt:lpstr>りくと!副露数</vt:lpstr>
      <vt:lpstr>れんたろう!副露数</vt:lpstr>
      <vt:lpstr>全体!副露数</vt:lpstr>
      <vt:lpstr>副露数</vt:lpstr>
      <vt:lpstr>だいち!副露成功数</vt:lpstr>
      <vt:lpstr>たかの!副露成功数</vt:lpstr>
      <vt:lpstr>ただ!副露成功数</vt:lpstr>
      <vt:lpstr>のり!副露成功数</vt:lpstr>
      <vt:lpstr>ぱぱ!副露成功数</vt:lpstr>
      <vt:lpstr>ほたに!副露成功数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だいち!副露成功率</vt:lpstr>
      <vt:lpstr>たかの!副露成功率</vt:lpstr>
      <vt:lpstr>ただ!副露成功率</vt:lpstr>
      <vt:lpstr>のり!副露成功率</vt:lpstr>
      <vt:lpstr>ぱぱ!副露成功率</vt:lpstr>
      <vt:lpstr>ほたに!副露成功率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だいち!副露率</vt:lpstr>
      <vt:lpstr>たかの!副露率</vt:lpstr>
      <vt:lpstr>ただ!副露率</vt:lpstr>
      <vt:lpstr>のり!副露率</vt:lpstr>
      <vt:lpstr>ぱぱ!副露率</vt:lpstr>
      <vt:lpstr>ほたに!副露率</vt:lpstr>
      <vt:lpstr>まっつん!副露率</vt:lpstr>
      <vt:lpstr>りくと!副露率</vt:lpstr>
      <vt:lpstr>れんたろう!副露率</vt:lpstr>
      <vt:lpstr>全体!副露率</vt:lpstr>
      <vt:lpstr>副露率</vt:lpstr>
      <vt:lpstr>だいち!平均アガリ点</vt:lpstr>
      <vt:lpstr>たかの!平均アガリ点</vt:lpstr>
      <vt:lpstr>ただ!平均アガリ点</vt:lpstr>
      <vt:lpstr>のり!平均アガリ点</vt:lpstr>
      <vt:lpstr>ぱぱ!平均アガリ点</vt:lpstr>
      <vt:lpstr>ほたに!平均アガリ点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だいち!平均スコア</vt:lpstr>
      <vt:lpstr>たかの!平均スコア</vt:lpstr>
      <vt:lpstr>ただ!平均スコア</vt:lpstr>
      <vt:lpstr>のり!平均スコア</vt:lpstr>
      <vt:lpstr>ぱぱ!平均スコア</vt:lpstr>
      <vt:lpstr>ほたに!平均スコア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だいち!平均順位</vt:lpstr>
      <vt:lpstr>たかの!平均順位</vt:lpstr>
      <vt:lpstr>ただ!平均順位</vt:lpstr>
      <vt:lpstr>のり!平均順位</vt:lpstr>
      <vt:lpstr>ぱぱ!平均順位</vt:lpstr>
      <vt:lpstr>ほたに!平均順位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だいち!平均放銃点</vt:lpstr>
      <vt:lpstr>たかの!平均放銃点</vt:lpstr>
      <vt:lpstr>ただ!平均放銃点</vt:lpstr>
      <vt:lpstr>のり!平均放銃点</vt:lpstr>
      <vt:lpstr>ぱぱ!平均放銃点</vt:lpstr>
      <vt:lpstr>ほたに!平均放銃点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だいち!放銃数</vt:lpstr>
      <vt:lpstr>たかの!放銃数</vt:lpstr>
      <vt:lpstr>ただ!放銃数</vt:lpstr>
      <vt:lpstr>のり!放銃数</vt:lpstr>
      <vt:lpstr>ぱぱ!放銃数</vt:lpstr>
      <vt:lpstr>ほたに!放銃数</vt:lpstr>
      <vt:lpstr>まっつん!放銃数</vt:lpstr>
      <vt:lpstr>りくと!放銃数</vt:lpstr>
      <vt:lpstr>れんたろう!放銃数</vt:lpstr>
      <vt:lpstr>全体!放銃数</vt:lpstr>
      <vt:lpstr>放銃数</vt:lpstr>
      <vt:lpstr>だいち!放銃率</vt:lpstr>
      <vt:lpstr>たかの!放銃率</vt:lpstr>
      <vt:lpstr>ただ!放銃率</vt:lpstr>
      <vt:lpstr>のり!放銃率</vt:lpstr>
      <vt:lpstr>ぱぱ!放銃率</vt:lpstr>
      <vt:lpstr>ほたに!放銃率</vt:lpstr>
      <vt:lpstr>まっつん!放銃率</vt:lpstr>
      <vt:lpstr>りくと!放銃率</vt:lpstr>
      <vt:lpstr>れんたろう!放銃率</vt:lpstr>
      <vt:lpstr>全体!放銃率</vt:lpstr>
      <vt:lpstr>放銃率</vt:lpstr>
      <vt:lpstr>だいち!連続アガリ</vt:lpstr>
      <vt:lpstr>たかの!連続アガリ</vt:lpstr>
      <vt:lpstr>ただ!連続アガリ</vt:lpstr>
      <vt:lpstr>のり!連続アガリ</vt:lpstr>
      <vt:lpstr>ぱぱ!連続アガリ</vt:lpstr>
      <vt:lpstr>ほたに!連続アガリ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だいち!連続無放銃</vt:lpstr>
      <vt:lpstr>たかの!連続無放銃</vt:lpstr>
      <vt:lpstr>ただ!連続無放銃</vt:lpstr>
      <vt:lpstr>のり!連続無放銃</vt:lpstr>
      <vt:lpstr>ぱぱ!連続無放銃</vt:lpstr>
      <vt:lpstr>ほたに!連続無放銃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2018-11-18T09:24:12Z</dcterms:created>
  <dcterms:modified xsi:type="dcterms:W3CDTF">2019-10-01T15:40:58Z</dcterms:modified>
</cp:coreProperties>
</file>