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DDAA35C0-CFAF-415D-BA32-1F1136106D15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45" r:id="rId6"/>
    <sheet name="たかの" sheetId="5647" r:id="rId7"/>
    <sheet name="だいち" sheetId="5649" r:id="rId8"/>
    <sheet name="ただ" sheetId="5651" r:id="rId9"/>
    <sheet name="りくと" sheetId="5653" r:id="rId10"/>
    <sheet name="れんたろう" sheetId="5655" r:id="rId11"/>
    <sheet name="まっつん" sheetId="5657" r:id="rId12"/>
    <sheet name="のり" sheetId="5659" r:id="rId13"/>
    <sheet name="ぱぱ" sheetId="5661" r:id="rId14"/>
    <sheet name="ほたに" sheetId="5663" r:id="rId15"/>
    <sheet name="ほたに2" sheetId="5664" state="hidden" r:id="rId16"/>
    <sheet name="ぱぱ2" sheetId="5662" state="hidden" r:id="rId17"/>
    <sheet name="のり2" sheetId="5660" state="hidden" r:id="rId18"/>
    <sheet name="まっつん2" sheetId="5658" state="hidden" r:id="rId19"/>
    <sheet name="れんたろう2" sheetId="5656" state="hidden" r:id="rId20"/>
    <sheet name="りくと2" sheetId="5654" state="hidden" r:id="rId21"/>
    <sheet name="ただ2" sheetId="5652" state="hidden" r:id="rId22"/>
    <sheet name="だいち2" sheetId="5650" state="hidden" r:id="rId23"/>
    <sheet name="たかの2" sheetId="5648" state="hidden" r:id="rId24"/>
    <sheet name="全体2" sheetId="564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5657" l="1"/>
  <c r="O18" i="5661"/>
  <c r="O16" i="5651" l="1"/>
  <c r="O17" i="5657"/>
  <c r="O16" i="5659"/>
  <c r="O17" i="5659"/>
  <c r="O18" i="5647" l="1"/>
  <c r="O19" i="5661"/>
  <c r="O20" i="5661"/>
  <c r="O17" i="5653"/>
  <c r="O18" i="5651" l="1"/>
  <c r="O18" i="5655"/>
  <c r="O16" i="5655" l="1"/>
  <c r="O20" i="5649"/>
  <c r="O19" i="5659"/>
  <c r="O16" i="5663"/>
  <c r="O15" i="5663"/>
  <c r="O21" i="5661"/>
  <c r="O15" i="5651" l="1"/>
  <c r="O17" i="5651"/>
  <c r="O17" i="5663"/>
  <c r="O18" i="5663"/>
  <c r="H47" i="5663"/>
  <c r="C27" i="5663"/>
  <c r="B24" i="5663"/>
  <c r="C20" i="5663"/>
  <c r="B17" i="5663"/>
  <c r="H50" i="5663" s="1"/>
  <c r="H16" i="5663"/>
  <c r="C16" i="5663"/>
  <c r="C15" i="5663"/>
  <c r="C14" i="5663"/>
  <c r="C13" i="5663"/>
  <c r="O12" i="5663"/>
  <c r="C12" i="5663"/>
  <c r="O11" i="5663"/>
  <c r="C11" i="5663"/>
  <c r="O10" i="5663"/>
  <c r="C10" i="5663"/>
  <c r="C9" i="5663"/>
  <c r="H8" i="5663"/>
  <c r="C8" i="5663"/>
  <c r="O7" i="5663"/>
  <c r="C7" i="5663"/>
  <c r="O6" i="5663"/>
  <c r="B6" i="5663"/>
  <c r="O5" i="5663"/>
  <c r="B5" i="5663"/>
  <c r="O4" i="5663"/>
  <c r="O3" i="5663"/>
  <c r="O2" i="5663"/>
  <c r="O21" i="5657"/>
  <c r="O15" i="5657"/>
  <c r="O16" i="5645"/>
  <c r="H32" i="5663" l="1"/>
  <c r="H12" i="5663"/>
  <c r="H24" i="5663"/>
  <c r="H2" i="5663"/>
  <c r="H11" i="5663"/>
  <c r="H15" i="5663"/>
  <c r="H35" i="5663"/>
  <c r="H36" i="5663"/>
  <c r="H5" i="5663"/>
  <c r="H19" i="5663"/>
  <c r="H37" i="5663"/>
  <c r="H44" i="5663"/>
  <c r="H43" i="5663"/>
  <c r="H6" i="5663"/>
  <c r="H18" i="5663"/>
  <c r="H45" i="5663"/>
  <c r="H9" i="5663"/>
  <c r="H25" i="5663"/>
  <c r="C18" i="5663"/>
  <c r="H3" i="5663"/>
  <c r="H27" i="5663"/>
  <c r="H14" i="5663"/>
  <c r="C19" i="5663"/>
  <c r="H31" i="5663"/>
  <c r="H46" i="5663"/>
  <c r="H48" i="5663"/>
  <c r="H39" i="5663"/>
  <c r="H4" i="5663"/>
  <c r="H10" i="5663"/>
  <c r="H22" i="5663"/>
  <c r="H28" i="5663"/>
  <c r="H38" i="5663"/>
  <c r="H7" i="5663"/>
  <c r="H13" i="5663"/>
  <c r="C17" i="5663"/>
  <c r="B23" i="5663"/>
  <c r="H29" i="5663"/>
  <c r="H51" i="5663"/>
  <c r="H17" i="5663"/>
  <c r="H23" i="5663"/>
  <c r="H30" i="5663"/>
  <c r="H40" i="5663"/>
  <c r="H52" i="5663"/>
  <c r="H20" i="5663"/>
  <c r="H26" i="5663"/>
  <c r="H33" i="5663"/>
  <c r="H41" i="5663"/>
  <c r="H49" i="5663"/>
  <c r="H21" i="5663"/>
  <c r="H34" i="5663"/>
  <c r="H42" i="5663"/>
  <c r="O17" i="5649" l="1"/>
  <c r="O18" i="5653"/>
  <c r="O16" i="5649" l="1"/>
  <c r="O20" i="5657"/>
  <c r="O22" i="5657"/>
  <c r="O15" i="5647"/>
  <c r="O19" i="5651"/>
  <c r="O15" i="5653"/>
  <c r="O16" i="5653"/>
  <c r="O19" i="5647"/>
  <c r="O22" i="5651"/>
  <c r="O15" i="5649"/>
  <c r="O17" i="5661"/>
  <c r="O22" i="5661"/>
  <c r="O20" i="5655" l="1"/>
  <c r="O19" i="5655"/>
  <c r="O16" i="5661"/>
  <c r="O15" i="5661"/>
  <c r="C27" i="5661"/>
  <c r="B24" i="5661"/>
  <c r="C20" i="5661"/>
  <c r="B17" i="5661"/>
  <c r="H50" i="5661" s="1"/>
  <c r="C16" i="5661"/>
  <c r="C15" i="5661"/>
  <c r="C14" i="5661"/>
  <c r="C13" i="5661"/>
  <c r="O12" i="5661"/>
  <c r="C12" i="5661"/>
  <c r="O11" i="5661"/>
  <c r="C11" i="5661"/>
  <c r="O10" i="5661"/>
  <c r="C10" i="5661"/>
  <c r="C9" i="5661"/>
  <c r="C8" i="5661"/>
  <c r="O7" i="5661"/>
  <c r="C7" i="5661"/>
  <c r="O6" i="5661"/>
  <c r="B6" i="5661"/>
  <c r="O5" i="5661"/>
  <c r="B5" i="5661"/>
  <c r="O4" i="5661"/>
  <c r="O3" i="5661"/>
  <c r="O2" i="5661"/>
  <c r="O15" i="5645"/>
  <c r="O15" i="5659"/>
  <c r="O18" i="5659"/>
  <c r="C27" i="5659"/>
  <c r="B24" i="5659"/>
  <c r="C20" i="5659"/>
  <c r="B17" i="5659"/>
  <c r="H51" i="5659" s="1"/>
  <c r="C16" i="5659"/>
  <c r="C15" i="5659"/>
  <c r="C14" i="5659"/>
  <c r="C13" i="5659"/>
  <c r="O12" i="5659"/>
  <c r="C12" i="5659"/>
  <c r="O11" i="5659"/>
  <c r="C11" i="5659"/>
  <c r="O10" i="5659"/>
  <c r="C10" i="5659"/>
  <c r="C9" i="5659"/>
  <c r="C8" i="5659"/>
  <c r="O7" i="5659"/>
  <c r="C7" i="5659"/>
  <c r="O6" i="5659"/>
  <c r="B6" i="5659"/>
  <c r="O5" i="5659"/>
  <c r="B5" i="5659"/>
  <c r="O4" i="5659"/>
  <c r="O3" i="5659"/>
  <c r="O2" i="5659"/>
  <c r="O23" i="5645"/>
  <c r="H16" i="5661" l="1"/>
  <c r="C17" i="5661"/>
  <c r="H25" i="5661"/>
  <c r="H4" i="5661"/>
  <c r="H32" i="5661"/>
  <c r="H40" i="5661"/>
  <c r="H48" i="5661"/>
  <c r="H22" i="5661"/>
  <c r="H35" i="5661"/>
  <c r="H43" i="5661"/>
  <c r="H5" i="5661"/>
  <c r="H11" i="5661"/>
  <c r="C18" i="5661"/>
  <c r="H28" i="5661"/>
  <c r="H52" i="5661"/>
  <c r="H2" i="5661"/>
  <c r="H8" i="5661"/>
  <c r="H23" i="5661"/>
  <c r="H45" i="5661"/>
  <c r="H15" i="5661"/>
  <c r="C19" i="5661"/>
  <c r="H30" i="5661"/>
  <c r="H38" i="5661"/>
  <c r="H46" i="5661"/>
  <c r="H10" i="5661"/>
  <c r="H17" i="5661"/>
  <c r="H27" i="5661"/>
  <c r="H51" i="5661"/>
  <c r="H14" i="5661"/>
  <c r="B23" i="5661"/>
  <c r="H36" i="5661"/>
  <c r="H44" i="5661"/>
  <c r="H18" i="5661"/>
  <c r="H29" i="5661"/>
  <c r="H37" i="5661"/>
  <c r="H3" i="5661"/>
  <c r="H6" i="5661"/>
  <c r="H9" i="5661"/>
  <c r="H12" i="5661"/>
  <c r="H19" i="5661"/>
  <c r="H24" i="5661"/>
  <c r="H31" i="5661"/>
  <c r="H39" i="5661"/>
  <c r="H47" i="5661"/>
  <c r="H20" i="5661"/>
  <c r="H26" i="5661"/>
  <c r="H33" i="5661"/>
  <c r="H41" i="5661"/>
  <c r="H49" i="5661"/>
  <c r="H7" i="5661"/>
  <c r="H13" i="5661"/>
  <c r="H21" i="5661"/>
  <c r="H34" i="5661"/>
  <c r="H42" i="5661"/>
  <c r="H31" i="5659"/>
  <c r="B23" i="5659"/>
  <c r="H8" i="5659"/>
  <c r="H5" i="5659"/>
  <c r="H15" i="5659"/>
  <c r="H36" i="5659"/>
  <c r="H2" i="5659"/>
  <c r="H12" i="5659"/>
  <c r="H23" i="5659"/>
  <c r="H9" i="5659"/>
  <c r="H39" i="5659"/>
  <c r="H44" i="5659"/>
  <c r="H37" i="5659"/>
  <c r="C17" i="5659"/>
  <c r="H3" i="5659"/>
  <c r="H6" i="5659"/>
  <c r="C18" i="5659"/>
  <c r="H24" i="5659"/>
  <c r="H18" i="5659"/>
  <c r="H45" i="5659"/>
  <c r="H4" i="5659"/>
  <c r="H14" i="5659"/>
  <c r="C19" i="5659"/>
  <c r="H28" i="5659"/>
  <c r="H47" i="5659"/>
  <c r="H11" i="5659"/>
  <c r="H19" i="5659"/>
  <c r="H29" i="5659"/>
  <c r="H52" i="5659"/>
  <c r="H30" i="5659"/>
  <c r="H38" i="5659"/>
  <c r="H46" i="5659"/>
  <c r="H16" i="5659"/>
  <c r="H25" i="5659"/>
  <c r="H32" i="5659"/>
  <c r="H40" i="5659"/>
  <c r="H48" i="5659"/>
  <c r="H26" i="5659"/>
  <c r="H41" i="5659"/>
  <c r="H7" i="5659"/>
  <c r="H13" i="5659"/>
  <c r="H21" i="5659"/>
  <c r="H34" i="5659"/>
  <c r="H42" i="5659"/>
  <c r="H50" i="5659"/>
  <c r="H10" i="5659"/>
  <c r="H20" i="5659"/>
  <c r="H33" i="5659"/>
  <c r="H49" i="5659"/>
  <c r="H17" i="5659"/>
  <c r="H22" i="5659"/>
  <c r="H27" i="5659"/>
  <c r="H35" i="5659"/>
  <c r="H43" i="5659"/>
  <c r="O18" i="5657" l="1"/>
  <c r="O16" i="5657"/>
  <c r="C27" i="5657"/>
  <c r="B24" i="5657"/>
  <c r="C20" i="5657"/>
  <c r="B17" i="5657"/>
  <c r="H5" i="5657" s="1"/>
  <c r="C16" i="5657"/>
  <c r="C15" i="5657"/>
  <c r="C14" i="5657"/>
  <c r="C13" i="5657"/>
  <c r="O12" i="5657"/>
  <c r="C12" i="5657"/>
  <c r="O11" i="5657"/>
  <c r="C11" i="5657"/>
  <c r="O10" i="5657"/>
  <c r="C10" i="5657"/>
  <c r="C9" i="5657"/>
  <c r="C8" i="5657"/>
  <c r="O7" i="5657"/>
  <c r="C7" i="5657"/>
  <c r="O6" i="5657"/>
  <c r="B6" i="5657"/>
  <c r="O5" i="5657"/>
  <c r="B5" i="5657"/>
  <c r="O4" i="5657"/>
  <c r="O3" i="5657"/>
  <c r="O2" i="5657"/>
  <c r="O15" i="5655"/>
  <c r="O17" i="5655"/>
  <c r="C27" i="5655"/>
  <c r="B24" i="5655"/>
  <c r="C20" i="5655"/>
  <c r="B17" i="5655"/>
  <c r="H51" i="5655" s="1"/>
  <c r="C16" i="5655"/>
  <c r="C15" i="5655"/>
  <c r="C14" i="5655"/>
  <c r="C13" i="5655"/>
  <c r="O12" i="5655"/>
  <c r="C12" i="5655"/>
  <c r="O11" i="5655"/>
  <c r="C11" i="5655"/>
  <c r="O10" i="5655"/>
  <c r="C10" i="5655"/>
  <c r="C9" i="5655"/>
  <c r="C8" i="5655"/>
  <c r="O7" i="5655"/>
  <c r="C7" i="5655"/>
  <c r="O6" i="5655"/>
  <c r="B6" i="5655"/>
  <c r="O5" i="5655"/>
  <c r="B5" i="5655"/>
  <c r="O4" i="5655"/>
  <c r="O3" i="5655"/>
  <c r="O2" i="5655"/>
  <c r="O17" i="5645"/>
  <c r="O20" i="5653"/>
  <c r="O19" i="5653"/>
  <c r="C27" i="5653"/>
  <c r="B24" i="5653"/>
  <c r="C20" i="5653"/>
  <c r="B17" i="5653"/>
  <c r="H50" i="5653" s="1"/>
  <c r="C16" i="5653"/>
  <c r="C15" i="5653"/>
  <c r="C14" i="5653"/>
  <c r="C13" i="5653"/>
  <c r="O12" i="5653"/>
  <c r="C12" i="5653"/>
  <c r="O11" i="5653"/>
  <c r="C11" i="5653"/>
  <c r="O10" i="5653"/>
  <c r="C10" i="5653"/>
  <c r="C9" i="5653"/>
  <c r="C8" i="5653"/>
  <c r="O7" i="5653"/>
  <c r="C7" i="5653"/>
  <c r="O6" i="5653"/>
  <c r="B6" i="5653"/>
  <c r="O5" i="5653"/>
  <c r="B5" i="5653"/>
  <c r="O4" i="5653"/>
  <c r="O3" i="5653"/>
  <c r="O2" i="5653"/>
  <c r="O20" i="5645"/>
  <c r="O18" i="5645"/>
  <c r="H4" i="5653" l="1"/>
  <c r="B23" i="5653"/>
  <c r="H32" i="5653"/>
  <c r="H14" i="5653"/>
  <c r="H31" i="5653"/>
  <c r="H11" i="5653"/>
  <c r="H16" i="5653"/>
  <c r="H40" i="5653"/>
  <c r="H39" i="5653"/>
  <c r="H8" i="5653"/>
  <c r="H22" i="5653"/>
  <c r="H9" i="5653"/>
  <c r="H44" i="5653"/>
  <c r="H5" i="5653"/>
  <c r="H25" i="5653"/>
  <c r="H17" i="5653"/>
  <c r="H27" i="5653"/>
  <c r="H47" i="5653"/>
  <c r="H43" i="5653"/>
  <c r="H2" i="5653"/>
  <c r="C18" i="5653"/>
  <c r="H10" i="5653"/>
  <c r="H19" i="5653"/>
  <c r="H28" i="5653"/>
  <c r="H8" i="5655"/>
  <c r="H4" i="5655"/>
  <c r="H17" i="5655"/>
  <c r="H22" i="5655"/>
  <c r="H6" i="5655"/>
  <c r="H7" i="5655"/>
  <c r="H13" i="5655"/>
  <c r="H23" i="5655"/>
  <c r="H6" i="5657"/>
  <c r="B23" i="5657"/>
  <c r="H33" i="5657"/>
  <c r="H19" i="5657"/>
  <c r="H10" i="5657"/>
  <c r="H14" i="5657"/>
  <c r="H13" i="5657"/>
  <c r="H15" i="5657"/>
  <c r="H37" i="5657"/>
  <c r="H38" i="5657"/>
  <c r="H3" i="5657"/>
  <c r="H9" i="5657"/>
  <c r="H41" i="5657"/>
  <c r="H45" i="5657"/>
  <c r="H7" i="5657"/>
  <c r="H18" i="5657"/>
  <c r="H21" i="5657"/>
  <c r="H23" i="5657"/>
  <c r="H46" i="5657"/>
  <c r="H17" i="5657"/>
  <c r="H20" i="5657"/>
  <c r="C18" i="5657"/>
  <c r="H4" i="5657"/>
  <c r="H11" i="5657"/>
  <c r="C19" i="5657"/>
  <c r="H29" i="5657"/>
  <c r="H49" i="5657"/>
  <c r="H2" i="5657"/>
  <c r="C17" i="5657"/>
  <c r="H27" i="5657"/>
  <c r="H22" i="5657"/>
  <c r="H30" i="5657"/>
  <c r="H52" i="5657"/>
  <c r="H31" i="5657"/>
  <c r="H39" i="5657"/>
  <c r="H47" i="5657"/>
  <c r="H24" i="5657"/>
  <c r="H16" i="5657"/>
  <c r="H32" i="5657"/>
  <c r="H40" i="5657"/>
  <c r="H48" i="5657"/>
  <c r="H25" i="5657"/>
  <c r="H28" i="5657"/>
  <c r="H34" i="5657"/>
  <c r="H42" i="5657"/>
  <c r="H50" i="5657"/>
  <c r="H35" i="5657"/>
  <c r="H43" i="5657"/>
  <c r="H51" i="5657"/>
  <c r="H12" i="5657"/>
  <c r="H26" i="5657"/>
  <c r="H8" i="5657"/>
  <c r="H36" i="5657"/>
  <c r="H44" i="5657"/>
  <c r="H19" i="5655"/>
  <c r="H31" i="5655"/>
  <c r="H33" i="5655"/>
  <c r="C19" i="5655"/>
  <c r="H14" i="5655"/>
  <c r="H12" i="5655"/>
  <c r="H49" i="5655"/>
  <c r="H37" i="5655"/>
  <c r="H40" i="5655"/>
  <c r="H44" i="5655"/>
  <c r="H3" i="5655"/>
  <c r="H2" i="5655"/>
  <c r="H11" i="5655"/>
  <c r="H20" i="5655"/>
  <c r="C17" i="5655"/>
  <c r="H15" i="5655"/>
  <c r="H41" i="5655"/>
  <c r="H24" i="5655"/>
  <c r="H29" i="5655"/>
  <c r="H5" i="5655"/>
  <c r="H18" i="5655"/>
  <c r="H21" i="5655"/>
  <c r="C18" i="5655"/>
  <c r="H45" i="5655"/>
  <c r="H10" i="5655"/>
  <c r="B23" i="5655"/>
  <c r="H36" i="5655"/>
  <c r="H52" i="5655"/>
  <c r="H27" i="5655"/>
  <c r="H32" i="5655"/>
  <c r="H48" i="5655"/>
  <c r="H25" i="5655"/>
  <c r="H28" i="5655"/>
  <c r="H16" i="5655"/>
  <c r="H38" i="5655"/>
  <c r="H46" i="5655"/>
  <c r="H9" i="5655"/>
  <c r="H39" i="5655"/>
  <c r="H47" i="5655"/>
  <c r="H26" i="5655"/>
  <c r="H30" i="5655"/>
  <c r="H34" i="5655"/>
  <c r="H42" i="5655"/>
  <c r="H50" i="5655"/>
  <c r="H35" i="5655"/>
  <c r="H43" i="5655"/>
  <c r="H48" i="5653"/>
  <c r="H35" i="5653"/>
  <c r="H51" i="5653"/>
  <c r="H12" i="5653"/>
  <c r="H3" i="5653"/>
  <c r="H6" i="5653"/>
  <c r="C17" i="5653"/>
  <c r="H24" i="5653"/>
  <c r="H36" i="5653"/>
  <c r="H52" i="5653"/>
  <c r="H18" i="5653"/>
  <c r="H23" i="5653"/>
  <c r="H29" i="5653"/>
  <c r="H37" i="5653"/>
  <c r="H45" i="5653"/>
  <c r="H15" i="5653"/>
  <c r="C19" i="5653"/>
  <c r="H30" i="5653"/>
  <c r="H38" i="5653"/>
  <c r="H46" i="5653"/>
  <c r="H20" i="5653"/>
  <c r="H26" i="5653"/>
  <c r="H33" i="5653"/>
  <c r="H41" i="5653"/>
  <c r="H49" i="5653"/>
  <c r="H7" i="5653"/>
  <c r="H13" i="5653"/>
  <c r="H21" i="5653"/>
  <c r="H34" i="5653"/>
  <c r="H42" i="5653"/>
  <c r="O21" i="5651" l="1"/>
  <c r="O20" i="5651"/>
  <c r="C27" i="5651"/>
  <c r="B24" i="5651"/>
  <c r="C20" i="5651"/>
  <c r="B17" i="5651"/>
  <c r="H52" i="5651" s="1"/>
  <c r="C16" i="5651"/>
  <c r="C15" i="5651"/>
  <c r="C14" i="5651"/>
  <c r="C13" i="5651"/>
  <c r="O12" i="5651"/>
  <c r="C12" i="5651"/>
  <c r="O11" i="5651"/>
  <c r="C11" i="5651"/>
  <c r="O10" i="5651"/>
  <c r="C10" i="5651"/>
  <c r="C9" i="5651"/>
  <c r="C8" i="5651"/>
  <c r="O7" i="5651"/>
  <c r="C7" i="5651"/>
  <c r="O6" i="5651"/>
  <c r="B6" i="5651"/>
  <c r="O5" i="5651"/>
  <c r="B5" i="5651"/>
  <c r="O4" i="5651"/>
  <c r="O3" i="5651"/>
  <c r="O2" i="5651"/>
  <c r="O19" i="5649"/>
  <c r="O18" i="5649"/>
  <c r="C27" i="5649"/>
  <c r="B24" i="5649"/>
  <c r="C20" i="5649"/>
  <c r="B17" i="5649"/>
  <c r="H50" i="5649" s="1"/>
  <c r="C16" i="5649"/>
  <c r="C15" i="5649"/>
  <c r="C14" i="5649"/>
  <c r="C13" i="5649"/>
  <c r="O12" i="5649"/>
  <c r="C12" i="5649"/>
  <c r="O11" i="5649"/>
  <c r="C11" i="5649"/>
  <c r="O10" i="5649"/>
  <c r="C10" i="5649"/>
  <c r="C9" i="5649"/>
  <c r="C8" i="5649"/>
  <c r="O7" i="5649"/>
  <c r="C7" i="5649"/>
  <c r="O6" i="5649"/>
  <c r="B6" i="5649"/>
  <c r="O5" i="5649"/>
  <c r="B5" i="5649"/>
  <c r="O4" i="5649"/>
  <c r="O3" i="5649"/>
  <c r="O2" i="5649"/>
  <c r="O19" i="5645"/>
  <c r="O16" i="5647"/>
  <c r="O17" i="5647"/>
  <c r="C27" i="5647"/>
  <c r="B24" i="5647"/>
  <c r="C20" i="5647"/>
  <c r="B17" i="5647"/>
  <c r="H49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21" i="5645"/>
  <c r="O22" i="5645"/>
  <c r="C27" i="5645"/>
  <c r="B24" i="5645"/>
  <c r="C20" i="5645"/>
  <c r="B17" i="5645"/>
  <c r="H52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16" i="5651" l="1"/>
  <c r="H24" i="5651"/>
  <c r="H14" i="5651"/>
  <c r="H15" i="5651"/>
  <c r="H32" i="5651"/>
  <c r="H18" i="5651"/>
  <c r="H36" i="5651"/>
  <c r="H5" i="5651"/>
  <c r="H37" i="5651"/>
  <c r="C17" i="5651"/>
  <c r="H10" i="5651"/>
  <c r="H11" i="5651"/>
  <c r="H40" i="5651"/>
  <c r="H21" i="5651"/>
  <c r="H6" i="5651"/>
  <c r="H39" i="5651"/>
  <c r="H22" i="5651"/>
  <c r="H25" i="5651"/>
  <c r="H44" i="5651"/>
  <c r="H28" i="5651"/>
  <c r="H12" i="5651"/>
  <c r="H17" i="5651"/>
  <c r="H3" i="5651"/>
  <c r="H2" i="5651"/>
  <c r="H9" i="5651"/>
  <c r="C19" i="5651"/>
  <c r="H8" i="5651"/>
  <c r="H47" i="5651"/>
  <c r="H48" i="5651"/>
  <c r="H27" i="5651"/>
  <c r="H33" i="5651"/>
  <c r="H19" i="5651"/>
  <c r="H41" i="5651"/>
  <c r="H49" i="5651"/>
  <c r="H13" i="5651"/>
  <c r="H29" i="5651"/>
  <c r="H34" i="5651"/>
  <c r="H42" i="5651"/>
  <c r="H50" i="5651"/>
  <c r="H26" i="5651"/>
  <c r="H30" i="5651"/>
  <c r="H35" i="5651"/>
  <c r="H43" i="5651"/>
  <c r="H51" i="5651"/>
  <c r="H45" i="5651"/>
  <c r="H4" i="5651"/>
  <c r="H7" i="5651"/>
  <c r="H20" i="5651"/>
  <c r="H23" i="5651"/>
  <c r="C18" i="5651"/>
  <c r="B23" i="5651"/>
  <c r="H31" i="5651"/>
  <c r="H38" i="5651"/>
  <c r="H46" i="5651"/>
  <c r="H20" i="5645"/>
  <c r="H28" i="5645"/>
  <c r="H21" i="5645"/>
  <c r="H8" i="5649"/>
  <c r="H14" i="5649"/>
  <c r="H22" i="5649"/>
  <c r="H11" i="5649"/>
  <c r="H31" i="5649"/>
  <c r="H5" i="5649"/>
  <c r="B23" i="5649"/>
  <c r="H4" i="5649"/>
  <c r="H16" i="5649"/>
  <c r="H32" i="5649"/>
  <c r="H12" i="5649"/>
  <c r="H39" i="5649"/>
  <c r="H9" i="5649"/>
  <c r="H40" i="5649"/>
  <c r="H44" i="5649"/>
  <c r="H43" i="5649"/>
  <c r="H47" i="5649"/>
  <c r="H25" i="5649"/>
  <c r="H2" i="5649"/>
  <c r="H17" i="5649"/>
  <c r="H10" i="5649"/>
  <c r="C18" i="5649"/>
  <c r="H27" i="5649"/>
  <c r="H19" i="5649"/>
  <c r="H28" i="5649"/>
  <c r="H48" i="5649"/>
  <c r="H35" i="5649"/>
  <c r="H51" i="5649"/>
  <c r="H3" i="5649"/>
  <c r="H6" i="5649"/>
  <c r="C17" i="5649"/>
  <c r="H24" i="5649"/>
  <c r="H36" i="5649"/>
  <c r="H52" i="5649"/>
  <c r="H18" i="5649"/>
  <c r="H23" i="5649"/>
  <c r="H29" i="5649"/>
  <c r="H37" i="5649"/>
  <c r="H45" i="5649"/>
  <c r="H15" i="5649"/>
  <c r="C19" i="5649"/>
  <c r="H30" i="5649"/>
  <c r="H38" i="5649"/>
  <c r="H46" i="5649"/>
  <c r="H20" i="5649"/>
  <c r="H26" i="5649"/>
  <c r="H33" i="5649"/>
  <c r="H41" i="5649"/>
  <c r="H49" i="5649"/>
  <c r="H7" i="5649"/>
  <c r="H13" i="5649"/>
  <c r="H21" i="5649"/>
  <c r="H34" i="5649"/>
  <c r="H42" i="5649"/>
  <c r="H15" i="5645"/>
  <c r="H10" i="5645"/>
  <c r="H2" i="5645"/>
  <c r="H13" i="5645"/>
  <c r="H25" i="5645"/>
  <c r="H16" i="5645"/>
  <c r="H12" i="5645"/>
  <c r="H6" i="5645"/>
  <c r="H9" i="5647"/>
  <c r="H21" i="5647"/>
  <c r="H34" i="5647"/>
  <c r="H4" i="5647"/>
  <c r="H25" i="5647"/>
  <c r="H6" i="5647"/>
  <c r="H3" i="5647"/>
  <c r="H16" i="5647"/>
  <c r="H35" i="5647"/>
  <c r="H43" i="5647"/>
  <c r="H12" i="5647"/>
  <c r="H19" i="5647"/>
  <c r="H44" i="5647"/>
  <c r="H46" i="5647"/>
  <c r="H36" i="5647"/>
  <c r="H22" i="5647"/>
  <c r="H47" i="5647"/>
  <c r="B23" i="5647"/>
  <c r="H13" i="5647"/>
  <c r="H28" i="5647"/>
  <c r="H38" i="5647"/>
  <c r="H11" i="5647"/>
  <c r="H23" i="5647"/>
  <c r="H50" i="5647"/>
  <c r="H10" i="5647"/>
  <c r="C17" i="5647"/>
  <c r="H17" i="5647"/>
  <c r="H48" i="5647"/>
  <c r="H30" i="5647"/>
  <c r="H2" i="5647"/>
  <c r="H31" i="5647"/>
  <c r="H40" i="5647"/>
  <c r="H51" i="5647"/>
  <c r="H27" i="5647"/>
  <c r="H7" i="5647"/>
  <c r="H37" i="5647"/>
  <c r="H29" i="5647"/>
  <c r="H5" i="5647"/>
  <c r="H14" i="5647"/>
  <c r="C18" i="5647"/>
  <c r="H39" i="5647"/>
  <c r="H8" i="5647"/>
  <c r="H18" i="5647"/>
  <c r="H15" i="5647"/>
  <c r="C19" i="5647"/>
  <c r="H24" i="5647"/>
  <c r="H32" i="5647"/>
  <c r="H42" i="5647"/>
  <c r="H52" i="5647"/>
  <c r="H45" i="5647"/>
  <c r="H20" i="5647"/>
  <c r="H26" i="5647"/>
  <c r="H33" i="5647"/>
  <c r="H41" i="5647"/>
  <c r="H36" i="5645"/>
  <c r="H8" i="5645"/>
  <c r="H40" i="5645"/>
  <c r="H3" i="5645"/>
  <c r="H37" i="5645"/>
  <c r="H26" i="5645"/>
  <c r="H38" i="5645"/>
  <c r="H14" i="5645"/>
  <c r="H41" i="5645"/>
  <c r="B23" i="5645"/>
  <c r="C17" i="5645"/>
  <c r="H17" i="5645"/>
  <c r="H7" i="5645"/>
  <c r="H30" i="5645"/>
  <c r="H31" i="5645"/>
  <c r="C18" i="5645"/>
  <c r="H4" i="5645"/>
  <c r="H11" i="5645"/>
  <c r="C19" i="5645"/>
  <c r="H9" i="5645"/>
  <c r="H44" i="5645"/>
  <c r="H45" i="5645"/>
  <c r="H23" i="5645"/>
  <c r="H34" i="5645"/>
  <c r="H46" i="5645"/>
  <c r="H32" i="5645"/>
  <c r="H22" i="5645"/>
  <c r="H18" i="5645"/>
  <c r="H39" i="5645"/>
  <c r="H47" i="5645"/>
  <c r="H48" i="5645"/>
  <c r="H49" i="5645"/>
  <c r="H27" i="5645"/>
  <c r="H35" i="5645"/>
  <c r="H42" i="5645"/>
  <c r="H50" i="5645"/>
  <c r="H33" i="5645"/>
  <c r="H24" i="5645"/>
  <c r="H29" i="5645"/>
  <c r="H43" i="5645"/>
  <c r="H51" i="5645"/>
  <c r="H19" i="5645"/>
  <c r="H5" i="564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<sst xmlns="http://schemas.openxmlformats.org/spreadsheetml/2006/main" count="2433" uniqueCount="210">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</sst>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全体!$K$2:$K$170</c:f>
              <c:numCache>
                <c:formatCode>General</c:formatCode>
                <c:ptCount val="1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</c:numCache>
            </c:numRef>
          </c:xVal>
          <c:yVal>
            <c:numRef>
              <c:f>全体!$L$2:$L$170</c:f>
              <c:numCache>
                <c:formatCode>\+0.0;\-0.0;\±0</c:formatCode>
                <c:ptCount val="16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79-42D2-A1D5-70C2F327D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-23.80952380952381</c:v>
                </c:pt>
                <c:pt idx="1">
                  <c:v>18.518518518518519</c:v>
                </c:pt>
                <c:pt idx="2">
                  <c:v>-37.735849056603776</c:v>
                </c:pt>
                <c:pt idx="3">
                  <c:v>33.333333333333336</c:v>
                </c:pt>
                <c:pt idx="4">
                  <c:v>14.814814814814815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238-95E8-66FB12BD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たかの!$L$2:$L$19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37-429F-A33C-D0C6048B3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-1335.2941176470588</c:v>
                </c:pt>
                <c:pt idx="1">
                  <c:v>235.29411764705881</c:v>
                </c:pt>
                <c:pt idx="2">
                  <c:v>1029.4117647058824</c:v>
                </c:pt>
                <c:pt idx="3">
                  <c:v>-418.75</c:v>
                </c:pt>
                <c:pt idx="4">
                  <c:v>-1762.5</c:v>
                </c:pt>
                <c:pt idx="5">
                  <c:v>-2615.3846153846152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C1-4ECD-AF1B-6EDD18BF2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だいち!$L$2:$L$38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69-448F-AE20-D969CC98F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-530.55555555555554</c:v>
                </c:pt>
                <c:pt idx="1">
                  <c:v>-1764.7058823529412</c:v>
                </c:pt>
                <c:pt idx="2">
                  <c:v>35.294117647058826</c:v>
                </c:pt>
                <c:pt idx="3">
                  <c:v>-618.75</c:v>
                </c:pt>
                <c:pt idx="4">
                  <c:v>5450</c:v>
                </c:pt>
                <c:pt idx="5">
                  <c:v>6343.478260869565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7-4F33-BF56-76650E571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ただ!$L$2:$L$41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5-4A6F-AC7F-579504125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830.76923076923072</c:v>
                </c:pt>
                <c:pt idx="1">
                  <c:v>1172.9729729729729</c:v>
                </c:pt>
                <c:pt idx="2">
                  <c:v>2386.1111111111113</c:v>
                </c:pt>
                <c:pt idx="3">
                  <c:v>2905.7142857142858</c:v>
                </c:pt>
                <c:pt idx="4">
                  <c:v>-3287.5</c:v>
                </c:pt>
                <c:pt idx="5">
                  <c:v>-884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C-4876-AF24-A4330C9A6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りくと!$L$2:$L$22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2D-458A-B2C9-634AD21FF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885</c:v>
                </c:pt>
                <c:pt idx="1">
                  <c:v>-36.842105263157897</c:v>
                </c:pt>
                <c:pt idx="2">
                  <c:v>1357.8947368421052</c:v>
                </c:pt>
                <c:pt idx="3">
                  <c:v>-2188.8888888888887</c:v>
                </c:pt>
                <c:pt idx="4">
                  <c:v>-5141.1764705882351</c:v>
                </c:pt>
                <c:pt idx="5">
                  <c:v>-1640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0-43B0-8A69-EBE52EB04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れんたろう!$L$2:$L$17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5C-4DA4-9427-EF145FB2C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653.33333333333337</c:v>
                </c:pt>
                <c:pt idx="1">
                  <c:v>-2964.2857142857142</c:v>
                </c:pt>
                <c:pt idx="2">
                  <c:v>-4046.1538461538462</c:v>
                </c:pt>
                <c:pt idx="3">
                  <c:v>5375</c:v>
                </c:pt>
                <c:pt idx="4">
                  <c:v>1480</c:v>
                </c:pt>
                <c:pt idx="5">
                  <c:v>-10971.428571428571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B0-4501-B12D-6FB2B2650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C-4082-91EE-65B5DC9A7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705.55555555555554</c:v>
                </c:pt>
                <c:pt idx="1">
                  <c:v>44.444444444444443</c:v>
                </c:pt>
                <c:pt idx="2">
                  <c:v>-1888.2352941176471</c:v>
                </c:pt>
                <c:pt idx="3">
                  <c:v>160</c:v>
                </c:pt>
                <c:pt idx="4">
                  <c:v>-3509.090909090909</c:v>
                </c:pt>
                <c:pt idx="5">
                  <c:v>1377.7777777777778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9-4F04-8A17-199438044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19-4A6C-8AF0-46CC533D7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-3912.5</c:v>
                </c:pt>
                <c:pt idx="1">
                  <c:v>-975</c:v>
                </c:pt>
                <c:pt idx="2">
                  <c:v>-1987.5</c:v>
                </c:pt>
                <c:pt idx="3">
                  <c:v>-6414.2857142857147</c:v>
                </c:pt>
                <c:pt idx="4">
                  <c:v>-283.33333333333331</c:v>
                </c:pt>
                <c:pt idx="5">
                  <c:v>-2750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F5-49D8-A5C7-482F10D43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BC-4A47-AD67-DC7386132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8-44F1-A147-62AA71B62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0-4277-964F-F11AC9924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4-445D-A635-600CE2CA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まっつん2!$B$3:$B$21</c:f>
              <c:numCache>
                <c:formatCode>\+0.0;\-0.0;\±0</c:formatCode>
                <c:ptCount val="1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まっつん2!$C$3:$C$21</c:f>
              <c:numCache>
                <c:formatCode>\+0.0;\-0.0;\±0</c:formatCode>
                <c:ptCount val="19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14710523095536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まっつん2!$D$3:$D$21</c:f>
              <c:numCache>
                <c:formatCode>0.00\ "位"</c:formatCode>
                <c:ptCount val="19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まっつん2!$E$3:$E$21</c:f>
              <c:numCache>
                <c:formatCode>0.0%</c:formatCode>
                <c:ptCount val="1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まっつん2!$F$3:$F$21</c:f>
              <c:numCache>
                <c:formatCode>0.0%</c:formatCode>
                <c:ptCount val="1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まっつん2!$G$3:$G$21</c:f>
              <c:numCache>
                <c:formatCode>0.0%</c:formatCode>
                <c:ptCount val="19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508632138114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まっつん2!$H$3:$H$21</c:f>
              <c:numCache>
                <c:formatCode>0.0%</c:formatCode>
                <c:ptCount val="19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314741035856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まっつん2!$I$3:$I$21</c:f>
              <c:numCache>
                <c:formatCode>0</c:formatCode>
                <c:ptCount val="19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41.74311926605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まっつん2!$J$3:$J$21</c:f>
              <c:numCache>
                <c:formatCode>0</c:formatCode>
                <c:ptCount val="19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25.1937984496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まっつん2!$K$3:$K$21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04761904761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まっつん2!$L$3:$L$21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04761904761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まっつん2!$M$3:$M$21</c:f>
              <c:numCache>
                <c:formatCode>0.0%</c:formatCode>
                <c:ptCount val="19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9043824701195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まっつん2!$N$3:$N$21</c:f>
              <c:numCache>
                <c:formatCode>0.0%</c:formatCode>
                <c:ptCount val="19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667994687915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まっつん2!$O$3:$O$21</c:f>
              <c:numCache>
                <c:formatCode>0.0%</c:formatCode>
                <c:ptCount val="19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1666666666666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まっつん2!$P$3:$P$21</c:f>
              <c:numCache>
                <c:formatCode>0.0%</c:formatCode>
                <c:ptCount val="19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212765957446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まっつん2!$Q$3:$Q$21</c:f>
              <c:numCache>
                <c:formatCode>0.0%</c:formatCode>
                <c:ptCount val="19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5963302752293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1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43735.624351851853</v>
      </c>
      <c r="C3" s="30" t="s">
        <v>129</v>
      </c>
    </row>
    <row r="4" spans="1:12" x14ac:dyDescent="0.4">
      <c r="A4" s="30" t="s">
        <v>181</v>
      </c>
      <c r="B4" s="31">
        <v>43735.624351851853</v>
      </c>
      <c r="C4" s="30" t="s">
        <v>129</v>
      </c>
    </row>
    <row r="5" spans="1:12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43737.059895833336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43739.000706018516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43741.94121527778</v>
      </c>
      <c r="C8" s="30" t="s">
        <v>129</v>
      </c>
    </row>
    <row r="9" spans="1:12" x14ac:dyDescent="0.4">
      <c r="A9" s="30" t="s">
        <v>195</v>
      </c>
      <c r="B9" s="31">
        <v>43739.660624999997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43740.021921296298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43741.94121527778</v>
      </c>
      <c r="C11" s="30" t="s">
        <v>129</v>
      </c>
    </row>
    <row r="12" spans="1:12" x14ac:dyDescent="0.4">
      <c r="A12" s="30" t="s">
        <v>200</v>
      </c>
      <c r="B12" s="31">
        <v>43744.941354166665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43744.941354166665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43743.104375000003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43744.941354166665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43743.786203703705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4" x14ac:dyDescent="0.4">
      <c r="A17" s="30" t="s">
        <v>205</v>
      </c>
      <c r="B17" s="31">
        <v>43745.016377314816</v>
      </c>
      <c r="C17" s="30" t="s">
        <v>129</v>
      </c>
      <c r="D17" s="30" t="s">
        <v>130</v>
      </c>
    </row>
    <row r="18" spans="1:4" x14ac:dyDescent="0.4">
      <c r="A18" s="30" t="s">
        <v>206</v>
      </c>
      <c r="B18" s="31">
        <v>43745.531828703701</v>
      </c>
      <c r="C18" s="30" t="s">
        <v>129</v>
      </c>
    </row>
    <row r="19" spans="1:4" x14ac:dyDescent="0.4">
      <c r="A19" s="30" t="s">
        <v>207</v>
      </c>
      <c r="B19" s="31">
        <v>43745.990891203706</v>
      </c>
      <c r="C19" s="30" t="s">
        <v>129</v>
      </c>
    </row>
    <row r="20" spans="1:4" x14ac:dyDescent="0.4">
      <c r="A20" s="30" t="s">
        <v>208</v>
      </c>
      <c r="B20" s="31">
        <v>43747.021145833336</v>
      </c>
      <c r="C20" s="30" t="s">
        <v>129</v>
      </c>
      <c r="D20" s="30" t="s">
        <v>130</v>
      </c>
    </row>
    <row r="21" spans="1:4" x14ac:dyDescent="0.4">
      <c r="A21" s="30" t="s">
        <v>209</v>
      </c>
      <c r="B21" s="31">
        <v>43747.020601851851</v>
      </c>
      <c r="C21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168</v>
      </c>
    </row>
    <row r="2" spans="1:2" x14ac:dyDescent="0.4">
      <c r="A2" t="s">
        <v>167</v>
      </c>
      <c r="B2">
        <v>17</v>
      </c>
    </row>
    <row r="3" spans="1:2" x14ac:dyDescent="0.4">
      <c r="A3" t="s">
        <v>127</v>
      </c>
      <c r="B3">
        <v>36</v>
      </c>
    </row>
    <row r="4" spans="1:2" x14ac:dyDescent="0.4">
      <c r="A4" t="s">
        <v>128</v>
      </c>
      <c r="B4">
        <v>39</v>
      </c>
    </row>
    <row r="5" spans="1:2" x14ac:dyDescent="0.4">
      <c r="A5" t="s">
        <v>180</v>
      </c>
      <c r="B5">
        <v>20</v>
      </c>
    </row>
    <row r="6" spans="1:2" x14ac:dyDescent="0.4">
      <c r="A6" t="s">
        <v>178</v>
      </c>
      <c r="B6">
        <v>15</v>
      </c>
    </row>
    <row r="7" spans="1:2" x14ac:dyDescent="0.4">
      <c r="A7" t="s">
        <v>179</v>
      </c>
      <c r="B7">
        <v>18</v>
      </c>
    </row>
    <row r="8" spans="1:2" x14ac:dyDescent="0.4">
      <c r="A8" t="s">
        <v>183</v>
      </c>
      <c r="B8">
        <v>8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>
      <selection activeCell="D26" sqref="D26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 x14ac:dyDescent="0.4">
      <c r="A2" s="72" t="s">
        <v>160</v>
      </c>
      <c r="B2" s="160"/>
      <c r="C2" s="161"/>
      <c r="D2" s="160"/>
      <c r="E2" s="161"/>
      <c r="F2" s="162">
        <v>0.96322419032312867</v>
      </c>
      <c r="G2" s="163"/>
      <c r="H2" s="162">
        <v>0.93531936266949833</v>
      </c>
      <c r="I2" s="163"/>
      <c r="J2" s="162">
        <v>0.9030999966672727</v>
      </c>
      <c r="K2" s="163"/>
      <c r="L2" s="162">
        <v>0.83664438330365354</v>
      </c>
      <c r="M2" s="163"/>
      <c r="N2" s="162">
        <v>0.68287144711538339</v>
      </c>
      <c r="O2" s="163"/>
      <c r="P2" s="162">
        <v>-0.24744140651856797</v>
      </c>
      <c r="Q2" s="163"/>
      <c r="R2" s="162">
        <v>0.56451310551806178</v>
      </c>
      <c r="S2" s="163"/>
      <c r="T2" s="162">
        <v>0.52867372021408532</v>
      </c>
      <c r="U2" s="163"/>
      <c r="V2" s="162">
        <v>0.25037905240898634</v>
      </c>
      <c r="W2" s="163"/>
      <c r="X2" s="162">
        <v>0.48850233607037769</v>
      </c>
      <c r="Y2" s="163"/>
      <c r="Z2" s="162">
        <v>-0.19561363392612491</v>
      </c>
      <c r="AA2" s="163"/>
      <c r="AB2" s="162">
        <v>0.56041345255607444</v>
      </c>
      <c r="AC2" s="163"/>
      <c r="AD2" s="162">
        <v>6.7776525340387051E-3</v>
      </c>
      <c r="AE2" s="163"/>
      <c r="AF2" s="162">
        <v>0.67708997251717629</v>
      </c>
      <c r="AG2" s="163"/>
      <c r="AH2" s="162">
        <v>0.7002960790676408</v>
      </c>
      <c r="AI2" s="163"/>
    </row>
    <row r="3" spans="1:35" x14ac:dyDescent="0.4">
      <c r="A3" s="74">
        <v>1</v>
      </c>
      <c r="B3" s="75" t="s">
        <v>127</v>
      </c>
      <c r="C3" s="76">
        <v>312.09999999999991</v>
      </c>
      <c r="D3" s="77" t="s">
        <v>182</v>
      </c>
      <c r="E3" s="96">
        <v>11.463636363636365</v>
      </c>
      <c r="F3" s="77" t="s">
        <v>182</v>
      </c>
      <c r="G3" s="78">
        <v>1.7272727272727273</v>
      </c>
      <c r="H3" s="77" t="s">
        <v>127</v>
      </c>
      <c r="I3" s="79">
        <v>0.5</v>
      </c>
      <c r="J3" s="77" t="s">
        <v>182</v>
      </c>
      <c r="K3" s="79">
        <v>0.18181818181818182</v>
      </c>
      <c r="L3" s="77" t="s">
        <v>127</v>
      </c>
      <c r="M3" s="80">
        <v>0.33650793650793653</v>
      </c>
      <c r="N3" s="77" t="s">
        <v>182</v>
      </c>
      <c r="O3" s="80">
        <v>0.11650485436893204</v>
      </c>
      <c r="P3" s="77" t="s">
        <v>178</v>
      </c>
      <c r="Q3" s="81">
        <v>12474.074074074075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0.26666666666666666</v>
      </c>
      <c r="X3" s="77" t="s">
        <v>182</v>
      </c>
      <c r="Y3" s="80">
        <v>0.29126213592233008</v>
      </c>
      <c r="Z3" s="77" t="s">
        <v>196</v>
      </c>
      <c r="AA3" s="80">
        <v>0.35</v>
      </c>
      <c r="AB3" s="77" t="s">
        <v>182</v>
      </c>
      <c r="AC3" s="80">
        <v>0.66666666666666663</v>
      </c>
      <c r="AD3" s="77" t="s">
        <v>127</v>
      </c>
      <c r="AE3" s="80">
        <v>0.52857142857142858</v>
      </c>
      <c r="AF3" s="77" t="s">
        <v>183</v>
      </c>
      <c r="AG3" s="80">
        <v>0.5714285714285714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158.79999999999993</v>
      </c>
      <c r="D4" s="85" t="s">
        <v>127</v>
      </c>
      <c r="E4" s="97">
        <v>8.6694444444444425</v>
      </c>
      <c r="F4" s="85" t="s">
        <v>127</v>
      </c>
      <c r="G4" s="86">
        <v>1.7777777777777777</v>
      </c>
      <c r="H4" s="85" t="s">
        <v>196</v>
      </c>
      <c r="I4" s="87">
        <v>0.5</v>
      </c>
      <c r="J4" s="85" t="s">
        <v>128</v>
      </c>
      <c r="K4" s="87">
        <v>0.25641025641025639</v>
      </c>
      <c r="L4" s="85" t="s">
        <v>182</v>
      </c>
      <c r="M4" s="88">
        <v>0.3300970873786408</v>
      </c>
      <c r="N4" s="85" t="s">
        <v>179</v>
      </c>
      <c r="O4" s="88">
        <v>0.13095238095238096</v>
      </c>
      <c r="P4" s="85" t="s">
        <v>183</v>
      </c>
      <c r="Q4" s="89">
        <v>9742.8571428571431</v>
      </c>
      <c r="R4" s="85" t="s">
        <v>167</v>
      </c>
      <c r="S4" s="89">
        <v>-6911.5384615384619</v>
      </c>
      <c r="T4" s="85" t="s">
        <v>182</v>
      </c>
      <c r="U4" s="87">
        <v>0</v>
      </c>
      <c r="V4" s="85" t="s">
        <v>196</v>
      </c>
      <c r="W4" s="87">
        <v>0.25</v>
      </c>
      <c r="X4" s="85" t="s">
        <v>183</v>
      </c>
      <c r="Y4" s="88">
        <v>0.27536231884057971</v>
      </c>
      <c r="Z4" s="85" t="s">
        <v>128</v>
      </c>
      <c r="AA4" s="88">
        <v>0.3342857142857143</v>
      </c>
      <c r="AB4" s="85" t="s">
        <v>127</v>
      </c>
      <c r="AC4" s="88">
        <v>0.60256410256410253</v>
      </c>
      <c r="AD4" s="85" t="s">
        <v>179</v>
      </c>
      <c r="AE4" s="88">
        <v>0.52380952380952384</v>
      </c>
      <c r="AF4" s="85" t="s">
        <v>182</v>
      </c>
      <c r="AG4" s="88">
        <v>0.52941176470588236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4.0717948717948698</v>
      </c>
      <c r="F5" s="85" t="s">
        <v>128</v>
      </c>
      <c r="G5" s="86">
        <v>1.9230769230769231</v>
      </c>
      <c r="H5" s="85" t="s">
        <v>182</v>
      </c>
      <c r="I5" s="87">
        <v>0.45454545454545453</v>
      </c>
      <c r="J5" s="85" t="s">
        <v>127</v>
      </c>
      <c r="K5" s="87">
        <v>0.27777777777777779</v>
      </c>
      <c r="L5" s="85" t="s">
        <v>128</v>
      </c>
      <c r="M5" s="88">
        <v>0.31428571428571428</v>
      </c>
      <c r="N5" s="85" t="s">
        <v>127</v>
      </c>
      <c r="O5" s="88">
        <v>0.13968253968253969</v>
      </c>
      <c r="P5" s="85" t="s">
        <v>128</v>
      </c>
      <c r="Q5" s="89">
        <v>8688.181818181818</v>
      </c>
      <c r="R5" s="85" t="s">
        <v>179</v>
      </c>
      <c r="S5" s="89">
        <v>-7331.818181818182</v>
      </c>
      <c r="T5" s="85" t="s">
        <v>127</v>
      </c>
      <c r="U5" s="87">
        <v>5.5555555555555552E-2</v>
      </c>
      <c r="V5" s="85" t="s">
        <v>182</v>
      </c>
      <c r="W5" s="87">
        <v>0.18181818181818182</v>
      </c>
      <c r="X5" s="85" t="s">
        <v>196</v>
      </c>
      <c r="Y5" s="88">
        <v>0.27500000000000002</v>
      </c>
      <c r="Z5" s="85" t="s">
        <v>179</v>
      </c>
      <c r="AA5" s="88">
        <v>0.25</v>
      </c>
      <c r="AB5" s="85" t="s">
        <v>180</v>
      </c>
      <c r="AC5" s="88">
        <v>0.6</v>
      </c>
      <c r="AD5" s="85" t="s">
        <v>178</v>
      </c>
      <c r="AE5" s="88">
        <v>0.44827586206896552</v>
      </c>
      <c r="AF5" s="85" t="s">
        <v>167</v>
      </c>
      <c r="AG5" s="88">
        <v>0.47368421052631576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-3.5527136788005009E-14</v>
      </c>
      <c r="D6" s="85" t="s">
        <v>144</v>
      </c>
      <c r="E6" s="97">
        <v>-2.1147105230955362E-16</v>
      </c>
      <c r="F6" s="85" t="s">
        <v>167</v>
      </c>
      <c r="G6" s="86">
        <v>2</v>
      </c>
      <c r="H6" s="85" t="s">
        <v>128</v>
      </c>
      <c r="I6" s="87">
        <v>0.33333333333333331</v>
      </c>
      <c r="J6" s="85" t="s">
        <v>167</v>
      </c>
      <c r="K6" s="87">
        <v>0.29411764705882354</v>
      </c>
      <c r="L6" s="85" t="s">
        <v>144</v>
      </c>
      <c r="M6" s="88">
        <v>0.28950863213811423</v>
      </c>
      <c r="N6" s="85" t="s">
        <v>167</v>
      </c>
      <c r="O6" s="88">
        <v>0.16455696202531644</v>
      </c>
      <c r="P6" s="85" t="s">
        <v>144</v>
      </c>
      <c r="Q6" s="89">
        <v>8341.7431192660551</v>
      </c>
      <c r="R6" s="85" t="s">
        <v>128</v>
      </c>
      <c r="S6" s="89">
        <v>-7482.0895522388064</v>
      </c>
      <c r="T6" s="85" t="s">
        <v>180</v>
      </c>
      <c r="U6" s="87">
        <v>0.1</v>
      </c>
      <c r="V6" s="85" t="s">
        <v>128</v>
      </c>
      <c r="W6" s="87">
        <v>0.15384615384615385</v>
      </c>
      <c r="X6" s="85" t="s">
        <v>179</v>
      </c>
      <c r="Y6" s="88">
        <v>0.25</v>
      </c>
      <c r="Z6" s="85" t="s">
        <v>144</v>
      </c>
      <c r="AA6" s="88">
        <v>0.24966799468791501</v>
      </c>
      <c r="AB6" s="85" t="s">
        <v>167</v>
      </c>
      <c r="AC6" s="88">
        <v>0.56666666666666665</v>
      </c>
      <c r="AD6" s="85" t="s">
        <v>144</v>
      </c>
      <c r="AE6" s="88">
        <v>0.42021276595744683</v>
      </c>
      <c r="AF6" s="85" t="s">
        <v>127</v>
      </c>
      <c r="AG6" s="88">
        <v>0.43396226415094341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196</v>
      </c>
      <c r="C7" s="84">
        <v>-37.400000000000006</v>
      </c>
      <c r="D7" s="85" t="s">
        <v>179</v>
      </c>
      <c r="E7" s="97">
        <v>-3.4666666666666663</v>
      </c>
      <c r="F7" s="85" t="s">
        <v>144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180</v>
      </c>
      <c r="M7" s="88">
        <v>0.28176795580110497</v>
      </c>
      <c r="N7" s="85" t="s">
        <v>144</v>
      </c>
      <c r="O7" s="88">
        <v>0.17131474103585656</v>
      </c>
      <c r="P7" s="85" t="s">
        <v>127</v>
      </c>
      <c r="Q7" s="89">
        <v>8090.566037735849</v>
      </c>
      <c r="R7" s="85" t="s">
        <v>127</v>
      </c>
      <c r="S7" s="89">
        <v>-7722.727272727273</v>
      </c>
      <c r="T7" s="85" t="s">
        <v>144</v>
      </c>
      <c r="U7" s="87">
        <v>0.11904761904761904</v>
      </c>
      <c r="V7" s="85" t="s">
        <v>183</v>
      </c>
      <c r="W7" s="87">
        <v>0.125</v>
      </c>
      <c r="X7" s="85" t="s">
        <v>180</v>
      </c>
      <c r="Y7" s="88">
        <v>0.24861878453038674</v>
      </c>
      <c r="Z7" s="85" t="s">
        <v>178</v>
      </c>
      <c r="AA7" s="88">
        <v>0.23770491803278687</v>
      </c>
      <c r="AB7" s="85" t="s">
        <v>128</v>
      </c>
      <c r="AC7" s="88">
        <v>0.55844155844155841</v>
      </c>
      <c r="AD7" s="85" t="s">
        <v>180</v>
      </c>
      <c r="AE7" s="88">
        <v>0.40540540540540543</v>
      </c>
      <c r="AF7" s="85" t="s">
        <v>144</v>
      </c>
      <c r="AG7" s="88">
        <v>0.40596330275229359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179</v>
      </c>
      <c r="C8" s="84">
        <v>-62.399999999999991</v>
      </c>
      <c r="D8" s="85" t="s">
        <v>167</v>
      </c>
      <c r="E8" s="97">
        <v>-3.835294117647059</v>
      </c>
      <c r="F8" s="85" t="s">
        <v>196</v>
      </c>
      <c r="G8" s="86">
        <v>2</v>
      </c>
      <c r="H8" s="85" t="s">
        <v>167</v>
      </c>
      <c r="I8" s="87">
        <v>0.29411764705882354</v>
      </c>
      <c r="J8" s="85" t="s">
        <v>179</v>
      </c>
      <c r="K8" s="87">
        <v>0.3888888888888889</v>
      </c>
      <c r="L8" s="85" t="s">
        <v>179</v>
      </c>
      <c r="M8" s="88">
        <v>0.27380952380952384</v>
      </c>
      <c r="N8" s="85" t="s">
        <v>196</v>
      </c>
      <c r="O8" s="88">
        <v>0.17499999999999999</v>
      </c>
      <c r="P8" s="85" t="s">
        <v>196</v>
      </c>
      <c r="Q8" s="89">
        <v>7780</v>
      </c>
      <c r="R8" s="85" t="s">
        <v>144</v>
      </c>
      <c r="S8" s="89">
        <v>-7925.1937984496126</v>
      </c>
      <c r="T8" s="85" t="s">
        <v>128</v>
      </c>
      <c r="U8" s="87">
        <v>0.12820512820512819</v>
      </c>
      <c r="V8" s="85" t="s">
        <v>144</v>
      </c>
      <c r="W8" s="87">
        <v>0.11904761904761904</v>
      </c>
      <c r="X8" s="85" t="s">
        <v>127</v>
      </c>
      <c r="Y8" s="88">
        <v>0.24761904761904763</v>
      </c>
      <c r="Z8" s="85" t="s">
        <v>167</v>
      </c>
      <c r="AA8" s="88">
        <v>0.23417721518987342</v>
      </c>
      <c r="AB8" s="85" t="s">
        <v>144</v>
      </c>
      <c r="AC8" s="88">
        <v>0.54166666666666663</v>
      </c>
      <c r="AD8" s="85" t="s">
        <v>128</v>
      </c>
      <c r="AE8" s="88">
        <v>0.40170940170940173</v>
      </c>
      <c r="AF8" s="85" t="s">
        <v>196</v>
      </c>
      <c r="AG8" s="88">
        <v>0.4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167</v>
      </c>
      <c r="C9" s="84">
        <v>-65.2</v>
      </c>
      <c r="D9" s="85" t="s">
        <v>178</v>
      </c>
      <c r="E9" s="97">
        <v>-6.7866666666666644</v>
      </c>
      <c r="F9" s="85" t="s">
        <v>179</v>
      </c>
      <c r="G9" s="86">
        <v>2.1111111111111112</v>
      </c>
      <c r="H9" s="85" t="s">
        <v>179</v>
      </c>
      <c r="I9" s="87">
        <v>0.27777777777777779</v>
      </c>
      <c r="J9" s="85" t="s">
        <v>178</v>
      </c>
      <c r="K9" s="87">
        <v>0.4</v>
      </c>
      <c r="L9" s="85" t="s">
        <v>196</v>
      </c>
      <c r="M9" s="88">
        <v>0.25</v>
      </c>
      <c r="N9" s="85" t="s">
        <v>128</v>
      </c>
      <c r="O9" s="88">
        <v>0.19142857142857142</v>
      </c>
      <c r="P9" s="85" t="s">
        <v>182</v>
      </c>
      <c r="Q9" s="89">
        <v>7779.411764705882</v>
      </c>
      <c r="R9" s="85" t="s">
        <v>180</v>
      </c>
      <c r="S9" s="89">
        <v>-7933.333333333333</v>
      </c>
      <c r="T9" s="85" t="s">
        <v>179</v>
      </c>
      <c r="U9" s="87">
        <v>0.16666666666666666</v>
      </c>
      <c r="V9" s="85" t="s">
        <v>127</v>
      </c>
      <c r="W9" s="87">
        <v>0.1111111111111111</v>
      </c>
      <c r="X9" s="85" t="s">
        <v>144</v>
      </c>
      <c r="Y9" s="88">
        <v>0.23904382470119523</v>
      </c>
      <c r="Z9" s="85" t="s">
        <v>127</v>
      </c>
      <c r="AA9" s="88">
        <v>0.22222222222222221</v>
      </c>
      <c r="AB9" s="85" t="s">
        <v>179</v>
      </c>
      <c r="AC9" s="88">
        <v>0.47619047619047616</v>
      </c>
      <c r="AD9" s="85" t="s">
        <v>182</v>
      </c>
      <c r="AE9" s="88">
        <v>0.33333333333333331</v>
      </c>
      <c r="AF9" s="85" t="s">
        <v>179</v>
      </c>
      <c r="AG9" s="88">
        <v>0.36956521739130432</v>
      </c>
      <c r="AH9" s="85" t="s">
        <v>179</v>
      </c>
      <c r="AI9" s="92">
        <v>75000</v>
      </c>
    </row>
    <row r="10" spans="1:35" x14ac:dyDescent="0.4">
      <c r="A10" s="82">
        <v>8</v>
      </c>
      <c r="B10" s="83" t="s">
        <v>178</v>
      </c>
      <c r="C10" s="84">
        <v>-101.79999999999997</v>
      </c>
      <c r="D10" s="85" t="s">
        <v>180</v>
      </c>
      <c r="E10" s="97">
        <v>-8.879999999999999</v>
      </c>
      <c r="F10" s="85" t="s">
        <v>178</v>
      </c>
      <c r="G10" s="86">
        <v>2.1333333333333333</v>
      </c>
      <c r="H10" s="85" t="s">
        <v>178</v>
      </c>
      <c r="I10" s="87">
        <v>0.26666666666666666</v>
      </c>
      <c r="J10" s="85" t="s">
        <v>180</v>
      </c>
      <c r="K10" s="87">
        <v>0.45</v>
      </c>
      <c r="L10" s="85" t="s">
        <v>167</v>
      </c>
      <c r="M10" s="88">
        <v>0.24050632911392406</v>
      </c>
      <c r="N10" s="85" t="s">
        <v>178</v>
      </c>
      <c r="O10" s="88">
        <v>0.19672131147540983</v>
      </c>
      <c r="P10" s="85" t="s">
        <v>179</v>
      </c>
      <c r="Q10" s="89">
        <v>7491.304347826087</v>
      </c>
      <c r="R10" s="85" t="s">
        <v>196</v>
      </c>
      <c r="S10" s="89">
        <v>-9142.8571428571431</v>
      </c>
      <c r="T10" s="85" t="s">
        <v>183</v>
      </c>
      <c r="U10" s="87">
        <v>0.25</v>
      </c>
      <c r="V10" s="85" t="s">
        <v>179</v>
      </c>
      <c r="W10" s="87">
        <v>5.5555555555555552E-2</v>
      </c>
      <c r="X10" s="85" t="s">
        <v>178</v>
      </c>
      <c r="Y10" s="88">
        <v>0.22950819672131148</v>
      </c>
      <c r="Z10" s="85" t="s">
        <v>183</v>
      </c>
      <c r="AA10" s="88">
        <v>0.21739130434782608</v>
      </c>
      <c r="AB10" s="85" t="s">
        <v>183</v>
      </c>
      <c r="AC10" s="88">
        <v>0.47368421052631576</v>
      </c>
      <c r="AD10" s="85" t="s">
        <v>183</v>
      </c>
      <c r="AE10" s="88">
        <v>0.33333333333333331</v>
      </c>
      <c r="AF10" s="85" t="s">
        <v>128</v>
      </c>
      <c r="AG10" s="88">
        <v>0.36363636363636365</v>
      </c>
      <c r="AH10" s="85" t="s">
        <v>180</v>
      </c>
      <c r="AI10" s="92">
        <v>65400</v>
      </c>
    </row>
    <row r="11" spans="1:35" x14ac:dyDescent="0.4">
      <c r="A11" s="82">
        <v>9</v>
      </c>
      <c r="B11" s="83" t="s">
        <v>183</v>
      </c>
      <c r="C11" s="84">
        <v>-152.6</v>
      </c>
      <c r="D11" s="85" t="s">
        <v>196</v>
      </c>
      <c r="E11" s="97">
        <v>-9.3500000000000014</v>
      </c>
      <c r="F11" s="85" t="s">
        <v>180</v>
      </c>
      <c r="G11" s="86">
        <v>2.2999999999999998</v>
      </c>
      <c r="H11" s="85" t="s">
        <v>180</v>
      </c>
      <c r="I11" s="87">
        <v>0.15</v>
      </c>
      <c r="J11" s="85" t="s">
        <v>196</v>
      </c>
      <c r="K11" s="87">
        <v>0.5</v>
      </c>
      <c r="L11" s="85" t="s">
        <v>178</v>
      </c>
      <c r="M11" s="88">
        <v>0.22131147540983606</v>
      </c>
      <c r="N11" s="85" t="s">
        <v>180</v>
      </c>
      <c r="O11" s="88">
        <v>0.21546961325966851</v>
      </c>
      <c r="P11" s="85" t="s">
        <v>180</v>
      </c>
      <c r="Q11" s="89">
        <v>7464.7058823529414</v>
      </c>
      <c r="R11" s="85" t="s">
        <v>183</v>
      </c>
      <c r="S11" s="89">
        <v>-10035.294117647059</v>
      </c>
      <c r="T11" s="85" t="s">
        <v>178</v>
      </c>
      <c r="U11" s="87">
        <v>0.26666666666666666</v>
      </c>
      <c r="V11" s="85" t="s">
        <v>180</v>
      </c>
      <c r="W11" s="87">
        <v>0.05</v>
      </c>
      <c r="X11" s="85" t="s">
        <v>128</v>
      </c>
      <c r="Y11" s="88">
        <v>0.22</v>
      </c>
      <c r="Z11" s="85" t="s">
        <v>180</v>
      </c>
      <c r="AA11" s="88">
        <v>0.20441988950276244</v>
      </c>
      <c r="AB11" s="85" t="s">
        <v>196</v>
      </c>
      <c r="AC11" s="88">
        <v>0.45454545454545453</v>
      </c>
      <c r="AD11" s="85" t="s">
        <v>196</v>
      </c>
      <c r="AE11" s="88">
        <v>0.2857142857142857</v>
      </c>
      <c r="AF11" s="85" t="s">
        <v>180</v>
      </c>
      <c r="AG11" s="88">
        <v>0.35294117647058826</v>
      </c>
      <c r="AH11" s="85" t="s">
        <v>196</v>
      </c>
      <c r="AI11" s="92">
        <v>59500</v>
      </c>
    </row>
    <row r="12" spans="1:35" x14ac:dyDescent="0.4">
      <c r="A12" s="82">
        <v>10</v>
      </c>
      <c r="B12" s="83" t="s">
        <v>180</v>
      </c>
      <c r="C12" s="84">
        <v>-177.6</v>
      </c>
      <c r="D12" s="85" t="s">
        <v>183</v>
      </c>
      <c r="E12" s="97">
        <v>-19.074999999999999</v>
      </c>
      <c r="F12" s="85" t="s">
        <v>183</v>
      </c>
      <c r="G12" s="86">
        <v>2.5</v>
      </c>
      <c r="H12" s="85" t="s">
        <v>183</v>
      </c>
      <c r="I12" s="87">
        <v>0.125</v>
      </c>
      <c r="J12" s="85" t="s">
        <v>183</v>
      </c>
      <c r="K12" s="87">
        <v>0.625</v>
      </c>
      <c r="L12" s="85" t="s">
        <v>183</v>
      </c>
      <c r="M12" s="88">
        <v>0.20289855072463769</v>
      </c>
      <c r="N12" s="85" t="s">
        <v>183</v>
      </c>
      <c r="O12" s="88">
        <v>0.24637681159420291</v>
      </c>
      <c r="P12" s="85" t="s">
        <v>167</v>
      </c>
      <c r="Q12" s="89">
        <v>7444.7368421052633</v>
      </c>
      <c r="R12" s="85" t="s">
        <v>178</v>
      </c>
      <c r="S12" s="89">
        <v>-10254.166666666666</v>
      </c>
      <c r="T12" s="85" t="s">
        <v>196</v>
      </c>
      <c r="U12" s="87">
        <v>0.5</v>
      </c>
      <c r="V12" s="85" t="s">
        <v>167</v>
      </c>
      <c r="W12" s="87">
        <v>0</v>
      </c>
      <c r="X12" s="85" t="s">
        <v>167</v>
      </c>
      <c r="Y12" s="88">
        <v>0.189873417721519</v>
      </c>
      <c r="Z12" s="85" t="s">
        <v>182</v>
      </c>
      <c r="AA12" s="88">
        <v>0.14563106796116504</v>
      </c>
      <c r="AB12" s="85" t="s">
        <v>178</v>
      </c>
      <c r="AC12" s="88">
        <v>0.25</v>
      </c>
      <c r="AD12" s="85" t="s">
        <v>167</v>
      </c>
      <c r="AE12" s="88">
        <v>0.27027027027027029</v>
      </c>
      <c r="AF12" s="85" t="s">
        <v>178</v>
      </c>
      <c r="AG12" s="88">
        <v>0.29629629629629628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D3B6-A6F2-46F8-AB5B-DFDB7C57E2A9}">
  <sheetPr codeName="Sheet4"/>
  <dimension ref="A1:Q17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168</v>
      </c>
      <c r="C2" s="151"/>
      <c r="E2" s="62" t="s">
        <v>67</v>
      </c>
      <c r="F2" s="59" t="s">
        <v>23</v>
      </c>
      <c r="G2" s="46">
        <v>336</v>
      </c>
      <c r="H2" s="132">
        <f>IF(B$17=0,0,G2/B$17)</f>
        <v>0.77064220183486243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-23.80952380952381</v>
      </c>
      <c r="P2" s="118">
        <v>168</v>
      </c>
      <c r="Q2" s="102">
        <v>-4000</v>
      </c>
    </row>
    <row r="3" spans="1:17" x14ac:dyDescent="0.4">
      <c r="A3" s="55" t="s">
        <v>8</v>
      </c>
      <c r="B3" s="152">
        <v>1506</v>
      </c>
      <c r="C3" s="153"/>
      <c r="E3" s="63" t="s">
        <v>73</v>
      </c>
      <c r="F3" s="60" t="s">
        <v>28</v>
      </c>
      <c r="G3" s="47">
        <v>259</v>
      </c>
      <c r="H3" s="133">
        <f>IF(B$17=0,0,G3/B$17)</f>
        <v>0.59403669724770647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18.518518518518519</v>
      </c>
      <c r="P3" s="119">
        <v>162</v>
      </c>
      <c r="Q3" s="103">
        <v>3000</v>
      </c>
    </row>
    <row r="4" spans="1:17" x14ac:dyDescent="0.4">
      <c r="A4" s="55" t="s">
        <v>6</v>
      </c>
      <c r="B4" s="154">
        <v>-3.5527136788005009E-14</v>
      </c>
      <c r="C4" s="155"/>
      <c r="E4" s="63" t="s">
        <v>65</v>
      </c>
      <c r="F4" s="60" t="s">
        <v>21</v>
      </c>
      <c r="G4" s="47">
        <v>190</v>
      </c>
      <c r="H4" s="133">
        <f>IF(B$17=0,0,G4/B$17)</f>
        <v>0.43577981651376146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-37.735849056603776</v>
      </c>
      <c r="P4" s="119">
        <v>159</v>
      </c>
      <c r="Q4" s="103">
        <v>-6000</v>
      </c>
    </row>
    <row r="5" spans="1:17" x14ac:dyDescent="0.4">
      <c r="A5" s="55" t="s">
        <v>7</v>
      </c>
      <c r="B5" s="156">
        <f>IF(B$2=0,0,B$4/B$2)</f>
        <v>-2.1147105230955362E-16</v>
      </c>
      <c r="C5" s="157"/>
      <c r="E5" s="63" t="s">
        <v>172</v>
      </c>
      <c r="F5" s="60" t="s">
        <v>173</v>
      </c>
      <c r="G5" s="47">
        <v>155</v>
      </c>
      <c r="H5" s="133">
        <f>IF(B$17=0,0,G5/B$17)</f>
        <v>0.35550458715596328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33.333333333333336</v>
      </c>
      <c r="P5" s="119">
        <v>150</v>
      </c>
      <c r="Q5" s="103">
        <v>5000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123</v>
      </c>
      <c r="H6" s="133">
        <f>IF(B$17=0,0,G6/B$17)</f>
        <v>0.28211009174311924</v>
      </c>
      <c r="I6" s="94">
        <v>5</v>
      </c>
      <c r="K6" s="38">
        <v>4</v>
      </c>
      <c r="L6" s="99">
        <v>24.5</v>
      </c>
      <c r="N6" s="115" t="s">
        <v>135</v>
      </c>
      <c r="O6" s="122">
        <f t="shared" si="0"/>
        <v>14.814814814814815</v>
      </c>
      <c r="P6" s="119">
        <v>135</v>
      </c>
      <c r="Q6" s="103">
        <v>2000</v>
      </c>
    </row>
    <row r="7" spans="1:17" x14ac:dyDescent="0.4">
      <c r="A7" s="55" t="s">
        <v>2</v>
      </c>
      <c r="B7" s="47">
        <v>56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108</v>
      </c>
      <c r="H7" s="133">
        <f>IF(B$17=0,0,G7/B$17)</f>
        <v>0.24770642201834864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105</v>
      </c>
      <c r="Q7" s="104">
        <v>0</v>
      </c>
    </row>
    <row r="8" spans="1:17" x14ac:dyDescent="0.4">
      <c r="A8" s="55" t="s">
        <v>3</v>
      </c>
      <c r="B8" s="47">
        <v>56</v>
      </c>
      <c r="C8" s="39">
        <f t="shared" si="1"/>
        <v>0.33333333333333331</v>
      </c>
      <c r="E8" s="63" t="s">
        <v>70</v>
      </c>
      <c r="F8" s="60" t="s">
        <v>25</v>
      </c>
      <c r="G8" s="47">
        <v>57</v>
      </c>
      <c r="H8" s="133">
        <f>IF(B$17=0,0,G8/B$17)</f>
        <v>0.13073394495412843</v>
      </c>
      <c r="I8" s="94">
        <v>5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56</v>
      </c>
      <c r="C9" s="40">
        <f t="shared" si="1"/>
        <v>0.33333333333333331</v>
      </c>
      <c r="E9" s="63" t="s">
        <v>90</v>
      </c>
      <c r="F9" s="60" t="s">
        <v>45</v>
      </c>
      <c r="G9" s="47">
        <v>57</v>
      </c>
      <c r="H9" s="133">
        <f>IF(B$17=0,0,G9/B$17)</f>
        <v>0.13073394495412843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20</v>
      </c>
      <c r="C10" s="40">
        <f t="shared" si="1"/>
        <v>0.11904761904761904</v>
      </c>
      <c r="E10" s="63" t="s">
        <v>66</v>
      </c>
      <c r="F10" s="60" t="s">
        <v>22</v>
      </c>
      <c r="G10" s="47">
        <v>40</v>
      </c>
      <c r="H10" s="133">
        <f>IF(B$17=0,0,G10/B$17)</f>
        <v>9.1743119266055051E-2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2.5392857142857137</v>
      </c>
      <c r="P10" s="118">
        <v>56</v>
      </c>
      <c r="Q10" s="106">
        <v>142.19999999999996</v>
      </c>
    </row>
    <row r="11" spans="1:17" x14ac:dyDescent="0.4">
      <c r="A11" s="56" t="s">
        <v>139</v>
      </c>
      <c r="B11" s="48">
        <v>20</v>
      </c>
      <c r="C11" s="40">
        <f t="shared" si="1"/>
        <v>0.11904761904761904</v>
      </c>
      <c r="E11" s="63" t="s">
        <v>71</v>
      </c>
      <c r="F11" s="60" t="s">
        <v>26</v>
      </c>
      <c r="G11" s="47">
        <v>32</v>
      </c>
      <c r="H11" s="133">
        <f>IF(B$17=0,0,G11/B$17)</f>
        <v>7.3394495412844041E-2</v>
      </c>
      <c r="I11" s="94">
        <v>5</v>
      </c>
      <c r="K11" s="38">
        <v>9</v>
      </c>
      <c r="L11" s="99">
        <v>0</v>
      </c>
      <c r="N11" s="115" t="s">
        <v>164</v>
      </c>
      <c r="O11" s="125">
        <f>IF(P11=0,0,Q11/P11)</f>
        <v>-0.81071428571428539</v>
      </c>
      <c r="P11" s="119">
        <v>56</v>
      </c>
      <c r="Q11" s="107">
        <v>-45.399999999999984</v>
      </c>
    </row>
    <row r="12" spans="1:17" x14ac:dyDescent="0.4">
      <c r="A12" s="57" t="s">
        <v>159</v>
      </c>
      <c r="B12" s="49">
        <v>17</v>
      </c>
      <c r="C12" s="42">
        <f t="shared" si="1"/>
        <v>0.10119047619047619</v>
      </c>
      <c r="E12" s="63" t="s">
        <v>72</v>
      </c>
      <c r="F12" s="60" t="s">
        <v>27</v>
      </c>
      <c r="G12" s="47">
        <v>28</v>
      </c>
      <c r="H12" s="133">
        <f>IF(B$17=0,0,G12/B$17)</f>
        <v>6.4220183486238536E-2</v>
      </c>
      <c r="I12" s="94">
        <v>5</v>
      </c>
      <c r="K12" s="38">
        <v>10</v>
      </c>
      <c r="L12" s="99">
        <v>-12</v>
      </c>
      <c r="N12" s="116" t="s">
        <v>165</v>
      </c>
      <c r="O12" s="126">
        <f>IF(P12=0,0,Q12/P12)</f>
        <v>-1.7285714285714273</v>
      </c>
      <c r="P12" s="120">
        <v>56</v>
      </c>
      <c r="Q12" s="108">
        <v>-96.799999999999926</v>
      </c>
    </row>
    <row r="13" spans="1:17" x14ac:dyDescent="0.4">
      <c r="A13" s="58" t="s">
        <v>122</v>
      </c>
      <c r="B13" s="50">
        <v>360</v>
      </c>
      <c r="C13" s="44">
        <f>IF(B$3=0,0,B13/B$3)</f>
        <v>0.23904382470119523</v>
      </c>
      <c r="E13" s="63" t="s">
        <v>84</v>
      </c>
      <c r="F13" s="60" t="s">
        <v>39</v>
      </c>
      <c r="G13" s="47">
        <v>26</v>
      </c>
      <c r="H13" s="133">
        <f>IF(B$17=0,0,G13/B$17)</f>
        <v>5.9633027522935783E-2</v>
      </c>
      <c r="I13" s="94">
        <v>6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376</v>
      </c>
      <c r="C14" s="39">
        <f>IF(B$3=0,0,B14/B$3)</f>
        <v>0.24966799468791501</v>
      </c>
      <c r="E14" s="63" t="s">
        <v>87</v>
      </c>
      <c r="F14" s="60" t="s">
        <v>42</v>
      </c>
      <c r="G14" s="47">
        <v>22</v>
      </c>
      <c r="H14" s="133">
        <f>IF(B$17=0,0,G14/B$17)</f>
        <v>5.0458715596330278E-2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195</v>
      </c>
      <c r="C15" s="37">
        <f>IF(B$13=0,0,B15/B$13)</f>
        <v>0.54166666666666663</v>
      </c>
      <c r="E15" s="63" t="s">
        <v>79</v>
      </c>
      <c r="F15" s="60" t="s">
        <v>34</v>
      </c>
      <c r="G15" s="47">
        <v>13</v>
      </c>
      <c r="H15" s="133">
        <f>IF(B$17=0,0,G15/B$17)</f>
        <v>2.9816513761467892E-2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28.612500000000004</v>
      </c>
      <c r="P15" s="118">
        <v>16</v>
      </c>
      <c r="Q15" s="106">
        <v>457.80000000000007</v>
      </c>
    </row>
    <row r="16" spans="1:17" x14ac:dyDescent="0.4">
      <c r="A16" s="54" t="s">
        <v>125</v>
      </c>
      <c r="B16" s="46">
        <v>158</v>
      </c>
      <c r="C16" s="37">
        <f>IF(B$14=0,0,B16/B$14)</f>
        <v>0.42021276595744683</v>
      </c>
      <c r="E16" s="63" t="s">
        <v>82</v>
      </c>
      <c r="F16" s="60" t="s">
        <v>37</v>
      </c>
      <c r="G16" s="47">
        <v>10</v>
      </c>
      <c r="H16" s="133">
        <f>IF(B$17=0,0,G16/B$17)</f>
        <v>2.2935779816513763E-2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>IF(P16=0,0,Q16/P16)</f>
        <v>14.025000000000006</v>
      </c>
      <c r="P16" s="119">
        <v>8</v>
      </c>
      <c r="Q16" s="107">
        <v>112.20000000000005</v>
      </c>
    </row>
    <row r="17" spans="1:17" x14ac:dyDescent="0.4">
      <c r="A17" s="54" t="s">
        <v>10</v>
      </c>
      <c r="B17" s="46">
        <f>B19+B18</f>
        <v>436</v>
      </c>
      <c r="C17" s="37">
        <f>IF(B$3=0,0,B17/B$3)</f>
        <v>0.28950863213811423</v>
      </c>
      <c r="E17" s="63" t="s">
        <v>80</v>
      </c>
      <c r="F17" s="60" t="s">
        <v>35</v>
      </c>
      <c r="G17" s="47">
        <v>7</v>
      </c>
      <c r="H17" s="133">
        <f>IF(B$17=0,0,G17/B$17)</f>
        <v>1.6055045871559634E-2</v>
      </c>
      <c r="I17" s="94">
        <v>5</v>
      </c>
      <c r="K17" s="38">
        <v>15</v>
      </c>
      <c r="L17" s="99">
        <v>0</v>
      </c>
      <c r="N17" s="115" t="s">
        <v>180</v>
      </c>
      <c r="O17" s="125">
        <f>IF(P17=0,0,Q17/P17)</f>
        <v>13.320000000000002</v>
      </c>
      <c r="P17" s="119">
        <v>40</v>
      </c>
      <c r="Q17" s="107">
        <v>532.80000000000007</v>
      </c>
    </row>
    <row r="18" spans="1:17" x14ac:dyDescent="0.4">
      <c r="A18" s="55" t="s">
        <v>12</v>
      </c>
      <c r="B18" s="47">
        <v>177</v>
      </c>
      <c r="C18" s="39">
        <f>IF(B$17=0,0,B18/B$17)</f>
        <v>0.40596330275229359</v>
      </c>
      <c r="E18" s="63" t="s">
        <v>92</v>
      </c>
      <c r="F18" s="60" t="s">
        <v>47</v>
      </c>
      <c r="G18" s="47">
        <v>7</v>
      </c>
      <c r="H18" s="133">
        <f>IF(B$17=0,0,G18/B$17)</f>
        <v>1.6055045871559634E-2</v>
      </c>
      <c r="I18" s="94">
        <v>4</v>
      </c>
      <c r="K18" s="38">
        <v>16</v>
      </c>
      <c r="L18" s="99">
        <v>-28.2</v>
      </c>
      <c r="N18" s="115" t="s">
        <v>178</v>
      </c>
      <c r="O18" s="125">
        <f>IF(P18=0,0,Q18/P18)</f>
        <v>10.179999999999998</v>
      </c>
      <c r="P18" s="119">
        <v>30</v>
      </c>
      <c r="Q18" s="107">
        <v>305.39999999999992</v>
      </c>
    </row>
    <row r="19" spans="1:17" x14ac:dyDescent="0.4">
      <c r="A19" s="55" t="s">
        <v>11</v>
      </c>
      <c r="B19" s="47">
        <v>259</v>
      </c>
      <c r="C19" s="39">
        <f>IF(B$17=0,0,B19/B$17)</f>
        <v>0.59403669724770647</v>
      </c>
      <c r="E19" s="63" t="s">
        <v>168</v>
      </c>
      <c r="F19" s="60" t="s">
        <v>169</v>
      </c>
      <c r="G19" s="47">
        <v>6</v>
      </c>
      <c r="H19" s="133">
        <f>IF(B$17=0,0,G19/B$17)</f>
        <v>1.3761467889908258E-2</v>
      </c>
      <c r="I19" s="94">
        <v>3</v>
      </c>
      <c r="K19" s="38">
        <v>17</v>
      </c>
      <c r="L19" s="99">
        <v>-20.5</v>
      </c>
      <c r="N19" s="115" t="s">
        <v>167</v>
      </c>
      <c r="O19" s="125">
        <f>IF(P19=0,0,Q19/P19)</f>
        <v>5.75294117647059</v>
      </c>
      <c r="P19" s="119">
        <v>34</v>
      </c>
      <c r="Q19" s="107">
        <v>195.60000000000005</v>
      </c>
    </row>
    <row r="20" spans="1:17" x14ac:dyDescent="0.4">
      <c r="A20" s="55" t="s">
        <v>13</v>
      </c>
      <c r="B20" s="47">
        <v>258</v>
      </c>
      <c r="C20" s="39">
        <f>IF(B$3=0,0,B20/B$3)</f>
        <v>0.17131474103585656</v>
      </c>
      <c r="E20" s="63" t="s">
        <v>93</v>
      </c>
      <c r="F20" s="60" t="s">
        <v>48</v>
      </c>
      <c r="G20" s="47">
        <v>5</v>
      </c>
      <c r="H20" s="133">
        <f>IF(B$17=0,0,G20/B$17)</f>
        <v>1.1467889908256881E-2</v>
      </c>
      <c r="I20" s="94">
        <v>3</v>
      </c>
      <c r="K20" s="38">
        <v>18</v>
      </c>
      <c r="L20" s="99">
        <v>0</v>
      </c>
      <c r="N20" s="115" t="s">
        <v>179</v>
      </c>
      <c r="O20" s="125">
        <f>IF(P20=0,0,Q20/P20)</f>
        <v>5.1999999999999993</v>
      </c>
      <c r="P20" s="119">
        <v>36</v>
      </c>
      <c r="Q20" s="107">
        <v>187.19999999999996</v>
      </c>
    </row>
    <row r="21" spans="1:17" x14ac:dyDescent="0.4">
      <c r="A21" s="55" t="s">
        <v>170</v>
      </c>
      <c r="B21" s="47">
        <v>7</v>
      </c>
      <c r="C21" s="135">
        <v>1</v>
      </c>
      <c r="E21" s="63" t="s">
        <v>78</v>
      </c>
      <c r="F21" s="60" t="s">
        <v>33</v>
      </c>
      <c r="G21" s="47">
        <v>3</v>
      </c>
      <c r="H21" s="133">
        <f>IF(B$17=0,0,G21/B$17)</f>
        <v>6.8807339449541288E-3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-6.1076923076923091</v>
      </c>
      <c r="P21" s="119">
        <v>78</v>
      </c>
      <c r="Q21" s="107">
        <v>-476.40000000000009</v>
      </c>
    </row>
    <row r="22" spans="1:17" x14ac:dyDescent="0.4">
      <c r="A22" s="55" t="s">
        <v>171</v>
      </c>
      <c r="B22" s="47">
        <v>26</v>
      </c>
      <c r="C22" s="135">
        <v>1</v>
      </c>
      <c r="E22" s="63" t="s">
        <v>86</v>
      </c>
      <c r="F22" s="60" t="s">
        <v>41</v>
      </c>
      <c r="G22" s="47">
        <v>3</v>
      </c>
      <c r="H22" s="133">
        <f>IF(B$17=0,0,G22/B$17)</f>
        <v>6.8807339449541288E-3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-13.004166666666674</v>
      </c>
      <c r="P22" s="119">
        <v>72</v>
      </c>
      <c r="Q22" s="107">
        <v>-936.30000000000052</v>
      </c>
    </row>
    <row r="23" spans="1:17" x14ac:dyDescent="0.4">
      <c r="A23" s="55" t="s">
        <v>5</v>
      </c>
      <c r="B23" s="51">
        <f>IF(B$17=0,0,C23/B$17)</f>
        <v>8341.7431192660551</v>
      </c>
      <c r="C23" s="41">
        <v>3637000</v>
      </c>
      <c r="E23" s="63" t="s">
        <v>85</v>
      </c>
      <c r="F23" s="60" t="s">
        <v>40</v>
      </c>
      <c r="G23" s="47">
        <v>2</v>
      </c>
      <c r="H23" s="133">
        <f>IF(B$17=0,0,G23/B$17)</f>
        <v>4.5871559633027525E-3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-7925.1937984496126</v>
      </c>
      <c r="C24" s="45">
        <v>-2044700</v>
      </c>
      <c r="E24" s="63" t="s">
        <v>89</v>
      </c>
      <c r="F24" s="60" t="s">
        <v>44</v>
      </c>
      <c r="G24" s="47">
        <v>2</v>
      </c>
      <c r="H24" s="133">
        <f>IF(B$17=0,0,G24/B$17)</f>
        <v>4.5871559633027525E-3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75</v>
      </c>
      <c r="F25" s="60" t="s">
        <v>30</v>
      </c>
      <c r="G25" s="47">
        <v>1</v>
      </c>
      <c r="H25" s="133">
        <f>IF(B$17=0,0,G25/B$17)</f>
        <v>2.2935779816513763E-3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76</v>
      </c>
      <c r="F26" s="60" t="s">
        <v>31</v>
      </c>
      <c r="G26" s="47">
        <v>1</v>
      </c>
      <c r="H26" s="133">
        <f>IF(B$17=0,0,G26/B$17)</f>
        <v>2.2935779816513763E-3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4</v>
      </c>
      <c r="C27" s="42">
        <f>IF(B$3=0,0,B27/B$3)</f>
        <v>2.6560424966799467E-3</v>
      </c>
      <c r="E27" s="63" t="s">
        <v>88</v>
      </c>
      <c r="F27" s="60" t="s">
        <v>43</v>
      </c>
      <c r="G27" s="47">
        <v>1</v>
      </c>
      <c r="H27" s="133">
        <f>IF(B$17=0,0,G27/B$17)</f>
        <v>2.2935779816513763E-3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2.2935779816513763E-3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2.2935779816513763E-3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74</v>
      </c>
      <c r="F30" s="60" t="s">
        <v>29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D9A38-4F8F-4D3E-96C5-D611969715B9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17</v>
      </c>
      <c r="C2" s="151"/>
      <c r="E2" s="62" t="s">
        <v>65</v>
      </c>
      <c r="F2" s="59" t="s">
        <v>21</v>
      </c>
      <c r="G2" s="46">
        <v>15</v>
      </c>
      <c r="H2" s="132">
        <f>IF(B$17=0,0,G2/B$17)</f>
        <v>0.39473684210526316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-1335.2941176470588</v>
      </c>
      <c r="P2" s="118">
        <v>17</v>
      </c>
      <c r="Q2" s="102">
        <v>-22700</v>
      </c>
    </row>
    <row r="3" spans="1:17" x14ac:dyDescent="0.4">
      <c r="A3" s="55" t="s">
        <v>8</v>
      </c>
      <c r="B3" s="152">
        <v>158</v>
      </c>
      <c r="C3" s="153"/>
      <c r="E3" s="63" t="s">
        <v>66</v>
      </c>
      <c r="F3" s="60" t="s">
        <v>22</v>
      </c>
      <c r="G3" s="47">
        <v>6</v>
      </c>
      <c r="H3" s="133">
        <f>IF(B$17=0,0,G3/B$17)</f>
        <v>0.15789473684210525</v>
      </c>
      <c r="I3" s="94">
        <v>2</v>
      </c>
      <c r="K3" s="38">
        <v>1</v>
      </c>
      <c r="L3" s="99">
        <v>-4.5999999999999996</v>
      </c>
      <c r="N3" s="115" t="s">
        <v>132</v>
      </c>
      <c r="O3" s="122">
        <f t="shared" si="0"/>
        <v>235.29411764705881</v>
      </c>
      <c r="P3" s="119">
        <v>17</v>
      </c>
      <c r="Q3" s="103">
        <v>4000</v>
      </c>
    </row>
    <row r="4" spans="1:17" x14ac:dyDescent="0.4">
      <c r="A4" s="55" t="s">
        <v>6</v>
      </c>
      <c r="B4" s="154">
        <v>-65.2</v>
      </c>
      <c r="C4" s="155"/>
      <c r="E4" s="63" t="s">
        <v>67</v>
      </c>
      <c r="F4" s="60" t="s">
        <v>23</v>
      </c>
      <c r="G4" s="47">
        <v>25</v>
      </c>
      <c r="H4" s="133">
        <f>IF(B$17=0,0,G4/B$17)</f>
        <v>0.65789473684210531</v>
      </c>
      <c r="I4" s="94">
        <v>9</v>
      </c>
      <c r="K4" s="38">
        <v>2</v>
      </c>
      <c r="L4" s="99">
        <v>19.899999999999999</v>
      </c>
      <c r="N4" s="115" t="s">
        <v>133</v>
      </c>
      <c r="O4" s="122">
        <f t="shared" si="0"/>
        <v>1029.4117647058824</v>
      </c>
      <c r="P4" s="119">
        <v>17</v>
      </c>
      <c r="Q4" s="103">
        <v>17500</v>
      </c>
    </row>
    <row r="5" spans="1:17" x14ac:dyDescent="0.4">
      <c r="A5" s="55" t="s">
        <v>7</v>
      </c>
      <c r="B5" s="156">
        <f>IF(B$2=0,0,B$4/B$2)</f>
        <v>-3.835294117647059</v>
      </c>
      <c r="C5" s="157"/>
      <c r="E5" s="63" t="s">
        <v>68</v>
      </c>
      <c r="F5" s="60" t="s">
        <v>24</v>
      </c>
      <c r="G5" s="47">
        <v>6</v>
      </c>
      <c r="H5" s="133">
        <f>IF(B$17=0,0,G5/B$17)</f>
        <v>0.15789473684210525</v>
      </c>
      <c r="I5" s="94">
        <v>9</v>
      </c>
      <c r="K5" s="38">
        <v>3</v>
      </c>
      <c r="L5" s="99">
        <v>-8.3000000000000007</v>
      </c>
      <c r="N5" s="115" t="s">
        <v>134</v>
      </c>
      <c r="O5" s="122">
        <f t="shared" si="0"/>
        <v>-418.75</v>
      </c>
      <c r="P5" s="119">
        <v>16</v>
      </c>
      <c r="Q5" s="103">
        <v>-6700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0.34210526315789475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-1762.5</v>
      </c>
      <c r="P6" s="119">
        <v>16</v>
      </c>
      <c r="Q6" s="103">
        <v>-28200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0.29411764705882354</v>
      </c>
      <c r="E7" s="63" t="s">
        <v>70</v>
      </c>
      <c r="F7" s="60" t="s">
        <v>25</v>
      </c>
      <c r="G7" s="47">
        <v>11</v>
      </c>
      <c r="H7" s="133">
        <f>IF(B$17=0,0,G7/B$17)</f>
        <v>0.28947368421052633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-2615.3846153846152</v>
      </c>
      <c r="P7" s="120">
        <v>13</v>
      </c>
      <c r="Q7" s="104">
        <v>-34000</v>
      </c>
    </row>
    <row r="8" spans="1:17" x14ac:dyDescent="0.4">
      <c r="A8" s="55" t="s">
        <v>3</v>
      </c>
      <c r="B8" s="47">
        <v>7</v>
      </c>
      <c r="C8" s="39">
        <f t="shared" si="1"/>
        <v>0.41176470588235292</v>
      </c>
      <c r="E8" s="63" t="s">
        <v>71</v>
      </c>
      <c r="F8" s="60" t="s">
        <v>26</v>
      </c>
      <c r="G8" s="47">
        <v>6</v>
      </c>
      <c r="H8" s="133">
        <f>IF(B$17=0,0,G8/B$17)</f>
        <v>0.15789473684210525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0.29411764705882354</v>
      </c>
      <c r="E9" s="63" t="s">
        <v>72</v>
      </c>
      <c r="F9" s="60" t="s">
        <v>27</v>
      </c>
      <c r="G9" s="47">
        <v>5</v>
      </c>
      <c r="H9" s="133">
        <f>IF(B$17=0,0,G9/B$17)</f>
        <v>0.13157894736842105</v>
      </c>
      <c r="I9" s="94">
        <v>1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20</v>
      </c>
      <c r="H10" s="133">
        <f>IF(B$17=0,0,G10/B$17)</f>
        <v>0.52631578947368418</v>
      </c>
      <c r="I10" s="94">
        <v>7</v>
      </c>
      <c r="K10" s="38">
        <v>8</v>
      </c>
      <c r="L10" s="99">
        <v>-76.900000000000006</v>
      </c>
      <c r="N10" s="114" t="s">
        <v>163</v>
      </c>
      <c r="O10" s="124">
        <f>IF(P10=0,0,Q10/P10)</f>
        <v>-6.3833333333333329</v>
      </c>
      <c r="P10" s="118">
        <v>6</v>
      </c>
      <c r="Q10" s="106">
        <v>-38.299999999999997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1"/>
        <v>0.17647058823529413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8.5</v>
      </c>
      <c r="P12" s="120">
        <v>6</v>
      </c>
      <c r="Q12" s="108">
        <v>51</v>
      </c>
    </row>
    <row r="13" spans="1:17" x14ac:dyDescent="0.4">
      <c r="A13" s="58" t="s">
        <v>122</v>
      </c>
      <c r="B13" s="50">
        <v>30</v>
      </c>
      <c r="C13" s="44">
        <f>IF(B$3=0,0,B13/B$3)</f>
        <v>0.189873417721519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0.23417721518987342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17</v>
      </c>
      <c r="C15" s="37">
        <f>IF(B$13=0,0,B15/B$13)</f>
        <v>0.56666666666666665</v>
      </c>
      <c r="E15" s="63" t="s">
        <v>78</v>
      </c>
      <c r="F15" s="60" t="s">
        <v>33</v>
      </c>
      <c r="G15" s="47">
        <v>1</v>
      </c>
      <c r="H15" s="133">
        <f>IF(B$17=0,0,G15/B$17)</f>
        <v>2.6315789473684209E-2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10</v>
      </c>
      <c r="C16" s="37">
        <f>IF(B$14=0,0,B16/B$14)</f>
        <v>0.27027027027027029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38</v>
      </c>
      <c r="C17" s="37">
        <f>IF(B$3=0,0,B17/B$3)</f>
        <v>0.24050632911392406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-65.2</v>
      </c>
      <c r="N17" s="115" t="s">
        <v>127</v>
      </c>
      <c r="O17" s="125">
        <f>IF(P17=0,0,Q17/P17)</f>
        <v>-6.2692307692307727</v>
      </c>
      <c r="P17" s="119">
        <v>13</v>
      </c>
      <c r="Q17" s="107">
        <v>-81.500000000000043</v>
      </c>
    </row>
    <row r="18" spans="1:17" x14ac:dyDescent="0.4">
      <c r="A18" s="55" t="s">
        <v>12</v>
      </c>
      <c r="B18" s="47">
        <v>18</v>
      </c>
      <c r="C18" s="39">
        <f>IF(B$17=0,0,B18/B$17)</f>
        <v>0.47368421052631576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-70.600000000000009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20</v>
      </c>
      <c r="C19" s="39">
        <f>IF(B$17=0,0,B19/B$17)</f>
        <v>0.52631578947368418</v>
      </c>
      <c r="E19" s="63" t="s">
        <v>82</v>
      </c>
      <c r="F19" s="60" t="s">
        <v>37</v>
      </c>
      <c r="G19" s="47">
        <v>2</v>
      </c>
      <c r="H19" s="133">
        <f>IF(B$17=0,0,G19/B$17)</f>
        <v>5.2631578947368418E-2</v>
      </c>
      <c r="I19" s="94">
        <v>3</v>
      </c>
      <c r="K19" s="38">
        <v>17</v>
      </c>
      <c r="L19" s="99">
        <v>-65.2</v>
      </c>
      <c r="N19" s="115" t="s">
        <v>180</v>
      </c>
      <c r="O19" s="125">
        <f>IF(P19=0,0,Q19/P19)</f>
        <v>-17.383333333333333</v>
      </c>
      <c r="P19" s="119">
        <v>6</v>
      </c>
      <c r="Q19" s="107">
        <v>-104.3</v>
      </c>
    </row>
    <row r="20" spans="1:17" x14ac:dyDescent="0.4">
      <c r="A20" s="55" t="s">
        <v>13</v>
      </c>
      <c r="B20" s="47">
        <v>26</v>
      </c>
      <c r="C20" s="39">
        <f>IF(B$3=0,0,B20/B$3)</f>
        <v>0.16455696202531644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7.8947368421052627E-2</v>
      </c>
      <c r="I21" s="94">
        <v>4</v>
      </c>
    </row>
    <row r="22" spans="1:17" x14ac:dyDescent="0.4">
      <c r="A22" s="55" t="s">
        <v>171</v>
      </c>
      <c r="B22" s="47">
        <v>17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7444.7368421052633</v>
      </c>
      <c r="C23" s="41">
        <v>282900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-6911.5384615384619</v>
      </c>
      <c r="C24" s="45">
        <v>-179700</v>
      </c>
      <c r="E24" s="63" t="s">
        <v>87</v>
      </c>
      <c r="F24" s="60" t="s">
        <v>42</v>
      </c>
      <c r="G24" s="47">
        <v>1</v>
      </c>
      <c r="H24" s="133">
        <f>IF(B$17=0,0,G24/B$17)</f>
        <v>2.6315789473684209E-2</v>
      </c>
      <c r="I24" s="94">
        <v>10</v>
      </c>
    </row>
    <row r="25" spans="1:17" x14ac:dyDescent="0.4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51800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2.6315789473684209E-2</v>
      </c>
      <c r="I26" s="94">
        <v>1</v>
      </c>
    </row>
    <row r="27" spans="1:17" x14ac:dyDescent="0.4">
      <c r="A27" s="57" t="s">
        <v>142</v>
      </c>
      <c r="B27" s="65">
        <v>2</v>
      </c>
      <c r="C27" s="42">
        <f>IF(B$3=0,0,B27/B$3)</f>
        <v>1.2658227848101266E-2</v>
      </c>
      <c r="E27" s="63" t="s">
        <v>90</v>
      </c>
      <c r="F27" s="60" t="s">
        <v>45</v>
      </c>
      <c r="G27" s="47">
        <v>2</v>
      </c>
      <c r="H27" s="133">
        <f>IF(B$17=0,0,G27/B$17)</f>
        <v>5.2631578947368418E-2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5</v>
      </c>
    </row>
    <row r="51" spans="5:9" x14ac:dyDescent="0.4">
      <c r="E51" s="136" t="s">
        <v>172</v>
      </c>
      <c r="F51" s="137" t="s">
        <v>173</v>
      </c>
      <c r="G51" s="48">
        <v>17</v>
      </c>
      <c r="H51" s="138">
        <f>IF(B$17=0,0,G51/B$17)</f>
        <v>0.44736842105263158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F4563-924E-4BC7-A8DF-B45F62501561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36</v>
      </c>
      <c r="C2" s="151"/>
      <c r="E2" s="62" t="s">
        <v>65</v>
      </c>
      <c r="F2" s="59" t="s">
        <v>21</v>
      </c>
      <c r="G2" s="46">
        <v>42</v>
      </c>
      <c r="H2" s="132">
        <f>IF(B$17=0,0,G2/B$17)</f>
        <v>0.39622641509433965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-530.55555555555554</v>
      </c>
      <c r="P2" s="118">
        <v>36</v>
      </c>
      <c r="Q2" s="102">
        <v>-19100</v>
      </c>
    </row>
    <row r="3" spans="1:17" x14ac:dyDescent="0.4">
      <c r="A3" s="55" t="s">
        <v>8</v>
      </c>
      <c r="B3" s="152">
        <v>315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9.4339622641509441E-2</v>
      </c>
      <c r="I3" s="94">
        <v>5</v>
      </c>
      <c r="K3" s="38">
        <v>1</v>
      </c>
      <c r="L3" s="99">
        <v>50.2</v>
      </c>
      <c r="N3" s="115" t="s">
        <v>132</v>
      </c>
      <c r="O3" s="122">
        <f t="shared" si="0"/>
        <v>-1764.7058823529412</v>
      </c>
      <c r="P3" s="119">
        <v>34</v>
      </c>
      <c r="Q3" s="103">
        <v>-60000</v>
      </c>
    </row>
    <row r="4" spans="1:17" x14ac:dyDescent="0.4">
      <c r="A4" s="55" t="s">
        <v>6</v>
      </c>
      <c r="B4" s="154">
        <v>312.09999999999991</v>
      </c>
      <c r="C4" s="155"/>
      <c r="E4" s="63" t="s">
        <v>67</v>
      </c>
      <c r="F4" s="60" t="s">
        <v>23</v>
      </c>
      <c r="G4" s="47">
        <v>54</v>
      </c>
      <c r="H4" s="133">
        <f>IF(B$17=0,0,G4/B$17)</f>
        <v>0.50943396226415094</v>
      </c>
      <c r="I4" s="94">
        <v>10</v>
      </c>
      <c r="K4" s="38">
        <v>2</v>
      </c>
      <c r="L4" s="99">
        <v>14.400000000000006</v>
      </c>
      <c r="N4" s="115" t="s">
        <v>133</v>
      </c>
      <c r="O4" s="122">
        <f t="shared" si="0"/>
        <v>35.294117647058826</v>
      </c>
      <c r="P4" s="119">
        <v>34</v>
      </c>
      <c r="Q4" s="103">
        <v>1200</v>
      </c>
    </row>
    <row r="5" spans="1:17" x14ac:dyDescent="0.4">
      <c r="A5" s="55" t="s">
        <v>7</v>
      </c>
      <c r="B5" s="156">
        <f>IF(B$2=0,0,B$4/B$2)</f>
        <v>8.6694444444444425</v>
      </c>
      <c r="C5" s="157"/>
      <c r="E5" s="63" t="s">
        <v>68</v>
      </c>
      <c r="F5" s="60" t="s">
        <v>24</v>
      </c>
      <c r="G5" s="47">
        <v>27</v>
      </c>
      <c r="H5" s="133">
        <f>IF(B$17=0,0,G5/B$17)</f>
        <v>0.25471698113207547</v>
      </c>
      <c r="I5" s="94">
        <v>4</v>
      </c>
      <c r="K5" s="38">
        <v>3</v>
      </c>
      <c r="L5" s="99">
        <v>40.400000000000006</v>
      </c>
      <c r="N5" s="115" t="s">
        <v>134</v>
      </c>
      <c r="O5" s="122">
        <f t="shared" si="0"/>
        <v>-618.75</v>
      </c>
      <c r="P5" s="119">
        <v>32</v>
      </c>
      <c r="Q5" s="103">
        <v>-19800</v>
      </c>
    </row>
    <row r="6" spans="1:17" x14ac:dyDescent="0.4">
      <c r="A6" s="55" t="s">
        <v>1</v>
      </c>
      <c r="B6" s="146">
        <f>IF(B$2=0,0,(B$7*1+B$8*2+B$9*3)/B$2)</f>
        <v>1.7777777777777777</v>
      </c>
      <c r="C6" s="147"/>
      <c r="E6" s="63" t="s">
        <v>69</v>
      </c>
      <c r="F6" s="60" t="s">
        <v>12</v>
      </c>
      <c r="G6" s="47">
        <v>29</v>
      </c>
      <c r="H6" s="133">
        <f>IF(B$17=0,0,G6/B$17)</f>
        <v>0.27358490566037735</v>
      </c>
      <c r="I6" s="94">
        <v>7</v>
      </c>
      <c r="K6" s="38">
        <v>4</v>
      </c>
      <c r="L6" s="99">
        <v>101.60000000000001</v>
      </c>
      <c r="N6" s="115" t="s">
        <v>135</v>
      </c>
      <c r="O6" s="122">
        <f t="shared" si="0"/>
        <v>5450</v>
      </c>
      <c r="P6" s="119">
        <v>30</v>
      </c>
      <c r="Q6" s="103">
        <v>163500</v>
      </c>
    </row>
    <row r="7" spans="1:17" x14ac:dyDescent="0.4">
      <c r="A7" s="55" t="s">
        <v>2</v>
      </c>
      <c r="B7" s="47">
        <v>18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16</v>
      </c>
      <c r="H7" s="133">
        <f>IF(B$17=0,0,G7/B$17)</f>
        <v>0.15094339622641509</v>
      </c>
      <c r="I7" s="94">
        <v>4</v>
      </c>
      <c r="K7" s="38">
        <v>5</v>
      </c>
      <c r="L7" s="99">
        <v>99.9</v>
      </c>
      <c r="N7" s="116" t="s">
        <v>136</v>
      </c>
      <c r="O7" s="123">
        <f t="shared" si="0"/>
        <v>6343.478260869565</v>
      </c>
      <c r="P7" s="120">
        <v>23</v>
      </c>
      <c r="Q7" s="104">
        <v>145900</v>
      </c>
    </row>
    <row r="8" spans="1:17" x14ac:dyDescent="0.4">
      <c r="A8" s="55" t="s">
        <v>3</v>
      </c>
      <c r="B8" s="47">
        <v>8</v>
      </c>
      <c r="C8" s="39">
        <f t="shared" si="1"/>
        <v>0.22222222222222221</v>
      </c>
      <c r="E8" s="63" t="s">
        <v>71</v>
      </c>
      <c r="F8" s="60" t="s">
        <v>26</v>
      </c>
      <c r="G8" s="47">
        <v>7</v>
      </c>
      <c r="H8" s="133">
        <f>IF(B$17=0,0,G8/B$17)</f>
        <v>6.6037735849056603E-2</v>
      </c>
      <c r="I8" s="94">
        <v>7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0.27777777777777779</v>
      </c>
      <c r="E9" s="63" t="s">
        <v>72</v>
      </c>
      <c r="F9" s="60" t="s">
        <v>27</v>
      </c>
      <c r="G9" s="47">
        <v>7</v>
      </c>
      <c r="H9" s="133">
        <f>IF(B$17=0,0,G9/B$17)</f>
        <v>6.6037735849056603E-2</v>
      </c>
      <c r="I9" s="94">
        <v>4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5.5555555555555552E-2</v>
      </c>
      <c r="E10" s="63" t="s">
        <v>73</v>
      </c>
      <c r="F10" s="60" t="s">
        <v>28</v>
      </c>
      <c r="G10" s="47">
        <v>52</v>
      </c>
      <c r="H10" s="133">
        <f>IF(B$17=0,0,G10/B$17)</f>
        <v>0.49056603773584906</v>
      </c>
      <c r="I10" s="94">
        <v>9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0.1111111111111111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180.89999999999998</v>
      </c>
      <c r="N11" s="115" t="s">
        <v>164</v>
      </c>
      <c r="O11" s="125">
        <f>IF(P11=0,0,Q11/P11)</f>
        <v>7.9125000000000014</v>
      </c>
      <c r="P11" s="119">
        <v>16</v>
      </c>
      <c r="Q11" s="107">
        <v>126.60000000000002</v>
      </c>
    </row>
    <row r="12" spans="1:17" x14ac:dyDescent="0.4">
      <c r="A12" s="57" t="s">
        <v>159</v>
      </c>
      <c r="B12" s="49">
        <v>6</v>
      </c>
      <c r="C12" s="42">
        <f t="shared" si="1"/>
        <v>0.16666666666666666</v>
      </c>
      <c r="E12" s="63" t="s">
        <v>75</v>
      </c>
      <c r="F12" s="60" t="s">
        <v>30</v>
      </c>
      <c r="G12" s="47">
        <v>1</v>
      </c>
      <c r="H12" s="133">
        <f>IF(B$17=0,0,G12/B$17)</f>
        <v>9.433962264150943E-3</v>
      </c>
      <c r="I12" s="94">
        <v>1</v>
      </c>
      <c r="K12" s="38">
        <v>10</v>
      </c>
      <c r="L12" s="99">
        <v>158.19999999999999</v>
      </c>
      <c r="N12" s="116" t="s">
        <v>165</v>
      </c>
      <c r="O12" s="126">
        <f>IF(P12=0,0,Q12/P12)</f>
        <v>5.1538461538461524</v>
      </c>
      <c r="P12" s="120">
        <v>13</v>
      </c>
      <c r="Q12" s="108">
        <v>66.999999999999986</v>
      </c>
    </row>
    <row r="13" spans="1:17" x14ac:dyDescent="0.4">
      <c r="A13" s="58" t="s">
        <v>122</v>
      </c>
      <c r="B13" s="50">
        <v>78</v>
      </c>
      <c r="C13" s="44">
        <f>IF(B$3=0,0,B13/B$3)</f>
        <v>0.24761904761904763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70</v>
      </c>
      <c r="C14" s="39">
        <f>IF(B$3=0,0,B14/B$3)</f>
        <v>0.22222222222222221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47</v>
      </c>
      <c r="C15" s="37">
        <f>IF(B$13=0,0,B15/B$13)</f>
        <v>0.60256410256410253</v>
      </c>
      <c r="E15" s="63" t="s">
        <v>78</v>
      </c>
      <c r="F15" s="60" t="s">
        <v>33</v>
      </c>
      <c r="G15" s="47">
        <v>2</v>
      </c>
      <c r="H15" s="133">
        <f>IF(B$17=0,0,G15/B$17)</f>
        <v>1.8867924528301886E-2</v>
      </c>
      <c r="I15" s="94">
        <v>2</v>
      </c>
      <c r="K15" s="38">
        <v>13</v>
      </c>
      <c r="L15" s="99">
        <v>206.39999999999998</v>
      </c>
      <c r="N15" s="114" t="s">
        <v>182</v>
      </c>
      <c r="O15" s="124">
        <f t="shared" ref="O15:O20" si="2"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37</v>
      </c>
      <c r="C16" s="37">
        <f>IF(B$14=0,0,B16/B$14)</f>
        <v>0.52857142857142858</v>
      </c>
      <c r="E16" s="63" t="s">
        <v>79</v>
      </c>
      <c r="F16" s="60" t="s">
        <v>34</v>
      </c>
      <c r="G16" s="47">
        <v>4</v>
      </c>
      <c r="H16" s="133">
        <f>IF(B$17=0,0,G16/B$17)</f>
        <v>3.7735849056603772E-2</v>
      </c>
      <c r="I16" s="94">
        <v>4</v>
      </c>
      <c r="K16" s="38">
        <v>14</v>
      </c>
      <c r="L16" s="99">
        <v>240.09999999999997</v>
      </c>
      <c r="N16" s="115" t="s">
        <v>179</v>
      </c>
      <c r="O16" s="125">
        <f t="shared" si="2"/>
        <v>29.966666666666672</v>
      </c>
      <c r="P16" s="119">
        <v>6</v>
      </c>
      <c r="Q16" s="107">
        <v>179.80000000000004</v>
      </c>
    </row>
    <row r="17" spans="1:17" x14ac:dyDescent="0.4">
      <c r="A17" s="54" t="s">
        <v>10</v>
      </c>
      <c r="B17" s="46">
        <f>B19+B18</f>
        <v>106</v>
      </c>
      <c r="C17" s="37">
        <f>IF(B$3=0,0,B17/B$3)</f>
        <v>0.33650793650793653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K17" s="38">
        <v>15</v>
      </c>
      <c r="L17" s="99">
        <v>269.49999999999994</v>
      </c>
      <c r="N17" s="115" t="s">
        <v>180</v>
      </c>
      <c r="O17" s="125">
        <f t="shared" si="2"/>
        <v>22.028571428571432</v>
      </c>
      <c r="P17" s="119">
        <v>14</v>
      </c>
      <c r="Q17" s="107">
        <v>308.40000000000003</v>
      </c>
    </row>
    <row r="18" spans="1:17" x14ac:dyDescent="0.4">
      <c r="A18" s="55" t="s">
        <v>12</v>
      </c>
      <c r="B18" s="47">
        <v>46</v>
      </c>
      <c r="C18" s="39">
        <f>IF(B$17=0,0,B18/B$17)</f>
        <v>0.43396226415094341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323.69999999999993</v>
      </c>
      <c r="N18" s="115" t="s">
        <v>128</v>
      </c>
      <c r="O18" s="125">
        <f t="shared" si="2"/>
        <v>10.009999999999998</v>
      </c>
      <c r="P18" s="119">
        <v>30</v>
      </c>
      <c r="Q18" s="107">
        <v>300.29999999999995</v>
      </c>
    </row>
    <row r="19" spans="1:17" x14ac:dyDescent="0.4">
      <c r="A19" s="55" t="s">
        <v>11</v>
      </c>
      <c r="B19" s="47">
        <v>60</v>
      </c>
      <c r="C19" s="39">
        <f>IF(B$17=0,0,B19/B$17)</f>
        <v>0.56603773584905659</v>
      </c>
      <c r="E19" s="63" t="s">
        <v>82</v>
      </c>
      <c r="F19" s="60" t="s">
        <v>37</v>
      </c>
      <c r="G19" s="47">
        <v>1</v>
      </c>
      <c r="H19" s="133">
        <f>IF(B$17=0,0,G19/B$17)</f>
        <v>9.433962264150943E-3</v>
      </c>
      <c r="I19" s="94">
        <v>7</v>
      </c>
      <c r="K19" s="38">
        <v>17</v>
      </c>
      <c r="L19" s="99">
        <v>359.09999999999991</v>
      </c>
      <c r="N19" s="115" t="s">
        <v>167</v>
      </c>
      <c r="O19" s="125">
        <f t="shared" si="2"/>
        <v>6.2692307692307683</v>
      </c>
      <c r="P19" s="119">
        <v>13</v>
      </c>
      <c r="Q19" s="107">
        <v>81.499999999999986</v>
      </c>
    </row>
    <row r="20" spans="1:17" x14ac:dyDescent="0.4">
      <c r="A20" s="55" t="s">
        <v>13</v>
      </c>
      <c r="B20" s="47">
        <v>44</v>
      </c>
      <c r="C20" s="39">
        <f>IF(B$3=0,0,B20/B$3)</f>
        <v>0.13968253968253969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 t="shared" si="2"/>
        <v>-13.816666666666668</v>
      </c>
      <c r="P20" s="119">
        <v>6</v>
      </c>
      <c r="Q20" s="107">
        <v>-82.9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5.6603773584905662E-2</v>
      </c>
      <c r="I21" s="94">
        <v>7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1</v>
      </c>
      <c r="E22" s="63" t="s">
        <v>85</v>
      </c>
      <c r="F22" s="60" t="s">
        <v>40</v>
      </c>
      <c r="G22" s="47">
        <v>2</v>
      </c>
      <c r="H22" s="133">
        <f>IF(B$17=0,0,G22/B$17)</f>
        <v>1.8867924528301886E-2</v>
      </c>
      <c r="I22" s="94">
        <v>1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8090.566037735849</v>
      </c>
      <c r="C23" s="41">
        <v>857600</v>
      </c>
      <c r="E23" s="63" t="s">
        <v>86</v>
      </c>
      <c r="F23" s="60" t="s">
        <v>41</v>
      </c>
      <c r="G23" s="47">
        <v>1</v>
      </c>
      <c r="H23" s="133">
        <f>IF(B$17=0,0,G23/B$17)</f>
        <v>9.433962264150943E-3</v>
      </c>
      <c r="I23" s="94">
        <v>3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-7722.727272727273</v>
      </c>
      <c r="C24" s="45">
        <v>-339800</v>
      </c>
      <c r="E24" s="63" t="s">
        <v>87</v>
      </c>
      <c r="F24" s="60" t="s">
        <v>42</v>
      </c>
      <c r="G24" s="47">
        <v>4</v>
      </c>
      <c r="H24" s="133">
        <f>IF(B$17=0,0,G24/B$17)</f>
        <v>3.7735849056603772E-2</v>
      </c>
      <c r="I24" s="94">
        <v>8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9.433962264150943E-3</v>
      </c>
      <c r="I26" s="94">
        <v>2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18</v>
      </c>
      <c r="H27" s="133">
        <f>IF(B$17=0,0,G27/B$17)</f>
        <v>0.16981132075471697</v>
      </c>
      <c r="I27" s="94">
        <v>2</v>
      </c>
      <c r="K27" s="38">
        <v>25</v>
      </c>
      <c r="L27" s="99">
        <v>294.99999999999994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9.433962264150943E-3</v>
      </c>
      <c r="I28" s="94">
        <v>1</v>
      </c>
      <c r="K28" s="38">
        <v>26</v>
      </c>
      <c r="L28" s="99">
        <v>329.29999999999995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9.433962264150943E-3</v>
      </c>
      <c r="I29" s="94">
        <v>5</v>
      </c>
      <c r="K29" s="38">
        <v>27</v>
      </c>
      <c r="L29" s="99">
        <v>362.4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1.8867924528301886E-2</v>
      </c>
      <c r="I30" s="94">
        <v>2</v>
      </c>
      <c r="K30" s="38">
        <v>28</v>
      </c>
      <c r="L30" s="99">
        <v>375.79999999999995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9.433962264150943E-3</v>
      </c>
      <c r="I33" s="94">
        <v>1</v>
      </c>
      <c r="K33" s="38">
        <v>31</v>
      </c>
      <c r="L33" s="99">
        <v>319.49999999999994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4</v>
      </c>
      <c r="H50" s="133">
        <f>IF(B$17=0,0,G50/B$17)</f>
        <v>3.7735849056603772E-2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32</v>
      </c>
      <c r="H51" s="138">
        <f>IF(B$17=0,0,G51/B$17)</f>
        <v>0.30188679245283018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4C632-7738-46B8-A315-6C2E8ECBC157}">
  <sheetPr codeName="Sheet11"/>
  <dimension ref="A1:Q52"/>
  <sheetViews>
    <sheetView showGridLines="0" zoomScaleNormal="100" workbookViewId="0">
      <selection activeCell="P21" sqref="P21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39</v>
      </c>
      <c r="C2" s="151"/>
      <c r="E2" s="62" t="s">
        <v>67</v>
      </c>
      <c r="F2" s="59" t="s">
        <v>23</v>
      </c>
      <c r="G2" s="46">
        <v>110</v>
      </c>
      <c r="H2" s="132">
        <f>IF(B$17=0,0,G2/B$17)</f>
        <v>1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830.76923076923072</v>
      </c>
      <c r="P2" s="118">
        <v>39</v>
      </c>
      <c r="Q2" s="102">
        <v>32400</v>
      </c>
    </row>
    <row r="3" spans="1:17" x14ac:dyDescent="0.4">
      <c r="A3" s="55" t="s">
        <v>8</v>
      </c>
      <c r="B3" s="152">
        <v>350</v>
      </c>
      <c r="C3" s="153"/>
      <c r="E3" s="63" t="s">
        <v>73</v>
      </c>
      <c r="F3" s="60" t="s">
        <v>28</v>
      </c>
      <c r="G3" s="47">
        <v>73</v>
      </c>
      <c r="H3" s="133">
        <f>IF(B$17=0,0,G3/B$17)</f>
        <v>0.66363636363636369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1172.9729729729729</v>
      </c>
      <c r="P3" s="119">
        <v>37</v>
      </c>
      <c r="Q3" s="103">
        <v>43400</v>
      </c>
    </row>
    <row r="4" spans="1:17" x14ac:dyDescent="0.4">
      <c r="A4" s="55" t="s">
        <v>6</v>
      </c>
      <c r="B4" s="154">
        <v>158.79999999999993</v>
      </c>
      <c r="C4" s="155"/>
      <c r="E4" s="63" t="s">
        <v>172</v>
      </c>
      <c r="F4" s="60" t="s">
        <v>173</v>
      </c>
      <c r="G4" s="47">
        <v>46</v>
      </c>
      <c r="H4" s="133">
        <f>IF(B$17=0,0,G4/B$17)</f>
        <v>0.41818181818181815</v>
      </c>
      <c r="I4" s="94">
        <v>3</v>
      </c>
      <c r="K4" s="38">
        <v>2</v>
      </c>
      <c r="L4" s="99">
        <v>-34.299999999999997</v>
      </c>
      <c r="N4" s="115" t="s">
        <v>133</v>
      </c>
      <c r="O4" s="122">
        <f t="shared" si="0"/>
        <v>2386.1111111111113</v>
      </c>
      <c r="P4" s="119">
        <v>36</v>
      </c>
      <c r="Q4" s="103">
        <v>85900</v>
      </c>
    </row>
    <row r="5" spans="1:17" x14ac:dyDescent="0.4">
      <c r="A5" s="55" t="s">
        <v>7</v>
      </c>
      <c r="B5" s="156">
        <f>IF(B$2=0,0,B$4/B$2)</f>
        <v>4.0717948717948698</v>
      </c>
      <c r="C5" s="157"/>
      <c r="E5" s="63" t="s">
        <v>65</v>
      </c>
      <c r="F5" s="60" t="s">
        <v>21</v>
      </c>
      <c r="G5" s="47">
        <v>44</v>
      </c>
      <c r="H5" s="133">
        <f>IF(B$17=0,0,G5/B$17)</f>
        <v>0.4</v>
      </c>
      <c r="I5" s="94">
        <v>7</v>
      </c>
      <c r="K5" s="38">
        <v>3</v>
      </c>
      <c r="L5" s="99">
        <v>-58.599999999999994</v>
      </c>
      <c r="N5" s="115" t="s">
        <v>134</v>
      </c>
      <c r="O5" s="122">
        <f t="shared" si="0"/>
        <v>2905.7142857142858</v>
      </c>
      <c r="P5" s="119">
        <v>35</v>
      </c>
      <c r="Q5" s="103">
        <v>101700</v>
      </c>
    </row>
    <row r="6" spans="1:17" x14ac:dyDescent="0.4">
      <c r="A6" s="55" t="s">
        <v>1</v>
      </c>
      <c r="B6" s="146">
        <f>IF(B$2=0,0,(B$7*1+B$8*2+B$9*3)/B$2)</f>
        <v>1.9230769230769231</v>
      </c>
      <c r="C6" s="147"/>
      <c r="E6" s="63" t="s">
        <v>69</v>
      </c>
      <c r="F6" s="60" t="s">
        <v>12</v>
      </c>
      <c r="G6" s="47">
        <v>31</v>
      </c>
      <c r="H6" s="133">
        <f>IF(B$17=0,0,G6/B$17)</f>
        <v>0.2818181818181818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0"/>
        <v>-3287.5</v>
      </c>
      <c r="P6" s="119">
        <v>32</v>
      </c>
      <c r="Q6" s="103">
        <v>-105200</v>
      </c>
    </row>
    <row r="7" spans="1:17" x14ac:dyDescent="0.4">
      <c r="A7" s="55" t="s">
        <v>2</v>
      </c>
      <c r="B7" s="47">
        <v>13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26</v>
      </c>
      <c r="H7" s="133">
        <f>IF(B$17=0,0,G7/B$17)</f>
        <v>0.23636363636363636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-884</v>
      </c>
      <c r="P7" s="120">
        <v>25</v>
      </c>
      <c r="Q7" s="104">
        <v>-22100</v>
      </c>
    </row>
    <row r="8" spans="1:17" x14ac:dyDescent="0.4">
      <c r="A8" s="55" t="s">
        <v>3</v>
      </c>
      <c r="B8" s="47">
        <v>16</v>
      </c>
      <c r="C8" s="39">
        <f t="shared" si="1"/>
        <v>0.41025641025641024</v>
      </c>
      <c r="E8" s="63" t="s">
        <v>90</v>
      </c>
      <c r="F8" s="60" t="s">
        <v>45</v>
      </c>
      <c r="G8" s="47">
        <v>15</v>
      </c>
      <c r="H8" s="133">
        <f>IF(B$17=0,0,G8/B$17)</f>
        <v>0.13636363636363635</v>
      </c>
      <c r="I8" s="94">
        <v>3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0.25641025641025639</v>
      </c>
      <c r="E9" s="63" t="s">
        <v>70</v>
      </c>
      <c r="F9" s="60" t="s">
        <v>25</v>
      </c>
      <c r="G9" s="47">
        <v>9</v>
      </c>
      <c r="H9" s="133">
        <f>IF(B$17=0,0,G9/B$17)</f>
        <v>8.1818181818181818E-2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5</v>
      </c>
      <c r="C10" s="40">
        <f t="shared" si="1"/>
        <v>0.12820512820512819</v>
      </c>
      <c r="E10" s="63" t="s">
        <v>66</v>
      </c>
      <c r="F10" s="60" t="s">
        <v>22</v>
      </c>
      <c r="G10" s="47">
        <v>8</v>
      </c>
      <c r="H10" s="133">
        <f>IF(B$17=0,0,G10/B$17)</f>
        <v>7.2727272727272724E-2</v>
      </c>
      <c r="I10" s="94">
        <v>8</v>
      </c>
      <c r="K10" s="38">
        <v>8</v>
      </c>
      <c r="L10" s="99">
        <v>-56.79999999999999</v>
      </c>
      <c r="N10" s="114" t="s">
        <v>163</v>
      </c>
      <c r="O10" s="124">
        <f>IF(P10=0,0,Q10/P10)</f>
        <v>10.054545454545455</v>
      </c>
      <c r="P10" s="118">
        <v>11</v>
      </c>
      <c r="Q10" s="106">
        <v>110.60000000000001</v>
      </c>
    </row>
    <row r="11" spans="1:17" x14ac:dyDescent="0.4">
      <c r="A11" s="56" t="s">
        <v>139</v>
      </c>
      <c r="B11" s="48">
        <v>6</v>
      </c>
      <c r="C11" s="40">
        <f t="shared" si="1"/>
        <v>0.15384615384615385</v>
      </c>
      <c r="E11" s="63" t="s">
        <v>87</v>
      </c>
      <c r="F11" s="60" t="s">
        <v>42</v>
      </c>
      <c r="G11" s="47">
        <v>7</v>
      </c>
      <c r="H11" s="133">
        <f>IF(B$17=0,0,G11/B$17)</f>
        <v>6.363636363636363E-2</v>
      </c>
      <c r="I11" s="94">
        <v>3</v>
      </c>
      <c r="K11" s="38">
        <v>9</v>
      </c>
      <c r="L11" s="99">
        <v>-83.699999999999989</v>
      </c>
      <c r="N11" s="115" t="s">
        <v>164</v>
      </c>
      <c r="O11" s="125">
        <f>IF(P11=0,0,Q11/P11)</f>
        <v>7.3272727272727272</v>
      </c>
      <c r="P11" s="119">
        <v>11</v>
      </c>
      <c r="Q11" s="107">
        <v>80.599999999999994</v>
      </c>
    </row>
    <row r="12" spans="1:17" x14ac:dyDescent="0.4">
      <c r="A12" s="57" t="s">
        <v>159</v>
      </c>
      <c r="B12" s="49">
        <v>8</v>
      </c>
      <c r="C12" s="42">
        <f t="shared" si="1"/>
        <v>0.20512820512820512</v>
      </c>
      <c r="E12" s="63" t="s">
        <v>72</v>
      </c>
      <c r="F12" s="60" t="s">
        <v>27</v>
      </c>
      <c r="G12" s="47">
        <v>5</v>
      </c>
      <c r="H12" s="133">
        <f>IF(B$17=0,0,G12/B$17)</f>
        <v>4.5454545454545456E-2</v>
      </c>
      <c r="I12" s="94">
        <v>6</v>
      </c>
      <c r="K12" s="38">
        <v>10</v>
      </c>
      <c r="L12" s="99">
        <v>-78.399999999999991</v>
      </c>
      <c r="N12" s="116" t="s">
        <v>165</v>
      </c>
      <c r="O12" s="126">
        <f>IF(P12=0,0,Q12/P12)</f>
        <v>-1.9058823529411768</v>
      </c>
      <c r="P12" s="120">
        <v>17</v>
      </c>
      <c r="Q12" s="108">
        <v>-32.400000000000006</v>
      </c>
    </row>
    <row r="13" spans="1:17" x14ac:dyDescent="0.4">
      <c r="A13" s="58" t="s">
        <v>122</v>
      </c>
      <c r="B13" s="50">
        <v>77</v>
      </c>
      <c r="C13" s="44">
        <f>IF(B$3=0,0,B13/B$3)</f>
        <v>0.22</v>
      </c>
      <c r="E13" s="63" t="s">
        <v>79</v>
      </c>
      <c r="F13" s="60" t="s">
        <v>34</v>
      </c>
      <c r="G13" s="47">
        <v>4</v>
      </c>
      <c r="H13" s="133">
        <f>IF(B$17=0,0,G13/B$17)</f>
        <v>3.6363636363636362E-2</v>
      </c>
      <c r="I13" s="94">
        <v>5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117</v>
      </c>
      <c r="C14" s="39">
        <f>IF(B$3=0,0,B14/B$3)</f>
        <v>0.3342857142857143</v>
      </c>
      <c r="E14" s="63" t="s">
        <v>84</v>
      </c>
      <c r="F14" s="60" t="s">
        <v>39</v>
      </c>
      <c r="G14" s="47">
        <v>4</v>
      </c>
      <c r="H14" s="133">
        <f>IF(B$17=0,0,G14/B$17)</f>
        <v>3.6363636363636362E-2</v>
      </c>
      <c r="I14" s="94">
        <v>8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43</v>
      </c>
      <c r="C15" s="37">
        <f>IF(B$13=0,0,B15/B$13)</f>
        <v>0.55844155844155841</v>
      </c>
      <c r="E15" s="63" t="s">
        <v>92</v>
      </c>
      <c r="F15" s="60" t="s">
        <v>47</v>
      </c>
      <c r="G15" s="47">
        <v>4</v>
      </c>
      <c r="H15" s="133">
        <f>IF(B$17=0,0,G15/B$17)</f>
        <v>3.6363636363636362E-2</v>
      </c>
      <c r="I15" s="94">
        <v>2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47</v>
      </c>
      <c r="C16" s="37">
        <f>IF(B$14=0,0,B16/B$14)</f>
        <v>0.40170940170940173</v>
      </c>
      <c r="E16" s="63" t="s">
        <v>71</v>
      </c>
      <c r="F16" s="60" t="s">
        <v>26</v>
      </c>
      <c r="G16" s="47">
        <v>3</v>
      </c>
      <c r="H16" s="133">
        <f>IF(B$17=0,0,G16/B$17)</f>
        <v>2.7272727272727271E-2</v>
      </c>
      <c r="I16" s="94">
        <v>9</v>
      </c>
      <c r="K16" s="38">
        <v>14</v>
      </c>
      <c r="L16" s="99">
        <v>-138.4</v>
      </c>
      <c r="N16" s="115" t="s">
        <v>183</v>
      </c>
      <c r="O16" s="125">
        <f>IF(P16=0,0,Q16/P16)</f>
        <v>32.799999999999997</v>
      </c>
      <c r="P16" s="119">
        <v>2</v>
      </c>
      <c r="Q16" s="107">
        <v>65.599999999999994</v>
      </c>
    </row>
    <row r="17" spans="1:17" x14ac:dyDescent="0.4">
      <c r="A17" s="54" t="s">
        <v>10</v>
      </c>
      <c r="B17" s="46">
        <f>B19+B18</f>
        <v>110</v>
      </c>
      <c r="C17" s="37">
        <f>IF(B$3=0,0,B17/B$3)</f>
        <v>0.31428571428571428</v>
      </c>
      <c r="E17" s="63" t="s">
        <v>80</v>
      </c>
      <c r="F17" s="60" t="s">
        <v>35</v>
      </c>
      <c r="G17" s="47">
        <v>2</v>
      </c>
      <c r="H17" s="133">
        <f>IF(B$17=0,0,G17/B$17)</f>
        <v>1.8181818181818181E-2</v>
      </c>
      <c r="I17" s="94">
        <v>4</v>
      </c>
      <c r="K17" s="38">
        <v>15</v>
      </c>
      <c r="L17" s="99">
        <v>-144.30000000000001</v>
      </c>
      <c r="N17" s="115" t="s">
        <v>179</v>
      </c>
      <c r="O17" s="125">
        <f>IF(P17=0,0,Q17/P17)</f>
        <v>27.13333333333334</v>
      </c>
      <c r="P17" s="119">
        <v>12</v>
      </c>
      <c r="Q17" s="107">
        <v>325.60000000000008</v>
      </c>
    </row>
    <row r="18" spans="1:17" x14ac:dyDescent="0.4">
      <c r="A18" s="55" t="s">
        <v>12</v>
      </c>
      <c r="B18" s="47">
        <v>40</v>
      </c>
      <c r="C18" s="39">
        <f>IF(B$17=0,0,B18/B$17)</f>
        <v>0.36363636363636365</v>
      </c>
      <c r="E18" s="63" t="s">
        <v>82</v>
      </c>
      <c r="F18" s="60" t="s">
        <v>37</v>
      </c>
      <c r="G18" s="47">
        <v>1</v>
      </c>
      <c r="H18" s="133">
        <f>IF(B$17=0,0,G18/B$17)</f>
        <v>9.0909090909090905E-3</v>
      </c>
      <c r="I18" s="94">
        <v>8</v>
      </c>
      <c r="K18" s="38">
        <v>16</v>
      </c>
      <c r="L18" s="99">
        <v>-187.3</v>
      </c>
      <c r="N18" s="115" t="s">
        <v>178</v>
      </c>
      <c r="O18" s="125">
        <f>IF(P18=0,0,Q18/P18)</f>
        <v>16.611111111111111</v>
      </c>
      <c r="P18" s="119">
        <v>9</v>
      </c>
      <c r="Q18" s="107">
        <v>149.5</v>
      </c>
    </row>
    <row r="19" spans="1:17" x14ac:dyDescent="0.4">
      <c r="A19" s="55" t="s">
        <v>11</v>
      </c>
      <c r="B19" s="47">
        <v>70</v>
      </c>
      <c r="C19" s="39">
        <f>IF(B$17=0,0,B19/B$17)</f>
        <v>0.63636363636363635</v>
      </c>
      <c r="E19" s="63" t="s">
        <v>168</v>
      </c>
      <c r="F19" s="60" t="s">
        <v>169</v>
      </c>
      <c r="G19" s="47">
        <v>1</v>
      </c>
      <c r="H19" s="133">
        <f>IF(B$17=0,0,G19/B$17)</f>
        <v>9.0909090909090905E-3</v>
      </c>
      <c r="I19" s="94">
        <v>4</v>
      </c>
      <c r="K19" s="38">
        <v>17</v>
      </c>
      <c r="L19" s="99">
        <v>-179.70000000000002</v>
      </c>
      <c r="N19" s="115" t="s">
        <v>180</v>
      </c>
      <c r="O19" s="125">
        <f>IF(P19=0,0,Q19/P19)</f>
        <v>10.424999999999999</v>
      </c>
      <c r="P19" s="119">
        <v>12</v>
      </c>
      <c r="Q19" s="107">
        <v>125.1</v>
      </c>
    </row>
    <row r="20" spans="1:17" x14ac:dyDescent="0.4">
      <c r="A20" s="55" t="s">
        <v>13</v>
      </c>
      <c r="B20" s="47">
        <v>67</v>
      </c>
      <c r="C20" s="39">
        <f>IF(B$3=0,0,B20/B$3)</f>
        <v>0.19142857142857142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167</v>
      </c>
      <c r="O20" s="125">
        <f>IF(P20=0,0,Q20/P20)</f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1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-162.40000000000003</v>
      </c>
      <c r="N21" s="115" t="s">
        <v>127</v>
      </c>
      <c r="O21" s="125">
        <f>IF(P21=0,0,Q21/P21)</f>
        <v>-10.009999999999996</v>
      </c>
      <c r="P21" s="119">
        <v>30</v>
      </c>
      <c r="Q21" s="107">
        <v>-300.2999999999999</v>
      </c>
    </row>
    <row r="22" spans="1:17" x14ac:dyDescent="0.4">
      <c r="A22" s="55" t="s">
        <v>171</v>
      </c>
      <c r="B22" s="47">
        <v>23</v>
      </c>
      <c r="C22" s="135">
        <v>1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8688.181818181818</v>
      </c>
      <c r="C23" s="41">
        <v>955700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-7482.0895522388064</v>
      </c>
      <c r="C24" s="45">
        <v>-501300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5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2.8571428571428571E-3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F258F-5E20-4FD3-8825-270D27173BCA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20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0.52941176470588236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885</v>
      </c>
      <c r="P2" s="118">
        <v>20</v>
      </c>
      <c r="Q2" s="102">
        <v>17700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6</v>
      </c>
      <c r="H3" s="133">
        <f>IF(B$17=0,0,G3/B$17)</f>
        <v>0.11764705882352941</v>
      </c>
      <c r="I3" s="94">
        <v>4</v>
      </c>
      <c r="K3" s="38">
        <v>1</v>
      </c>
      <c r="L3" s="99">
        <v>-37.799999999999997</v>
      </c>
      <c r="N3" s="115" t="s">
        <v>132</v>
      </c>
      <c r="O3" s="122">
        <f t="shared" si="0"/>
        <v>-36.842105263157897</v>
      </c>
      <c r="P3" s="119">
        <v>19</v>
      </c>
      <c r="Q3" s="103">
        <v>-700</v>
      </c>
    </row>
    <row r="4" spans="1:17" x14ac:dyDescent="0.4">
      <c r="A4" s="55" t="s">
        <v>6</v>
      </c>
      <c r="B4" s="154">
        <v>-177.6</v>
      </c>
      <c r="C4" s="155"/>
      <c r="E4" s="63" t="s">
        <v>67</v>
      </c>
      <c r="F4" s="60" t="s">
        <v>23</v>
      </c>
      <c r="G4" s="47">
        <v>36</v>
      </c>
      <c r="H4" s="133">
        <f>IF(B$17=0,0,G4/B$17)</f>
        <v>0.70588235294117652</v>
      </c>
      <c r="I4" s="94">
        <v>7</v>
      </c>
      <c r="K4" s="38">
        <v>2</v>
      </c>
      <c r="L4" s="99">
        <v>-30.099999999999998</v>
      </c>
      <c r="N4" s="115" t="s">
        <v>133</v>
      </c>
      <c r="O4" s="122">
        <f t="shared" si="0"/>
        <v>1357.8947368421052</v>
      </c>
      <c r="P4" s="119">
        <v>19</v>
      </c>
      <c r="Q4" s="103">
        <v>25800</v>
      </c>
    </row>
    <row r="5" spans="1:17" x14ac:dyDescent="0.4">
      <c r="A5" s="55" t="s">
        <v>7</v>
      </c>
      <c r="B5" s="156">
        <f>IF(B$2=0,0,B$4/B$2)</f>
        <v>-8.879999999999999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0.21568627450980393</v>
      </c>
      <c r="I5" s="94">
        <v>7</v>
      </c>
      <c r="K5" s="38">
        <v>3</v>
      </c>
      <c r="L5" s="99">
        <v>-17.599999999999998</v>
      </c>
      <c r="N5" s="115" t="s">
        <v>134</v>
      </c>
      <c r="O5" s="122">
        <f t="shared" si="0"/>
        <v>-2188.8888888888887</v>
      </c>
      <c r="P5" s="119">
        <v>18</v>
      </c>
      <c r="Q5" s="103">
        <v>-39400</v>
      </c>
    </row>
    <row r="6" spans="1:17" x14ac:dyDescent="0.4">
      <c r="A6" s="55" t="s">
        <v>1</v>
      </c>
      <c r="B6" s="146">
        <f>IF(B$2=0,0,(B$7*1+B$8*2+B$9*3)/B$2)</f>
        <v>2.2999999999999998</v>
      </c>
      <c r="C6" s="147"/>
      <c r="E6" s="63" t="s">
        <v>69</v>
      </c>
      <c r="F6" s="60" t="s">
        <v>12</v>
      </c>
      <c r="G6" s="47">
        <v>10</v>
      </c>
      <c r="H6" s="133">
        <f>IF(B$17=0,0,G6/B$17)</f>
        <v>0.19607843137254902</v>
      </c>
      <c r="I6" s="94">
        <v>10</v>
      </c>
      <c r="K6" s="38">
        <v>4</v>
      </c>
      <c r="L6" s="99">
        <v>-54.899999999999991</v>
      </c>
      <c r="N6" s="115" t="s">
        <v>135</v>
      </c>
      <c r="O6" s="122">
        <f t="shared" si="0"/>
        <v>-5141.1764705882351</v>
      </c>
      <c r="P6" s="119">
        <v>17</v>
      </c>
      <c r="Q6" s="103">
        <v>-87400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0.15</v>
      </c>
      <c r="E7" s="63" t="s">
        <v>70</v>
      </c>
      <c r="F7" s="60" t="s">
        <v>25</v>
      </c>
      <c r="G7" s="47">
        <v>8</v>
      </c>
      <c r="H7" s="133">
        <f>IF(B$17=0,0,G7/B$17)</f>
        <v>0.15686274509803921</v>
      </c>
      <c r="I7" s="94">
        <v>3</v>
      </c>
      <c r="K7" s="38">
        <v>5</v>
      </c>
      <c r="L7" s="99">
        <v>-33.699999999999989</v>
      </c>
      <c r="N7" s="116" t="s">
        <v>136</v>
      </c>
      <c r="O7" s="123">
        <f t="shared" si="0"/>
        <v>-1640</v>
      </c>
      <c r="P7" s="120">
        <v>15</v>
      </c>
      <c r="Q7" s="104">
        <v>-24600</v>
      </c>
    </row>
    <row r="8" spans="1:17" x14ac:dyDescent="0.4">
      <c r="A8" s="55" t="s">
        <v>3</v>
      </c>
      <c r="B8" s="47">
        <v>8</v>
      </c>
      <c r="C8" s="39">
        <f t="shared" si="1"/>
        <v>0.4</v>
      </c>
      <c r="E8" s="63" t="s">
        <v>71</v>
      </c>
      <c r="F8" s="60" t="s">
        <v>26</v>
      </c>
      <c r="G8" s="47">
        <v>6</v>
      </c>
      <c r="H8" s="133">
        <f>IF(B$17=0,0,G8/B$17)</f>
        <v>0.11764705882352941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0.45</v>
      </c>
      <c r="E9" s="63" t="s">
        <v>72</v>
      </c>
      <c r="F9" s="60" t="s">
        <v>27</v>
      </c>
      <c r="G9" s="47">
        <v>4</v>
      </c>
      <c r="H9" s="133">
        <f>IF(B$17=0,0,G9/B$17)</f>
        <v>7.8431372549019607E-2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</v>
      </c>
      <c r="E10" s="63" t="s">
        <v>73</v>
      </c>
      <c r="F10" s="60" t="s">
        <v>28</v>
      </c>
      <c r="G10" s="47">
        <v>28</v>
      </c>
      <c r="H10" s="133">
        <f>IF(B$17=0,0,G10/B$17)</f>
        <v>0.5490196078431373</v>
      </c>
      <c r="I10" s="94">
        <v>6</v>
      </c>
      <c r="K10" s="38">
        <v>8</v>
      </c>
      <c r="L10" s="99">
        <v>-62.999999999999993</v>
      </c>
      <c r="N10" s="114" t="s">
        <v>163</v>
      </c>
      <c r="O10" s="124">
        <f>IF(P10=0,0,Q10/P10)</f>
        <v>1.2333333333333327</v>
      </c>
      <c r="P10" s="118">
        <v>9</v>
      </c>
      <c r="Q10" s="106">
        <v>11.099999999999994</v>
      </c>
    </row>
    <row r="11" spans="1:17" x14ac:dyDescent="0.4">
      <c r="A11" s="56" t="s">
        <v>139</v>
      </c>
      <c r="B11" s="48">
        <v>1</v>
      </c>
      <c r="C11" s="40">
        <f t="shared" si="1"/>
        <v>0.05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-17.083333333333332</v>
      </c>
      <c r="P11" s="119">
        <v>6</v>
      </c>
      <c r="Q11" s="107">
        <v>-102.5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-17.239999999999998</v>
      </c>
      <c r="P12" s="120">
        <v>5</v>
      </c>
      <c r="Q12" s="108">
        <v>-86.199999999999989</v>
      </c>
    </row>
    <row r="13" spans="1:17" x14ac:dyDescent="0.4">
      <c r="A13" s="58" t="s">
        <v>122</v>
      </c>
      <c r="B13" s="50">
        <v>45</v>
      </c>
      <c r="C13" s="44">
        <f>IF(B$3=0,0,B13/B$3)</f>
        <v>0.24861878453038674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37</v>
      </c>
      <c r="C14" s="39">
        <f>IF(B$3=0,0,B14/B$3)</f>
        <v>0.20441988950276244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27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-207.3</v>
      </c>
      <c r="N15" s="114" t="s">
        <v>167</v>
      </c>
      <c r="O15" s="124">
        <f t="shared" ref="O15:O20" si="2">IF(P15=0,0,Q15/P15)</f>
        <v>17.383333333333329</v>
      </c>
      <c r="P15" s="118">
        <v>6</v>
      </c>
      <c r="Q15" s="106">
        <v>104.29999999999998</v>
      </c>
    </row>
    <row r="16" spans="1:17" x14ac:dyDescent="0.4">
      <c r="A16" s="54" t="s">
        <v>125</v>
      </c>
      <c r="B16" s="46">
        <v>15</v>
      </c>
      <c r="C16" s="37">
        <f>IF(B$14=0,0,B16/B$14)</f>
        <v>0.40540540540540543</v>
      </c>
      <c r="E16" s="63" t="s">
        <v>79</v>
      </c>
      <c r="F16" s="60" t="s">
        <v>34</v>
      </c>
      <c r="G16" s="47">
        <v>2</v>
      </c>
      <c r="H16" s="133">
        <f>IF(B$17=0,0,G16/B$17)</f>
        <v>3.9215686274509803E-2</v>
      </c>
      <c r="I16" s="94">
        <v>3</v>
      </c>
      <c r="K16" s="38">
        <v>14</v>
      </c>
      <c r="L16" s="99">
        <v>-204.8</v>
      </c>
      <c r="N16" s="115" t="s">
        <v>128</v>
      </c>
      <c r="O16" s="125">
        <f t="shared" si="2"/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51</v>
      </c>
      <c r="C17" s="37">
        <f>IF(B$3=0,0,B17/B$3)</f>
        <v>0.28176795580110497</v>
      </c>
      <c r="E17" s="63" t="s">
        <v>80</v>
      </c>
      <c r="F17" s="60" t="s">
        <v>35</v>
      </c>
      <c r="G17" s="47">
        <v>1</v>
      </c>
      <c r="H17" s="133">
        <f>IF(B$17=0,0,G17/B$17)</f>
        <v>1.9607843137254902E-2</v>
      </c>
      <c r="I17" s="94">
        <v>3</v>
      </c>
      <c r="K17" s="38">
        <v>15</v>
      </c>
      <c r="L17" s="99">
        <v>-221.5</v>
      </c>
      <c r="N17" s="115" t="s">
        <v>182</v>
      </c>
      <c r="O17" s="125">
        <f t="shared" si="2"/>
        <v>-11.459999999999997</v>
      </c>
      <c r="P17" s="119">
        <v>5</v>
      </c>
      <c r="Q17" s="107">
        <v>-57.299999999999983</v>
      </c>
    </row>
    <row r="18" spans="1:17" x14ac:dyDescent="0.4">
      <c r="A18" s="55" t="s">
        <v>12</v>
      </c>
      <c r="B18" s="47">
        <v>18</v>
      </c>
      <c r="C18" s="39">
        <f>IF(B$17=0,0,B18/B$17)</f>
        <v>0.35294117647058826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-224.3</v>
      </c>
      <c r="N18" s="115" t="s">
        <v>127</v>
      </c>
      <c r="O18" s="125">
        <f t="shared" si="2"/>
        <v>-22.028571428571436</v>
      </c>
      <c r="P18" s="119">
        <v>14</v>
      </c>
      <c r="Q18" s="107">
        <v>-308.40000000000009</v>
      </c>
    </row>
    <row r="19" spans="1:17" x14ac:dyDescent="0.4">
      <c r="A19" s="55" t="s">
        <v>11</v>
      </c>
      <c r="B19" s="47">
        <v>33</v>
      </c>
      <c r="C19" s="39">
        <f>IF(B$17=0,0,B19/B$17)</f>
        <v>0.6470588235294118</v>
      </c>
      <c r="E19" s="63" t="s">
        <v>82</v>
      </c>
      <c r="F19" s="60" t="s">
        <v>37</v>
      </c>
      <c r="G19" s="47">
        <v>2</v>
      </c>
      <c r="H19" s="133">
        <f>IF(B$17=0,0,G19/B$17)</f>
        <v>3.9215686274509803E-2</v>
      </c>
      <c r="I19" s="94">
        <v>4</v>
      </c>
      <c r="K19" s="38">
        <v>17</v>
      </c>
      <c r="L19" s="99">
        <v>-251.4</v>
      </c>
      <c r="N19" s="115" t="s">
        <v>178</v>
      </c>
      <c r="O19" s="125">
        <f t="shared" si="2"/>
        <v>-28.699999999999996</v>
      </c>
      <c r="P19" s="119">
        <v>1</v>
      </c>
      <c r="Q19" s="107">
        <v>-28.699999999999996</v>
      </c>
    </row>
    <row r="20" spans="1:17" x14ac:dyDescent="0.4">
      <c r="A20" s="55" t="s">
        <v>13</v>
      </c>
      <c r="B20" s="47">
        <v>39</v>
      </c>
      <c r="C20" s="39">
        <f>IF(B$3=0,0,B20/B$3)</f>
        <v>0.21546961325966851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-240</v>
      </c>
      <c r="N20" s="115" t="s">
        <v>179</v>
      </c>
      <c r="O20" s="125">
        <f t="shared" si="2"/>
        <v>-58.79999999999999</v>
      </c>
      <c r="P20" s="119">
        <v>2</v>
      </c>
      <c r="Q20" s="107">
        <v>-117.59999999999998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9.8039215686274508E-2</v>
      </c>
      <c r="I21" s="94">
        <v>2</v>
      </c>
      <c r="K21" s="38">
        <v>19</v>
      </c>
      <c r="L21" s="99">
        <v>-218</v>
      </c>
    </row>
    <row r="22" spans="1:17" x14ac:dyDescent="0.4">
      <c r="A22" s="55" t="s">
        <v>171</v>
      </c>
      <c r="B22" s="47">
        <v>13</v>
      </c>
      <c r="C22" s="135">
        <v>10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-177.6</v>
      </c>
    </row>
    <row r="23" spans="1:17" x14ac:dyDescent="0.4">
      <c r="A23" s="55" t="s">
        <v>5</v>
      </c>
      <c r="B23" s="51">
        <f>IF(B$17=0,0,C23/B$17)</f>
        <v>7464.7058823529414</v>
      </c>
      <c r="C23" s="41">
        <v>380700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-7933.333333333333</v>
      </c>
      <c r="C24" s="45">
        <v>-309400</v>
      </c>
      <c r="E24" s="63" t="s">
        <v>87</v>
      </c>
      <c r="F24" s="60" t="s">
        <v>42</v>
      </c>
      <c r="G24" s="47">
        <v>2</v>
      </c>
      <c r="H24" s="133">
        <f>IF(B$17=0,0,G24/B$17)</f>
        <v>3.9215686274509803E-2</v>
      </c>
      <c r="I24" s="94">
        <v>7</v>
      </c>
    </row>
    <row r="25" spans="1:17" x14ac:dyDescent="0.4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65400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5.8823529411764705E-2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1.9607843137254902E-2</v>
      </c>
      <c r="I29" s="94">
        <v>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1</v>
      </c>
      <c r="H50" s="133">
        <f>IF(B$17=0,0,G50/B$17)</f>
        <v>1.9607843137254902E-2</v>
      </c>
      <c r="I50" s="94">
        <v>2</v>
      </c>
    </row>
    <row r="51" spans="5:9" x14ac:dyDescent="0.4">
      <c r="E51" s="136" t="s">
        <v>172</v>
      </c>
      <c r="F51" s="137" t="s">
        <v>173</v>
      </c>
      <c r="G51" s="48">
        <v>20</v>
      </c>
      <c r="H51" s="138">
        <f>IF(B$17=0,0,G51/B$17)</f>
        <v>0.39215686274509803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137F-7E1C-474B-A848-02C5A720DE7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73</v>
      </c>
      <c r="F2" s="59" t="s">
        <v>28</v>
      </c>
      <c r="G2" s="46">
        <v>21</v>
      </c>
      <c r="H2" s="132">
        <f>IF(B$17=0,0,G2/B$17)</f>
        <v>0.77777777777777779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653.33333333333337</v>
      </c>
      <c r="P2" s="118">
        <v>15</v>
      </c>
      <c r="Q2" s="102">
        <v>9800</v>
      </c>
    </row>
    <row r="3" spans="1:17" x14ac:dyDescent="0.4">
      <c r="A3" s="55" t="s">
        <v>8</v>
      </c>
      <c r="B3" s="152">
        <v>122</v>
      </c>
      <c r="C3" s="153"/>
      <c r="E3" s="63" t="s">
        <v>67</v>
      </c>
      <c r="F3" s="60" t="s">
        <v>23</v>
      </c>
      <c r="G3" s="47">
        <v>18</v>
      </c>
      <c r="H3" s="133">
        <f>IF(B$17=0,0,G3/B$17)</f>
        <v>0.66666666666666663</v>
      </c>
      <c r="I3" s="94">
        <v>8</v>
      </c>
      <c r="K3" s="38">
        <v>1</v>
      </c>
      <c r="L3" s="99">
        <v>-9.1</v>
      </c>
      <c r="N3" s="115" t="s">
        <v>132</v>
      </c>
      <c r="O3" s="122">
        <f t="shared" si="0"/>
        <v>-2964.2857142857142</v>
      </c>
      <c r="P3" s="119">
        <v>14</v>
      </c>
      <c r="Q3" s="103">
        <v>-41500</v>
      </c>
    </row>
    <row r="4" spans="1:17" x14ac:dyDescent="0.4">
      <c r="A4" s="55" t="s">
        <v>6</v>
      </c>
      <c r="B4" s="154">
        <v>-101.79999999999997</v>
      </c>
      <c r="C4" s="155"/>
      <c r="E4" s="63" t="s">
        <v>90</v>
      </c>
      <c r="F4" s="60" t="s">
        <v>45</v>
      </c>
      <c r="G4" s="47">
        <v>11</v>
      </c>
      <c r="H4" s="133">
        <f>IF(B$17=0,0,G4/B$17)</f>
        <v>0.40740740740740738</v>
      </c>
      <c r="I4" s="94">
        <v>1</v>
      </c>
      <c r="K4" s="38">
        <v>2</v>
      </c>
      <c r="L4" s="99">
        <v>-67.3</v>
      </c>
      <c r="N4" s="115" t="s">
        <v>133</v>
      </c>
      <c r="O4" s="122">
        <f t="shared" si="0"/>
        <v>-4046.1538461538462</v>
      </c>
      <c r="P4" s="119">
        <v>13</v>
      </c>
      <c r="Q4" s="103">
        <v>-52600</v>
      </c>
    </row>
    <row r="5" spans="1:17" x14ac:dyDescent="0.4">
      <c r="A5" s="55" t="s">
        <v>7</v>
      </c>
      <c r="B5" s="156">
        <f>IF(B$2=0,0,B$4/B$2)</f>
        <v>-6.7866666666666644</v>
      </c>
      <c r="C5" s="157"/>
      <c r="E5" s="63" t="s">
        <v>68</v>
      </c>
      <c r="F5" s="60" t="s">
        <v>24</v>
      </c>
      <c r="G5" s="47">
        <v>8</v>
      </c>
      <c r="H5" s="133">
        <f>IF(B$17=0,0,G5/B$17)</f>
        <v>0.29629629629629628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5375</v>
      </c>
      <c r="P5" s="119">
        <v>12</v>
      </c>
      <c r="Q5" s="103">
        <v>64500</v>
      </c>
    </row>
    <row r="6" spans="1:17" x14ac:dyDescent="0.4">
      <c r="A6" s="55" t="s">
        <v>1</v>
      </c>
      <c r="B6" s="146">
        <f>IF(B$2=0,0,(B$7*1+B$8*2+B$9*3)/B$2)</f>
        <v>2.1333333333333333</v>
      </c>
      <c r="C6" s="147"/>
      <c r="E6" s="63" t="s">
        <v>65</v>
      </c>
      <c r="F6" s="60" t="s">
        <v>21</v>
      </c>
      <c r="G6" s="47">
        <v>7</v>
      </c>
      <c r="H6" s="133">
        <f>IF(B$17=0,0,G6/B$17)</f>
        <v>0.25925925925925924</v>
      </c>
      <c r="I6" s="94">
        <v>10</v>
      </c>
      <c r="K6" s="38">
        <v>4</v>
      </c>
      <c r="L6" s="99">
        <v>-74.599999999999994</v>
      </c>
      <c r="N6" s="115" t="s">
        <v>135</v>
      </c>
      <c r="O6" s="122">
        <f t="shared" si="0"/>
        <v>1480</v>
      </c>
      <c r="P6" s="119">
        <v>10</v>
      </c>
      <c r="Q6" s="103">
        <v>14800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0.26666666666666666</v>
      </c>
      <c r="E7" s="63" t="s">
        <v>69</v>
      </c>
      <c r="F7" s="60" t="s">
        <v>12</v>
      </c>
      <c r="G7" s="47">
        <v>6</v>
      </c>
      <c r="H7" s="133">
        <f>IF(B$17=0,0,G7/B$17)</f>
        <v>0.22222222222222221</v>
      </c>
      <c r="I7" s="94">
        <v>8</v>
      </c>
      <c r="K7" s="38">
        <v>5</v>
      </c>
      <c r="L7" s="99">
        <v>-118.3</v>
      </c>
      <c r="N7" s="116" t="s">
        <v>136</v>
      </c>
      <c r="O7" s="123">
        <f t="shared" si="0"/>
        <v>-10971.428571428571</v>
      </c>
      <c r="P7" s="120">
        <v>7</v>
      </c>
      <c r="Q7" s="104">
        <v>-76800</v>
      </c>
    </row>
    <row r="8" spans="1:17" x14ac:dyDescent="0.4">
      <c r="A8" s="55" t="s">
        <v>3</v>
      </c>
      <c r="B8" s="47">
        <v>5</v>
      </c>
      <c r="C8" s="39">
        <f t="shared" si="1"/>
        <v>0.33333333333333331</v>
      </c>
      <c r="E8" s="63" t="s">
        <v>84</v>
      </c>
      <c r="F8" s="60" t="s">
        <v>39</v>
      </c>
      <c r="G8" s="47">
        <v>3</v>
      </c>
      <c r="H8" s="133">
        <f>IF(B$17=0,0,G8/B$17)</f>
        <v>0.1111111111111111</v>
      </c>
      <c r="I8" s="94">
        <v>1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0.4</v>
      </c>
      <c r="E9" s="63" t="s">
        <v>93</v>
      </c>
      <c r="F9" s="60" t="s">
        <v>48</v>
      </c>
      <c r="G9" s="47">
        <v>3</v>
      </c>
      <c r="H9" s="133">
        <f>IF(B$17=0,0,G9/B$17)</f>
        <v>0.1111111111111111</v>
      </c>
      <c r="I9" s="94">
        <v>1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0.26666666666666666</v>
      </c>
      <c r="E10" s="63" t="s">
        <v>172</v>
      </c>
      <c r="F10" s="60" t="s">
        <v>173</v>
      </c>
      <c r="G10" s="47">
        <v>3</v>
      </c>
      <c r="H10" s="133">
        <f>IF(B$17=0,0,G10/B$17)</f>
        <v>0.1111111111111111</v>
      </c>
      <c r="I10" s="94">
        <v>10</v>
      </c>
      <c r="K10" s="38">
        <v>8</v>
      </c>
      <c r="L10" s="99">
        <v>-110.19999999999999</v>
      </c>
      <c r="N10" s="114" t="s">
        <v>163</v>
      </c>
      <c r="O10" s="124">
        <f>IF(P10=0,0,Q10/P10)</f>
        <v>2.0875000000000008</v>
      </c>
      <c r="P10" s="118">
        <v>8</v>
      </c>
      <c r="Q10" s="106">
        <v>16.700000000000006</v>
      </c>
    </row>
    <row r="11" spans="1:17" x14ac:dyDescent="0.4">
      <c r="A11" s="56" t="s">
        <v>139</v>
      </c>
      <c r="B11" s="48">
        <v>4</v>
      </c>
      <c r="C11" s="40">
        <f t="shared" si="1"/>
        <v>0.26666666666666666</v>
      </c>
      <c r="E11" s="63" t="s">
        <v>70</v>
      </c>
      <c r="F11" s="60" t="s">
        <v>25</v>
      </c>
      <c r="G11" s="47">
        <v>2</v>
      </c>
      <c r="H11" s="133">
        <f>IF(B$17=0,0,G11/B$17)</f>
        <v>7.407407407407407E-2</v>
      </c>
      <c r="I11" s="94">
        <v>8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82</v>
      </c>
      <c r="F12" s="60" t="s">
        <v>37</v>
      </c>
      <c r="G12" s="47">
        <v>2</v>
      </c>
      <c r="H12" s="133">
        <f>IF(B$17=0,0,G12/B$17)</f>
        <v>7.407407407407407E-2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-13.724999999999998</v>
      </c>
      <c r="P12" s="120">
        <v>4</v>
      </c>
      <c r="Q12" s="108">
        <v>-54.899999999999991</v>
      </c>
    </row>
    <row r="13" spans="1:17" x14ac:dyDescent="0.4">
      <c r="A13" s="58" t="s">
        <v>122</v>
      </c>
      <c r="B13" s="50">
        <v>28</v>
      </c>
      <c r="C13" s="44">
        <f>IF(B$3=0,0,B13/B$3)</f>
        <v>0.22950819672131148</v>
      </c>
      <c r="E13" s="63" t="s">
        <v>66</v>
      </c>
      <c r="F13" s="60" t="s">
        <v>22</v>
      </c>
      <c r="G13" s="47">
        <v>1</v>
      </c>
      <c r="H13" s="133">
        <f>IF(B$17=0,0,G13/B$17)</f>
        <v>3.7037037037037035E-2</v>
      </c>
      <c r="I13" s="94">
        <v>10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29</v>
      </c>
      <c r="C14" s="39">
        <f>IF(B$3=0,0,B14/B$3)</f>
        <v>0.23770491803278687</v>
      </c>
      <c r="E14" s="63" t="s">
        <v>72</v>
      </c>
      <c r="F14" s="60" t="s">
        <v>27</v>
      </c>
      <c r="G14" s="47">
        <v>1</v>
      </c>
      <c r="H14" s="133">
        <f>IF(B$17=0,0,G14/B$17)</f>
        <v>3.7037037037037035E-2</v>
      </c>
      <c r="I14" s="94">
        <v>8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7</v>
      </c>
      <c r="C15" s="37">
        <f>IF(B$13=0,0,B15/B$13)</f>
        <v>0.25</v>
      </c>
      <c r="E15" s="63" t="s">
        <v>87</v>
      </c>
      <c r="F15" s="60" t="s">
        <v>42</v>
      </c>
      <c r="G15" s="47">
        <v>1</v>
      </c>
      <c r="H15" s="133">
        <f>IF(B$17=0,0,G15/B$17)</f>
        <v>3.7037037037037035E-2</v>
      </c>
      <c r="I15" s="94">
        <v>9</v>
      </c>
      <c r="K15" s="38">
        <v>13</v>
      </c>
      <c r="L15" s="99">
        <v>-132.39999999999998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13</v>
      </c>
      <c r="C16" s="37">
        <f>IF(B$14=0,0,B16/B$14)</f>
        <v>0.44827586206896552</v>
      </c>
      <c r="E16" s="63" t="s">
        <v>92</v>
      </c>
      <c r="F16" s="60" t="s">
        <v>47</v>
      </c>
      <c r="G16" s="47">
        <v>1</v>
      </c>
      <c r="H16" s="133">
        <f>IF(B$17=0,0,G16/B$17)</f>
        <v>3.7037037037037035E-2</v>
      </c>
      <c r="I16" s="94">
        <v>1</v>
      </c>
      <c r="K16" s="38">
        <v>14</v>
      </c>
      <c r="L16" s="99">
        <v>-86.499999999999972</v>
      </c>
      <c r="N16" s="115" t="s">
        <v>127</v>
      </c>
      <c r="O16" s="125">
        <f>IF(P16=0,0,Q16/P16)</f>
        <v>13.816666666666665</v>
      </c>
      <c r="P16" s="119">
        <v>6</v>
      </c>
      <c r="Q16" s="107">
        <v>82.899999999999991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71</v>
      </c>
      <c r="F17" s="60" t="s">
        <v>26</v>
      </c>
      <c r="G17" s="47">
        <v>0</v>
      </c>
      <c r="H17" s="133">
        <f>IF(B$17=0,0,G17/B$17)</f>
        <v>0</v>
      </c>
      <c r="I17" s="94">
        <v>10</v>
      </c>
      <c r="K17" s="38">
        <v>15</v>
      </c>
      <c r="L17" s="99">
        <v>-101.79999999999997</v>
      </c>
      <c r="N17" s="115" t="s">
        <v>179</v>
      </c>
      <c r="O17" s="125">
        <f>IF(P17=0,0,Q17/P17)</f>
        <v>6.3500000000000014</v>
      </c>
      <c r="P17" s="119">
        <v>8</v>
      </c>
      <c r="Q17" s="107">
        <v>50.800000000000011</v>
      </c>
    </row>
    <row r="18" spans="1:17" x14ac:dyDescent="0.4">
      <c r="A18" s="55" t="s">
        <v>12</v>
      </c>
      <c r="B18" s="47">
        <v>8</v>
      </c>
      <c r="C18" s="39">
        <f>IF(B$17=0,0,B18/B$17)</f>
        <v>0.29629629629629628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-16.611111111111111</v>
      </c>
      <c r="P18" s="119">
        <v>9</v>
      </c>
      <c r="Q18" s="107">
        <v>-149.5</v>
      </c>
    </row>
    <row r="19" spans="1:17" x14ac:dyDescent="0.4">
      <c r="A19" s="55" t="s">
        <v>11</v>
      </c>
      <c r="B19" s="47">
        <v>19</v>
      </c>
      <c r="C19" s="39">
        <f>IF(B$17=0,0,B19/B$17)</f>
        <v>0.70370370370370372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N19" s="115" t="s">
        <v>183</v>
      </c>
      <c r="O19" s="125">
        <f>IF(P19=0,0,Q19/P19)</f>
        <v>-25.975000000000001</v>
      </c>
      <c r="P19" s="119">
        <v>4</v>
      </c>
      <c r="Q19" s="107">
        <v>-103.9</v>
      </c>
    </row>
    <row r="20" spans="1:17" x14ac:dyDescent="0.4">
      <c r="A20" s="55" t="s">
        <v>13</v>
      </c>
      <c r="B20" s="47">
        <v>24</v>
      </c>
      <c r="C20" s="39">
        <f>IF(B$3=0,0,B20/B$3)</f>
        <v>0.19672131147540983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3</v>
      </c>
      <c r="N20" s="115" t="s">
        <v>182</v>
      </c>
      <c r="O20" s="125">
        <f>IF(P20=0,0,Q20/P20)</f>
        <v>-107.2</v>
      </c>
      <c r="P20" s="119">
        <v>2</v>
      </c>
      <c r="Q20" s="107">
        <v>-214.4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14</v>
      </c>
      <c r="C22" s="135">
        <v>12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12474.074074074075</v>
      </c>
      <c r="C23" s="41">
        <v>336800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7</v>
      </c>
    </row>
    <row r="24" spans="1:17" x14ac:dyDescent="0.4">
      <c r="A24" s="57" t="s">
        <v>14</v>
      </c>
      <c r="B24" s="52">
        <f>IF(B$20=0,0,C24/B$20)</f>
        <v>-10254.166666666666</v>
      </c>
      <c r="C24" s="45">
        <v>-246100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83000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4344D-3567-4021-B80E-524E4C349148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18</v>
      </c>
      <c r="C2" s="151"/>
      <c r="E2" s="62" t="s">
        <v>73</v>
      </c>
      <c r="F2" s="59" t="s">
        <v>28</v>
      </c>
      <c r="G2" s="46">
        <v>42</v>
      </c>
      <c r="H2" s="132">
        <f>IF(B$17=0,0,G2/B$17)</f>
        <v>0.91304347826086951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705.55555555555554</v>
      </c>
      <c r="P2" s="118">
        <v>18</v>
      </c>
      <c r="Q2" s="102">
        <v>12700</v>
      </c>
    </row>
    <row r="3" spans="1:17" x14ac:dyDescent="0.4">
      <c r="A3" s="55" t="s">
        <v>8</v>
      </c>
      <c r="B3" s="152">
        <v>168</v>
      </c>
      <c r="C3" s="153"/>
      <c r="E3" s="63" t="s">
        <v>67</v>
      </c>
      <c r="F3" s="60" t="s">
        <v>23</v>
      </c>
      <c r="G3" s="47">
        <v>34</v>
      </c>
      <c r="H3" s="133">
        <f>IF(B$17=0,0,G3/B$17)</f>
        <v>0.73913043478260865</v>
      </c>
      <c r="I3" s="94">
        <v>6</v>
      </c>
      <c r="K3" s="38">
        <v>1</v>
      </c>
      <c r="L3" s="99">
        <v>46.9</v>
      </c>
      <c r="N3" s="115" t="s">
        <v>132</v>
      </c>
      <c r="O3" s="122">
        <f t="shared" si="0"/>
        <v>44.444444444444443</v>
      </c>
      <c r="P3" s="119">
        <v>18</v>
      </c>
      <c r="Q3" s="103">
        <v>800</v>
      </c>
    </row>
    <row r="4" spans="1:17" x14ac:dyDescent="0.4">
      <c r="A4" s="55" t="s">
        <v>6</v>
      </c>
      <c r="B4" s="154">
        <v>-62.399999999999991</v>
      </c>
      <c r="C4" s="155"/>
      <c r="E4" s="63" t="s">
        <v>65</v>
      </c>
      <c r="F4" s="60" t="s">
        <v>21</v>
      </c>
      <c r="G4" s="47">
        <v>20</v>
      </c>
      <c r="H4" s="133">
        <f>IF(B$17=0,0,G4/B$17)</f>
        <v>0.43478260869565216</v>
      </c>
      <c r="I4" s="94">
        <v>6</v>
      </c>
      <c r="K4" s="38">
        <v>2</v>
      </c>
      <c r="L4" s="99">
        <v>8.1000000000000014</v>
      </c>
      <c r="N4" s="115" t="s">
        <v>133</v>
      </c>
      <c r="O4" s="122">
        <f t="shared" si="0"/>
        <v>-1888.2352941176471</v>
      </c>
      <c r="P4" s="119">
        <v>17</v>
      </c>
      <c r="Q4" s="103">
        <v>-32100</v>
      </c>
    </row>
    <row r="5" spans="1:17" x14ac:dyDescent="0.4">
      <c r="A5" s="55" t="s">
        <v>7</v>
      </c>
      <c r="B5" s="156">
        <f>IF(B$2=0,0,B$4/B$2)</f>
        <v>-3.4666666666666663</v>
      </c>
      <c r="C5" s="157"/>
      <c r="E5" s="63" t="s">
        <v>172</v>
      </c>
      <c r="F5" s="60" t="s">
        <v>173</v>
      </c>
      <c r="G5" s="47">
        <v>15</v>
      </c>
      <c r="H5" s="133">
        <f>IF(B$17=0,0,G5/B$17)</f>
        <v>0.32608695652173914</v>
      </c>
      <c r="I5" s="94">
        <v>7</v>
      </c>
      <c r="K5" s="38">
        <v>3</v>
      </c>
      <c r="L5" s="99">
        <v>25.8</v>
      </c>
      <c r="N5" s="115" t="s">
        <v>134</v>
      </c>
      <c r="O5" s="122">
        <f t="shared" si="0"/>
        <v>160</v>
      </c>
      <c r="P5" s="119">
        <v>15</v>
      </c>
      <c r="Q5" s="103">
        <v>2400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0.28260869565217389</v>
      </c>
      <c r="I6" s="94">
        <v>4</v>
      </c>
      <c r="K6" s="38">
        <v>4</v>
      </c>
      <c r="L6" s="99">
        <v>-19.3</v>
      </c>
      <c r="N6" s="115" t="s">
        <v>135</v>
      </c>
      <c r="O6" s="122">
        <f t="shared" si="0"/>
        <v>-3509.090909090909</v>
      </c>
      <c r="P6" s="119">
        <v>11</v>
      </c>
      <c r="Q6" s="103">
        <v>-38600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0.27777777777777779</v>
      </c>
      <c r="E7" s="63" t="s">
        <v>68</v>
      </c>
      <c r="F7" s="60" t="s">
        <v>24</v>
      </c>
      <c r="G7" s="47">
        <v>7</v>
      </c>
      <c r="H7" s="133">
        <f>IF(B$17=0,0,G7/B$17)</f>
        <v>0.15217391304347827</v>
      </c>
      <c r="I7" s="94">
        <v>10</v>
      </c>
      <c r="K7" s="38">
        <v>5</v>
      </c>
      <c r="L7" s="99">
        <v>-1.6000000000000014</v>
      </c>
      <c r="N7" s="116" t="s">
        <v>136</v>
      </c>
      <c r="O7" s="123">
        <f t="shared" si="0"/>
        <v>1377.7777777777778</v>
      </c>
      <c r="P7" s="120">
        <v>9</v>
      </c>
      <c r="Q7" s="104">
        <v>12400</v>
      </c>
    </row>
    <row r="8" spans="1:17" x14ac:dyDescent="0.4">
      <c r="A8" s="55" t="s">
        <v>3</v>
      </c>
      <c r="B8" s="47">
        <v>6</v>
      </c>
      <c r="C8" s="39">
        <f t="shared" si="1"/>
        <v>0.33333333333333331</v>
      </c>
      <c r="E8" s="63" t="s">
        <v>90</v>
      </c>
      <c r="F8" s="60" t="s">
        <v>45</v>
      </c>
      <c r="G8" s="47">
        <v>5</v>
      </c>
      <c r="H8" s="133">
        <f>IF(B$17=0,0,G8/B$17)</f>
        <v>0.10869565217391304</v>
      </c>
      <c r="I8" s="94">
        <v>5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0.3888888888888889</v>
      </c>
      <c r="E9" s="63" t="s">
        <v>70</v>
      </c>
      <c r="F9" s="60" t="s">
        <v>25</v>
      </c>
      <c r="G9" s="47">
        <v>4</v>
      </c>
      <c r="H9" s="133">
        <f>IF(B$17=0,0,G9/B$17)</f>
        <v>8.6956521739130432E-2</v>
      </c>
      <c r="I9" s="94">
        <v>6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0.16666666666666666</v>
      </c>
      <c r="E10" s="63" t="s">
        <v>84</v>
      </c>
      <c r="F10" s="60" t="s">
        <v>39</v>
      </c>
      <c r="G10" s="47">
        <v>4</v>
      </c>
      <c r="H10" s="133">
        <f>IF(B$17=0,0,G10/B$17)</f>
        <v>8.6956521739130432E-2</v>
      </c>
      <c r="I10" s="94">
        <v>3</v>
      </c>
      <c r="K10" s="38">
        <v>8</v>
      </c>
      <c r="L10" s="99">
        <v>-46.7</v>
      </c>
      <c r="N10" s="114" t="s">
        <v>163</v>
      </c>
      <c r="O10" s="124">
        <f>IF(P10=0,0,Q10/P10)</f>
        <v>1.9142857142857141</v>
      </c>
      <c r="P10" s="118">
        <v>7</v>
      </c>
      <c r="Q10" s="106">
        <v>13.399999999999999</v>
      </c>
    </row>
    <row r="11" spans="1:17" x14ac:dyDescent="0.4">
      <c r="A11" s="56" t="s">
        <v>139</v>
      </c>
      <c r="B11" s="48">
        <v>1</v>
      </c>
      <c r="C11" s="40">
        <f t="shared" si="1"/>
        <v>5.5555555555555552E-2</v>
      </c>
      <c r="E11" s="63" t="s">
        <v>71</v>
      </c>
      <c r="F11" s="60" t="s">
        <v>26</v>
      </c>
      <c r="G11" s="47">
        <v>3</v>
      </c>
      <c r="H11" s="133">
        <f>IF(B$17=0,0,G11/B$17)</f>
        <v>6.5217391304347824E-2</v>
      </c>
      <c r="I11" s="94">
        <v>8</v>
      </c>
      <c r="K11" s="38">
        <v>9</v>
      </c>
      <c r="L11" s="99">
        <v>-90.9</v>
      </c>
      <c r="N11" s="115" t="s">
        <v>164</v>
      </c>
      <c r="O11" s="125">
        <f>IF(P11=0,0,Q11/P11)</f>
        <v>-7.62</v>
      </c>
      <c r="P11" s="119">
        <v>5</v>
      </c>
      <c r="Q11" s="107">
        <v>-38.1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80</v>
      </c>
      <c r="F12" s="60" t="s">
        <v>35</v>
      </c>
      <c r="G12" s="47">
        <v>3</v>
      </c>
      <c r="H12" s="133">
        <f>IF(B$17=0,0,G12/B$17)</f>
        <v>6.5217391304347824E-2</v>
      </c>
      <c r="I12" s="94">
        <v>2</v>
      </c>
      <c r="K12" s="38">
        <v>10</v>
      </c>
      <c r="L12" s="99">
        <v>-146.69999999999999</v>
      </c>
      <c r="N12" s="116" t="s">
        <v>165</v>
      </c>
      <c r="O12" s="126">
        <f>IF(P12=0,0,Q12/P12)</f>
        <v>-6.2833333333333341</v>
      </c>
      <c r="P12" s="120">
        <v>6</v>
      </c>
      <c r="Q12" s="108">
        <v>-37.700000000000003</v>
      </c>
    </row>
    <row r="13" spans="1:17" x14ac:dyDescent="0.4">
      <c r="A13" s="58" t="s">
        <v>122</v>
      </c>
      <c r="B13" s="50">
        <v>42</v>
      </c>
      <c r="C13" s="44">
        <f>IF(B$3=0,0,B13/B$3)</f>
        <v>0.25</v>
      </c>
      <c r="E13" s="63" t="s">
        <v>66</v>
      </c>
      <c r="F13" s="60" t="s">
        <v>22</v>
      </c>
      <c r="G13" s="47">
        <v>2</v>
      </c>
      <c r="H13" s="133">
        <f>IF(B$17=0,0,G13/B$17)</f>
        <v>4.3478260869565216E-2</v>
      </c>
      <c r="I13" s="94">
        <v>9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42</v>
      </c>
      <c r="C14" s="39">
        <f>IF(B$3=0,0,B14/B$3)</f>
        <v>0.25</v>
      </c>
      <c r="E14" s="63" t="s">
        <v>72</v>
      </c>
      <c r="F14" s="60" t="s">
        <v>27</v>
      </c>
      <c r="G14" s="47">
        <v>2</v>
      </c>
      <c r="H14" s="133">
        <f>IF(B$17=0,0,G14/B$17)</f>
        <v>4.3478260869565216E-2</v>
      </c>
      <c r="I14" s="94">
        <v>7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0.47619047619047616</v>
      </c>
      <c r="E15" s="63" t="s">
        <v>79</v>
      </c>
      <c r="F15" s="60" t="s">
        <v>34</v>
      </c>
      <c r="G15" s="47">
        <v>2</v>
      </c>
      <c r="H15" s="133">
        <f>IF(B$17=0,0,G15/B$17)</f>
        <v>4.3478260869565216E-2</v>
      </c>
      <c r="I15" s="94">
        <v>2</v>
      </c>
      <c r="K15" s="38">
        <v>13</v>
      </c>
      <c r="L15" s="99">
        <v>-68.399999999999991</v>
      </c>
      <c r="N15" s="114" t="s">
        <v>196</v>
      </c>
      <c r="O15" s="124">
        <f>IF(P15=0,0,Q15/P15)</f>
        <v>64.2</v>
      </c>
      <c r="P15" s="118">
        <v>2</v>
      </c>
      <c r="Q15" s="106">
        <v>128.4</v>
      </c>
    </row>
    <row r="16" spans="1:17" x14ac:dyDescent="0.4">
      <c r="A16" s="54" t="s">
        <v>125</v>
      </c>
      <c r="B16" s="46">
        <v>22</v>
      </c>
      <c r="C16" s="37">
        <f>IF(B$14=0,0,B16/B$14)</f>
        <v>0.52380952380952384</v>
      </c>
      <c r="E16" s="63" t="s">
        <v>87</v>
      </c>
      <c r="F16" s="60" t="s">
        <v>42</v>
      </c>
      <c r="G16" s="47">
        <v>2</v>
      </c>
      <c r="H16" s="133">
        <f>IF(B$17=0,0,G16/B$17)</f>
        <v>4.3478260869565216E-2</v>
      </c>
      <c r="I16" s="94">
        <v>6</v>
      </c>
      <c r="K16" s="38">
        <v>14</v>
      </c>
      <c r="L16" s="99">
        <v>-25.79999999999999</v>
      </c>
      <c r="N16" s="115" t="s">
        <v>180</v>
      </c>
      <c r="O16" s="125">
        <f>IF(P16=0,0,Q16/P16)</f>
        <v>58.8</v>
      </c>
      <c r="P16" s="119">
        <v>2</v>
      </c>
      <c r="Q16" s="107">
        <v>117.6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0.27380952380952384</v>
      </c>
      <c r="E17" s="63" t="s">
        <v>86</v>
      </c>
      <c r="F17" s="60" t="s">
        <v>41</v>
      </c>
      <c r="G17" s="47">
        <v>1</v>
      </c>
      <c r="H17" s="133">
        <f>IF(B$17=0,0,G17/B$17)</f>
        <v>2.1739130434782608E-2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>IF(P17=0,0,Q17/P17)</f>
        <v>38.725000000000001</v>
      </c>
      <c r="P17" s="119">
        <v>4</v>
      </c>
      <c r="Q17" s="107">
        <v>154.9</v>
      </c>
    </row>
    <row r="18" spans="1:17" x14ac:dyDescent="0.4">
      <c r="A18" s="55" t="s">
        <v>12</v>
      </c>
      <c r="B18" s="47">
        <v>17</v>
      </c>
      <c r="C18" s="39">
        <f>IF(B$17=0,0,B18/B$17)</f>
        <v>0.36956521739130432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-35.599999999999987</v>
      </c>
      <c r="N18" s="115" t="s">
        <v>178</v>
      </c>
      <c r="O18" s="125">
        <f>IF(P18=0,0,Q18/P18)</f>
        <v>-6.3500000000000032</v>
      </c>
      <c r="P18" s="119">
        <v>8</v>
      </c>
      <c r="Q18" s="107">
        <v>-50.800000000000026</v>
      </c>
    </row>
    <row r="19" spans="1:17" x14ac:dyDescent="0.4">
      <c r="A19" s="55" t="s">
        <v>11</v>
      </c>
      <c r="B19" s="47">
        <v>29</v>
      </c>
      <c r="C19" s="39">
        <f>IF(B$17=0,0,B19/B$17)</f>
        <v>0.63043478260869568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-29.799999999999986</v>
      </c>
      <c r="N19" s="115" t="s">
        <v>182</v>
      </c>
      <c r="O19" s="125">
        <f>IF(P19=0,0,Q19/P19)</f>
        <v>-15.5</v>
      </c>
      <c r="P19" s="119">
        <v>1</v>
      </c>
      <c r="Q19" s="107">
        <v>-15.5</v>
      </c>
    </row>
    <row r="20" spans="1:17" x14ac:dyDescent="0.4">
      <c r="A20" s="55" t="s">
        <v>13</v>
      </c>
      <c r="B20" s="47">
        <v>22</v>
      </c>
      <c r="C20" s="39">
        <f>IF(B$3=0,0,B20/B$3)</f>
        <v>0.13095238095238096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-62.399999999999991</v>
      </c>
      <c r="N20" s="115" t="s">
        <v>167</v>
      </c>
      <c r="O20" s="125">
        <f>IF(P20=0,0,Q20/P20)</f>
        <v>-16.399999999999999</v>
      </c>
      <c r="P20" s="119">
        <v>1</v>
      </c>
      <c r="Q20" s="107">
        <v>-16.399999999999999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N21" s="115" t="s">
        <v>128</v>
      </c>
      <c r="O21" s="125">
        <f>IF(P21=0,0,Q21/P21)</f>
        <v>-27.133333333333336</v>
      </c>
      <c r="P21" s="119">
        <v>12</v>
      </c>
      <c r="Q21" s="107">
        <v>-325.60000000000002</v>
      </c>
    </row>
    <row r="22" spans="1:17" x14ac:dyDescent="0.4">
      <c r="A22" s="55" t="s">
        <v>171</v>
      </c>
      <c r="B22" s="47">
        <v>44</v>
      </c>
      <c r="C22" s="135">
        <v>3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  <c r="N22" s="115" t="s">
        <v>127</v>
      </c>
      <c r="O22" s="125">
        <f>IF(P22=0,0,Q22/P22)</f>
        <v>-29.966666666666665</v>
      </c>
      <c r="P22" s="119">
        <v>6</v>
      </c>
      <c r="Q22" s="107">
        <v>-179.79999999999998</v>
      </c>
    </row>
    <row r="23" spans="1:17" x14ac:dyDescent="0.4">
      <c r="A23" s="55" t="s">
        <v>5</v>
      </c>
      <c r="B23" s="51">
        <f>IF(B$17=0,0,C23/B$17)</f>
        <v>7491.304347826087</v>
      </c>
      <c r="C23" s="41">
        <v>344600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-7331.818181818182</v>
      </c>
      <c r="C24" s="45">
        <v>-161300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9</v>
      </c>
    </row>
    <row r="25" spans="1:17" x14ac:dyDescent="0.4">
      <c r="A25" s="90" t="s">
        <v>141</v>
      </c>
      <c r="B25" s="144">
        <v>5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75000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5.9523809523809521E-3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E79-F6E7-4FD2-819A-978B7E8D867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>IF(B$17=0,0,G2/B$17)</f>
        <v>0.6428571428571429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-3912.5</v>
      </c>
      <c r="P2" s="118">
        <v>8</v>
      </c>
      <c r="Q2" s="102">
        <v>-31300</v>
      </c>
    </row>
    <row r="3" spans="1:17" x14ac:dyDescent="0.4">
      <c r="A3" s="55" t="s">
        <v>8</v>
      </c>
      <c r="B3" s="152">
        <v>69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0.14285714285714285</v>
      </c>
      <c r="I3" s="94">
        <v>3</v>
      </c>
      <c r="K3" s="38">
        <v>1</v>
      </c>
      <c r="L3" s="99">
        <v>-12</v>
      </c>
      <c r="N3" s="115" t="s">
        <v>132</v>
      </c>
      <c r="O3" s="122">
        <f t="shared" si="0"/>
        <v>-975</v>
      </c>
      <c r="P3" s="119">
        <v>8</v>
      </c>
      <c r="Q3" s="103">
        <v>-7800</v>
      </c>
    </row>
    <row r="4" spans="1:17" x14ac:dyDescent="0.4">
      <c r="A4" s="55" t="s">
        <v>6</v>
      </c>
      <c r="B4" s="154">
        <v>-152.6</v>
      </c>
      <c r="C4" s="155"/>
      <c r="E4" s="63" t="s">
        <v>67</v>
      </c>
      <c r="F4" s="60" t="s">
        <v>23</v>
      </c>
      <c r="G4" s="47">
        <v>13</v>
      </c>
      <c r="H4" s="133">
        <f>IF(B$17=0,0,G4/B$17)</f>
        <v>0.9285714285714286</v>
      </c>
      <c r="I4" s="94">
        <v>3</v>
      </c>
      <c r="K4" s="38">
        <v>2</v>
      </c>
      <c r="L4" s="99">
        <v>-40.6</v>
      </c>
      <c r="N4" s="115" t="s">
        <v>133</v>
      </c>
      <c r="O4" s="122">
        <f t="shared" si="0"/>
        <v>-1987.5</v>
      </c>
      <c r="P4" s="119">
        <v>8</v>
      </c>
      <c r="Q4" s="103">
        <v>-15900</v>
      </c>
    </row>
    <row r="5" spans="1:17" x14ac:dyDescent="0.4">
      <c r="A5" s="55" t="s">
        <v>7</v>
      </c>
      <c r="B5" s="156">
        <f>IF(B$2=0,0,B$4/B$2)</f>
        <v>-19.074999999999999</v>
      </c>
      <c r="C5" s="157"/>
      <c r="E5" s="63" t="s">
        <v>68</v>
      </c>
      <c r="F5" s="60" t="s">
        <v>24</v>
      </c>
      <c r="G5" s="47">
        <v>10</v>
      </c>
      <c r="H5" s="133">
        <f>IF(B$17=0,0,G5/B$17)</f>
        <v>0.7142857142857143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-6414.2857142857147</v>
      </c>
      <c r="P5" s="119">
        <v>7</v>
      </c>
      <c r="Q5" s="103">
        <v>-44900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0.35714285714285715</v>
      </c>
      <c r="I6" s="94">
        <v>2</v>
      </c>
      <c r="K6" s="38">
        <v>4</v>
      </c>
      <c r="L6" s="99">
        <v>-80.5</v>
      </c>
      <c r="N6" s="115" t="s">
        <v>135</v>
      </c>
      <c r="O6" s="122">
        <f t="shared" si="0"/>
        <v>-283.33333333333331</v>
      </c>
      <c r="P6" s="119">
        <v>6</v>
      </c>
      <c r="Q6" s="103">
        <v>-1700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0.125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K7" s="38">
        <v>5</v>
      </c>
      <c r="L7" s="99">
        <v>-124.3</v>
      </c>
      <c r="N7" s="116" t="s">
        <v>136</v>
      </c>
      <c r="O7" s="123">
        <f t="shared" si="0"/>
        <v>-2750</v>
      </c>
      <c r="P7" s="120">
        <v>4</v>
      </c>
      <c r="Q7" s="104">
        <v>-11000</v>
      </c>
    </row>
    <row r="8" spans="1:17" x14ac:dyDescent="0.4">
      <c r="A8" s="55" t="s">
        <v>3</v>
      </c>
      <c r="B8" s="47">
        <v>2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6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0.625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0.25</v>
      </c>
      <c r="E10" s="63" t="s">
        <v>73</v>
      </c>
      <c r="F10" s="60" t="s">
        <v>28</v>
      </c>
      <c r="G10" s="47">
        <v>8</v>
      </c>
      <c r="H10" s="133">
        <f>IF(B$17=0,0,G10/B$17)</f>
        <v>0.5714285714285714</v>
      </c>
      <c r="I10" s="94">
        <v>5</v>
      </c>
      <c r="K10" s="38">
        <v>8</v>
      </c>
      <c r="L10" s="99">
        <v>-152.6</v>
      </c>
      <c r="N10" s="114" t="s">
        <v>163</v>
      </c>
      <c r="O10" s="124">
        <f>IF(P10=0,0,Q10/P10)</f>
        <v>-37.333333333333336</v>
      </c>
      <c r="P10" s="118">
        <v>3</v>
      </c>
      <c r="Q10" s="106">
        <v>-112</v>
      </c>
    </row>
    <row r="11" spans="1:17" x14ac:dyDescent="0.4">
      <c r="A11" s="56" t="s">
        <v>139</v>
      </c>
      <c r="B11" s="48">
        <v>1</v>
      </c>
      <c r="C11" s="40">
        <f t="shared" si="1"/>
        <v>0.125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19</v>
      </c>
      <c r="C13" s="44">
        <f>IF(B$3=0,0,B13/B$3)</f>
        <v>0.27536231884057971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0.21739130434782608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9</v>
      </c>
      <c r="C15" s="37">
        <f>IF(B$13=0,0,B15/B$13)</f>
        <v>0.47368421052631576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>IF(P15=0,0,Q15/P15)</f>
        <v>25.975000000000005</v>
      </c>
      <c r="P15" s="118">
        <v>4</v>
      </c>
      <c r="Q15" s="106">
        <v>103.90000000000002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1</v>
      </c>
      <c r="H16" s="133">
        <f>IF(B$17=0,0,G16/B$17)</f>
        <v>7.1428571428571425E-2</v>
      </c>
      <c r="I16" s="94">
        <v>1</v>
      </c>
      <c r="N16" s="115" t="s">
        <v>128</v>
      </c>
      <c r="O16" s="125">
        <f>IF(P16=0,0,Q16/P16)</f>
        <v>-32.799999999999997</v>
      </c>
      <c r="P16" s="119">
        <v>2</v>
      </c>
      <c r="Q16" s="107">
        <v>-65.599999999999994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0.20289855072463769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179</v>
      </c>
      <c r="O17" s="125">
        <f>IF(P17=0,0,Q17/P17)</f>
        <v>-38.725000000000001</v>
      </c>
      <c r="P17" s="119">
        <v>4</v>
      </c>
      <c r="Q17" s="107">
        <v>-154.9</v>
      </c>
    </row>
    <row r="18" spans="1:17" x14ac:dyDescent="0.4">
      <c r="A18" s="55" t="s">
        <v>12</v>
      </c>
      <c r="B18" s="47">
        <v>8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-52.525000000000006</v>
      </c>
      <c r="P18" s="119">
        <v>4</v>
      </c>
      <c r="Q18" s="107">
        <v>-210.10000000000002</v>
      </c>
    </row>
    <row r="19" spans="1:17" x14ac:dyDescent="0.4">
      <c r="A19" s="55" t="s">
        <v>11</v>
      </c>
      <c r="B19" s="47">
        <v>6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1</v>
      </c>
      <c r="H19" s="133">
        <f>IF(B$17=0,0,G19/B$17)</f>
        <v>7.1428571428571425E-2</v>
      </c>
      <c r="I19" s="94">
        <v>2</v>
      </c>
      <c r="N19" s="115" t="s">
        <v>196</v>
      </c>
      <c r="O19" s="125">
        <f>IF(P19=0,0,Q19/P19)</f>
        <v>-65.55</v>
      </c>
      <c r="P19" s="119">
        <v>2</v>
      </c>
      <c r="Q19" s="107">
        <v>-131.1</v>
      </c>
    </row>
    <row r="20" spans="1:17" x14ac:dyDescent="0.4">
      <c r="A20" s="55" t="s">
        <v>13</v>
      </c>
      <c r="B20" s="47">
        <v>17</v>
      </c>
      <c r="C20" s="39">
        <f>IF(B$3=0,0,B20/B$3)</f>
        <v>0.24637681159420291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7.1428571428571425E-2</v>
      </c>
      <c r="I21" s="94">
        <v>5</v>
      </c>
    </row>
    <row r="22" spans="1:17" x14ac:dyDescent="0.4">
      <c r="A22" s="55" t="s">
        <v>171</v>
      </c>
      <c r="B22" s="47">
        <v>11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9742.8571428571431</v>
      </c>
      <c r="C23" s="41">
        <v>136400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-10035.294117647059</v>
      </c>
      <c r="C24" s="45">
        <v>-170600</v>
      </c>
      <c r="E24" s="63" t="s">
        <v>87</v>
      </c>
      <c r="F24" s="60" t="s">
        <v>42</v>
      </c>
      <c r="G24" s="47">
        <v>2</v>
      </c>
      <c r="H24" s="133">
        <f>IF(B$17=0,0,G24/B$17)</f>
        <v>0.14285714285714285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5</v>
      </c>
    </row>
    <row r="51" spans="5:9" x14ac:dyDescent="0.4">
      <c r="E51" s="136" t="s">
        <v>172</v>
      </c>
      <c r="F51" s="137" t="s">
        <v>173</v>
      </c>
      <c r="G51" s="48">
        <v>6</v>
      </c>
      <c r="H51" s="138">
        <f>IF(B$17=0,0,G51/B$17)</f>
        <v>0.42857142857142855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94BCC-8A72-4BDC-869A-0063609CA81C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65</v>
      </c>
      <c r="F2" s="59" t="s">
        <v>21</v>
      </c>
      <c r="G2" s="46">
        <v>21</v>
      </c>
      <c r="H2" s="132">
        <f>IF(B$17=0,0,G2/B$17)</f>
        <v>0.61764705882352944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66</v>
      </c>
      <c r="F3" s="60" t="s">
        <v>22</v>
      </c>
      <c r="G3" s="47">
        <v>3</v>
      </c>
      <c r="H3" s="133">
        <f>IF(B$17=0,0,G3/B$17)</f>
        <v>8.8235294117647065E-2</v>
      </c>
      <c r="I3" s="94">
        <v>7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67</v>
      </c>
      <c r="F4" s="60" t="s">
        <v>23</v>
      </c>
      <c r="G4" s="47">
        <v>37</v>
      </c>
      <c r="H4" s="133">
        <f>IF(B$17=0,0,G4/B$17)</f>
        <v>1.088235294117647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8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0.41176470588235292</v>
      </c>
      <c r="I6" s="94">
        <v>1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70</v>
      </c>
      <c r="F7" s="60" t="s">
        <v>25</v>
      </c>
      <c r="G7" s="47">
        <v>7</v>
      </c>
      <c r="H7" s="133">
        <f>IF(B$17=0,0,G7/B$17)</f>
        <v>0.20588235294117646</v>
      </c>
      <c r="I7" s="94">
        <v>2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71</v>
      </c>
      <c r="F8" s="60" t="s">
        <v>26</v>
      </c>
      <c r="G8" s="47">
        <v>5</v>
      </c>
      <c r="H8" s="133">
        <f>IF(B$17=0,0,G8/B$17)</f>
        <v>0.14705882352941177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72</v>
      </c>
      <c r="F9" s="60" t="s">
        <v>27</v>
      </c>
      <c r="G9" s="47">
        <v>4</v>
      </c>
      <c r="H9" s="133">
        <f>IF(B$17=0,0,G9/B$17)</f>
        <v>0.11764705882352941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10</v>
      </c>
      <c r="H10" s="133">
        <f>IF(B$17=0,0,G10/B$17)</f>
        <v>0.29411764705882354</v>
      </c>
      <c r="I10" s="94">
        <v>10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 t="shared" ref="O15:O22" si="2"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183</v>
      </c>
      <c r="O16" s="125">
        <f t="shared" si="2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6</v>
      </c>
      <c r="N17" s="115" t="s">
        <v>128</v>
      </c>
      <c r="O17" s="125">
        <f t="shared" si="2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 t="shared" si="2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5</v>
      </c>
      <c r="N19" s="115" t="s">
        <v>180</v>
      </c>
      <c r="O19" s="125">
        <f t="shared" si="2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 t="shared" si="2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9</v>
      </c>
      <c r="N21" s="115" t="s">
        <v>196</v>
      </c>
      <c r="O21" s="125">
        <f t="shared" si="2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N22" s="115" t="s">
        <v>127</v>
      </c>
      <c r="O22" s="125">
        <f t="shared" si="2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86</v>
      </c>
      <c r="F23" s="60" t="s">
        <v>41</v>
      </c>
      <c r="G23" s="47">
        <v>1</v>
      </c>
      <c r="H23" s="133">
        <f>IF(B$17=0,0,G23/B$17)</f>
        <v>2.9411764705882353E-2</v>
      </c>
      <c r="I23" s="94">
        <v>1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87</v>
      </c>
      <c r="F24" s="60" t="s">
        <v>42</v>
      </c>
      <c r="G24" s="47">
        <v>2</v>
      </c>
      <c r="H24" s="133">
        <f>IF(B$17=0,0,G24/B$17)</f>
        <v>5.8823529411764705E-2</v>
      </c>
      <c r="I24" s="94">
        <v>4</v>
      </c>
    </row>
    <row r="25" spans="1:17" x14ac:dyDescent="0.4">
      <c r="A25" s="90" t="s">
        <v>141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2.9411764705882353E-2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5.8823529411764705E-2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5</v>
      </c>
    </row>
    <row r="51" spans="5:9" x14ac:dyDescent="0.4">
      <c r="E51" s="136" t="s">
        <v>172</v>
      </c>
      <c r="F51" s="137" t="s">
        <v>173</v>
      </c>
      <c r="G51" s="48">
        <v>14</v>
      </c>
      <c r="H51" s="138">
        <f>IF(B$17=0,0,G51/B$17)</f>
        <v>0.41176470588235292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5824-8C20-4846-9D5C-E7EF15B4B5F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</v>
      </c>
      <c r="C2" s="151"/>
      <c r="E2" s="62" t="s">
        <v>65</v>
      </c>
      <c r="F2" s="59" t="s">
        <v>21</v>
      </c>
      <c r="G2" s="46">
        <v>5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 x14ac:dyDescent="0.4">
      <c r="A3" s="55" t="s">
        <v>8</v>
      </c>
      <c r="B3" s="152">
        <v>40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0.2</v>
      </c>
      <c r="I3" s="94">
        <v>1</v>
      </c>
      <c r="K3" s="38">
        <v>1</v>
      </c>
      <c r="L3" s="99">
        <v>-46.5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 x14ac:dyDescent="0.4">
      <c r="A4" s="55" t="s">
        <v>6</v>
      </c>
      <c r="B4" s="154">
        <v>-37.400000000000006</v>
      </c>
      <c r="C4" s="155"/>
      <c r="E4" s="63" t="s">
        <v>67</v>
      </c>
      <c r="F4" s="60" t="s">
        <v>23</v>
      </c>
      <c r="G4" s="47">
        <v>9</v>
      </c>
      <c r="H4" s="133">
        <f>IF(B$17=0,0,G4/B$17)</f>
        <v>0.9</v>
      </c>
      <c r="I4" s="94">
        <v>4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 x14ac:dyDescent="0.4">
      <c r="A5" s="55" t="s">
        <v>7</v>
      </c>
      <c r="B5" s="156">
        <f>IF(B$2=0,0,B$4/B$2)</f>
        <v>-9.3500000000000014</v>
      </c>
      <c r="C5" s="157"/>
      <c r="E5" s="63" t="s">
        <v>68</v>
      </c>
      <c r="F5" s="60" t="s">
        <v>24</v>
      </c>
      <c r="G5" s="47">
        <v>6</v>
      </c>
      <c r="H5" s="133">
        <f>IF(B$17=0,0,G5/B$17)</f>
        <v>0.6</v>
      </c>
      <c r="I5" s="94">
        <v>2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2</v>
      </c>
      <c r="H6" s="133">
        <f>IF(B$17=0,0,G6/B$17)</f>
        <v>0.2</v>
      </c>
      <c r="I6" s="94">
        <v>9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9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0.1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5</v>
      </c>
      <c r="H10" s="133">
        <f>IF(B$17=0,0,G10/B$17)</f>
        <v>0.5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11</v>
      </c>
      <c r="C13" s="44">
        <f>IF(B$3=0,0,B13/B$3)</f>
        <v>0.27500000000000002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0.45454545454545453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4</v>
      </c>
      <c r="C16" s="37">
        <f>IF(B$14=0,0,B16/B$14)</f>
        <v>0.2857142857142857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0.25</v>
      </c>
      <c r="E17" s="63" t="s">
        <v>80</v>
      </c>
      <c r="F17" s="60" t="s">
        <v>35</v>
      </c>
      <c r="G17" s="47">
        <v>1</v>
      </c>
      <c r="H17" s="133">
        <f>IF(B$17=0,0,G17/B$17)</f>
        <v>0.1</v>
      </c>
      <c r="I17" s="94">
        <v>1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 x14ac:dyDescent="0.4">
      <c r="A18" s="55" t="s">
        <v>12</v>
      </c>
      <c r="B18" s="47">
        <v>4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 x14ac:dyDescent="0.4">
      <c r="A19" s="55" t="s">
        <v>11</v>
      </c>
      <c r="B19" s="47">
        <v>6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7</v>
      </c>
      <c r="C20" s="39">
        <f>IF(B$3=0,0,B20/B$3)</f>
        <v>0.17499999999999999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171</v>
      </c>
      <c r="B22" s="47">
        <v>13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7780</v>
      </c>
      <c r="C23" s="41">
        <v>77800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-9142.8571428571431</v>
      </c>
      <c r="C24" s="45">
        <v>-64000</v>
      </c>
      <c r="E24" s="63" t="s">
        <v>87</v>
      </c>
      <c r="F24" s="60" t="s">
        <v>42</v>
      </c>
      <c r="G24" s="47">
        <v>1</v>
      </c>
      <c r="H24" s="133">
        <f>IF(B$17=0,0,G24/B$17)</f>
        <v>0.1</v>
      </c>
      <c r="I24" s="94">
        <v>2</v>
      </c>
    </row>
    <row r="25" spans="1:17" x14ac:dyDescent="0.4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5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0.2</v>
      </c>
      <c r="I51" s="139">
        <v>9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568B1-55DE-4516-9416-A6830A49187F}">
  <sheetPr codeName="Sheet24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9A9B4-3CEF-4057-B48F-7D763D56FEA5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5FEDB-3C6C-4BB6-AFB3-76FEFE68A70E}">
  <sheetPr codeName="Sheet20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612DF-837D-450C-A84D-B9E16C14B0FA}">
  <sheetPr codeName="Sheet18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9D078-CFD4-4E95-90C5-72D9DA2A0314}">
  <sheetPr codeName="Sheet16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0073-F59A-4CF5-A5A8-E6A9D522410B}">
  <sheetPr codeName="Sheet14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27004-6DF1-41C8-B066-845D83FDEC9C}">
  <sheetPr codeName="Sheet12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2757-6349-42A0-892B-7964F95DC5E6}">
  <sheetPr codeName="Sheet10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A7B25-C5CE-42C7-8BB2-D941CEF55F88}">
  <sheetPr codeName="Sheet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5D729-2F7E-47E3-9773-0731796D1FC5}">
  <sheetPr codeName="Sheet6"/>
  <dimension ref="A1:Q5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2019-10-08T15:33:21Z</dcterms:modified>
</cp:coreProperties>
</file>