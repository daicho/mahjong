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89413DD4-52A7-4ED3-B02D-0BD39FCFDBAF}" xr6:coauthVersionLast="41" xr6:coauthVersionMax="41" xr10:uidLastSave="{00000000-0000-0000-0000-000000000000}"/>
  <bookViews>
    <workbookView xWindow="-98" yWindow="-98" windowWidth="13695" windowHeight="9196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593" l="1"/>
  <c r="O18" i="5597"/>
  <c r="O15" i="5593" l="1"/>
  <c r="O17" i="5601"/>
  <c r="O18" i="5601"/>
  <c r="O15" i="5591"/>
  <c r="O15" i="5595"/>
  <c r="O15" i="5597"/>
  <c r="O16" i="5597"/>
  <c r="O18" i="5591"/>
  <c r="O18" i="5595"/>
  <c r="O17" i="5593"/>
  <c r="O17" i="5605"/>
  <c r="O18" i="5605"/>
  <c r="O18" i="5599" l="1"/>
  <c r="O16" i="5599"/>
  <c r="O16" i="5605"/>
  <c r="O15" i="5605"/>
  <c r="C27" i="5605"/>
  <c r="B24" i="5605"/>
  <c r="C20" i="5605"/>
  <c r="B17" i="5605"/>
  <c r="H49" i="5605" s="1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7" i="5589"/>
  <c r="O15" i="5603"/>
  <c r="O16" i="5603"/>
  <c r="C27" i="5603"/>
  <c r="B24" i="5603"/>
  <c r="C20" i="5603"/>
  <c r="B17" i="5603"/>
  <c r="H49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16" i="5605" l="1"/>
  <c r="H5" i="5605"/>
  <c r="H8" i="5605"/>
  <c r="H12" i="5605"/>
  <c r="H9" i="5605"/>
  <c r="H22" i="5605"/>
  <c r="H11" i="5605"/>
  <c r="H15" i="5605"/>
  <c r="H28" i="5605"/>
  <c r="H34" i="5605"/>
  <c r="H32" i="5605"/>
  <c r="H40" i="5605"/>
  <c r="H2" i="5605"/>
  <c r="C19" i="5605"/>
  <c r="H3" i="5605"/>
  <c r="H14" i="5605"/>
  <c r="H21" i="5605"/>
  <c r="H42" i="5605"/>
  <c r="H43" i="5605"/>
  <c r="H44" i="5605"/>
  <c r="H6" i="5605"/>
  <c r="H25" i="5605"/>
  <c r="H10" i="5605"/>
  <c r="H17" i="5605"/>
  <c r="H4" i="5605"/>
  <c r="C18" i="5605"/>
  <c r="H27" i="5605"/>
  <c r="H48" i="5605"/>
  <c r="H50" i="5605"/>
  <c r="B23" i="5605"/>
  <c r="H35" i="5605"/>
  <c r="H51" i="5605"/>
  <c r="H7" i="5605"/>
  <c r="H13" i="5605"/>
  <c r="C17" i="5605"/>
  <c r="H36" i="5605"/>
  <c r="H52" i="5605"/>
  <c r="H18" i="5605"/>
  <c r="H23" i="5605"/>
  <c r="H29" i="5605"/>
  <c r="H37" i="5605"/>
  <c r="H45" i="5605"/>
  <c r="H30" i="5605"/>
  <c r="H38" i="5605"/>
  <c r="H46" i="5605"/>
  <c r="H19" i="5605"/>
  <c r="H24" i="5605"/>
  <c r="H31" i="5605"/>
  <c r="H39" i="5605"/>
  <c r="H47" i="5605"/>
  <c r="H20" i="5605"/>
  <c r="H26" i="5605"/>
  <c r="H33" i="5605"/>
  <c r="H41" i="5605"/>
  <c r="H10" i="5603"/>
  <c r="H22" i="5603"/>
  <c r="H51" i="5603"/>
  <c r="H13" i="5603"/>
  <c r="B23" i="5603"/>
  <c r="H42" i="5603"/>
  <c r="H17" i="5603"/>
  <c r="H32" i="5603"/>
  <c r="H43" i="5603"/>
  <c r="H5" i="5603"/>
  <c r="H11" i="5603"/>
  <c r="H14" i="5603"/>
  <c r="C18" i="5603"/>
  <c r="H24" i="5603"/>
  <c r="H34" i="5603"/>
  <c r="H44" i="5603"/>
  <c r="H4" i="5603"/>
  <c r="H40" i="5603"/>
  <c r="H7" i="5603"/>
  <c r="H31" i="5603"/>
  <c r="C19" i="5603"/>
  <c r="H46" i="5603"/>
  <c r="H19" i="5603"/>
  <c r="H36" i="5603"/>
  <c r="H9" i="5603"/>
  <c r="H27" i="5603"/>
  <c r="H38" i="5603"/>
  <c r="H48" i="5603"/>
  <c r="H30" i="5603"/>
  <c r="C17" i="5603"/>
  <c r="H52" i="5603"/>
  <c r="H2" i="5603"/>
  <c r="H8" i="5603"/>
  <c r="H25" i="5603"/>
  <c r="H35" i="5603"/>
  <c r="H15" i="5603"/>
  <c r="H47" i="5603"/>
  <c r="H3" i="5603"/>
  <c r="H6" i="5603"/>
  <c r="H12" i="5603"/>
  <c r="H16" i="5603"/>
  <c r="H21" i="5603"/>
  <c r="H28" i="5603"/>
  <c r="H39" i="5603"/>
  <c r="H50" i="5603"/>
  <c r="H18" i="5603"/>
  <c r="H23" i="5603"/>
  <c r="H29" i="5603"/>
  <c r="H37" i="5603"/>
  <c r="H45" i="5603"/>
  <c r="H20" i="5603"/>
  <c r="H26" i="5603"/>
  <c r="H33" i="5603"/>
  <c r="H41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3" i="5601"/>
  <c r="C13" i="5601"/>
  <c r="O12" i="5601"/>
  <c r="C12" i="5601"/>
  <c r="O11" i="5601"/>
  <c r="C11" i="5601"/>
  <c r="O10" i="5601"/>
  <c r="H10" i="5601"/>
  <c r="C10" i="5601"/>
  <c r="H9" i="5601"/>
  <c r="C9" i="5601"/>
  <c r="H8" i="5601"/>
  <c r="C8" i="5601"/>
  <c r="O7" i="5601"/>
  <c r="H7" i="5601"/>
  <c r="C7" i="5601"/>
  <c r="O6" i="5601"/>
  <c r="H6" i="5601"/>
  <c r="B6" i="5601"/>
  <c r="O5" i="5601"/>
  <c r="B5" i="5601"/>
  <c r="O4" i="5601"/>
  <c r="H4" i="5601"/>
  <c r="O3" i="5601"/>
  <c r="H3" i="5601"/>
  <c r="O2" i="5601"/>
  <c r="H2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6" i="5589"/>
  <c r="O19" i="5597"/>
  <c r="O17" i="5597"/>
  <c r="C27" i="5597"/>
  <c r="B24" i="5597"/>
  <c r="C20" i="5597"/>
  <c r="B17" i="5597"/>
  <c r="H52" i="5597" s="1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O3" i="5597"/>
  <c r="O2" i="5597"/>
  <c r="O20" i="5589"/>
  <c r="O15" i="5589"/>
  <c r="H3" i="5597" l="1"/>
  <c r="H2" i="5597"/>
  <c r="C18" i="5597"/>
  <c r="B23" i="5597"/>
  <c r="H13" i="5597"/>
  <c r="H18" i="5601"/>
  <c r="H20" i="5601"/>
  <c r="H23" i="5601"/>
  <c r="H26" i="5601"/>
  <c r="H29" i="5601"/>
  <c r="H33" i="5601"/>
  <c r="H37" i="5601"/>
  <c r="H41" i="5601"/>
  <c r="H45" i="5601"/>
  <c r="H49" i="5601"/>
  <c r="H15" i="5601"/>
  <c r="C19" i="5601"/>
  <c r="H21" i="5601"/>
  <c r="H30" i="5601"/>
  <c r="H34" i="5601"/>
  <c r="H38" i="5601"/>
  <c r="H42" i="5601"/>
  <c r="H46" i="5601"/>
  <c r="H50" i="5601"/>
  <c r="H12" i="5601"/>
  <c r="H17" i="5601"/>
  <c r="H19" i="5601"/>
  <c r="H22" i="5601"/>
  <c r="H24" i="5601"/>
  <c r="H27" i="5601"/>
  <c r="H31" i="5601"/>
  <c r="H35" i="5601"/>
  <c r="H39" i="5601"/>
  <c r="H43" i="5601"/>
  <c r="H47" i="5601"/>
  <c r="H51" i="5601"/>
  <c r="H5" i="5601"/>
  <c r="H11" i="5601"/>
  <c r="H14" i="5601"/>
  <c r="H16" i="5601"/>
  <c r="C18" i="5601"/>
  <c r="B23" i="5601"/>
  <c r="H25" i="5601"/>
  <c r="H28" i="5601"/>
  <c r="H32" i="5601"/>
  <c r="H36" i="5601"/>
  <c r="H40" i="5601"/>
  <c r="H44" i="5601"/>
  <c r="H48" i="5601"/>
  <c r="H11" i="5599"/>
  <c r="H10" i="5599"/>
  <c r="H4" i="5599"/>
  <c r="H25" i="5599"/>
  <c r="H2" i="5599"/>
  <c r="H8" i="5599"/>
  <c r="H14" i="5599"/>
  <c r="C18" i="5599"/>
  <c r="H36" i="5599"/>
  <c r="H16" i="5599"/>
  <c r="H40" i="5599"/>
  <c r="B23" i="5599"/>
  <c r="H28" i="5599"/>
  <c r="H44" i="5599"/>
  <c r="H5" i="5599"/>
  <c r="C17" i="5599"/>
  <c r="H32" i="5599"/>
  <c r="H48" i="5599"/>
  <c r="H20" i="5599"/>
  <c r="H23" i="5599"/>
  <c r="H29" i="5599"/>
  <c r="H33" i="5599"/>
  <c r="H37" i="5599"/>
  <c r="H41" i="5599"/>
  <c r="H45" i="5599"/>
  <c r="H7" i="5599"/>
  <c r="H13" i="5599"/>
  <c r="H15" i="5599"/>
  <c r="C19" i="5599"/>
  <c r="H21" i="5599"/>
  <c r="H30" i="5599"/>
  <c r="H34" i="5599"/>
  <c r="H38" i="5599"/>
  <c r="H42" i="5599"/>
  <c r="H46" i="5599"/>
  <c r="H50" i="5599"/>
  <c r="H18" i="5599"/>
  <c r="H26" i="5599"/>
  <c r="H49" i="5599"/>
  <c r="H3" i="5599"/>
  <c r="H6" i="5599"/>
  <c r="H9" i="5599"/>
  <c r="H12" i="5599"/>
  <c r="H17" i="5599"/>
  <c r="H19" i="5599"/>
  <c r="H22" i="5599"/>
  <c r="H24" i="5599"/>
  <c r="H27" i="5599"/>
  <c r="H31" i="5599"/>
  <c r="H35" i="5599"/>
  <c r="H39" i="5599"/>
  <c r="H43" i="5599"/>
  <c r="H47" i="5599"/>
  <c r="H51" i="5599"/>
  <c r="H14" i="5597"/>
  <c r="H11" i="5597"/>
  <c r="H18" i="5597"/>
  <c r="H20" i="5597"/>
  <c r="H15" i="5597"/>
  <c r="H17" i="5597"/>
  <c r="H16" i="5597"/>
  <c r="H36" i="5597"/>
  <c r="H32" i="5597"/>
  <c r="H9" i="5597"/>
  <c r="H7" i="5597"/>
  <c r="C17" i="5597"/>
  <c r="H6" i="5597"/>
  <c r="H10" i="5597"/>
  <c r="H4" i="5597"/>
  <c r="H22" i="5597"/>
  <c r="H25" i="5597"/>
  <c r="H40" i="5597"/>
  <c r="H23" i="5597"/>
  <c r="H24" i="5597"/>
  <c r="H26" i="5597"/>
  <c r="H28" i="5597"/>
  <c r="H30" i="5597"/>
  <c r="H34" i="5597"/>
  <c r="H38" i="5597"/>
  <c r="H42" i="5597"/>
  <c r="H46" i="5597"/>
  <c r="H50" i="5597"/>
  <c r="H8" i="5597"/>
  <c r="H19" i="5597"/>
  <c r="H21" i="5597"/>
  <c r="C19" i="5597"/>
  <c r="H12" i="5597"/>
  <c r="H31" i="5597"/>
  <c r="H35" i="5597"/>
  <c r="H39" i="5597"/>
  <c r="H43" i="5597"/>
  <c r="H47" i="5597"/>
  <c r="H51" i="5597"/>
  <c r="H44" i="5597"/>
  <c r="H48" i="5597"/>
  <c r="H5" i="5597"/>
  <c r="H27" i="5597"/>
  <c r="H29" i="5597"/>
  <c r="H33" i="5597"/>
  <c r="H37" i="5597"/>
  <c r="H41" i="5597"/>
  <c r="H45" i="5597"/>
  <c r="H49" i="5597"/>
  <c r="O17" i="5595" l="1"/>
  <c r="O16" i="5595"/>
  <c r="C27" i="5595"/>
  <c r="B24" i="5595"/>
  <c r="C20" i="5595"/>
  <c r="B17" i="5595"/>
  <c r="H51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9" i="5593"/>
  <c r="O18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8" i="5589"/>
  <c r="O16" i="5591"/>
  <c r="O17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9" i="5591"/>
  <c r="C9" i="5591"/>
  <c r="C8" i="5591"/>
  <c r="O7" i="5591"/>
  <c r="C7" i="5591"/>
  <c r="O6" i="5591"/>
  <c r="B6" i="5591"/>
  <c r="O5" i="5591"/>
  <c r="B5" i="5591"/>
  <c r="O4" i="5591"/>
  <c r="O3" i="5591"/>
  <c r="O2" i="5591"/>
  <c r="O19" i="5589"/>
  <c r="O21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6" i="5591" l="1"/>
  <c r="H31" i="5595"/>
  <c r="H14" i="5595"/>
  <c r="H21" i="5595"/>
  <c r="H18" i="5595"/>
  <c r="H6" i="5595"/>
  <c r="H36" i="5595"/>
  <c r="H32" i="5595"/>
  <c r="H41" i="5595"/>
  <c r="C19" i="5595"/>
  <c r="H24" i="5595"/>
  <c r="H20" i="5595"/>
  <c r="H27" i="5595"/>
  <c r="H33" i="5595"/>
  <c r="H11" i="5595"/>
  <c r="H17" i="5595"/>
  <c r="H10" i="5595"/>
  <c r="H44" i="5595"/>
  <c r="C18" i="5595"/>
  <c r="H28" i="5595"/>
  <c r="H45" i="5595"/>
  <c r="H4" i="5595"/>
  <c r="H15" i="5595"/>
  <c r="H7" i="5595"/>
  <c r="H23" i="5595"/>
  <c r="H46" i="5595"/>
  <c r="H16" i="5595"/>
  <c r="H37" i="5595"/>
  <c r="H47" i="5595"/>
  <c r="H9" i="5595"/>
  <c r="H38" i="5595"/>
  <c r="H48" i="5595"/>
  <c r="C17" i="5595"/>
  <c r="H26" i="5595"/>
  <c r="H30" i="5595"/>
  <c r="H39" i="5595"/>
  <c r="H5" i="5595"/>
  <c r="H2" i="5595"/>
  <c r="H3" i="5595"/>
  <c r="H12" i="5595"/>
  <c r="H8" i="5595"/>
  <c r="H19" i="5595"/>
  <c r="H22" i="5595"/>
  <c r="B23" i="5595"/>
  <c r="H13" i="5595"/>
  <c r="H40" i="5595"/>
  <c r="H52" i="5595"/>
  <c r="H49" i="5595"/>
  <c r="H25" i="5595"/>
  <c r="H29" i="5595"/>
  <c r="H34" i="5595"/>
  <c r="H42" i="5595"/>
  <c r="H50" i="5595"/>
  <c r="H35" i="5595"/>
  <c r="H43" i="5595"/>
  <c r="H21" i="5593"/>
  <c r="H22" i="5593"/>
  <c r="H30" i="5593"/>
  <c r="C19" i="5593"/>
  <c r="H40" i="5593"/>
  <c r="H2" i="5593"/>
  <c r="H35" i="5593"/>
  <c r="H3" i="5593"/>
  <c r="H19" i="5593"/>
  <c r="H42" i="5593"/>
  <c r="C17" i="5593"/>
  <c r="H12" i="5593"/>
  <c r="H39" i="5593"/>
  <c r="H4" i="5593"/>
  <c r="H14" i="5593"/>
  <c r="H50" i="5593"/>
  <c r="H15" i="5593"/>
  <c r="H32" i="5593"/>
  <c r="H47" i="5593"/>
  <c r="H48" i="5593"/>
  <c r="H10" i="5593"/>
  <c r="H7" i="5593"/>
  <c r="H11" i="5593"/>
  <c r="H26" i="5593"/>
  <c r="H18" i="5593"/>
  <c r="H13" i="5593"/>
  <c r="H34" i="5593"/>
  <c r="H41" i="5593"/>
  <c r="H49" i="5593"/>
  <c r="H31" i="5593"/>
  <c r="H20" i="5593"/>
  <c r="H23" i="5593"/>
  <c r="H43" i="5593"/>
  <c r="H51" i="5593"/>
  <c r="H9" i="5593"/>
  <c r="H27" i="5593"/>
  <c r="H16" i="5593"/>
  <c r="H36" i="5593"/>
  <c r="H44" i="5593"/>
  <c r="H24" i="5593"/>
  <c r="H29" i="5593"/>
  <c r="H17" i="5593"/>
  <c r="H8" i="5593"/>
  <c r="H37" i="5593"/>
  <c r="H45" i="5593"/>
  <c r="H5" i="5593"/>
  <c r="H6" i="5593"/>
  <c r="H25" i="5593"/>
  <c r="H28" i="5593"/>
  <c r="C18" i="5593"/>
  <c r="B23" i="5593"/>
  <c r="H33" i="5593"/>
  <c r="H38" i="5593"/>
  <c r="H46" i="5593"/>
  <c r="H38" i="5591"/>
  <c r="H4" i="5591"/>
  <c r="H25" i="5591"/>
  <c r="H7" i="5591"/>
  <c r="H45" i="5591"/>
  <c r="H37" i="5591"/>
  <c r="H24" i="5591"/>
  <c r="H10" i="5591"/>
  <c r="H18" i="5591"/>
  <c r="H40" i="5591"/>
  <c r="H46" i="5591"/>
  <c r="H39" i="5591"/>
  <c r="H29" i="5591"/>
  <c r="H47" i="5591"/>
  <c r="H3" i="5591"/>
  <c r="C17" i="5591"/>
  <c r="H13" i="5591"/>
  <c r="C19" i="5591"/>
  <c r="H19" i="5591"/>
  <c r="H5" i="5591"/>
  <c r="H15" i="5591"/>
  <c r="H30" i="5591"/>
  <c r="H2" i="5591"/>
  <c r="H8" i="5591"/>
  <c r="H21" i="5591"/>
  <c r="H31" i="5591"/>
  <c r="H12" i="5591"/>
  <c r="H16" i="5591"/>
  <c r="H23" i="5591"/>
  <c r="H32" i="5591"/>
  <c r="H48" i="5591"/>
  <c r="H20" i="5591"/>
  <c r="H26" i="5591"/>
  <c r="H33" i="5591"/>
  <c r="H41" i="5591"/>
  <c r="H49" i="5591"/>
  <c r="H34" i="5591"/>
  <c r="H42" i="5591"/>
  <c r="H50" i="5591"/>
  <c r="H17" i="5591"/>
  <c r="H22" i="5591"/>
  <c r="H27" i="5591"/>
  <c r="H35" i="5591"/>
  <c r="H43" i="5591"/>
  <c r="H51" i="5591"/>
  <c r="H11" i="5591"/>
  <c r="H14" i="5591"/>
  <c r="C18" i="5591"/>
  <c r="B23" i="5591"/>
  <c r="H28" i="5591"/>
  <c r="H36" i="5591"/>
  <c r="H44" i="5591"/>
  <c r="H4" i="5589"/>
  <c r="H19" i="5589"/>
  <c r="C17" i="5589"/>
  <c r="H20" i="5589"/>
  <c r="H2" i="5589"/>
  <c r="H12" i="5589"/>
  <c r="H3" i="5589"/>
  <c r="H31" i="5589"/>
  <c r="H17" i="5589"/>
  <c r="H47" i="5589"/>
  <c r="H18" i="5589"/>
  <c r="C19" i="5589"/>
  <c r="H24" i="5589"/>
  <c r="H40" i="5589"/>
  <c r="H48" i="5589"/>
  <c r="H21" i="5589"/>
  <c r="H39" i="5589"/>
  <c r="H10" i="5589"/>
  <c r="H7" i="5589"/>
  <c r="H11" i="5589"/>
  <c r="H28" i="5589"/>
  <c r="H16" i="5589"/>
  <c r="H14" i="5589"/>
  <c r="H34" i="5589"/>
  <c r="H41" i="5589"/>
  <c r="H49" i="5589"/>
  <c r="H15" i="5589"/>
  <c r="H22" i="5589"/>
  <c r="H35" i="5589"/>
  <c r="H42" i="5589"/>
  <c r="H50" i="5589"/>
  <c r="H32" i="5589"/>
  <c r="H23" i="5589"/>
  <c r="H25" i="5589"/>
  <c r="H43" i="5589"/>
  <c r="H51" i="5589"/>
  <c r="H8" i="5589"/>
  <c r="H29" i="5589"/>
  <c r="H13" i="5589"/>
  <c r="H36" i="5589"/>
  <c r="H44" i="5589"/>
  <c r="H26" i="5589"/>
  <c r="H9" i="5589"/>
  <c r="H37" i="5589"/>
  <c r="H45" i="5589"/>
  <c r="H5" i="5589"/>
  <c r="H6" i="5589"/>
  <c r="H27" i="5589"/>
  <c r="H30" i="5589"/>
  <c r="C18" i="5589"/>
  <c r="B23" i="5589"/>
  <c r="H33" i="5589"/>
  <c r="H38" i="5589"/>
  <c r="H46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<sst xmlns="http://schemas.openxmlformats.org/spreadsheetml/2006/main" count="2151" uniqueCount="195">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</sst>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全体!$L$2:$L$71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-0.99999999999998934</c:v>
                </c:pt>
                <c:pt idx="43">
                  <c:v>-21.899999999999988</c:v>
                </c:pt>
                <c:pt idx="44">
                  <c:v>-0.69999999999998863</c:v>
                </c:pt>
                <c:pt idx="45">
                  <c:v>-0.99999999999998868</c:v>
                </c:pt>
                <c:pt idx="46">
                  <c:v>1.2000000000000115</c:v>
                </c:pt>
                <c:pt idx="47">
                  <c:v>-22.499999999999989</c:v>
                </c:pt>
                <c:pt idx="48">
                  <c:v>-0.99999999999998934</c:v>
                </c:pt>
                <c:pt idx="49">
                  <c:v>-52.599999999999994</c:v>
                </c:pt>
                <c:pt idx="50">
                  <c:v>-34.699999999999996</c:v>
                </c:pt>
                <c:pt idx="51">
                  <c:v>-0.99999999999999289</c:v>
                </c:pt>
                <c:pt idx="52">
                  <c:v>-6.8999999999999932</c:v>
                </c:pt>
                <c:pt idx="53">
                  <c:v>-30.399999999999991</c:v>
                </c:pt>
                <c:pt idx="54">
                  <c:v>-0.99999999999999289</c:v>
                </c:pt>
                <c:pt idx="55">
                  <c:v>-43.999999999999993</c:v>
                </c:pt>
                <c:pt idx="56">
                  <c:v>-55.199999999999989</c:v>
                </c:pt>
                <c:pt idx="57">
                  <c:v>-0.99999999999998579</c:v>
                </c:pt>
                <c:pt idx="58">
                  <c:v>6.6000000000000139</c:v>
                </c:pt>
                <c:pt idx="59">
                  <c:v>-36.399999999999984</c:v>
                </c:pt>
                <c:pt idx="60">
                  <c:v>-0.99999999999998579</c:v>
                </c:pt>
                <c:pt idx="61">
                  <c:v>65.800000000000011</c:v>
                </c:pt>
                <c:pt idx="62">
                  <c:v>5.7000000000000099</c:v>
                </c:pt>
                <c:pt idx="63">
                  <c:v>-0.99999999999999023</c:v>
                </c:pt>
                <c:pt idx="64">
                  <c:v>-50.499999999999993</c:v>
                </c:pt>
                <c:pt idx="65">
                  <c:v>-31.799999999999994</c:v>
                </c:pt>
                <c:pt idx="66">
                  <c:v>-0.99999999999999289</c:v>
                </c:pt>
                <c:pt idx="67">
                  <c:v>65.400000000000006</c:v>
                </c:pt>
                <c:pt idx="68">
                  <c:v>16.700000000000003</c:v>
                </c:pt>
                <c:pt idx="69">
                  <c:v>-0.99999999999999645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-14.492753623188406</c:v>
                </c:pt>
                <c:pt idx="1">
                  <c:v>15.151515151515152</c:v>
                </c:pt>
                <c:pt idx="2">
                  <c:v>-45.454545454545453</c:v>
                </c:pt>
                <c:pt idx="3">
                  <c:v>30.303030303030305</c:v>
                </c:pt>
                <c:pt idx="4">
                  <c:v>17.543859649122808</c:v>
                </c:pt>
                <c:pt idx="5">
                  <c:v>-20.833333333333332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184.2</c:v>
                </c:pt>
                <c:pt idx="12">
                  <c:v>183.89999999999998</c:v>
                </c:pt>
                <c:pt idx="13">
                  <c:v>205.39999999999998</c:v>
                </c:pt>
                <c:pt idx="14">
                  <c:v>239.09999999999997</c:v>
                </c:pt>
                <c:pt idx="15">
                  <c:v>268.49999999999994</c:v>
                </c:pt>
                <c:pt idx="16">
                  <c:v>322.69999999999993</c:v>
                </c:pt>
                <c:pt idx="17">
                  <c:v>358.09999999999991</c:v>
                </c:pt>
                <c:pt idx="18">
                  <c:v>351.39999999999992</c:v>
                </c:pt>
                <c:pt idx="19">
                  <c:v>382.19999999999993</c:v>
                </c:pt>
                <c:pt idx="20">
                  <c:v>364.49999999999994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660</c:v>
                </c:pt>
                <c:pt idx="1">
                  <c:v>-594.73684210526312</c:v>
                </c:pt>
                <c:pt idx="2">
                  <c:v>468.42105263157896</c:v>
                </c:pt>
                <c:pt idx="3">
                  <c:v>100</c:v>
                </c:pt>
                <c:pt idx="4">
                  <c:v>6035.2941176470586</c:v>
                </c:pt>
                <c:pt idx="5">
                  <c:v>8066.666666666667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1315</c:v>
                </c:pt>
                <c:pt idx="1">
                  <c:v>1889.4736842105262</c:v>
                </c:pt>
                <c:pt idx="2">
                  <c:v>-1347.3684210526317</c:v>
                </c:pt>
                <c:pt idx="3">
                  <c:v>4663.1578947368425</c:v>
                </c:pt>
                <c:pt idx="4">
                  <c:v>-3252.9411764705883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-6980</c:v>
                </c:pt>
                <c:pt idx="5">
                  <c:v>-1944.4444444444443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-7400</c:v>
                </c:pt>
                <c:pt idx="1">
                  <c:v>-2150</c:v>
                </c:pt>
                <c:pt idx="2">
                  <c:v>6500</c:v>
                </c:pt>
                <c:pt idx="3">
                  <c:v>-2300</c:v>
                </c:pt>
                <c:pt idx="4">
                  <c:v>-750</c:v>
                </c:pt>
                <c:pt idx="5">
                  <c:v>-700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15100</c:v>
                </c:pt>
                <c:pt idx="2">
                  <c:v>-100</c:v>
                </c:pt>
                <c:pt idx="3">
                  <c:v>-4000</c:v>
                </c:pt>
                <c:pt idx="4">
                  <c:v>5300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りくと2!$B$3:$B$16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0.99999999999999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りくと2!$C$3:$C$16</c:f>
              <c:numCache>
                <c:formatCode>\+0.0;\-0.0;\±0</c:formatCode>
                <c:ptCount val="14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1.449275362318835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りくと2!$D$3:$D$16</c:f>
              <c:numCache>
                <c:formatCode>0.00\ "位"</c:formatCode>
                <c:ptCount val="14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りくと2!$E$3:$E$16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りくと2!$F$3:$F$16</c:f>
              <c:numCache>
                <c:formatCode>0.0%</c:formatCode>
                <c:ptCount val="1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りくと2!$G$3:$G$16</c:f>
              <c:numCache>
                <c:formatCode>0.0%</c:formatCode>
                <c:ptCount val="14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03738317757009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りくと2!$H$3:$H$16</c:f>
              <c:numCache>
                <c:formatCode>0.0%</c:formatCode>
                <c:ptCount val="14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8380062305295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りくと2!$I$3:$I$16</c:f>
              <c:numCache>
                <c:formatCode>0</c:formatCode>
                <c:ptCount val="14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074.3589743589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りくと2!$J$3:$J$16</c:f>
              <c:numCache>
                <c:formatCode>0</c:formatCode>
                <c:ptCount val="14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8050.8474576271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りくと2!$K$3:$K$16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0144927536231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りくと2!$L$3:$L$16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0144927536231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りくと2!$M$3:$M$16</c:f>
              <c:numCache>
                <c:formatCode>0.0%</c:formatCode>
                <c:ptCount val="14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44548286604361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りくと2!$N$3:$N$16</c:f>
              <c:numCache>
                <c:formatCode>0.0%</c:formatCode>
                <c:ptCount val="14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2118380062305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りくと2!$O$3:$O$16</c:f>
              <c:numCache>
                <c:formatCode>0.0%</c:formatCode>
                <c:ptCount val="14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7324840764331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りくと2!$P$3:$P$16</c:f>
              <c:numCache>
                <c:formatCode>0.0%</c:formatCode>
                <c:ptCount val="14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4366197183098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りくと2!$Q$3:$Q$16</c:f>
              <c:numCache>
                <c:formatCode>0.0%</c:formatCode>
                <c:ptCount val="14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8974358974358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431800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328125" style="1" customWidth="1"/>
    <col min="11" max="11" width="3.453125" style="5" customWidth="1"/>
    <col min="12" max="12" width="9" style="99" customWidth="1"/>
    <col min="13" max="13" width="3.6328125" style="1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1"/>
  </cols>
  <sheetData>
    <row r="1" spans="1:17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"/>
  <sheetViews>
    <sheetView workbookViewId="0"/>
  </sheetViews>
  <sheetFormatPr defaultColWidth="9" defaultRowHeight="14.5"/>
  <cols>
    <col min="1" max="1" width="19.26953125" style="30" customWidth="1"/>
    <col min="2" max="2" width="19.26953125" style="31" customWidth="1"/>
    <col min="3" max="16384" width="9" style="30"/>
  </cols>
  <sheetData>
    <row r="1" spans="1:12">
      <c r="A1" s="29">
        <v>32874</v>
      </c>
      <c r="B1" s="29">
        <v>2958465</v>
      </c>
    </row>
    <row r="2" spans="1:12">
      <c r="A2" s="30" t="s">
        <v>176</v>
      </c>
      <c r="B2" s="31">
        <v>43737.495439814818</v>
      </c>
      <c r="C2" s="30" t="s">
        <v>129</v>
      </c>
      <c r="D2" s="30" t="s">
        <v>130</v>
      </c>
    </row>
    <row r="3" spans="1:12">
      <c r="A3" s="30" t="s">
        <v>177</v>
      </c>
      <c r="B3" s="31">
        <v>43737.495439814818</v>
      </c>
      <c r="C3" s="30" t="s">
        <v>129</v>
      </c>
    </row>
    <row r="4" spans="1:12">
      <c r="A4" s="30" t="s">
        <v>181</v>
      </c>
      <c r="B4" s="31">
        <v>43737.495439814818</v>
      </c>
      <c r="C4" s="30" t="s">
        <v>129</v>
      </c>
    </row>
    <row r="5" spans="1:12">
      <c r="A5" s="30" t="s">
        <v>184</v>
      </c>
      <c r="B5" s="31">
        <v>43737.495439814818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>
      <c r="A6" s="30" t="s">
        <v>189</v>
      </c>
      <c r="B6" s="31">
        <v>43737.495439814818</v>
      </c>
      <c r="C6" s="30" t="s">
        <v>129</v>
      </c>
      <c r="D6" s="30" t="s">
        <v>130</v>
      </c>
      <c r="E6" s="30" t="s">
        <v>185</v>
      </c>
    </row>
    <row r="7" spans="1:12">
      <c r="A7" s="30" t="s">
        <v>190</v>
      </c>
      <c r="B7" s="31">
        <v>43737.790335648147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144</v>
      </c>
      <c r="B1">
        <v>69</v>
      </c>
    </row>
    <row r="2" spans="1:2">
      <c r="A2" t="s">
        <v>167</v>
      </c>
      <c r="B2">
        <v>9</v>
      </c>
    </row>
    <row r="3" spans="1:2">
      <c r="A3" t="s">
        <v>127</v>
      </c>
      <c r="B3">
        <v>20</v>
      </c>
    </row>
    <row r="4" spans="1:2">
      <c r="A4" t="s">
        <v>128</v>
      </c>
      <c r="B4">
        <v>20</v>
      </c>
    </row>
    <row r="5" spans="1:2">
      <c r="A5" t="s">
        <v>180</v>
      </c>
      <c r="B5">
        <v>13</v>
      </c>
    </row>
    <row r="6" spans="1:2">
      <c r="A6" t="s">
        <v>178</v>
      </c>
      <c r="B6">
        <v>2</v>
      </c>
    </row>
    <row r="7" spans="1:2">
      <c r="A7" t="s">
        <v>179</v>
      </c>
      <c r="B7">
        <v>2</v>
      </c>
    </row>
    <row r="8" spans="1:2">
      <c r="A8" t="s">
        <v>183</v>
      </c>
      <c r="B8">
        <v>1</v>
      </c>
    </row>
    <row r="9" spans="1:2">
      <c r="A9" t="s">
        <v>182</v>
      </c>
      <c r="B9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4.5"/>
  <cols>
    <col min="1" max="1" width="6" style="82" customWidth="1"/>
    <col min="2" max="2" width="10.7265625" style="83" customWidth="1"/>
    <col min="3" max="3" width="10.7265625" style="84" customWidth="1"/>
    <col min="4" max="4" width="10.7265625" style="85" customWidth="1"/>
    <col min="5" max="5" width="10.7265625" style="97" customWidth="1"/>
    <col min="6" max="6" width="10.7265625" style="85" customWidth="1"/>
    <col min="7" max="7" width="10.7265625" style="86" customWidth="1"/>
    <col min="8" max="8" width="10.7265625" style="85" customWidth="1"/>
    <col min="9" max="9" width="10.7265625" style="87" customWidth="1"/>
    <col min="10" max="10" width="10.7265625" style="85" customWidth="1"/>
    <col min="11" max="11" width="10.7265625" style="87" customWidth="1"/>
    <col min="12" max="12" width="10.7265625" style="85" customWidth="1"/>
    <col min="13" max="13" width="10.7265625" style="88" customWidth="1"/>
    <col min="14" max="14" width="10.7265625" style="85" customWidth="1"/>
    <col min="15" max="15" width="10.7265625" style="88" customWidth="1"/>
    <col min="16" max="16" width="10.7265625" style="85" customWidth="1"/>
    <col min="17" max="17" width="10.7265625" style="89" customWidth="1"/>
    <col min="18" max="18" width="10.7265625" style="85" customWidth="1"/>
    <col min="19" max="19" width="10.7265625" style="89" customWidth="1"/>
    <col min="20" max="20" width="10.7265625" style="85" customWidth="1"/>
    <col min="21" max="21" width="10.7265625" style="87" customWidth="1"/>
    <col min="22" max="22" width="10.7265625" style="85" customWidth="1"/>
    <col min="23" max="23" width="10.7265625" style="87" customWidth="1"/>
    <col min="24" max="24" width="10.7265625" style="85" customWidth="1"/>
    <col min="25" max="25" width="10.7265625" style="88" customWidth="1"/>
    <col min="26" max="26" width="10.7265625" style="85" customWidth="1"/>
    <col min="27" max="27" width="10.7265625" style="88" customWidth="1"/>
    <col min="28" max="28" width="10.7265625" style="85" customWidth="1"/>
    <col min="29" max="29" width="10.7265625" style="88" customWidth="1"/>
    <col min="30" max="30" width="10.7265625" style="85" customWidth="1"/>
    <col min="31" max="31" width="10.7265625" style="88" customWidth="1"/>
    <col min="32" max="32" width="10.7265625" style="85" customWidth="1"/>
    <col min="33" max="33" width="10.7265625" style="88" customWidth="1"/>
    <col min="34" max="34" width="10.7265625" style="85" customWidth="1"/>
    <col min="35" max="35" width="10.7265625" style="92" customWidth="1"/>
    <col min="36" max="16384" width="9" style="73"/>
  </cols>
  <sheetData>
    <row r="1" spans="1:35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>
      <c r="A2" s="72" t="s">
        <v>160</v>
      </c>
      <c r="B2" s="164"/>
      <c r="C2" s="165"/>
      <c r="D2" s="164"/>
      <c r="E2" s="165"/>
      <c r="F2" s="166">
        <v>0.99823879057207399</v>
      </c>
      <c r="G2" s="167"/>
      <c r="H2" s="166">
        <v>0.99279670492967487</v>
      </c>
      <c r="I2" s="167"/>
      <c r="J2" s="166">
        <v>0.99942911723019023</v>
      </c>
      <c r="K2" s="167"/>
      <c r="L2" s="166">
        <v>0.98013766464020158</v>
      </c>
      <c r="M2" s="167"/>
      <c r="N2" s="166">
        <v>0.99313662535245073</v>
      </c>
      <c r="O2" s="167"/>
      <c r="P2" s="166">
        <v>-0.29838431604848725</v>
      </c>
      <c r="Q2" s="167"/>
      <c r="R2" s="166">
        <v>0.99832160505098388</v>
      </c>
      <c r="S2" s="167"/>
      <c r="T2" s="166">
        <v>0.85371563762934266</v>
      </c>
      <c r="U2" s="167"/>
      <c r="V2" s="166">
        <v>0.98044789200455673</v>
      </c>
      <c r="W2" s="167"/>
      <c r="X2" s="166">
        <v>0.44107921670212935</v>
      </c>
      <c r="Y2" s="167"/>
      <c r="Z2" s="166">
        <v>0.33130970715258146</v>
      </c>
      <c r="AA2" s="167"/>
      <c r="AB2" s="166">
        <v>0.39963977725670013</v>
      </c>
      <c r="AC2" s="167"/>
      <c r="AD2" s="166">
        <v>0.87370785636089876</v>
      </c>
      <c r="AE2" s="167"/>
      <c r="AF2" s="166">
        <v>0.87384353988188246</v>
      </c>
      <c r="AG2" s="167"/>
      <c r="AH2" s="166">
        <v>0.65379901852646127</v>
      </c>
      <c r="AI2" s="167"/>
    </row>
    <row r="3" spans="1:35">
      <c r="A3" s="74">
        <v>1</v>
      </c>
      <c r="B3" s="75" t="s">
        <v>127</v>
      </c>
      <c r="C3" s="76">
        <v>364.49999999999994</v>
      </c>
      <c r="D3" s="77" t="s">
        <v>182</v>
      </c>
      <c r="E3" s="96">
        <v>34.25</v>
      </c>
      <c r="F3" s="77" t="s">
        <v>127</v>
      </c>
      <c r="G3" s="78">
        <v>1.5</v>
      </c>
      <c r="H3" s="77" t="s">
        <v>127</v>
      </c>
      <c r="I3" s="79">
        <v>0.65</v>
      </c>
      <c r="J3" s="77" t="s">
        <v>183</v>
      </c>
      <c r="K3" s="79">
        <v>0</v>
      </c>
      <c r="L3" s="77" t="s">
        <v>182</v>
      </c>
      <c r="M3" s="80">
        <v>0.5</v>
      </c>
      <c r="N3" s="77" t="s">
        <v>179</v>
      </c>
      <c r="O3" s="80">
        <v>4.5454545454545456E-2</v>
      </c>
      <c r="P3" s="77" t="s">
        <v>182</v>
      </c>
      <c r="Q3" s="81">
        <v>9800</v>
      </c>
      <c r="R3" s="77" t="s">
        <v>127</v>
      </c>
      <c r="S3" s="81">
        <v>-6096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183</v>
      </c>
      <c r="Y3" s="80">
        <v>0.44444444444444442</v>
      </c>
      <c r="Z3" s="77" t="s">
        <v>128</v>
      </c>
      <c r="AA3" s="80">
        <v>0.27868852459016391</v>
      </c>
      <c r="AB3" s="77" t="s">
        <v>182</v>
      </c>
      <c r="AC3" s="80">
        <v>0.83333333333333337</v>
      </c>
      <c r="AD3" s="77" t="s">
        <v>179</v>
      </c>
      <c r="AE3" s="80">
        <v>0.75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>
      <c r="A4" s="82">
        <v>2</v>
      </c>
      <c r="B4" s="83" t="s">
        <v>182</v>
      </c>
      <c r="C4" s="84">
        <v>68.5</v>
      </c>
      <c r="D4" s="85" t="s">
        <v>127</v>
      </c>
      <c r="E4" s="97">
        <v>18.224999999999998</v>
      </c>
      <c r="F4" s="85" t="s">
        <v>182</v>
      </c>
      <c r="G4" s="86">
        <v>1.5</v>
      </c>
      <c r="H4" s="85" t="s">
        <v>179</v>
      </c>
      <c r="I4" s="87">
        <v>0.5</v>
      </c>
      <c r="J4" s="85" t="s">
        <v>182</v>
      </c>
      <c r="K4" s="87">
        <v>0</v>
      </c>
      <c r="L4" s="85" t="s">
        <v>127</v>
      </c>
      <c r="M4" s="88">
        <v>0.37634408602150538</v>
      </c>
      <c r="N4" s="85" t="s">
        <v>182</v>
      </c>
      <c r="O4" s="88">
        <v>6.25E-2</v>
      </c>
      <c r="P4" s="85" t="s">
        <v>179</v>
      </c>
      <c r="Q4" s="89">
        <v>8950</v>
      </c>
      <c r="R4" s="85" t="s">
        <v>167</v>
      </c>
      <c r="S4" s="89">
        <v>-7552.9411764705883</v>
      </c>
      <c r="T4" s="85" t="s">
        <v>167</v>
      </c>
      <c r="U4" s="87">
        <v>0</v>
      </c>
      <c r="V4" s="85" t="s">
        <v>127</v>
      </c>
      <c r="W4" s="87">
        <v>0.2</v>
      </c>
      <c r="X4" s="85" t="s">
        <v>182</v>
      </c>
      <c r="Y4" s="88">
        <v>0.375</v>
      </c>
      <c r="Z4" s="85" t="s">
        <v>167</v>
      </c>
      <c r="AA4" s="88">
        <v>0.26436781609195403</v>
      </c>
      <c r="AB4" s="85" t="s">
        <v>178</v>
      </c>
      <c r="AC4" s="88">
        <v>0.66666666666666663</v>
      </c>
      <c r="AD4" s="85" t="s">
        <v>127</v>
      </c>
      <c r="AE4" s="88">
        <v>0.58536585365853655</v>
      </c>
      <c r="AF4" s="85" t="s">
        <v>127</v>
      </c>
      <c r="AG4" s="88">
        <v>0.47142857142857142</v>
      </c>
      <c r="AH4" s="85" t="s">
        <v>182</v>
      </c>
      <c r="AI4" s="92">
        <v>95200</v>
      </c>
    </row>
    <row r="5" spans="1:35">
      <c r="A5" s="82">
        <v>3</v>
      </c>
      <c r="B5" s="83" t="s">
        <v>179</v>
      </c>
      <c r="C5" s="84">
        <v>8.1000000000000014</v>
      </c>
      <c r="D5" s="85" t="s">
        <v>179</v>
      </c>
      <c r="E5" s="97">
        <v>4.0500000000000007</v>
      </c>
      <c r="F5" s="85" t="s">
        <v>144</v>
      </c>
      <c r="G5" s="86">
        <v>2</v>
      </c>
      <c r="H5" s="85" t="s">
        <v>182</v>
      </c>
      <c r="I5" s="87">
        <v>0.5</v>
      </c>
      <c r="J5" s="85" t="s">
        <v>127</v>
      </c>
      <c r="K5" s="87">
        <v>0.15</v>
      </c>
      <c r="L5" s="85" t="s">
        <v>183</v>
      </c>
      <c r="M5" s="88">
        <v>0.33333333333333331</v>
      </c>
      <c r="N5" s="85" t="s">
        <v>127</v>
      </c>
      <c r="O5" s="88">
        <v>0.13440860215053763</v>
      </c>
      <c r="P5" s="85" t="s">
        <v>183</v>
      </c>
      <c r="Q5" s="89">
        <v>8400</v>
      </c>
      <c r="R5" s="85" t="s">
        <v>128</v>
      </c>
      <c r="S5" s="89">
        <v>-7880.5555555555557</v>
      </c>
      <c r="T5" s="85" t="s">
        <v>179</v>
      </c>
      <c r="U5" s="87">
        <v>0</v>
      </c>
      <c r="V5" s="85" t="s">
        <v>144</v>
      </c>
      <c r="W5" s="87">
        <v>0.10144927536231885</v>
      </c>
      <c r="X5" s="85" t="s">
        <v>127</v>
      </c>
      <c r="Y5" s="88">
        <v>0.27956989247311825</v>
      </c>
      <c r="Z5" s="85" t="s">
        <v>183</v>
      </c>
      <c r="AA5" s="88">
        <v>0.22222222222222221</v>
      </c>
      <c r="AB5" s="85" t="s">
        <v>127</v>
      </c>
      <c r="AC5" s="88">
        <v>0.59615384615384615</v>
      </c>
      <c r="AD5" s="85" t="s">
        <v>178</v>
      </c>
      <c r="AE5" s="88">
        <v>0.5</v>
      </c>
      <c r="AF5" s="85" t="s">
        <v>178</v>
      </c>
      <c r="AG5" s="88">
        <v>0.4</v>
      </c>
      <c r="AH5" s="85" t="s">
        <v>128</v>
      </c>
      <c r="AI5" s="92">
        <v>91800</v>
      </c>
    </row>
    <row r="6" spans="1:35">
      <c r="A6" s="82">
        <v>4</v>
      </c>
      <c r="B6" s="83" t="s">
        <v>144</v>
      </c>
      <c r="C6" s="84">
        <v>-0.99999999999999645</v>
      </c>
      <c r="D6" s="85" t="s">
        <v>144</v>
      </c>
      <c r="E6" s="97">
        <v>-1.4492753623188354E-2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128</v>
      </c>
      <c r="M6" s="88">
        <v>0.30601092896174864</v>
      </c>
      <c r="N6" s="85" t="s">
        <v>144</v>
      </c>
      <c r="O6" s="88">
        <v>0.18380062305295949</v>
      </c>
      <c r="P6" s="85" t="s">
        <v>128</v>
      </c>
      <c r="Q6" s="89">
        <v>8237.5</v>
      </c>
      <c r="R6" s="85" t="s">
        <v>144</v>
      </c>
      <c r="S6" s="89">
        <v>-8050.8474576271183</v>
      </c>
      <c r="T6" s="85" t="s">
        <v>183</v>
      </c>
      <c r="U6" s="87">
        <v>0</v>
      </c>
      <c r="V6" s="85" t="s">
        <v>128</v>
      </c>
      <c r="W6" s="87">
        <v>0.1</v>
      </c>
      <c r="X6" s="85" t="s">
        <v>180</v>
      </c>
      <c r="Y6" s="88">
        <v>0.26050420168067229</v>
      </c>
      <c r="Z6" s="85" t="s">
        <v>144</v>
      </c>
      <c r="AA6" s="88">
        <v>0.22118380062305296</v>
      </c>
      <c r="AB6" s="85" t="s">
        <v>180</v>
      </c>
      <c r="AC6" s="88">
        <v>0.58064516129032262</v>
      </c>
      <c r="AD6" s="85" t="s">
        <v>183</v>
      </c>
      <c r="AE6" s="88">
        <v>0.5</v>
      </c>
      <c r="AF6" s="85" t="s">
        <v>144</v>
      </c>
      <c r="AG6" s="88">
        <v>0.38974358974358975</v>
      </c>
      <c r="AH6" s="85" t="s">
        <v>127</v>
      </c>
      <c r="AI6" s="92">
        <v>86200</v>
      </c>
    </row>
    <row r="7" spans="1:35">
      <c r="A7" s="82">
        <v>5</v>
      </c>
      <c r="B7" s="83" t="s">
        <v>183</v>
      </c>
      <c r="C7" s="84">
        <v>-12</v>
      </c>
      <c r="D7" s="85" t="s">
        <v>128</v>
      </c>
      <c r="E7" s="97">
        <v>-4.8000000000000016</v>
      </c>
      <c r="F7" s="85" t="s">
        <v>179</v>
      </c>
      <c r="G7" s="86">
        <v>2</v>
      </c>
      <c r="H7" s="85" t="s">
        <v>167</v>
      </c>
      <c r="I7" s="87">
        <v>0.33333333333333331</v>
      </c>
      <c r="J7" s="85" t="s">
        <v>167</v>
      </c>
      <c r="K7" s="87">
        <v>0.33333333333333331</v>
      </c>
      <c r="L7" s="85" t="s">
        <v>144</v>
      </c>
      <c r="M7" s="88">
        <v>0.30373831775700932</v>
      </c>
      <c r="N7" s="85" t="s">
        <v>167</v>
      </c>
      <c r="O7" s="88">
        <v>0.19540229885057472</v>
      </c>
      <c r="P7" s="85" t="s">
        <v>178</v>
      </c>
      <c r="Q7" s="89">
        <v>8100</v>
      </c>
      <c r="R7" s="85" t="s">
        <v>180</v>
      </c>
      <c r="S7" s="89">
        <v>-8551.7241379310344</v>
      </c>
      <c r="T7" s="85" t="s">
        <v>182</v>
      </c>
      <c r="U7" s="87">
        <v>0</v>
      </c>
      <c r="V7" s="85" t="s">
        <v>180</v>
      </c>
      <c r="W7" s="87">
        <v>0</v>
      </c>
      <c r="X7" s="85" t="s">
        <v>144</v>
      </c>
      <c r="Y7" s="88">
        <v>0.24454828660436137</v>
      </c>
      <c r="Z7" s="85" t="s">
        <v>127</v>
      </c>
      <c r="AA7" s="88">
        <v>0.22043010752688172</v>
      </c>
      <c r="AB7" s="85" t="s">
        <v>144</v>
      </c>
      <c r="AC7" s="88">
        <v>0.57324840764331209</v>
      </c>
      <c r="AD7" s="85" t="s">
        <v>128</v>
      </c>
      <c r="AE7" s="88">
        <v>0.49019607843137253</v>
      </c>
      <c r="AF7" s="85" t="s">
        <v>182</v>
      </c>
      <c r="AG7" s="88">
        <v>0.375</v>
      </c>
      <c r="AH7" s="85" t="s">
        <v>179</v>
      </c>
      <c r="AI7" s="92">
        <v>71900</v>
      </c>
    </row>
    <row r="8" spans="1:35">
      <c r="A8" s="82">
        <v>6</v>
      </c>
      <c r="B8" s="83" t="s">
        <v>167</v>
      </c>
      <c r="C8" s="84">
        <v>-59.500000000000007</v>
      </c>
      <c r="D8" s="85" t="s">
        <v>167</v>
      </c>
      <c r="E8" s="97">
        <v>-6.6111111111111116</v>
      </c>
      <c r="F8" s="85" t="s">
        <v>183</v>
      </c>
      <c r="G8" s="86">
        <v>2</v>
      </c>
      <c r="H8" s="85" t="s">
        <v>128</v>
      </c>
      <c r="I8" s="87">
        <v>0.2</v>
      </c>
      <c r="J8" s="85" t="s">
        <v>128</v>
      </c>
      <c r="K8" s="87">
        <v>0.4</v>
      </c>
      <c r="L8" s="85" t="s">
        <v>178</v>
      </c>
      <c r="M8" s="88">
        <v>0.25</v>
      </c>
      <c r="N8" s="85" t="s">
        <v>128</v>
      </c>
      <c r="O8" s="88">
        <v>0.19672131147540983</v>
      </c>
      <c r="P8" s="85" t="s">
        <v>144</v>
      </c>
      <c r="Q8" s="89">
        <v>8074.3589743589746</v>
      </c>
      <c r="R8" s="85" t="s">
        <v>183</v>
      </c>
      <c r="S8" s="89">
        <v>-9233.3333333333339</v>
      </c>
      <c r="T8" s="85" t="s">
        <v>144</v>
      </c>
      <c r="U8" s="87">
        <v>0.10144927536231885</v>
      </c>
      <c r="V8" s="85" t="s">
        <v>167</v>
      </c>
      <c r="W8" s="87">
        <v>0</v>
      </c>
      <c r="X8" s="85" t="s">
        <v>167</v>
      </c>
      <c r="Y8" s="88">
        <v>0.2413793103448276</v>
      </c>
      <c r="Z8" s="85" t="s">
        <v>179</v>
      </c>
      <c r="AA8" s="88">
        <v>0.18181818181818182</v>
      </c>
      <c r="AB8" s="85" t="s">
        <v>128</v>
      </c>
      <c r="AC8" s="88">
        <v>0.52631578947368418</v>
      </c>
      <c r="AD8" s="85" t="s">
        <v>144</v>
      </c>
      <c r="AE8" s="88">
        <v>0.44366197183098594</v>
      </c>
      <c r="AF8" s="85" t="s">
        <v>183</v>
      </c>
      <c r="AG8" s="88">
        <v>0.33333333333333331</v>
      </c>
      <c r="AH8" s="85" t="s">
        <v>180</v>
      </c>
      <c r="AI8" s="92">
        <v>53700</v>
      </c>
    </row>
    <row r="9" spans="1:35">
      <c r="A9" s="82">
        <v>7</v>
      </c>
      <c r="B9" s="83" t="s">
        <v>178</v>
      </c>
      <c r="C9" s="84">
        <v>-67.3</v>
      </c>
      <c r="D9" s="85" t="s">
        <v>183</v>
      </c>
      <c r="E9" s="97">
        <v>-12</v>
      </c>
      <c r="F9" s="85" t="s">
        <v>128</v>
      </c>
      <c r="G9" s="86">
        <v>2.2000000000000002</v>
      </c>
      <c r="H9" s="85" t="s">
        <v>180</v>
      </c>
      <c r="I9" s="87">
        <v>7.6923076923076927E-2</v>
      </c>
      <c r="J9" s="85" t="s">
        <v>178</v>
      </c>
      <c r="K9" s="87">
        <v>0.5</v>
      </c>
      <c r="L9" s="85" t="s">
        <v>167</v>
      </c>
      <c r="M9" s="88">
        <v>0.2413793103448276</v>
      </c>
      <c r="N9" s="85" t="s">
        <v>180</v>
      </c>
      <c r="O9" s="88">
        <v>0.24369747899159663</v>
      </c>
      <c r="P9" s="85" t="s">
        <v>180</v>
      </c>
      <c r="Q9" s="89">
        <v>7928.5714285714284</v>
      </c>
      <c r="R9" s="85" t="s">
        <v>179</v>
      </c>
      <c r="S9" s="89">
        <v>-12000</v>
      </c>
      <c r="T9" s="85" t="s">
        <v>180</v>
      </c>
      <c r="U9" s="87">
        <v>0.15384615384615385</v>
      </c>
      <c r="V9" s="85" t="s">
        <v>178</v>
      </c>
      <c r="W9" s="87">
        <v>0</v>
      </c>
      <c r="X9" s="85" t="s">
        <v>128</v>
      </c>
      <c r="Y9" s="88">
        <v>0.20765027322404372</v>
      </c>
      <c r="Z9" s="85" t="s">
        <v>180</v>
      </c>
      <c r="AA9" s="88">
        <v>0.15966386554621848</v>
      </c>
      <c r="AB9" s="85" t="s">
        <v>167</v>
      </c>
      <c r="AC9" s="88">
        <v>0.52380952380952384</v>
      </c>
      <c r="AD9" s="85" t="s">
        <v>167</v>
      </c>
      <c r="AE9" s="88">
        <v>0.2608695652173913</v>
      </c>
      <c r="AF9" s="85" t="s">
        <v>180</v>
      </c>
      <c r="AG9" s="88">
        <v>0.32142857142857145</v>
      </c>
      <c r="AH9" s="85" t="s">
        <v>167</v>
      </c>
      <c r="AI9" s="92">
        <v>49500</v>
      </c>
    </row>
    <row r="10" spans="1:35">
      <c r="A10" s="82">
        <v>8</v>
      </c>
      <c r="B10" s="83" t="s">
        <v>128</v>
      </c>
      <c r="C10" s="84">
        <v>-96.000000000000028</v>
      </c>
      <c r="D10" s="85" t="s">
        <v>180</v>
      </c>
      <c r="E10" s="97">
        <v>-15.946153846153846</v>
      </c>
      <c r="F10" s="85" t="s">
        <v>180</v>
      </c>
      <c r="G10" s="86">
        <v>2.4615384615384617</v>
      </c>
      <c r="H10" s="85" t="s">
        <v>178</v>
      </c>
      <c r="I10" s="87">
        <v>0</v>
      </c>
      <c r="J10" s="85" t="s">
        <v>179</v>
      </c>
      <c r="K10" s="87">
        <v>0.5</v>
      </c>
      <c r="L10" s="85" t="s">
        <v>180</v>
      </c>
      <c r="M10" s="88">
        <v>0.23529411764705882</v>
      </c>
      <c r="N10" s="85" t="s">
        <v>178</v>
      </c>
      <c r="O10" s="88">
        <v>0.3</v>
      </c>
      <c r="P10" s="85" t="s">
        <v>127</v>
      </c>
      <c r="Q10" s="89">
        <v>7888.5714285714284</v>
      </c>
      <c r="R10" s="85" t="s">
        <v>182</v>
      </c>
      <c r="S10" s="89">
        <v>-12000</v>
      </c>
      <c r="T10" s="85" t="s">
        <v>128</v>
      </c>
      <c r="U10" s="87">
        <v>0.2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178</v>
      </c>
      <c r="AA10" s="88">
        <v>0.1</v>
      </c>
      <c r="AB10" s="85" t="s">
        <v>179</v>
      </c>
      <c r="AC10" s="88">
        <v>0.5</v>
      </c>
      <c r="AD10" s="85" t="s">
        <v>180</v>
      </c>
      <c r="AE10" s="88">
        <v>0.15789473684210525</v>
      </c>
      <c r="AF10" s="85" t="s">
        <v>128</v>
      </c>
      <c r="AG10" s="88">
        <v>0.2857142857142857</v>
      </c>
      <c r="AH10" s="85" t="s">
        <v>178</v>
      </c>
      <c r="AI10" s="92">
        <v>25900</v>
      </c>
    </row>
    <row r="11" spans="1:35">
      <c r="A11" s="82">
        <v>9</v>
      </c>
      <c r="B11" s="83" t="s">
        <v>180</v>
      </c>
      <c r="C11" s="84">
        <v>-207.3</v>
      </c>
      <c r="D11" s="85" t="s">
        <v>178</v>
      </c>
      <c r="E11" s="97">
        <v>-33.65</v>
      </c>
      <c r="F11" s="85" t="s">
        <v>178</v>
      </c>
      <c r="G11" s="86">
        <v>2.5</v>
      </c>
      <c r="H11" s="85" t="s">
        <v>183</v>
      </c>
      <c r="I11" s="87">
        <v>0</v>
      </c>
      <c r="J11" s="85" t="s">
        <v>180</v>
      </c>
      <c r="K11" s="87">
        <v>0.53846153846153844</v>
      </c>
      <c r="L11" s="85" t="s">
        <v>179</v>
      </c>
      <c r="M11" s="88">
        <v>0.18181818181818182</v>
      </c>
      <c r="N11" s="85" t="s">
        <v>183</v>
      </c>
      <c r="O11" s="88">
        <v>0.33333333333333331</v>
      </c>
      <c r="P11" s="85" t="s">
        <v>167</v>
      </c>
      <c r="Q11" s="89">
        <v>7576.1904761904761</v>
      </c>
      <c r="R11" s="85" t="s">
        <v>178</v>
      </c>
      <c r="S11" s="89">
        <v>-14300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183</v>
      </c>
      <c r="AC11" s="88">
        <v>0.5</v>
      </c>
      <c r="AD11" s="85" t="s">
        <v>182</v>
      </c>
      <c r="AE11" s="88">
        <v>0</v>
      </c>
      <c r="AF11" s="85" t="s">
        <v>179</v>
      </c>
      <c r="AG11" s="88">
        <v>0.25</v>
      </c>
      <c r="AH11" s="85" t="s">
        <v>183</v>
      </c>
      <c r="AI11" s="92">
        <v>23000</v>
      </c>
    </row>
  </sheetData>
  <sortState xmlns:xlrd2="http://schemas.microsoft.com/office/spreadsheetml/2017/richdata2" ref="AH3:AI3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71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69</v>
      </c>
      <c r="C2" s="155"/>
      <c r="E2" s="62" t="s">
        <v>67</v>
      </c>
      <c r="F2" s="59" t="s">
        <v>23</v>
      </c>
      <c r="G2" s="46">
        <v>141</v>
      </c>
      <c r="H2" s="132">
        <f>IF(B$17=0,0,G2/B$17)</f>
        <v>0.72307692307692306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-14.492753623188406</v>
      </c>
      <c r="P2" s="118">
        <v>69</v>
      </c>
      <c r="Q2" s="102">
        <v>-1000</v>
      </c>
    </row>
    <row r="3" spans="1:17">
      <c r="A3" s="55" t="s">
        <v>8</v>
      </c>
      <c r="B3" s="156">
        <v>642</v>
      </c>
      <c r="C3" s="157"/>
      <c r="E3" s="63" t="s">
        <v>73</v>
      </c>
      <c r="F3" s="60" t="s">
        <v>28</v>
      </c>
      <c r="G3" s="47">
        <v>104</v>
      </c>
      <c r="H3" s="133">
        <f>IF(B$17=0,0,G3/B$17)</f>
        <v>0.53333333333333333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15.151515151515152</v>
      </c>
      <c r="P3" s="119">
        <v>66</v>
      </c>
      <c r="Q3" s="103">
        <v>1000</v>
      </c>
    </row>
    <row r="4" spans="1:17">
      <c r="A4" s="55" t="s">
        <v>6</v>
      </c>
      <c r="B4" s="158">
        <v>-0.99999999999999645</v>
      </c>
      <c r="C4" s="159"/>
      <c r="E4" s="63" t="s">
        <v>65</v>
      </c>
      <c r="F4" s="60" t="s">
        <v>21</v>
      </c>
      <c r="G4" s="47">
        <v>89</v>
      </c>
      <c r="H4" s="133">
        <f>IF(B$17=0,0,G4/B$17)</f>
        <v>0.4564102564102564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-45.454545454545453</v>
      </c>
      <c r="P4" s="119">
        <v>66</v>
      </c>
      <c r="Q4" s="103">
        <v>-3000</v>
      </c>
    </row>
    <row r="5" spans="1:17">
      <c r="A5" s="55" t="s">
        <v>7</v>
      </c>
      <c r="B5" s="160">
        <f>IF(B$2=0,0,B$4/B$2)</f>
        <v>-1.4492753623188354E-2</v>
      </c>
      <c r="C5" s="161"/>
      <c r="E5" s="63" t="s">
        <v>172</v>
      </c>
      <c r="F5" s="60" t="s">
        <v>173</v>
      </c>
      <c r="G5" s="47">
        <v>68</v>
      </c>
      <c r="H5" s="133">
        <f>IF(B$17=0,0,G5/B$17)</f>
        <v>0.3487179487179487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30.303030303030305</v>
      </c>
      <c r="P5" s="119">
        <v>66</v>
      </c>
      <c r="Q5" s="103">
        <v>2000</v>
      </c>
    </row>
    <row r="6" spans="1:17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53</v>
      </c>
      <c r="H6" s="133">
        <f>IF(B$17=0,0,G6/B$17)</f>
        <v>0.27179487179487177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17.543859649122808</v>
      </c>
      <c r="P6" s="119">
        <v>57</v>
      </c>
      <c r="Q6" s="103">
        <v>1000</v>
      </c>
    </row>
    <row r="7" spans="1:17">
      <c r="A7" s="55" t="s">
        <v>2</v>
      </c>
      <c r="B7" s="47">
        <v>23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49</v>
      </c>
      <c r="H7" s="133">
        <f>IF(B$17=0,0,G7/B$17)</f>
        <v>0.25128205128205128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-20.833333333333332</v>
      </c>
      <c r="P7" s="120">
        <v>48</v>
      </c>
      <c r="Q7" s="104">
        <v>-1000</v>
      </c>
    </row>
    <row r="8" spans="1:17">
      <c r="A8" s="55" t="s">
        <v>3</v>
      </c>
      <c r="B8" s="47">
        <v>23</v>
      </c>
      <c r="C8" s="39">
        <f t="shared" si="1"/>
        <v>0.33333333333333331</v>
      </c>
      <c r="E8" s="63" t="s">
        <v>70</v>
      </c>
      <c r="F8" s="60" t="s">
        <v>25</v>
      </c>
      <c r="G8" s="47">
        <v>32</v>
      </c>
      <c r="H8" s="133">
        <f>IF(B$17=0,0,G8/B$17)</f>
        <v>0.1641025641025641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>
      <c r="A9" s="56" t="s">
        <v>4</v>
      </c>
      <c r="B9" s="48">
        <v>23</v>
      </c>
      <c r="C9" s="40">
        <f t="shared" si="1"/>
        <v>0.33333333333333331</v>
      </c>
      <c r="E9" s="63" t="s">
        <v>90</v>
      </c>
      <c r="F9" s="60" t="s">
        <v>45</v>
      </c>
      <c r="G9" s="47">
        <v>22</v>
      </c>
      <c r="H9" s="133">
        <f>IF(B$17=0,0,G9/B$17)</f>
        <v>0.11282051282051282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7</v>
      </c>
      <c r="C10" s="40">
        <f t="shared" si="1"/>
        <v>0.10144927536231885</v>
      </c>
      <c r="E10" s="63" t="s">
        <v>66</v>
      </c>
      <c r="F10" s="60" t="s">
        <v>22</v>
      </c>
      <c r="G10" s="47">
        <v>21</v>
      </c>
      <c r="H10" s="133">
        <f>IF(B$17=0,0,G10/B$17)</f>
        <v>0.1076923076923077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1.7086956521739136</v>
      </c>
      <c r="P10" s="118">
        <v>23</v>
      </c>
      <c r="Q10" s="106">
        <v>39.300000000000011</v>
      </c>
    </row>
    <row r="11" spans="1:17">
      <c r="A11" s="56" t="s">
        <v>139</v>
      </c>
      <c r="B11" s="48">
        <v>7</v>
      </c>
      <c r="C11" s="40">
        <f t="shared" si="1"/>
        <v>0.10144927536231885</v>
      </c>
      <c r="E11" s="63" t="s">
        <v>72</v>
      </c>
      <c r="F11" s="60" t="s">
        <v>27</v>
      </c>
      <c r="G11" s="47">
        <v>17</v>
      </c>
      <c r="H11" s="133">
        <f>IF(B$17=0,0,G11/B$17)</f>
        <v>8.7179487179487175E-2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6.0260869565217403</v>
      </c>
      <c r="P11" s="119">
        <v>23</v>
      </c>
      <c r="Q11" s="107">
        <v>138.60000000000002</v>
      </c>
    </row>
    <row r="12" spans="1:17">
      <c r="A12" s="57" t="s">
        <v>159</v>
      </c>
      <c r="B12" s="49">
        <v>8</v>
      </c>
      <c r="C12" s="42">
        <f t="shared" si="1"/>
        <v>0.11594202898550725</v>
      </c>
      <c r="E12" s="63" t="s">
        <v>71</v>
      </c>
      <c r="F12" s="60" t="s">
        <v>26</v>
      </c>
      <c r="G12" s="47">
        <v>13</v>
      </c>
      <c r="H12" s="133">
        <f>IF(B$17=0,0,G12/B$17)</f>
        <v>6.6666666666666666E-2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-7.7782608695652167</v>
      </c>
      <c r="P12" s="120">
        <v>23</v>
      </c>
      <c r="Q12" s="108">
        <v>-178.89999999999998</v>
      </c>
    </row>
    <row r="13" spans="1:17">
      <c r="A13" s="58" t="s">
        <v>122</v>
      </c>
      <c r="B13" s="50">
        <v>157</v>
      </c>
      <c r="C13" s="44">
        <f>IF(B$3=0,0,B13/B$3)</f>
        <v>0.24454828660436137</v>
      </c>
      <c r="E13" s="63" t="s">
        <v>84</v>
      </c>
      <c r="F13" s="60" t="s">
        <v>39</v>
      </c>
      <c r="G13" s="47">
        <v>11</v>
      </c>
      <c r="H13" s="133">
        <f>IF(B$17=0,0,G13/B$17)</f>
        <v>5.6410256410256411E-2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>
      <c r="A14" s="55" t="s">
        <v>119</v>
      </c>
      <c r="B14" s="47">
        <v>142</v>
      </c>
      <c r="C14" s="39">
        <f>IF(B$3=0,0,B14/B$3)</f>
        <v>0.22118380062305296</v>
      </c>
      <c r="E14" s="63" t="s">
        <v>87</v>
      </c>
      <c r="F14" s="60" t="s">
        <v>42</v>
      </c>
      <c r="G14" s="47">
        <v>10</v>
      </c>
      <c r="H14" s="133">
        <f>IF(B$17=0,0,G14/B$17)</f>
        <v>5.128205128205128E-2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90</v>
      </c>
      <c r="C15" s="37">
        <f>IF(B$13=0,0,B15/B$13)</f>
        <v>0.57324840764331209</v>
      </c>
      <c r="E15" s="63" t="s">
        <v>79</v>
      </c>
      <c r="F15" s="60" t="s">
        <v>34</v>
      </c>
      <c r="G15" s="47">
        <v>5</v>
      </c>
      <c r="H15" s="133">
        <f>IF(B$17=0,0,G15/B$17)</f>
        <v>2.564102564102564E-2</v>
      </c>
      <c r="I15" s="94">
        <v>3</v>
      </c>
      <c r="K15" s="38">
        <v>13</v>
      </c>
      <c r="L15" s="99">
        <v>-1.7</v>
      </c>
      <c r="N15" s="114" t="s">
        <v>178</v>
      </c>
      <c r="O15" s="124">
        <f>IF(P15=0,0,Q15/P15)</f>
        <v>50.474999999999994</v>
      </c>
      <c r="P15" s="118">
        <v>4</v>
      </c>
      <c r="Q15" s="106">
        <v>201.89999999999998</v>
      </c>
    </row>
    <row r="16" spans="1:17">
      <c r="A16" s="54" t="s">
        <v>125</v>
      </c>
      <c r="B16" s="46">
        <v>63</v>
      </c>
      <c r="C16" s="37">
        <f>IF(B$14=0,0,B16/B$14)</f>
        <v>0.44366197183098594</v>
      </c>
      <c r="E16" s="63" t="s">
        <v>82</v>
      </c>
      <c r="F16" s="60" t="s">
        <v>37</v>
      </c>
      <c r="G16" s="47">
        <v>4</v>
      </c>
      <c r="H16" s="133">
        <f>IF(B$17=0,0,G16/B$17)</f>
        <v>2.0512820512820513E-2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23.880769230769236</v>
      </c>
      <c r="P16" s="119">
        <v>26</v>
      </c>
      <c r="Q16" s="107">
        <v>620.90000000000009</v>
      </c>
    </row>
    <row r="17" spans="1:17">
      <c r="A17" s="54" t="s">
        <v>10</v>
      </c>
      <c r="B17" s="46">
        <f>B19+B18</f>
        <v>195</v>
      </c>
      <c r="C17" s="37">
        <f>IF(B$3=0,0,B17/B$3)</f>
        <v>0.30373831775700932</v>
      </c>
      <c r="E17" s="63" t="s">
        <v>92</v>
      </c>
      <c r="F17" s="60" t="s">
        <v>47</v>
      </c>
      <c r="G17" s="47">
        <v>3</v>
      </c>
      <c r="H17" s="133">
        <f>IF(B$17=0,0,G17/B$17)</f>
        <v>1.5384615384615385E-2</v>
      </c>
      <c r="I17" s="94">
        <v>2</v>
      </c>
      <c r="K17" s="38">
        <v>15</v>
      </c>
      <c r="L17" s="99">
        <v>0</v>
      </c>
      <c r="N17" s="115" t="s">
        <v>183</v>
      </c>
      <c r="O17" s="125">
        <f>IF(P17=0,0,Q17/P17)</f>
        <v>18</v>
      </c>
      <c r="P17" s="119">
        <v>2</v>
      </c>
      <c r="Q17" s="107">
        <v>36</v>
      </c>
    </row>
    <row r="18" spans="1:17">
      <c r="A18" s="55" t="s">
        <v>12</v>
      </c>
      <c r="B18" s="47">
        <v>76</v>
      </c>
      <c r="C18" s="39">
        <f>IF(B$17=0,0,B18/B$17)</f>
        <v>0.38974358974358975</v>
      </c>
      <c r="E18" s="63" t="s">
        <v>78</v>
      </c>
      <c r="F18" s="60" t="s">
        <v>33</v>
      </c>
      <c r="G18" s="47">
        <v>2</v>
      </c>
      <c r="H18" s="133">
        <f>IF(B$17=0,0,G18/B$17)</f>
        <v>1.0256410256410256E-2</v>
      </c>
      <c r="I18" s="94">
        <v>2</v>
      </c>
      <c r="K18" s="38">
        <v>16</v>
      </c>
      <c r="L18" s="99">
        <v>-28.2</v>
      </c>
      <c r="N18" s="115" t="s">
        <v>167</v>
      </c>
      <c r="O18" s="125">
        <f>IF(P18=0,0,Q18/P18)</f>
        <v>9.9166666666666679</v>
      </c>
      <c r="P18" s="119">
        <v>18</v>
      </c>
      <c r="Q18" s="107">
        <v>178.50000000000003</v>
      </c>
    </row>
    <row r="19" spans="1:17">
      <c r="A19" s="55" t="s">
        <v>11</v>
      </c>
      <c r="B19" s="47">
        <v>119</v>
      </c>
      <c r="C19" s="39">
        <f>IF(B$17=0,0,B19/B$17)</f>
        <v>0.61025641025641031</v>
      </c>
      <c r="E19" s="63" t="s">
        <v>80</v>
      </c>
      <c r="F19" s="60" t="s">
        <v>35</v>
      </c>
      <c r="G19" s="47">
        <v>2</v>
      </c>
      <c r="H19" s="133">
        <f>IF(B$17=0,0,G19/B$17)</f>
        <v>1.0256410256410256E-2</v>
      </c>
      <c r="I19" s="94">
        <v>2</v>
      </c>
      <c r="K19" s="38">
        <v>17</v>
      </c>
      <c r="L19" s="99">
        <v>-20.5</v>
      </c>
      <c r="N19" s="115" t="s">
        <v>128</v>
      </c>
      <c r="O19" s="125">
        <f>IF(P19=0,0,Q19/P19)</f>
        <v>7.1749999999999972</v>
      </c>
      <c r="P19" s="119">
        <v>40</v>
      </c>
      <c r="Q19" s="107">
        <v>286.99999999999989</v>
      </c>
    </row>
    <row r="20" spans="1:17">
      <c r="A20" s="55" t="s">
        <v>13</v>
      </c>
      <c r="B20" s="47">
        <v>118</v>
      </c>
      <c r="C20" s="39">
        <f>IF(B$3=0,0,B20/B$3)</f>
        <v>0.18380062305295949</v>
      </c>
      <c r="E20" s="63" t="s">
        <v>85</v>
      </c>
      <c r="F20" s="60" t="s">
        <v>40</v>
      </c>
      <c r="G20" s="47">
        <v>2</v>
      </c>
      <c r="H20" s="133">
        <f>IF(B$17=0,0,G20/B$17)</f>
        <v>1.0256410256410256E-2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-6.0749999999999993</v>
      </c>
      <c r="P20" s="119">
        <v>4</v>
      </c>
      <c r="Q20" s="107">
        <v>-24.299999999999997</v>
      </c>
    </row>
    <row r="21" spans="1:17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1.0256410256410256E-2</v>
      </c>
      <c r="I21" s="94">
        <v>3</v>
      </c>
      <c r="K21" s="38">
        <v>19</v>
      </c>
      <c r="L21" s="99">
        <v>-22.4</v>
      </c>
      <c r="N21" s="115" t="s">
        <v>127</v>
      </c>
      <c r="O21" s="125">
        <f>IF(P21=0,0,Q21/P21)</f>
        <v>-27.362500000000001</v>
      </c>
      <c r="P21" s="119">
        <v>40</v>
      </c>
      <c r="Q21" s="107">
        <v>-1094.5</v>
      </c>
    </row>
    <row r="22" spans="1:17">
      <c r="A22" s="55" t="s">
        <v>171</v>
      </c>
      <c r="B22" s="47">
        <v>21</v>
      </c>
      <c r="C22" s="135">
        <v>5</v>
      </c>
      <c r="E22" s="63" t="s">
        <v>88</v>
      </c>
      <c r="F22" s="60" t="s">
        <v>43</v>
      </c>
      <c r="G22" s="47">
        <v>1</v>
      </c>
      <c r="H22" s="133">
        <f>IF(B$17=0,0,G22/B$17)</f>
        <v>5.1282051282051282E-3</v>
      </c>
      <c r="I22" s="94">
        <v>2</v>
      </c>
      <c r="K22" s="38">
        <v>20</v>
      </c>
      <c r="L22" s="99">
        <v>-61.199999999999996</v>
      </c>
      <c r="N22" s="115" t="s">
        <v>182</v>
      </c>
      <c r="O22" s="125">
        <f>IF(P22=0,0,Q22/P22)</f>
        <v>-51.375000000000014</v>
      </c>
      <c r="P22" s="119">
        <v>4</v>
      </c>
      <c r="Q22" s="107">
        <v>-205.50000000000006</v>
      </c>
    </row>
    <row r="23" spans="1:17">
      <c r="A23" s="55" t="s">
        <v>5</v>
      </c>
      <c r="B23" s="51">
        <f>IF(B$17=0,0,C23/B$17)</f>
        <v>8074.3589743589746</v>
      </c>
      <c r="C23" s="41">
        <v>1574500</v>
      </c>
      <c r="E23" s="63" t="s">
        <v>89</v>
      </c>
      <c r="F23" s="60" t="s">
        <v>44</v>
      </c>
      <c r="G23" s="47">
        <v>1</v>
      </c>
      <c r="H23" s="133">
        <f>IF(B$17=0,0,G23/B$17)</f>
        <v>5.1282051282051282E-3</v>
      </c>
      <c r="I23" s="94">
        <v>2</v>
      </c>
      <c r="K23" s="38">
        <v>21</v>
      </c>
      <c r="L23" s="99">
        <v>7.1054273576010019E-15</v>
      </c>
    </row>
    <row r="24" spans="1:17">
      <c r="A24" s="57" t="s">
        <v>14</v>
      </c>
      <c r="B24" s="52">
        <f>IF(B$20=0,0,C24/B$20)</f>
        <v>-8050.8474576271183</v>
      </c>
      <c r="C24" s="45">
        <v>-950000</v>
      </c>
      <c r="E24" s="63" t="s">
        <v>93</v>
      </c>
      <c r="F24" s="60" t="s">
        <v>48</v>
      </c>
      <c r="G24" s="47">
        <v>1</v>
      </c>
      <c r="H24" s="133">
        <f>IF(B$17=0,0,G24/B$17)</f>
        <v>5.1282051282051282E-3</v>
      </c>
      <c r="I24" s="94">
        <v>2</v>
      </c>
      <c r="K24" s="38">
        <v>22</v>
      </c>
      <c r="L24" s="99">
        <v>-25.099999999999994</v>
      </c>
    </row>
    <row r="25" spans="1:17">
      <c r="A25" s="90" t="s">
        <v>141</v>
      </c>
      <c r="B25" s="148">
        <v>7</v>
      </c>
      <c r="C25" s="149"/>
      <c r="E25" s="63" t="s">
        <v>96</v>
      </c>
      <c r="F25" s="60" t="s">
        <v>51</v>
      </c>
      <c r="G25" s="47">
        <v>1</v>
      </c>
      <c r="H25" s="133">
        <f>IF(B$17=0,0,G25/B$17)</f>
        <v>5.1282051282051282E-3</v>
      </c>
      <c r="I25" s="94">
        <v>2</v>
      </c>
      <c r="K25" s="38">
        <v>23</v>
      </c>
      <c r="L25" s="99">
        <v>-26.799999999999994</v>
      </c>
    </row>
    <row r="26" spans="1:17">
      <c r="A26" s="58" t="s">
        <v>151</v>
      </c>
      <c r="B26" s="146">
        <v>95200</v>
      </c>
      <c r="C26" s="147"/>
      <c r="E26" s="63" t="s">
        <v>168</v>
      </c>
      <c r="F26" s="60" t="s">
        <v>169</v>
      </c>
      <c r="G26" s="47">
        <v>1</v>
      </c>
      <c r="H26" s="133">
        <f>IF(B$17=0,0,G26/B$17)</f>
        <v>5.1282051282051282E-3</v>
      </c>
      <c r="I26" s="94">
        <v>2</v>
      </c>
      <c r="K26" s="38">
        <v>24</v>
      </c>
      <c r="L26" s="99">
        <v>7.1054273576010019E-15</v>
      </c>
    </row>
    <row r="27" spans="1:17">
      <c r="A27" s="57" t="s">
        <v>142</v>
      </c>
      <c r="B27" s="65">
        <v>2</v>
      </c>
      <c r="C27" s="42">
        <f>IF(B$3=0,0,B27/B$3)</f>
        <v>3.1152647975077881E-3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-0.99999999999998934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-21.899999999999988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-0.69999999999998863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-0.99999999999998868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1.2000000000000115</v>
      </c>
    </row>
    <row r="49" spans="5:12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-22.499999999999989</v>
      </c>
    </row>
    <row r="50" spans="5:12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-0.99999999999998934</v>
      </c>
    </row>
    <row r="51" spans="5:12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-52.599999999999994</v>
      </c>
    </row>
    <row r="52" spans="5:12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-34.699999999999996</v>
      </c>
    </row>
    <row r="53" spans="5:12">
      <c r="K53" s="38">
        <v>51</v>
      </c>
      <c r="L53" s="99">
        <v>-0.99999999999999289</v>
      </c>
    </row>
    <row r="54" spans="5:12">
      <c r="K54" s="38">
        <v>52</v>
      </c>
      <c r="L54" s="99">
        <v>-6.8999999999999932</v>
      </c>
    </row>
    <row r="55" spans="5:12">
      <c r="K55" s="38">
        <v>53</v>
      </c>
      <c r="L55" s="99">
        <v>-30.399999999999991</v>
      </c>
    </row>
    <row r="56" spans="5:12">
      <c r="K56" s="38">
        <v>54</v>
      </c>
      <c r="L56" s="99">
        <v>-0.99999999999999289</v>
      </c>
    </row>
    <row r="57" spans="5:12">
      <c r="K57" s="38">
        <v>55</v>
      </c>
      <c r="L57" s="99">
        <v>-43.999999999999993</v>
      </c>
    </row>
    <row r="58" spans="5:12">
      <c r="K58" s="38">
        <v>56</v>
      </c>
      <c r="L58" s="99">
        <v>-55.199999999999989</v>
      </c>
    </row>
    <row r="59" spans="5:12">
      <c r="K59" s="38">
        <v>57</v>
      </c>
      <c r="L59" s="99">
        <v>-0.99999999999998579</v>
      </c>
    </row>
    <row r="60" spans="5:12">
      <c r="K60" s="38">
        <v>58</v>
      </c>
      <c r="L60" s="99">
        <v>6.6000000000000139</v>
      </c>
    </row>
    <row r="61" spans="5:12">
      <c r="K61" s="38">
        <v>59</v>
      </c>
      <c r="L61" s="99">
        <v>-36.399999999999984</v>
      </c>
    </row>
    <row r="62" spans="5:12">
      <c r="K62" s="38">
        <v>60</v>
      </c>
      <c r="L62" s="99">
        <v>-0.99999999999998579</v>
      </c>
    </row>
    <row r="63" spans="5:12">
      <c r="K63" s="38">
        <v>61</v>
      </c>
      <c r="L63" s="99">
        <v>65.800000000000011</v>
      </c>
    </row>
    <row r="64" spans="5:12">
      <c r="K64" s="38">
        <v>62</v>
      </c>
      <c r="L64" s="99">
        <v>5.7000000000000099</v>
      </c>
    </row>
    <row r="65" spans="11:12">
      <c r="K65" s="38">
        <v>63</v>
      </c>
      <c r="L65" s="99">
        <v>-0.99999999999999023</v>
      </c>
    </row>
    <row r="66" spans="11:12">
      <c r="K66" s="38">
        <v>64</v>
      </c>
      <c r="L66" s="99">
        <v>-50.499999999999993</v>
      </c>
    </row>
    <row r="67" spans="11:12">
      <c r="K67" s="38">
        <v>65</v>
      </c>
      <c r="L67" s="99">
        <v>-31.799999999999994</v>
      </c>
    </row>
    <row r="68" spans="11:12">
      <c r="K68" s="38">
        <v>66</v>
      </c>
      <c r="L68" s="99">
        <v>-0.99999999999999289</v>
      </c>
    </row>
    <row r="69" spans="11:12">
      <c r="K69" s="38">
        <v>67</v>
      </c>
      <c r="L69" s="99">
        <v>65.400000000000006</v>
      </c>
    </row>
    <row r="70" spans="11:12">
      <c r="K70" s="38">
        <v>68</v>
      </c>
      <c r="L70" s="99">
        <v>16.700000000000003</v>
      </c>
    </row>
    <row r="71" spans="11:12">
      <c r="K71" s="38">
        <v>69</v>
      </c>
      <c r="L71" s="99">
        <v>-0.99999999999999645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9</v>
      </c>
      <c r="C2" s="155"/>
      <c r="E2" s="62" t="s">
        <v>65</v>
      </c>
      <c r="F2" s="59" t="s">
        <v>21</v>
      </c>
      <c r="G2" s="46">
        <v>10</v>
      </c>
      <c r="H2" s="132">
        <f>IF(B$17=0,0,G2/B$17)</f>
        <v>0.47619047619047616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>
      <c r="A3" s="55" t="s">
        <v>8</v>
      </c>
      <c r="B3" s="156">
        <v>87</v>
      </c>
      <c r="C3" s="157"/>
      <c r="E3" s="63" t="s">
        <v>66</v>
      </c>
      <c r="F3" s="60" t="s">
        <v>22</v>
      </c>
      <c r="G3" s="47">
        <v>4</v>
      </c>
      <c r="H3" s="133">
        <f>IF(B$17=0,0,G3/B$17)</f>
        <v>0.19047619047619047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>
      <c r="A4" s="55" t="s">
        <v>6</v>
      </c>
      <c r="B4" s="158">
        <v>-59.500000000000007</v>
      </c>
      <c r="C4" s="159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7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>
      <c r="A5" s="55" t="s">
        <v>7</v>
      </c>
      <c r="B5" s="160">
        <f>IF(B$2=0,0,B$4/B$2)</f>
        <v>-6.6111111111111116</v>
      </c>
      <c r="C5" s="161"/>
      <c r="E5" s="63" t="s">
        <v>68</v>
      </c>
      <c r="F5" s="60" t="s">
        <v>24</v>
      </c>
      <c r="G5" s="47">
        <v>6</v>
      </c>
      <c r="H5" s="133">
        <f>IF(B$17=0,0,G5/B$17)</f>
        <v>0.2857142857142857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2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>
      <c r="A8" s="55" t="s">
        <v>3</v>
      </c>
      <c r="B8" s="47">
        <v>3</v>
      </c>
      <c r="C8" s="39">
        <f t="shared" si="1"/>
        <v>0.33333333333333331</v>
      </c>
      <c r="E8" s="63" t="s">
        <v>71</v>
      </c>
      <c r="F8" s="60" t="s">
        <v>26</v>
      </c>
      <c r="G8" s="47">
        <v>3</v>
      </c>
      <c r="H8" s="133">
        <f>IF(B$17=0,0,G8/B$17)</f>
        <v>0.14285714285714285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>
      <c r="A9" s="56" t="s">
        <v>4</v>
      </c>
      <c r="B9" s="48">
        <v>3</v>
      </c>
      <c r="C9" s="40">
        <f t="shared" si="1"/>
        <v>0.33333333333333331</v>
      </c>
      <c r="E9" s="63" t="s">
        <v>72</v>
      </c>
      <c r="F9" s="60" t="s">
        <v>27</v>
      </c>
      <c r="G9" s="47">
        <v>3</v>
      </c>
      <c r="H9" s="133">
        <f>IF(B$17=0,0,G9/B$17)</f>
        <v>0.14285714285714285</v>
      </c>
      <c r="I9" s="94">
        <v>3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12</v>
      </c>
      <c r="H10" s="133">
        <f>IF(B$17=0,0,G10/B$17)</f>
        <v>0.5714285714285714</v>
      </c>
      <c r="I10" s="94">
        <v>4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>
      <c r="A12" s="57" t="s">
        <v>159</v>
      </c>
      <c r="B12" s="49">
        <v>2</v>
      </c>
      <c r="C12" s="42">
        <f t="shared" si="1"/>
        <v>0.22222222222222221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>
      <c r="A13" s="58" t="s">
        <v>122</v>
      </c>
      <c r="B13" s="50">
        <v>21</v>
      </c>
      <c r="C13" s="44">
        <f>IF(B$3=0,0,B13/B$3)</f>
        <v>0.2413793103448276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23</v>
      </c>
      <c r="C14" s="39">
        <f>IF(B$3=0,0,B14/B$3)</f>
        <v>0.26436781609195403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11</v>
      </c>
      <c r="C15" s="37">
        <f>IF(B$13=0,0,B15/B$13)</f>
        <v>0.52380952380952384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>
      <c r="A16" s="54" t="s">
        <v>125</v>
      </c>
      <c r="B16" s="46">
        <v>6</v>
      </c>
      <c r="C16" s="37">
        <f>IF(B$14=0,0,B16/B$14)</f>
        <v>0.2608695652173913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5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>
      <c r="A18" s="55" t="s">
        <v>12</v>
      </c>
      <c r="B18" s="47">
        <v>11</v>
      </c>
      <c r="C18" s="39">
        <f>IF(B$17=0,0,B18/B$17)</f>
        <v>0.52380952380952384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>
      <c r="A19" s="55" t="s">
        <v>11</v>
      </c>
      <c r="B19" s="47">
        <v>10</v>
      </c>
      <c r="C19" s="39">
        <f>IF(B$17=0,0,B19/B$17)</f>
        <v>0.47619047619047616</v>
      </c>
      <c r="E19" s="63" t="s">
        <v>82</v>
      </c>
      <c r="F19" s="60" t="s">
        <v>37</v>
      </c>
      <c r="G19" s="47">
        <v>1</v>
      </c>
      <c r="H19" s="133">
        <f>IF(B$17=0,0,G19/B$17)</f>
        <v>4.7619047619047616E-2</v>
      </c>
      <c r="I19" s="94">
        <v>2</v>
      </c>
    </row>
    <row r="20" spans="1:17">
      <c r="A20" s="55" t="s">
        <v>13</v>
      </c>
      <c r="B20" s="47">
        <v>17</v>
      </c>
      <c r="C20" s="39">
        <f>IF(B$3=0,0,B20/B$3)</f>
        <v>0.19540229885057472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9.5238095238095233E-2</v>
      </c>
      <c r="I21" s="94">
        <v>3</v>
      </c>
    </row>
    <row r="22" spans="1:17">
      <c r="A22" s="55" t="s">
        <v>171</v>
      </c>
      <c r="B22" s="47">
        <v>17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7576.1904761904761</v>
      </c>
      <c r="C23" s="41">
        <v>159100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>
      <c r="A24" s="57" t="s">
        <v>14</v>
      </c>
      <c r="B24" s="52">
        <f>IF(B$20=0,0,C24/B$20)</f>
        <v>-7552.9411764705883</v>
      </c>
      <c r="C24" s="45">
        <v>-128400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>
      <c r="A25" s="90" t="s">
        <v>141</v>
      </c>
      <c r="B25" s="148">
        <v>3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6">
        <v>49500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1</v>
      </c>
      <c r="C27" s="42">
        <f>IF(B$3=0,0,B27/B$3)</f>
        <v>1.1494252873563218E-2</v>
      </c>
      <c r="E27" s="63" t="s">
        <v>90</v>
      </c>
      <c r="F27" s="60" t="s">
        <v>45</v>
      </c>
      <c r="G27" s="47">
        <v>1</v>
      </c>
      <c r="H27" s="133">
        <f>IF(B$17=0,0,G27/B$17)</f>
        <v>4.7619047619047616E-2</v>
      </c>
      <c r="I27" s="94">
        <v>6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>
      <c r="E51" s="136" t="s">
        <v>172</v>
      </c>
      <c r="F51" s="137" t="s">
        <v>173</v>
      </c>
      <c r="G51" s="48">
        <v>10</v>
      </c>
      <c r="H51" s="138">
        <f>IF(B$17=0,0,G51/B$17)</f>
        <v>0.47619047619047616</v>
      </c>
      <c r="I51" s="139">
        <v>3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20</v>
      </c>
      <c r="C2" s="155"/>
      <c r="E2" s="62" t="s">
        <v>67</v>
      </c>
      <c r="F2" s="59" t="s">
        <v>23</v>
      </c>
      <c r="G2" s="46">
        <v>36</v>
      </c>
      <c r="H2" s="132">
        <f>IF(B$17=0,0,G2/B$17)</f>
        <v>0.51428571428571423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660</v>
      </c>
      <c r="P2" s="118">
        <v>20</v>
      </c>
      <c r="Q2" s="102">
        <v>13200</v>
      </c>
    </row>
    <row r="3" spans="1:17">
      <c r="A3" s="55" t="s">
        <v>8</v>
      </c>
      <c r="B3" s="156">
        <v>186</v>
      </c>
      <c r="C3" s="157"/>
      <c r="E3" s="63" t="s">
        <v>73</v>
      </c>
      <c r="F3" s="60" t="s">
        <v>28</v>
      </c>
      <c r="G3" s="47">
        <v>34</v>
      </c>
      <c r="H3" s="133">
        <f>IF(B$17=0,0,G3/B$17)</f>
        <v>0.48571428571428571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-594.73684210526312</v>
      </c>
      <c r="P3" s="119">
        <v>19</v>
      </c>
      <c r="Q3" s="103">
        <v>-11300</v>
      </c>
    </row>
    <row r="4" spans="1:17">
      <c r="A4" s="55" t="s">
        <v>6</v>
      </c>
      <c r="B4" s="158">
        <v>364.49999999999994</v>
      </c>
      <c r="C4" s="159"/>
      <c r="E4" s="63" t="s">
        <v>65</v>
      </c>
      <c r="F4" s="60" t="s">
        <v>21</v>
      </c>
      <c r="G4" s="47">
        <v>29</v>
      </c>
      <c r="H4" s="133">
        <f>IF(B$17=0,0,G4/B$17)</f>
        <v>0.41428571428571431</v>
      </c>
      <c r="I4" s="94">
        <v>6</v>
      </c>
      <c r="K4" s="38">
        <v>2</v>
      </c>
      <c r="L4" s="99">
        <v>14.400000000000006</v>
      </c>
      <c r="N4" s="115" t="s">
        <v>133</v>
      </c>
      <c r="O4" s="122">
        <f t="shared" si="0"/>
        <v>468.42105263157896</v>
      </c>
      <c r="P4" s="119">
        <v>19</v>
      </c>
      <c r="Q4" s="103">
        <v>8900</v>
      </c>
    </row>
    <row r="5" spans="1:17">
      <c r="A5" s="55" t="s">
        <v>7</v>
      </c>
      <c r="B5" s="160">
        <f>IF(B$2=0,0,B$4/B$2)</f>
        <v>18.224999999999998</v>
      </c>
      <c r="C5" s="161"/>
      <c r="E5" s="63" t="s">
        <v>172</v>
      </c>
      <c r="F5" s="60" t="s">
        <v>173</v>
      </c>
      <c r="G5" s="47">
        <v>20</v>
      </c>
      <c r="H5" s="133">
        <f>IF(B$17=0,0,G5/B$17)</f>
        <v>0.2857142857142857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100</v>
      </c>
      <c r="P5" s="119">
        <v>19</v>
      </c>
      <c r="Q5" s="103">
        <v>1900</v>
      </c>
    </row>
    <row r="6" spans="1:17">
      <c r="A6" s="55" t="s">
        <v>1</v>
      </c>
      <c r="B6" s="150">
        <f>IF(B$2=0,0,(B$7*1+B$8*2+B$9*3)/B$2)</f>
        <v>1.5</v>
      </c>
      <c r="C6" s="151"/>
      <c r="E6" s="63" t="s">
        <v>68</v>
      </c>
      <c r="F6" s="60" t="s">
        <v>24</v>
      </c>
      <c r="G6" s="47">
        <v>19</v>
      </c>
      <c r="H6" s="133">
        <f>IF(B$17=0,0,G6/B$17)</f>
        <v>0.27142857142857141</v>
      </c>
      <c r="I6" s="94">
        <v>5</v>
      </c>
      <c r="K6" s="38">
        <v>4</v>
      </c>
      <c r="L6" s="99">
        <v>101.60000000000001</v>
      </c>
      <c r="N6" s="115" t="s">
        <v>135</v>
      </c>
      <c r="O6" s="122">
        <f t="shared" si="0"/>
        <v>6035.2941176470586</v>
      </c>
      <c r="P6" s="119">
        <v>17</v>
      </c>
      <c r="Q6" s="103">
        <v>102600</v>
      </c>
    </row>
    <row r="7" spans="1:17">
      <c r="A7" s="55" t="s">
        <v>2</v>
      </c>
      <c r="B7" s="47">
        <v>13</v>
      </c>
      <c r="C7" s="39">
        <f t="shared" ref="C7:C12" si="1">IF(B$2=0,0,B7/B$2)</f>
        <v>0.65</v>
      </c>
      <c r="E7" s="63" t="s">
        <v>69</v>
      </c>
      <c r="F7" s="60" t="s">
        <v>12</v>
      </c>
      <c r="G7" s="47">
        <v>19</v>
      </c>
      <c r="H7" s="133">
        <f>IF(B$17=0,0,G7/B$17)</f>
        <v>0.27142857142857141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8066.666666666667</v>
      </c>
      <c r="P7" s="120">
        <v>15</v>
      </c>
      <c r="Q7" s="104">
        <v>121000</v>
      </c>
    </row>
    <row r="8" spans="1:17">
      <c r="A8" s="55" t="s">
        <v>3</v>
      </c>
      <c r="B8" s="47">
        <v>4</v>
      </c>
      <c r="C8" s="39">
        <f t="shared" si="1"/>
        <v>0.2</v>
      </c>
      <c r="E8" s="63" t="s">
        <v>90</v>
      </c>
      <c r="F8" s="60" t="s">
        <v>45</v>
      </c>
      <c r="G8" s="47">
        <v>10</v>
      </c>
      <c r="H8" s="133">
        <f>IF(B$17=0,0,G8/B$17)</f>
        <v>0.14285714285714285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>
      <c r="A9" s="56" t="s">
        <v>4</v>
      </c>
      <c r="B9" s="48">
        <v>3</v>
      </c>
      <c r="C9" s="40">
        <f t="shared" si="1"/>
        <v>0.15</v>
      </c>
      <c r="E9" s="63" t="s">
        <v>70</v>
      </c>
      <c r="F9" s="60" t="s">
        <v>25</v>
      </c>
      <c r="G9" s="47">
        <v>9</v>
      </c>
      <c r="H9" s="133">
        <f>IF(B$17=0,0,G9/B$17)</f>
        <v>0.12857142857142856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7</v>
      </c>
      <c r="H10" s="133">
        <f>IF(B$17=0,0,G10/B$17)</f>
        <v>0.1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>
      <c r="A11" s="56" t="s">
        <v>139</v>
      </c>
      <c r="B11" s="48">
        <v>4</v>
      </c>
      <c r="C11" s="40">
        <f t="shared" si="1"/>
        <v>0.2</v>
      </c>
      <c r="E11" s="63" t="s">
        <v>72</v>
      </c>
      <c r="F11" s="60" t="s">
        <v>27</v>
      </c>
      <c r="G11" s="47">
        <v>5</v>
      </c>
      <c r="H11" s="133">
        <f>IF(B$17=0,0,G11/B$17)</f>
        <v>7.1428571428571425E-2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>
      <c r="A12" s="57" t="s">
        <v>159</v>
      </c>
      <c r="B12" s="49">
        <v>4</v>
      </c>
      <c r="C12" s="42">
        <f t="shared" si="1"/>
        <v>0.2</v>
      </c>
      <c r="E12" s="63" t="s">
        <v>71</v>
      </c>
      <c r="F12" s="60" t="s">
        <v>26</v>
      </c>
      <c r="G12" s="47">
        <v>4</v>
      </c>
      <c r="H12" s="133">
        <f>IF(B$17=0,0,G12/B$17)</f>
        <v>5.7142857142857141E-2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18.583333333333332</v>
      </c>
      <c r="P12" s="120">
        <v>6</v>
      </c>
      <c r="Q12" s="108">
        <v>111.49999999999999</v>
      </c>
    </row>
    <row r="13" spans="1:17">
      <c r="A13" s="58" t="s">
        <v>122</v>
      </c>
      <c r="B13" s="50">
        <v>52</v>
      </c>
      <c r="C13" s="44">
        <f>IF(B$3=0,0,B13/B$3)</f>
        <v>0.27956989247311825</v>
      </c>
      <c r="E13" s="63" t="s">
        <v>87</v>
      </c>
      <c r="F13" s="60" t="s">
        <v>42</v>
      </c>
      <c r="G13" s="47">
        <v>4</v>
      </c>
      <c r="H13" s="133">
        <f>IF(B$17=0,0,G13/B$17)</f>
        <v>5.7142857142857141E-2</v>
      </c>
      <c r="I13" s="94">
        <v>2</v>
      </c>
      <c r="K13" s="38">
        <v>11</v>
      </c>
      <c r="L13" s="99">
        <v>184.2</v>
      </c>
      <c r="N13" s="33"/>
      <c r="O13" s="110"/>
      <c r="P13" s="112"/>
      <c r="Q13" s="110"/>
    </row>
    <row r="14" spans="1:17">
      <c r="A14" s="55" t="s">
        <v>119</v>
      </c>
      <c r="B14" s="47">
        <v>41</v>
      </c>
      <c r="C14" s="39">
        <f>IF(B$3=0,0,B14/B$3)</f>
        <v>0.22043010752688172</v>
      </c>
      <c r="E14" s="63" t="s">
        <v>78</v>
      </c>
      <c r="F14" s="60" t="s">
        <v>33</v>
      </c>
      <c r="G14" s="47">
        <v>2</v>
      </c>
      <c r="H14" s="133">
        <f>IF(B$17=0,0,G14/B$17)</f>
        <v>2.8571428571428571E-2</v>
      </c>
      <c r="I14" s="94">
        <v>1</v>
      </c>
      <c r="K14" s="38">
        <v>12</v>
      </c>
      <c r="L14" s="99">
        <v>183.89999999999998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31</v>
      </c>
      <c r="C15" s="37">
        <f>IF(B$13=0,0,B15/B$13)</f>
        <v>0.59615384615384615</v>
      </c>
      <c r="E15" s="63" t="s">
        <v>79</v>
      </c>
      <c r="F15" s="60" t="s">
        <v>34</v>
      </c>
      <c r="G15" s="47">
        <v>2</v>
      </c>
      <c r="H15" s="133">
        <f>IF(B$17=0,0,G15/B$17)</f>
        <v>2.8571428571428571E-2</v>
      </c>
      <c r="I15" s="94">
        <v>2</v>
      </c>
      <c r="K15" s="38">
        <v>13</v>
      </c>
      <c r="L15" s="99">
        <v>205.39999999999998</v>
      </c>
      <c r="N15" s="114" t="s">
        <v>179</v>
      </c>
      <c r="O15" s="124">
        <f>IF(P15=0,0,Q15/P15)</f>
        <v>100</v>
      </c>
      <c r="P15" s="118">
        <v>1</v>
      </c>
      <c r="Q15" s="106">
        <v>100</v>
      </c>
    </row>
    <row r="16" spans="1:17">
      <c r="A16" s="54" t="s">
        <v>125</v>
      </c>
      <c r="B16" s="46">
        <v>24</v>
      </c>
      <c r="C16" s="37">
        <f>IF(B$14=0,0,B16/B$14)</f>
        <v>0.58536585365853655</v>
      </c>
      <c r="E16" s="63" t="s">
        <v>84</v>
      </c>
      <c r="F16" s="60" t="s">
        <v>39</v>
      </c>
      <c r="G16" s="47">
        <v>2</v>
      </c>
      <c r="H16" s="133">
        <f>IF(B$17=0,0,G16/B$17)</f>
        <v>2.8571428571428571E-2</v>
      </c>
      <c r="I16" s="94">
        <v>6</v>
      </c>
      <c r="K16" s="38">
        <v>14</v>
      </c>
      <c r="L16" s="99">
        <v>239.09999999999997</v>
      </c>
      <c r="N16" s="115" t="s">
        <v>180</v>
      </c>
      <c r="O16" s="125">
        <f>IF(P16=0,0,Q16/P16)</f>
        <v>38.027272727272731</v>
      </c>
      <c r="P16" s="119">
        <v>11</v>
      </c>
      <c r="Q16" s="107">
        <v>418.3</v>
      </c>
    </row>
    <row r="17" spans="1:17">
      <c r="A17" s="54" t="s">
        <v>10</v>
      </c>
      <c r="B17" s="46">
        <f>B19+B18</f>
        <v>70</v>
      </c>
      <c r="C17" s="37">
        <f>IF(B$3=0,0,B17/B$3)</f>
        <v>0.37634408602150538</v>
      </c>
      <c r="E17" s="63" t="s">
        <v>85</v>
      </c>
      <c r="F17" s="60" t="s">
        <v>40</v>
      </c>
      <c r="G17" s="47">
        <v>2</v>
      </c>
      <c r="H17" s="133">
        <f>IF(B$17=0,0,G17/B$17)</f>
        <v>2.8571428571428571E-2</v>
      </c>
      <c r="I17" s="94">
        <v>1</v>
      </c>
      <c r="K17" s="38">
        <v>15</v>
      </c>
      <c r="L17" s="99">
        <v>268.49999999999994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>
      <c r="A18" s="55" t="s">
        <v>12</v>
      </c>
      <c r="B18" s="47">
        <v>33</v>
      </c>
      <c r="C18" s="39">
        <f>IF(B$17=0,0,B18/B$17)</f>
        <v>0.47142857142857142</v>
      </c>
      <c r="E18" s="63" t="s">
        <v>82</v>
      </c>
      <c r="F18" s="60" t="s">
        <v>37</v>
      </c>
      <c r="G18" s="47">
        <v>1</v>
      </c>
      <c r="H18" s="133">
        <f>IF(B$17=0,0,G18/B$17)</f>
        <v>1.4285714285714285E-2</v>
      </c>
      <c r="I18" s="94">
        <v>5</v>
      </c>
      <c r="K18" s="38">
        <v>16</v>
      </c>
      <c r="L18" s="99">
        <v>322.69999999999993</v>
      </c>
      <c r="N18" s="115" t="s">
        <v>128</v>
      </c>
      <c r="O18" s="125">
        <f>IF(P18=0,0,Q18/P18)</f>
        <v>22.094736842105259</v>
      </c>
      <c r="P18" s="119">
        <v>19</v>
      </c>
      <c r="Q18" s="107">
        <v>419.79999999999995</v>
      </c>
    </row>
    <row r="19" spans="1:17">
      <c r="A19" s="55" t="s">
        <v>11</v>
      </c>
      <c r="B19" s="47">
        <v>37</v>
      </c>
      <c r="C19" s="39">
        <f>IF(B$17=0,0,B19/B$17)</f>
        <v>0.52857142857142858</v>
      </c>
      <c r="E19" s="63" t="s">
        <v>86</v>
      </c>
      <c r="F19" s="60" t="s">
        <v>41</v>
      </c>
      <c r="G19" s="47">
        <v>1</v>
      </c>
      <c r="H19" s="133">
        <f>IF(B$17=0,0,G19/B$17)</f>
        <v>1.4285714285714285E-2</v>
      </c>
      <c r="I19" s="94">
        <v>2</v>
      </c>
      <c r="K19" s="38">
        <v>17</v>
      </c>
      <c r="L19" s="99">
        <v>358.09999999999991</v>
      </c>
      <c r="N19" s="115" t="s">
        <v>167</v>
      </c>
      <c r="O19" s="125">
        <f>IF(P19=0,0,Q19/P19)</f>
        <v>16.087499999999999</v>
      </c>
      <c r="P19" s="119">
        <v>8</v>
      </c>
      <c r="Q19" s="107">
        <v>128.69999999999999</v>
      </c>
    </row>
    <row r="20" spans="1:17">
      <c r="A20" s="55" t="s">
        <v>13</v>
      </c>
      <c r="B20" s="47">
        <v>25</v>
      </c>
      <c r="C20" s="39">
        <f>IF(B$3=0,0,B20/B$3)</f>
        <v>0.13440860215053763</v>
      </c>
      <c r="E20" s="63" t="s">
        <v>89</v>
      </c>
      <c r="F20" s="60" t="s">
        <v>44</v>
      </c>
      <c r="G20" s="47">
        <v>1</v>
      </c>
      <c r="H20" s="133">
        <f>IF(B$17=0,0,G20/B$17)</f>
        <v>1.4285714285714285E-2</v>
      </c>
      <c r="I20" s="94">
        <v>1</v>
      </c>
      <c r="K20" s="38">
        <v>18</v>
      </c>
      <c r="L20" s="99">
        <v>351.39999999999992</v>
      </c>
    </row>
    <row r="21" spans="1:17">
      <c r="A21" s="55" t="s">
        <v>170</v>
      </c>
      <c r="B21" s="47">
        <v>5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1.4285714285714285E-2</v>
      </c>
      <c r="I21" s="94">
        <v>3</v>
      </c>
      <c r="K21" s="38">
        <v>19</v>
      </c>
      <c r="L21" s="99">
        <v>382.19999999999993</v>
      </c>
    </row>
    <row r="22" spans="1:17">
      <c r="A22" s="55" t="s">
        <v>171</v>
      </c>
      <c r="B22" s="47">
        <v>27</v>
      </c>
      <c r="C22" s="135">
        <v>5</v>
      </c>
      <c r="E22" s="63" t="s">
        <v>93</v>
      </c>
      <c r="F22" s="60" t="s">
        <v>48</v>
      </c>
      <c r="G22" s="47">
        <v>1</v>
      </c>
      <c r="H22" s="133">
        <f>IF(B$17=0,0,G22/B$17)</f>
        <v>1.4285714285714285E-2</v>
      </c>
      <c r="I22" s="94">
        <v>1</v>
      </c>
      <c r="K22" s="38">
        <v>20</v>
      </c>
      <c r="L22" s="99">
        <v>364.49999999999994</v>
      </c>
    </row>
    <row r="23" spans="1:17">
      <c r="A23" s="55" t="s">
        <v>5</v>
      </c>
      <c r="B23" s="51">
        <f>IF(B$17=0,0,C23/B$17)</f>
        <v>7888.5714285714284</v>
      </c>
      <c r="C23" s="41">
        <v>552200</v>
      </c>
      <c r="E23" s="63" t="s">
        <v>96</v>
      </c>
      <c r="F23" s="60" t="s">
        <v>51</v>
      </c>
      <c r="G23" s="47">
        <v>1</v>
      </c>
      <c r="H23" s="133">
        <f>IF(B$17=0,0,G23/B$17)</f>
        <v>1.4285714285714285E-2</v>
      </c>
      <c r="I23" s="94">
        <v>1</v>
      </c>
    </row>
    <row r="24" spans="1:17">
      <c r="A24" s="57" t="s">
        <v>14</v>
      </c>
      <c r="B24" s="52">
        <f>IF(B$20=0,0,C24/B$20)</f>
        <v>-6096</v>
      </c>
      <c r="C24" s="45">
        <v>-152400</v>
      </c>
      <c r="E24" s="63" t="s">
        <v>168</v>
      </c>
      <c r="F24" s="60" t="s">
        <v>169</v>
      </c>
      <c r="G24" s="47">
        <v>1</v>
      </c>
      <c r="H24" s="133">
        <f>IF(B$17=0,0,G24/B$17)</f>
        <v>1.4285714285714285E-2</v>
      </c>
      <c r="I24" s="94">
        <v>1</v>
      </c>
    </row>
    <row r="25" spans="1:17">
      <c r="A25" s="90" t="s">
        <v>141</v>
      </c>
      <c r="B25" s="148">
        <v>6</v>
      </c>
      <c r="C25" s="149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6">
        <v>86200</v>
      </c>
      <c r="C26" s="147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1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76</v>
      </c>
      <c r="F27" s="60" t="s">
        <v>31</v>
      </c>
      <c r="G27" s="47">
        <v>0</v>
      </c>
      <c r="H27" s="133">
        <f>IF(B$17=0,0,G27/B$17)</f>
        <v>0</v>
      </c>
      <c r="I27" s="94">
        <v>1</v>
      </c>
    </row>
    <row r="28" spans="1:17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</row>
    <row r="29" spans="1:17">
      <c r="E29" s="63" t="s">
        <v>80</v>
      </c>
      <c r="F29" s="60" t="s">
        <v>35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</row>
    <row r="31" spans="1:17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3</v>
      </c>
    </row>
    <row r="33" spans="5:9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topLeftCell="K1" zoomScaleNormal="100" workbookViewId="0">
      <selection activeCell="P16" sqref="P16"/>
    </sheetView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20</v>
      </c>
      <c r="C2" s="155"/>
      <c r="E2" s="62" t="s">
        <v>67</v>
      </c>
      <c r="F2" s="59" t="s">
        <v>23</v>
      </c>
      <c r="G2" s="46">
        <v>57</v>
      </c>
      <c r="H2" s="132">
        <f>IF(B$17=0,0,G2/B$17)</f>
        <v>1.0178571428571428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1315</v>
      </c>
      <c r="P2" s="118">
        <v>20</v>
      </c>
      <c r="Q2" s="102">
        <v>26300</v>
      </c>
    </row>
    <row r="3" spans="1:17">
      <c r="A3" s="55" t="s">
        <v>8</v>
      </c>
      <c r="B3" s="156">
        <v>183</v>
      </c>
      <c r="C3" s="157"/>
      <c r="E3" s="63" t="s">
        <v>73</v>
      </c>
      <c r="F3" s="60" t="s">
        <v>28</v>
      </c>
      <c r="G3" s="47">
        <v>36</v>
      </c>
      <c r="H3" s="133">
        <f>IF(B$17=0,0,G3/B$17)</f>
        <v>0.6428571428571429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1889.4736842105262</v>
      </c>
      <c r="P3" s="119">
        <v>19</v>
      </c>
      <c r="Q3" s="103">
        <v>35900</v>
      </c>
    </row>
    <row r="4" spans="1:17">
      <c r="A4" s="55" t="s">
        <v>6</v>
      </c>
      <c r="B4" s="158">
        <v>-96.000000000000028</v>
      </c>
      <c r="C4" s="159"/>
      <c r="E4" s="63" t="s">
        <v>65</v>
      </c>
      <c r="F4" s="60" t="s">
        <v>21</v>
      </c>
      <c r="G4" s="47">
        <v>22</v>
      </c>
      <c r="H4" s="133">
        <f>IF(B$17=0,0,G4/B$17)</f>
        <v>0.39285714285714285</v>
      </c>
      <c r="I4" s="94">
        <v>8</v>
      </c>
      <c r="K4" s="38">
        <v>2</v>
      </c>
      <c r="L4" s="99">
        <v>-34.299999999999997</v>
      </c>
      <c r="N4" s="115" t="s">
        <v>133</v>
      </c>
      <c r="O4" s="122">
        <f t="shared" si="0"/>
        <v>-1347.3684210526317</v>
      </c>
      <c r="P4" s="119">
        <v>19</v>
      </c>
      <c r="Q4" s="103">
        <v>-25600</v>
      </c>
    </row>
    <row r="5" spans="1:17">
      <c r="A5" s="55" t="s">
        <v>7</v>
      </c>
      <c r="B5" s="160">
        <f>IF(B$2=0,0,B$4/B$2)</f>
        <v>-4.8000000000000016</v>
      </c>
      <c r="C5" s="161"/>
      <c r="E5" s="63" t="s">
        <v>172</v>
      </c>
      <c r="F5" s="60" t="s">
        <v>173</v>
      </c>
      <c r="G5" s="47">
        <v>20</v>
      </c>
      <c r="H5" s="133">
        <f>IF(B$17=0,0,G5/B$17)</f>
        <v>0.35714285714285715</v>
      </c>
      <c r="I5" s="94">
        <v>5</v>
      </c>
      <c r="K5" s="38">
        <v>3</v>
      </c>
      <c r="L5" s="99">
        <v>-58.599999999999994</v>
      </c>
      <c r="N5" s="115" t="s">
        <v>134</v>
      </c>
      <c r="O5" s="122">
        <f t="shared" si="0"/>
        <v>4663.1578947368425</v>
      </c>
      <c r="P5" s="119">
        <v>19</v>
      </c>
      <c r="Q5" s="103">
        <v>88600</v>
      </c>
    </row>
    <row r="6" spans="1:17">
      <c r="A6" s="55" t="s">
        <v>1</v>
      </c>
      <c r="B6" s="150">
        <f>IF(B$2=0,0,(B$7*1+B$8*2+B$9*3)/B$2)</f>
        <v>2.2000000000000002</v>
      </c>
      <c r="C6" s="151"/>
      <c r="E6" s="63" t="s">
        <v>68</v>
      </c>
      <c r="F6" s="60" t="s">
        <v>24</v>
      </c>
      <c r="G6" s="47">
        <v>15</v>
      </c>
      <c r="H6" s="133">
        <f>IF(B$17=0,0,G6/B$17)</f>
        <v>0.26785714285714285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-3252.9411764705883</v>
      </c>
      <c r="P6" s="119">
        <v>17</v>
      </c>
      <c r="Q6" s="103">
        <v>-55300</v>
      </c>
    </row>
    <row r="7" spans="1:17">
      <c r="A7" s="55" t="s">
        <v>2</v>
      </c>
      <c r="B7" s="47">
        <v>4</v>
      </c>
      <c r="C7" s="39">
        <f t="shared" ref="C7:C12" si="1">IF(B$2=0,0,B7/B$2)</f>
        <v>0.2</v>
      </c>
      <c r="E7" s="63" t="s">
        <v>69</v>
      </c>
      <c r="F7" s="60" t="s">
        <v>12</v>
      </c>
      <c r="G7" s="47">
        <v>12</v>
      </c>
      <c r="H7" s="133">
        <f>IF(B$17=0,0,G7/B$17)</f>
        <v>0.21428571428571427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>
      <c r="A8" s="55" t="s">
        <v>3</v>
      </c>
      <c r="B8" s="47">
        <v>8</v>
      </c>
      <c r="C8" s="39">
        <f t="shared" si="1"/>
        <v>0.4</v>
      </c>
      <c r="E8" s="63" t="s">
        <v>70</v>
      </c>
      <c r="F8" s="60" t="s">
        <v>25</v>
      </c>
      <c r="G8" s="47">
        <v>8</v>
      </c>
      <c r="H8" s="133">
        <f>IF(B$17=0,0,G8/B$17)</f>
        <v>0.14285714285714285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>
      <c r="A9" s="56" t="s">
        <v>4</v>
      </c>
      <c r="B9" s="48">
        <v>8</v>
      </c>
      <c r="C9" s="40">
        <f t="shared" si="1"/>
        <v>0.4</v>
      </c>
      <c r="E9" s="63" t="s">
        <v>90</v>
      </c>
      <c r="F9" s="60" t="s">
        <v>45</v>
      </c>
      <c r="G9" s="47">
        <v>7</v>
      </c>
      <c r="H9" s="133">
        <f>IF(B$17=0,0,G9/B$17)</f>
        <v>0.125</v>
      </c>
      <c r="I9" s="94">
        <v>3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4</v>
      </c>
      <c r="C10" s="40">
        <f t="shared" si="1"/>
        <v>0.2</v>
      </c>
      <c r="E10" s="63" t="s">
        <v>87</v>
      </c>
      <c r="F10" s="60" t="s">
        <v>42</v>
      </c>
      <c r="G10" s="47">
        <v>5</v>
      </c>
      <c r="H10" s="133">
        <f>IF(B$17=0,0,G10/B$17)</f>
        <v>8.9285714285714288E-2</v>
      </c>
      <c r="I10" s="94">
        <v>1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>
      <c r="A11" s="56" t="s">
        <v>139</v>
      </c>
      <c r="B11" s="48">
        <v>2</v>
      </c>
      <c r="C11" s="40">
        <f t="shared" si="1"/>
        <v>0.1</v>
      </c>
      <c r="E11" s="63" t="s">
        <v>66</v>
      </c>
      <c r="F11" s="60" t="s">
        <v>22</v>
      </c>
      <c r="G11" s="47">
        <v>4</v>
      </c>
      <c r="H11" s="133">
        <f>IF(B$17=0,0,G11/B$17)</f>
        <v>7.1428571428571425E-2</v>
      </c>
      <c r="I11" s="94">
        <v>7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>
      <c r="A12" s="57" t="s">
        <v>159</v>
      </c>
      <c r="B12" s="49">
        <v>2</v>
      </c>
      <c r="C12" s="42">
        <f t="shared" si="1"/>
        <v>0.1</v>
      </c>
      <c r="E12" s="63" t="s">
        <v>84</v>
      </c>
      <c r="F12" s="60" t="s">
        <v>39</v>
      </c>
      <c r="G12" s="47">
        <v>2</v>
      </c>
      <c r="H12" s="133">
        <f>IF(B$17=0,0,G12/B$17)</f>
        <v>3.5714285714285712E-2</v>
      </c>
      <c r="I12" s="94">
        <v>5</v>
      </c>
      <c r="K12" s="38">
        <v>10</v>
      </c>
      <c r="L12" s="99">
        <v>-78.399999999999991</v>
      </c>
      <c r="N12" s="116" t="s">
        <v>165</v>
      </c>
      <c r="O12" s="126">
        <f>IF(P12=0,0,Q12/P12)</f>
        <v>-20.725000000000001</v>
      </c>
      <c r="P12" s="120">
        <v>8</v>
      </c>
      <c r="Q12" s="108">
        <v>-165.8</v>
      </c>
    </row>
    <row r="13" spans="1:17">
      <c r="A13" s="58" t="s">
        <v>122</v>
      </c>
      <c r="B13" s="50">
        <v>38</v>
      </c>
      <c r="C13" s="44">
        <f>IF(B$3=0,0,B13/B$3)</f>
        <v>0.20765027322404372</v>
      </c>
      <c r="E13" s="63" t="s">
        <v>92</v>
      </c>
      <c r="F13" s="60" t="s">
        <v>47</v>
      </c>
      <c r="G13" s="47">
        <v>2</v>
      </c>
      <c r="H13" s="133">
        <f>IF(B$17=0,0,G13/B$17)</f>
        <v>3.5714285714285712E-2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>
      <c r="A14" s="55" t="s">
        <v>119</v>
      </c>
      <c r="B14" s="47">
        <v>51</v>
      </c>
      <c r="C14" s="39">
        <f>IF(B$3=0,0,B14/B$3)</f>
        <v>0.27868852459016391</v>
      </c>
      <c r="E14" s="63" t="s">
        <v>71</v>
      </c>
      <c r="F14" s="60" t="s">
        <v>26</v>
      </c>
      <c r="G14" s="47">
        <v>1</v>
      </c>
      <c r="H14" s="133">
        <f>IF(B$17=0,0,G14/B$17)</f>
        <v>1.7857142857142856E-2</v>
      </c>
      <c r="I14" s="94">
        <v>7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20</v>
      </c>
      <c r="C15" s="37">
        <f>IF(B$13=0,0,B15/B$13)</f>
        <v>0.52631578947368418</v>
      </c>
      <c r="E15" s="63" t="s">
        <v>72</v>
      </c>
      <c r="F15" s="60" t="s">
        <v>27</v>
      </c>
      <c r="G15" s="47">
        <v>1</v>
      </c>
      <c r="H15" s="133">
        <f>IF(B$17=0,0,G15/B$17)</f>
        <v>1.7857142857142856E-2</v>
      </c>
      <c r="I15" s="94">
        <v>7</v>
      </c>
      <c r="K15" s="38">
        <v>13</v>
      </c>
      <c r="L15" s="99">
        <v>-86.8</v>
      </c>
      <c r="N15" s="114" t="s">
        <v>180</v>
      </c>
      <c r="O15" s="124">
        <f>IF(P15=0,0,Q15/P15)</f>
        <v>10.424999999999999</v>
      </c>
      <c r="P15" s="118">
        <v>12</v>
      </c>
      <c r="Q15" s="106">
        <v>125.1</v>
      </c>
    </row>
    <row r="16" spans="1:17">
      <c r="A16" s="54" t="s">
        <v>125</v>
      </c>
      <c r="B16" s="46">
        <v>25</v>
      </c>
      <c r="C16" s="37">
        <f>IF(B$14=0,0,B16/B$14)</f>
        <v>0.49019607843137253</v>
      </c>
      <c r="E16" s="63" t="s">
        <v>79</v>
      </c>
      <c r="F16" s="60" t="s">
        <v>34</v>
      </c>
      <c r="G16" s="47">
        <v>1</v>
      </c>
      <c r="H16" s="133">
        <f>IF(B$17=0,0,G16/B$17)</f>
        <v>1.7857142857142856E-2</v>
      </c>
      <c r="I16" s="94">
        <v>4</v>
      </c>
      <c r="K16" s="38">
        <v>14</v>
      </c>
      <c r="L16" s="99">
        <v>-138.4</v>
      </c>
      <c r="N16" s="115" t="s">
        <v>167</v>
      </c>
      <c r="O16" s="125">
        <f>IF(P16=0,0,Q16/P16)</f>
        <v>3.7874999999999988</v>
      </c>
      <c r="P16" s="119">
        <v>8</v>
      </c>
      <c r="Q16" s="107">
        <v>30.29999999999999</v>
      </c>
    </row>
    <row r="17" spans="1:17">
      <c r="A17" s="54" t="s">
        <v>10</v>
      </c>
      <c r="B17" s="46">
        <f>B19+B18</f>
        <v>56</v>
      </c>
      <c r="C17" s="37">
        <f>IF(B$3=0,0,B17/B$3)</f>
        <v>0.30601092896174864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-144.30000000000001</v>
      </c>
      <c r="N17" s="115" t="s">
        <v>127</v>
      </c>
      <c r="O17" s="125">
        <f>IF(P17=0,0,Q17/P17)</f>
        <v>-22.094736842105259</v>
      </c>
      <c r="P17" s="119">
        <v>19</v>
      </c>
      <c r="Q17" s="107">
        <v>-419.7999999999999</v>
      </c>
    </row>
    <row r="18" spans="1:17">
      <c r="A18" s="55" t="s">
        <v>12</v>
      </c>
      <c r="B18" s="47">
        <v>16</v>
      </c>
      <c r="C18" s="39">
        <f>IF(B$17=0,0,B18/B$17)</f>
        <v>0.2857142857142857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182</v>
      </c>
      <c r="O18" s="125">
        <f>IF(P18=0,0,Q18/P18)</f>
        <v>-22.6</v>
      </c>
      <c r="P18" s="119">
        <v>1</v>
      </c>
      <c r="Q18" s="107">
        <v>-22.6</v>
      </c>
    </row>
    <row r="19" spans="1:17">
      <c r="A19" s="55" t="s">
        <v>11</v>
      </c>
      <c r="B19" s="47">
        <v>40</v>
      </c>
      <c r="C19" s="39">
        <f>IF(B$17=0,0,B19/B$17)</f>
        <v>0.7142857142857143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</row>
    <row r="20" spans="1:17">
      <c r="A20" s="55" t="s">
        <v>13</v>
      </c>
      <c r="B20" s="47">
        <v>36</v>
      </c>
      <c r="C20" s="39">
        <f>IF(B$3=0,0,B20/B$3)</f>
        <v>0.19672131147540983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</row>
    <row r="21" spans="1:17">
      <c r="A21" s="55" t="s">
        <v>170</v>
      </c>
      <c r="B21" s="47">
        <v>4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</row>
    <row r="22" spans="1:17">
      <c r="A22" s="55" t="s">
        <v>171</v>
      </c>
      <c r="B22" s="47">
        <v>23</v>
      </c>
      <c r="C22" s="135">
        <v>10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>
      <c r="A23" s="55" t="s">
        <v>5</v>
      </c>
      <c r="B23" s="51">
        <f>IF(B$17=0,0,C23/B$17)</f>
        <v>8237.5</v>
      </c>
      <c r="C23" s="41">
        <v>461300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>
      <c r="A24" s="57" t="s">
        <v>14</v>
      </c>
      <c r="B24" s="52">
        <f>IF(B$20=0,0,C24/B$20)</f>
        <v>-7880.5555555555557</v>
      </c>
      <c r="C24" s="45">
        <v>-283700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6</v>
      </c>
    </row>
    <row r="25" spans="1:17">
      <c r="A25" s="90" t="s">
        <v>141</v>
      </c>
      <c r="B25" s="148">
        <v>5</v>
      </c>
      <c r="C25" s="149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6">
        <v>91800</v>
      </c>
      <c r="C26" s="147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1</v>
      </c>
      <c r="C27" s="42">
        <f>IF(B$3=0,0,B27/B$3)</f>
        <v>5.4644808743169399E-3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13</v>
      </c>
      <c r="C2" s="155"/>
      <c r="E2" s="62" t="s">
        <v>67</v>
      </c>
      <c r="F2" s="59" t="s">
        <v>23</v>
      </c>
      <c r="G2" s="46">
        <v>23</v>
      </c>
      <c r="H2" s="132">
        <f>IF(B$17=0,0,G2/B$17)</f>
        <v>0.8214285714285714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>
      <c r="A3" s="55" t="s">
        <v>8</v>
      </c>
      <c r="B3" s="156">
        <v>119</v>
      </c>
      <c r="C3" s="157"/>
      <c r="E3" s="63" t="s">
        <v>65</v>
      </c>
      <c r="F3" s="60" t="s">
        <v>21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>
      <c r="A4" s="55" t="s">
        <v>6</v>
      </c>
      <c r="B4" s="158">
        <v>-207.3</v>
      </c>
      <c r="C4" s="159"/>
      <c r="E4" s="63" t="s">
        <v>73</v>
      </c>
      <c r="F4" s="60" t="s">
        <v>28</v>
      </c>
      <c r="G4" s="47">
        <v>13</v>
      </c>
      <c r="H4" s="133">
        <f>IF(B$17=0,0,G4/B$17)</f>
        <v>0.4642857142857143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>
      <c r="A5" s="55" t="s">
        <v>7</v>
      </c>
      <c r="B5" s="160">
        <f>IF(B$2=0,0,B$4/B$2)</f>
        <v>-15.946153846153846</v>
      </c>
      <c r="C5" s="161"/>
      <c r="E5" s="63" t="s">
        <v>172</v>
      </c>
      <c r="F5" s="60" t="s">
        <v>173</v>
      </c>
      <c r="G5" s="47">
        <v>11</v>
      </c>
      <c r="H5" s="133">
        <f>IF(B$17=0,0,G5/B$17)</f>
        <v>0.39285714285714285</v>
      </c>
      <c r="I5" s="94">
        <v>4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>
      <c r="A6" s="55" t="s">
        <v>1</v>
      </c>
      <c r="B6" s="150">
        <f>IF(B$2=0,0,(B$7*1+B$8*2+B$9*3)/B$2)</f>
        <v>2.4615384615384617</v>
      </c>
      <c r="C6" s="151"/>
      <c r="E6" s="63" t="s">
        <v>68</v>
      </c>
      <c r="F6" s="60" t="s">
        <v>24</v>
      </c>
      <c r="G6" s="47">
        <v>8</v>
      </c>
      <c r="H6" s="133">
        <f>IF(B$17=0,0,G6/B$17)</f>
        <v>0.2857142857142857</v>
      </c>
      <c r="I6" s="94">
        <v>2</v>
      </c>
      <c r="K6" s="38">
        <v>4</v>
      </c>
      <c r="L6" s="99">
        <v>-54.899999999999991</v>
      </c>
      <c r="N6" s="115" t="s">
        <v>135</v>
      </c>
      <c r="O6" s="122">
        <f t="shared" si="0"/>
        <v>-6980</v>
      </c>
      <c r="P6" s="119">
        <v>10</v>
      </c>
      <c r="Q6" s="103">
        <v>-69800</v>
      </c>
    </row>
    <row r="7" spans="1:17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69</v>
      </c>
      <c r="F7" s="60" t="s">
        <v>12</v>
      </c>
      <c r="G7" s="47">
        <v>6</v>
      </c>
      <c r="H7" s="133">
        <f>IF(B$17=0,0,G7/B$17)</f>
        <v>0.21428571428571427</v>
      </c>
      <c r="I7" s="94">
        <v>6</v>
      </c>
      <c r="K7" s="38">
        <v>5</v>
      </c>
      <c r="L7" s="99">
        <v>-33.699999999999989</v>
      </c>
      <c r="N7" s="116" t="s">
        <v>136</v>
      </c>
      <c r="O7" s="123">
        <f t="shared" si="0"/>
        <v>-1944.4444444444443</v>
      </c>
      <c r="P7" s="120">
        <v>9</v>
      </c>
      <c r="Q7" s="104">
        <v>-17500</v>
      </c>
    </row>
    <row r="8" spans="1:17">
      <c r="A8" s="55" t="s">
        <v>3</v>
      </c>
      <c r="B8" s="47">
        <v>5</v>
      </c>
      <c r="C8" s="39">
        <f t="shared" si="1"/>
        <v>0.38461538461538464</v>
      </c>
      <c r="E8" s="63" t="s">
        <v>70</v>
      </c>
      <c r="F8" s="60" t="s">
        <v>25</v>
      </c>
      <c r="G8" s="47">
        <v>5</v>
      </c>
      <c r="H8" s="133">
        <f>IF(B$17=0,0,G8/B$17)</f>
        <v>0.17857142857142858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>
      <c r="A9" s="56" t="s">
        <v>4</v>
      </c>
      <c r="B9" s="48">
        <v>7</v>
      </c>
      <c r="C9" s="40">
        <f t="shared" si="1"/>
        <v>0.53846153846153844</v>
      </c>
      <c r="E9" s="63" t="s">
        <v>66</v>
      </c>
      <c r="F9" s="60" t="s">
        <v>22</v>
      </c>
      <c r="G9" s="47">
        <v>4</v>
      </c>
      <c r="H9" s="133">
        <f>IF(B$17=0,0,G9/B$17)</f>
        <v>0.14285714285714285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0.15384615384615385</v>
      </c>
      <c r="E10" s="63" t="s">
        <v>71</v>
      </c>
      <c r="F10" s="60" t="s">
        <v>26</v>
      </c>
      <c r="G10" s="47">
        <v>3</v>
      </c>
      <c r="H10" s="133">
        <f>IF(B$17=0,0,G10/B$17)</f>
        <v>0.10714285714285714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0.10714285714285714</v>
      </c>
      <c r="I11" s="94">
        <v>4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84</v>
      </c>
      <c r="F12" s="60" t="s">
        <v>39</v>
      </c>
      <c r="G12" s="47">
        <v>3</v>
      </c>
      <c r="H12" s="133">
        <f>IF(B$17=0,0,G12/B$17)</f>
        <v>0.10714285714285714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>
      <c r="A13" s="58" t="s">
        <v>122</v>
      </c>
      <c r="B13" s="50">
        <v>31</v>
      </c>
      <c r="C13" s="44">
        <f>IF(B$3=0,0,B13/B$3)</f>
        <v>0.26050420168067229</v>
      </c>
      <c r="E13" s="63" t="s">
        <v>79</v>
      </c>
      <c r="F13" s="60" t="s">
        <v>34</v>
      </c>
      <c r="G13" s="47">
        <v>2</v>
      </c>
      <c r="H13" s="133">
        <f>IF(B$17=0,0,G13/B$17)</f>
        <v>7.1428571428571425E-2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>
      <c r="A14" s="55" t="s">
        <v>119</v>
      </c>
      <c r="B14" s="47">
        <v>19</v>
      </c>
      <c r="C14" s="39">
        <f>IF(B$3=0,0,B14/B$3)</f>
        <v>0.15966386554621848</v>
      </c>
      <c r="E14" s="63" t="s">
        <v>90</v>
      </c>
      <c r="F14" s="60" t="s">
        <v>45</v>
      </c>
      <c r="G14" s="47">
        <v>2</v>
      </c>
      <c r="H14" s="133">
        <f>IF(B$17=0,0,G14/B$17)</f>
        <v>7.1428571428571425E-2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18</v>
      </c>
      <c r="C15" s="37">
        <f>IF(B$13=0,0,B15/B$13)</f>
        <v>0.58064516129032262</v>
      </c>
      <c r="E15" s="63" t="s">
        <v>82</v>
      </c>
      <c r="F15" s="60" t="s">
        <v>37</v>
      </c>
      <c r="G15" s="47">
        <v>1</v>
      </c>
      <c r="H15" s="133">
        <f>IF(B$17=0,0,G15/B$17)</f>
        <v>3.5714285714285712E-2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>
      <c r="A16" s="54" t="s">
        <v>125</v>
      </c>
      <c r="B16" s="46">
        <v>3</v>
      </c>
      <c r="C16" s="37">
        <f>IF(B$14=0,0,B16/B$14)</f>
        <v>0.15789473684210525</v>
      </c>
      <c r="E16" s="63" t="s">
        <v>87</v>
      </c>
      <c r="F16" s="60" t="s">
        <v>42</v>
      </c>
      <c r="G16" s="47">
        <v>1</v>
      </c>
      <c r="H16" s="133">
        <f>IF(B$17=0,0,G16/B$17)</f>
        <v>3.5714285714285712E-2</v>
      </c>
      <c r="I16" s="94">
        <v>4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>
      <c r="A18" s="55" t="s">
        <v>12</v>
      </c>
      <c r="B18" s="47">
        <v>9</v>
      </c>
      <c r="C18" s="39">
        <f>IF(B$17=0,0,B18/B$17)</f>
        <v>0.32142857142857145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-38.027272727272731</v>
      </c>
      <c r="P18" s="119">
        <v>11</v>
      </c>
      <c r="Q18" s="107">
        <v>-418.30000000000007</v>
      </c>
    </row>
    <row r="19" spans="1:17">
      <c r="A19" s="55" t="s">
        <v>11</v>
      </c>
      <c r="B19" s="47">
        <v>19</v>
      </c>
      <c r="C19" s="39">
        <f>IF(B$17=0,0,B19/B$17)</f>
        <v>0.6785714285714286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>
      <c r="A20" s="55" t="s">
        <v>13</v>
      </c>
      <c r="B20" s="47">
        <v>29</v>
      </c>
      <c r="C20" s="39">
        <f>IF(B$3=0,0,B20/B$3)</f>
        <v>0.24369747899159663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>
      <c r="A22" s="55" t="s">
        <v>171</v>
      </c>
      <c r="B22" s="47">
        <v>8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7928.5714285714284</v>
      </c>
      <c r="C23" s="41">
        <v>222000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>
      <c r="A24" s="57" t="s">
        <v>14</v>
      </c>
      <c r="B24" s="52">
        <f>IF(B$20=0,0,C24/B$20)</f>
        <v>-8551.7241379310344</v>
      </c>
      <c r="C24" s="45">
        <v>-248000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8">
        <v>3</v>
      </c>
      <c r="C25" s="149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6">
        <v>53700</v>
      </c>
      <c r="C26" s="147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topLeftCell="C1" zoomScaleNormal="100" workbookViewId="0">
      <selection activeCell="X26" sqref="X26"/>
    </sheetView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0.4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>
      <c r="A3" s="55" t="s">
        <v>8</v>
      </c>
      <c r="B3" s="156">
        <v>20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8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>
      <c r="A4" s="55" t="s">
        <v>6</v>
      </c>
      <c r="B4" s="158">
        <v>-67.3</v>
      </c>
      <c r="C4" s="159"/>
      <c r="E4" s="63" t="s">
        <v>67</v>
      </c>
      <c r="F4" s="60" t="s">
        <v>23</v>
      </c>
      <c r="G4" s="47">
        <v>6</v>
      </c>
      <c r="H4" s="133">
        <f>IF(B$17=0,0,G4/B$17)</f>
        <v>1.2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>
      <c r="A5" s="55" t="s">
        <v>7</v>
      </c>
      <c r="B5" s="160">
        <f>IF(B$2=0,0,B$4/B$2)</f>
        <v>-33.65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8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0.4</v>
      </c>
      <c r="I6" s="94">
        <v>1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1</v>
      </c>
      <c r="H10" s="133">
        <f>IF(B$17=0,0,G10/B$17)</f>
        <v>0.2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>
      <c r="A13" s="58" t="s">
        <v>122</v>
      </c>
      <c r="B13" s="50">
        <v>3</v>
      </c>
      <c r="C13" s="44">
        <f>IF(B$3=0,0,B13/B$3)</f>
        <v>0.15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2</v>
      </c>
      <c r="C14" s="39">
        <f>IF(B$3=0,0,B14/B$3)</f>
        <v>0.1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5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>
      <c r="A17" s="54" t="s">
        <v>10</v>
      </c>
      <c r="B17" s="46">
        <f>B19+B18</f>
        <v>5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1</v>
      </c>
      <c r="H19" s="133">
        <f>IF(B$17=0,0,G19/B$17)</f>
        <v>0.2</v>
      </c>
      <c r="I19" s="94">
        <v>1</v>
      </c>
    </row>
    <row r="20" spans="1:17">
      <c r="A20" s="55" t="s">
        <v>13</v>
      </c>
      <c r="B20" s="47">
        <v>6</v>
      </c>
      <c r="C20" s="39">
        <f>IF(B$3=0,0,B20/B$3)</f>
        <v>0.3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>
      <c r="A22" s="55" t="s">
        <v>171</v>
      </c>
      <c r="B22" s="47">
        <v>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8100</v>
      </c>
      <c r="C23" s="41">
        <v>40500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>
      <c r="A24" s="57" t="s">
        <v>14</v>
      </c>
      <c r="B24" s="52">
        <f>IF(B$20=0,0,C24/B$20)</f>
        <v>-14300</v>
      </c>
      <c r="C24" s="45">
        <v>-85800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6">
        <v>25900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-7400</v>
      </c>
      <c r="P2" s="118">
        <v>2</v>
      </c>
      <c r="Q2" s="102">
        <v>-14800</v>
      </c>
    </row>
    <row r="3" spans="1:17">
      <c r="A3" s="55" t="s">
        <v>8</v>
      </c>
      <c r="B3" s="156">
        <v>22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8</v>
      </c>
      <c r="K3" s="38">
        <v>1</v>
      </c>
      <c r="L3" s="99">
        <v>46.9</v>
      </c>
      <c r="N3" s="115" t="s">
        <v>132</v>
      </c>
      <c r="O3" s="122">
        <f t="shared" si="0"/>
        <v>-2150</v>
      </c>
      <c r="P3" s="119">
        <v>2</v>
      </c>
      <c r="Q3" s="103">
        <v>-4300</v>
      </c>
    </row>
    <row r="4" spans="1:17">
      <c r="A4" s="55" t="s">
        <v>6</v>
      </c>
      <c r="B4" s="158">
        <v>8.1000000000000014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K4" s="38">
        <v>2</v>
      </c>
      <c r="L4" s="99">
        <v>8.1000000000000014</v>
      </c>
      <c r="N4" s="115" t="s">
        <v>133</v>
      </c>
      <c r="O4" s="122">
        <f t="shared" si="0"/>
        <v>6500</v>
      </c>
      <c r="P4" s="119">
        <v>2</v>
      </c>
      <c r="Q4" s="103">
        <v>13000</v>
      </c>
    </row>
    <row r="5" spans="1:17">
      <c r="A5" s="55" t="s">
        <v>7</v>
      </c>
      <c r="B5" s="160">
        <f>IF(B$2=0,0,B$4/B$2)</f>
        <v>4.0500000000000007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8</v>
      </c>
      <c r="N5" s="115" t="s">
        <v>134</v>
      </c>
      <c r="O5" s="122">
        <f t="shared" si="0"/>
        <v>-2300</v>
      </c>
      <c r="P5" s="119">
        <v>2</v>
      </c>
      <c r="Q5" s="103">
        <v>-4600</v>
      </c>
    </row>
    <row r="6" spans="1:17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-700</v>
      </c>
      <c r="P7" s="120">
        <v>1</v>
      </c>
      <c r="Q7" s="104">
        <v>-700</v>
      </c>
    </row>
    <row r="8" spans="1:17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1.25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>
      <c r="A13" s="58" t="s">
        <v>122</v>
      </c>
      <c r="B13" s="50">
        <v>2</v>
      </c>
      <c r="C13" s="44">
        <f>IF(B$3=0,0,B13/B$3)</f>
        <v>9.0909090909090912E-2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4</v>
      </c>
      <c r="C14" s="39">
        <f>IF(B$3=0,0,B14/B$3)</f>
        <v>0.18181818181818182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>
      <c r="A16" s="54" t="s">
        <v>125</v>
      </c>
      <c r="B16" s="46">
        <v>3</v>
      </c>
      <c r="C16" s="37">
        <f>IF(B$14=0,0,B16/B$14)</f>
        <v>0.75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5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17">
      <c r="A17" s="54" t="s">
        <v>10</v>
      </c>
      <c r="B17" s="46">
        <f>B19+B18</f>
        <v>4</v>
      </c>
      <c r="C17" s="37">
        <f>IF(B$3=0,0,B17/B$3)</f>
        <v>0.18181818181818182</v>
      </c>
      <c r="E17" s="63" t="s">
        <v>80</v>
      </c>
      <c r="F17" s="60" t="s">
        <v>35</v>
      </c>
      <c r="G17" s="47">
        <v>2</v>
      </c>
      <c r="H17" s="133">
        <f>IF(B$17=0,0,G17/B$17)</f>
        <v>0.5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-100</v>
      </c>
      <c r="P18" s="119">
        <v>1</v>
      </c>
      <c r="Q18" s="107">
        <v>-100</v>
      </c>
    </row>
    <row r="19" spans="1:17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17">
      <c r="A20" s="55" t="s">
        <v>13</v>
      </c>
      <c r="B20" s="47">
        <v>1</v>
      </c>
      <c r="C20" s="39">
        <f>IF(B$3=0,0,B20/B$3)</f>
        <v>4.5454545454545456E-2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0.5</v>
      </c>
      <c r="I21" s="94">
        <v>1</v>
      </c>
    </row>
    <row r="22" spans="1:17">
      <c r="A22" s="55" t="s">
        <v>171</v>
      </c>
      <c r="B22" s="47">
        <v>15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8950</v>
      </c>
      <c r="C23" s="41">
        <v>35800</v>
      </c>
      <c r="E23" s="63" t="s">
        <v>86</v>
      </c>
      <c r="F23" s="60" t="s">
        <v>41</v>
      </c>
      <c r="G23" s="47">
        <v>1</v>
      </c>
      <c r="H23" s="133">
        <f>IF(B$17=0,0,G23/B$17)</f>
        <v>0.25</v>
      </c>
      <c r="I23" s="94">
        <v>1</v>
      </c>
    </row>
    <row r="24" spans="1:17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0.66666666666666663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>
      <c r="A3" s="55" t="s">
        <v>8</v>
      </c>
      <c r="B3" s="156">
        <v>9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>
      <c r="A4" s="55" t="s">
        <v>6</v>
      </c>
      <c r="B4" s="158">
        <v>-12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>
      <c r="A5" s="55" t="s">
        <v>7</v>
      </c>
      <c r="B5" s="160">
        <f>IF(B$2=0,0,B$4/B$2)</f>
        <v>-12</v>
      </c>
      <c r="C5" s="161"/>
      <c r="E5" s="63" t="s">
        <v>68</v>
      </c>
      <c r="F5" s="60" t="s">
        <v>24</v>
      </c>
      <c r="G5" s="47">
        <v>4</v>
      </c>
      <c r="H5" s="133">
        <f>IF(B$17=0,0,G5/B$17)</f>
        <v>1.3333333333333333</v>
      </c>
      <c r="I5" s="94">
        <v>1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</v>
      </c>
      <c r="H10" s="133">
        <f>IF(B$17=0,0,G10/B$17)</f>
        <v>0.66666666666666663</v>
      </c>
      <c r="I10" s="94">
        <v>2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4</v>
      </c>
      <c r="C13" s="44">
        <f>IF(B$3=0,0,B13/B$3)</f>
        <v>0.44444444444444442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2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5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>
      <c r="A18" s="55" t="s">
        <v>12</v>
      </c>
      <c r="B18" s="47">
        <v>1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>
      <c r="A19" s="55" t="s">
        <v>11</v>
      </c>
      <c r="B19" s="47">
        <v>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9">
      <c r="A20" s="55" t="s">
        <v>13</v>
      </c>
      <c r="B20" s="47">
        <v>3</v>
      </c>
      <c r="C20" s="39">
        <f>IF(B$3=0,0,B20/B$3)</f>
        <v>0.33333333333333331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9">
      <c r="A22" s="55" t="s">
        <v>171</v>
      </c>
      <c r="B22" s="47">
        <v>4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9">
      <c r="A23" s="55" t="s">
        <v>5</v>
      </c>
      <c r="B23" s="51">
        <f>IF(B$17=0,0,C23/B$17)</f>
        <v>8400</v>
      </c>
      <c r="C23" s="41">
        <v>25200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>
      <c r="A24" s="57" t="s">
        <v>14</v>
      </c>
      <c r="B24" s="52">
        <f>IF(B$20=0,0,C24/B$20)</f>
        <v>-9233.3333333333339</v>
      </c>
      <c r="C24" s="45">
        <v>-27700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9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>
      <c r="A26" s="58" t="s">
        <v>151</v>
      </c>
      <c r="B26" s="146">
        <v>23000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9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9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9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9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0.66666666666666663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>
      <selection activeCell="B8" sqref="B8"/>
    </sheetView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>IF(B$17=0,0,G2/B$17)</f>
        <v>0.5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3600</v>
      </c>
      <c r="P2" s="118">
        <v>2</v>
      </c>
      <c r="Q2" s="102">
        <v>7200</v>
      </c>
    </row>
    <row r="3" spans="1:17">
      <c r="A3" s="55" t="s">
        <v>8</v>
      </c>
      <c r="B3" s="156">
        <v>16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0.125</v>
      </c>
      <c r="I3" s="94">
        <v>4</v>
      </c>
      <c r="K3" s="38">
        <v>1</v>
      </c>
      <c r="L3" s="99">
        <v>70.2</v>
      </c>
      <c r="N3" s="115" t="s">
        <v>132</v>
      </c>
      <c r="O3" s="122">
        <f t="shared" si="0"/>
        <v>15100</v>
      </c>
      <c r="P3" s="119">
        <v>2</v>
      </c>
      <c r="Q3" s="103">
        <v>30200</v>
      </c>
    </row>
    <row r="4" spans="1:17">
      <c r="A4" s="55" t="s">
        <v>6</v>
      </c>
      <c r="B4" s="158">
        <v>68.5</v>
      </c>
      <c r="C4" s="159"/>
      <c r="E4" s="63" t="s">
        <v>67</v>
      </c>
      <c r="F4" s="60" t="s">
        <v>23</v>
      </c>
      <c r="G4" s="47">
        <v>9</v>
      </c>
      <c r="H4" s="133">
        <f>IF(B$17=0,0,G4/B$17)</f>
        <v>1.125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-100</v>
      </c>
      <c r="P4" s="119">
        <v>2</v>
      </c>
      <c r="Q4" s="103">
        <v>-200</v>
      </c>
    </row>
    <row r="5" spans="1:17">
      <c r="A5" s="55" t="s">
        <v>7</v>
      </c>
      <c r="B5" s="160">
        <f>IF(B$2=0,0,B$4/B$2)</f>
        <v>34.25</v>
      </c>
      <c r="C5" s="161"/>
      <c r="E5" s="63" t="s">
        <v>68</v>
      </c>
      <c r="F5" s="60" t="s">
        <v>24</v>
      </c>
      <c r="G5" s="47">
        <v>1</v>
      </c>
      <c r="H5" s="133">
        <f>IF(B$17=0,0,G5/B$17)</f>
        <v>0.125</v>
      </c>
      <c r="I5" s="94">
        <v>7</v>
      </c>
      <c r="N5" s="115" t="s">
        <v>134</v>
      </c>
      <c r="O5" s="122">
        <f t="shared" si="0"/>
        <v>-4000</v>
      </c>
      <c r="P5" s="119">
        <v>2</v>
      </c>
      <c r="Q5" s="103">
        <v>-8000</v>
      </c>
    </row>
    <row r="6" spans="1:17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3</v>
      </c>
      <c r="H6" s="133">
        <f>IF(B$17=0,0,G6/B$17)</f>
        <v>0.375</v>
      </c>
      <c r="I6" s="94">
        <v>2</v>
      </c>
      <c r="N6" s="115" t="s">
        <v>135</v>
      </c>
      <c r="O6" s="122">
        <f t="shared" si="0"/>
        <v>5300</v>
      </c>
      <c r="P6" s="119">
        <v>1</v>
      </c>
      <c r="Q6" s="103">
        <v>5300</v>
      </c>
    </row>
    <row r="7" spans="1:17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3</v>
      </c>
      <c r="H7" s="133">
        <f>IF(B$17=0,0,G7/B$17)</f>
        <v>0.375</v>
      </c>
      <c r="I7" s="94">
        <v>1</v>
      </c>
      <c r="N7" s="116" t="s">
        <v>136</v>
      </c>
      <c r="O7" s="123">
        <f t="shared" si="0"/>
        <v>0</v>
      </c>
      <c r="P7" s="120">
        <v>1</v>
      </c>
      <c r="Q7" s="104">
        <v>0</v>
      </c>
    </row>
    <row r="8" spans="1:17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0.125</v>
      </c>
      <c r="I8" s="94">
        <v>3</v>
      </c>
      <c r="N8" s="43"/>
      <c r="O8" s="127"/>
      <c r="P8" s="111"/>
      <c r="Q8" s="109"/>
    </row>
    <row r="9" spans="1:17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0.5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</v>
      </c>
      <c r="H10" s="133">
        <f>IF(B$17=0,0,G10/B$17)</f>
        <v>0.125</v>
      </c>
      <c r="I10" s="94">
        <v>9</v>
      </c>
      <c r="N10" s="114" t="s">
        <v>163</v>
      </c>
      <c r="O10" s="124">
        <f>IF(P10=0,0,Q10/P10)</f>
        <v>-1.7</v>
      </c>
      <c r="P10" s="118">
        <v>1</v>
      </c>
      <c r="Q10" s="106">
        <v>-1.7</v>
      </c>
    </row>
    <row r="11" spans="1:17">
      <c r="A11" s="56" t="s">
        <v>139</v>
      </c>
      <c r="B11" s="48">
        <v>1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6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5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17">
      <c r="A17" s="54" t="s">
        <v>10</v>
      </c>
      <c r="B17" s="46">
        <f>B19+B18</f>
        <v>8</v>
      </c>
      <c r="C17" s="37">
        <f>IF(B$3=0,0,B17/B$3)</f>
        <v>0.5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>
      <c r="A18" s="55" t="s">
        <v>12</v>
      </c>
      <c r="B18" s="47">
        <v>3</v>
      </c>
      <c r="C18" s="39">
        <f>IF(B$17=0,0,B18/B$17)</f>
        <v>0.375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-27.7</v>
      </c>
      <c r="P18" s="119">
        <v>1</v>
      </c>
      <c r="Q18" s="107">
        <v>-27.7</v>
      </c>
    </row>
    <row r="19" spans="1:17">
      <c r="A19" s="55" t="s">
        <v>11</v>
      </c>
      <c r="B19" s="47">
        <v>5</v>
      </c>
      <c r="C19" s="39">
        <f>IF(B$17=0,0,B19/B$17)</f>
        <v>0.625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17">
      <c r="A20" s="55" t="s">
        <v>13</v>
      </c>
      <c r="B20" s="47">
        <v>1</v>
      </c>
      <c r="C20" s="39">
        <f>IF(B$3=0,0,B20/B$3)</f>
        <v>6.25E-2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>
      <c r="A22" s="55" t="s">
        <v>171</v>
      </c>
      <c r="B22" s="47">
        <v>9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9800</v>
      </c>
      <c r="C23" s="41">
        <v>78400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>
      <c r="A25" s="90" t="s">
        <v>141</v>
      </c>
      <c r="B25" s="148">
        <v>7</v>
      </c>
      <c r="C25" s="149"/>
      <c r="E25" s="63" t="s">
        <v>88</v>
      </c>
      <c r="F25" s="60" t="s">
        <v>43</v>
      </c>
      <c r="G25" s="47">
        <v>1</v>
      </c>
      <c r="H25" s="133">
        <f>IF(B$17=0,0,G25/B$17)</f>
        <v>0.125</v>
      </c>
      <c r="I25" s="94">
        <v>1</v>
      </c>
    </row>
    <row r="26" spans="1:17">
      <c r="A26" s="58" t="s">
        <v>151</v>
      </c>
      <c r="B26" s="146">
        <v>95200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>
      <c r="E51" s="136" t="s">
        <v>172</v>
      </c>
      <c r="F51" s="137" t="s">
        <v>173</v>
      </c>
      <c r="G51" s="48">
        <v>5</v>
      </c>
      <c r="H51" s="138">
        <f>IF(B$17=0,0,G51/B$17)</f>
        <v>0.625</v>
      </c>
      <c r="I51" s="139">
        <v>2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5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5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16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2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2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>
      <c r="A14" s="69">
        <v>11</v>
      </c>
      <c r="B14" s="66">
        <v>184.2</v>
      </c>
      <c r="C14" s="66">
        <v>16.745454545454546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>
      <c r="A15" s="69">
        <v>12</v>
      </c>
      <c r="B15" s="66">
        <v>183.89999999999998</v>
      </c>
      <c r="C15" s="66">
        <v>15.324999999999998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>
      <c r="A16" s="69">
        <v>13</v>
      </c>
      <c r="B16" s="66">
        <v>205.39999999999998</v>
      </c>
      <c r="C16" s="66">
        <v>15.799999999999999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>
      <c r="A17" s="69">
        <v>14</v>
      </c>
      <c r="B17" s="66">
        <v>239.09999999999997</v>
      </c>
      <c r="C17" s="66">
        <v>17.078571428571426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>
      <c r="A18" s="69">
        <v>15</v>
      </c>
      <c r="B18" s="66">
        <v>268.49999999999994</v>
      </c>
      <c r="C18" s="66">
        <v>17.899999999999995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>
      <c r="A19" s="69">
        <v>16</v>
      </c>
      <c r="B19" s="66">
        <v>322.69999999999993</v>
      </c>
      <c r="C19" s="66">
        <v>20.168749999999996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>
      <c r="A20" s="69">
        <v>17</v>
      </c>
      <c r="B20" s="66">
        <v>358.09999999999991</v>
      </c>
      <c r="C20" s="66">
        <v>21.064705882352936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>
      <c r="A21" s="69">
        <v>18</v>
      </c>
      <c r="B21" s="66">
        <v>351.39999999999992</v>
      </c>
      <c r="C21" s="66">
        <v>19.522222222222219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>
      <c r="A22" s="69">
        <v>19</v>
      </c>
      <c r="B22" s="66">
        <v>382.19999999999993</v>
      </c>
      <c r="C22" s="66">
        <v>20.115789473684206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>
      <c r="A23" s="69">
        <v>20</v>
      </c>
      <c r="B23" s="66">
        <v>364.49999999999994</v>
      </c>
      <c r="C23" s="66">
        <v>18.224999999999998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12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26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>
      <c r="A17" s="69">
        <v>14</v>
      </c>
      <c r="B17" s="66">
        <v>-0.99999999999998934</v>
      </c>
      <c r="C17" s="66">
        <v>-2.3809523809523555E-2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>
      <c r="A18" s="69">
        <v>15</v>
      </c>
      <c r="B18" s="66">
        <v>-0.99999999999998868</v>
      </c>
      <c r="C18" s="66">
        <v>-2.222222222222197E-2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>
      <c r="A19" s="69">
        <v>16</v>
      </c>
      <c r="B19" s="66">
        <v>-0.99999999999998934</v>
      </c>
      <c r="C19" s="66">
        <v>-2.083333333333311E-2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>
      <c r="A20" s="69">
        <v>17</v>
      </c>
      <c r="B20" s="66">
        <v>-0.99999999999999289</v>
      </c>
      <c r="C20" s="66">
        <v>-1.9607843137254763E-2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>
      <c r="A21" s="69">
        <v>18</v>
      </c>
      <c r="B21" s="66">
        <v>-0.99999999999999289</v>
      </c>
      <c r="C21" s="66">
        <v>-1.8518518518518386E-2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>
      <c r="A22" s="69">
        <v>19</v>
      </c>
      <c r="B22" s="66">
        <v>-0.99999999999998579</v>
      </c>
      <c r="C22" s="66">
        <v>-1.7543859649122556E-2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>
      <c r="A23" s="69">
        <v>20</v>
      </c>
      <c r="B23" s="66">
        <v>-0.99999999999998579</v>
      </c>
      <c r="C23" s="66">
        <v>-1.6666666666666431E-2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>
      <c r="A24" s="69">
        <v>21</v>
      </c>
      <c r="B24" s="66">
        <v>-0.99999999999999023</v>
      </c>
      <c r="C24" s="66">
        <v>-1.5873015873015719E-2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>
      <c r="A25" s="69">
        <v>22</v>
      </c>
      <c r="B25" s="66">
        <v>-0.99999999999999289</v>
      </c>
      <c r="C25" s="66">
        <v>-1.5151515151515044E-2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>
      <c r="A26" s="69">
        <v>23</v>
      </c>
      <c r="B26" s="66">
        <v>-0.99999999999999645</v>
      </c>
      <c r="C26" s="66">
        <v>-1.4492753623188354E-2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2019-09-29T10:00:16Z</dcterms:modified>
</cp:coreProperties>
</file>