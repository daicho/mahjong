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E17BD3B-8BF7-4F1C-84F4-7F8176D2E5E0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45" r:id="rId6"/>
    <sheet name="たかの" sheetId="5647" r:id="rId7"/>
    <sheet name="だいち" sheetId="5649" r:id="rId8"/>
    <sheet name="ただ" sheetId="5651" r:id="rId9"/>
    <sheet name="りくと" sheetId="5653" r:id="rId10"/>
    <sheet name="れんたろう" sheetId="5655" r:id="rId11"/>
    <sheet name="まっつん" sheetId="5657" r:id="rId12"/>
    <sheet name="のり" sheetId="5659" r:id="rId13"/>
    <sheet name="ぱぱ" sheetId="5661" r:id="rId14"/>
    <sheet name="ほたに" sheetId="5663" r:id="rId15"/>
    <sheet name="ほたに2" sheetId="5664" state="hidden" r:id="rId16"/>
    <sheet name="ぱぱ2" sheetId="5662" state="hidden" r:id="rId17"/>
    <sheet name="のり2" sheetId="5660" state="hidden" r:id="rId18"/>
    <sheet name="まっつん2" sheetId="5658" state="hidden" r:id="rId19"/>
    <sheet name="れんたろう2" sheetId="5656" state="hidden" r:id="rId20"/>
    <sheet name="りくと2" sheetId="5654" state="hidden" r:id="rId21"/>
    <sheet name="ただ2" sheetId="5652" state="hidden" r:id="rId22"/>
    <sheet name="だいち2" sheetId="5650" state="hidden" r:id="rId23"/>
    <sheet name="たかの2" sheetId="5648" state="hidden" r:id="rId24"/>
    <sheet name="全体2" sheetId="564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655" l="1"/>
  <c r="O20" i="5649"/>
  <c r="O17" i="5659"/>
  <c r="O16" i="5663"/>
  <c r="O15" i="5663"/>
  <c r="O18" i="5661"/>
  <c r="O15" i="5651" l="1"/>
  <c r="O16" i="5651"/>
  <c r="O17" i="5663"/>
  <c r="O18" i="5663"/>
  <c r="C27" i="5663"/>
  <c r="B24" i="5663"/>
  <c r="C20" i="5663"/>
  <c r="B17" i="5663"/>
  <c r="H50" i="5663" s="1"/>
  <c r="C16" i="5663"/>
  <c r="C15" i="5663"/>
  <c r="C14" i="5663"/>
  <c r="C13" i="5663"/>
  <c r="O12" i="5663"/>
  <c r="C12" i="5663"/>
  <c r="O11" i="5663"/>
  <c r="C11" i="5663"/>
  <c r="O10" i="5663"/>
  <c r="C10" i="5663"/>
  <c r="C9" i="5663"/>
  <c r="C8" i="5663"/>
  <c r="O7" i="5663"/>
  <c r="C7" i="5663"/>
  <c r="O6" i="5663"/>
  <c r="B6" i="5663"/>
  <c r="O5" i="5663"/>
  <c r="B5" i="5663"/>
  <c r="O4" i="5663"/>
  <c r="O3" i="5663"/>
  <c r="O2" i="5663"/>
  <c r="O17" i="5657"/>
  <c r="O16" i="5657"/>
  <c r="O21" i="5645"/>
  <c r="H2" i="5663" l="1"/>
  <c r="H5" i="5663"/>
  <c r="H16" i="5663"/>
  <c r="H12" i="5663"/>
  <c r="H39" i="5663"/>
  <c r="H51" i="5663"/>
  <c r="H18" i="5663"/>
  <c r="H29" i="5663"/>
  <c r="H40" i="5663"/>
  <c r="H24" i="5663"/>
  <c r="H15" i="5663"/>
  <c r="H11" i="5663"/>
  <c r="H44" i="5663"/>
  <c r="H14" i="5663"/>
  <c r="H10" i="5663"/>
  <c r="H7" i="5663"/>
  <c r="H8" i="5663"/>
  <c r="C18" i="5663"/>
  <c r="H33" i="5663"/>
  <c r="H3" i="5663"/>
  <c r="H9" i="5663"/>
  <c r="H20" i="5663"/>
  <c r="H35" i="5663"/>
  <c r="H45" i="5663"/>
  <c r="H49" i="5663"/>
  <c r="C19" i="5663"/>
  <c r="H25" i="5663"/>
  <c r="H31" i="5663"/>
  <c r="H36" i="5663"/>
  <c r="H41" i="5663"/>
  <c r="H47" i="5663"/>
  <c r="H6" i="5663"/>
  <c r="H4" i="5663"/>
  <c r="H27" i="5663"/>
  <c r="H13" i="5663"/>
  <c r="H17" i="5663"/>
  <c r="H19" i="5663"/>
  <c r="C17" i="5663"/>
  <c r="H22" i="5663"/>
  <c r="B23" i="5663"/>
  <c r="H32" i="5663"/>
  <c r="H37" i="5663"/>
  <c r="H43" i="5663"/>
  <c r="H48" i="5663"/>
  <c r="H52" i="5663"/>
  <c r="H21" i="5663"/>
  <c r="H23" i="5663"/>
  <c r="H26" i="5663"/>
  <c r="H28" i="5663"/>
  <c r="H30" i="5663"/>
  <c r="H34" i="5663"/>
  <c r="H38" i="5663"/>
  <c r="H42" i="5663"/>
  <c r="H46" i="5663"/>
  <c r="O16" i="5649" l="1"/>
  <c r="O18" i="5653"/>
  <c r="O15" i="5649" l="1"/>
  <c r="O19" i="5657"/>
  <c r="O20" i="5657"/>
  <c r="O15" i="5647"/>
  <c r="O17" i="5651"/>
  <c r="O15" i="5653"/>
  <c r="O16" i="5653"/>
  <c r="O18" i="5647"/>
  <c r="O20" i="5651"/>
  <c r="O17" i="5649"/>
  <c r="O17" i="5661"/>
  <c r="O19" i="5661"/>
  <c r="O19" i="5655" l="1"/>
  <c r="O18" i="5655"/>
  <c r="O16" i="5661"/>
  <c r="O15" i="5661"/>
  <c r="C27" i="5661"/>
  <c r="B24" i="5661"/>
  <c r="C20" i="5661"/>
  <c r="B17" i="5661"/>
  <c r="H52" i="5661" s="1"/>
  <c r="C16" i="5661"/>
  <c r="C15" i="5661"/>
  <c r="C14" i="5661"/>
  <c r="C13" i="5661"/>
  <c r="O12" i="5661"/>
  <c r="C12" i="5661"/>
  <c r="O11" i="5661"/>
  <c r="C11" i="5661"/>
  <c r="O10" i="5661"/>
  <c r="C10" i="5661"/>
  <c r="C9" i="5661"/>
  <c r="C8" i="5661"/>
  <c r="O7" i="5661"/>
  <c r="C7" i="5661"/>
  <c r="O6" i="5661"/>
  <c r="B6" i="5661"/>
  <c r="O5" i="5661"/>
  <c r="B5" i="5661"/>
  <c r="O4" i="5661"/>
  <c r="O3" i="5661"/>
  <c r="O2" i="5661"/>
  <c r="O15" i="5645"/>
  <c r="O15" i="5659"/>
  <c r="O16" i="5659"/>
  <c r="C27" i="5659"/>
  <c r="B24" i="5659"/>
  <c r="C20" i="5659"/>
  <c r="B17" i="5659"/>
  <c r="H52" i="5659" s="1"/>
  <c r="C16" i="5659"/>
  <c r="C15" i="5659"/>
  <c r="C14" i="5659"/>
  <c r="C13" i="5659"/>
  <c r="O12" i="5659"/>
  <c r="C12" i="5659"/>
  <c r="O11" i="5659"/>
  <c r="C11" i="5659"/>
  <c r="O10" i="5659"/>
  <c r="C10" i="5659"/>
  <c r="C9" i="5659"/>
  <c r="C8" i="5659"/>
  <c r="O7" i="5659"/>
  <c r="C7" i="5659"/>
  <c r="O6" i="5659"/>
  <c r="B6" i="5659"/>
  <c r="O5" i="5659"/>
  <c r="B5" i="5659"/>
  <c r="O4" i="5659"/>
  <c r="O3" i="5659"/>
  <c r="O2" i="5659"/>
  <c r="O23" i="5645"/>
  <c r="H3" i="5661" l="1"/>
  <c r="H10" i="5661"/>
  <c r="H2" i="5661"/>
  <c r="C17" i="5661"/>
  <c r="H21" i="5661"/>
  <c r="H26" i="5661"/>
  <c r="H30" i="5661"/>
  <c r="H38" i="5661"/>
  <c r="H50" i="5661"/>
  <c r="H7" i="5661"/>
  <c r="H16" i="5661"/>
  <c r="H18" i="5661"/>
  <c r="C19" i="5661"/>
  <c r="H24" i="5661"/>
  <c r="H31" i="5661"/>
  <c r="H35" i="5661"/>
  <c r="H39" i="5661"/>
  <c r="H43" i="5661"/>
  <c r="H47" i="5661"/>
  <c r="H51" i="5661"/>
  <c r="H8" i="5661"/>
  <c r="H23" i="5661"/>
  <c r="H34" i="5661"/>
  <c r="H46" i="5661"/>
  <c r="H11" i="5661"/>
  <c r="H5" i="5661"/>
  <c r="H9" i="5661"/>
  <c r="H15" i="5661"/>
  <c r="H20" i="5661"/>
  <c r="H22" i="5661"/>
  <c r="H25" i="5661"/>
  <c r="H27" i="5661"/>
  <c r="H13" i="5661"/>
  <c r="H32" i="5661"/>
  <c r="H36" i="5661"/>
  <c r="H40" i="5661"/>
  <c r="H44" i="5661"/>
  <c r="H48" i="5661"/>
  <c r="H4" i="5661"/>
  <c r="H28" i="5661"/>
  <c r="H42" i="5661"/>
  <c r="H6" i="5661"/>
  <c r="H14" i="5661"/>
  <c r="H17" i="5661"/>
  <c r="H19" i="5661"/>
  <c r="C18" i="5661"/>
  <c r="B23" i="5661"/>
  <c r="H12" i="5661"/>
  <c r="H29" i="5661"/>
  <c r="H33" i="5661"/>
  <c r="H37" i="5661"/>
  <c r="H41" i="5661"/>
  <c r="H45" i="5661"/>
  <c r="H49" i="5661"/>
  <c r="C17" i="5659"/>
  <c r="H8" i="5659"/>
  <c r="H4" i="5659"/>
  <c r="H3" i="5659"/>
  <c r="H9" i="5659"/>
  <c r="H24" i="5659"/>
  <c r="H34" i="5659"/>
  <c r="H38" i="5659"/>
  <c r="H46" i="5659"/>
  <c r="H11" i="5659"/>
  <c r="H15" i="5659"/>
  <c r="H17" i="5659"/>
  <c r="C19" i="5659"/>
  <c r="H22" i="5659"/>
  <c r="H31" i="5659"/>
  <c r="H35" i="5659"/>
  <c r="H39" i="5659"/>
  <c r="H43" i="5659"/>
  <c r="H47" i="5659"/>
  <c r="H51" i="5659"/>
  <c r="H21" i="5659"/>
  <c r="H27" i="5659"/>
  <c r="H50" i="5659"/>
  <c r="H7" i="5659"/>
  <c r="H5" i="5659"/>
  <c r="H12" i="5659"/>
  <c r="H14" i="5659"/>
  <c r="H18" i="5659"/>
  <c r="H20" i="5659"/>
  <c r="H23" i="5659"/>
  <c r="H25" i="5659"/>
  <c r="H28" i="5659"/>
  <c r="H32" i="5659"/>
  <c r="H36" i="5659"/>
  <c r="H40" i="5659"/>
  <c r="H44" i="5659"/>
  <c r="H48" i="5659"/>
  <c r="H6" i="5659"/>
  <c r="H19" i="5659"/>
  <c r="H30" i="5659"/>
  <c r="H42" i="5659"/>
  <c r="H2" i="5659"/>
  <c r="H13" i="5659"/>
  <c r="H16" i="5659"/>
  <c r="H10" i="5659"/>
  <c r="C18" i="5659"/>
  <c r="B23" i="5659"/>
  <c r="H26" i="5659"/>
  <c r="H29" i="5659"/>
  <c r="H33" i="5659"/>
  <c r="H37" i="5659"/>
  <c r="H41" i="5659"/>
  <c r="H45" i="5659"/>
  <c r="H49" i="5659"/>
  <c r="O18" i="5657" l="1"/>
  <c r="O15" i="5657"/>
  <c r="C27" i="5657"/>
  <c r="B24" i="5657"/>
  <c r="C20" i="5657"/>
  <c r="B17" i="5657"/>
  <c r="H50" i="5657" s="1"/>
  <c r="C16" i="5657"/>
  <c r="C15" i="5657"/>
  <c r="C14" i="5657"/>
  <c r="C13" i="5657"/>
  <c r="O12" i="5657"/>
  <c r="C12" i="5657"/>
  <c r="O11" i="5657"/>
  <c r="C11" i="5657"/>
  <c r="O10" i="5657"/>
  <c r="C10" i="5657"/>
  <c r="C9" i="5657"/>
  <c r="C8" i="5657"/>
  <c r="O7" i="5657"/>
  <c r="C7" i="5657"/>
  <c r="O6" i="5657"/>
  <c r="B6" i="5657"/>
  <c r="O5" i="5657"/>
  <c r="B5" i="5657"/>
  <c r="O4" i="5657"/>
  <c r="O3" i="5657"/>
  <c r="O2" i="5657"/>
  <c r="O16" i="5655"/>
  <c r="O17" i="5655"/>
  <c r="C27" i="5655"/>
  <c r="B24" i="5655"/>
  <c r="C20" i="5655"/>
  <c r="B17" i="5655"/>
  <c r="H52" i="5655" s="1"/>
  <c r="C16" i="5655"/>
  <c r="C15" i="5655"/>
  <c r="C14" i="5655"/>
  <c r="C13" i="5655"/>
  <c r="O12" i="5655"/>
  <c r="C12" i="5655"/>
  <c r="O11" i="5655"/>
  <c r="C11" i="5655"/>
  <c r="O10" i="5655"/>
  <c r="C10" i="5655"/>
  <c r="C9" i="5655"/>
  <c r="C8" i="5655"/>
  <c r="O7" i="5655"/>
  <c r="C7" i="5655"/>
  <c r="O6" i="5655"/>
  <c r="B6" i="5655"/>
  <c r="O5" i="5655"/>
  <c r="B5" i="5655"/>
  <c r="O4" i="5655"/>
  <c r="O3" i="5655"/>
  <c r="O2" i="5655"/>
  <c r="O17" i="5645"/>
  <c r="O19" i="5653"/>
  <c r="O17" i="5653"/>
  <c r="C27" i="5653"/>
  <c r="B24" i="5653"/>
  <c r="C20" i="5653"/>
  <c r="B17" i="5653"/>
  <c r="H52" i="5653" s="1"/>
  <c r="C16" i="5653"/>
  <c r="C15" i="5653"/>
  <c r="C14" i="5653"/>
  <c r="C13" i="5653"/>
  <c r="O12" i="5653"/>
  <c r="C12" i="5653"/>
  <c r="O11" i="5653"/>
  <c r="C11" i="5653"/>
  <c r="O10" i="5653"/>
  <c r="H10" i="5653"/>
  <c r="C10" i="5653"/>
  <c r="C9" i="5653"/>
  <c r="C8" i="5653"/>
  <c r="O7" i="5653"/>
  <c r="C7" i="5653"/>
  <c r="O6" i="5653"/>
  <c r="B6" i="5653"/>
  <c r="O5" i="5653"/>
  <c r="B5" i="5653"/>
  <c r="O4" i="5653"/>
  <c r="H4" i="5653"/>
  <c r="O3" i="5653"/>
  <c r="O2" i="5653"/>
  <c r="H2" i="5653"/>
  <c r="O19" i="5645"/>
  <c r="O16" i="5645"/>
  <c r="H8" i="5653" l="1"/>
  <c r="C17" i="5653"/>
  <c r="H7" i="5657"/>
  <c r="H4" i="5657"/>
  <c r="H10" i="5657"/>
  <c r="H2" i="5657"/>
  <c r="H3" i="5657"/>
  <c r="H8" i="5657"/>
  <c r="C19" i="5657"/>
  <c r="H22" i="5657"/>
  <c r="H25" i="5657"/>
  <c r="H31" i="5657"/>
  <c r="H39" i="5657"/>
  <c r="H47" i="5657"/>
  <c r="H13" i="5657"/>
  <c r="H15" i="5657"/>
  <c r="C17" i="5657"/>
  <c r="H19" i="5657"/>
  <c r="B23" i="5657"/>
  <c r="H32" i="5657"/>
  <c r="H40" i="5657"/>
  <c r="H48" i="5657"/>
  <c r="H6" i="5657"/>
  <c r="H9" i="5657"/>
  <c r="H12" i="5657"/>
  <c r="H17" i="5657"/>
  <c r="H27" i="5657"/>
  <c r="H35" i="5657"/>
  <c r="H43" i="5657"/>
  <c r="H51" i="5657"/>
  <c r="H5" i="5657"/>
  <c r="H11" i="5657"/>
  <c r="H14" i="5657"/>
  <c r="H16" i="5657"/>
  <c r="C18" i="5657"/>
  <c r="H21" i="5657"/>
  <c r="H24" i="5657"/>
  <c r="H28" i="5657"/>
  <c r="H36" i="5657"/>
  <c r="H44" i="5657"/>
  <c r="H52" i="5657"/>
  <c r="H18" i="5657"/>
  <c r="H20" i="5657"/>
  <c r="H23" i="5657"/>
  <c r="H26" i="5657"/>
  <c r="H29" i="5657"/>
  <c r="H33" i="5657"/>
  <c r="H37" i="5657"/>
  <c r="H41" i="5657"/>
  <c r="H45" i="5657"/>
  <c r="H49" i="5657"/>
  <c r="H30" i="5657"/>
  <c r="H34" i="5657"/>
  <c r="H38" i="5657"/>
  <c r="H42" i="5657"/>
  <c r="H46" i="5657"/>
  <c r="H8" i="5655"/>
  <c r="H2" i="5655"/>
  <c r="H10" i="5655"/>
  <c r="H14" i="5655"/>
  <c r="H16" i="5655"/>
  <c r="C17" i="5655"/>
  <c r="H5" i="5655"/>
  <c r="H4" i="5655"/>
  <c r="H11" i="5655"/>
  <c r="H23" i="5655"/>
  <c r="H49" i="5655"/>
  <c r="H26" i="5655"/>
  <c r="H33" i="5655"/>
  <c r="H37" i="5655"/>
  <c r="H45" i="5655"/>
  <c r="H7" i="5655"/>
  <c r="H13" i="5655"/>
  <c r="H15" i="5655"/>
  <c r="C19" i="5655"/>
  <c r="H21" i="5655"/>
  <c r="H30" i="5655"/>
  <c r="H34" i="5655"/>
  <c r="H38" i="5655"/>
  <c r="H42" i="5655"/>
  <c r="H46" i="5655"/>
  <c r="H50" i="5655"/>
  <c r="H18" i="5655"/>
  <c r="H20" i="5655"/>
  <c r="H29" i="5655"/>
  <c r="H41" i="5655"/>
  <c r="H3" i="5655"/>
  <c r="H6" i="5655"/>
  <c r="H9" i="5655"/>
  <c r="H12" i="5655"/>
  <c r="H17" i="5655"/>
  <c r="H19" i="5655"/>
  <c r="H22" i="5655"/>
  <c r="H24" i="5655"/>
  <c r="H27" i="5655"/>
  <c r="H31" i="5655"/>
  <c r="H35" i="5655"/>
  <c r="H39" i="5655"/>
  <c r="H43" i="5655"/>
  <c r="H47" i="5655"/>
  <c r="H51" i="5655"/>
  <c r="C18" i="5655"/>
  <c r="B23" i="5655"/>
  <c r="H25" i="5655"/>
  <c r="H28" i="5655"/>
  <c r="H32" i="5655"/>
  <c r="H36" i="5655"/>
  <c r="H40" i="5655"/>
  <c r="H44" i="5655"/>
  <c r="H48" i="5655"/>
  <c r="H18" i="5653"/>
  <c r="H20" i="5653"/>
  <c r="H23" i="5653"/>
  <c r="H26" i="5653"/>
  <c r="H29" i="5653"/>
  <c r="H33" i="5653"/>
  <c r="H37" i="5653"/>
  <c r="H41" i="5653"/>
  <c r="H45" i="5653"/>
  <c r="H49" i="5653"/>
  <c r="H7" i="5653"/>
  <c r="H13" i="5653"/>
  <c r="H15" i="5653"/>
  <c r="C19" i="5653"/>
  <c r="H21" i="5653"/>
  <c r="H30" i="5653"/>
  <c r="H34" i="5653"/>
  <c r="H38" i="5653"/>
  <c r="H42" i="5653"/>
  <c r="H46" i="5653"/>
  <c r="H50" i="5653"/>
  <c r="H3" i="5653"/>
  <c r="H6" i="5653"/>
  <c r="H9" i="5653"/>
  <c r="H12" i="5653"/>
  <c r="H17" i="5653"/>
  <c r="H19" i="5653"/>
  <c r="H22" i="5653"/>
  <c r="H24" i="5653"/>
  <c r="H27" i="5653"/>
  <c r="H31" i="5653"/>
  <c r="H35" i="5653"/>
  <c r="H39" i="5653"/>
  <c r="H43" i="5653"/>
  <c r="H47" i="5653"/>
  <c r="H51" i="5653"/>
  <c r="H5" i="5653"/>
  <c r="H11" i="5653"/>
  <c r="H14" i="5653"/>
  <c r="H16" i="5653"/>
  <c r="C18" i="5653"/>
  <c r="B23" i="5653"/>
  <c r="H25" i="5653"/>
  <c r="H28" i="5653"/>
  <c r="H32" i="5653"/>
  <c r="H36" i="5653"/>
  <c r="H40" i="5653"/>
  <c r="H44" i="5653"/>
  <c r="H48" i="5653"/>
  <c r="O19" i="5651" l="1"/>
  <c r="O18" i="5651"/>
  <c r="C27" i="5651"/>
  <c r="B24" i="5651"/>
  <c r="C20" i="5651"/>
  <c r="B17" i="5651"/>
  <c r="H50" i="5651" s="1"/>
  <c r="C16" i="5651"/>
  <c r="C15" i="5651"/>
  <c r="C14" i="5651"/>
  <c r="C13" i="5651"/>
  <c r="O12" i="5651"/>
  <c r="C12" i="5651"/>
  <c r="O11" i="5651"/>
  <c r="C11" i="5651"/>
  <c r="O10" i="5651"/>
  <c r="C10" i="5651"/>
  <c r="C9" i="5651"/>
  <c r="C8" i="5651"/>
  <c r="O7" i="5651"/>
  <c r="H7" i="5651"/>
  <c r="C7" i="5651"/>
  <c r="O6" i="5651"/>
  <c r="B6" i="5651"/>
  <c r="O5" i="5651"/>
  <c r="B5" i="5651"/>
  <c r="O4" i="5651"/>
  <c r="O3" i="5651"/>
  <c r="O2" i="5651"/>
  <c r="O19" i="5649"/>
  <c r="O18" i="5649"/>
  <c r="C27" i="5649"/>
  <c r="B24" i="5649"/>
  <c r="C20" i="5649"/>
  <c r="B17" i="5649"/>
  <c r="H50" i="5649" s="1"/>
  <c r="C16" i="5649"/>
  <c r="C15" i="5649"/>
  <c r="C14" i="5649"/>
  <c r="C13" i="5649"/>
  <c r="O12" i="5649"/>
  <c r="C12" i="5649"/>
  <c r="O11" i="5649"/>
  <c r="C11" i="5649"/>
  <c r="O10" i="5649"/>
  <c r="C10" i="5649"/>
  <c r="C9" i="5649"/>
  <c r="C8" i="5649"/>
  <c r="O7" i="5649"/>
  <c r="C7" i="5649"/>
  <c r="O6" i="5649"/>
  <c r="B6" i="5649"/>
  <c r="O5" i="5649"/>
  <c r="B5" i="5649"/>
  <c r="O4" i="5649"/>
  <c r="O3" i="5649"/>
  <c r="O2" i="5649"/>
  <c r="O18" i="5645"/>
  <c r="O16" i="5647"/>
  <c r="O17" i="5647"/>
  <c r="C27" i="5647"/>
  <c r="B24" i="5647"/>
  <c r="C20" i="5647"/>
  <c r="B17" i="5647"/>
  <c r="H50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20" i="5645"/>
  <c r="O22" i="5645"/>
  <c r="C27" i="5645"/>
  <c r="B24" i="5645"/>
  <c r="C20" i="5645"/>
  <c r="B17" i="5645"/>
  <c r="H51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8" i="5647" l="1"/>
  <c r="H2" i="5647"/>
  <c r="H14" i="5647"/>
  <c r="H52" i="5647"/>
  <c r="H21" i="5647"/>
  <c r="H11" i="5647"/>
  <c r="H4" i="5647"/>
  <c r="H10" i="5647"/>
  <c r="H16" i="5647"/>
  <c r="H4" i="5651"/>
  <c r="H2" i="5651"/>
  <c r="H10" i="5651"/>
  <c r="H8" i="5651"/>
  <c r="C19" i="5651"/>
  <c r="H22" i="5651"/>
  <c r="H25" i="5651"/>
  <c r="H31" i="5651"/>
  <c r="H39" i="5651"/>
  <c r="H47" i="5651"/>
  <c r="H13" i="5651"/>
  <c r="H15" i="5651"/>
  <c r="C17" i="5651"/>
  <c r="H19" i="5651"/>
  <c r="B23" i="5651"/>
  <c r="H32" i="5651"/>
  <c r="H40" i="5651"/>
  <c r="H48" i="5651"/>
  <c r="H3" i="5651"/>
  <c r="H6" i="5651"/>
  <c r="H9" i="5651"/>
  <c r="H12" i="5651"/>
  <c r="H17" i="5651"/>
  <c r="H27" i="5651"/>
  <c r="H35" i="5651"/>
  <c r="H43" i="5651"/>
  <c r="H51" i="5651"/>
  <c r="H5" i="5651"/>
  <c r="H11" i="5651"/>
  <c r="H14" i="5651"/>
  <c r="H16" i="5651"/>
  <c r="C18" i="5651"/>
  <c r="H21" i="5651"/>
  <c r="H24" i="5651"/>
  <c r="H28" i="5651"/>
  <c r="H36" i="5651"/>
  <c r="H44" i="5651"/>
  <c r="H52" i="5651"/>
  <c r="H18" i="5651"/>
  <c r="H20" i="5651"/>
  <c r="H23" i="5651"/>
  <c r="H26" i="5651"/>
  <c r="H29" i="5651"/>
  <c r="H33" i="5651"/>
  <c r="H37" i="5651"/>
  <c r="H41" i="5651"/>
  <c r="H45" i="5651"/>
  <c r="H49" i="5651"/>
  <c r="H30" i="5651"/>
  <c r="H34" i="5651"/>
  <c r="H38" i="5651"/>
  <c r="H42" i="5651"/>
  <c r="H46" i="5651"/>
  <c r="H9" i="5649"/>
  <c r="H12" i="5649"/>
  <c r="H19" i="5649"/>
  <c r="H5" i="5649"/>
  <c r="H8" i="5649"/>
  <c r="H10" i="5649"/>
  <c r="H17" i="5649"/>
  <c r="H22" i="5649"/>
  <c r="H25" i="5649"/>
  <c r="H31" i="5649"/>
  <c r="H39" i="5649"/>
  <c r="H47" i="5649"/>
  <c r="H14" i="5649"/>
  <c r="H2" i="5649"/>
  <c r="H4" i="5649"/>
  <c r="H16" i="5649"/>
  <c r="C18" i="5649"/>
  <c r="B23" i="5649"/>
  <c r="H32" i="5649"/>
  <c r="H40" i="5649"/>
  <c r="H48" i="5649"/>
  <c r="H27" i="5649"/>
  <c r="H35" i="5649"/>
  <c r="H43" i="5649"/>
  <c r="H51" i="5649"/>
  <c r="H3" i="5649"/>
  <c r="H6" i="5649"/>
  <c r="H11" i="5649"/>
  <c r="C17" i="5649"/>
  <c r="H24" i="5649"/>
  <c r="H28" i="5649"/>
  <c r="H36" i="5649"/>
  <c r="H44" i="5649"/>
  <c r="H52" i="5649"/>
  <c r="H18" i="5649"/>
  <c r="H26" i="5649"/>
  <c r="H33" i="5649"/>
  <c r="H37" i="5649"/>
  <c r="H45" i="5649"/>
  <c r="H49" i="5649"/>
  <c r="H20" i="5649"/>
  <c r="H23" i="5649"/>
  <c r="H29" i="5649"/>
  <c r="H41" i="5649"/>
  <c r="H7" i="5649"/>
  <c r="H13" i="5649"/>
  <c r="H15" i="5649"/>
  <c r="C19" i="5649"/>
  <c r="H21" i="5649"/>
  <c r="H30" i="5649"/>
  <c r="H34" i="5649"/>
  <c r="H38" i="5649"/>
  <c r="H42" i="5649"/>
  <c r="H46" i="5649"/>
  <c r="H28" i="5647"/>
  <c r="H36" i="5647"/>
  <c r="H5" i="5647"/>
  <c r="C18" i="5647"/>
  <c r="H24" i="5647"/>
  <c r="H44" i="5647"/>
  <c r="C19" i="5647"/>
  <c r="H22" i="5647"/>
  <c r="H25" i="5647"/>
  <c r="H31" i="5647"/>
  <c r="H39" i="5647"/>
  <c r="H47" i="5647"/>
  <c r="H7" i="5647"/>
  <c r="H13" i="5647"/>
  <c r="H15" i="5647"/>
  <c r="H19" i="5647"/>
  <c r="H32" i="5647"/>
  <c r="H40" i="5647"/>
  <c r="H48" i="5647"/>
  <c r="C17" i="5647"/>
  <c r="B23" i="5647"/>
  <c r="H3" i="5647"/>
  <c r="H6" i="5647"/>
  <c r="H9" i="5647"/>
  <c r="H12" i="5647"/>
  <c r="H17" i="5647"/>
  <c r="H27" i="5647"/>
  <c r="H35" i="5647"/>
  <c r="H43" i="5647"/>
  <c r="H51" i="5647"/>
  <c r="H18" i="5647"/>
  <c r="H20" i="5647"/>
  <c r="H23" i="5647"/>
  <c r="H26" i="5647"/>
  <c r="H29" i="5647"/>
  <c r="H33" i="5647"/>
  <c r="H37" i="5647"/>
  <c r="H41" i="5647"/>
  <c r="H45" i="5647"/>
  <c r="H49" i="5647"/>
  <c r="H30" i="5647"/>
  <c r="H34" i="5647"/>
  <c r="H38" i="5647"/>
  <c r="H42" i="5647"/>
  <c r="H46" i="5647"/>
  <c r="H18" i="5645"/>
  <c r="H12" i="5645"/>
  <c r="H28" i="5645"/>
  <c r="H30" i="5645"/>
  <c r="H10" i="5645"/>
  <c r="H7" i="5645"/>
  <c r="H27" i="5645"/>
  <c r="H6" i="5645"/>
  <c r="H11" i="5645"/>
  <c r="H3" i="5645"/>
  <c r="C18" i="5645"/>
  <c r="H9" i="5645"/>
  <c r="H4" i="5645"/>
  <c r="H2" i="5645"/>
  <c r="H15" i="5645"/>
  <c r="H35" i="5645"/>
  <c r="H40" i="5645"/>
  <c r="H45" i="5645"/>
  <c r="H50" i="5645"/>
  <c r="H13" i="5645"/>
  <c r="H14" i="5645"/>
  <c r="H33" i="5645"/>
  <c r="H36" i="5645"/>
  <c r="H41" i="5645"/>
  <c r="H46" i="5645"/>
  <c r="H26" i="5645"/>
  <c r="C19" i="5645"/>
  <c r="H20" i="5645"/>
  <c r="H23" i="5645"/>
  <c r="H22" i="5645"/>
  <c r="H37" i="5645"/>
  <c r="H42" i="5645"/>
  <c r="H48" i="5645"/>
  <c r="H5" i="5645"/>
  <c r="H8" i="5645"/>
  <c r="H29" i="5645"/>
  <c r="H19" i="5645"/>
  <c r="C17" i="5645"/>
  <c r="H16" i="5645"/>
  <c r="B23" i="5645"/>
  <c r="H34" i="5645"/>
  <c r="H38" i="5645"/>
  <c r="H44" i="5645"/>
  <c r="H49" i="5645"/>
  <c r="H52" i="5645"/>
  <c r="H31" i="5645"/>
  <c r="H32" i="5645"/>
  <c r="H21" i="5645"/>
  <c r="H24" i="5645"/>
  <c r="H17" i="5645"/>
  <c r="H25" i="5645"/>
  <c r="H39" i="5645"/>
  <c r="H43" i="5645"/>
  <c r="H47" i="564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<sst xmlns="http://schemas.openxmlformats.org/spreadsheetml/2006/main" count="2382" uniqueCount="199">
  <si>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</si>
  <si>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</si>
  <si>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</si>
  <si>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</si>
  <si>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</si>
  <si>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</si>
  <si>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</si>
  <si>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</si>
  <si>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</si>
  <si>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</si>
  <si>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</si>
  <si>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</si>
  <si>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</si>
  <si>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</si>
  <si>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</si>
  <si>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</si>
  <si>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</si>
  <si>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</si>
  <si>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</si>
  <si>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</si>
  <si>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</si>
  <si>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</si>
  <si>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</si>
  <si>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</si>
  <si>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</si>
  <si>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</si>
  <si>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</si>
  <si>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</si>
  <si>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</si>
  <si>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</si>
  <si>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</si>
  <si>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</si>
  <si>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</si>
  <si>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</si>
  <si>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</si>
  <si>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</si>
  <si>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</si>
  <si>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</si>
  <si>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</si>
  <si>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</si>
  <si>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</si>
  <si>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</si>
  <si>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</si>
  <si>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</si>
  <si>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</si>
  <si>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</si>
  <si>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</si>
  <si>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</si>
  <si>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</si>
  <si>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</si>
  <si>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</si>
  <si>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</si>
  <si>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</si>
  <si>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</si>
  <si>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</si>
  <si>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</si>
  <si>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</si>
  <si>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</si>
  <si>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</si>
  <si>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</si>
  <si>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</si>
  <si>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</si>
  <si>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</si>
  <si>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</si>
  <si>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</si>
  <si>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</si>
  <si>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</si>
  <si>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</si>
  <si>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</si>
  <si>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</si>
  <si>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</si>
  <si>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</si>
  <si>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</si>
  <si>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</si>
  <si>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</si>
  <si>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</si>
  <si>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</si>
  <si>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</si>
  <si>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</si>
  <si>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</si>
  <si>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</si>
  <si>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</si>
  <si>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</si>
  <si>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</si>
  <si>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</si>
  <si>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</si>
  <si>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</si>
  <si>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</si>
  <si>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</si>
  <si>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</si>
  <si>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</si>
  <si>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</si>
  <si>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</si>
  <si>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</si>
  <si>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</si>
  <si>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</si>
  <si>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</si>
  <si>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</si>
  <si>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</si>
  <si>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</si>
  <si>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</si>
  <si>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</si>
  <si>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</si>
  <si>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</si>
  <si>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</si>
  <si>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</si>
  <si>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</si>
  <si>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</si>
  <si>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</si>
  <si>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</si>
  <si>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</si>
  <si>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</si>
  <si>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</si>
  <si>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</si>
  <si>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</si>
  <si>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</si>
  <si>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</si>
  <si>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</si>
  <si>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</si>
  <si>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</si>
  <si>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</si>
  <si>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</si>
  <si>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</si>
  <si>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</si>
  <si>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</si>
  <si>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</si>
  <si>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</si>
  <si>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</si>
  <si>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</si>
  <si>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</si>
  <si>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</si>
  <si>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</si>
  <si>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</si>
  <si>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</si>
  <si>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</si>
  <si>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</si>
  <si>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</si>
  <si>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</si>
  <si>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</si>
  <si>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</si>
  <si>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</si>
  <si>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</si>
  <si>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</si>
  <si>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</si>
  <si>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</si>
  <si>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</si>
  <si>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</si>
  <si>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</si>
  <si>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</si>
  <si>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</si>
  <si>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</si>
  <si>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</si>
  <si>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</si>
  <si>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</si>
  <si>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</si>
  <si>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</si>
  <si>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</si>
  <si>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</si>
  <si>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</si>
  <si>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</si>
  <si>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</si>
  <si>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</si>
  <si>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</si>
  <si>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</si>
  <si>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</si>
  <si>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</si>
  <si>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</si>
  <si>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</si>
  <si>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</si>
  <si>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</si>
  <si>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</si>
  <si>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</si>
  <si>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</si>
  <si>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</si>
  <si>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</si>
  <si>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</si>
  <si>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</si>
  <si>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</si>
  <si>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</si>
  <si>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</si>
  <si>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</si>
  <si>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</si>
  <si>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</si>
  <si>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</si>
  <si>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</si>
  <si>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</si>
  <si>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</si>
  <si>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</si>
  <si>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</si>
  <si>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</si>
  <si>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</si>
  <si>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</si>
  <si>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</si>
  <si>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</si>
  <si>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</si>
  <si>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</si>
  <si>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</si>
  <si>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2019-09-30@2.xlsm</t>
  </si>
  <si>
    <t>2019-10-02@2.xlsm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</si>
</sst>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全体!$L$2:$L$86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34.5</c:v>
                </c:pt>
                <c:pt idx="83">
                  <c:v>46.9</c:v>
                </c:pt>
                <c:pt idx="8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1-4A1A-87BF-C432A2230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-11.904761904761905</c:v>
                </c:pt>
                <c:pt idx="1">
                  <c:v>12.345679012345679</c:v>
                </c:pt>
                <c:pt idx="2">
                  <c:v>-49.382716049382715</c:v>
                </c:pt>
                <c:pt idx="3">
                  <c:v>37.037037037037038</c:v>
                </c:pt>
                <c:pt idx="4">
                  <c:v>13.888888888888889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3D-4A11-9D75-1D29D532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たかの!$L$2:$L$11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0C-4E7D-BAA3-7C39B5F72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-6522.2222222222226</c:v>
                </c:pt>
                <c:pt idx="1">
                  <c:v>1222.2222222222222</c:v>
                </c:pt>
                <c:pt idx="2">
                  <c:v>222.22222222222223</c:v>
                </c:pt>
                <c:pt idx="3">
                  <c:v>-2266.6666666666665</c:v>
                </c:pt>
                <c:pt idx="4">
                  <c:v>-311.11111111111109</c:v>
                </c:pt>
                <c:pt idx="5">
                  <c:v>-214.28571428571428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23-4A40-B06E-220B47C49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だいち!$L$2:$L$23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F-4E9F-A2C0-1DEF70642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747.61904761904759</c:v>
                </c:pt>
                <c:pt idx="1">
                  <c:v>-565</c:v>
                </c:pt>
                <c:pt idx="2">
                  <c:v>370</c:v>
                </c:pt>
                <c:pt idx="3">
                  <c:v>340</c:v>
                </c:pt>
                <c:pt idx="4">
                  <c:v>7477.7777777777774</c:v>
                </c:pt>
                <c:pt idx="5">
                  <c:v>8133.333333333333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1-42FD-804A-19224B108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ただ!$L$2:$L$23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0E-43D7-9913-97CF7AEEA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1147.6190476190477</c:v>
                </c:pt>
                <c:pt idx="1">
                  <c:v>1495</c:v>
                </c:pt>
                <c:pt idx="2">
                  <c:v>-330</c:v>
                </c:pt>
                <c:pt idx="3">
                  <c:v>4830</c:v>
                </c:pt>
                <c:pt idx="4">
                  <c:v>-3988.8888888888887</c:v>
                </c:pt>
                <c:pt idx="5">
                  <c:v>-6820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9-4C99-AD41-08A19B566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7D-4C97-A0A7-ECF2ECC0A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2638.4615384615386</c:v>
                </c:pt>
                <c:pt idx="1">
                  <c:v>-2150</c:v>
                </c:pt>
                <c:pt idx="2">
                  <c:v>666.66666666666663</c:v>
                </c:pt>
                <c:pt idx="3">
                  <c:v>-5000</c:v>
                </c:pt>
                <c:pt idx="4">
                  <c:v>-7754.545454545455</c:v>
                </c:pt>
                <c:pt idx="5">
                  <c:v>-1850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CC-49A2-835A-32F10C248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れんたろう!$L$2:$L$6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B7-4EE7-8ECB-8E2488B68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4050</c:v>
                </c:pt>
                <c:pt idx="1">
                  <c:v>-1625</c:v>
                </c:pt>
                <c:pt idx="2">
                  <c:v>-2700</c:v>
                </c:pt>
                <c:pt idx="3">
                  <c:v>-2000</c:v>
                </c:pt>
                <c:pt idx="4">
                  <c:v>-7833.333333333333</c:v>
                </c:pt>
                <c:pt idx="5">
                  <c:v>-16000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0C-41FE-A8B8-24CB88A4C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2B-4C62-8A33-780C6DCD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-7025</c:v>
                </c:pt>
                <c:pt idx="1">
                  <c:v>-2625</c:v>
                </c:pt>
                <c:pt idx="2">
                  <c:v>5000</c:v>
                </c:pt>
                <c:pt idx="3">
                  <c:v>-2375</c:v>
                </c:pt>
                <c:pt idx="4">
                  <c:v>-750</c:v>
                </c:pt>
                <c:pt idx="5">
                  <c:v>10150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3-49EF-90E7-B0A354964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5-4371-AC62-55C3DD2CA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75</c:v>
                </c:pt>
                <c:pt idx="1">
                  <c:v>-6400</c:v>
                </c:pt>
                <c:pt idx="2">
                  <c:v>-5700</c:v>
                </c:pt>
                <c:pt idx="3">
                  <c:v>-1625</c:v>
                </c:pt>
                <c:pt idx="4">
                  <c:v>400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0-450F-8365-45BA0F05E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ぱぱ!$L$2:$L$7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B-4761-8BB7-B67E6FCE7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-2360</c:v>
                </c:pt>
                <c:pt idx="1">
                  <c:v>6440</c:v>
                </c:pt>
                <c:pt idx="2">
                  <c:v>3240</c:v>
                </c:pt>
                <c:pt idx="3">
                  <c:v>2400</c:v>
                </c:pt>
                <c:pt idx="4">
                  <c:v>7060</c:v>
                </c:pt>
                <c:pt idx="5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FE-40E6-8BC6-7BAF04A6F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9.1000000000000014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47-4F67-B24B-5E674A498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2333.3333333333335</c:v>
                </c:pt>
                <c:pt idx="1">
                  <c:v>2533.3333333333335</c:v>
                </c:pt>
                <c:pt idx="2">
                  <c:v>-5800</c:v>
                </c:pt>
                <c:pt idx="3">
                  <c:v>-2666.6666666666665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8-4906-9C46-719A366A3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9.1000000000000014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ほたに2!$C$3:$C$6</c:f>
              <c:numCache>
                <c:formatCode>\+0.0;\-0.0;\±0</c:formatCode>
                <c:ptCount val="4"/>
                <c:pt idx="1">
                  <c:v>-46.5</c:v>
                </c:pt>
                <c:pt idx="2">
                  <c:v>-12.7</c:v>
                </c:pt>
                <c:pt idx="3">
                  <c:v>3.0333333333333337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ほたに2!$D$3:$D$6</c:f>
              <c:numCache>
                <c:formatCode>0.00\ "位"</c:formatCode>
                <c:ptCount val="4"/>
                <c:pt idx="1">
                  <c:v>3</c:v>
                </c:pt>
                <c:pt idx="2">
                  <c:v>2</c:v>
                </c:pt>
                <c:pt idx="3">
                  <c:v>1.6666666666666667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ほたに2!$E$3:$E$6</c:f>
              <c:numCache>
                <c:formatCode>0.0%</c:formatCode>
                <c:ptCount val="4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ほたに2!$F$3:$F$6</c:f>
              <c:numCache>
                <c:formatCode>0.0%</c:formatCode>
                <c:ptCount val="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ほたに2!$G$3:$G$6</c:f>
              <c:numCache>
                <c:formatCode>0.0%</c:formatCode>
                <c:ptCount val="4"/>
                <c:pt idx="1">
                  <c:v>9.0909090909090912E-2</c:v>
                </c:pt>
                <c:pt idx="2">
                  <c:v>0.22222222222222221</c:v>
                </c:pt>
                <c:pt idx="3">
                  <c:v>0.31034482758620691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29729729729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ほたに2!$H$3:$H$6</c:f>
              <c:numCache>
                <c:formatCode>0.0%</c:formatCode>
                <c:ptCount val="4"/>
                <c:pt idx="1">
                  <c:v>0.27272727272727271</c:v>
                </c:pt>
                <c:pt idx="2">
                  <c:v>0.16666666666666666</c:v>
                </c:pt>
                <c:pt idx="3">
                  <c:v>0.13793103448275862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889317889317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ほたに2!$I$3:$I$6</c:f>
              <c:numCache>
                <c:formatCode>0</c:formatCode>
                <c:ptCount val="4"/>
                <c:pt idx="1">
                  <c:v>12000</c:v>
                </c:pt>
                <c:pt idx="2">
                  <c:v>9450</c:v>
                </c:pt>
                <c:pt idx="3">
                  <c:v>7311.1111111111113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30.73593073593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ほたに2!$J$3:$J$6</c:f>
              <c:numCache>
                <c:formatCode>0</c:formatCode>
                <c:ptCount val="4"/>
                <c:pt idx="1">
                  <c:v>-9333.3333333333339</c:v>
                </c:pt>
                <c:pt idx="2">
                  <c:v>-9333.3333333333339</c:v>
                </c:pt>
                <c:pt idx="3">
                  <c:v>-9000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79.8561151079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ほたに2!$K$3:$K$6</c:f>
              <c:numCache>
                <c:formatCode>0.0%</c:formatCode>
                <c:ptCount val="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0952380952380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ほたに2!$L$3:$L$6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0952380952380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ほたに2!$M$3:$M$6</c:f>
              <c:numCache>
                <c:formatCode>0.0%</c:formatCode>
                <c:ptCount val="4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5817245817245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ほたに2!$N$3:$N$6</c:f>
              <c:numCache>
                <c:formatCode>0.0%</c:formatCode>
                <c:ptCount val="4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0373230373230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ほたに2!$O$3:$O$6</c:f>
              <c:numCache>
                <c:formatCode>0.0%</c:formatCode>
                <c:ptCount val="4"/>
                <c:pt idx="1">
                  <c:v>0.33333333333333331</c:v>
                </c:pt>
                <c:pt idx="2">
                  <c:v>0.4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068062827225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ほたに2!$P$3:$P$6</c:f>
              <c:numCache>
                <c:formatCode>0.0%</c:formatCode>
                <c:ptCount val="4"/>
                <c:pt idx="1">
                  <c:v>0</c:v>
                </c:pt>
                <c:pt idx="2">
                  <c:v>0.33333333333333331</c:v>
                </c:pt>
                <c:pt idx="3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821229050279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ほたに2!$Q$3:$Q$6</c:f>
              <c:numCache>
                <c:formatCode>0.0%</c:formatCode>
                <c:ptCount val="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939393939393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0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43737.532500000001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43737.532500000001</v>
      </c>
      <c r="C3" s="30" t="s">
        <v>129</v>
      </c>
    </row>
    <row r="4" spans="1:12" x14ac:dyDescent="0.4">
      <c r="A4" s="30" t="s">
        <v>181</v>
      </c>
      <c r="B4" s="31">
        <v>43737.532500000001</v>
      </c>
      <c r="C4" s="30" t="s">
        <v>129</v>
      </c>
    </row>
    <row r="5" spans="1:12" x14ac:dyDescent="0.4">
      <c r="A5" s="30" t="s">
        <v>184</v>
      </c>
      <c r="B5" s="31">
        <v>43737.532500000001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43737.532500000001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43738.564340277779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197</v>
      </c>
      <c r="B8" s="31">
        <v>43740.96733796296</v>
      </c>
      <c r="C8" s="30" t="s">
        <v>129</v>
      </c>
    </row>
    <row r="9" spans="1:12" x14ac:dyDescent="0.4">
      <c r="A9" s="30" t="s">
        <v>195</v>
      </c>
      <c r="B9" s="31">
        <v>43739.43246527778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198</v>
      </c>
      <c r="B10" s="31">
        <v>43741.028969907406</v>
      </c>
      <c r="C10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84</v>
      </c>
    </row>
    <row r="2" spans="1:2" x14ac:dyDescent="0.4">
      <c r="A2" t="s">
        <v>167</v>
      </c>
      <c r="B2">
        <v>9</v>
      </c>
    </row>
    <row r="3" spans="1:2" x14ac:dyDescent="0.4">
      <c r="A3" t="s">
        <v>127</v>
      </c>
      <c r="B3">
        <v>21</v>
      </c>
    </row>
    <row r="4" spans="1:2" x14ac:dyDescent="0.4">
      <c r="A4" t="s">
        <v>128</v>
      </c>
      <c r="B4">
        <v>21</v>
      </c>
    </row>
    <row r="5" spans="1:2" x14ac:dyDescent="0.4">
      <c r="A5" t="s">
        <v>180</v>
      </c>
      <c r="B5">
        <v>13</v>
      </c>
    </row>
    <row r="6" spans="1:2" x14ac:dyDescent="0.4">
      <c r="A6" t="s">
        <v>178</v>
      </c>
      <c r="B6">
        <v>4</v>
      </c>
    </row>
    <row r="7" spans="1:2" x14ac:dyDescent="0.4">
      <c r="A7" t="s">
        <v>179</v>
      </c>
      <c r="B7">
        <v>4</v>
      </c>
    </row>
    <row r="8" spans="1:2" x14ac:dyDescent="0.4">
      <c r="A8" t="s">
        <v>183</v>
      </c>
      <c r="B8">
        <v>4</v>
      </c>
    </row>
    <row r="9" spans="1:2" x14ac:dyDescent="0.4">
      <c r="A9" t="s">
        <v>182</v>
      </c>
      <c r="B9">
        <v>5</v>
      </c>
    </row>
    <row r="10" spans="1:2" x14ac:dyDescent="0.4">
      <c r="A10" t="s">
        <v>196</v>
      </c>
      <c r="B10">
        <v>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161</v>
      </c>
      <c r="K1" s="159"/>
      <c r="L1" s="158" t="s">
        <v>148</v>
      </c>
      <c r="M1" s="159"/>
      <c r="N1" s="158" t="s">
        <v>149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140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150</v>
      </c>
      <c r="AE1" s="159"/>
      <c r="AF1" s="158" t="s">
        <v>143</v>
      </c>
      <c r="AG1" s="159"/>
      <c r="AH1" s="158" t="s">
        <v>152</v>
      </c>
      <c r="AI1" s="159"/>
    </row>
    <row r="2" spans="1:35" x14ac:dyDescent="0.4">
      <c r="A2" s="72" t="s">
        <v>160</v>
      </c>
      <c r="B2" s="160"/>
      <c r="C2" s="161"/>
      <c r="D2" s="160"/>
      <c r="E2" s="161"/>
      <c r="F2" s="162">
        <v>0.99903059457089727</v>
      </c>
      <c r="G2" s="163"/>
      <c r="H2" s="162">
        <v>0.99585409901140787</v>
      </c>
      <c r="I2" s="163"/>
      <c r="J2" s="162">
        <v>0.9997632514568674</v>
      </c>
      <c r="K2" s="163"/>
      <c r="L2" s="162">
        <v>0.98507901409737397</v>
      </c>
      <c r="M2" s="163"/>
      <c r="N2" s="162">
        <v>0.99202055209826767</v>
      </c>
      <c r="O2" s="163"/>
      <c r="P2" s="162">
        <v>0.44016522579706058</v>
      </c>
      <c r="Q2" s="163"/>
      <c r="R2" s="162">
        <v>0.99895750509243864</v>
      </c>
      <c r="S2" s="163"/>
      <c r="T2" s="162">
        <v>0.84352434257639453</v>
      </c>
      <c r="U2" s="163"/>
      <c r="V2" s="162">
        <v>0.91314360434394248</v>
      </c>
      <c r="W2" s="163"/>
      <c r="X2" s="162">
        <v>0.3807440418977544</v>
      </c>
      <c r="Y2" s="163"/>
      <c r="Z2" s="162">
        <v>0.26832645373681224</v>
      </c>
      <c r="AA2" s="163"/>
      <c r="AB2" s="162">
        <v>0.27455454191314638</v>
      </c>
      <c r="AC2" s="163"/>
      <c r="AD2" s="162">
        <v>0.9179869593552642</v>
      </c>
      <c r="AE2" s="163"/>
      <c r="AF2" s="162">
        <v>0.83830629513073551</v>
      </c>
      <c r="AG2" s="163"/>
      <c r="AH2" s="162">
        <v>0.69745128735243489</v>
      </c>
      <c r="AI2" s="163"/>
    </row>
    <row r="3" spans="1:35" x14ac:dyDescent="0.4">
      <c r="A3" s="74">
        <v>1</v>
      </c>
      <c r="B3" s="75" t="s">
        <v>127</v>
      </c>
      <c r="C3" s="76">
        <v>371.39999999999992</v>
      </c>
      <c r="D3" s="77" t="s">
        <v>182</v>
      </c>
      <c r="E3" s="96">
        <v>25.580000000000002</v>
      </c>
      <c r="F3" s="77" t="s">
        <v>127</v>
      </c>
      <c r="G3" s="78">
        <v>1.5238095238095237</v>
      </c>
      <c r="H3" s="77" t="s">
        <v>196</v>
      </c>
      <c r="I3" s="79">
        <v>0.66666666666666663</v>
      </c>
      <c r="J3" s="77" t="s">
        <v>182</v>
      </c>
      <c r="K3" s="79">
        <v>0</v>
      </c>
      <c r="L3" s="77" t="s">
        <v>182</v>
      </c>
      <c r="M3" s="80">
        <v>0.38636363636363635</v>
      </c>
      <c r="N3" s="77" t="s">
        <v>182</v>
      </c>
      <c r="O3" s="80">
        <v>6.8181818181818177E-2</v>
      </c>
      <c r="P3" s="77" t="s">
        <v>178</v>
      </c>
      <c r="Q3" s="81">
        <v>11355.555555555555</v>
      </c>
      <c r="R3" s="77" t="s">
        <v>127</v>
      </c>
      <c r="S3" s="81">
        <v>-6553.8461538461543</v>
      </c>
      <c r="T3" s="77" t="s">
        <v>127</v>
      </c>
      <c r="U3" s="79">
        <v>0</v>
      </c>
      <c r="V3" s="77" t="s">
        <v>182</v>
      </c>
      <c r="W3" s="79">
        <v>0.4</v>
      </c>
      <c r="X3" s="77" t="s">
        <v>182</v>
      </c>
      <c r="Y3" s="80">
        <v>0.36363636363636365</v>
      </c>
      <c r="Z3" s="77" t="s">
        <v>196</v>
      </c>
      <c r="AA3" s="80">
        <v>0.34482758620689657</v>
      </c>
      <c r="AB3" s="77" t="s">
        <v>179</v>
      </c>
      <c r="AC3" s="80">
        <v>0.75</v>
      </c>
      <c r="AD3" s="77" t="s">
        <v>127</v>
      </c>
      <c r="AE3" s="80">
        <v>0.58536585365853655</v>
      </c>
      <c r="AF3" s="77" t="s">
        <v>183</v>
      </c>
      <c r="AG3" s="80">
        <v>0.5714285714285714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127.9</v>
      </c>
      <c r="D4" s="85" t="s">
        <v>127</v>
      </c>
      <c r="E4" s="97">
        <v>17.685714285714283</v>
      </c>
      <c r="F4" s="85" t="s">
        <v>182</v>
      </c>
      <c r="G4" s="86">
        <v>1.6</v>
      </c>
      <c r="H4" s="85" t="s">
        <v>127</v>
      </c>
      <c r="I4" s="87">
        <v>0.61904761904761907</v>
      </c>
      <c r="J4" s="85" t="s">
        <v>127</v>
      </c>
      <c r="K4" s="87">
        <v>0.14285714285714285</v>
      </c>
      <c r="L4" s="85" t="s">
        <v>127</v>
      </c>
      <c r="M4" s="88">
        <v>0.375</v>
      </c>
      <c r="N4" s="85" t="s">
        <v>179</v>
      </c>
      <c r="O4" s="88">
        <v>0.10256410256410256</v>
      </c>
      <c r="P4" s="85" t="s">
        <v>183</v>
      </c>
      <c r="Q4" s="89">
        <v>9028.5714285714294</v>
      </c>
      <c r="R4" s="85" t="s">
        <v>182</v>
      </c>
      <c r="S4" s="89">
        <v>-6800</v>
      </c>
      <c r="T4" s="85" t="s">
        <v>167</v>
      </c>
      <c r="U4" s="87">
        <v>0</v>
      </c>
      <c r="V4" s="85" t="s">
        <v>196</v>
      </c>
      <c r="W4" s="87">
        <v>0.33333333333333331</v>
      </c>
      <c r="X4" s="85" t="s">
        <v>127</v>
      </c>
      <c r="Y4" s="88">
        <v>0.28125</v>
      </c>
      <c r="Z4" s="85" t="s">
        <v>128</v>
      </c>
      <c r="AA4" s="88">
        <v>0.29381443298969073</v>
      </c>
      <c r="AB4" s="85" t="s">
        <v>182</v>
      </c>
      <c r="AC4" s="88">
        <v>0.6875</v>
      </c>
      <c r="AD4" s="85" t="s">
        <v>179</v>
      </c>
      <c r="AE4" s="88">
        <v>0.5714285714285714</v>
      </c>
      <c r="AF4" s="85" t="s">
        <v>167</v>
      </c>
      <c r="AG4" s="88">
        <v>0.52380952380952384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196</v>
      </c>
      <c r="C5" s="84">
        <v>9.1000000000000014</v>
      </c>
      <c r="D5" s="85" t="s">
        <v>196</v>
      </c>
      <c r="E5" s="97">
        <v>3.0333333333333337</v>
      </c>
      <c r="F5" s="85" t="s">
        <v>196</v>
      </c>
      <c r="G5" s="86">
        <v>1.6666666666666667</v>
      </c>
      <c r="H5" s="85" t="s">
        <v>182</v>
      </c>
      <c r="I5" s="87">
        <v>0.4</v>
      </c>
      <c r="J5" s="85" t="s">
        <v>144</v>
      </c>
      <c r="K5" s="87">
        <v>0.33333333333333331</v>
      </c>
      <c r="L5" s="85" t="s">
        <v>196</v>
      </c>
      <c r="M5" s="88">
        <v>0.31034482758620691</v>
      </c>
      <c r="N5" s="85" t="s">
        <v>127</v>
      </c>
      <c r="O5" s="88">
        <v>0.13541666666666666</v>
      </c>
      <c r="P5" s="85" t="s">
        <v>179</v>
      </c>
      <c r="Q5" s="89">
        <v>8937.5</v>
      </c>
      <c r="R5" s="85" t="s">
        <v>167</v>
      </c>
      <c r="S5" s="89">
        <v>-7552.9411764705883</v>
      </c>
      <c r="T5" s="85" t="s">
        <v>182</v>
      </c>
      <c r="U5" s="87">
        <v>0</v>
      </c>
      <c r="V5" s="85" t="s">
        <v>178</v>
      </c>
      <c r="W5" s="87">
        <v>0.25</v>
      </c>
      <c r="X5" s="85" t="s">
        <v>196</v>
      </c>
      <c r="Y5" s="88">
        <v>0.27586206896551724</v>
      </c>
      <c r="Z5" s="85" t="s">
        <v>167</v>
      </c>
      <c r="AA5" s="88">
        <v>0.26436781609195403</v>
      </c>
      <c r="AB5" s="85" t="s">
        <v>183</v>
      </c>
      <c r="AC5" s="88">
        <v>0.6</v>
      </c>
      <c r="AD5" s="85" t="s">
        <v>128</v>
      </c>
      <c r="AE5" s="88">
        <v>0.47368421052631576</v>
      </c>
      <c r="AF5" s="85" t="s">
        <v>127</v>
      </c>
      <c r="AG5" s="88">
        <v>0.47222222222222221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0</v>
      </c>
      <c r="D6" s="85" t="s">
        <v>144</v>
      </c>
      <c r="E6" s="97">
        <v>0</v>
      </c>
      <c r="F6" s="85" t="s">
        <v>144</v>
      </c>
      <c r="G6" s="86">
        <v>2</v>
      </c>
      <c r="H6" s="85" t="s">
        <v>144</v>
      </c>
      <c r="I6" s="87">
        <v>0.33333333333333331</v>
      </c>
      <c r="J6" s="85" t="s">
        <v>167</v>
      </c>
      <c r="K6" s="87">
        <v>0.33333333333333331</v>
      </c>
      <c r="L6" s="85" t="s">
        <v>128</v>
      </c>
      <c r="M6" s="88">
        <v>0.30927835051546393</v>
      </c>
      <c r="N6" s="85" t="s">
        <v>196</v>
      </c>
      <c r="O6" s="88">
        <v>0.13793103448275862</v>
      </c>
      <c r="P6" s="85" t="s">
        <v>182</v>
      </c>
      <c r="Q6" s="89">
        <v>8894.1176470588234</v>
      </c>
      <c r="R6" s="85" t="s">
        <v>128</v>
      </c>
      <c r="S6" s="89">
        <v>-7875.6756756756758</v>
      </c>
      <c r="T6" s="85" t="s">
        <v>144</v>
      </c>
      <c r="U6" s="87">
        <v>0.13095238095238096</v>
      </c>
      <c r="V6" s="85" t="s">
        <v>127</v>
      </c>
      <c r="W6" s="87">
        <v>0.19047619047619047</v>
      </c>
      <c r="X6" s="85" t="s">
        <v>183</v>
      </c>
      <c r="Y6" s="88">
        <v>0.27027027027027029</v>
      </c>
      <c r="Z6" s="85" t="s">
        <v>178</v>
      </c>
      <c r="AA6" s="88">
        <v>0.25</v>
      </c>
      <c r="AB6" s="85" t="s">
        <v>127</v>
      </c>
      <c r="AC6" s="88">
        <v>0.59259259259259256</v>
      </c>
      <c r="AD6" s="85" t="s">
        <v>144</v>
      </c>
      <c r="AE6" s="88">
        <v>0.40782122905027934</v>
      </c>
      <c r="AF6" s="85" t="s">
        <v>182</v>
      </c>
      <c r="AG6" s="88">
        <v>0.41176470588235292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179</v>
      </c>
      <c r="C7" s="84">
        <v>-19.3</v>
      </c>
      <c r="D7" s="85" t="s">
        <v>128</v>
      </c>
      <c r="E7" s="97">
        <v>-3.2000000000000015</v>
      </c>
      <c r="F7" s="85" t="s">
        <v>167</v>
      </c>
      <c r="G7" s="86">
        <v>2</v>
      </c>
      <c r="H7" s="85" t="s">
        <v>167</v>
      </c>
      <c r="I7" s="87">
        <v>0.33333333333333331</v>
      </c>
      <c r="J7" s="85" t="s">
        <v>196</v>
      </c>
      <c r="K7" s="87">
        <v>0.33333333333333331</v>
      </c>
      <c r="L7" s="85" t="s">
        <v>144</v>
      </c>
      <c r="M7" s="88">
        <v>0.29729729729729731</v>
      </c>
      <c r="N7" s="85" t="s">
        <v>144</v>
      </c>
      <c r="O7" s="88">
        <v>0.17889317889317891</v>
      </c>
      <c r="P7" s="85" t="s">
        <v>128</v>
      </c>
      <c r="Q7" s="89">
        <v>8355</v>
      </c>
      <c r="R7" s="85" t="s">
        <v>179</v>
      </c>
      <c r="S7" s="89">
        <v>-7900</v>
      </c>
      <c r="T7" s="85" t="s">
        <v>180</v>
      </c>
      <c r="U7" s="87">
        <v>0.15384615384615385</v>
      </c>
      <c r="V7" s="85" t="s">
        <v>128</v>
      </c>
      <c r="W7" s="87">
        <v>0.14285714285714285</v>
      </c>
      <c r="X7" s="85" t="s">
        <v>180</v>
      </c>
      <c r="Y7" s="88">
        <v>0.26050420168067229</v>
      </c>
      <c r="Z7" s="85" t="s">
        <v>183</v>
      </c>
      <c r="AA7" s="88">
        <v>0.24324324324324326</v>
      </c>
      <c r="AB7" s="85" t="s">
        <v>180</v>
      </c>
      <c r="AC7" s="88">
        <v>0.58064516129032262</v>
      </c>
      <c r="AD7" s="85" t="s">
        <v>196</v>
      </c>
      <c r="AE7" s="88">
        <v>0.4</v>
      </c>
      <c r="AF7" s="85" t="s">
        <v>144</v>
      </c>
      <c r="AG7" s="88">
        <v>0.39393939393939392</v>
      </c>
      <c r="AH7" s="85" t="s">
        <v>179</v>
      </c>
      <c r="AI7" s="92">
        <v>71900</v>
      </c>
    </row>
    <row r="8" spans="1:35" x14ac:dyDescent="0.4">
      <c r="A8" s="82">
        <v>6</v>
      </c>
      <c r="B8" s="83" t="s">
        <v>167</v>
      </c>
      <c r="C8" s="84">
        <v>-59.500000000000007</v>
      </c>
      <c r="D8" s="85" t="s">
        <v>179</v>
      </c>
      <c r="E8" s="97">
        <v>-4.8250000000000002</v>
      </c>
      <c r="F8" s="85" t="s">
        <v>128</v>
      </c>
      <c r="G8" s="86">
        <v>2.1428571428571428</v>
      </c>
      <c r="H8" s="85" t="s">
        <v>178</v>
      </c>
      <c r="I8" s="87">
        <v>0.25</v>
      </c>
      <c r="J8" s="85" t="s">
        <v>128</v>
      </c>
      <c r="K8" s="87">
        <v>0.38095238095238093</v>
      </c>
      <c r="L8" s="85" t="s">
        <v>178</v>
      </c>
      <c r="M8" s="88">
        <v>0.25</v>
      </c>
      <c r="N8" s="85" t="s">
        <v>128</v>
      </c>
      <c r="O8" s="88">
        <v>0.19072164948453607</v>
      </c>
      <c r="P8" s="85" t="s">
        <v>144</v>
      </c>
      <c r="Q8" s="89">
        <v>8330.7359307359311</v>
      </c>
      <c r="R8" s="85" t="s">
        <v>144</v>
      </c>
      <c r="S8" s="89">
        <v>-8079.8561151079139</v>
      </c>
      <c r="T8" s="85" t="s">
        <v>128</v>
      </c>
      <c r="U8" s="87">
        <v>0.19047619047619047</v>
      </c>
      <c r="V8" s="85" t="s">
        <v>144</v>
      </c>
      <c r="W8" s="87">
        <v>0.13095238095238096</v>
      </c>
      <c r="X8" s="85" t="s">
        <v>144</v>
      </c>
      <c r="Y8" s="88">
        <v>0.24581724581724582</v>
      </c>
      <c r="Z8" s="85" t="s">
        <v>144</v>
      </c>
      <c r="AA8" s="88">
        <v>0.23037323037323038</v>
      </c>
      <c r="AB8" s="85" t="s">
        <v>144</v>
      </c>
      <c r="AC8" s="88">
        <v>0.5706806282722513</v>
      </c>
      <c r="AD8" s="85" t="s">
        <v>178</v>
      </c>
      <c r="AE8" s="88">
        <v>0.33333333333333331</v>
      </c>
      <c r="AF8" s="85" t="s">
        <v>179</v>
      </c>
      <c r="AG8" s="88">
        <v>0.375</v>
      </c>
      <c r="AH8" s="85" t="s">
        <v>178</v>
      </c>
      <c r="AI8" s="92">
        <v>64200</v>
      </c>
    </row>
    <row r="9" spans="1:35" x14ac:dyDescent="0.4">
      <c r="A9" s="82">
        <v>7</v>
      </c>
      <c r="B9" s="83" t="s">
        <v>128</v>
      </c>
      <c r="C9" s="84">
        <v>-67.200000000000031</v>
      </c>
      <c r="D9" s="85" t="s">
        <v>167</v>
      </c>
      <c r="E9" s="97">
        <v>-6.6111111111111116</v>
      </c>
      <c r="F9" s="85" t="s">
        <v>178</v>
      </c>
      <c r="G9" s="86">
        <v>2.25</v>
      </c>
      <c r="H9" s="85" t="s">
        <v>179</v>
      </c>
      <c r="I9" s="87">
        <v>0.25</v>
      </c>
      <c r="J9" s="85" t="s">
        <v>178</v>
      </c>
      <c r="K9" s="87">
        <v>0.5</v>
      </c>
      <c r="L9" s="85" t="s">
        <v>167</v>
      </c>
      <c r="M9" s="88">
        <v>0.2413793103448276</v>
      </c>
      <c r="N9" s="85" t="s">
        <v>167</v>
      </c>
      <c r="O9" s="88">
        <v>0.19540229885057472</v>
      </c>
      <c r="P9" s="85" t="s">
        <v>127</v>
      </c>
      <c r="Q9" s="89">
        <v>8168.0555555555557</v>
      </c>
      <c r="R9" s="85" t="s">
        <v>180</v>
      </c>
      <c r="S9" s="89">
        <v>-8551.7241379310344</v>
      </c>
      <c r="T9" s="85" t="s">
        <v>179</v>
      </c>
      <c r="U9" s="87">
        <v>0.25</v>
      </c>
      <c r="V9" s="85" t="s">
        <v>180</v>
      </c>
      <c r="W9" s="87">
        <v>0</v>
      </c>
      <c r="X9" s="85" t="s">
        <v>167</v>
      </c>
      <c r="Y9" s="88">
        <v>0.2413793103448276</v>
      </c>
      <c r="Z9" s="85" t="s">
        <v>127</v>
      </c>
      <c r="AA9" s="88">
        <v>0.21354166666666666</v>
      </c>
      <c r="AB9" s="85" t="s">
        <v>167</v>
      </c>
      <c r="AC9" s="88">
        <v>0.52380952380952384</v>
      </c>
      <c r="AD9" s="85" t="s">
        <v>167</v>
      </c>
      <c r="AE9" s="88">
        <v>0.2608695652173913</v>
      </c>
      <c r="AF9" s="85" t="s">
        <v>178</v>
      </c>
      <c r="AG9" s="88">
        <v>0.33333333333333331</v>
      </c>
      <c r="AH9" s="85" t="s">
        <v>196</v>
      </c>
      <c r="AI9" s="92">
        <v>59500</v>
      </c>
    </row>
    <row r="10" spans="1:35" x14ac:dyDescent="0.4">
      <c r="A10" s="82">
        <v>8</v>
      </c>
      <c r="B10" s="83" t="s">
        <v>178</v>
      </c>
      <c r="C10" s="84">
        <v>-74.599999999999994</v>
      </c>
      <c r="D10" s="85" t="s">
        <v>180</v>
      </c>
      <c r="E10" s="97">
        <v>-15.946153846153846</v>
      </c>
      <c r="F10" s="85" t="s">
        <v>179</v>
      </c>
      <c r="G10" s="86">
        <v>2.25</v>
      </c>
      <c r="H10" s="85" t="s">
        <v>128</v>
      </c>
      <c r="I10" s="87">
        <v>0.23809523809523808</v>
      </c>
      <c r="J10" s="85" t="s">
        <v>179</v>
      </c>
      <c r="K10" s="87">
        <v>0.5</v>
      </c>
      <c r="L10" s="85" t="s">
        <v>180</v>
      </c>
      <c r="M10" s="88">
        <v>0.23529411764705882</v>
      </c>
      <c r="N10" s="85" t="s">
        <v>183</v>
      </c>
      <c r="O10" s="88">
        <v>0.24324324324324326</v>
      </c>
      <c r="P10" s="85" t="s">
        <v>180</v>
      </c>
      <c r="Q10" s="89">
        <v>7928.5714285714284</v>
      </c>
      <c r="R10" s="85" t="s">
        <v>183</v>
      </c>
      <c r="S10" s="89">
        <v>-8566.6666666666661</v>
      </c>
      <c r="T10" s="85" t="s">
        <v>183</v>
      </c>
      <c r="U10" s="87">
        <v>0.25</v>
      </c>
      <c r="V10" s="85" t="s">
        <v>167</v>
      </c>
      <c r="W10" s="87">
        <v>0</v>
      </c>
      <c r="X10" s="85" t="s">
        <v>178</v>
      </c>
      <c r="Y10" s="88">
        <v>0.22222222222222221</v>
      </c>
      <c r="Z10" s="85" t="s">
        <v>179</v>
      </c>
      <c r="AA10" s="88">
        <v>0.17948717948717949</v>
      </c>
      <c r="AB10" s="85" t="s">
        <v>128</v>
      </c>
      <c r="AC10" s="88">
        <v>0.51282051282051277</v>
      </c>
      <c r="AD10" s="85" t="s">
        <v>182</v>
      </c>
      <c r="AE10" s="88">
        <v>0.25</v>
      </c>
      <c r="AF10" s="85" t="s">
        <v>196</v>
      </c>
      <c r="AG10" s="88">
        <v>0.33333333333333331</v>
      </c>
      <c r="AH10" s="85" t="s">
        <v>180</v>
      </c>
      <c r="AI10" s="92">
        <v>53700</v>
      </c>
    </row>
    <row r="11" spans="1:35" x14ac:dyDescent="0.4">
      <c r="A11" s="82">
        <v>9</v>
      </c>
      <c r="B11" s="83" t="s">
        <v>183</v>
      </c>
      <c r="C11" s="84">
        <v>-80.5</v>
      </c>
      <c r="D11" s="85" t="s">
        <v>178</v>
      </c>
      <c r="E11" s="97">
        <v>-18.649999999999999</v>
      </c>
      <c r="F11" s="85" t="s">
        <v>180</v>
      </c>
      <c r="G11" s="86">
        <v>2.4615384615384617</v>
      </c>
      <c r="H11" s="85" t="s">
        <v>180</v>
      </c>
      <c r="I11" s="87">
        <v>7.6923076923076927E-2</v>
      </c>
      <c r="J11" s="85" t="s">
        <v>183</v>
      </c>
      <c r="K11" s="87">
        <v>0.5</v>
      </c>
      <c r="L11" s="85" t="s">
        <v>179</v>
      </c>
      <c r="M11" s="88">
        <v>0.20512820512820512</v>
      </c>
      <c r="N11" s="85" t="s">
        <v>180</v>
      </c>
      <c r="O11" s="88">
        <v>0.24369747899159663</v>
      </c>
      <c r="P11" s="85" t="s">
        <v>167</v>
      </c>
      <c r="Q11" s="89">
        <v>7576.1904761904761</v>
      </c>
      <c r="R11" s="85" t="s">
        <v>196</v>
      </c>
      <c r="S11" s="89">
        <v>-9000</v>
      </c>
      <c r="T11" s="85" t="s">
        <v>196</v>
      </c>
      <c r="U11" s="87">
        <v>0.33333333333333331</v>
      </c>
      <c r="V11" s="85" t="s">
        <v>179</v>
      </c>
      <c r="W11" s="87">
        <v>0</v>
      </c>
      <c r="X11" s="85" t="s">
        <v>128</v>
      </c>
      <c r="Y11" s="88">
        <v>0.20103092783505155</v>
      </c>
      <c r="Z11" s="85" t="s">
        <v>180</v>
      </c>
      <c r="AA11" s="88">
        <v>0.15966386554621848</v>
      </c>
      <c r="AB11" s="85" t="s">
        <v>178</v>
      </c>
      <c r="AC11" s="88">
        <v>0.5</v>
      </c>
      <c r="AD11" s="85" t="s">
        <v>180</v>
      </c>
      <c r="AE11" s="88">
        <v>0.15789473684210525</v>
      </c>
      <c r="AF11" s="85" t="s">
        <v>180</v>
      </c>
      <c r="AG11" s="88">
        <v>0.32142857142857145</v>
      </c>
      <c r="AH11" s="85" t="s">
        <v>167</v>
      </c>
      <c r="AI11" s="92">
        <v>49500</v>
      </c>
    </row>
    <row r="12" spans="1:35" x14ac:dyDescent="0.4">
      <c r="A12" s="82">
        <v>10</v>
      </c>
      <c r="B12" s="83" t="s">
        <v>180</v>
      </c>
      <c r="C12" s="84">
        <v>-207.3</v>
      </c>
      <c r="D12" s="85" t="s">
        <v>183</v>
      </c>
      <c r="E12" s="97">
        <v>-20.125</v>
      </c>
      <c r="F12" s="85" t="s">
        <v>183</v>
      </c>
      <c r="G12" s="86">
        <v>2.5</v>
      </c>
      <c r="H12" s="85" t="s">
        <v>183</v>
      </c>
      <c r="I12" s="87">
        <v>0</v>
      </c>
      <c r="J12" s="85" t="s">
        <v>180</v>
      </c>
      <c r="K12" s="87">
        <v>0.53846153846153844</v>
      </c>
      <c r="L12" s="85" t="s">
        <v>183</v>
      </c>
      <c r="M12" s="88">
        <v>0.1891891891891892</v>
      </c>
      <c r="N12" s="85" t="s">
        <v>178</v>
      </c>
      <c r="O12" s="88">
        <v>0.27777777777777779</v>
      </c>
      <c r="P12" s="85" t="s">
        <v>196</v>
      </c>
      <c r="Q12" s="89">
        <v>7311.1111111111113</v>
      </c>
      <c r="R12" s="85" t="s">
        <v>178</v>
      </c>
      <c r="S12" s="89">
        <v>-11980</v>
      </c>
      <c r="T12" s="85" t="s">
        <v>178</v>
      </c>
      <c r="U12" s="87">
        <v>0.5</v>
      </c>
      <c r="V12" s="85" t="s">
        <v>183</v>
      </c>
      <c r="W12" s="87">
        <v>0</v>
      </c>
      <c r="X12" s="85" t="s">
        <v>179</v>
      </c>
      <c r="Y12" s="88">
        <v>0.10256410256410256</v>
      </c>
      <c r="Z12" s="85" t="s">
        <v>182</v>
      </c>
      <c r="AA12" s="88">
        <v>9.0909090909090912E-2</v>
      </c>
      <c r="AB12" s="85" t="s">
        <v>196</v>
      </c>
      <c r="AC12" s="88">
        <v>0.5</v>
      </c>
      <c r="AD12" s="85" t="s">
        <v>183</v>
      </c>
      <c r="AE12" s="88">
        <v>0.1111111111111111</v>
      </c>
      <c r="AF12" s="85" t="s">
        <v>128</v>
      </c>
      <c r="AG12" s="88">
        <v>0.28333333333333333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25D0-B96E-421D-B879-D848C110A687}">
  <sheetPr codeName="Sheet4"/>
  <dimension ref="A1:Q8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84</v>
      </c>
      <c r="C2" s="151"/>
      <c r="E2" s="62" t="s">
        <v>67</v>
      </c>
      <c r="F2" s="59" t="s">
        <v>23</v>
      </c>
      <c r="G2" s="46">
        <v>166</v>
      </c>
      <c r="H2" s="132">
        <f>IF(B$17=0,0,G2/B$17)</f>
        <v>0.7186147186147186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-11.904761904761905</v>
      </c>
      <c r="P2" s="118">
        <v>84</v>
      </c>
      <c r="Q2" s="102">
        <v>-1000</v>
      </c>
    </row>
    <row r="3" spans="1:17" x14ac:dyDescent="0.4">
      <c r="A3" s="55" t="s">
        <v>8</v>
      </c>
      <c r="B3" s="152">
        <v>777</v>
      </c>
      <c r="C3" s="153"/>
      <c r="E3" s="63" t="s">
        <v>73</v>
      </c>
      <c r="F3" s="60" t="s">
        <v>28</v>
      </c>
      <c r="G3" s="47">
        <v>125</v>
      </c>
      <c r="H3" s="133">
        <f>IF(B$17=0,0,G3/B$17)</f>
        <v>0.54112554112554112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12.345679012345679</v>
      </c>
      <c r="P3" s="119">
        <v>81</v>
      </c>
      <c r="Q3" s="103">
        <v>1000</v>
      </c>
    </row>
    <row r="4" spans="1:17" x14ac:dyDescent="0.4">
      <c r="A4" s="55" t="s">
        <v>6</v>
      </c>
      <c r="B4" s="154">
        <v>0</v>
      </c>
      <c r="C4" s="155"/>
      <c r="E4" s="63" t="s">
        <v>65</v>
      </c>
      <c r="F4" s="60" t="s">
        <v>21</v>
      </c>
      <c r="G4" s="47">
        <v>109</v>
      </c>
      <c r="H4" s="133">
        <f>IF(B$17=0,0,G4/B$17)</f>
        <v>0.47186147186147187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-49.382716049382715</v>
      </c>
      <c r="P4" s="119">
        <v>81</v>
      </c>
      <c r="Q4" s="103">
        <v>-4000</v>
      </c>
    </row>
    <row r="5" spans="1:17" x14ac:dyDescent="0.4">
      <c r="A5" s="55" t="s">
        <v>7</v>
      </c>
      <c r="B5" s="156">
        <f>IF(B$2=0,0,B$4/B$2)</f>
        <v>0</v>
      </c>
      <c r="C5" s="157"/>
      <c r="E5" s="63" t="s">
        <v>172</v>
      </c>
      <c r="F5" s="60" t="s">
        <v>173</v>
      </c>
      <c r="G5" s="47">
        <v>82</v>
      </c>
      <c r="H5" s="133">
        <f>IF(B$17=0,0,G5/B$17)</f>
        <v>0.354978354978355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37.037037037037038</v>
      </c>
      <c r="P5" s="119">
        <v>81</v>
      </c>
      <c r="Q5" s="103">
        <v>3000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68</v>
      </c>
      <c r="F6" s="60" t="s">
        <v>24</v>
      </c>
      <c r="G6" s="47">
        <v>77</v>
      </c>
      <c r="H6" s="133">
        <f>IF(B$17=0,0,G6/B$17)</f>
        <v>0.33333333333333331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0"/>
        <v>13.888888888888889</v>
      </c>
      <c r="P6" s="119">
        <v>72</v>
      </c>
      <c r="Q6" s="103">
        <v>1000</v>
      </c>
    </row>
    <row r="7" spans="1:17" x14ac:dyDescent="0.4">
      <c r="A7" s="55" t="s">
        <v>2</v>
      </c>
      <c r="B7" s="47">
        <v>28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61</v>
      </c>
      <c r="H7" s="133">
        <f>IF(B$17=0,0,G7/B$17)</f>
        <v>0.26406926406926406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57</v>
      </c>
      <c r="Q7" s="104">
        <v>0</v>
      </c>
    </row>
    <row r="8" spans="1:17" x14ac:dyDescent="0.4">
      <c r="A8" s="55" t="s">
        <v>3</v>
      </c>
      <c r="B8" s="47">
        <v>28</v>
      </c>
      <c r="C8" s="39">
        <f t="shared" si="1"/>
        <v>0.33333333333333331</v>
      </c>
      <c r="E8" s="63" t="s">
        <v>70</v>
      </c>
      <c r="F8" s="60" t="s">
        <v>25</v>
      </c>
      <c r="G8" s="47">
        <v>36</v>
      </c>
      <c r="H8" s="133">
        <f>IF(B$17=0,0,G8/B$17)</f>
        <v>0.15584415584415584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si="1"/>
        <v>0.33333333333333331</v>
      </c>
      <c r="E9" s="63" t="s">
        <v>90</v>
      </c>
      <c r="F9" s="60" t="s">
        <v>45</v>
      </c>
      <c r="G9" s="47">
        <v>28</v>
      </c>
      <c r="H9" s="133">
        <f>IF(B$17=0,0,G9/B$17)</f>
        <v>0.12121212121212122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11</v>
      </c>
      <c r="C10" s="40">
        <f t="shared" si="1"/>
        <v>0.13095238095238096</v>
      </c>
      <c r="E10" s="63" t="s">
        <v>66</v>
      </c>
      <c r="F10" s="60" t="s">
        <v>22</v>
      </c>
      <c r="G10" s="47">
        <v>25</v>
      </c>
      <c r="H10" s="133">
        <f>IF(B$17=0,0,G10/B$17)</f>
        <v>0.10822510822510822</v>
      </c>
      <c r="I10" s="94">
        <v>7</v>
      </c>
      <c r="K10" s="38">
        <v>8</v>
      </c>
      <c r="L10" s="99">
        <v>-46.9</v>
      </c>
      <c r="N10" s="114" t="s">
        <v>163</v>
      </c>
      <c r="O10" s="124">
        <f>IF(P10=0,0,Q10/P10)</f>
        <v>0.36785714285714349</v>
      </c>
      <c r="P10" s="118">
        <v>28</v>
      </c>
      <c r="Q10" s="106">
        <v>10.300000000000018</v>
      </c>
    </row>
    <row r="11" spans="1:17" x14ac:dyDescent="0.4">
      <c r="A11" s="56" t="s">
        <v>139</v>
      </c>
      <c r="B11" s="48">
        <v>11</v>
      </c>
      <c r="C11" s="40">
        <f t="shared" si="1"/>
        <v>0.13095238095238096</v>
      </c>
      <c r="E11" s="63" t="s">
        <v>71</v>
      </c>
      <c r="F11" s="60" t="s">
        <v>26</v>
      </c>
      <c r="G11" s="47">
        <v>17</v>
      </c>
      <c r="H11" s="133">
        <f>IF(B$17=0,0,G11/B$17)</f>
        <v>7.3593073593073599E-2</v>
      </c>
      <c r="I11" s="94">
        <v>7</v>
      </c>
      <c r="K11" s="38">
        <v>9</v>
      </c>
      <c r="L11" s="99">
        <v>0</v>
      </c>
      <c r="N11" s="115" t="s">
        <v>164</v>
      </c>
      <c r="O11" s="125">
        <f>IF(P11=0,0,Q11/P11)</f>
        <v>3.914285714285715</v>
      </c>
      <c r="P11" s="119">
        <v>28</v>
      </c>
      <c r="Q11" s="107">
        <v>109.60000000000002</v>
      </c>
    </row>
    <row r="12" spans="1:17" x14ac:dyDescent="0.4">
      <c r="A12" s="57" t="s">
        <v>159</v>
      </c>
      <c r="B12" s="49">
        <v>9</v>
      </c>
      <c r="C12" s="42">
        <f t="shared" si="1"/>
        <v>0.10714285714285714</v>
      </c>
      <c r="E12" s="63" t="s">
        <v>72</v>
      </c>
      <c r="F12" s="60" t="s">
        <v>27</v>
      </c>
      <c r="G12" s="47">
        <v>17</v>
      </c>
      <c r="H12" s="133">
        <f>IF(B$17=0,0,G12/B$17)</f>
        <v>7.3593073593073599E-2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-4.2821428571428557</v>
      </c>
      <c r="P12" s="120">
        <v>28</v>
      </c>
      <c r="Q12" s="108">
        <v>-119.89999999999995</v>
      </c>
    </row>
    <row r="13" spans="1:17" x14ac:dyDescent="0.4">
      <c r="A13" s="58" t="s">
        <v>122</v>
      </c>
      <c r="B13" s="50">
        <v>191</v>
      </c>
      <c r="C13" s="44">
        <f>IF(B$3=0,0,B13/B$3)</f>
        <v>0.24581724581724582</v>
      </c>
      <c r="E13" s="63" t="s">
        <v>84</v>
      </c>
      <c r="F13" s="60" t="s">
        <v>39</v>
      </c>
      <c r="G13" s="47">
        <v>12</v>
      </c>
      <c r="H13" s="133">
        <f>IF(B$17=0,0,G13/B$17)</f>
        <v>5.1948051948051951E-2</v>
      </c>
      <c r="I13" s="94">
        <v>4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179</v>
      </c>
      <c r="C14" s="39">
        <f>IF(B$3=0,0,B14/B$3)</f>
        <v>0.23037323037323038</v>
      </c>
      <c r="E14" s="63" t="s">
        <v>87</v>
      </c>
      <c r="F14" s="60" t="s">
        <v>42</v>
      </c>
      <c r="G14" s="47">
        <v>11</v>
      </c>
      <c r="H14" s="133">
        <f>IF(B$17=0,0,G14/B$17)</f>
        <v>4.7619047619047616E-2</v>
      </c>
      <c r="I14" s="94">
        <v>4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109</v>
      </c>
      <c r="C15" s="37">
        <f>IF(B$13=0,0,B15/B$13)</f>
        <v>0.5706806282722513</v>
      </c>
      <c r="E15" s="63" t="s">
        <v>79</v>
      </c>
      <c r="F15" s="60" t="s">
        <v>34</v>
      </c>
      <c r="G15" s="47">
        <v>8</v>
      </c>
      <c r="H15" s="133">
        <f>IF(B$17=0,0,G15/B$17)</f>
        <v>3.4632034632034632E-2</v>
      </c>
      <c r="I15" s="94">
        <v>4</v>
      </c>
      <c r="K15" s="38">
        <v>13</v>
      </c>
      <c r="L15" s="99">
        <v>-1.7</v>
      </c>
      <c r="N15" s="114" t="s">
        <v>183</v>
      </c>
      <c r="O15" s="124">
        <f>IF(P15=0,0,Q15/P15)</f>
        <v>30.1875</v>
      </c>
      <c r="P15" s="118">
        <v>8</v>
      </c>
      <c r="Q15" s="106">
        <v>241.5</v>
      </c>
    </row>
    <row r="16" spans="1:17" x14ac:dyDescent="0.4">
      <c r="A16" s="54" t="s">
        <v>125</v>
      </c>
      <c r="B16" s="46">
        <v>73</v>
      </c>
      <c r="C16" s="37">
        <f>IF(B$14=0,0,B16/B$14)</f>
        <v>0.40782122905027934</v>
      </c>
      <c r="E16" s="63" t="s">
        <v>82</v>
      </c>
      <c r="F16" s="60" t="s">
        <v>37</v>
      </c>
      <c r="G16" s="47">
        <v>4</v>
      </c>
      <c r="H16" s="133">
        <f>IF(B$17=0,0,G16/B$17)</f>
        <v>1.7316017316017316E-2</v>
      </c>
      <c r="I16" s="94">
        <v>4</v>
      </c>
      <c r="K16" s="38">
        <v>14</v>
      </c>
      <c r="L16" s="99">
        <v>24.3</v>
      </c>
      <c r="N16" s="115" t="s">
        <v>178</v>
      </c>
      <c r="O16" s="125">
        <f>IF(P16=0,0,Q16/P16)</f>
        <v>27.974999999999994</v>
      </c>
      <c r="P16" s="119">
        <v>8</v>
      </c>
      <c r="Q16" s="107">
        <v>223.79999999999995</v>
      </c>
    </row>
    <row r="17" spans="1:17" x14ac:dyDescent="0.4">
      <c r="A17" s="54" t="s">
        <v>10</v>
      </c>
      <c r="B17" s="46">
        <f>B19+B18</f>
        <v>231</v>
      </c>
      <c r="C17" s="37">
        <f>IF(B$3=0,0,B17/B$3)</f>
        <v>0.29729729729729731</v>
      </c>
      <c r="E17" s="63" t="s">
        <v>92</v>
      </c>
      <c r="F17" s="60" t="s">
        <v>47</v>
      </c>
      <c r="G17" s="47">
        <v>4</v>
      </c>
      <c r="H17" s="133">
        <f>IF(B$17=0,0,G17/B$17)</f>
        <v>1.7316017316017316E-2</v>
      </c>
      <c r="I17" s="94">
        <v>3</v>
      </c>
      <c r="K17" s="38">
        <v>15</v>
      </c>
      <c r="L17" s="99">
        <v>0</v>
      </c>
      <c r="N17" s="115" t="s">
        <v>180</v>
      </c>
      <c r="O17" s="125">
        <f>IF(P17=0,0,Q17/P17)</f>
        <v>23.919230769230772</v>
      </c>
      <c r="P17" s="119">
        <v>26</v>
      </c>
      <c r="Q17" s="107">
        <v>621.90000000000009</v>
      </c>
    </row>
    <row r="18" spans="1:17" x14ac:dyDescent="0.4">
      <c r="A18" s="55" t="s">
        <v>12</v>
      </c>
      <c r="B18" s="47">
        <v>91</v>
      </c>
      <c r="C18" s="39">
        <f>IF(B$17=0,0,B18/B$17)</f>
        <v>0.39393939393939392</v>
      </c>
      <c r="E18" s="63" t="s">
        <v>80</v>
      </c>
      <c r="F18" s="60" t="s">
        <v>35</v>
      </c>
      <c r="G18" s="47">
        <v>3</v>
      </c>
      <c r="H18" s="133">
        <f>IF(B$17=0,0,G18/B$17)</f>
        <v>1.2987012987012988E-2</v>
      </c>
      <c r="I18" s="94">
        <v>3</v>
      </c>
      <c r="K18" s="38">
        <v>16</v>
      </c>
      <c r="L18" s="99">
        <v>-28.2</v>
      </c>
      <c r="N18" s="115" t="s">
        <v>167</v>
      </c>
      <c r="O18" s="125">
        <f>IF(P18=0,0,Q18/P18)</f>
        <v>9.9166666666666679</v>
      </c>
      <c r="P18" s="119">
        <v>18</v>
      </c>
      <c r="Q18" s="107">
        <v>178.50000000000003</v>
      </c>
    </row>
    <row r="19" spans="1:17" x14ac:dyDescent="0.4">
      <c r="A19" s="55" t="s">
        <v>11</v>
      </c>
      <c r="B19" s="47">
        <v>140</v>
      </c>
      <c r="C19" s="39">
        <f>IF(B$17=0,0,B19/B$17)</f>
        <v>0.60606060606060608</v>
      </c>
      <c r="E19" s="63" t="s">
        <v>78</v>
      </c>
      <c r="F19" s="60" t="s">
        <v>33</v>
      </c>
      <c r="G19" s="47">
        <v>2</v>
      </c>
      <c r="H19" s="133">
        <f>IF(B$17=0,0,G19/B$17)</f>
        <v>8.658008658008658E-3</v>
      </c>
      <c r="I19" s="94">
        <v>2</v>
      </c>
      <c r="K19" s="38">
        <v>17</v>
      </c>
      <c r="L19" s="99">
        <v>-20.5</v>
      </c>
      <c r="N19" s="115" t="s">
        <v>179</v>
      </c>
      <c r="O19" s="125">
        <f>IF(P19=0,0,Q19/P19)</f>
        <v>7.2375000000000007</v>
      </c>
      <c r="P19" s="119">
        <v>8</v>
      </c>
      <c r="Q19" s="107">
        <v>57.900000000000006</v>
      </c>
    </row>
    <row r="20" spans="1:17" x14ac:dyDescent="0.4">
      <c r="A20" s="55" t="s">
        <v>13</v>
      </c>
      <c r="B20" s="47">
        <v>139</v>
      </c>
      <c r="C20" s="39">
        <f>IF(B$3=0,0,B20/B$3)</f>
        <v>0.17889317889317891</v>
      </c>
      <c r="E20" s="63" t="s">
        <v>85</v>
      </c>
      <c r="F20" s="60" t="s">
        <v>40</v>
      </c>
      <c r="G20" s="47">
        <v>2</v>
      </c>
      <c r="H20" s="133">
        <f>IF(B$17=0,0,G20/B$17)</f>
        <v>8.658008658008658E-3</v>
      </c>
      <c r="I20" s="94">
        <v>2</v>
      </c>
      <c r="K20" s="38">
        <v>18</v>
      </c>
      <c r="L20" s="99">
        <v>0</v>
      </c>
      <c r="N20" s="115" t="s">
        <v>128</v>
      </c>
      <c r="O20" s="125">
        <f>IF(P20=0,0,Q20/P20)</f>
        <v>4.7999999999999963</v>
      </c>
      <c r="P20" s="119">
        <v>42</v>
      </c>
      <c r="Q20" s="107">
        <v>201.59999999999985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86</v>
      </c>
      <c r="F21" s="60" t="s">
        <v>41</v>
      </c>
      <c r="G21" s="47">
        <v>2</v>
      </c>
      <c r="H21" s="133">
        <f>IF(B$17=0,0,G21/B$17)</f>
        <v>8.658008658008658E-3</v>
      </c>
      <c r="I21" s="94">
        <v>3</v>
      </c>
      <c r="K21" s="38">
        <v>19</v>
      </c>
      <c r="L21" s="99">
        <v>-22.4</v>
      </c>
      <c r="N21" s="115" t="s">
        <v>196</v>
      </c>
      <c r="O21" s="125">
        <f>IF(P21=0,0,Q21/P21)</f>
        <v>-4.5499999999999963</v>
      </c>
      <c r="P21" s="119">
        <v>6</v>
      </c>
      <c r="Q21" s="107">
        <v>-27.299999999999976</v>
      </c>
    </row>
    <row r="22" spans="1:17" x14ac:dyDescent="0.4">
      <c r="A22" s="55" t="s">
        <v>171</v>
      </c>
      <c r="B22" s="47">
        <v>21</v>
      </c>
      <c r="C22" s="135">
        <v>0</v>
      </c>
      <c r="E22" s="63" t="s">
        <v>93</v>
      </c>
      <c r="F22" s="60" t="s">
        <v>48</v>
      </c>
      <c r="G22" s="47">
        <v>2</v>
      </c>
      <c r="H22" s="133">
        <f>IF(B$17=0,0,G22/B$17)</f>
        <v>8.658008658008658E-3</v>
      </c>
      <c r="I22" s="94">
        <v>2</v>
      </c>
      <c r="K22" s="38">
        <v>20</v>
      </c>
      <c r="L22" s="99">
        <v>-61.199999999999996</v>
      </c>
      <c r="N22" s="115" t="s">
        <v>127</v>
      </c>
      <c r="O22" s="125">
        <f>IF(P22=0,0,Q22/P22)</f>
        <v>-26.528571428571428</v>
      </c>
      <c r="P22" s="119">
        <v>42</v>
      </c>
      <c r="Q22" s="107">
        <v>-1114.2</v>
      </c>
    </row>
    <row r="23" spans="1:17" x14ac:dyDescent="0.4">
      <c r="A23" s="55" t="s">
        <v>5</v>
      </c>
      <c r="B23" s="51">
        <f>IF(B$17=0,0,C23/B$17)</f>
        <v>8330.7359307359311</v>
      </c>
      <c r="C23" s="41">
        <v>1924400</v>
      </c>
      <c r="E23" s="63" t="s">
        <v>88</v>
      </c>
      <c r="F23" s="60" t="s">
        <v>43</v>
      </c>
      <c r="G23" s="47">
        <v>1</v>
      </c>
      <c r="H23" s="133">
        <f>IF(B$17=0,0,G23/B$17)</f>
        <v>4.329004329004329E-3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-38.369999999999997</v>
      </c>
      <c r="P23" s="119">
        <v>10</v>
      </c>
      <c r="Q23" s="107">
        <v>-383.7</v>
      </c>
    </row>
    <row r="24" spans="1:17" x14ac:dyDescent="0.4">
      <c r="A24" s="57" t="s">
        <v>14</v>
      </c>
      <c r="B24" s="52">
        <f>IF(B$20=0,0,C24/B$20)</f>
        <v>-8079.8561151079139</v>
      </c>
      <c r="C24" s="45">
        <v>-1123100</v>
      </c>
      <c r="E24" s="63" t="s">
        <v>89</v>
      </c>
      <c r="F24" s="60" t="s">
        <v>44</v>
      </c>
      <c r="G24" s="47">
        <v>1</v>
      </c>
      <c r="H24" s="133">
        <f>IF(B$17=0,0,G24/B$17)</f>
        <v>4.329004329004329E-3</v>
      </c>
      <c r="I24" s="94">
        <v>2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96</v>
      </c>
      <c r="F25" s="60" t="s">
        <v>51</v>
      </c>
      <c r="G25" s="47">
        <v>1</v>
      </c>
      <c r="H25" s="133">
        <f>IF(B$17=0,0,G25/B$17)</f>
        <v>4.329004329004329E-3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168</v>
      </c>
      <c r="F26" s="60" t="s">
        <v>169</v>
      </c>
      <c r="G26" s="47">
        <v>1</v>
      </c>
      <c r="H26" s="133">
        <f>IF(B$17=0,0,G26/B$17)</f>
        <v>4.329004329004329E-3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2</v>
      </c>
      <c r="C27" s="42">
        <f>IF(B$3=0,0,B27/B$3)</f>
        <v>2.5740025740025739E-3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15.000000000000007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 x14ac:dyDescent="0.4">
      <c r="E29" s="63" t="s">
        <v>76</v>
      </c>
      <c r="F29" s="60" t="s">
        <v>31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34.5</v>
      </c>
    </row>
    <row r="85" spans="11:12" x14ac:dyDescent="0.4">
      <c r="K85" s="38">
        <v>83</v>
      </c>
      <c r="L85" s="99">
        <v>46.9</v>
      </c>
    </row>
    <row r="86" spans="11:12" x14ac:dyDescent="0.4">
      <c r="K86" s="38">
        <v>84</v>
      </c>
      <c r="L86" s="99">
        <v>0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91FD-47FE-4EA5-939A-05090FBD242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10</v>
      </c>
      <c r="H2" s="132">
        <f>IF(B$17=0,0,G2/B$17)</f>
        <v>0.47619047619047616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-6522.2222222222226</v>
      </c>
      <c r="P2" s="118">
        <v>9</v>
      </c>
      <c r="Q2" s="102">
        <v>-58700</v>
      </c>
    </row>
    <row r="3" spans="1:17" x14ac:dyDescent="0.4">
      <c r="A3" s="55" t="s">
        <v>8</v>
      </c>
      <c r="B3" s="152">
        <v>87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0.19047619047619047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1222.2222222222222</v>
      </c>
      <c r="P3" s="119">
        <v>9</v>
      </c>
      <c r="Q3" s="103">
        <v>11000</v>
      </c>
    </row>
    <row r="4" spans="1:17" x14ac:dyDescent="0.4">
      <c r="A4" s="55" t="s">
        <v>6</v>
      </c>
      <c r="B4" s="154">
        <v>-59.500000000000007</v>
      </c>
      <c r="C4" s="155"/>
      <c r="E4" s="63" t="s">
        <v>67</v>
      </c>
      <c r="F4" s="60" t="s">
        <v>23</v>
      </c>
      <c r="G4" s="47">
        <v>10</v>
      </c>
      <c r="H4" s="133">
        <f>IF(B$17=0,0,G4/B$17)</f>
        <v>0.47619047619047616</v>
      </c>
      <c r="I4" s="94">
        <v>8</v>
      </c>
      <c r="K4" s="38">
        <v>2</v>
      </c>
      <c r="L4" s="99">
        <v>19.899999999999999</v>
      </c>
      <c r="N4" s="115" t="s">
        <v>133</v>
      </c>
      <c r="O4" s="122">
        <f t="shared" si="0"/>
        <v>222.22222222222223</v>
      </c>
      <c r="P4" s="119">
        <v>9</v>
      </c>
      <c r="Q4" s="103">
        <v>2000</v>
      </c>
    </row>
    <row r="5" spans="1:17" x14ac:dyDescent="0.4">
      <c r="A5" s="55" t="s">
        <v>7</v>
      </c>
      <c r="B5" s="156">
        <f>IF(B$2=0,0,B$4/B$2)</f>
        <v>-6.6111111111111116</v>
      </c>
      <c r="C5" s="157"/>
      <c r="E5" s="63" t="s">
        <v>68</v>
      </c>
      <c r="F5" s="60" t="s">
        <v>24</v>
      </c>
      <c r="G5" s="47">
        <v>6</v>
      </c>
      <c r="H5" s="133">
        <f>IF(B$17=0,0,G5/B$17)</f>
        <v>0.2857142857142857</v>
      </c>
      <c r="I5" s="94">
        <v>6</v>
      </c>
      <c r="K5" s="38">
        <v>3</v>
      </c>
      <c r="L5" s="99">
        <v>-8.3000000000000007</v>
      </c>
      <c r="N5" s="115" t="s">
        <v>134</v>
      </c>
      <c r="O5" s="122">
        <f t="shared" si="0"/>
        <v>-2266.6666666666665</v>
      </c>
      <c r="P5" s="119">
        <v>9</v>
      </c>
      <c r="Q5" s="103">
        <v>-20400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</v>
      </c>
      <c r="H6" s="133">
        <f>IF(B$17=0,0,G6/B$17)</f>
        <v>0.33333333333333331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-311.11111111111109</v>
      </c>
      <c r="P6" s="119">
        <v>9</v>
      </c>
      <c r="Q6" s="103">
        <v>-2800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7</v>
      </c>
      <c r="H7" s="133">
        <f>IF(B$17=0,0,G7/B$17)</f>
        <v>0.33333333333333331</v>
      </c>
      <c r="I7" s="94">
        <v>2</v>
      </c>
      <c r="K7" s="38">
        <v>5</v>
      </c>
      <c r="L7" s="99">
        <v>-55.8</v>
      </c>
      <c r="N7" s="116" t="s">
        <v>136</v>
      </c>
      <c r="O7" s="123">
        <f t="shared" si="0"/>
        <v>-214.28571428571428</v>
      </c>
      <c r="P7" s="120">
        <v>7</v>
      </c>
      <c r="Q7" s="104">
        <v>-1500</v>
      </c>
    </row>
    <row r="8" spans="1:17" x14ac:dyDescent="0.4">
      <c r="A8" s="55" t="s">
        <v>3</v>
      </c>
      <c r="B8" s="47">
        <v>3</v>
      </c>
      <c r="C8" s="39">
        <f t="shared" si="1"/>
        <v>0.33333333333333331</v>
      </c>
      <c r="E8" s="63" t="s">
        <v>71</v>
      </c>
      <c r="F8" s="60" t="s">
        <v>26</v>
      </c>
      <c r="G8" s="47">
        <v>3</v>
      </c>
      <c r="H8" s="133">
        <f>IF(B$17=0,0,G8/B$17)</f>
        <v>0.14285714285714285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0.33333333333333331</v>
      </c>
      <c r="E9" s="63" t="s">
        <v>72</v>
      </c>
      <c r="F9" s="60" t="s">
        <v>27</v>
      </c>
      <c r="G9" s="47">
        <v>3</v>
      </c>
      <c r="H9" s="133">
        <f>IF(B$17=0,0,G9/B$17)</f>
        <v>0.14285714285714285</v>
      </c>
      <c r="I9" s="94">
        <v>2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12</v>
      </c>
      <c r="H10" s="133">
        <f>IF(B$17=0,0,G10/B$17)</f>
        <v>0.5714285714285714</v>
      </c>
      <c r="I10" s="94">
        <v>3</v>
      </c>
      <c r="K10" s="38">
        <v>8</v>
      </c>
      <c r="L10" s="99">
        <v>-76.900000000000006</v>
      </c>
      <c r="N10" s="114" t="s">
        <v>163</v>
      </c>
      <c r="O10" s="124">
        <f>IF(P10=0,0,Q10/P10)</f>
        <v>-5.333333333333333</v>
      </c>
      <c r="P10" s="118">
        <v>3</v>
      </c>
      <c r="Q10" s="106">
        <v>-16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2</v>
      </c>
      <c r="C12" s="42">
        <f t="shared" si="1"/>
        <v>0.22222222222222221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2.2749999999999995</v>
      </c>
      <c r="P12" s="120">
        <v>4</v>
      </c>
      <c r="Q12" s="108">
        <v>9.0999999999999979</v>
      </c>
    </row>
    <row r="13" spans="1:17" x14ac:dyDescent="0.4">
      <c r="A13" s="58" t="s">
        <v>122</v>
      </c>
      <c r="B13" s="50">
        <v>21</v>
      </c>
      <c r="C13" s="44">
        <f>IF(B$3=0,0,B13/B$3)</f>
        <v>0.2413793103448276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</v>
      </c>
      <c r="C14" s="39">
        <f>IF(B$3=0,0,B14/B$3)</f>
        <v>0.26436781609195403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0.52380952380952384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6</v>
      </c>
      <c r="C16" s="37">
        <f>IF(B$14=0,0,B16/B$14)</f>
        <v>0.2608695652173913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128</v>
      </c>
      <c r="O16" s="125">
        <f>IF(P16=0,0,Q16/P16)</f>
        <v>-3.7875000000000001</v>
      </c>
      <c r="P16" s="119">
        <v>8</v>
      </c>
      <c r="Q16" s="107">
        <v>-30.3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0.2413793103448276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127</v>
      </c>
      <c r="O17" s="125">
        <f>IF(P17=0,0,Q17/P17)</f>
        <v>-16.087500000000002</v>
      </c>
      <c r="P17" s="119">
        <v>8</v>
      </c>
      <c r="Q17" s="107">
        <v>-128.70000000000002</v>
      </c>
    </row>
    <row r="18" spans="1:17" x14ac:dyDescent="0.4">
      <c r="A18" s="55" t="s">
        <v>12</v>
      </c>
      <c r="B18" s="47">
        <v>11</v>
      </c>
      <c r="C18" s="39">
        <f>IF(B$17=0,0,B18/B$17)</f>
        <v>0.52380952380952384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10</v>
      </c>
      <c r="C19" s="39">
        <f>IF(B$17=0,0,B19/B$17)</f>
        <v>0.47619047619047616</v>
      </c>
      <c r="E19" s="63" t="s">
        <v>82</v>
      </c>
      <c r="F19" s="60" t="s">
        <v>37</v>
      </c>
      <c r="G19" s="47">
        <v>1</v>
      </c>
      <c r="H19" s="133">
        <f>IF(B$17=0,0,G19/B$17)</f>
        <v>4.7619047619047616E-2</v>
      </c>
      <c r="I19" s="94">
        <v>2</v>
      </c>
    </row>
    <row r="20" spans="1:17" x14ac:dyDescent="0.4">
      <c r="A20" s="55" t="s">
        <v>13</v>
      </c>
      <c r="B20" s="47">
        <v>17</v>
      </c>
      <c r="C20" s="39">
        <f>IF(B$3=0,0,B20/B$3)</f>
        <v>0.19540229885057472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2</v>
      </c>
      <c r="E21" s="63" t="s">
        <v>84</v>
      </c>
      <c r="F21" s="60" t="s">
        <v>39</v>
      </c>
      <c r="G21" s="47">
        <v>2</v>
      </c>
      <c r="H21" s="133">
        <f>IF(B$17=0,0,G21/B$17)</f>
        <v>9.5238095238095233E-2</v>
      </c>
      <c r="I21" s="94">
        <v>3</v>
      </c>
    </row>
    <row r="22" spans="1:17" x14ac:dyDescent="0.4">
      <c r="A22" s="55" t="s">
        <v>171</v>
      </c>
      <c r="B22" s="47">
        <v>17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7576.1904761904761</v>
      </c>
      <c r="C23" s="41">
        <v>159100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-7552.9411764705883</v>
      </c>
      <c r="C24" s="45">
        <v>-128400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49500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1.1494252873563218E-2</v>
      </c>
      <c r="E27" s="63" t="s">
        <v>90</v>
      </c>
      <c r="F27" s="60" t="s">
        <v>45</v>
      </c>
      <c r="G27" s="47">
        <v>1</v>
      </c>
      <c r="H27" s="133">
        <f>IF(B$17=0,0,G27/B$17)</f>
        <v>4.7619047619047616E-2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10</v>
      </c>
      <c r="H51" s="138">
        <f>IF(B$17=0,0,G51/B$17)</f>
        <v>0.47619047619047616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B377C-9B2B-4262-AB89-B96B3931369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30</v>
      </c>
      <c r="H2" s="132">
        <f>IF(B$17=0,0,G2/B$17)</f>
        <v>0.41666666666666669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747.61904761904759</v>
      </c>
      <c r="P2" s="118">
        <v>21</v>
      </c>
      <c r="Q2" s="102">
        <v>15700</v>
      </c>
    </row>
    <row r="3" spans="1:17" x14ac:dyDescent="0.4">
      <c r="A3" s="55" t="s">
        <v>8</v>
      </c>
      <c r="B3" s="152">
        <v>192</v>
      </c>
      <c r="C3" s="153"/>
      <c r="E3" s="63" t="s">
        <v>66</v>
      </c>
      <c r="F3" s="60" t="s">
        <v>22</v>
      </c>
      <c r="G3" s="47">
        <v>7</v>
      </c>
      <c r="H3" s="133">
        <f>IF(B$17=0,0,G3/B$17)</f>
        <v>9.7222222222222224E-2</v>
      </c>
      <c r="I3" s="94">
        <v>8</v>
      </c>
      <c r="K3" s="38">
        <v>1</v>
      </c>
      <c r="L3" s="99">
        <v>50.2</v>
      </c>
      <c r="N3" s="115" t="s">
        <v>132</v>
      </c>
      <c r="O3" s="122">
        <f t="shared" si="0"/>
        <v>-565</v>
      </c>
      <c r="P3" s="119">
        <v>20</v>
      </c>
      <c r="Q3" s="103">
        <v>-11300</v>
      </c>
    </row>
    <row r="4" spans="1:17" x14ac:dyDescent="0.4">
      <c r="A4" s="55" t="s">
        <v>6</v>
      </c>
      <c r="B4" s="154">
        <v>371.39999999999992</v>
      </c>
      <c r="C4" s="155"/>
      <c r="E4" s="63" t="s">
        <v>67</v>
      </c>
      <c r="F4" s="60" t="s">
        <v>23</v>
      </c>
      <c r="G4" s="47">
        <v>36</v>
      </c>
      <c r="H4" s="133">
        <f>IF(B$17=0,0,G4/B$17)</f>
        <v>0.5</v>
      </c>
      <c r="I4" s="94">
        <v>7</v>
      </c>
      <c r="K4" s="38">
        <v>2</v>
      </c>
      <c r="L4" s="99">
        <v>14.400000000000006</v>
      </c>
      <c r="N4" s="115" t="s">
        <v>133</v>
      </c>
      <c r="O4" s="122">
        <f t="shared" si="0"/>
        <v>370</v>
      </c>
      <c r="P4" s="119">
        <v>20</v>
      </c>
      <c r="Q4" s="103">
        <v>7400</v>
      </c>
    </row>
    <row r="5" spans="1:17" x14ac:dyDescent="0.4">
      <c r="A5" s="55" t="s">
        <v>7</v>
      </c>
      <c r="B5" s="156">
        <f>IF(B$2=0,0,B$4/B$2)</f>
        <v>17.685714285714283</v>
      </c>
      <c r="C5" s="157"/>
      <c r="E5" s="63" t="s">
        <v>68</v>
      </c>
      <c r="F5" s="60" t="s">
        <v>24</v>
      </c>
      <c r="G5" s="47">
        <v>20</v>
      </c>
      <c r="H5" s="133">
        <f>IF(B$17=0,0,G5/B$17)</f>
        <v>0.27777777777777779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0"/>
        <v>340</v>
      </c>
      <c r="P5" s="119">
        <v>20</v>
      </c>
      <c r="Q5" s="103">
        <v>6800</v>
      </c>
    </row>
    <row r="6" spans="1:17" x14ac:dyDescent="0.4">
      <c r="A6" s="55" t="s">
        <v>1</v>
      </c>
      <c r="B6" s="146">
        <f>IF(B$2=0,0,(B$7*1+B$8*2+B$9*3)/B$2)</f>
        <v>1.5238095238095237</v>
      </c>
      <c r="C6" s="147"/>
      <c r="E6" s="63" t="s">
        <v>69</v>
      </c>
      <c r="F6" s="60" t="s">
        <v>12</v>
      </c>
      <c r="G6" s="47">
        <v>19</v>
      </c>
      <c r="H6" s="133">
        <f>IF(B$17=0,0,G6/B$17)</f>
        <v>0.2638888888888889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7477.7777777777774</v>
      </c>
      <c r="P6" s="119">
        <v>18</v>
      </c>
      <c r="Q6" s="103">
        <v>134600</v>
      </c>
    </row>
    <row r="7" spans="1:17" x14ac:dyDescent="0.4">
      <c r="A7" s="55" t="s">
        <v>2</v>
      </c>
      <c r="B7" s="47">
        <v>13</v>
      </c>
      <c r="C7" s="39">
        <f t="shared" ref="C7:C12" si="1">IF(B$2=0,0,B7/B$2)</f>
        <v>0.61904761904761907</v>
      </c>
      <c r="E7" s="63" t="s">
        <v>70</v>
      </c>
      <c r="F7" s="60" t="s">
        <v>25</v>
      </c>
      <c r="G7" s="47">
        <v>10</v>
      </c>
      <c r="H7" s="133">
        <f>IF(B$17=0,0,G7/B$17)</f>
        <v>0.1388888888888889</v>
      </c>
      <c r="I7" s="94">
        <v>5</v>
      </c>
      <c r="K7" s="38">
        <v>5</v>
      </c>
      <c r="L7" s="99">
        <v>99.9</v>
      </c>
      <c r="N7" s="116" t="s">
        <v>136</v>
      </c>
      <c r="O7" s="123">
        <f t="shared" si="0"/>
        <v>8133.333333333333</v>
      </c>
      <c r="P7" s="120">
        <v>15</v>
      </c>
      <c r="Q7" s="104">
        <v>122000</v>
      </c>
    </row>
    <row r="8" spans="1:17" x14ac:dyDescent="0.4">
      <c r="A8" s="55" t="s">
        <v>3</v>
      </c>
      <c r="B8" s="47">
        <v>5</v>
      </c>
      <c r="C8" s="39">
        <f t="shared" si="1"/>
        <v>0.23809523809523808</v>
      </c>
      <c r="E8" s="63" t="s">
        <v>71</v>
      </c>
      <c r="F8" s="60" t="s">
        <v>26</v>
      </c>
      <c r="G8" s="47">
        <v>4</v>
      </c>
      <c r="H8" s="133">
        <f>IF(B$17=0,0,G8/B$17)</f>
        <v>5.5555555555555552E-2</v>
      </c>
      <c r="I8" s="94">
        <v>8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0.14285714285714285</v>
      </c>
      <c r="E9" s="63" t="s">
        <v>72</v>
      </c>
      <c r="F9" s="60" t="s">
        <v>27</v>
      </c>
      <c r="G9" s="47">
        <v>5</v>
      </c>
      <c r="H9" s="133">
        <f>IF(B$17=0,0,G9/B$17)</f>
        <v>6.9444444444444448E-2</v>
      </c>
      <c r="I9" s="94">
        <v>6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34</v>
      </c>
      <c r="H10" s="133">
        <f>IF(B$17=0,0,G10/B$17)</f>
        <v>0.47222222222222221</v>
      </c>
      <c r="I10" s="94">
        <v>7</v>
      </c>
      <c r="K10" s="38">
        <v>8</v>
      </c>
      <c r="L10" s="99">
        <v>148.1</v>
      </c>
      <c r="N10" s="114" t="s">
        <v>163</v>
      </c>
      <c r="O10" s="124">
        <f>IF(P10=0,0,Q10/P10)</f>
        <v>12.600000000000001</v>
      </c>
      <c r="P10" s="118">
        <v>6</v>
      </c>
      <c r="Q10" s="106">
        <v>75.600000000000009</v>
      </c>
    </row>
    <row r="11" spans="1:17" x14ac:dyDescent="0.4">
      <c r="A11" s="56" t="s">
        <v>139</v>
      </c>
      <c r="B11" s="48">
        <v>4</v>
      </c>
      <c r="C11" s="40">
        <f t="shared" si="1"/>
        <v>0.19047619047619047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180.89999999999998</v>
      </c>
      <c r="N11" s="115" t="s">
        <v>164</v>
      </c>
      <c r="O11" s="125">
        <f>IF(P11=0,0,Q11/P11)</f>
        <v>22.175000000000001</v>
      </c>
      <c r="P11" s="119">
        <v>8</v>
      </c>
      <c r="Q11" s="107">
        <v>177.4</v>
      </c>
    </row>
    <row r="12" spans="1:17" x14ac:dyDescent="0.4">
      <c r="A12" s="57" t="s">
        <v>159</v>
      </c>
      <c r="B12" s="49">
        <v>4</v>
      </c>
      <c r="C12" s="42">
        <f t="shared" si="1"/>
        <v>0.19047619047619047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158.19999999999999</v>
      </c>
      <c r="N12" s="116" t="s">
        <v>165</v>
      </c>
      <c r="O12" s="126">
        <f>IF(P12=0,0,Q12/P12)</f>
        <v>16.914285714285715</v>
      </c>
      <c r="P12" s="120">
        <v>7</v>
      </c>
      <c r="Q12" s="108">
        <v>118.39999999999999</v>
      </c>
    </row>
    <row r="13" spans="1:17" x14ac:dyDescent="0.4">
      <c r="A13" s="58" t="s">
        <v>122</v>
      </c>
      <c r="B13" s="50">
        <v>54</v>
      </c>
      <c r="C13" s="44">
        <f>IF(B$3=0,0,B13/B$3)</f>
        <v>0.28125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0.21354166666666666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32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2</v>
      </c>
      <c r="H15" s="133">
        <f>IF(B$17=0,0,G15/B$17)</f>
        <v>2.7777777777777776E-2</v>
      </c>
      <c r="I15" s="94">
        <v>1</v>
      </c>
      <c r="K15" s="38">
        <v>13</v>
      </c>
      <c r="L15" s="99">
        <v>206.39999999999998</v>
      </c>
      <c r="N15" s="114" t="s">
        <v>179</v>
      </c>
      <c r="O15" s="124">
        <f t="shared" ref="O15:O20" si="2">IF(P15=0,0,Q15/P15)</f>
        <v>75.5</v>
      </c>
      <c r="P15" s="118">
        <v>2</v>
      </c>
      <c r="Q15" s="106">
        <v>151</v>
      </c>
    </row>
    <row r="16" spans="1:17" x14ac:dyDescent="0.4">
      <c r="A16" s="54" t="s">
        <v>125</v>
      </c>
      <c r="B16" s="46">
        <v>24</v>
      </c>
      <c r="C16" s="37">
        <f>IF(B$14=0,0,B16/B$14)</f>
        <v>0.58536585365853655</v>
      </c>
      <c r="E16" s="63" t="s">
        <v>79</v>
      </c>
      <c r="F16" s="60" t="s">
        <v>34</v>
      </c>
      <c r="G16" s="47">
        <v>2</v>
      </c>
      <c r="H16" s="133">
        <f>IF(B$17=0,0,G16/B$17)</f>
        <v>2.7777777777777776E-2</v>
      </c>
      <c r="I16" s="94">
        <v>6</v>
      </c>
      <c r="K16" s="38">
        <v>14</v>
      </c>
      <c r="L16" s="99">
        <v>240.09999999999997</v>
      </c>
      <c r="N16" s="115" t="s">
        <v>180</v>
      </c>
      <c r="O16" s="125">
        <f t="shared" si="2"/>
        <v>38.118181818181817</v>
      </c>
      <c r="P16" s="119">
        <v>11</v>
      </c>
      <c r="Q16" s="107">
        <v>419.3</v>
      </c>
    </row>
    <row r="17" spans="1:17" x14ac:dyDescent="0.4">
      <c r="A17" s="54" t="s">
        <v>10</v>
      </c>
      <c r="B17" s="46">
        <f>B19+B18</f>
        <v>72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K17" s="38">
        <v>15</v>
      </c>
      <c r="L17" s="99">
        <v>269.49999999999994</v>
      </c>
      <c r="N17" s="115" t="s">
        <v>182</v>
      </c>
      <c r="O17" s="125">
        <f t="shared" si="2"/>
        <v>27.7</v>
      </c>
      <c r="P17" s="119">
        <v>1</v>
      </c>
      <c r="Q17" s="107">
        <v>27.7</v>
      </c>
    </row>
    <row r="18" spans="1:17" x14ac:dyDescent="0.4">
      <c r="A18" s="55" t="s">
        <v>12</v>
      </c>
      <c r="B18" s="47">
        <v>34</v>
      </c>
      <c r="C18" s="39">
        <f>IF(B$17=0,0,B18/B$17)</f>
        <v>0.47222222222222221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 t="shared" si="2"/>
        <v>22.147368421052629</v>
      </c>
      <c r="P18" s="119">
        <v>19</v>
      </c>
      <c r="Q18" s="107">
        <v>420.79999999999995</v>
      </c>
    </row>
    <row r="19" spans="1:17" x14ac:dyDescent="0.4">
      <c r="A19" s="55" t="s">
        <v>11</v>
      </c>
      <c r="B19" s="47">
        <v>38</v>
      </c>
      <c r="C19" s="39">
        <f>IF(B$17=0,0,B19/B$17)</f>
        <v>0.52777777777777779</v>
      </c>
      <c r="E19" s="63" t="s">
        <v>82</v>
      </c>
      <c r="F19" s="60" t="s">
        <v>37</v>
      </c>
      <c r="G19" s="47">
        <v>1</v>
      </c>
      <c r="H19" s="133">
        <f>IF(B$17=0,0,G19/B$17)</f>
        <v>1.3888888888888888E-2</v>
      </c>
      <c r="I19" s="94">
        <v>5</v>
      </c>
      <c r="K19" s="38">
        <v>17</v>
      </c>
      <c r="L19" s="99">
        <v>359.09999999999991</v>
      </c>
      <c r="N19" s="115" t="s">
        <v>167</v>
      </c>
      <c r="O19" s="125">
        <f t="shared" si="2"/>
        <v>16.087499999999999</v>
      </c>
      <c r="P19" s="119">
        <v>8</v>
      </c>
      <c r="Q19" s="107">
        <v>128.69999999999999</v>
      </c>
    </row>
    <row r="20" spans="1:17" x14ac:dyDescent="0.4">
      <c r="A20" s="55" t="s">
        <v>13</v>
      </c>
      <c r="B20" s="47">
        <v>26</v>
      </c>
      <c r="C20" s="39">
        <f>IF(B$3=0,0,B20/B$3)</f>
        <v>0.13541666666666666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 t="shared" si="2"/>
        <v>-33.300000000000004</v>
      </c>
      <c r="P20" s="119">
        <v>1</v>
      </c>
      <c r="Q20" s="107">
        <v>-33.300000000000004</v>
      </c>
    </row>
    <row r="21" spans="1:17" x14ac:dyDescent="0.4">
      <c r="A21" s="55" t="s">
        <v>170</v>
      </c>
      <c r="B21" s="47">
        <v>5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2.7777777777777776E-2</v>
      </c>
      <c r="I21" s="94">
        <v>6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5</v>
      </c>
      <c r="E22" s="63" t="s">
        <v>85</v>
      </c>
      <c r="F22" s="60" t="s">
        <v>40</v>
      </c>
      <c r="G22" s="47">
        <v>2</v>
      </c>
      <c r="H22" s="133">
        <f>IF(B$17=0,0,G22/B$17)</f>
        <v>2.7777777777777776E-2</v>
      </c>
      <c r="I22" s="94">
        <v>1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8168.0555555555557</v>
      </c>
      <c r="C23" s="41">
        <v>588100</v>
      </c>
      <c r="E23" s="63" t="s">
        <v>86</v>
      </c>
      <c r="F23" s="60" t="s">
        <v>41</v>
      </c>
      <c r="G23" s="47">
        <v>1</v>
      </c>
      <c r="H23" s="133">
        <f>IF(B$17=0,0,G23/B$17)</f>
        <v>1.3888888888888888E-2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-6553.8461538461543</v>
      </c>
      <c r="C24" s="45">
        <v>-170400</v>
      </c>
      <c r="E24" s="63" t="s">
        <v>87</v>
      </c>
      <c r="F24" s="60" t="s">
        <v>42</v>
      </c>
      <c r="G24" s="47">
        <v>4</v>
      </c>
      <c r="H24" s="133">
        <f>IF(B$17=0,0,G24/B$17)</f>
        <v>5.5555555555555552E-2</v>
      </c>
      <c r="I24" s="94">
        <v>3</v>
      </c>
    </row>
    <row r="25" spans="1:17" x14ac:dyDescent="0.4">
      <c r="A25" s="90" t="s">
        <v>141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86200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1.3888888888888888E-2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10</v>
      </c>
      <c r="H27" s="133">
        <f>IF(B$17=0,0,G27/B$17)</f>
        <v>0.1388888888888889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1.3888888888888888E-2</v>
      </c>
      <c r="I29" s="94">
        <v>4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2.7777777777777776E-2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1</v>
      </c>
      <c r="H33" s="133">
        <f>IF(B$17=0,0,G33/B$17)</f>
        <v>1.3888888888888888E-2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1</v>
      </c>
      <c r="H50" s="133">
        <f>IF(B$17=0,0,G50/B$17)</f>
        <v>1.3888888888888888E-2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20</v>
      </c>
      <c r="H51" s="138">
        <f>IF(B$17=0,0,G51/B$17)</f>
        <v>0.27777777777777779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6C51C-7579-44E8-89B3-F926392BF38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22</v>
      </c>
      <c r="H2" s="132">
        <f>IF(B$17=0,0,G2/B$17)</f>
        <v>0.36666666666666664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1147.6190476190477</v>
      </c>
      <c r="P2" s="118">
        <v>21</v>
      </c>
      <c r="Q2" s="102">
        <v>24100</v>
      </c>
    </row>
    <row r="3" spans="1:17" x14ac:dyDescent="0.4">
      <c r="A3" s="55" t="s">
        <v>8</v>
      </c>
      <c r="B3" s="152">
        <v>194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6.6666666666666666E-2</v>
      </c>
      <c r="I3" s="94">
        <v>9</v>
      </c>
      <c r="K3" s="38">
        <v>1</v>
      </c>
      <c r="L3" s="99">
        <v>-45.6</v>
      </c>
      <c r="N3" s="115" t="s">
        <v>132</v>
      </c>
      <c r="O3" s="122">
        <f t="shared" si="0"/>
        <v>1495</v>
      </c>
      <c r="P3" s="119">
        <v>20</v>
      </c>
      <c r="Q3" s="103">
        <v>29900</v>
      </c>
    </row>
    <row r="4" spans="1:17" x14ac:dyDescent="0.4">
      <c r="A4" s="55" t="s">
        <v>6</v>
      </c>
      <c r="B4" s="154">
        <v>-67.200000000000031</v>
      </c>
      <c r="C4" s="155"/>
      <c r="E4" s="63" t="s">
        <v>67</v>
      </c>
      <c r="F4" s="60" t="s">
        <v>23</v>
      </c>
      <c r="G4" s="47">
        <v>60</v>
      </c>
      <c r="H4" s="133">
        <f>IF(B$17=0,0,G4/B$17)</f>
        <v>1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0"/>
        <v>-330</v>
      </c>
      <c r="P4" s="119">
        <v>20</v>
      </c>
      <c r="Q4" s="103">
        <v>-6600</v>
      </c>
    </row>
    <row r="5" spans="1:17" x14ac:dyDescent="0.4">
      <c r="A5" s="55" t="s">
        <v>7</v>
      </c>
      <c r="B5" s="156">
        <f>IF(B$2=0,0,B$4/B$2)</f>
        <v>-3.2000000000000015</v>
      </c>
      <c r="C5" s="157"/>
      <c r="E5" s="63" t="s">
        <v>68</v>
      </c>
      <c r="F5" s="60" t="s">
        <v>24</v>
      </c>
      <c r="G5" s="47">
        <v>15</v>
      </c>
      <c r="H5" s="133">
        <f>IF(B$17=0,0,G5/B$17)</f>
        <v>0.25</v>
      </c>
      <c r="I5" s="94">
        <v>9</v>
      </c>
      <c r="K5" s="38">
        <v>3</v>
      </c>
      <c r="L5" s="99">
        <v>-58.599999999999994</v>
      </c>
      <c r="N5" s="115" t="s">
        <v>134</v>
      </c>
      <c r="O5" s="122">
        <f t="shared" si="0"/>
        <v>4830</v>
      </c>
      <c r="P5" s="119">
        <v>20</v>
      </c>
      <c r="Q5" s="103">
        <v>96600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69</v>
      </c>
      <c r="F6" s="60" t="s">
        <v>12</v>
      </c>
      <c r="G6" s="47">
        <v>13</v>
      </c>
      <c r="H6" s="133">
        <f>IF(B$17=0,0,G6/B$17)</f>
        <v>0.21666666666666667</v>
      </c>
      <c r="I6" s="94">
        <v>8</v>
      </c>
      <c r="K6" s="38">
        <v>4</v>
      </c>
      <c r="L6" s="99">
        <v>-38.099999999999994</v>
      </c>
      <c r="N6" s="115" t="s">
        <v>135</v>
      </c>
      <c r="O6" s="122">
        <f t="shared" si="0"/>
        <v>-3988.8888888888887</v>
      </c>
      <c r="P6" s="119">
        <v>18</v>
      </c>
      <c r="Q6" s="103">
        <v>-71800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0.23809523809523808</v>
      </c>
      <c r="E7" s="63" t="s">
        <v>70</v>
      </c>
      <c r="F7" s="60" t="s">
        <v>25</v>
      </c>
      <c r="G7" s="47">
        <v>8</v>
      </c>
      <c r="H7" s="133">
        <f>IF(B$17=0,0,G7/B$17)</f>
        <v>0.13333333333333333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-6820</v>
      </c>
      <c r="P7" s="120">
        <v>15</v>
      </c>
      <c r="Q7" s="104">
        <v>-102300</v>
      </c>
    </row>
    <row r="8" spans="1:17" x14ac:dyDescent="0.4">
      <c r="A8" s="55" t="s">
        <v>3</v>
      </c>
      <c r="B8" s="47">
        <v>8</v>
      </c>
      <c r="C8" s="39">
        <f t="shared" si="1"/>
        <v>0.38095238095238093</v>
      </c>
      <c r="E8" s="63" t="s">
        <v>71</v>
      </c>
      <c r="F8" s="60" t="s">
        <v>26</v>
      </c>
      <c r="G8" s="47">
        <v>1</v>
      </c>
      <c r="H8" s="133">
        <f>IF(B$17=0,0,G8/B$17)</f>
        <v>1.6666666666666666E-2</v>
      </c>
      <c r="I8" s="94">
        <v>9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0.38095238095238093</v>
      </c>
      <c r="E9" s="63" t="s">
        <v>72</v>
      </c>
      <c r="F9" s="60" t="s">
        <v>27</v>
      </c>
      <c r="G9" s="47">
        <v>1</v>
      </c>
      <c r="H9" s="133">
        <f>IF(B$17=0,0,G9/B$17)</f>
        <v>1.6666666666666666E-2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0.19047619047619047</v>
      </c>
      <c r="E10" s="63" t="s">
        <v>73</v>
      </c>
      <c r="F10" s="60" t="s">
        <v>28</v>
      </c>
      <c r="G10" s="47">
        <v>41</v>
      </c>
      <c r="H10" s="133">
        <f>IF(B$17=0,0,G10/B$17)</f>
        <v>0.68333333333333335</v>
      </c>
      <c r="I10" s="94">
        <v>2</v>
      </c>
      <c r="K10" s="38">
        <v>8</v>
      </c>
      <c r="L10" s="99">
        <v>-56.79999999999999</v>
      </c>
      <c r="N10" s="114" t="s">
        <v>163</v>
      </c>
      <c r="O10" s="124">
        <f>IF(P10=0,0,Q10/P10)</f>
        <v>2.9000000000000008</v>
      </c>
      <c r="P10" s="118">
        <v>6</v>
      </c>
      <c r="Q10" s="106">
        <v>17.400000000000006</v>
      </c>
    </row>
    <row r="11" spans="1:17" x14ac:dyDescent="0.4">
      <c r="A11" s="56" t="s">
        <v>139</v>
      </c>
      <c r="B11" s="48">
        <v>3</v>
      </c>
      <c r="C11" s="40">
        <f t="shared" si="1"/>
        <v>0.14285714285714285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8.7333333333333325</v>
      </c>
      <c r="P11" s="119">
        <v>6</v>
      </c>
      <c r="Q11" s="107">
        <v>52.4</v>
      </c>
    </row>
    <row r="12" spans="1:17" x14ac:dyDescent="0.4">
      <c r="A12" s="57" t="s">
        <v>159</v>
      </c>
      <c r="B12" s="49">
        <v>3</v>
      </c>
      <c r="C12" s="42">
        <f t="shared" si="1"/>
        <v>0.14285714285714285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-78.399999999999991</v>
      </c>
      <c r="N12" s="116" t="s">
        <v>165</v>
      </c>
      <c r="O12" s="126">
        <f>IF(P12=0,0,Q12/P12)</f>
        <v>-15.222222222222221</v>
      </c>
      <c r="P12" s="120">
        <v>9</v>
      </c>
      <c r="Q12" s="108">
        <v>-137</v>
      </c>
    </row>
    <row r="13" spans="1:17" x14ac:dyDescent="0.4">
      <c r="A13" s="58" t="s">
        <v>122</v>
      </c>
      <c r="B13" s="50">
        <v>39</v>
      </c>
      <c r="C13" s="44">
        <f>IF(B$3=0,0,B13/B$3)</f>
        <v>0.20103092783505155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57</v>
      </c>
      <c r="C14" s="39">
        <f>IF(B$3=0,0,B14/B$3)</f>
        <v>0.29381443298969073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0.51282051282051277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K15" s="38">
        <v>13</v>
      </c>
      <c r="L15" s="99">
        <v>-86.8</v>
      </c>
      <c r="N15" s="114" t="s">
        <v>196</v>
      </c>
      <c r="O15" s="124">
        <f t="shared" ref="O15:O20" si="2">IF(P15=0,0,Q15/P15)</f>
        <v>75.3</v>
      </c>
      <c r="P15" s="118">
        <v>1</v>
      </c>
      <c r="Q15" s="106">
        <v>75.3</v>
      </c>
    </row>
    <row r="16" spans="1:17" x14ac:dyDescent="0.4">
      <c r="A16" s="54" t="s">
        <v>125</v>
      </c>
      <c r="B16" s="46">
        <v>27</v>
      </c>
      <c r="C16" s="37">
        <f>IF(B$14=0,0,B16/B$14)</f>
        <v>0.47368421052631576</v>
      </c>
      <c r="E16" s="63" t="s">
        <v>79</v>
      </c>
      <c r="F16" s="60" t="s">
        <v>34</v>
      </c>
      <c r="G16" s="47">
        <v>2</v>
      </c>
      <c r="H16" s="133">
        <f>IF(B$17=0,0,G16/B$17)</f>
        <v>3.3333333333333333E-2</v>
      </c>
      <c r="I16" s="94">
        <v>5</v>
      </c>
      <c r="K16" s="38">
        <v>14</v>
      </c>
      <c r="L16" s="99">
        <v>-138.4</v>
      </c>
      <c r="N16" s="115" t="s">
        <v>179</v>
      </c>
      <c r="O16" s="125">
        <f t="shared" si="2"/>
        <v>11.100000000000001</v>
      </c>
      <c r="P16" s="119">
        <v>1</v>
      </c>
      <c r="Q16" s="107">
        <v>11.100000000000001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0.30927835051546393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K17" s="38">
        <v>15</v>
      </c>
      <c r="L17" s="99">
        <v>-144.30000000000001</v>
      </c>
      <c r="N17" s="115" t="s">
        <v>180</v>
      </c>
      <c r="O17" s="125">
        <f t="shared" si="2"/>
        <v>10.424999999999999</v>
      </c>
      <c r="P17" s="119">
        <v>12</v>
      </c>
      <c r="Q17" s="107">
        <v>125.1</v>
      </c>
    </row>
    <row r="18" spans="1:17" x14ac:dyDescent="0.4">
      <c r="A18" s="55" t="s">
        <v>12</v>
      </c>
      <c r="B18" s="47">
        <v>17</v>
      </c>
      <c r="C18" s="39">
        <f>IF(B$17=0,0,B18/B$17)</f>
        <v>0.28333333333333333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167</v>
      </c>
      <c r="O18" s="125">
        <f t="shared" si="2"/>
        <v>3.7874999999999988</v>
      </c>
      <c r="P18" s="119">
        <v>8</v>
      </c>
      <c r="Q18" s="107">
        <v>30.29999999999999</v>
      </c>
    </row>
    <row r="19" spans="1:17" x14ac:dyDescent="0.4">
      <c r="A19" s="55" t="s">
        <v>11</v>
      </c>
      <c r="B19" s="47">
        <v>43</v>
      </c>
      <c r="C19" s="39">
        <f>IF(B$17=0,0,B19/B$17)</f>
        <v>0.71666666666666667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-179.70000000000002</v>
      </c>
      <c r="N19" s="115" t="s">
        <v>127</v>
      </c>
      <c r="O19" s="125">
        <f t="shared" si="2"/>
        <v>-22.147368421052626</v>
      </c>
      <c r="P19" s="119">
        <v>19</v>
      </c>
      <c r="Q19" s="107">
        <v>-420.7999999999999</v>
      </c>
    </row>
    <row r="20" spans="1:17" x14ac:dyDescent="0.4">
      <c r="A20" s="55" t="s">
        <v>13</v>
      </c>
      <c r="B20" s="47">
        <v>37</v>
      </c>
      <c r="C20" s="39">
        <f>IF(B$3=0,0,B20/B$3)</f>
        <v>0.19072164948453607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182</v>
      </c>
      <c r="O20" s="125">
        <f t="shared" si="2"/>
        <v>-22.6</v>
      </c>
      <c r="P20" s="119">
        <v>1</v>
      </c>
      <c r="Q20" s="107">
        <v>-22.6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84</v>
      </c>
      <c r="F21" s="60" t="s">
        <v>39</v>
      </c>
      <c r="G21" s="47">
        <v>3</v>
      </c>
      <c r="H21" s="133">
        <f>IF(B$17=0,0,G21/B$17)</f>
        <v>0.05</v>
      </c>
      <c r="I21" s="94">
        <v>5</v>
      </c>
      <c r="K21" s="38">
        <v>19</v>
      </c>
      <c r="L21" s="99">
        <v>-162.40000000000003</v>
      </c>
    </row>
    <row r="22" spans="1:17" x14ac:dyDescent="0.4">
      <c r="A22" s="55" t="s">
        <v>171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</row>
    <row r="23" spans="1:17" x14ac:dyDescent="0.4">
      <c r="A23" s="55" t="s">
        <v>5</v>
      </c>
      <c r="B23" s="51">
        <f>IF(B$17=0,0,C23/B$17)</f>
        <v>8355</v>
      </c>
      <c r="C23" s="41">
        <v>501300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-7875.6756756756758</v>
      </c>
      <c r="C24" s="45">
        <v>-291400</v>
      </c>
      <c r="E24" s="63" t="s">
        <v>87</v>
      </c>
      <c r="F24" s="60" t="s">
        <v>42</v>
      </c>
      <c r="G24" s="47">
        <v>5</v>
      </c>
      <c r="H24" s="133">
        <f>IF(B$17=0,0,G24/B$17)</f>
        <v>8.3333333333333329E-2</v>
      </c>
      <c r="I24" s="94">
        <v>2</v>
      </c>
    </row>
    <row r="25" spans="1:17" x14ac:dyDescent="0.4">
      <c r="A25" s="90" t="s">
        <v>141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91800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5.1546391752577319E-3</v>
      </c>
      <c r="E27" s="63" t="s">
        <v>90</v>
      </c>
      <c r="F27" s="60" t="s">
        <v>45</v>
      </c>
      <c r="G27" s="47">
        <v>8</v>
      </c>
      <c r="H27" s="133">
        <f>IF(B$17=0,0,G27/B$17)</f>
        <v>0.13333333333333333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3.3333333333333333E-2</v>
      </c>
      <c r="I29" s="94">
        <v>2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23</v>
      </c>
      <c r="H51" s="138">
        <f>IF(B$17=0,0,G51/B$17)</f>
        <v>0.38333333333333336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DF7CE-DEA5-4F59-A577-D9D56634640F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13</v>
      </c>
      <c r="C2" s="151"/>
      <c r="E2" s="62" t="s">
        <v>65</v>
      </c>
      <c r="F2" s="59" t="s">
        <v>21</v>
      </c>
      <c r="G2" s="46">
        <v>19</v>
      </c>
      <c r="H2" s="132">
        <f>IF(B$17=0,0,G2/B$17)</f>
        <v>0.6785714285714286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2638.4615384615386</v>
      </c>
      <c r="P2" s="118">
        <v>13</v>
      </c>
      <c r="Q2" s="102">
        <v>34300</v>
      </c>
    </row>
    <row r="3" spans="1:17" x14ac:dyDescent="0.4">
      <c r="A3" s="55" t="s">
        <v>8</v>
      </c>
      <c r="B3" s="152">
        <v>119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0.14285714285714285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-2150</v>
      </c>
      <c r="P3" s="119">
        <v>12</v>
      </c>
      <c r="Q3" s="103">
        <v>-25800</v>
      </c>
    </row>
    <row r="4" spans="1:17" x14ac:dyDescent="0.4">
      <c r="A4" s="55" t="s">
        <v>6</v>
      </c>
      <c r="B4" s="154">
        <v>-207.3</v>
      </c>
      <c r="C4" s="155"/>
      <c r="E4" s="63" t="s">
        <v>67</v>
      </c>
      <c r="F4" s="60" t="s">
        <v>23</v>
      </c>
      <c r="G4" s="47">
        <v>23</v>
      </c>
      <c r="H4" s="133">
        <f>IF(B$17=0,0,G4/B$17)</f>
        <v>0.8214285714285714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666.66666666666663</v>
      </c>
      <c r="P4" s="119">
        <v>12</v>
      </c>
      <c r="Q4" s="103">
        <v>8000</v>
      </c>
    </row>
    <row r="5" spans="1:17" x14ac:dyDescent="0.4">
      <c r="A5" s="55" t="s">
        <v>7</v>
      </c>
      <c r="B5" s="156">
        <f>IF(B$2=0,0,B$4/B$2)</f>
        <v>-15.946153846153846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0.2857142857142857</v>
      </c>
      <c r="I5" s="94">
        <v>6</v>
      </c>
      <c r="K5" s="38">
        <v>3</v>
      </c>
      <c r="L5" s="99">
        <v>-17.599999999999998</v>
      </c>
      <c r="N5" s="115" t="s">
        <v>134</v>
      </c>
      <c r="O5" s="122">
        <f t="shared" si="0"/>
        <v>-5000</v>
      </c>
      <c r="P5" s="119">
        <v>12</v>
      </c>
      <c r="Q5" s="103">
        <v>-60000</v>
      </c>
    </row>
    <row r="6" spans="1:17" x14ac:dyDescent="0.4">
      <c r="A6" s="55" t="s">
        <v>1</v>
      </c>
      <c r="B6" s="146">
        <f>IF(B$2=0,0,(B$7*1+B$8*2+B$9*3)/B$2)</f>
        <v>2.4615384615384617</v>
      </c>
      <c r="C6" s="147"/>
      <c r="E6" s="63" t="s">
        <v>69</v>
      </c>
      <c r="F6" s="60" t="s">
        <v>12</v>
      </c>
      <c r="G6" s="47">
        <v>6</v>
      </c>
      <c r="H6" s="133">
        <f>IF(B$17=0,0,G6/B$17)</f>
        <v>0.21428571428571427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-7754.545454545455</v>
      </c>
      <c r="P6" s="119">
        <v>11</v>
      </c>
      <c r="Q6" s="103">
        <v>-85300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7.6923076923076927E-2</v>
      </c>
      <c r="E7" s="63" t="s">
        <v>70</v>
      </c>
      <c r="F7" s="60" t="s">
        <v>25</v>
      </c>
      <c r="G7" s="47">
        <v>5</v>
      </c>
      <c r="H7" s="133">
        <f>IF(B$17=0,0,G7/B$17)</f>
        <v>0.17857142857142858</v>
      </c>
      <c r="I7" s="94">
        <v>3</v>
      </c>
      <c r="K7" s="38">
        <v>5</v>
      </c>
      <c r="L7" s="99">
        <v>-33.699999999999989</v>
      </c>
      <c r="N7" s="116" t="s">
        <v>136</v>
      </c>
      <c r="O7" s="123">
        <f t="shared" si="0"/>
        <v>-1850</v>
      </c>
      <c r="P7" s="120">
        <v>10</v>
      </c>
      <c r="Q7" s="104">
        <v>-18500</v>
      </c>
    </row>
    <row r="8" spans="1:17" x14ac:dyDescent="0.4">
      <c r="A8" s="55" t="s">
        <v>3</v>
      </c>
      <c r="B8" s="47">
        <v>5</v>
      </c>
      <c r="C8" s="39">
        <f t="shared" si="1"/>
        <v>0.38461538461538464</v>
      </c>
      <c r="E8" s="63" t="s">
        <v>71</v>
      </c>
      <c r="F8" s="60" t="s">
        <v>26</v>
      </c>
      <c r="G8" s="47">
        <v>3</v>
      </c>
      <c r="H8" s="133">
        <f>IF(B$17=0,0,G8/B$17)</f>
        <v>0.10714285714285714</v>
      </c>
      <c r="I8" s="94">
        <v>6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0.53846153846153844</v>
      </c>
      <c r="E9" s="63" t="s">
        <v>72</v>
      </c>
      <c r="F9" s="60" t="s">
        <v>27</v>
      </c>
      <c r="G9" s="47">
        <v>3</v>
      </c>
      <c r="H9" s="133">
        <f>IF(B$17=0,0,G9/B$17)</f>
        <v>0.10714285714285714</v>
      </c>
      <c r="I9" s="94">
        <v>4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0.15384615384615385</v>
      </c>
      <c r="E10" s="63" t="s">
        <v>73</v>
      </c>
      <c r="F10" s="60" t="s">
        <v>28</v>
      </c>
      <c r="G10" s="47">
        <v>13</v>
      </c>
      <c r="H10" s="133">
        <f>IF(B$17=0,0,G10/B$17)</f>
        <v>0.4642857142857143</v>
      </c>
      <c r="I10" s="94">
        <v>8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-117.19999999999999</v>
      </c>
      <c r="N12" s="116" t="s">
        <v>165</v>
      </c>
      <c r="O12" s="126">
        <f>IF(P12=0,0,Q12/P12)</f>
        <v>-41.8</v>
      </c>
      <c r="P12" s="120">
        <v>2</v>
      </c>
      <c r="Q12" s="108">
        <v>-83.6</v>
      </c>
    </row>
    <row r="13" spans="1:17" x14ac:dyDescent="0.4">
      <c r="A13" s="58" t="s">
        <v>122</v>
      </c>
      <c r="B13" s="50">
        <v>31</v>
      </c>
      <c r="C13" s="44">
        <f>IF(B$3=0,0,B13/B$3)</f>
        <v>0.26050420168067229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0.15966386554621848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0.58064516129032262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3</v>
      </c>
      <c r="C16" s="37">
        <f>IF(B$14=0,0,B16/B$14)</f>
        <v>0.15789473684210525</v>
      </c>
      <c r="E16" s="63" t="s">
        <v>79</v>
      </c>
      <c r="F16" s="60" t="s">
        <v>34</v>
      </c>
      <c r="G16" s="47">
        <v>2</v>
      </c>
      <c r="H16" s="133">
        <f>IF(B$17=0,0,G16/B$17)</f>
        <v>7.1428571428571425E-2</v>
      </c>
      <c r="I16" s="94">
        <v>3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0.23529411764705882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9</v>
      </c>
      <c r="C18" s="39">
        <f>IF(B$17=0,0,B18/B$17)</f>
        <v>0.32142857142857145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-38.118181818181824</v>
      </c>
      <c r="P18" s="119">
        <v>11</v>
      </c>
      <c r="Q18" s="107">
        <v>-419.30000000000007</v>
      </c>
    </row>
    <row r="19" spans="1:17" x14ac:dyDescent="0.4">
      <c r="A19" s="55" t="s">
        <v>11</v>
      </c>
      <c r="B19" s="47">
        <v>19</v>
      </c>
      <c r="C19" s="39">
        <f>IF(B$17=0,0,B19/B$17)</f>
        <v>0.6785714285714286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 x14ac:dyDescent="0.4">
      <c r="A20" s="55" t="s">
        <v>13</v>
      </c>
      <c r="B20" s="47">
        <v>29</v>
      </c>
      <c r="C20" s="39">
        <f>IF(B$3=0,0,B20/B$3)</f>
        <v>0.24369747899159663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2</v>
      </c>
    </row>
    <row r="22" spans="1:17" x14ac:dyDescent="0.4">
      <c r="A22" s="55" t="s">
        <v>171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7928.5714285714284</v>
      </c>
      <c r="C23" s="41">
        <v>222000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-8551.7241379310344</v>
      </c>
      <c r="C24" s="45">
        <v>-248000</v>
      </c>
      <c r="E24" s="63" t="s">
        <v>87</v>
      </c>
      <c r="F24" s="60" t="s">
        <v>42</v>
      </c>
      <c r="G24" s="47">
        <v>1</v>
      </c>
      <c r="H24" s="133">
        <f>IF(B$17=0,0,G24/B$17)</f>
        <v>3.5714285714285712E-2</v>
      </c>
      <c r="I24" s="94">
        <v>5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53700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7.1428571428571425E-2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11</v>
      </c>
      <c r="H51" s="138">
        <f>IF(B$17=0,0,G51/B$17)</f>
        <v>0.39285714285714285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6AC0D-CA82-4F51-83C7-8D05F9A85DE9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0.44444444444444442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4050</v>
      </c>
      <c r="P2" s="118">
        <v>4</v>
      </c>
      <c r="Q2" s="102">
        <v>16200</v>
      </c>
    </row>
    <row r="3" spans="1:17" x14ac:dyDescent="0.4">
      <c r="A3" s="55" t="s">
        <v>8</v>
      </c>
      <c r="B3" s="152">
        <v>36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0.1111111111111111</v>
      </c>
      <c r="I3" s="94">
        <v>5</v>
      </c>
      <c r="K3" s="38">
        <v>1</v>
      </c>
      <c r="L3" s="99">
        <v>-9.1</v>
      </c>
      <c r="N3" s="115" t="s">
        <v>132</v>
      </c>
      <c r="O3" s="122">
        <f t="shared" si="0"/>
        <v>-1625</v>
      </c>
      <c r="P3" s="119">
        <v>4</v>
      </c>
      <c r="Q3" s="103">
        <v>-6500</v>
      </c>
    </row>
    <row r="4" spans="1:17" x14ac:dyDescent="0.4">
      <c r="A4" s="55" t="s">
        <v>6</v>
      </c>
      <c r="B4" s="154">
        <v>-74.599999999999994</v>
      </c>
      <c r="C4" s="155"/>
      <c r="E4" s="63" t="s">
        <v>67</v>
      </c>
      <c r="F4" s="60" t="s">
        <v>23</v>
      </c>
      <c r="G4" s="47">
        <v>8</v>
      </c>
      <c r="H4" s="133">
        <f>IF(B$17=0,0,G4/B$17)</f>
        <v>0.88888888888888884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0"/>
        <v>-2700</v>
      </c>
      <c r="P4" s="119">
        <v>4</v>
      </c>
      <c r="Q4" s="103">
        <v>-10800</v>
      </c>
    </row>
    <row r="5" spans="1:17" x14ac:dyDescent="0.4">
      <c r="A5" s="55" t="s">
        <v>7</v>
      </c>
      <c r="B5" s="156">
        <f>IF(B$2=0,0,B$4/B$2)</f>
        <v>-18.649999999999999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0.77777777777777779</v>
      </c>
      <c r="I5" s="94">
        <v>2</v>
      </c>
      <c r="K5" s="38">
        <v>3</v>
      </c>
      <c r="L5" s="99">
        <v>-113.8</v>
      </c>
      <c r="N5" s="115" t="s">
        <v>134</v>
      </c>
      <c r="O5" s="122">
        <f t="shared" si="0"/>
        <v>-2000</v>
      </c>
      <c r="P5" s="119">
        <v>4</v>
      </c>
      <c r="Q5" s="103">
        <v>-8000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0.33333333333333331</v>
      </c>
      <c r="I6" s="94">
        <v>3</v>
      </c>
      <c r="K6" s="38">
        <v>4</v>
      </c>
      <c r="L6" s="99">
        <v>-74.599999999999994</v>
      </c>
      <c r="N6" s="115" t="s">
        <v>135</v>
      </c>
      <c r="O6" s="122">
        <f t="shared" si="0"/>
        <v>-7833.333333333333</v>
      </c>
      <c r="P6" s="119">
        <v>3</v>
      </c>
      <c r="Q6" s="103">
        <v>-23500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-16000</v>
      </c>
      <c r="P7" s="120">
        <v>2</v>
      </c>
      <c r="Q7" s="104">
        <v>-32000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0.1111111111111111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3</v>
      </c>
      <c r="H10" s="133">
        <f>IF(B$17=0,0,G10/B$17)</f>
        <v>0.33333333333333331</v>
      </c>
      <c r="I10" s="94">
        <v>9</v>
      </c>
      <c r="N10" s="114" t="s">
        <v>163</v>
      </c>
      <c r="O10" s="124">
        <f>IF(P10=0,0,Q10/P10)</f>
        <v>-3.6499999999999986</v>
      </c>
      <c r="P10" s="118">
        <v>2</v>
      </c>
      <c r="Q10" s="106">
        <v>-7.2999999999999972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8</v>
      </c>
      <c r="C13" s="44">
        <f>IF(B$3=0,0,B13/B$3)</f>
        <v>0.22222222222222221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</v>
      </c>
      <c r="C14" s="39">
        <f>IF(B$3=0,0,B14/B$3)</f>
        <v>0.25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127</v>
      </c>
      <c r="O15" s="124">
        <f>IF(P15=0,0,Q15/P15)</f>
        <v>33.300000000000004</v>
      </c>
      <c r="P15" s="118">
        <v>1</v>
      </c>
      <c r="Q15" s="106">
        <v>33.300000000000004</v>
      </c>
    </row>
    <row r="16" spans="1:17" x14ac:dyDescent="0.4">
      <c r="A16" s="54" t="s">
        <v>125</v>
      </c>
      <c r="B16" s="46">
        <v>3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180</v>
      </c>
      <c r="O16" s="125">
        <f>IF(P16=0,0,Q16/P16)</f>
        <v>28.699999999999996</v>
      </c>
      <c r="P16" s="119">
        <v>1</v>
      </c>
      <c r="Q16" s="107">
        <v>28.699999999999996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4</v>
      </c>
      <c r="N17" s="115" t="s">
        <v>179</v>
      </c>
      <c r="O17" s="125">
        <f>IF(P17=0,0,Q17/P17)</f>
        <v>14.150000000000002</v>
      </c>
      <c r="P17" s="119">
        <v>2</v>
      </c>
      <c r="Q17" s="107">
        <v>28.300000000000004</v>
      </c>
    </row>
    <row r="18" spans="1:17" x14ac:dyDescent="0.4">
      <c r="A18" s="55" t="s">
        <v>12</v>
      </c>
      <c r="B18" s="47">
        <v>3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183</v>
      </c>
      <c r="O18" s="125">
        <f>IF(P18=0,0,Q18/P18)</f>
        <v>-49.85</v>
      </c>
      <c r="P18" s="119">
        <v>2</v>
      </c>
      <c r="Q18" s="107">
        <v>-99.7</v>
      </c>
    </row>
    <row r="19" spans="1:17" x14ac:dyDescent="0.4">
      <c r="A19" s="55" t="s">
        <v>11</v>
      </c>
      <c r="B19" s="47">
        <v>6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0.1111111111111111</v>
      </c>
      <c r="I19" s="94">
        <v>1</v>
      </c>
      <c r="N19" s="115" t="s">
        <v>182</v>
      </c>
      <c r="O19" s="125">
        <f>IF(P19=0,0,Q19/P19)</f>
        <v>-107.2</v>
      </c>
      <c r="P19" s="119">
        <v>2</v>
      </c>
      <c r="Q19" s="107">
        <v>-214.4</v>
      </c>
    </row>
    <row r="20" spans="1:17" x14ac:dyDescent="0.4">
      <c r="A20" s="55" t="s">
        <v>13</v>
      </c>
      <c r="B20" s="47">
        <v>10</v>
      </c>
      <c r="C20" s="39">
        <f>IF(B$3=0,0,B20/B$3)</f>
        <v>0.27777777777777779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6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11355.555555555555</v>
      </c>
      <c r="C23" s="41">
        <v>102200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-11980</v>
      </c>
      <c r="C24" s="45">
        <v>-119800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64200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0.44444444444444442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0.1111111111111111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</v>
      </c>
      <c r="H51" s="138">
        <f>IF(B$17=0,0,G51/B$17)</f>
        <v>0.1111111111111111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F71FF-44B2-4971-8056-77B639108732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0.375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-7025</v>
      </c>
      <c r="P2" s="118">
        <v>4</v>
      </c>
      <c r="Q2" s="102">
        <v>-28100</v>
      </c>
    </row>
    <row r="3" spans="1:17" x14ac:dyDescent="0.4">
      <c r="A3" s="55" t="s">
        <v>8</v>
      </c>
      <c r="B3" s="152">
        <v>39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46.9</v>
      </c>
      <c r="N3" s="115" t="s">
        <v>132</v>
      </c>
      <c r="O3" s="122">
        <f t="shared" si="0"/>
        <v>-2625</v>
      </c>
      <c r="P3" s="119">
        <v>4</v>
      </c>
      <c r="Q3" s="103">
        <v>-10500</v>
      </c>
    </row>
    <row r="4" spans="1:17" x14ac:dyDescent="0.4">
      <c r="A4" s="55" t="s">
        <v>6</v>
      </c>
      <c r="B4" s="154">
        <v>-19.3</v>
      </c>
      <c r="C4" s="155"/>
      <c r="E4" s="63" t="s">
        <v>67</v>
      </c>
      <c r="F4" s="60" t="s">
        <v>23</v>
      </c>
      <c r="G4" s="47">
        <v>2</v>
      </c>
      <c r="H4" s="133">
        <f>IF(B$17=0,0,G4/B$17)</f>
        <v>0.25</v>
      </c>
      <c r="I4" s="94">
        <v>10</v>
      </c>
      <c r="K4" s="38">
        <v>2</v>
      </c>
      <c r="L4" s="99">
        <v>8.1000000000000014</v>
      </c>
      <c r="N4" s="115" t="s">
        <v>133</v>
      </c>
      <c r="O4" s="122">
        <f t="shared" si="0"/>
        <v>5000</v>
      </c>
      <c r="P4" s="119">
        <v>4</v>
      </c>
      <c r="Q4" s="103">
        <v>20000</v>
      </c>
    </row>
    <row r="5" spans="1:17" x14ac:dyDescent="0.4">
      <c r="A5" s="55" t="s">
        <v>7</v>
      </c>
      <c r="B5" s="156">
        <f>IF(B$2=0,0,B$4/B$2)</f>
        <v>-4.8250000000000002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0.25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0"/>
        <v>-2375</v>
      </c>
      <c r="P5" s="119">
        <v>4</v>
      </c>
      <c r="Q5" s="103">
        <v>-9500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69</v>
      </c>
      <c r="F6" s="60" t="s">
        <v>12</v>
      </c>
      <c r="G6" s="47">
        <v>2</v>
      </c>
      <c r="H6" s="133">
        <f>IF(B$17=0,0,G6/B$17)</f>
        <v>0.25</v>
      </c>
      <c r="I6" s="94">
        <v>7</v>
      </c>
      <c r="K6" s="38">
        <v>4</v>
      </c>
      <c r="L6" s="99">
        <v>-19.3</v>
      </c>
      <c r="N6" s="115" t="s">
        <v>135</v>
      </c>
      <c r="O6" s="122">
        <f t="shared" si="0"/>
        <v>-750</v>
      </c>
      <c r="P6" s="119">
        <v>2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0.25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7</v>
      </c>
      <c r="N7" s="116" t="s">
        <v>136</v>
      </c>
      <c r="O7" s="123">
        <f t="shared" si="0"/>
        <v>10150</v>
      </c>
      <c r="P7" s="120">
        <v>2</v>
      </c>
      <c r="Q7" s="104">
        <v>20300</v>
      </c>
    </row>
    <row r="8" spans="1:17" x14ac:dyDescent="0.4">
      <c r="A8" s="55" t="s">
        <v>3</v>
      </c>
      <c r="B8" s="47">
        <v>1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0.125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73</v>
      </c>
      <c r="F10" s="60" t="s">
        <v>28</v>
      </c>
      <c r="G10" s="47">
        <v>8</v>
      </c>
      <c r="H10" s="133">
        <f>IF(B$17=0,0,G10/B$17)</f>
        <v>1</v>
      </c>
      <c r="I10" s="94">
        <v>1</v>
      </c>
      <c r="N10" s="114" t="s">
        <v>163</v>
      </c>
      <c r="O10" s="124">
        <f>IF(P10=0,0,Q10/P10)</f>
        <v>17.7</v>
      </c>
      <c r="P10" s="118">
        <v>1</v>
      </c>
      <c r="Q10" s="106">
        <v>17.7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-45.1</v>
      </c>
      <c r="P11" s="119">
        <v>1</v>
      </c>
      <c r="Q11" s="107">
        <v>-45.1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4.0500000000000007</v>
      </c>
      <c r="P12" s="120">
        <v>2</v>
      </c>
      <c r="Q12" s="108">
        <v>8.1000000000000014</v>
      </c>
    </row>
    <row r="13" spans="1:17" x14ac:dyDescent="0.4">
      <c r="A13" s="58" t="s">
        <v>122</v>
      </c>
      <c r="B13" s="50">
        <v>4</v>
      </c>
      <c r="C13" s="44">
        <f>IF(B$3=0,0,B13/B$3)</f>
        <v>0.10256410256410256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</v>
      </c>
      <c r="C14" s="39">
        <f>IF(B$3=0,0,B14/B$3)</f>
        <v>0.17948717948717949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0.75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 t="shared" ref="O15:O20" si="2"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4</v>
      </c>
      <c r="C16" s="37">
        <f>IF(B$14=0,0,B16/B$14)</f>
        <v>0.5714285714285714</v>
      </c>
      <c r="E16" s="63" t="s">
        <v>79</v>
      </c>
      <c r="F16" s="60" t="s">
        <v>34</v>
      </c>
      <c r="G16" s="47">
        <v>1</v>
      </c>
      <c r="H16" s="133">
        <f>IF(B$17=0,0,G16/B$17)</f>
        <v>0.125</v>
      </c>
      <c r="I16" s="94">
        <v>2</v>
      </c>
      <c r="N16" s="115" t="s">
        <v>196</v>
      </c>
      <c r="O16" s="125">
        <f t="shared" si="2"/>
        <v>64.2</v>
      </c>
      <c r="P16" s="119">
        <v>1</v>
      </c>
      <c r="Q16" s="107">
        <v>64.2</v>
      </c>
    </row>
    <row r="17" spans="1:17" x14ac:dyDescent="0.4">
      <c r="A17" s="54" t="s">
        <v>10</v>
      </c>
      <c r="B17" s="46">
        <f>B19+B18</f>
        <v>8</v>
      </c>
      <c r="C17" s="37">
        <f>IF(B$3=0,0,B17/B$3)</f>
        <v>0.20512820512820512</v>
      </c>
      <c r="E17" s="63" t="s">
        <v>80</v>
      </c>
      <c r="F17" s="60" t="s">
        <v>35</v>
      </c>
      <c r="G17" s="47">
        <v>2</v>
      </c>
      <c r="H17" s="133">
        <f>IF(B$17=0,0,G17/B$17)</f>
        <v>0.25</v>
      </c>
      <c r="I17" s="94">
        <v>1</v>
      </c>
      <c r="N17" s="115" t="s">
        <v>128</v>
      </c>
      <c r="O17" s="125">
        <f t="shared" si="2"/>
        <v>-11.100000000000001</v>
      </c>
      <c r="P17" s="119">
        <v>1</v>
      </c>
      <c r="Q17" s="107">
        <v>-11.100000000000001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178</v>
      </c>
      <c r="O18" s="125">
        <f t="shared" si="2"/>
        <v>-14.150000000000002</v>
      </c>
      <c r="P18" s="119">
        <v>2</v>
      </c>
      <c r="Q18" s="107">
        <v>-28.300000000000004</v>
      </c>
    </row>
    <row r="19" spans="1:17" x14ac:dyDescent="0.4">
      <c r="A19" s="55" t="s">
        <v>11</v>
      </c>
      <c r="B19" s="47">
        <v>5</v>
      </c>
      <c r="C19" s="39">
        <f>IF(B$17=0,0,B19/B$17)</f>
        <v>0.625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6</v>
      </c>
      <c r="N19" s="115" t="s">
        <v>167</v>
      </c>
      <c r="O19" s="125">
        <f t="shared" si="2"/>
        <v>-16.399999999999999</v>
      </c>
      <c r="P19" s="119">
        <v>1</v>
      </c>
      <c r="Q19" s="107">
        <v>-16.399999999999999</v>
      </c>
    </row>
    <row r="20" spans="1:17" x14ac:dyDescent="0.4">
      <c r="A20" s="55" t="s">
        <v>13</v>
      </c>
      <c r="B20" s="47">
        <v>4</v>
      </c>
      <c r="C20" s="39">
        <f>IF(B$3=0,0,B20/B$3)</f>
        <v>0.10256410256410256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127</v>
      </c>
      <c r="O20" s="125">
        <f t="shared" si="2"/>
        <v>-75.5</v>
      </c>
      <c r="P20" s="119">
        <v>2</v>
      </c>
      <c r="Q20" s="107">
        <v>-151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0.25</v>
      </c>
      <c r="I21" s="94">
        <v>1</v>
      </c>
    </row>
    <row r="22" spans="1:17" x14ac:dyDescent="0.4">
      <c r="A22" s="55" t="s">
        <v>171</v>
      </c>
      <c r="B22" s="47">
        <v>15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8937.5</v>
      </c>
      <c r="C23" s="41">
        <v>71500</v>
      </c>
      <c r="E23" s="63" t="s">
        <v>86</v>
      </c>
      <c r="F23" s="60" t="s">
        <v>41</v>
      </c>
      <c r="G23" s="47">
        <v>1</v>
      </c>
      <c r="H23" s="133">
        <f>IF(B$17=0,0,G23/B$17)</f>
        <v>0.125</v>
      </c>
      <c r="I23" s="94">
        <v>1</v>
      </c>
    </row>
    <row r="24" spans="1:17" x14ac:dyDescent="0.4">
      <c r="A24" s="57" t="s">
        <v>14</v>
      </c>
      <c r="B24" s="52">
        <f>IF(B$20=0,0,C24/B$20)</f>
        <v>-7900</v>
      </c>
      <c r="C24" s="45">
        <v>-31600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71900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0.125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0.25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EB03D-59A5-49B8-9ED0-CE5EE1D4389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</v>
      </c>
      <c r="C2" s="151"/>
      <c r="E2" s="62" t="s">
        <v>68</v>
      </c>
      <c r="F2" s="59" t="s">
        <v>24</v>
      </c>
      <c r="G2" s="46">
        <v>8</v>
      </c>
      <c r="H2" s="132">
        <f>IF(B$17=0,0,G2/B$17)</f>
        <v>1.1428571428571428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75</v>
      </c>
      <c r="P2" s="118">
        <v>4</v>
      </c>
      <c r="Q2" s="102">
        <v>300</v>
      </c>
    </row>
    <row r="3" spans="1:17" x14ac:dyDescent="0.4">
      <c r="A3" s="55" t="s">
        <v>8</v>
      </c>
      <c r="B3" s="152">
        <v>37</v>
      </c>
      <c r="C3" s="153"/>
      <c r="E3" s="63" t="s">
        <v>65</v>
      </c>
      <c r="F3" s="60" t="s">
        <v>21</v>
      </c>
      <c r="G3" s="47">
        <v>6</v>
      </c>
      <c r="H3" s="133">
        <f>IF(B$17=0,0,G3/B$17)</f>
        <v>0.8571428571428571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-6400</v>
      </c>
      <c r="P3" s="119">
        <v>4</v>
      </c>
      <c r="Q3" s="103">
        <v>-25600</v>
      </c>
    </row>
    <row r="4" spans="1:17" x14ac:dyDescent="0.4">
      <c r="A4" s="55" t="s">
        <v>6</v>
      </c>
      <c r="B4" s="154">
        <v>-80.5</v>
      </c>
      <c r="C4" s="155"/>
      <c r="E4" s="63" t="s">
        <v>73</v>
      </c>
      <c r="F4" s="60" t="s">
        <v>28</v>
      </c>
      <c r="G4" s="47">
        <v>4</v>
      </c>
      <c r="H4" s="133">
        <f>IF(B$17=0,0,G4/B$17)</f>
        <v>0.5714285714285714</v>
      </c>
      <c r="I4" s="94">
        <v>3</v>
      </c>
      <c r="K4" s="38">
        <v>2</v>
      </c>
      <c r="L4" s="99">
        <v>-40.6</v>
      </c>
      <c r="N4" s="115" t="s">
        <v>133</v>
      </c>
      <c r="O4" s="122">
        <f t="shared" si="0"/>
        <v>-5700</v>
      </c>
      <c r="P4" s="119">
        <v>4</v>
      </c>
      <c r="Q4" s="103">
        <v>-22800</v>
      </c>
    </row>
    <row r="5" spans="1:17" x14ac:dyDescent="0.4">
      <c r="A5" s="55" t="s">
        <v>7</v>
      </c>
      <c r="B5" s="156">
        <f>IF(B$2=0,0,B$4/B$2)</f>
        <v>-20.125</v>
      </c>
      <c r="C5" s="157"/>
      <c r="E5" s="63" t="s">
        <v>69</v>
      </c>
      <c r="F5" s="60" t="s">
        <v>12</v>
      </c>
      <c r="G5" s="47">
        <v>3</v>
      </c>
      <c r="H5" s="133">
        <f>IF(B$17=0,0,G5/B$17)</f>
        <v>0.42857142857142855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-1625</v>
      </c>
      <c r="P5" s="119">
        <v>4</v>
      </c>
      <c r="Q5" s="103">
        <v>-6500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172</v>
      </c>
      <c r="F6" s="60" t="s">
        <v>173</v>
      </c>
      <c r="G6" s="47">
        <v>3</v>
      </c>
      <c r="H6" s="133">
        <f>IF(B$17=0,0,G6/B$17)</f>
        <v>0.42857142857142855</v>
      </c>
      <c r="I6" s="94">
        <v>3</v>
      </c>
      <c r="K6" s="38">
        <v>4</v>
      </c>
      <c r="L6" s="99">
        <v>-80.5</v>
      </c>
      <c r="N6" s="115" t="s">
        <v>135</v>
      </c>
      <c r="O6" s="122">
        <f t="shared" si="0"/>
        <v>400</v>
      </c>
      <c r="P6" s="119">
        <v>4</v>
      </c>
      <c r="Q6" s="103">
        <v>1600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66</v>
      </c>
      <c r="F7" s="60" t="s">
        <v>22</v>
      </c>
      <c r="G7" s="47">
        <v>2</v>
      </c>
      <c r="H7" s="133">
        <f>IF(B$17=0,0,G7/B$17)</f>
        <v>0.2857142857142857</v>
      </c>
      <c r="I7" s="94">
        <v>1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 x14ac:dyDescent="0.4">
      <c r="A8" s="55" t="s">
        <v>3</v>
      </c>
      <c r="B8" s="47">
        <v>2</v>
      </c>
      <c r="C8" s="39">
        <f t="shared" si="1"/>
        <v>0.5</v>
      </c>
      <c r="E8" s="63" t="s">
        <v>67</v>
      </c>
      <c r="F8" s="60" t="s">
        <v>23</v>
      </c>
      <c r="G8" s="47">
        <v>2</v>
      </c>
      <c r="H8" s="133">
        <f>IF(B$17=0,0,G8/B$17)</f>
        <v>0.2857142857142857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71</v>
      </c>
      <c r="F9" s="60" t="s">
        <v>26</v>
      </c>
      <c r="G9" s="47">
        <v>1</v>
      </c>
      <c r="H9" s="133">
        <f>IF(B$17=0,0,G9/B$17)</f>
        <v>0.14285714285714285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79</v>
      </c>
      <c r="F10" s="60" t="s">
        <v>34</v>
      </c>
      <c r="G10" s="47">
        <v>1</v>
      </c>
      <c r="H10" s="133">
        <f>IF(B$17=0,0,G10/B$17)</f>
        <v>0.14285714285714285</v>
      </c>
      <c r="I10" s="94">
        <v>1</v>
      </c>
      <c r="N10" s="114" t="s">
        <v>163</v>
      </c>
      <c r="O10" s="124">
        <f>IF(P10=0,0,Q10/P10)</f>
        <v>-29.45</v>
      </c>
      <c r="P10" s="118">
        <v>2</v>
      </c>
      <c r="Q10" s="106">
        <v>-58.9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7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0</v>
      </c>
      <c r="H12" s="133">
        <f>IF(B$17=0,0,G12/B$17)</f>
        <v>0</v>
      </c>
      <c r="I12" s="94">
        <v>8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 x14ac:dyDescent="0.4">
      <c r="A13" s="58" t="s">
        <v>122</v>
      </c>
      <c r="B13" s="50">
        <v>10</v>
      </c>
      <c r="C13" s="44">
        <f>IF(B$3=0,0,B13/B$3)</f>
        <v>0.27027027027027029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</v>
      </c>
      <c r="C14" s="39">
        <f>IF(B$3=0,0,B14/B$3)</f>
        <v>0.24324324324324326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</v>
      </c>
      <c r="C15" s="37">
        <f>IF(B$13=0,0,B15/B$13)</f>
        <v>0.6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 x14ac:dyDescent="0.4">
      <c r="A16" s="54" t="s">
        <v>125</v>
      </c>
      <c r="B16" s="46">
        <v>1</v>
      </c>
      <c r="C16" s="37">
        <f>IF(B$14=0,0,B16/B$14)</f>
        <v>0.1111111111111111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-52.525000000000006</v>
      </c>
      <c r="P16" s="119">
        <v>4</v>
      </c>
      <c r="Q16" s="107">
        <v>-210.10000000000002</v>
      </c>
    </row>
    <row r="17" spans="1:17" x14ac:dyDescent="0.4">
      <c r="A17" s="54" t="s">
        <v>10</v>
      </c>
      <c r="B17" s="46">
        <f>B19+B18</f>
        <v>7</v>
      </c>
      <c r="C17" s="37">
        <f>IF(B$3=0,0,B17/B$3)</f>
        <v>0.1891891891891892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3</v>
      </c>
      <c r="N17" s="115" t="s">
        <v>196</v>
      </c>
      <c r="O17" s="125">
        <f>IF(P17=0,0,Q17/P17)</f>
        <v>-65.55</v>
      </c>
      <c r="P17" s="119">
        <v>2</v>
      </c>
      <c r="Q17" s="107">
        <v>-131.1</v>
      </c>
    </row>
    <row r="18" spans="1:17" x14ac:dyDescent="0.4">
      <c r="A18" s="55" t="s">
        <v>12</v>
      </c>
      <c r="B18" s="47">
        <v>4</v>
      </c>
      <c r="C18" s="39">
        <f>IF(B$17=0,0,B18/B$17)</f>
        <v>0.5714285714285714</v>
      </c>
      <c r="E18" s="63" t="s">
        <v>80</v>
      </c>
      <c r="F18" s="60" t="s">
        <v>35</v>
      </c>
      <c r="G18" s="47">
        <v>0</v>
      </c>
      <c r="H18" s="133">
        <f>IF(B$17=0,0,G18/B$17)</f>
        <v>0</v>
      </c>
      <c r="I18" s="94">
        <v>4</v>
      </c>
    </row>
    <row r="19" spans="1:17" x14ac:dyDescent="0.4">
      <c r="A19" s="55" t="s">
        <v>11</v>
      </c>
      <c r="B19" s="47">
        <v>3</v>
      </c>
      <c r="C19" s="39">
        <f>IF(B$17=0,0,B19/B$17)</f>
        <v>0.42857142857142855</v>
      </c>
      <c r="E19" s="63" t="s">
        <v>81</v>
      </c>
      <c r="F19" s="60" t="s">
        <v>36</v>
      </c>
      <c r="G19" s="47">
        <v>0</v>
      </c>
      <c r="H19" s="133">
        <f>IF(B$17=0,0,G19/B$17)</f>
        <v>0</v>
      </c>
      <c r="I19" s="94">
        <v>1</v>
      </c>
    </row>
    <row r="20" spans="1:17" x14ac:dyDescent="0.4">
      <c r="A20" s="55" t="s">
        <v>13</v>
      </c>
      <c r="B20" s="47">
        <v>9</v>
      </c>
      <c r="C20" s="39">
        <f>IF(B$3=0,0,B20/B$3)</f>
        <v>0.24324324324324326</v>
      </c>
      <c r="E20" s="63" t="s">
        <v>82</v>
      </c>
      <c r="F20" s="60" t="s">
        <v>37</v>
      </c>
      <c r="G20" s="47">
        <v>0</v>
      </c>
      <c r="H20" s="133">
        <f>IF(B$17=0,0,G20/B$17)</f>
        <v>0</v>
      </c>
      <c r="I20" s="94">
        <v>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11</v>
      </c>
      <c r="C22" s="135">
        <v>0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9028.5714285714294</v>
      </c>
      <c r="C23" s="41">
        <v>63200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-8566.6666666666661</v>
      </c>
      <c r="C24" s="45">
        <v>-77100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17" x14ac:dyDescent="0.4">
      <c r="A25" s="90" t="s">
        <v>141</v>
      </c>
      <c r="B25" s="144">
        <v>4</v>
      </c>
      <c r="C25" s="145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151</v>
      </c>
      <c r="B26" s="142">
        <v>42000</v>
      </c>
      <c r="C26" s="143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10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968E7-91EF-4B0F-BF84-F320104B54AD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</v>
      </c>
      <c r="C2" s="151"/>
      <c r="E2" s="62" t="s">
        <v>67</v>
      </c>
      <c r="F2" s="59" t="s">
        <v>23</v>
      </c>
      <c r="G2" s="46">
        <v>17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-2360</v>
      </c>
      <c r="P2" s="118">
        <v>5</v>
      </c>
      <c r="Q2" s="102">
        <v>-11800</v>
      </c>
    </row>
    <row r="3" spans="1:17" x14ac:dyDescent="0.4">
      <c r="A3" s="55" t="s">
        <v>8</v>
      </c>
      <c r="B3" s="152">
        <v>44</v>
      </c>
      <c r="C3" s="153"/>
      <c r="E3" s="63" t="s">
        <v>65</v>
      </c>
      <c r="F3" s="60" t="s">
        <v>21</v>
      </c>
      <c r="G3" s="47">
        <v>11</v>
      </c>
      <c r="H3" s="133">
        <f>IF(B$17=0,0,G3/B$17)</f>
        <v>0.6470588235294118</v>
      </c>
      <c r="I3" s="94">
        <v>3</v>
      </c>
      <c r="K3" s="38">
        <v>1</v>
      </c>
      <c r="L3" s="99">
        <v>70.2</v>
      </c>
      <c r="N3" s="115" t="s">
        <v>132</v>
      </c>
      <c r="O3" s="122">
        <f t="shared" si="0"/>
        <v>6440</v>
      </c>
      <c r="P3" s="119">
        <v>5</v>
      </c>
      <c r="Q3" s="103">
        <v>32200</v>
      </c>
    </row>
    <row r="4" spans="1:17" x14ac:dyDescent="0.4">
      <c r="A4" s="55" t="s">
        <v>6</v>
      </c>
      <c r="B4" s="154">
        <v>127.9</v>
      </c>
      <c r="C4" s="155"/>
      <c r="E4" s="63" t="s">
        <v>172</v>
      </c>
      <c r="F4" s="60" t="s">
        <v>173</v>
      </c>
      <c r="G4" s="47">
        <v>10</v>
      </c>
      <c r="H4" s="133">
        <f>IF(B$17=0,0,G4/B$17)</f>
        <v>0.58823529411764708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3240</v>
      </c>
      <c r="P4" s="119">
        <v>5</v>
      </c>
      <c r="Q4" s="103">
        <v>16200</v>
      </c>
    </row>
    <row r="5" spans="1:17" x14ac:dyDescent="0.4">
      <c r="A5" s="55" t="s">
        <v>7</v>
      </c>
      <c r="B5" s="156">
        <f>IF(B$2=0,0,B$4/B$2)</f>
        <v>25.580000000000002</v>
      </c>
      <c r="C5" s="157"/>
      <c r="E5" s="63" t="s">
        <v>69</v>
      </c>
      <c r="F5" s="60" t="s">
        <v>12</v>
      </c>
      <c r="G5" s="47">
        <v>7</v>
      </c>
      <c r="H5" s="133">
        <f>IF(B$17=0,0,G5/B$17)</f>
        <v>0.41176470588235292</v>
      </c>
      <c r="I5" s="94">
        <v>2</v>
      </c>
      <c r="K5" s="38">
        <v>3</v>
      </c>
      <c r="L5" s="99">
        <v>76</v>
      </c>
      <c r="N5" s="115" t="s">
        <v>134</v>
      </c>
      <c r="O5" s="122">
        <f t="shared" si="0"/>
        <v>2400</v>
      </c>
      <c r="P5" s="119">
        <v>5</v>
      </c>
      <c r="Q5" s="103">
        <v>12000</v>
      </c>
    </row>
    <row r="6" spans="1:17" x14ac:dyDescent="0.4">
      <c r="A6" s="55" t="s">
        <v>1</v>
      </c>
      <c r="B6" s="146">
        <f>IF(B$2=0,0,(B$7*1+B$8*2+B$9*3)/B$2)</f>
        <v>1.6</v>
      </c>
      <c r="C6" s="147"/>
      <c r="E6" s="63" t="s">
        <v>68</v>
      </c>
      <c r="F6" s="60" t="s">
        <v>24</v>
      </c>
      <c r="G6" s="47">
        <v>6</v>
      </c>
      <c r="H6" s="133">
        <f>IF(B$17=0,0,G6/B$17)</f>
        <v>0.35294117647058826</v>
      </c>
      <c r="I6" s="94">
        <v>4</v>
      </c>
      <c r="K6" s="38">
        <v>4</v>
      </c>
      <c r="L6" s="99">
        <v>115.5</v>
      </c>
      <c r="N6" s="115" t="s">
        <v>135</v>
      </c>
      <c r="O6" s="122">
        <f t="shared" si="0"/>
        <v>7060</v>
      </c>
      <c r="P6" s="119">
        <v>5</v>
      </c>
      <c r="Q6" s="103">
        <v>35300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0.4</v>
      </c>
      <c r="E7" s="63" t="s">
        <v>70</v>
      </c>
      <c r="F7" s="60" t="s">
        <v>25</v>
      </c>
      <c r="G7" s="47">
        <v>6</v>
      </c>
      <c r="H7" s="133">
        <f>IF(B$17=0,0,G7/B$17)</f>
        <v>0.35294117647058826</v>
      </c>
      <c r="I7" s="94">
        <v>1</v>
      </c>
      <c r="K7" s="38">
        <v>5</v>
      </c>
      <c r="L7" s="99">
        <v>127.9</v>
      </c>
      <c r="N7" s="116" t="s">
        <v>136</v>
      </c>
      <c r="O7" s="123">
        <f t="shared" si="0"/>
        <v>8000</v>
      </c>
      <c r="P7" s="120">
        <v>3</v>
      </c>
      <c r="Q7" s="104">
        <v>24000</v>
      </c>
    </row>
    <row r="8" spans="1:17" x14ac:dyDescent="0.4">
      <c r="A8" s="55" t="s">
        <v>3</v>
      </c>
      <c r="B8" s="47">
        <v>3</v>
      </c>
      <c r="C8" s="39">
        <f t="shared" si="1"/>
        <v>0.6</v>
      </c>
      <c r="E8" s="63" t="s">
        <v>73</v>
      </c>
      <c r="F8" s="60" t="s">
        <v>28</v>
      </c>
      <c r="G8" s="47">
        <v>5</v>
      </c>
      <c r="H8" s="133">
        <f>IF(B$17=0,0,G8/B$17)</f>
        <v>0.29411764705882354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0.23529411764705882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3</v>
      </c>
      <c r="H10" s="133">
        <f>IF(B$17=0,0,G10/B$17)</f>
        <v>0.17647058823529413</v>
      </c>
      <c r="I10" s="94">
        <v>1</v>
      </c>
      <c r="N10" s="114" t="s">
        <v>163</v>
      </c>
      <c r="O10" s="124">
        <f>IF(P10=0,0,Q10/P10)</f>
        <v>2.9</v>
      </c>
      <c r="P10" s="118">
        <v>2</v>
      </c>
      <c r="Q10" s="106">
        <v>5.8</v>
      </c>
    </row>
    <row r="11" spans="1:17" x14ac:dyDescent="0.4">
      <c r="A11" s="56" t="s">
        <v>139</v>
      </c>
      <c r="B11" s="48">
        <v>2</v>
      </c>
      <c r="C11" s="40">
        <f t="shared" si="1"/>
        <v>0.4</v>
      </c>
      <c r="E11" s="63" t="s">
        <v>66</v>
      </c>
      <c r="F11" s="60" t="s">
        <v>22</v>
      </c>
      <c r="G11" s="47">
        <v>2</v>
      </c>
      <c r="H11" s="133">
        <f>IF(B$17=0,0,G11/B$17)</f>
        <v>0.11764705882352941</v>
      </c>
      <c r="I11" s="94">
        <v>4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88</v>
      </c>
      <c r="F12" s="60" t="s">
        <v>43</v>
      </c>
      <c r="G12" s="47">
        <v>1</v>
      </c>
      <c r="H12" s="133">
        <f>IF(B$17=0,0,G12/B$17)</f>
        <v>5.8823529411764705E-2</v>
      </c>
      <c r="I12" s="94">
        <v>1</v>
      </c>
      <c r="N12" s="116" t="s">
        <v>165</v>
      </c>
      <c r="O12" s="126">
        <f>IF(P12=0,0,Q12/P12)</f>
        <v>25.95</v>
      </c>
      <c r="P12" s="120">
        <v>2</v>
      </c>
      <c r="Q12" s="108">
        <v>51.9</v>
      </c>
    </row>
    <row r="13" spans="1:17" x14ac:dyDescent="0.4">
      <c r="A13" s="58" t="s">
        <v>122</v>
      </c>
      <c r="B13" s="50">
        <v>16</v>
      </c>
      <c r="C13" s="44">
        <f>IF(B$3=0,0,B13/B$3)</f>
        <v>0.36363636363636365</v>
      </c>
      <c r="E13" s="63" t="s">
        <v>90</v>
      </c>
      <c r="F13" s="60" t="s">
        <v>45</v>
      </c>
      <c r="G13" s="47">
        <v>1</v>
      </c>
      <c r="H13" s="133">
        <f>IF(B$17=0,0,G13/B$17)</f>
        <v>5.8823529411764705E-2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9.0909090909090912E-2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0.6875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1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0.38636363636363635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7</v>
      </c>
      <c r="C18" s="39">
        <f>IF(B$17=0,0,B18/B$17)</f>
        <v>0.41176470588235292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3</v>
      </c>
      <c r="N18" s="115" t="s">
        <v>196</v>
      </c>
      <c r="O18" s="125">
        <f>IF(P18=0,0,Q18/P18)</f>
        <v>-17.850000000000001</v>
      </c>
      <c r="P18" s="119">
        <v>2</v>
      </c>
      <c r="Q18" s="107">
        <v>-35.700000000000003</v>
      </c>
    </row>
    <row r="19" spans="1:17" x14ac:dyDescent="0.4">
      <c r="A19" s="55" t="s">
        <v>11</v>
      </c>
      <c r="B19" s="47">
        <v>10</v>
      </c>
      <c r="C19" s="39">
        <f>IF(B$17=0,0,B19/B$17)</f>
        <v>0.58823529411764708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7</v>
      </c>
      <c r="N19" s="115" t="s">
        <v>127</v>
      </c>
      <c r="O19" s="125">
        <f>IF(P19=0,0,Q19/P19)</f>
        <v>-27.7</v>
      </c>
      <c r="P19" s="119">
        <v>1</v>
      </c>
      <c r="Q19" s="107">
        <v>-27.7</v>
      </c>
    </row>
    <row r="20" spans="1:17" x14ac:dyDescent="0.4">
      <c r="A20" s="55" t="s">
        <v>13</v>
      </c>
      <c r="B20" s="47">
        <v>3</v>
      </c>
      <c r="C20" s="39">
        <f>IF(B$3=0,0,B20/B$3)</f>
        <v>6.8181818181818177E-2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19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8894.1176470588234</v>
      </c>
      <c r="C23" s="41">
        <v>151200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-6800</v>
      </c>
      <c r="C24" s="45">
        <v>-20400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4">
        <v>7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95200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623D0-6771-4520-9C2B-C8D7EFB296A2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</v>
      </c>
      <c r="C2" s="151"/>
      <c r="E2" s="62" t="s">
        <v>67</v>
      </c>
      <c r="F2" s="59" t="s">
        <v>23</v>
      </c>
      <c r="G2" s="46">
        <v>8</v>
      </c>
      <c r="H2" s="132">
        <f>IF(B$17=0,0,G2/B$17)</f>
        <v>0.88888888888888884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2333.3333333333335</v>
      </c>
      <c r="P2" s="118">
        <v>3</v>
      </c>
      <c r="Q2" s="102">
        <v>7000</v>
      </c>
    </row>
    <row r="3" spans="1:17" x14ac:dyDescent="0.4">
      <c r="A3" s="55" t="s">
        <v>8</v>
      </c>
      <c r="B3" s="152">
        <v>29</v>
      </c>
      <c r="C3" s="153"/>
      <c r="E3" s="63" t="s">
        <v>68</v>
      </c>
      <c r="F3" s="60" t="s">
        <v>24</v>
      </c>
      <c r="G3" s="47">
        <v>5</v>
      </c>
      <c r="H3" s="133">
        <f>IF(B$17=0,0,G3/B$17)</f>
        <v>0.55555555555555558</v>
      </c>
      <c r="I3" s="94">
        <v>3</v>
      </c>
      <c r="K3" s="38">
        <v>1</v>
      </c>
      <c r="L3" s="99">
        <v>-46.5</v>
      </c>
      <c r="N3" s="115" t="s">
        <v>132</v>
      </c>
      <c r="O3" s="122">
        <f t="shared" si="0"/>
        <v>2533.3333333333335</v>
      </c>
      <c r="P3" s="119">
        <v>3</v>
      </c>
      <c r="Q3" s="103">
        <v>7600</v>
      </c>
    </row>
    <row r="4" spans="1:17" x14ac:dyDescent="0.4">
      <c r="A4" s="55" t="s">
        <v>6</v>
      </c>
      <c r="B4" s="154">
        <v>9.1000000000000014</v>
      </c>
      <c r="C4" s="155"/>
      <c r="E4" s="63" t="s">
        <v>73</v>
      </c>
      <c r="F4" s="60" t="s">
        <v>28</v>
      </c>
      <c r="G4" s="47">
        <v>5</v>
      </c>
      <c r="H4" s="133">
        <f>IF(B$17=0,0,G4/B$17)</f>
        <v>0.55555555555555558</v>
      </c>
      <c r="I4" s="94">
        <v>5</v>
      </c>
      <c r="K4" s="38">
        <v>2</v>
      </c>
      <c r="L4" s="99">
        <v>-25.4</v>
      </c>
      <c r="N4" s="115" t="s">
        <v>133</v>
      </c>
      <c r="O4" s="122">
        <f t="shared" si="0"/>
        <v>-5800</v>
      </c>
      <c r="P4" s="119">
        <v>3</v>
      </c>
      <c r="Q4" s="103">
        <v>-17400</v>
      </c>
    </row>
    <row r="5" spans="1:17" x14ac:dyDescent="0.4">
      <c r="A5" s="55" t="s">
        <v>7</v>
      </c>
      <c r="B5" s="156">
        <f>IF(B$2=0,0,B$4/B$2)</f>
        <v>3.0333333333333337</v>
      </c>
      <c r="C5" s="157"/>
      <c r="E5" s="63" t="s">
        <v>65</v>
      </c>
      <c r="F5" s="60" t="s">
        <v>21</v>
      </c>
      <c r="G5" s="47">
        <v>4</v>
      </c>
      <c r="H5" s="133">
        <f>IF(B$17=0,0,G5/B$17)</f>
        <v>0.44444444444444442</v>
      </c>
      <c r="I5" s="94">
        <v>6</v>
      </c>
      <c r="K5" s="38">
        <v>3</v>
      </c>
      <c r="L5" s="99">
        <v>9.1000000000000014</v>
      </c>
      <c r="N5" s="115" t="s">
        <v>134</v>
      </c>
      <c r="O5" s="122">
        <f t="shared" si="0"/>
        <v>-2666.6666666666665</v>
      </c>
      <c r="P5" s="119">
        <v>3</v>
      </c>
      <c r="Q5" s="103">
        <v>-8000</v>
      </c>
    </row>
    <row r="6" spans="1:17" x14ac:dyDescent="0.4">
      <c r="A6" s="55" t="s">
        <v>1</v>
      </c>
      <c r="B6" s="146">
        <f>IF(B$2=0,0,(B$7*1+B$8*2+B$9*3)/B$2)</f>
        <v>1.6666666666666667</v>
      </c>
      <c r="C6" s="147"/>
      <c r="E6" s="63" t="s">
        <v>172</v>
      </c>
      <c r="F6" s="60" t="s">
        <v>173</v>
      </c>
      <c r="G6" s="47">
        <v>2</v>
      </c>
      <c r="H6" s="133">
        <f>IF(B$17=0,0,G6/B$17)</f>
        <v>0.22222222222222221</v>
      </c>
      <c r="I6" s="94">
        <v>9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0.66666666666666663</v>
      </c>
      <c r="E7" s="63" t="s">
        <v>66</v>
      </c>
      <c r="F7" s="60" t="s">
        <v>22</v>
      </c>
      <c r="G7" s="47">
        <v>1</v>
      </c>
      <c r="H7" s="133">
        <f>IF(B$17=0,0,G7/B$17)</f>
        <v>0.1111111111111111</v>
      </c>
      <c r="I7" s="94">
        <v>5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69</v>
      </c>
      <c r="F8" s="60" t="s">
        <v>12</v>
      </c>
      <c r="G8" s="47">
        <v>1</v>
      </c>
      <c r="H8" s="133">
        <f>IF(B$17=0,0,G8/B$17)</f>
        <v>0.1111111111111111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1"/>
        <v>0.33333333333333331</v>
      </c>
      <c r="E9" s="63" t="s">
        <v>71</v>
      </c>
      <c r="F9" s="60" t="s">
        <v>26</v>
      </c>
      <c r="G9" s="47">
        <v>1</v>
      </c>
      <c r="H9" s="133">
        <f>IF(B$17=0,0,G9/B$17)</f>
        <v>0.1111111111111111</v>
      </c>
      <c r="I9" s="94">
        <v>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0.33333333333333331</v>
      </c>
      <c r="E10" s="63" t="s">
        <v>80</v>
      </c>
      <c r="F10" s="60" t="s">
        <v>35</v>
      </c>
      <c r="G10" s="47">
        <v>1</v>
      </c>
      <c r="H10" s="133">
        <f>IF(B$17=0,0,G10/B$17)</f>
        <v>0.1111111111111111</v>
      </c>
      <c r="I10" s="94">
        <v>2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0.33333333333333331</v>
      </c>
      <c r="E11" s="63" t="s">
        <v>87</v>
      </c>
      <c r="F11" s="60" t="s">
        <v>42</v>
      </c>
      <c r="G11" s="47">
        <v>1</v>
      </c>
      <c r="H11" s="133">
        <f>IF(B$17=0,0,G11/B$17)</f>
        <v>0.1111111111111111</v>
      </c>
      <c r="I11" s="94">
        <v>1</v>
      </c>
      <c r="N11" s="115" t="s">
        <v>164</v>
      </c>
      <c r="O11" s="125">
        <f>IF(P11=0,0,Q11/P11)</f>
        <v>3.0333333333333337</v>
      </c>
      <c r="P11" s="119">
        <v>3</v>
      </c>
      <c r="Q11" s="107">
        <v>9.1000000000000014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90</v>
      </c>
      <c r="F12" s="60" t="s">
        <v>45</v>
      </c>
      <c r="G12" s="47">
        <v>1</v>
      </c>
      <c r="H12" s="133">
        <f>IF(B$17=0,0,G12/B$17)</f>
        <v>0.1111111111111111</v>
      </c>
      <c r="I12" s="94">
        <v>6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8</v>
      </c>
      <c r="C13" s="44">
        <f>IF(B$3=0,0,B13/B$3)</f>
        <v>0.27586206896551724</v>
      </c>
      <c r="E13" s="63" t="s">
        <v>70</v>
      </c>
      <c r="F13" s="60" t="s">
        <v>25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0.34482758620689657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4</v>
      </c>
      <c r="C16" s="37">
        <f>IF(B$14=0,0,B16/B$14)</f>
        <v>0.4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0.31034482758620691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  <c r="N17" s="115" t="s">
        <v>179</v>
      </c>
      <c r="O17" s="125">
        <f>IF(P17=0,0,Q17/P17)</f>
        <v>-64.2</v>
      </c>
      <c r="P17" s="119">
        <v>1</v>
      </c>
      <c r="Q17" s="107">
        <v>-64.2</v>
      </c>
    </row>
    <row r="18" spans="1:17" x14ac:dyDescent="0.4">
      <c r="A18" s="55" t="s">
        <v>12</v>
      </c>
      <c r="B18" s="47">
        <v>3</v>
      </c>
      <c r="C18" s="39">
        <f>IF(B$17=0,0,B18/B$17)</f>
        <v>0.33333333333333331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1</v>
      </c>
      <c r="Q18" s="107">
        <v>-75.3</v>
      </c>
    </row>
    <row r="19" spans="1:17" x14ac:dyDescent="0.4">
      <c r="A19" s="55" t="s">
        <v>11</v>
      </c>
      <c r="B19" s="47">
        <v>6</v>
      </c>
      <c r="C19" s="39">
        <f>IF(B$17=0,0,B19/B$17)</f>
        <v>0.66666666666666663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3</v>
      </c>
    </row>
    <row r="20" spans="1:17" x14ac:dyDescent="0.4">
      <c r="A20" s="55" t="s">
        <v>13</v>
      </c>
      <c r="B20" s="47">
        <v>4</v>
      </c>
      <c r="C20" s="39">
        <f>IF(B$3=0,0,B20/B$3)</f>
        <v>0.13793103448275862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7</v>
      </c>
    </row>
    <row r="21" spans="1:17" x14ac:dyDescent="0.4">
      <c r="A21" s="55" t="s">
        <v>170</v>
      </c>
      <c r="B21" s="47">
        <v>2</v>
      </c>
      <c r="C21" s="135">
        <v>2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15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7311.1111111111113</v>
      </c>
      <c r="C23" s="41">
        <v>65800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-9000</v>
      </c>
      <c r="C24" s="45">
        <v>-36000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0CDCC-548A-4B8B-A15D-1E76EF79C3A7}">
  <sheetPr codeName="Sheet24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9.1000000000000014</v>
      </c>
      <c r="C6" s="66">
        <v>3.0333333333333337</v>
      </c>
      <c r="D6" s="71">
        <v>1.6666666666666667</v>
      </c>
      <c r="E6" s="67">
        <v>0.66666666666666663</v>
      </c>
      <c r="F6" s="67">
        <v>0.33333333333333331</v>
      </c>
      <c r="G6" s="67">
        <v>0.31034482758620691</v>
      </c>
      <c r="H6" s="67">
        <v>0.13793103448275862</v>
      </c>
      <c r="I6" s="68">
        <v>7311.1111111111113</v>
      </c>
      <c r="J6" s="68">
        <v>-9000</v>
      </c>
      <c r="K6" s="67">
        <v>0.33333333333333331</v>
      </c>
      <c r="L6" s="67">
        <v>0.33333333333333331</v>
      </c>
      <c r="M6" s="67">
        <v>0.27586206896551724</v>
      </c>
      <c r="N6" s="67">
        <v>0.34482758620689657</v>
      </c>
      <c r="O6" s="67">
        <v>0.5</v>
      </c>
      <c r="P6" s="67">
        <v>0.4</v>
      </c>
      <c r="Q6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F2298-06A4-408C-AECD-F402B965F640}">
  <sheetPr codeName="Sheet22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0C3D-35EB-4678-B66B-87BB8406077C}">
  <sheetPr codeName="Sheet20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AA2C2-6020-4872-9A9E-732211159674}">
  <sheetPr codeName="Sheet18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BBBD-16D2-4509-92E8-67D69E625137}">
  <sheetPr codeName="Sheet1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26E9D-DF49-4473-982F-B3F026DD4780}">
  <sheetPr codeName="Sheet14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CD1E8-9329-4058-B79B-91E59F5FA230}">
  <sheetPr codeName="Sheet12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006A-A87A-47AE-8D7C-B3791D255FAF}">
  <sheetPr codeName="Sheet10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CB66-82BB-49B6-B4CB-D5BBD57E8AAF}">
  <sheetPr codeName="Sheet8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79E34-CEF0-4506-B97B-4A2364FC8684}">
  <sheetPr codeName="Sheet6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0.29729729729729731</v>
      </c>
      <c r="H31" s="67">
        <v>0.17889317889317891</v>
      </c>
      <c r="I31" s="68">
        <v>8330.7359307359311</v>
      </c>
      <c r="J31" s="68">
        <v>-8079.8561151079139</v>
      </c>
      <c r="K31" s="67">
        <v>0.13095238095238096</v>
      </c>
      <c r="L31" s="67">
        <v>0.13095238095238096</v>
      </c>
      <c r="M31" s="67">
        <v>0.24581724581724582</v>
      </c>
      <c r="N31" s="67">
        <v>0.23037323037323038</v>
      </c>
      <c r="O31" s="67">
        <v>0.5706806282722513</v>
      </c>
      <c r="P31" s="67">
        <v>0.40782122905027934</v>
      </c>
      <c r="Q31" s="67">
        <v>0.39393939393939392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2019-10-02T15:42:15Z</dcterms:modified>
</cp:coreProperties>
</file>