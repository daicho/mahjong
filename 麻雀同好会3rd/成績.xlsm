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96E0C1DF-9331-4D62-A03F-0D91D51F47A8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89" r:id="rId6"/>
    <sheet name="たかの" sheetId="5591" r:id="rId7"/>
    <sheet name="だいち" sheetId="5593" r:id="rId8"/>
    <sheet name="ただ" sheetId="5595" r:id="rId9"/>
    <sheet name="りくと" sheetId="5597" r:id="rId10"/>
    <sheet name="れんたろう" sheetId="5599" r:id="rId11"/>
    <sheet name="まっつん" sheetId="5601" r:id="rId12"/>
    <sheet name="のり" sheetId="5603" r:id="rId13"/>
    <sheet name="ぱぱ" sheetId="5605" r:id="rId14"/>
    <sheet name="ぱぱ2" sheetId="5606" state="hidden" r:id="rId15"/>
    <sheet name="のり2" sheetId="5604" state="hidden" r:id="rId16"/>
    <sheet name="まっつん2" sheetId="5602" state="hidden" r:id="rId17"/>
    <sheet name="れんたろう2" sheetId="5600" state="hidden" r:id="rId18"/>
    <sheet name="りくと2" sheetId="5598" state="hidden" r:id="rId19"/>
    <sheet name="ただ2" sheetId="5596" state="hidden" r:id="rId20"/>
    <sheet name="だいち2" sheetId="5594" state="hidden" r:id="rId21"/>
    <sheet name="たかの2" sheetId="5592" state="hidden" r:id="rId22"/>
    <sheet name="全体2" sheetId="5590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ふっとばし率" sheetId="3523" state="hidden" r:id="rId34"/>
    <sheet name="リーチ率" sheetId="3524" state="hidden" r:id="rId35"/>
    <sheet name="副露率" sheetId="3525" state="hidden" r:id="rId36"/>
    <sheet name="リーチ成功率" sheetId="4841" state="hidden" r:id="rId37"/>
    <sheet name="副露成功率" sheetId="3527" state="hidden" r:id="rId38"/>
    <sheet name="ツモ率" sheetId="3528" state="hidden" r:id="rId39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5593" l="1"/>
  <c r="O17" i="5597"/>
  <c r="O15" i="5593" l="1"/>
  <c r="O17" i="5601"/>
  <c r="O18" i="5601"/>
  <c r="O15" i="5591"/>
  <c r="O18" i="5595"/>
  <c r="O15" i="5597"/>
  <c r="O16" i="5597"/>
  <c r="O18" i="5591"/>
  <c r="O17" i="5595"/>
  <c r="O16" i="5593"/>
  <c r="O17" i="5605"/>
  <c r="O18" i="5605"/>
  <c r="O18" i="5599" l="1"/>
  <c r="O16" i="5599"/>
  <c r="O16" i="5605"/>
  <c r="O15" i="5605"/>
  <c r="C27" i="5605"/>
  <c r="B24" i="5605"/>
  <c r="C20" i="5605"/>
  <c r="B17" i="5605"/>
  <c r="H49" i="5605" s="1"/>
  <c r="C16" i="5605"/>
  <c r="C15" i="5605"/>
  <c r="C14" i="5605"/>
  <c r="C13" i="5605"/>
  <c r="O12" i="5605"/>
  <c r="C12" i="5605"/>
  <c r="O11" i="5605"/>
  <c r="C11" i="5605"/>
  <c r="O10" i="5605"/>
  <c r="C10" i="5605"/>
  <c r="C9" i="5605"/>
  <c r="C8" i="5605"/>
  <c r="O7" i="5605"/>
  <c r="C7" i="5605"/>
  <c r="O6" i="5605"/>
  <c r="B6" i="5605"/>
  <c r="O5" i="5605"/>
  <c r="B5" i="5605"/>
  <c r="O4" i="5605"/>
  <c r="O3" i="5605"/>
  <c r="O2" i="5605"/>
  <c r="O16" i="5589"/>
  <c r="O15" i="5603"/>
  <c r="O16" i="5603"/>
  <c r="C27" i="5603"/>
  <c r="B24" i="5603"/>
  <c r="C20" i="5603"/>
  <c r="B17" i="5603"/>
  <c r="H49" i="5603" s="1"/>
  <c r="C16" i="5603"/>
  <c r="C15" i="5603"/>
  <c r="C14" i="5603"/>
  <c r="C13" i="5603"/>
  <c r="O12" i="5603"/>
  <c r="C12" i="5603"/>
  <c r="O11" i="5603"/>
  <c r="C11" i="5603"/>
  <c r="O10" i="5603"/>
  <c r="C10" i="5603"/>
  <c r="C9" i="5603"/>
  <c r="C8" i="5603"/>
  <c r="O7" i="5603"/>
  <c r="C7" i="5603"/>
  <c r="O6" i="5603"/>
  <c r="B6" i="5603"/>
  <c r="O5" i="5603"/>
  <c r="B5" i="5603"/>
  <c r="O4" i="5603"/>
  <c r="O3" i="5603"/>
  <c r="O2" i="5603"/>
  <c r="O22" i="5589"/>
  <c r="H16" i="5605" l="1"/>
  <c r="H5" i="5605"/>
  <c r="H8" i="5605"/>
  <c r="H12" i="5605"/>
  <c r="H9" i="5605"/>
  <c r="H22" i="5605"/>
  <c r="H11" i="5605"/>
  <c r="H15" i="5605"/>
  <c r="H28" i="5605"/>
  <c r="H34" i="5605"/>
  <c r="H32" i="5605"/>
  <c r="H40" i="5605"/>
  <c r="H2" i="5605"/>
  <c r="C19" i="5605"/>
  <c r="H3" i="5605"/>
  <c r="H14" i="5605"/>
  <c r="H21" i="5605"/>
  <c r="H42" i="5605"/>
  <c r="H43" i="5605"/>
  <c r="H44" i="5605"/>
  <c r="H6" i="5605"/>
  <c r="H25" i="5605"/>
  <c r="H10" i="5605"/>
  <c r="H17" i="5605"/>
  <c r="H4" i="5605"/>
  <c r="C18" i="5605"/>
  <c r="H27" i="5605"/>
  <c r="H48" i="5605"/>
  <c r="H50" i="5605"/>
  <c r="B23" i="5605"/>
  <c r="H35" i="5605"/>
  <c r="H51" i="5605"/>
  <c r="H7" i="5605"/>
  <c r="H13" i="5605"/>
  <c r="C17" i="5605"/>
  <c r="H36" i="5605"/>
  <c r="H52" i="5605"/>
  <c r="H18" i="5605"/>
  <c r="H23" i="5605"/>
  <c r="H29" i="5605"/>
  <c r="H37" i="5605"/>
  <c r="H45" i="5605"/>
  <c r="H30" i="5605"/>
  <c r="H38" i="5605"/>
  <c r="H46" i="5605"/>
  <c r="H19" i="5605"/>
  <c r="H24" i="5605"/>
  <c r="H31" i="5605"/>
  <c r="H39" i="5605"/>
  <c r="H47" i="5605"/>
  <c r="H20" i="5605"/>
  <c r="H26" i="5605"/>
  <c r="H33" i="5605"/>
  <c r="H41" i="5605"/>
  <c r="H10" i="5603"/>
  <c r="H22" i="5603"/>
  <c r="H51" i="5603"/>
  <c r="H13" i="5603"/>
  <c r="B23" i="5603"/>
  <c r="H42" i="5603"/>
  <c r="H17" i="5603"/>
  <c r="H32" i="5603"/>
  <c r="H43" i="5603"/>
  <c r="H5" i="5603"/>
  <c r="H11" i="5603"/>
  <c r="H14" i="5603"/>
  <c r="C18" i="5603"/>
  <c r="H24" i="5603"/>
  <c r="H34" i="5603"/>
  <c r="H44" i="5603"/>
  <c r="H4" i="5603"/>
  <c r="H40" i="5603"/>
  <c r="H7" i="5603"/>
  <c r="H31" i="5603"/>
  <c r="C19" i="5603"/>
  <c r="H46" i="5603"/>
  <c r="H19" i="5603"/>
  <c r="H36" i="5603"/>
  <c r="H9" i="5603"/>
  <c r="H27" i="5603"/>
  <c r="H38" i="5603"/>
  <c r="H48" i="5603"/>
  <c r="H30" i="5603"/>
  <c r="C17" i="5603"/>
  <c r="H52" i="5603"/>
  <c r="H2" i="5603"/>
  <c r="H8" i="5603"/>
  <c r="H25" i="5603"/>
  <c r="H35" i="5603"/>
  <c r="H15" i="5603"/>
  <c r="H47" i="5603"/>
  <c r="H3" i="5603"/>
  <c r="H6" i="5603"/>
  <c r="H12" i="5603"/>
  <c r="H16" i="5603"/>
  <c r="H21" i="5603"/>
  <c r="H28" i="5603"/>
  <c r="H39" i="5603"/>
  <c r="H50" i="5603"/>
  <c r="H18" i="5603"/>
  <c r="H23" i="5603"/>
  <c r="H29" i="5603"/>
  <c r="H37" i="5603"/>
  <c r="H45" i="5603"/>
  <c r="H20" i="5603"/>
  <c r="H26" i="5603"/>
  <c r="H33" i="5603"/>
  <c r="H41" i="5603"/>
  <c r="O16" i="5601" l="1"/>
  <c r="O15" i="5601"/>
  <c r="C27" i="5601"/>
  <c r="B24" i="5601"/>
  <c r="C20" i="5601"/>
  <c r="C17" i="5601"/>
  <c r="B17" i="5601"/>
  <c r="H52" i="5601" s="1"/>
  <c r="C16" i="5601"/>
  <c r="C15" i="5601"/>
  <c r="C14" i="5601"/>
  <c r="H13" i="5601"/>
  <c r="C13" i="5601"/>
  <c r="O12" i="5601"/>
  <c r="C12" i="5601"/>
  <c r="O11" i="5601"/>
  <c r="C11" i="5601"/>
  <c r="O10" i="5601"/>
  <c r="H10" i="5601"/>
  <c r="C10" i="5601"/>
  <c r="H9" i="5601"/>
  <c r="C9" i="5601"/>
  <c r="H8" i="5601"/>
  <c r="C8" i="5601"/>
  <c r="O7" i="5601"/>
  <c r="H7" i="5601"/>
  <c r="C7" i="5601"/>
  <c r="O6" i="5601"/>
  <c r="H6" i="5601"/>
  <c r="B6" i="5601"/>
  <c r="O5" i="5601"/>
  <c r="B5" i="5601"/>
  <c r="O4" i="5601"/>
  <c r="H4" i="5601"/>
  <c r="O3" i="5601"/>
  <c r="H3" i="5601"/>
  <c r="O2" i="5601"/>
  <c r="H2" i="5601"/>
  <c r="O15" i="5599"/>
  <c r="O17" i="5599"/>
  <c r="C27" i="5599"/>
  <c r="B24" i="5599"/>
  <c r="C20" i="5599"/>
  <c r="B17" i="5599"/>
  <c r="H52" i="5599" s="1"/>
  <c r="C16" i="5599"/>
  <c r="C15" i="5599"/>
  <c r="C14" i="5599"/>
  <c r="C13" i="5599"/>
  <c r="O12" i="5599"/>
  <c r="C12" i="5599"/>
  <c r="O11" i="5599"/>
  <c r="C11" i="5599"/>
  <c r="O10" i="5599"/>
  <c r="C10" i="5599"/>
  <c r="C9" i="5599"/>
  <c r="C8" i="5599"/>
  <c r="O7" i="5599"/>
  <c r="C7" i="5599"/>
  <c r="O6" i="5599"/>
  <c r="B6" i="5599"/>
  <c r="O5" i="5599"/>
  <c r="B5" i="5599"/>
  <c r="O4" i="5599"/>
  <c r="O3" i="5599"/>
  <c r="O2" i="5599"/>
  <c r="O19" i="5589"/>
  <c r="O19" i="5597"/>
  <c r="O18" i="5597"/>
  <c r="C27" i="5597"/>
  <c r="B24" i="5597"/>
  <c r="B23" i="5597"/>
  <c r="C20" i="5597"/>
  <c r="C18" i="5597"/>
  <c r="B17" i="5597"/>
  <c r="H52" i="5597" s="1"/>
  <c r="C16" i="5597"/>
  <c r="C15" i="5597"/>
  <c r="C14" i="5597"/>
  <c r="C13" i="5597"/>
  <c r="O12" i="5597"/>
  <c r="C12" i="5597"/>
  <c r="O11" i="5597"/>
  <c r="C11" i="5597"/>
  <c r="O10" i="5597"/>
  <c r="C10" i="5597"/>
  <c r="C9" i="5597"/>
  <c r="C8" i="5597"/>
  <c r="O7" i="5597"/>
  <c r="C7" i="5597"/>
  <c r="O6" i="5597"/>
  <c r="B6" i="5597"/>
  <c r="O5" i="5597"/>
  <c r="B5" i="5597"/>
  <c r="O4" i="5597"/>
  <c r="H3" i="5597"/>
  <c r="O3" i="5597"/>
  <c r="O2" i="5597"/>
  <c r="H2" i="5597"/>
  <c r="O20" i="5589"/>
  <c r="O15" i="5589"/>
  <c r="H19" i="5597" l="1"/>
  <c r="H18" i="5601"/>
  <c r="H20" i="5601"/>
  <c r="H23" i="5601"/>
  <c r="H26" i="5601"/>
  <c r="H29" i="5601"/>
  <c r="H33" i="5601"/>
  <c r="H37" i="5601"/>
  <c r="H41" i="5601"/>
  <c r="H45" i="5601"/>
  <c r="H49" i="5601"/>
  <c r="H15" i="5601"/>
  <c r="C19" i="5601"/>
  <c r="H21" i="5601"/>
  <c r="H30" i="5601"/>
  <c r="H34" i="5601"/>
  <c r="H38" i="5601"/>
  <c r="H42" i="5601"/>
  <c r="H46" i="5601"/>
  <c r="H50" i="5601"/>
  <c r="H12" i="5601"/>
  <c r="H17" i="5601"/>
  <c r="H19" i="5601"/>
  <c r="H22" i="5601"/>
  <c r="H24" i="5601"/>
  <c r="H27" i="5601"/>
  <c r="H31" i="5601"/>
  <c r="H35" i="5601"/>
  <c r="H39" i="5601"/>
  <c r="H43" i="5601"/>
  <c r="H47" i="5601"/>
  <c r="H51" i="5601"/>
  <c r="H5" i="5601"/>
  <c r="H11" i="5601"/>
  <c r="H14" i="5601"/>
  <c r="H16" i="5601"/>
  <c r="C18" i="5601"/>
  <c r="B23" i="5601"/>
  <c r="H25" i="5601"/>
  <c r="H28" i="5601"/>
  <c r="H32" i="5601"/>
  <c r="H36" i="5601"/>
  <c r="H40" i="5601"/>
  <c r="H44" i="5601"/>
  <c r="H48" i="5601"/>
  <c r="H11" i="5599"/>
  <c r="H10" i="5599"/>
  <c r="H4" i="5599"/>
  <c r="H25" i="5599"/>
  <c r="H2" i="5599"/>
  <c r="H8" i="5599"/>
  <c r="H14" i="5599"/>
  <c r="C18" i="5599"/>
  <c r="H36" i="5599"/>
  <c r="H16" i="5599"/>
  <c r="H40" i="5599"/>
  <c r="B23" i="5599"/>
  <c r="H28" i="5599"/>
  <c r="H44" i="5599"/>
  <c r="H5" i="5599"/>
  <c r="C17" i="5599"/>
  <c r="H32" i="5599"/>
  <c r="H48" i="5599"/>
  <c r="H20" i="5599"/>
  <c r="H23" i="5599"/>
  <c r="H29" i="5599"/>
  <c r="H33" i="5599"/>
  <c r="H37" i="5599"/>
  <c r="H41" i="5599"/>
  <c r="H45" i="5599"/>
  <c r="H7" i="5599"/>
  <c r="H13" i="5599"/>
  <c r="H15" i="5599"/>
  <c r="C19" i="5599"/>
  <c r="H21" i="5599"/>
  <c r="H30" i="5599"/>
  <c r="H34" i="5599"/>
  <c r="H38" i="5599"/>
  <c r="H42" i="5599"/>
  <c r="H46" i="5599"/>
  <c r="H50" i="5599"/>
  <c r="H18" i="5599"/>
  <c r="H26" i="5599"/>
  <c r="H49" i="5599"/>
  <c r="H3" i="5599"/>
  <c r="H6" i="5599"/>
  <c r="H9" i="5599"/>
  <c r="H12" i="5599"/>
  <c r="H17" i="5599"/>
  <c r="H19" i="5599"/>
  <c r="H22" i="5599"/>
  <c r="H24" i="5599"/>
  <c r="H27" i="5599"/>
  <c r="H31" i="5599"/>
  <c r="H35" i="5599"/>
  <c r="H39" i="5599"/>
  <c r="H43" i="5599"/>
  <c r="H47" i="5599"/>
  <c r="H51" i="5599"/>
  <c r="H11" i="5597"/>
  <c r="H13" i="5597"/>
  <c r="H15" i="5597"/>
  <c r="H17" i="5597"/>
  <c r="H22" i="5597"/>
  <c r="H14" i="5597"/>
  <c r="H26" i="5597"/>
  <c r="H36" i="5597"/>
  <c r="H32" i="5597"/>
  <c r="H12" i="5597"/>
  <c r="H6" i="5597"/>
  <c r="C17" i="5597"/>
  <c r="H5" i="5597"/>
  <c r="H9" i="5597"/>
  <c r="H7" i="5597"/>
  <c r="H20" i="5597"/>
  <c r="H24" i="5597"/>
  <c r="H40" i="5597"/>
  <c r="H21" i="5597"/>
  <c r="H23" i="5597"/>
  <c r="H25" i="5597"/>
  <c r="H28" i="5597"/>
  <c r="H30" i="5597"/>
  <c r="H34" i="5597"/>
  <c r="H38" i="5597"/>
  <c r="H42" i="5597"/>
  <c r="H46" i="5597"/>
  <c r="H50" i="5597"/>
  <c r="H4" i="5597"/>
  <c r="H16" i="5597"/>
  <c r="H18" i="5597"/>
  <c r="C19" i="5597"/>
  <c r="H10" i="5597"/>
  <c r="H31" i="5597"/>
  <c r="H35" i="5597"/>
  <c r="H39" i="5597"/>
  <c r="H43" i="5597"/>
  <c r="H47" i="5597"/>
  <c r="H51" i="5597"/>
  <c r="H44" i="5597"/>
  <c r="H48" i="5597"/>
  <c r="H8" i="5597"/>
  <c r="H27" i="5597"/>
  <c r="H29" i="5597"/>
  <c r="H33" i="5597"/>
  <c r="H37" i="5597"/>
  <c r="H41" i="5597"/>
  <c r="H45" i="5597"/>
  <c r="H49" i="5597"/>
  <c r="O16" i="5595" l="1"/>
  <c r="O15" i="5595"/>
  <c r="C27" i="5595"/>
  <c r="B24" i="5595"/>
  <c r="C20" i="5595"/>
  <c r="B17" i="5595"/>
  <c r="H51" i="5595" s="1"/>
  <c r="C16" i="5595"/>
  <c r="C15" i="5595"/>
  <c r="C14" i="5595"/>
  <c r="C13" i="5595"/>
  <c r="O12" i="5595"/>
  <c r="C12" i="5595"/>
  <c r="O11" i="5595"/>
  <c r="C11" i="5595"/>
  <c r="O10" i="5595"/>
  <c r="C10" i="5595"/>
  <c r="C9" i="5595"/>
  <c r="C8" i="5595"/>
  <c r="O7" i="5595"/>
  <c r="C7" i="5595"/>
  <c r="O6" i="5595"/>
  <c r="B6" i="5595"/>
  <c r="O5" i="5595"/>
  <c r="B5" i="5595"/>
  <c r="O4" i="5595"/>
  <c r="O3" i="5595"/>
  <c r="O2" i="5595"/>
  <c r="O19" i="5593"/>
  <c r="O18" i="5593"/>
  <c r="C27" i="5593"/>
  <c r="B24" i="5593"/>
  <c r="C20" i="5593"/>
  <c r="B17" i="5593"/>
  <c r="H52" i="5593" s="1"/>
  <c r="C16" i="5593"/>
  <c r="C15" i="5593"/>
  <c r="C14" i="5593"/>
  <c r="C13" i="5593"/>
  <c r="O12" i="5593"/>
  <c r="C12" i="5593"/>
  <c r="O11" i="5593"/>
  <c r="C11" i="5593"/>
  <c r="O10" i="5593"/>
  <c r="C10" i="5593"/>
  <c r="C9" i="5593"/>
  <c r="C8" i="5593"/>
  <c r="O7" i="5593"/>
  <c r="C7" i="5593"/>
  <c r="O6" i="5593"/>
  <c r="B6" i="5593"/>
  <c r="O5" i="5593"/>
  <c r="B5" i="5593"/>
  <c r="O4" i="5593"/>
  <c r="O3" i="5593"/>
  <c r="O2" i="5593"/>
  <c r="O18" i="5589"/>
  <c r="O16" i="5591"/>
  <c r="O17" i="5591"/>
  <c r="C27" i="5591"/>
  <c r="B24" i="5591"/>
  <c r="C20" i="5591"/>
  <c r="B17" i="5591"/>
  <c r="H52" i="5591" s="1"/>
  <c r="C16" i="5591"/>
  <c r="C15" i="5591"/>
  <c r="C14" i="5591"/>
  <c r="C13" i="5591"/>
  <c r="O12" i="5591"/>
  <c r="C12" i="5591"/>
  <c r="O11" i="5591"/>
  <c r="C11" i="5591"/>
  <c r="O10" i="5591"/>
  <c r="C10" i="5591"/>
  <c r="H11" i="5591"/>
  <c r="C9" i="5591"/>
  <c r="C8" i="5591"/>
  <c r="O7" i="5591"/>
  <c r="C7" i="5591"/>
  <c r="O6" i="5591"/>
  <c r="B6" i="5591"/>
  <c r="O5" i="5591"/>
  <c r="B5" i="5591"/>
  <c r="O4" i="5591"/>
  <c r="O3" i="5591"/>
  <c r="O2" i="5591"/>
  <c r="O17" i="5589"/>
  <c r="O21" i="5589"/>
  <c r="C27" i="5589"/>
  <c r="B24" i="5589"/>
  <c r="C20" i="5589"/>
  <c r="B17" i="5589"/>
  <c r="H52" i="5589" s="1"/>
  <c r="C16" i="5589"/>
  <c r="C15" i="5589"/>
  <c r="C14" i="5589"/>
  <c r="C13" i="5589"/>
  <c r="O12" i="5589"/>
  <c r="C12" i="5589"/>
  <c r="O11" i="5589"/>
  <c r="C11" i="5589"/>
  <c r="O10" i="5589"/>
  <c r="C10" i="5589"/>
  <c r="C9" i="5589"/>
  <c r="C8" i="5589"/>
  <c r="O7" i="5589"/>
  <c r="C7" i="5589"/>
  <c r="O6" i="5589"/>
  <c r="B6" i="5589"/>
  <c r="O5" i="5589"/>
  <c r="B5" i="5589"/>
  <c r="O4" i="5589"/>
  <c r="O3" i="5589"/>
  <c r="O2" i="5589"/>
  <c r="H6" i="5591" l="1"/>
  <c r="H31" i="5595"/>
  <c r="H12" i="5595"/>
  <c r="H20" i="5595"/>
  <c r="H17" i="5595"/>
  <c r="H8" i="5595"/>
  <c r="H36" i="5595"/>
  <c r="H32" i="5595"/>
  <c r="H41" i="5595"/>
  <c r="C19" i="5595"/>
  <c r="H24" i="5595"/>
  <c r="H19" i="5595"/>
  <c r="H27" i="5595"/>
  <c r="H33" i="5595"/>
  <c r="H11" i="5595"/>
  <c r="H16" i="5595"/>
  <c r="H9" i="5595"/>
  <c r="H44" i="5595"/>
  <c r="C18" i="5595"/>
  <c r="H28" i="5595"/>
  <c r="H45" i="5595"/>
  <c r="H4" i="5595"/>
  <c r="H13" i="5595"/>
  <c r="H6" i="5595"/>
  <c r="H23" i="5595"/>
  <c r="H46" i="5595"/>
  <c r="H21" i="5595"/>
  <c r="H37" i="5595"/>
  <c r="H47" i="5595"/>
  <c r="H10" i="5595"/>
  <c r="H38" i="5595"/>
  <c r="H48" i="5595"/>
  <c r="C17" i="5595"/>
  <c r="H26" i="5595"/>
  <c r="H30" i="5595"/>
  <c r="H39" i="5595"/>
  <c r="H5" i="5595"/>
  <c r="H2" i="5595"/>
  <c r="H3" i="5595"/>
  <c r="H14" i="5595"/>
  <c r="H7" i="5595"/>
  <c r="H18" i="5595"/>
  <c r="H22" i="5595"/>
  <c r="B23" i="5595"/>
  <c r="H15" i="5595"/>
  <c r="H40" i="5595"/>
  <c r="H52" i="5595"/>
  <c r="H49" i="5595"/>
  <c r="H25" i="5595"/>
  <c r="H29" i="5595"/>
  <c r="H34" i="5595"/>
  <c r="H42" i="5595"/>
  <c r="H50" i="5595"/>
  <c r="H35" i="5595"/>
  <c r="H43" i="5595"/>
  <c r="H31" i="5593"/>
  <c r="H32" i="5593"/>
  <c r="H25" i="5593"/>
  <c r="C19" i="5593"/>
  <c r="H39" i="5593"/>
  <c r="H2" i="5593"/>
  <c r="H34" i="5593"/>
  <c r="H4" i="5593"/>
  <c r="H27" i="5593"/>
  <c r="H41" i="5593"/>
  <c r="C17" i="5593"/>
  <c r="H13" i="5593"/>
  <c r="H38" i="5593"/>
  <c r="H3" i="5593"/>
  <c r="H14" i="5593"/>
  <c r="H49" i="5593"/>
  <c r="H15" i="5593"/>
  <c r="H28" i="5593"/>
  <c r="H46" i="5593"/>
  <c r="H47" i="5593"/>
  <c r="H10" i="5593"/>
  <c r="H6" i="5593"/>
  <c r="H11" i="5593"/>
  <c r="H21" i="5593"/>
  <c r="H16" i="5593"/>
  <c r="H12" i="5593"/>
  <c r="H33" i="5593"/>
  <c r="H40" i="5593"/>
  <c r="H48" i="5593"/>
  <c r="H26" i="5593"/>
  <c r="H29" i="5593"/>
  <c r="H19" i="5593"/>
  <c r="H42" i="5593"/>
  <c r="H50" i="5593"/>
  <c r="H8" i="5593"/>
  <c r="H22" i="5593"/>
  <c r="H17" i="5593"/>
  <c r="H35" i="5593"/>
  <c r="H43" i="5593"/>
  <c r="H51" i="5593"/>
  <c r="H24" i="5593"/>
  <c r="H18" i="5593"/>
  <c r="H9" i="5593"/>
  <c r="H36" i="5593"/>
  <c r="H44" i="5593"/>
  <c r="H7" i="5593"/>
  <c r="H5" i="5593"/>
  <c r="H20" i="5593"/>
  <c r="H23" i="5593"/>
  <c r="C18" i="5593"/>
  <c r="B23" i="5593"/>
  <c r="H30" i="5593"/>
  <c r="H37" i="5593"/>
  <c r="H45" i="5593"/>
  <c r="H39" i="5591"/>
  <c r="H4" i="5591"/>
  <c r="H27" i="5591"/>
  <c r="H7" i="5591"/>
  <c r="H46" i="5591"/>
  <c r="H38" i="5591"/>
  <c r="H26" i="5591"/>
  <c r="H2" i="5591"/>
  <c r="H22" i="5591"/>
  <c r="H41" i="5591"/>
  <c r="H47" i="5591"/>
  <c r="H40" i="5591"/>
  <c r="H30" i="5591"/>
  <c r="H48" i="5591"/>
  <c r="H9" i="5591"/>
  <c r="C17" i="5591"/>
  <c r="H17" i="5591"/>
  <c r="C19" i="5591"/>
  <c r="H13" i="5591"/>
  <c r="H8" i="5591"/>
  <c r="H19" i="5591"/>
  <c r="H31" i="5591"/>
  <c r="H3" i="5591"/>
  <c r="H10" i="5591"/>
  <c r="H12" i="5591"/>
  <c r="H32" i="5591"/>
  <c r="H16" i="5591"/>
  <c r="H20" i="5591"/>
  <c r="H25" i="5591"/>
  <c r="H33" i="5591"/>
  <c r="H49" i="5591"/>
  <c r="H23" i="5591"/>
  <c r="H28" i="5591"/>
  <c r="H34" i="5591"/>
  <c r="H42" i="5591"/>
  <c r="H50" i="5591"/>
  <c r="H35" i="5591"/>
  <c r="H43" i="5591"/>
  <c r="H51" i="5591"/>
  <c r="H21" i="5591"/>
  <c r="H24" i="5591"/>
  <c r="H14" i="5591"/>
  <c r="H36" i="5591"/>
  <c r="H44" i="5591"/>
  <c r="H5" i="5591"/>
  <c r="H15" i="5591"/>
  <c r="H18" i="5591"/>
  <c r="C18" i="5591"/>
  <c r="B23" i="5591"/>
  <c r="H29" i="5591"/>
  <c r="H37" i="5591"/>
  <c r="H45" i="5591"/>
  <c r="H4" i="5589"/>
  <c r="H16" i="5589"/>
  <c r="C17" i="5589"/>
  <c r="H19" i="5589"/>
  <c r="H2" i="5589"/>
  <c r="H12" i="5589"/>
  <c r="H3" i="5589"/>
  <c r="H28" i="5589"/>
  <c r="H22" i="5589"/>
  <c r="H46" i="5589"/>
  <c r="H17" i="5589"/>
  <c r="C19" i="5589"/>
  <c r="H32" i="5589"/>
  <c r="H39" i="5589"/>
  <c r="H47" i="5589"/>
  <c r="H20" i="5589"/>
  <c r="H38" i="5589"/>
  <c r="H11" i="5589"/>
  <c r="H7" i="5589"/>
  <c r="H9" i="5589"/>
  <c r="H25" i="5589"/>
  <c r="H15" i="5589"/>
  <c r="H14" i="5589"/>
  <c r="H33" i="5589"/>
  <c r="H40" i="5589"/>
  <c r="H48" i="5589"/>
  <c r="H18" i="5589"/>
  <c r="H21" i="5589"/>
  <c r="H34" i="5589"/>
  <c r="H41" i="5589"/>
  <c r="H49" i="5589"/>
  <c r="H29" i="5589"/>
  <c r="H30" i="5589"/>
  <c r="H23" i="5589"/>
  <c r="H42" i="5589"/>
  <c r="H50" i="5589"/>
  <c r="H8" i="5589"/>
  <c r="H26" i="5589"/>
  <c r="H13" i="5589"/>
  <c r="H35" i="5589"/>
  <c r="H43" i="5589"/>
  <c r="H51" i="5589"/>
  <c r="H10" i="5589"/>
  <c r="H36" i="5589"/>
  <c r="H44" i="5589"/>
  <c r="H5" i="5589"/>
  <c r="H6" i="5589"/>
  <c r="H24" i="5589"/>
  <c r="H27" i="5589"/>
  <c r="C18" i="5589"/>
  <c r="B23" i="5589"/>
  <c r="H31" i="5589"/>
  <c r="H37" i="5589"/>
  <c r="H45" i="558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<sst xmlns="http://schemas.openxmlformats.org/spreadsheetml/2006/main" count="2140" uniqueCount="190">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</sst>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chartsheet" Target="chartsheets/sheet1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全体!$L$2:$L$41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E-402D-BBDB-E9B219BA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-25.641025641025642</c:v>
                </c:pt>
                <c:pt idx="1">
                  <c:v>25.641025641025642</c:v>
                </c:pt>
                <c:pt idx="2">
                  <c:v>-76.92307692307692</c:v>
                </c:pt>
                <c:pt idx="3">
                  <c:v>51.282051282051285</c:v>
                </c:pt>
                <c:pt idx="4">
                  <c:v>27.777777777777779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0-4BEE-BA7B-0D8C06F67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たかの!$L$2:$L$11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B-4C7C-ADA0-081914DA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-6522.2222222222226</c:v>
                </c:pt>
                <c:pt idx="1">
                  <c:v>1222.2222222222222</c:v>
                </c:pt>
                <c:pt idx="2">
                  <c:v>222.22222222222223</c:v>
                </c:pt>
                <c:pt idx="3">
                  <c:v>-2266.6666666666665</c:v>
                </c:pt>
                <c:pt idx="4">
                  <c:v>-311.11111111111109</c:v>
                </c:pt>
                <c:pt idx="5">
                  <c:v>-214.28571428571428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7-4FAD-8E09-2136424F9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だいち!$L$2:$L$12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3-4E77-B7D3-8E8DC64CB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5310</c:v>
                </c:pt>
                <c:pt idx="1">
                  <c:v>-700</c:v>
                </c:pt>
                <c:pt idx="2">
                  <c:v>-1180</c:v>
                </c:pt>
                <c:pt idx="3">
                  <c:v>1950</c:v>
                </c:pt>
                <c:pt idx="4">
                  <c:v>2820</c:v>
                </c:pt>
                <c:pt idx="5">
                  <c:v>6250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B-48A1-BDAC-EE85AF5DA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ただ!$L$2:$L$12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9-4D5C-BBEE-93CFDF79E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2140</c:v>
                </c:pt>
                <c:pt idx="1">
                  <c:v>-480</c:v>
                </c:pt>
                <c:pt idx="2">
                  <c:v>-810</c:v>
                </c:pt>
                <c:pt idx="3">
                  <c:v>1170</c:v>
                </c:pt>
                <c:pt idx="4">
                  <c:v>-3000</c:v>
                </c:pt>
                <c:pt idx="5">
                  <c:v>-5187.5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D-46AA-86F5-E220AFED6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C-4AF0-BBA8-A7F71C0F1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-233.33333333333334</c:v>
                </c:pt>
                <c:pt idx="1">
                  <c:v>3533.3333333333335</c:v>
                </c:pt>
                <c:pt idx="2">
                  <c:v>3733.3333333333335</c:v>
                </c:pt>
                <c:pt idx="3">
                  <c:v>-233.33333333333334</c:v>
                </c:pt>
                <c:pt idx="4">
                  <c:v>-6900</c:v>
                </c:pt>
                <c:pt idx="5">
                  <c:v>-3150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6-40EA-B80F-3AB013C20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C-401A-8C7D-B30DA4ABC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-5400</c:v>
                </c:pt>
                <c:pt idx="1">
                  <c:v>-5850</c:v>
                </c:pt>
                <c:pt idx="2">
                  <c:v>-5650</c:v>
                </c:pt>
                <c:pt idx="3">
                  <c:v>-1000</c:v>
                </c:pt>
                <c:pt idx="4">
                  <c:v>22500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44-4425-92A5-CEC4FC56D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9-4BB7-A64F-65C712F48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-7400</c:v>
                </c:pt>
                <c:pt idx="1">
                  <c:v>-2150</c:v>
                </c:pt>
                <c:pt idx="2">
                  <c:v>6500</c:v>
                </c:pt>
                <c:pt idx="3">
                  <c:v>-2300</c:v>
                </c:pt>
                <c:pt idx="4">
                  <c:v>-750</c:v>
                </c:pt>
                <c:pt idx="5">
                  <c:v>-700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25-4F63-A48F-DF1132217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A9-431D-827A-EE5619DF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-23000</c:v>
                </c:pt>
                <c:pt idx="2">
                  <c:v>2200</c:v>
                </c:pt>
                <c:pt idx="3">
                  <c:v>6500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C-41EE-B046-69C3DFE5F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ぱぱ!$L$2:$L$4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B-4AAA-A657-7D9AD8581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15100</c:v>
                </c:pt>
                <c:pt idx="2">
                  <c:v>-100</c:v>
                </c:pt>
                <c:pt idx="3">
                  <c:v>-4000</c:v>
                </c:pt>
                <c:pt idx="4">
                  <c:v>5300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2-4595-83B6-1269DF8C3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2172489379008766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りくと2!$C$3:$C$6</c:f>
              <c:numCache>
                <c:formatCode>\+0.0;\-0.0;\±0</c:formatCode>
                <c:ptCount val="4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594166394333558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りくと2!$D$3:$D$6</c:f>
              <c:numCache>
                <c:formatCode>0.00\ "位"</c:formatCode>
                <c:ptCount val="4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りくと2!$F$3:$F$6</c:f>
              <c:numCache>
                <c:formatCode>0.0%</c:formatCode>
                <c:ptCount val="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りくと2!$G$3:$G$6</c:f>
              <c:numCache>
                <c:formatCode>0.0%</c:formatCode>
                <c:ptCount val="4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りくと2!$H$3:$H$6</c:f>
              <c:numCache>
                <c:formatCode>0.0%</c:formatCode>
                <c:ptCount val="4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8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りくと2!$I$3:$I$6</c:f>
              <c:numCache>
                <c:formatCode>0</c:formatCode>
                <c:ptCount val="4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655.35714285714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りくと2!$J$3:$J$6</c:f>
              <c:numCache>
                <c:formatCode>0</c:formatCode>
                <c:ptCount val="4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62.6865671641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692307692307692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りくと2!$L$3:$L$6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692307692307692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りくと2!$M$3:$M$6</c:f>
              <c:numCache>
                <c:formatCode>0.0%</c:formatCode>
                <c:ptCount val="4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りくと2!$N$3:$N$6</c:f>
              <c:numCache>
                <c:formatCode>0.0%</c:formatCode>
                <c:ptCount val="4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8666666666666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りくと2!$O$3:$O$6</c:f>
              <c:numCache>
                <c:formatCode>0.0%</c:formatCode>
                <c:ptCount val="4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1397849462365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りくと2!$P$3:$P$6</c:f>
              <c:numCache>
                <c:formatCode>0.0%</c:formatCode>
                <c:ptCount val="4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024390243902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りくと2!$Q$1:$Q$2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りくと2!$Q$3:$Q$6</c:f>
              <c:numCache>
                <c:formatCode>0.0%</c:formatCode>
                <c:ptCount val="4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178571428571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2"/>
      <c r="C1" s="153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4">
        <v>0</v>
      </c>
      <c r="C2" s="155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6">
        <v>0</v>
      </c>
      <c r="C3" s="157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8">
        <v>0</v>
      </c>
      <c r="C4" s="159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60">
        <f>IF(B$2=0,0,B$4/B$2)</f>
        <v>0</v>
      </c>
      <c r="C5" s="161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50">
        <f>IF(B$2=0,0,(B$7*1+B$8*2+B$9*3)/B$2)</f>
        <v>0</v>
      </c>
      <c r="C6" s="151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8">
        <v>0</v>
      </c>
      <c r="C25" s="149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6">
        <v>-1000000</v>
      </c>
      <c r="C26" s="147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H6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8" x14ac:dyDescent="0.4">
      <c r="A1" s="29">
        <v>32874</v>
      </c>
      <c r="B1" s="29">
        <v>2958465</v>
      </c>
    </row>
    <row r="2" spans="1:8" x14ac:dyDescent="0.4">
      <c r="A2" s="30" t="s">
        <v>176</v>
      </c>
      <c r="B2" s="31">
        <v>43735.624351851853</v>
      </c>
      <c r="C2" s="30" t="s">
        <v>129</v>
      </c>
      <c r="D2" s="30" t="s">
        <v>130</v>
      </c>
    </row>
    <row r="3" spans="1:8" x14ac:dyDescent="0.4">
      <c r="A3" s="30" t="s">
        <v>177</v>
      </c>
      <c r="B3" s="31">
        <v>43735.624351851853</v>
      </c>
      <c r="C3" s="30" t="s">
        <v>129</v>
      </c>
    </row>
    <row r="4" spans="1:8" x14ac:dyDescent="0.4">
      <c r="A4" s="30" t="s">
        <v>181</v>
      </c>
      <c r="B4" s="31">
        <v>43735.624351851853</v>
      </c>
      <c r="C4" s="30" t="s">
        <v>129</v>
      </c>
    </row>
    <row r="5" spans="1:8" x14ac:dyDescent="0.4">
      <c r="A5" s="30" t="s">
        <v>184</v>
      </c>
      <c r="B5" s="31">
        <v>43736.046932870369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8" x14ac:dyDescent="0.4">
      <c r="A6" s="30" t="s">
        <v>189</v>
      </c>
      <c r="B6" s="31">
        <v>43737.059895833336</v>
      </c>
      <c r="C6" s="30" t="s">
        <v>129</v>
      </c>
      <c r="D6" s="30" t="s">
        <v>130</v>
      </c>
      <c r="E6" s="30" t="s">
        <v>185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39</v>
      </c>
    </row>
    <row r="2" spans="1:2" x14ac:dyDescent="0.4">
      <c r="A2" t="s">
        <v>167</v>
      </c>
      <c r="B2">
        <v>9</v>
      </c>
    </row>
    <row r="3" spans="1:2" x14ac:dyDescent="0.4">
      <c r="A3" t="s">
        <v>127</v>
      </c>
      <c r="B3">
        <v>10</v>
      </c>
    </row>
    <row r="4" spans="1:2" x14ac:dyDescent="0.4">
      <c r="A4" t="s">
        <v>128</v>
      </c>
      <c r="B4">
        <v>10</v>
      </c>
    </row>
    <row r="5" spans="1:2" x14ac:dyDescent="0.4">
      <c r="A5" t="s">
        <v>180</v>
      </c>
      <c r="B5">
        <v>3</v>
      </c>
    </row>
    <row r="6" spans="1:2" x14ac:dyDescent="0.4">
      <c r="A6" t="s">
        <v>178</v>
      </c>
      <c r="B6">
        <v>2</v>
      </c>
    </row>
    <row r="7" spans="1:2" x14ac:dyDescent="0.4">
      <c r="A7" t="s">
        <v>179</v>
      </c>
      <c r="B7">
        <v>2</v>
      </c>
    </row>
    <row r="8" spans="1:2" x14ac:dyDescent="0.4">
      <c r="A8" t="s">
        <v>183</v>
      </c>
      <c r="B8">
        <v>1</v>
      </c>
    </row>
    <row r="9" spans="1:2" x14ac:dyDescent="0.4">
      <c r="A9" t="s">
        <v>182</v>
      </c>
      <c r="B9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1"/>
  <sheetViews>
    <sheetView showGridLines="0" tabSelected="1" zoomScale="130" zoomScaleNormal="130" workbookViewId="0">
      <selection activeCell="B11" sqref="B11"/>
    </sheetView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4" t="s">
        <v>6</v>
      </c>
      <c r="C1" s="165"/>
      <c r="D1" s="164" t="s">
        <v>7</v>
      </c>
      <c r="E1" s="165"/>
      <c r="F1" s="164" t="s">
        <v>16</v>
      </c>
      <c r="G1" s="165"/>
      <c r="H1" s="164" t="s">
        <v>15</v>
      </c>
      <c r="I1" s="165"/>
      <c r="J1" s="164" t="s">
        <v>161</v>
      </c>
      <c r="K1" s="165"/>
      <c r="L1" s="164" t="s">
        <v>148</v>
      </c>
      <c r="M1" s="165"/>
      <c r="N1" s="164" t="s">
        <v>149</v>
      </c>
      <c r="O1" s="165"/>
      <c r="P1" s="164" t="s">
        <v>5</v>
      </c>
      <c r="Q1" s="165"/>
      <c r="R1" s="164" t="s">
        <v>17</v>
      </c>
      <c r="S1" s="165"/>
      <c r="T1" s="164" t="s">
        <v>18</v>
      </c>
      <c r="U1" s="165"/>
      <c r="V1" s="164" t="s">
        <v>140</v>
      </c>
      <c r="W1" s="165"/>
      <c r="X1" s="164" t="s">
        <v>123</v>
      </c>
      <c r="Y1" s="165"/>
      <c r="Z1" s="164" t="s">
        <v>120</v>
      </c>
      <c r="AA1" s="165"/>
      <c r="AB1" s="164" t="s">
        <v>126</v>
      </c>
      <c r="AC1" s="165"/>
      <c r="AD1" s="164" t="s">
        <v>150</v>
      </c>
      <c r="AE1" s="165"/>
      <c r="AF1" s="164" t="s">
        <v>143</v>
      </c>
      <c r="AG1" s="165"/>
      <c r="AH1" s="164" t="s">
        <v>152</v>
      </c>
      <c r="AI1" s="165"/>
    </row>
    <row r="2" spans="1:35" x14ac:dyDescent="0.4">
      <c r="A2" s="72" t="s">
        <v>160</v>
      </c>
      <c r="B2" s="166"/>
      <c r="C2" s="167"/>
      <c r="D2" s="166"/>
      <c r="E2" s="167"/>
      <c r="F2" s="162">
        <v>1</v>
      </c>
      <c r="G2" s="163"/>
      <c r="H2" s="162">
        <v>1</v>
      </c>
      <c r="I2" s="163"/>
      <c r="J2" s="162">
        <v>1</v>
      </c>
      <c r="K2" s="163"/>
      <c r="L2" s="162">
        <v>1</v>
      </c>
      <c r="M2" s="163"/>
      <c r="N2" s="162">
        <v>1</v>
      </c>
      <c r="O2" s="163"/>
      <c r="P2" s="162">
        <v>1</v>
      </c>
      <c r="Q2" s="163"/>
      <c r="R2" s="162">
        <v>1.0000000000000002</v>
      </c>
      <c r="S2" s="163"/>
      <c r="T2" s="162">
        <v>1</v>
      </c>
      <c r="U2" s="163"/>
      <c r="V2" s="162">
        <v>1</v>
      </c>
      <c r="W2" s="163"/>
      <c r="X2" s="162">
        <v>1</v>
      </c>
      <c r="Y2" s="163"/>
      <c r="Z2" s="162">
        <v>-1</v>
      </c>
      <c r="AA2" s="163"/>
      <c r="AB2" s="162">
        <v>1.0000000000000002</v>
      </c>
      <c r="AC2" s="163"/>
      <c r="AD2" s="162">
        <v>1</v>
      </c>
      <c r="AE2" s="163"/>
      <c r="AF2" s="162">
        <v>1</v>
      </c>
      <c r="AG2" s="163"/>
      <c r="AH2" s="162">
        <v>1</v>
      </c>
      <c r="AI2" s="163"/>
    </row>
    <row r="3" spans="1:35" x14ac:dyDescent="0.4">
      <c r="A3" s="74">
        <v>1</v>
      </c>
      <c r="B3" s="75" t="s">
        <v>127</v>
      </c>
      <c r="C3" s="76">
        <v>158.19999999999999</v>
      </c>
      <c r="D3" s="77" t="s">
        <v>182</v>
      </c>
      <c r="E3" s="96">
        <v>34.25</v>
      </c>
      <c r="F3" s="77" t="s">
        <v>182</v>
      </c>
      <c r="G3" s="78">
        <v>1.5</v>
      </c>
      <c r="H3" s="77" t="s">
        <v>127</v>
      </c>
      <c r="I3" s="79">
        <v>0.6</v>
      </c>
      <c r="J3" s="77" t="s">
        <v>183</v>
      </c>
      <c r="K3" s="79">
        <v>0</v>
      </c>
      <c r="L3" s="77" t="s">
        <v>182</v>
      </c>
      <c r="M3" s="80">
        <v>0.5</v>
      </c>
      <c r="N3" s="77" t="s">
        <v>179</v>
      </c>
      <c r="O3" s="80">
        <v>4.5454545454545456E-2</v>
      </c>
      <c r="P3" s="77" t="s">
        <v>182</v>
      </c>
      <c r="Q3" s="81">
        <v>9800</v>
      </c>
      <c r="R3" s="77" t="s">
        <v>127</v>
      </c>
      <c r="S3" s="81">
        <v>-4935.7142857142853</v>
      </c>
      <c r="T3" s="77" t="s">
        <v>127</v>
      </c>
      <c r="U3" s="79">
        <v>0</v>
      </c>
      <c r="V3" s="77" t="s">
        <v>182</v>
      </c>
      <c r="W3" s="79">
        <v>0.5</v>
      </c>
      <c r="X3" s="77" t="s">
        <v>183</v>
      </c>
      <c r="Y3" s="80">
        <v>0.44444444444444442</v>
      </c>
      <c r="Z3" s="77" t="s">
        <v>167</v>
      </c>
      <c r="AA3" s="80">
        <v>0.26436781609195403</v>
      </c>
      <c r="AB3" s="77" t="s">
        <v>182</v>
      </c>
      <c r="AC3" s="80">
        <v>0.83333333333333337</v>
      </c>
      <c r="AD3" s="77" t="s">
        <v>179</v>
      </c>
      <c r="AE3" s="80">
        <v>0.75</v>
      </c>
      <c r="AF3" s="77" t="s">
        <v>167</v>
      </c>
      <c r="AG3" s="80">
        <v>0.52380952380952384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68.5</v>
      </c>
      <c r="D4" s="85" t="s">
        <v>127</v>
      </c>
      <c r="E4" s="97">
        <v>15.819999999999999</v>
      </c>
      <c r="F4" s="85" t="s">
        <v>127</v>
      </c>
      <c r="G4" s="86">
        <v>1.7</v>
      </c>
      <c r="H4" s="85" t="s">
        <v>179</v>
      </c>
      <c r="I4" s="87">
        <v>0.5</v>
      </c>
      <c r="J4" s="85" t="s">
        <v>182</v>
      </c>
      <c r="K4" s="87">
        <v>0</v>
      </c>
      <c r="L4" s="85" t="s">
        <v>127</v>
      </c>
      <c r="M4" s="88">
        <v>0.35051546391752575</v>
      </c>
      <c r="N4" s="85" t="s">
        <v>182</v>
      </c>
      <c r="O4" s="88">
        <v>6.25E-2</v>
      </c>
      <c r="P4" s="85" t="s">
        <v>179</v>
      </c>
      <c r="Q4" s="89">
        <v>8950</v>
      </c>
      <c r="R4" s="85" t="s">
        <v>167</v>
      </c>
      <c r="S4" s="89">
        <v>-7552.9411764705883</v>
      </c>
      <c r="T4" s="85" t="s">
        <v>167</v>
      </c>
      <c r="U4" s="87">
        <v>0</v>
      </c>
      <c r="V4" s="85" t="s">
        <v>127</v>
      </c>
      <c r="W4" s="87">
        <v>0.2</v>
      </c>
      <c r="X4" s="85" t="s">
        <v>182</v>
      </c>
      <c r="Y4" s="88">
        <v>0.375</v>
      </c>
      <c r="Z4" s="85" t="s">
        <v>128</v>
      </c>
      <c r="AA4" s="88">
        <v>0.25531914893617019</v>
      </c>
      <c r="AB4" s="85" t="s">
        <v>178</v>
      </c>
      <c r="AC4" s="88">
        <v>0.66666666666666663</v>
      </c>
      <c r="AD4" s="85" t="s">
        <v>127</v>
      </c>
      <c r="AE4" s="88">
        <v>0.5</v>
      </c>
      <c r="AF4" s="85" t="s">
        <v>127</v>
      </c>
      <c r="AG4" s="88">
        <v>0.47058823529411764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179</v>
      </c>
      <c r="C5" s="84">
        <v>8.1000000000000014</v>
      </c>
      <c r="D5" s="85" t="s">
        <v>179</v>
      </c>
      <c r="E5" s="97">
        <v>4.0500000000000007</v>
      </c>
      <c r="F5" s="85" t="s">
        <v>144</v>
      </c>
      <c r="G5" s="86">
        <v>2</v>
      </c>
      <c r="H5" s="85" t="s">
        <v>182</v>
      </c>
      <c r="I5" s="87">
        <v>0.5</v>
      </c>
      <c r="J5" s="85" t="s">
        <v>127</v>
      </c>
      <c r="K5" s="87">
        <v>0.3</v>
      </c>
      <c r="L5" s="85" t="s">
        <v>183</v>
      </c>
      <c r="M5" s="88">
        <v>0.33333333333333331</v>
      </c>
      <c r="N5" s="85" t="s">
        <v>127</v>
      </c>
      <c r="O5" s="88">
        <v>0.14432989690721648</v>
      </c>
      <c r="P5" s="85" t="s">
        <v>183</v>
      </c>
      <c r="Q5" s="89">
        <v>8400</v>
      </c>
      <c r="R5" s="85" t="s">
        <v>180</v>
      </c>
      <c r="S5" s="89">
        <v>-7716.666666666667</v>
      </c>
      <c r="T5" s="85" t="s">
        <v>180</v>
      </c>
      <c r="U5" s="87">
        <v>0</v>
      </c>
      <c r="V5" s="85" t="s">
        <v>144</v>
      </c>
      <c r="W5" s="87">
        <v>7.6923076923076927E-2</v>
      </c>
      <c r="X5" s="85" t="s">
        <v>127</v>
      </c>
      <c r="Y5" s="88">
        <v>0.26804123711340205</v>
      </c>
      <c r="Z5" s="85" t="s">
        <v>180</v>
      </c>
      <c r="AA5" s="88">
        <v>0.23333333333333334</v>
      </c>
      <c r="AB5" s="85" t="s">
        <v>180</v>
      </c>
      <c r="AC5" s="88">
        <v>0.625</v>
      </c>
      <c r="AD5" s="85" t="s">
        <v>178</v>
      </c>
      <c r="AE5" s="88">
        <v>0.5</v>
      </c>
      <c r="AF5" s="85" t="s">
        <v>144</v>
      </c>
      <c r="AG5" s="88">
        <v>0.4017857142857143</v>
      </c>
      <c r="AH5" s="85" t="s">
        <v>127</v>
      </c>
      <c r="AI5" s="92">
        <v>86200</v>
      </c>
    </row>
    <row r="6" spans="1:35" x14ac:dyDescent="0.4">
      <c r="A6" s="82">
        <v>4</v>
      </c>
      <c r="B6" s="83" t="s">
        <v>144</v>
      </c>
      <c r="C6" s="84">
        <v>6.2172489379008766E-15</v>
      </c>
      <c r="D6" s="85" t="s">
        <v>144</v>
      </c>
      <c r="E6" s="97">
        <v>1.5941663943335581E-16</v>
      </c>
      <c r="F6" s="85" t="s">
        <v>167</v>
      </c>
      <c r="G6" s="86">
        <v>2</v>
      </c>
      <c r="H6" s="85" t="s">
        <v>144</v>
      </c>
      <c r="I6" s="87">
        <v>0.33333333333333331</v>
      </c>
      <c r="J6" s="85" t="s">
        <v>144</v>
      </c>
      <c r="K6" s="87">
        <v>0.33333333333333331</v>
      </c>
      <c r="L6" s="85" t="s">
        <v>128</v>
      </c>
      <c r="M6" s="88">
        <v>0.30851063829787234</v>
      </c>
      <c r="N6" s="85" t="s">
        <v>144</v>
      </c>
      <c r="O6" s="88">
        <v>0.17866666666666667</v>
      </c>
      <c r="P6" s="85" t="s">
        <v>178</v>
      </c>
      <c r="Q6" s="89">
        <v>8100</v>
      </c>
      <c r="R6" s="85" t="s">
        <v>144</v>
      </c>
      <c r="S6" s="89">
        <v>-8062.686567164179</v>
      </c>
      <c r="T6" s="85" t="s">
        <v>179</v>
      </c>
      <c r="U6" s="87">
        <v>0</v>
      </c>
      <c r="V6" s="85" t="s">
        <v>128</v>
      </c>
      <c r="W6" s="87">
        <v>0</v>
      </c>
      <c r="X6" s="85" t="s">
        <v>180</v>
      </c>
      <c r="Y6" s="88">
        <v>0.26666666666666666</v>
      </c>
      <c r="Z6" s="85" t="s">
        <v>183</v>
      </c>
      <c r="AA6" s="88">
        <v>0.22222222222222221</v>
      </c>
      <c r="AB6" s="85" t="s">
        <v>127</v>
      </c>
      <c r="AC6" s="88">
        <v>0.61538461538461542</v>
      </c>
      <c r="AD6" s="85" t="s">
        <v>183</v>
      </c>
      <c r="AE6" s="88">
        <v>0.5</v>
      </c>
      <c r="AF6" s="85" t="s">
        <v>178</v>
      </c>
      <c r="AG6" s="88">
        <v>0.4</v>
      </c>
      <c r="AH6" s="85" t="s">
        <v>179</v>
      </c>
      <c r="AI6" s="92">
        <v>71900</v>
      </c>
    </row>
    <row r="7" spans="1:35" x14ac:dyDescent="0.4">
      <c r="A7" s="82">
        <v>5</v>
      </c>
      <c r="B7" s="83" t="s">
        <v>183</v>
      </c>
      <c r="C7" s="84">
        <v>-12</v>
      </c>
      <c r="D7" s="85" t="s">
        <v>180</v>
      </c>
      <c r="E7" s="97">
        <v>-5.8666666666666663</v>
      </c>
      <c r="F7" s="85" t="s">
        <v>179</v>
      </c>
      <c r="G7" s="86">
        <v>2</v>
      </c>
      <c r="H7" s="85" t="s">
        <v>167</v>
      </c>
      <c r="I7" s="87">
        <v>0.33333333333333331</v>
      </c>
      <c r="J7" s="85" t="s">
        <v>167</v>
      </c>
      <c r="K7" s="87">
        <v>0.33333333333333331</v>
      </c>
      <c r="L7" s="85" t="s">
        <v>144</v>
      </c>
      <c r="M7" s="88">
        <v>0.29866666666666669</v>
      </c>
      <c r="N7" s="85" t="s">
        <v>167</v>
      </c>
      <c r="O7" s="88">
        <v>0.19540229885057472</v>
      </c>
      <c r="P7" s="85" t="s">
        <v>127</v>
      </c>
      <c r="Q7" s="89">
        <v>7705.8823529411766</v>
      </c>
      <c r="R7" s="85" t="s">
        <v>128</v>
      </c>
      <c r="S7" s="89">
        <v>-8363.1578947368416</v>
      </c>
      <c r="T7" s="85" t="s">
        <v>183</v>
      </c>
      <c r="U7" s="87">
        <v>0</v>
      </c>
      <c r="V7" s="85" t="s">
        <v>167</v>
      </c>
      <c r="W7" s="87">
        <v>0</v>
      </c>
      <c r="X7" s="85" t="s">
        <v>144</v>
      </c>
      <c r="Y7" s="88">
        <v>0.248</v>
      </c>
      <c r="Z7" s="85" t="s">
        <v>144</v>
      </c>
      <c r="AA7" s="88">
        <v>0.21866666666666668</v>
      </c>
      <c r="AB7" s="85" t="s">
        <v>144</v>
      </c>
      <c r="AC7" s="88">
        <v>0.59139784946236562</v>
      </c>
      <c r="AD7" s="85" t="s">
        <v>128</v>
      </c>
      <c r="AE7" s="88">
        <v>0.41666666666666669</v>
      </c>
      <c r="AF7" s="85" t="s">
        <v>182</v>
      </c>
      <c r="AG7" s="88">
        <v>0.375</v>
      </c>
      <c r="AH7" s="85" t="s">
        <v>128</v>
      </c>
      <c r="AI7" s="92">
        <v>51800</v>
      </c>
    </row>
    <row r="8" spans="1:35" x14ac:dyDescent="0.4">
      <c r="A8" s="82">
        <v>6</v>
      </c>
      <c r="B8" s="83" t="s">
        <v>180</v>
      </c>
      <c r="C8" s="84">
        <v>-17.599999999999998</v>
      </c>
      <c r="D8" s="85" t="s">
        <v>167</v>
      </c>
      <c r="E8" s="97">
        <v>-6.6111111111111116</v>
      </c>
      <c r="F8" s="85" t="s">
        <v>183</v>
      </c>
      <c r="G8" s="86">
        <v>2</v>
      </c>
      <c r="H8" s="85" t="s">
        <v>128</v>
      </c>
      <c r="I8" s="87">
        <v>0.2</v>
      </c>
      <c r="J8" s="85" t="s">
        <v>180</v>
      </c>
      <c r="K8" s="87">
        <v>0.33333333333333331</v>
      </c>
      <c r="L8" s="85" t="s">
        <v>180</v>
      </c>
      <c r="M8" s="88">
        <v>0.26666666666666666</v>
      </c>
      <c r="N8" s="85" t="s">
        <v>180</v>
      </c>
      <c r="O8" s="88">
        <v>0.2</v>
      </c>
      <c r="P8" s="85" t="s">
        <v>144</v>
      </c>
      <c r="Q8" s="89">
        <v>7655.3571428571431</v>
      </c>
      <c r="R8" s="85" t="s">
        <v>183</v>
      </c>
      <c r="S8" s="89">
        <v>-9233.3333333333339</v>
      </c>
      <c r="T8" s="85" t="s">
        <v>182</v>
      </c>
      <c r="U8" s="87">
        <v>0</v>
      </c>
      <c r="V8" s="85" t="s">
        <v>180</v>
      </c>
      <c r="W8" s="87">
        <v>0</v>
      </c>
      <c r="X8" s="85" t="s">
        <v>128</v>
      </c>
      <c r="Y8" s="88">
        <v>0.24468085106382978</v>
      </c>
      <c r="Z8" s="85" t="s">
        <v>127</v>
      </c>
      <c r="AA8" s="88">
        <v>0.20618556701030927</v>
      </c>
      <c r="AB8" s="85" t="s">
        <v>128</v>
      </c>
      <c r="AC8" s="88">
        <v>0.56521739130434778</v>
      </c>
      <c r="AD8" s="85" t="s">
        <v>144</v>
      </c>
      <c r="AE8" s="88">
        <v>0.3902439024390244</v>
      </c>
      <c r="AF8" s="85" t="s">
        <v>183</v>
      </c>
      <c r="AG8" s="88">
        <v>0.33333333333333331</v>
      </c>
      <c r="AH8" s="85" t="s">
        <v>167</v>
      </c>
      <c r="AI8" s="92">
        <v>49500</v>
      </c>
    </row>
    <row r="9" spans="1:35" x14ac:dyDescent="0.4">
      <c r="A9" s="82">
        <v>7</v>
      </c>
      <c r="B9" s="83" t="s">
        <v>167</v>
      </c>
      <c r="C9" s="84">
        <v>-59.500000000000007</v>
      </c>
      <c r="D9" s="85" t="s">
        <v>128</v>
      </c>
      <c r="E9" s="97">
        <v>-7.839999999999999</v>
      </c>
      <c r="F9" s="85" t="s">
        <v>128</v>
      </c>
      <c r="G9" s="86">
        <v>2.2000000000000002</v>
      </c>
      <c r="H9" s="85" t="s">
        <v>180</v>
      </c>
      <c r="I9" s="87">
        <v>0</v>
      </c>
      <c r="J9" s="85" t="s">
        <v>128</v>
      </c>
      <c r="K9" s="87">
        <v>0.4</v>
      </c>
      <c r="L9" s="85" t="s">
        <v>178</v>
      </c>
      <c r="M9" s="88">
        <v>0.25</v>
      </c>
      <c r="N9" s="85" t="s">
        <v>128</v>
      </c>
      <c r="O9" s="88">
        <v>0.20212765957446807</v>
      </c>
      <c r="P9" s="85" t="s">
        <v>167</v>
      </c>
      <c r="Q9" s="89">
        <v>7576.1904761904761</v>
      </c>
      <c r="R9" s="85" t="s">
        <v>179</v>
      </c>
      <c r="S9" s="89">
        <v>-12000</v>
      </c>
      <c r="T9" s="85" t="s">
        <v>144</v>
      </c>
      <c r="U9" s="87">
        <v>7.6923076923076927E-2</v>
      </c>
      <c r="V9" s="85" t="s">
        <v>178</v>
      </c>
      <c r="W9" s="87">
        <v>0</v>
      </c>
      <c r="X9" s="85" t="s">
        <v>167</v>
      </c>
      <c r="Y9" s="88">
        <v>0.2413793103448276</v>
      </c>
      <c r="Z9" s="85" t="s">
        <v>179</v>
      </c>
      <c r="AA9" s="88">
        <v>0.18181818181818182</v>
      </c>
      <c r="AB9" s="85" t="s">
        <v>167</v>
      </c>
      <c r="AC9" s="88">
        <v>0.52380952380952384</v>
      </c>
      <c r="AD9" s="85" t="s">
        <v>167</v>
      </c>
      <c r="AE9" s="88">
        <v>0.2608695652173913</v>
      </c>
      <c r="AF9" s="85" t="s">
        <v>128</v>
      </c>
      <c r="AG9" s="88">
        <v>0.31034482758620691</v>
      </c>
      <c r="AH9" s="85" t="s">
        <v>180</v>
      </c>
      <c r="AI9" s="92">
        <v>47500</v>
      </c>
    </row>
    <row r="10" spans="1:35" x14ac:dyDescent="0.4">
      <c r="A10" s="82">
        <v>8</v>
      </c>
      <c r="B10" s="83" t="s">
        <v>178</v>
      </c>
      <c r="C10" s="84">
        <v>-67.3</v>
      </c>
      <c r="D10" s="85" t="s">
        <v>183</v>
      </c>
      <c r="E10" s="97">
        <v>-12</v>
      </c>
      <c r="F10" s="85" t="s">
        <v>180</v>
      </c>
      <c r="G10" s="86">
        <v>2.3333333333333335</v>
      </c>
      <c r="H10" s="85" t="s">
        <v>178</v>
      </c>
      <c r="I10" s="87">
        <v>0</v>
      </c>
      <c r="J10" s="85" t="s">
        <v>178</v>
      </c>
      <c r="K10" s="87">
        <v>0.5</v>
      </c>
      <c r="L10" s="85" t="s">
        <v>167</v>
      </c>
      <c r="M10" s="88">
        <v>0.2413793103448276</v>
      </c>
      <c r="N10" s="85" t="s">
        <v>178</v>
      </c>
      <c r="O10" s="88">
        <v>0.3</v>
      </c>
      <c r="P10" s="85" t="s">
        <v>128</v>
      </c>
      <c r="Q10" s="89">
        <v>7389.6551724137935</v>
      </c>
      <c r="R10" s="85" t="s">
        <v>182</v>
      </c>
      <c r="S10" s="89">
        <v>-12000</v>
      </c>
      <c r="T10" s="85" t="s">
        <v>128</v>
      </c>
      <c r="U10" s="87">
        <v>0.2</v>
      </c>
      <c r="V10" s="85" t="s">
        <v>179</v>
      </c>
      <c r="W10" s="87">
        <v>0</v>
      </c>
      <c r="X10" s="85" t="s">
        <v>178</v>
      </c>
      <c r="Y10" s="88">
        <v>0.15</v>
      </c>
      <c r="Z10" s="85" t="s">
        <v>178</v>
      </c>
      <c r="AA10" s="88">
        <v>0.1</v>
      </c>
      <c r="AB10" s="85" t="s">
        <v>179</v>
      </c>
      <c r="AC10" s="88">
        <v>0.5</v>
      </c>
      <c r="AD10" s="85" t="s">
        <v>180</v>
      </c>
      <c r="AE10" s="88">
        <v>0.14285714285714285</v>
      </c>
      <c r="AF10" s="85" t="s">
        <v>180</v>
      </c>
      <c r="AG10" s="88">
        <v>0.25</v>
      </c>
      <c r="AH10" s="85" t="s">
        <v>178</v>
      </c>
      <c r="AI10" s="92">
        <v>25900</v>
      </c>
    </row>
    <row r="11" spans="1:35" x14ac:dyDescent="0.4">
      <c r="A11" s="82">
        <v>9</v>
      </c>
      <c r="B11" s="83" t="s">
        <v>128</v>
      </c>
      <c r="C11" s="84">
        <v>-78.399999999999991</v>
      </c>
      <c r="D11" s="85" t="s">
        <v>178</v>
      </c>
      <c r="E11" s="97">
        <v>-33.65</v>
      </c>
      <c r="F11" s="85" t="s">
        <v>178</v>
      </c>
      <c r="G11" s="86">
        <v>2.5</v>
      </c>
      <c r="H11" s="85" t="s">
        <v>183</v>
      </c>
      <c r="I11" s="87">
        <v>0</v>
      </c>
      <c r="J11" s="85" t="s">
        <v>179</v>
      </c>
      <c r="K11" s="87">
        <v>0.5</v>
      </c>
      <c r="L11" s="85" t="s">
        <v>179</v>
      </c>
      <c r="M11" s="88">
        <v>0.18181818181818182</v>
      </c>
      <c r="N11" s="85" t="s">
        <v>183</v>
      </c>
      <c r="O11" s="88">
        <v>0.33333333333333331</v>
      </c>
      <c r="P11" s="85" t="s">
        <v>180</v>
      </c>
      <c r="Q11" s="89">
        <v>5262.5</v>
      </c>
      <c r="R11" s="85" t="s">
        <v>178</v>
      </c>
      <c r="S11" s="89">
        <v>-14300</v>
      </c>
      <c r="T11" s="85" t="s">
        <v>178</v>
      </c>
      <c r="U11" s="87">
        <v>0.5</v>
      </c>
      <c r="V11" s="85" t="s">
        <v>183</v>
      </c>
      <c r="W11" s="87">
        <v>0</v>
      </c>
      <c r="X11" s="85" t="s">
        <v>179</v>
      </c>
      <c r="Y11" s="88">
        <v>9.0909090909090912E-2</v>
      </c>
      <c r="Z11" s="85" t="s">
        <v>182</v>
      </c>
      <c r="AA11" s="88">
        <v>0</v>
      </c>
      <c r="AB11" s="85" t="s">
        <v>183</v>
      </c>
      <c r="AC11" s="88">
        <v>0.5</v>
      </c>
      <c r="AD11" s="85" t="s">
        <v>182</v>
      </c>
      <c r="AE11" s="88">
        <v>0</v>
      </c>
      <c r="AF11" s="85" t="s">
        <v>179</v>
      </c>
      <c r="AG11" s="88">
        <v>0.25</v>
      </c>
      <c r="AH11" s="85" t="s">
        <v>183</v>
      </c>
      <c r="AI11" s="92">
        <v>23000</v>
      </c>
    </row>
  </sheetData>
  <sortState xmlns:xlrd2="http://schemas.microsoft.com/office/spreadsheetml/2017/richdata2" ref="AH3:AI3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F14FC-94C8-4A14-BCAB-FF9B789E0BF8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144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39</v>
      </c>
      <c r="C2" s="155"/>
      <c r="E2" s="62" t="s">
        <v>67</v>
      </c>
      <c r="F2" s="59" t="s">
        <v>23</v>
      </c>
      <c r="G2" s="46">
        <v>71</v>
      </c>
      <c r="H2" s="132">
        <f>IF(B$17=0,0,G2/B$17)</f>
        <v>0.6339285714285714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-25.641025641025642</v>
      </c>
      <c r="P2" s="118">
        <v>39</v>
      </c>
      <c r="Q2" s="102">
        <v>-1000</v>
      </c>
    </row>
    <row r="3" spans="1:17" x14ac:dyDescent="0.4">
      <c r="A3" s="55" t="s">
        <v>8</v>
      </c>
      <c r="B3" s="156">
        <v>375</v>
      </c>
      <c r="C3" s="157"/>
      <c r="E3" s="63" t="s">
        <v>73</v>
      </c>
      <c r="F3" s="60" t="s">
        <v>28</v>
      </c>
      <c r="G3" s="47">
        <v>54</v>
      </c>
      <c r="H3" s="133">
        <f>IF(B$17=0,0,G3/B$17)</f>
        <v>0.48214285714285715</v>
      </c>
      <c r="I3" s="94">
        <v>5</v>
      </c>
      <c r="K3" s="38">
        <v>1</v>
      </c>
      <c r="L3" s="99">
        <v>-4.5999999999999996</v>
      </c>
      <c r="N3" s="115" t="s">
        <v>132</v>
      </c>
      <c r="O3" s="122">
        <f t="shared" si="0"/>
        <v>25.641025641025642</v>
      </c>
      <c r="P3" s="119">
        <v>39</v>
      </c>
      <c r="Q3" s="103">
        <v>1000</v>
      </c>
    </row>
    <row r="4" spans="1:17" x14ac:dyDescent="0.4">
      <c r="A4" s="55" t="s">
        <v>6</v>
      </c>
      <c r="B4" s="158">
        <v>6.2172489379008766E-15</v>
      </c>
      <c r="C4" s="159"/>
      <c r="E4" s="63" t="s">
        <v>65</v>
      </c>
      <c r="F4" s="60" t="s">
        <v>21</v>
      </c>
      <c r="G4" s="47">
        <v>52</v>
      </c>
      <c r="H4" s="133">
        <f>IF(B$17=0,0,G4/B$17)</f>
        <v>0.4642857142857143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-76.92307692307692</v>
      </c>
      <c r="P4" s="119">
        <v>39</v>
      </c>
      <c r="Q4" s="103">
        <v>-3000</v>
      </c>
    </row>
    <row r="5" spans="1:17" x14ac:dyDescent="0.4">
      <c r="A5" s="55" t="s">
        <v>7</v>
      </c>
      <c r="B5" s="160">
        <f>IF(B$2=0,0,B$4/B$2)</f>
        <v>1.5941663943335581E-16</v>
      </c>
      <c r="C5" s="161"/>
      <c r="E5" s="63" t="s">
        <v>172</v>
      </c>
      <c r="F5" s="60" t="s">
        <v>173</v>
      </c>
      <c r="G5" s="47">
        <v>41</v>
      </c>
      <c r="H5" s="133">
        <f>IF(B$17=0,0,G5/B$17)</f>
        <v>0.36607142857142855</v>
      </c>
      <c r="I5" s="94">
        <v>5</v>
      </c>
      <c r="K5" s="38">
        <v>3</v>
      </c>
      <c r="L5" s="99">
        <v>0</v>
      </c>
      <c r="N5" s="115" t="s">
        <v>134</v>
      </c>
      <c r="O5" s="122">
        <f t="shared" si="0"/>
        <v>51.282051282051285</v>
      </c>
      <c r="P5" s="119">
        <v>39</v>
      </c>
      <c r="Q5" s="103">
        <v>2000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68</v>
      </c>
      <c r="F6" s="60" t="s">
        <v>24</v>
      </c>
      <c r="G6" s="47">
        <v>32</v>
      </c>
      <c r="H6" s="133">
        <f>IF(B$17=0,0,G6/B$17)</f>
        <v>0.2857142857142857</v>
      </c>
      <c r="I6" s="94">
        <v>3</v>
      </c>
      <c r="K6" s="38">
        <v>4</v>
      </c>
      <c r="L6" s="99">
        <v>24.5</v>
      </c>
      <c r="N6" s="115" t="s">
        <v>135</v>
      </c>
      <c r="O6" s="122">
        <f t="shared" si="0"/>
        <v>27.777777777777779</v>
      </c>
      <c r="P6" s="119">
        <v>36</v>
      </c>
      <c r="Q6" s="103">
        <v>1000</v>
      </c>
    </row>
    <row r="7" spans="1:17" x14ac:dyDescent="0.4">
      <c r="A7" s="55" t="s">
        <v>2</v>
      </c>
      <c r="B7" s="47">
        <v>13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32</v>
      </c>
      <c r="H7" s="133">
        <f>IF(B$17=0,0,G7/B$17)</f>
        <v>0.2857142857142857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27</v>
      </c>
      <c r="Q7" s="104">
        <v>0</v>
      </c>
    </row>
    <row r="8" spans="1:17" x14ac:dyDescent="0.4">
      <c r="A8" s="55" t="s">
        <v>3</v>
      </c>
      <c r="B8" s="47">
        <v>13</v>
      </c>
      <c r="C8" s="39">
        <f t="shared" si="1"/>
        <v>0.33333333333333331</v>
      </c>
      <c r="E8" s="63" t="s">
        <v>70</v>
      </c>
      <c r="F8" s="60" t="s">
        <v>25</v>
      </c>
      <c r="G8" s="47">
        <v>24</v>
      </c>
      <c r="H8" s="133">
        <f>IF(B$17=0,0,G8/B$17)</f>
        <v>0.21428571428571427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1"/>
        <v>0.33333333333333331</v>
      </c>
      <c r="E9" s="63" t="s">
        <v>72</v>
      </c>
      <c r="F9" s="60" t="s">
        <v>27</v>
      </c>
      <c r="G9" s="47">
        <v>12</v>
      </c>
      <c r="H9" s="133">
        <f>IF(B$17=0,0,G9/B$17)</f>
        <v>0.10714285714285714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7.6923076923076927E-2</v>
      </c>
      <c r="E10" s="63" t="s">
        <v>90</v>
      </c>
      <c r="F10" s="60" t="s">
        <v>45</v>
      </c>
      <c r="G10" s="47">
        <v>11</v>
      </c>
      <c r="H10" s="133">
        <f>IF(B$17=0,0,G10/B$17)</f>
        <v>9.8214285714285712E-2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0.6153846153846162</v>
      </c>
      <c r="P10" s="118">
        <v>13</v>
      </c>
      <c r="Q10" s="106">
        <v>8.0000000000000107</v>
      </c>
    </row>
    <row r="11" spans="1:17" x14ac:dyDescent="0.4">
      <c r="A11" s="56" t="s">
        <v>139</v>
      </c>
      <c r="B11" s="48">
        <v>3</v>
      </c>
      <c r="C11" s="40">
        <f t="shared" si="1"/>
        <v>7.6923076923076927E-2</v>
      </c>
      <c r="E11" s="63" t="s">
        <v>66</v>
      </c>
      <c r="F11" s="60" t="s">
        <v>22</v>
      </c>
      <c r="G11" s="47">
        <v>10</v>
      </c>
      <c r="H11" s="133">
        <f>IF(B$17=0,0,G11/B$17)</f>
        <v>8.9285714285714288E-2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5.9615384615384617</v>
      </c>
      <c r="P11" s="119">
        <v>13</v>
      </c>
      <c r="Q11" s="107">
        <v>77.5</v>
      </c>
    </row>
    <row r="12" spans="1:17" x14ac:dyDescent="0.4">
      <c r="A12" s="57" t="s">
        <v>159</v>
      </c>
      <c r="B12" s="49">
        <v>4</v>
      </c>
      <c r="C12" s="42">
        <f t="shared" si="1"/>
        <v>0.10256410256410256</v>
      </c>
      <c r="E12" s="63" t="s">
        <v>71</v>
      </c>
      <c r="F12" s="60" t="s">
        <v>26</v>
      </c>
      <c r="G12" s="47">
        <v>8</v>
      </c>
      <c r="H12" s="133">
        <f>IF(B$17=0,0,G12/B$17)</f>
        <v>7.1428571428571425E-2</v>
      </c>
      <c r="I12" s="94">
        <v>5</v>
      </c>
      <c r="K12" s="38">
        <v>10</v>
      </c>
      <c r="L12" s="99">
        <v>-12</v>
      </c>
      <c r="N12" s="116" t="s">
        <v>165</v>
      </c>
      <c r="O12" s="126">
        <f>IF(P12=0,0,Q12/P12)</f>
        <v>-6.5769230769230766</v>
      </c>
      <c r="P12" s="120">
        <v>13</v>
      </c>
      <c r="Q12" s="108">
        <v>-85.5</v>
      </c>
    </row>
    <row r="13" spans="1:17" x14ac:dyDescent="0.4">
      <c r="A13" s="58" t="s">
        <v>122</v>
      </c>
      <c r="B13" s="50">
        <v>93</v>
      </c>
      <c r="C13" s="44">
        <f>IF(B$3=0,0,B13/B$3)</f>
        <v>0.248</v>
      </c>
      <c r="E13" s="63" t="s">
        <v>84</v>
      </c>
      <c r="F13" s="60" t="s">
        <v>39</v>
      </c>
      <c r="G13" s="47">
        <v>7</v>
      </c>
      <c r="H13" s="133">
        <f>IF(B$17=0,0,G13/B$17)</f>
        <v>6.25E-2</v>
      </c>
      <c r="I13" s="94">
        <v>4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82</v>
      </c>
      <c r="C14" s="39">
        <f>IF(B$3=0,0,B14/B$3)</f>
        <v>0.21866666666666668</v>
      </c>
      <c r="E14" s="63" t="s">
        <v>87</v>
      </c>
      <c r="F14" s="60" t="s">
        <v>42</v>
      </c>
      <c r="G14" s="47">
        <v>5</v>
      </c>
      <c r="H14" s="133">
        <f>IF(B$17=0,0,G14/B$17)</f>
        <v>4.4642857142857144E-2</v>
      </c>
      <c r="I14" s="94">
        <v>3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55</v>
      </c>
      <c r="C15" s="37">
        <f>IF(B$13=0,0,B15/B$13)</f>
        <v>0.59139784946236562</v>
      </c>
      <c r="E15" s="63" t="s">
        <v>82</v>
      </c>
      <c r="F15" s="60" t="s">
        <v>37</v>
      </c>
      <c r="G15" s="47">
        <v>3</v>
      </c>
      <c r="H15" s="133">
        <f>IF(B$17=0,0,G15/B$17)</f>
        <v>2.6785714285714284E-2</v>
      </c>
      <c r="I15" s="94">
        <v>4</v>
      </c>
      <c r="K15" s="38">
        <v>13</v>
      </c>
      <c r="L15" s="99">
        <v>-1.7</v>
      </c>
      <c r="N15" s="114" t="s">
        <v>178</v>
      </c>
      <c r="O15" s="124">
        <f>IF(P15=0,0,Q15/P15)</f>
        <v>50.474999999999994</v>
      </c>
      <c r="P15" s="118">
        <v>4</v>
      </c>
      <c r="Q15" s="106">
        <v>201.89999999999998</v>
      </c>
    </row>
    <row r="16" spans="1:17" x14ac:dyDescent="0.4">
      <c r="A16" s="54" t="s">
        <v>125</v>
      </c>
      <c r="B16" s="46">
        <v>32</v>
      </c>
      <c r="C16" s="37">
        <f>IF(B$14=0,0,B16/B$14)</f>
        <v>0.3902439024390244</v>
      </c>
      <c r="E16" s="63" t="s">
        <v>80</v>
      </c>
      <c r="F16" s="60" t="s">
        <v>35</v>
      </c>
      <c r="G16" s="47">
        <v>2</v>
      </c>
      <c r="H16" s="133">
        <f>IF(B$17=0,0,G16/B$17)</f>
        <v>1.7857142857142856E-2</v>
      </c>
      <c r="I16" s="94">
        <v>2</v>
      </c>
      <c r="K16" s="38">
        <v>14</v>
      </c>
      <c r="L16" s="99">
        <v>24.3</v>
      </c>
      <c r="N16" s="115" t="s">
        <v>183</v>
      </c>
      <c r="O16" s="125">
        <f>IF(P16=0,0,Q16/P16)</f>
        <v>18</v>
      </c>
      <c r="P16" s="119">
        <v>2</v>
      </c>
      <c r="Q16" s="107">
        <v>36</v>
      </c>
    </row>
    <row r="17" spans="1:17" x14ac:dyDescent="0.4">
      <c r="A17" s="54" t="s">
        <v>10</v>
      </c>
      <c r="B17" s="46">
        <f>B19+B18</f>
        <v>112</v>
      </c>
      <c r="C17" s="37">
        <f>IF(B$3=0,0,B17/B$3)</f>
        <v>0.29866666666666669</v>
      </c>
      <c r="E17" s="63" t="s">
        <v>78</v>
      </c>
      <c r="F17" s="60" t="s">
        <v>33</v>
      </c>
      <c r="G17" s="47">
        <v>1</v>
      </c>
      <c r="H17" s="133">
        <f>IF(B$17=0,0,G17/B$17)</f>
        <v>8.9285714285714281E-3</v>
      </c>
      <c r="I17" s="94">
        <v>2</v>
      </c>
      <c r="K17" s="38">
        <v>15</v>
      </c>
      <c r="L17" s="99">
        <v>0</v>
      </c>
      <c r="N17" s="115" t="s">
        <v>128</v>
      </c>
      <c r="O17" s="125">
        <f>IF(P17=0,0,Q17/P17)</f>
        <v>11.760000000000002</v>
      </c>
      <c r="P17" s="119">
        <v>20</v>
      </c>
      <c r="Q17" s="107">
        <v>235.20000000000005</v>
      </c>
    </row>
    <row r="18" spans="1:17" x14ac:dyDescent="0.4">
      <c r="A18" s="55" t="s">
        <v>12</v>
      </c>
      <c r="B18" s="47">
        <v>45</v>
      </c>
      <c r="C18" s="39">
        <f>IF(B$17=0,0,B18/B$17)</f>
        <v>0.4017857142857143</v>
      </c>
      <c r="E18" s="63" t="s">
        <v>79</v>
      </c>
      <c r="F18" s="60" t="s">
        <v>34</v>
      </c>
      <c r="G18" s="47">
        <v>1</v>
      </c>
      <c r="H18" s="133">
        <f>IF(B$17=0,0,G18/B$17)</f>
        <v>8.9285714285714281E-3</v>
      </c>
      <c r="I18" s="94">
        <v>2</v>
      </c>
      <c r="K18" s="38">
        <v>16</v>
      </c>
      <c r="L18" s="99">
        <v>-28.2</v>
      </c>
      <c r="N18" s="115" t="s">
        <v>167</v>
      </c>
      <c r="O18" s="125">
        <f>IF(P18=0,0,Q18/P18)</f>
        <v>9.9166666666666679</v>
      </c>
      <c r="P18" s="119">
        <v>18</v>
      </c>
      <c r="Q18" s="107">
        <v>178.50000000000003</v>
      </c>
    </row>
    <row r="19" spans="1:17" x14ac:dyDescent="0.4">
      <c r="A19" s="55" t="s">
        <v>11</v>
      </c>
      <c r="B19" s="47">
        <v>67</v>
      </c>
      <c r="C19" s="39">
        <f>IF(B$17=0,0,B19/B$17)</f>
        <v>0.5982142857142857</v>
      </c>
      <c r="E19" s="63" t="s">
        <v>85</v>
      </c>
      <c r="F19" s="60" t="s">
        <v>40</v>
      </c>
      <c r="G19" s="47">
        <v>1</v>
      </c>
      <c r="H19" s="133">
        <f>IF(B$17=0,0,G19/B$17)</f>
        <v>8.9285714285714281E-3</v>
      </c>
      <c r="I19" s="94">
        <v>2</v>
      </c>
      <c r="K19" s="38">
        <v>17</v>
      </c>
      <c r="L19" s="99">
        <v>-20.5</v>
      </c>
      <c r="N19" s="115" t="s">
        <v>180</v>
      </c>
      <c r="O19" s="125">
        <f>IF(P19=0,0,Q19/P19)</f>
        <v>8.7999999999999972</v>
      </c>
      <c r="P19" s="119">
        <v>6</v>
      </c>
      <c r="Q19" s="107">
        <v>52.799999999999983</v>
      </c>
    </row>
    <row r="20" spans="1:17" x14ac:dyDescent="0.4">
      <c r="A20" s="55" t="s">
        <v>13</v>
      </c>
      <c r="B20" s="47">
        <v>67</v>
      </c>
      <c r="C20" s="39">
        <f>IF(B$3=0,0,B20/B$3)</f>
        <v>0.17866666666666667</v>
      </c>
      <c r="E20" s="63" t="s">
        <v>86</v>
      </c>
      <c r="F20" s="60" t="s">
        <v>41</v>
      </c>
      <c r="G20" s="47">
        <v>1</v>
      </c>
      <c r="H20" s="133">
        <f>IF(B$17=0,0,G20/B$17)</f>
        <v>8.9285714285714281E-3</v>
      </c>
      <c r="I20" s="94">
        <v>2</v>
      </c>
      <c r="K20" s="38">
        <v>18</v>
      </c>
      <c r="L20" s="99">
        <v>0</v>
      </c>
      <c r="N20" s="115" t="s">
        <v>179</v>
      </c>
      <c r="O20" s="125">
        <f>IF(P20=0,0,Q20/P20)</f>
        <v>-6.0749999999999993</v>
      </c>
      <c r="P20" s="119">
        <v>4</v>
      </c>
      <c r="Q20" s="107">
        <v>-24.299999999999997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8.9285714285714281E-3</v>
      </c>
      <c r="I21" s="94">
        <v>2</v>
      </c>
      <c r="K21" s="38">
        <v>19</v>
      </c>
      <c r="L21" s="99">
        <v>-22.4</v>
      </c>
      <c r="N21" s="115" t="s">
        <v>127</v>
      </c>
      <c r="O21" s="125">
        <f>IF(P21=0,0,Q21/P21)</f>
        <v>-23.730000000000011</v>
      </c>
      <c r="P21" s="119">
        <v>20</v>
      </c>
      <c r="Q21" s="107">
        <v>-474.60000000000019</v>
      </c>
    </row>
    <row r="22" spans="1:17" x14ac:dyDescent="0.4">
      <c r="A22" s="55" t="s">
        <v>171</v>
      </c>
      <c r="B22" s="47">
        <v>19</v>
      </c>
      <c r="C22" s="135">
        <v>10</v>
      </c>
      <c r="E22" s="63" t="s">
        <v>92</v>
      </c>
      <c r="F22" s="60" t="s">
        <v>47</v>
      </c>
      <c r="G22" s="47">
        <v>1</v>
      </c>
      <c r="H22" s="133">
        <f>IF(B$17=0,0,G22/B$17)</f>
        <v>8.9285714285714281E-3</v>
      </c>
      <c r="I22" s="94">
        <v>2</v>
      </c>
      <c r="K22" s="38">
        <v>20</v>
      </c>
      <c r="L22" s="99">
        <v>-61.199999999999996</v>
      </c>
      <c r="N22" s="115" t="s">
        <v>182</v>
      </c>
      <c r="O22" s="125">
        <f>IF(P22=0,0,Q22/P22)</f>
        <v>-51.375000000000014</v>
      </c>
      <c r="P22" s="119">
        <v>4</v>
      </c>
      <c r="Q22" s="107">
        <v>-205.50000000000006</v>
      </c>
    </row>
    <row r="23" spans="1:17" x14ac:dyDescent="0.4">
      <c r="A23" s="55" t="s">
        <v>5</v>
      </c>
      <c r="B23" s="51">
        <f>IF(B$17=0,0,C23/B$17)</f>
        <v>7655.3571428571431</v>
      </c>
      <c r="C23" s="41">
        <v>857400</v>
      </c>
      <c r="E23" s="63" t="s">
        <v>96</v>
      </c>
      <c r="F23" s="60" t="s">
        <v>51</v>
      </c>
      <c r="G23" s="47">
        <v>1</v>
      </c>
      <c r="H23" s="133">
        <f>IF(B$17=0,0,G23/B$17)</f>
        <v>8.9285714285714281E-3</v>
      </c>
      <c r="I23" s="94">
        <v>2</v>
      </c>
      <c r="K23" s="38">
        <v>21</v>
      </c>
      <c r="L23" s="99">
        <v>7.1054273576010019E-15</v>
      </c>
    </row>
    <row r="24" spans="1:17" x14ac:dyDescent="0.4">
      <c r="A24" s="57" t="s">
        <v>14</v>
      </c>
      <c r="B24" s="52">
        <f>IF(B$20=0,0,C24/B$20)</f>
        <v>-8062.686567164179</v>
      </c>
      <c r="C24" s="45">
        <v>-540200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8">
        <v>7</v>
      </c>
      <c r="C25" s="149"/>
      <c r="E25" s="63" t="s">
        <v>75</v>
      </c>
      <c r="F25" s="60" t="s">
        <v>30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6">
        <v>95200</v>
      </c>
      <c r="C26" s="147"/>
      <c r="E26" s="63" t="s">
        <v>76</v>
      </c>
      <c r="F26" s="60" t="s">
        <v>31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1</v>
      </c>
      <c r="C27" s="42">
        <f>IF(B$3=0,0,B27/B$3)</f>
        <v>2.6666666666666666E-3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15.000000000000007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0.60000000000000675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ABCE-7EE4-4C9D-934A-BB088E30934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167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9</v>
      </c>
      <c r="C2" s="155"/>
      <c r="E2" s="62" t="s">
        <v>73</v>
      </c>
      <c r="F2" s="59" t="s">
        <v>28</v>
      </c>
      <c r="G2" s="46">
        <v>12</v>
      </c>
      <c r="H2" s="132">
        <f>IF(B$17=0,0,G2/B$17)</f>
        <v>0.5714285714285714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-6522.2222222222226</v>
      </c>
      <c r="P2" s="118">
        <v>9</v>
      </c>
      <c r="Q2" s="102">
        <v>-58700</v>
      </c>
    </row>
    <row r="3" spans="1:17" x14ac:dyDescent="0.4">
      <c r="A3" s="55" t="s">
        <v>8</v>
      </c>
      <c r="B3" s="156">
        <v>87</v>
      </c>
      <c r="C3" s="157"/>
      <c r="E3" s="63" t="s">
        <v>65</v>
      </c>
      <c r="F3" s="60" t="s">
        <v>21</v>
      </c>
      <c r="G3" s="47">
        <v>10</v>
      </c>
      <c r="H3" s="133">
        <f>IF(B$17=0,0,G3/B$17)</f>
        <v>0.47619047619047616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1222.2222222222222</v>
      </c>
      <c r="P3" s="119">
        <v>9</v>
      </c>
      <c r="Q3" s="103">
        <v>11000</v>
      </c>
    </row>
    <row r="4" spans="1:17" x14ac:dyDescent="0.4">
      <c r="A4" s="55" t="s">
        <v>6</v>
      </c>
      <c r="B4" s="158">
        <v>-59.500000000000007</v>
      </c>
      <c r="C4" s="159"/>
      <c r="E4" s="63" t="s">
        <v>67</v>
      </c>
      <c r="F4" s="60" t="s">
        <v>23</v>
      </c>
      <c r="G4" s="47">
        <v>10</v>
      </c>
      <c r="H4" s="133">
        <f>IF(B$17=0,0,G4/B$17)</f>
        <v>0.47619047619047616</v>
      </c>
      <c r="I4" s="94">
        <v>7</v>
      </c>
      <c r="K4" s="38">
        <v>2</v>
      </c>
      <c r="L4" s="99">
        <v>19.899999999999999</v>
      </c>
      <c r="N4" s="115" t="s">
        <v>133</v>
      </c>
      <c r="O4" s="122">
        <f t="shared" si="0"/>
        <v>222.22222222222223</v>
      </c>
      <c r="P4" s="119">
        <v>9</v>
      </c>
      <c r="Q4" s="103">
        <v>2000</v>
      </c>
    </row>
    <row r="5" spans="1:17" x14ac:dyDescent="0.4">
      <c r="A5" s="55" t="s">
        <v>7</v>
      </c>
      <c r="B5" s="160">
        <f>IF(B$2=0,0,B$4/B$2)</f>
        <v>-6.6111111111111116</v>
      </c>
      <c r="C5" s="161"/>
      <c r="E5" s="63" t="s">
        <v>172</v>
      </c>
      <c r="F5" s="60" t="s">
        <v>173</v>
      </c>
      <c r="G5" s="47">
        <v>10</v>
      </c>
      <c r="H5" s="133">
        <f>IF(B$17=0,0,G5/B$17)</f>
        <v>0.47619047619047616</v>
      </c>
      <c r="I5" s="94">
        <v>3</v>
      </c>
      <c r="K5" s="38">
        <v>3</v>
      </c>
      <c r="L5" s="99">
        <v>-8.3000000000000007</v>
      </c>
      <c r="N5" s="115" t="s">
        <v>134</v>
      </c>
      <c r="O5" s="122">
        <f t="shared" si="0"/>
        <v>-2266.6666666666665</v>
      </c>
      <c r="P5" s="119">
        <v>9</v>
      </c>
      <c r="Q5" s="103">
        <v>-20400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69</v>
      </c>
      <c r="F6" s="60" t="s">
        <v>12</v>
      </c>
      <c r="G6" s="47">
        <v>7</v>
      </c>
      <c r="H6" s="133">
        <f>IF(B$17=0,0,G6/B$17)</f>
        <v>0.33333333333333331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-311.11111111111109</v>
      </c>
      <c r="P6" s="119">
        <v>9</v>
      </c>
      <c r="Q6" s="103">
        <v>-2800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7</v>
      </c>
      <c r="H7" s="133">
        <f>IF(B$17=0,0,G7/B$17)</f>
        <v>0.33333333333333331</v>
      </c>
      <c r="I7" s="94">
        <v>3</v>
      </c>
      <c r="K7" s="38">
        <v>5</v>
      </c>
      <c r="L7" s="99">
        <v>-55.8</v>
      </c>
      <c r="N7" s="116" t="s">
        <v>136</v>
      </c>
      <c r="O7" s="123">
        <f t="shared" si="0"/>
        <v>-214.28571428571428</v>
      </c>
      <c r="P7" s="120">
        <v>7</v>
      </c>
      <c r="Q7" s="104">
        <v>-1500</v>
      </c>
    </row>
    <row r="8" spans="1:17" x14ac:dyDescent="0.4">
      <c r="A8" s="55" t="s">
        <v>3</v>
      </c>
      <c r="B8" s="47">
        <v>3</v>
      </c>
      <c r="C8" s="39">
        <f t="shared" si="1"/>
        <v>0.33333333333333331</v>
      </c>
      <c r="E8" s="63" t="s">
        <v>68</v>
      </c>
      <c r="F8" s="60" t="s">
        <v>24</v>
      </c>
      <c r="G8" s="47">
        <v>6</v>
      </c>
      <c r="H8" s="133">
        <f>IF(B$17=0,0,G8/B$17)</f>
        <v>0.2857142857142857</v>
      </c>
      <c r="I8" s="94">
        <v>3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0.33333333333333331</v>
      </c>
      <c r="E9" s="63" t="s">
        <v>66</v>
      </c>
      <c r="F9" s="60" t="s">
        <v>22</v>
      </c>
      <c r="G9" s="47">
        <v>4</v>
      </c>
      <c r="H9" s="133">
        <f>IF(B$17=0,0,G9/B$17)</f>
        <v>0.19047619047619047</v>
      </c>
      <c r="I9" s="94">
        <v>2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3</v>
      </c>
      <c r="H10" s="133">
        <f>IF(B$17=0,0,G10/B$17)</f>
        <v>0.14285714285714285</v>
      </c>
      <c r="I10" s="94">
        <v>2</v>
      </c>
      <c r="K10" s="38">
        <v>8</v>
      </c>
      <c r="L10" s="99">
        <v>-76.900000000000006</v>
      </c>
      <c r="N10" s="114" t="s">
        <v>163</v>
      </c>
      <c r="O10" s="124">
        <f>IF(P10=0,0,Q10/P10)</f>
        <v>-5.333333333333333</v>
      </c>
      <c r="P10" s="118">
        <v>3</v>
      </c>
      <c r="Q10" s="106">
        <v>-16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3</v>
      </c>
      <c r="H11" s="133">
        <f>IF(B$17=0,0,G11/B$17)</f>
        <v>0.14285714285714285</v>
      </c>
      <c r="I11" s="94">
        <v>3</v>
      </c>
      <c r="K11" s="38">
        <v>9</v>
      </c>
      <c r="L11" s="99">
        <v>-59.500000000000007</v>
      </c>
      <c r="N11" s="115" t="s">
        <v>164</v>
      </c>
      <c r="O11" s="125">
        <f>IF(P11=0,0,Q11/P11)</f>
        <v>-26.299999999999997</v>
      </c>
      <c r="P11" s="119">
        <v>2</v>
      </c>
      <c r="Q11" s="107">
        <v>-52.599999999999994</v>
      </c>
    </row>
    <row r="12" spans="1:17" x14ac:dyDescent="0.4">
      <c r="A12" s="57" t="s">
        <v>159</v>
      </c>
      <c r="B12" s="49">
        <v>2</v>
      </c>
      <c r="C12" s="42">
        <f t="shared" si="1"/>
        <v>0.22222222222222221</v>
      </c>
      <c r="E12" s="63" t="s">
        <v>84</v>
      </c>
      <c r="F12" s="60" t="s">
        <v>39</v>
      </c>
      <c r="G12" s="47">
        <v>2</v>
      </c>
      <c r="H12" s="133">
        <f>IF(B$17=0,0,G12/B$17)</f>
        <v>9.5238095238095233E-2</v>
      </c>
      <c r="I12" s="94">
        <v>3</v>
      </c>
      <c r="N12" s="116" t="s">
        <v>165</v>
      </c>
      <c r="O12" s="126">
        <f>IF(P12=0,0,Q12/P12)</f>
        <v>2.2749999999999995</v>
      </c>
      <c r="P12" s="120">
        <v>4</v>
      </c>
      <c r="Q12" s="108">
        <v>9.0999999999999979</v>
      </c>
    </row>
    <row r="13" spans="1:17" x14ac:dyDescent="0.4">
      <c r="A13" s="58" t="s">
        <v>122</v>
      </c>
      <c r="B13" s="50">
        <v>21</v>
      </c>
      <c r="C13" s="44">
        <f>IF(B$3=0,0,B13/B$3)</f>
        <v>0.2413793103448276</v>
      </c>
      <c r="E13" s="63" t="s">
        <v>82</v>
      </c>
      <c r="F13" s="60" t="s">
        <v>37</v>
      </c>
      <c r="G13" s="47">
        <v>1</v>
      </c>
      <c r="H13" s="133">
        <f>IF(B$17=0,0,G13/B$17)</f>
        <v>4.7619047619047616E-2</v>
      </c>
      <c r="I13" s="94">
        <v>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</v>
      </c>
      <c r="C14" s="39">
        <f>IF(B$3=0,0,B14/B$3)</f>
        <v>0.26436781609195403</v>
      </c>
      <c r="E14" s="63" t="s">
        <v>90</v>
      </c>
      <c r="F14" s="60" t="s">
        <v>45</v>
      </c>
      <c r="G14" s="47">
        <v>1</v>
      </c>
      <c r="H14" s="133">
        <f>IF(B$17=0,0,G14/B$17)</f>
        <v>4.7619047619047616E-2</v>
      </c>
      <c r="I14" s="94">
        <v>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11</v>
      </c>
      <c r="C15" s="37">
        <f>IF(B$13=0,0,B15/B$13)</f>
        <v>0.52380952380952384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6</v>
      </c>
      <c r="C16" s="37">
        <f>IF(B$14=0,0,B16/B$14)</f>
        <v>0.2608695652173913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128</v>
      </c>
      <c r="O16" s="125">
        <f>IF(P16=0,0,Q16/P16)</f>
        <v>-3.7875000000000001</v>
      </c>
      <c r="P16" s="119">
        <v>8</v>
      </c>
      <c r="Q16" s="107">
        <v>-30.3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0.2413793103448276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  <c r="N17" s="115" t="s">
        <v>127</v>
      </c>
      <c r="O17" s="125">
        <f>IF(P17=0,0,Q17/P17)</f>
        <v>-16.087500000000002</v>
      </c>
      <c r="P17" s="119">
        <v>8</v>
      </c>
      <c r="Q17" s="107">
        <v>-128.70000000000002</v>
      </c>
    </row>
    <row r="18" spans="1:17" x14ac:dyDescent="0.4">
      <c r="A18" s="55" t="s">
        <v>12</v>
      </c>
      <c r="B18" s="47">
        <v>11</v>
      </c>
      <c r="C18" s="39">
        <f>IF(B$17=0,0,B18/B$17)</f>
        <v>0.52380952380952384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-35.9</v>
      </c>
      <c r="P18" s="119">
        <v>1</v>
      </c>
      <c r="Q18" s="107">
        <v>-35.9</v>
      </c>
    </row>
    <row r="19" spans="1:17" x14ac:dyDescent="0.4">
      <c r="A19" s="55" t="s">
        <v>11</v>
      </c>
      <c r="B19" s="47">
        <v>10</v>
      </c>
      <c r="C19" s="39">
        <f>IF(B$17=0,0,B19/B$17)</f>
        <v>0.47619047619047616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3</v>
      </c>
    </row>
    <row r="20" spans="1:17" x14ac:dyDescent="0.4">
      <c r="A20" s="55" t="s">
        <v>13</v>
      </c>
      <c r="B20" s="47">
        <v>17</v>
      </c>
      <c r="C20" s="39">
        <f>IF(B$3=0,0,B20/B$3)</f>
        <v>0.19540229885057472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3</v>
      </c>
    </row>
    <row r="21" spans="1:17" x14ac:dyDescent="0.4">
      <c r="A21" s="55" t="s">
        <v>170</v>
      </c>
      <c r="B21" s="47">
        <v>3</v>
      </c>
      <c r="C21" s="135">
        <v>2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3</v>
      </c>
    </row>
    <row r="22" spans="1:17" x14ac:dyDescent="0.4">
      <c r="A22" s="55" t="s">
        <v>171</v>
      </c>
      <c r="B22" s="47">
        <v>17</v>
      </c>
      <c r="C22" s="135">
        <v>3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7576.1904761904761</v>
      </c>
      <c r="C23" s="41">
        <v>159100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-7552.9411764705883</v>
      </c>
      <c r="C24" s="45">
        <v>-128400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141</v>
      </c>
      <c r="B25" s="148">
        <v>3</v>
      </c>
      <c r="C25" s="149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6">
        <v>49500</v>
      </c>
      <c r="C26" s="147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1</v>
      </c>
      <c r="C27" s="42">
        <f>IF(B$3=0,0,B27/B$3)</f>
        <v>1.1494252873563218E-2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5F1D-F3B9-486F-83EC-74DEB4BFC46A}">
  <sheetPr codeName="Sheet9"/>
  <dimension ref="A1:Q52"/>
  <sheetViews>
    <sheetView showGridLines="0" zoomScaleNormal="100" workbookViewId="0">
      <selection activeCell="B7" sqref="B7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127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10</v>
      </c>
      <c r="C2" s="155"/>
      <c r="E2" s="62" t="s">
        <v>67</v>
      </c>
      <c r="F2" s="59" t="s">
        <v>23</v>
      </c>
      <c r="G2" s="46">
        <v>17</v>
      </c>
      <c r="H2" s="132">
        <f>IF(B$17=0,0,G2/B$17)</f>
        <v>0.5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5310</v>
      </c>
      <c r="P2" s="118">
        <v>10</v>
      </c>
      <c r="Q2" s="102">
        <v>53100</v>
      </c>
    </row>
    <row r="3" spans="1:17" x14ac:dyDescent="0.4">
      <c r="A3" s="55" t="s">
        <v>8</v>
      </c>
      <c r="B3" s="156">
        <v>97</v>
      </c>
      <c r="C3" s="157"/>
      <c r="E3" s="63" t="s">
        <v>65</v>
      </c>
      <c r="F3" s="60" t="s">
        <v>21</v>
      </c>
      <c r="G3" s="47">
        <v>15</v>
      </c>
      <c r="H3" s="133">
        <f>IF(B$17=0,0,G3/B$17)</f>
        <v>0.44117647058823528</v>
      </c>
      <c r="I3" s="94">
        <v>7</v>
      </c>
      <c r="K3" s="38">
        <v>1</v>
      </c>
      <c r="L3" s="99">
        <v>50.2</v>
      </c>
      <c r="N3" s="115" t="s">
        <v>132</v>
      </c>
      <c r="O3" s="122">
        <f t="shared" si="0"/>
        <v>-700</v>
      </c>
      <c r="P3" s="119">
        <v>10</v>
      </c>
      <c r="Q3" s="103">
        <v>-7000</v>
      </c>
    </row>
    <row r="4" spans="1:17" x14ac:dyDescent="0.4">
      <c r="A4" s="55" t="s">
        <v>6</v>
      </c>
      <c r="B4" s="158">
        <v>158.19999999999999</v>
      </c>
      <c r="C4" s="159"/>
      <c r="E4" s="63" t="s">
        <v>73</v>
      </c>
      <c r="F4" s="60" t="s">
        <v>28</v>
      </c>
      <c r="G4" s="47">
        <v>15</v>
      </c>
      <c r="H4" s="133">
        <f>IF(B$17=0,0,G4/B$17)</f>
        <v>0.44117647058823528</v>
      </c>
      <c r="I4" s="94">
        <v>6</v>
      </c>
      <c r="K4" s="38">
        <v>2</v>
      </c>
      <c r="L4" s="99">
        <v>14.400000000000006</v>
      </c>
      <c r="N4" s="115" t="s">
        <v>133</v>
      </c>
      <c r="O4" s="122">
        <f t="shared" si="0"/>
        <v>-1180</v>
      </c>
      <c r="P4" s="119">
        <v>10</v>
      </c>
      <c r="Q4" s="103">
        <v>-11800</v>
      </c>
    </row>
    <row r="5" spans="1:17" x14ac:dyDescent="0.4">
      <c r="A5" s="55" t="s">
        <v>7</v>
      </c>
      <c r="B5" s="160">
        <f>IF(B$2=0,0,B$4/B$2)</f>
        <v>15.819999999999999</v>
      </c>
      <c r="C5" s="161"/>
      <c r="E5" s="63" t="s">
        <v>68</v>
      </c>
      <c r="F5" s="60" t="s">
        <v>24</v>
      </c>
      <c r="G5" s="47">
        <v>14</v>
      </c>
      <c r="H5" s="133">
        <f>IF(B$17=0,0,G5/B$17)</f>
        <v>0.41176470588235292</v>
      </c>
      <c r="I5" s="94">
        <v>2</v>
      </c>
      <c r="K5" s="38">
        <v>3</v>
      </c>
      <c r="L5" s="99">
        <v>40.400000000000006</v>
      </c>
      <c r="N5" s="115" t="s">
        <v>134</v>
      </c>
      <c r="O5" s="122">
        <f t="shared" si="0"/>
        <v>1950</v>
      </c>
      <c r="P5" s="119">
        <v>10</v>
      </c>
      <c r="Q5" s="103">
        <v>19500</v>
      </c>
    </row>
    <row r="6" spans="1:17" x14ac:dyDescent="0.4">
      <c r="A6" s="55" t="s">
        <v>1</v>
      </c>
      <c r="B6" s="150">
        <f>IF(B$2=0,0,(B$7*1+B$8*2+B$9*3)/B$2)</f>
        <v>1.7</v>
      </c>
      <c r="C6" s="151"/>
      <c r="E6" s="63" t="s">
        <v>69</v>
      </c>
      <c r="F6" s="60" t="s">
        <v>12</v>
      </c>
      <c r="G6" s="47">
        <v>11</v>
      </c>
      <c r="H6" s="133">
        <f>IF(B$17=0,0,G6/B$17)</f>
        <v>0.3235294117647059</v>
      </c>
      <c r="I6" s="94">
        <v>4</v>
      </c>
      <c r="K6" s="38">
        <v>4</v>
      </c>
      <c r="L6" s="99">
        <v>101.60000000000001</v>
      </c>
      <c r="N6" s="115" t="s">
        <v>135</v>
      </c>
      <c r="O6" s="122">
        <f t="shared" si="0"/>
        <v>2820</v>
      </c>
      <c r="P6" s="119">
        <v>10</v>
      </c>
      <c r="Q6" s="103">
        <v>28200</v>
      </c>
    </row>
    <row r="7" spans="1:17" x14ac:dyDescent="0.4">
      <c r="A7" s="55" t="s">
        <v>2</v>
      </c>
      <c r="B7" s="47">
        <v>6</v>
      </c>
      <c r="C7" s="39">
        <f t="shared" ref="C7:C12" si="1">IF(B$2=0,0,B7/B$2)</f>
        <v>0.6</v>
      </c>
      <c r="E7" s="63" t="s">
        <v>172</v>
      </c>
      <c r="F7" s="60" t="s">
        <v>173</v>
      </c>
      <c r="G7" s="47">
        <v>10</v>
      </c>
      <c r="H7" s="133">
        <f>IF(B$17=0,0,G7/B$17)</f>
        <v>0.29411764705882354</v>
      </c>
      <c r="I7" s="94">
        <v>6</v>
      </c>
      <c r="K7" s="38">
        <v>5</v>
      </c>
      <c r="L7" s="99">
        <v>99.9</v>
      </c>
      <c r="N7" s="116" t="s">
        <v>136</v>
      </c>
      <c r="O7" s="123">
        <f t="shared" si="0"/>
        <v>6250</v>
      </c>
      <c r="P7" s="120">
        <v>8</v>
      </c>
      <c r="Q7" s="104">
        <v>50000</v>
      </c>
    </row>
    <row r="8" spans="1:17" x14ac:dyDescent="0.4">
      <c r="A8" s="55" t="s">
        <v>3</v>
      </c>
      <c r="B8" s="47">
        <v>1</v>
      </c>
      <c r="C8" s="39">
        <f t="shared" si="1"/>
        <v>0.1</v>
      </c>
      <c r="E8" s="63" t="s">
        <v>70</v>
      </c>
      <c r="F8" s="60" t="s">
        <v>25</v>
      </c>
      <c r="G8" s="47">
        <v>5</v>
      </c>
      <c r="H8" s="133">
        <f>IF(B$17=0,0,G8/B$17)</f>
        <v>0.14705882352941177</v>
      </c>
      <c r="I8" s="94">
        <v>6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0.3</v>
      </c>
      <c r="E9" s="63" t="s">
        <v>90</v>
      </c>
      <c r="F9" s="60" t="s">
        <v>45</v>
      </c>
      <c r="G9" s="47">
        <v>4</v>
      </c>
      <c r="H9" s="133">
        <f>IF(B$17=0,0,G9/B$17)</f>
        <v>0.11764705882352941</v>
      </c>
      <c r="I9" s="94">
        <v>3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66</v>
      </c>
      <c r="F10" s="60" t="s">
        <v>22</v>
      </c>
      <c r="G10" s="47">
        <v>3</v>
      </c>
      <c r="H10" s="133">
        <f>IF(B$17=0,0,G10/B$17)</f>
        <v>8.8235294117647065E-2</v>
      </c>
      <c r="I10" s="94">
        <v>5</v>
      </c>
      <c r="K10" s="38">
        <v>8</v>
      </c>
      <c r="L10" s="99">
        <v>148.1</v>
      </c>
      <c r="N10" s="114" t="s">
        <v>163</v>
      </c>
      <c r="O10" s="124">
        <f>IF(P10=0,0,Q10/P10)</f>
        <v>13.225000000000001</v>
      </c>
      <c r="P10" s="118">
        <v>4</v>
      </c>
      <c r="Q10" s="106">
        <v>52.900000000000006</v>
      </c>
    </row>
    <row r="11" spans="1:17" x14ac:dyDescent="0.4">
      <c r="A11" s="56" t="s">
        <v>139</v>
      </c>
      <c r="B11" s="48">
        <v>2</v>
      </c>
      <c r="C11" s="40">
        <f t="shared" si="1"/>
        <v>0.2</v>
      </c>
      <c r="E11" s="63" t="s">
        <v>72</v>
      </c>
      <c r="F11" s="60" t="s">
        <v>27</v>
      </c>
      <c r="G11" s="47">
        <v>3</v>
      </c>
      <c r="H11" s="133">
        <f>IF(B$17=0,0,G11/B$17)</f>
        <v>8.8235294117647065E-2</v>
      </c>
      <c r="I11" s="94">
        <v>5</v>
      </c>
      <c r="K11" s="38">
        <v>9</v>
      </c>
      <c r="L11" s="99">
        <v>180.89999999999998</v>
      </c>
      <c r="N11" s="115" t="s">
        <v>164</v>
      </c>
      <c r="O11" s="125">
        <f>IF(P11=0,0,Q11/P11)</f>
        <v>15.5</v>
      </c>
      <c r="P11" s="119">
        <v>5</v>
      </c>
      <c r="Q11" s="107">
        <v>77.5</v>
      </c>
    </row>
    <row r="12" spans="1:17" x14ac:dyDescent="0.4">
      <c r="A12" s="57" t="s">
        <v>159</v>
      </c>
      <c r="B12" s="49">
        <v>1</v>
      </c>
      <c r="C12" s="42">
        <f t="shared" si="1"/>
        <v>0.1</v>
      </c>
      <c r="E12" s="63" t="s">
        <v>87</v>
      </c>
      <c r="F12" s="60" t="s">
        <v>42</v>
      </c>
      <c r="G12" s="47">
        <v>2</v>
      </c>
      <c r="H12" s="133">
        <f>IF(B$17=0,0,G12/B$17)</f>
        <v>5.8823529411764705E-2</v>
      </c>
      <c r="I12" s="94">
        <v>2</v>
      </c>
      <c r="K12" s="38">
        <v>10</v>
      </c>
      <c r="L12" s="99">
        <v>158.19999999999999</v>
      </c>
      <c r="N12" s="116" t="s">
        <v>165</v>
      </c>
      <c r="O12" s="126">
        <f>IF(P12=0,0,Q12/P12)</f>
        <v>27.8</v>
      </c>
      <c r="P12" s="120">
        <v>1</v>
      </c>
      <c r="Q12" s="108">
        <v>27.8</v>
      </c>
    </row>
    <row r="13" spans="1:17" x14ac:dyDescent="0.4">
      <c r="A13" s="58" t="s">
        <v>122</v>
      </c>
      <c r="B13" s="50">
        <v>26</v>
      </c>
      <c r="C13" s="44">
        <f>IF(B$3=0,0,B13/B$3)</f>
        <v>0.26804123711340205</v>
      </c>
      <c r="E13" s="63" t="s">
        <v>71</v>
      </c>
      <c r="F13" s="60" t="s">
        <v>26</v>
      </c>
      <c r="G13" s="47">
        <v>1</v>
      </c>
      <c r="H13" s="133">
        <f>IF(B$17=0,0,G13/B$17)</f>
        <v>2.9411764705882353E-2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0.20618556701030927</v>
      </c>
      <c r="E14" s="63" t="s">
        <v>78</v>
      </c>
      <c r="F14" s="60" t="s">
        <v>33</v>
      </c>
      <c r="G14" s="47">
        <v>1</v>
      </c>
      <c r="H14" s="133">
        <f>IF(B$17=0,0,G14/B$17)</f>
        <v>2.9411764705882353E-2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0.61538461538461542</v>
      </c>
      <c r="E15" s="63" t="s">
        <v>79</v>
      </c>
      <c r="F15" s="60" t="s">
        <v>34</v>
      </c>
      <c r="G15" s="47">
        <v>1</v>
      </c>
      <c r="H15" s="133">
        <f>IF(B$17=0,0,G15/B$17)</f>
        <v>2.9411764705882353E-2</v>
      </c>
      <c r="I15" s="94">
        <v>1</v>
      </c>
      <c r="N15" s="114" t="s">
        <v>179</v>
      </c>
      <c r="O15" s="124">
        <f>IF(P15=0,0,Q15/P15)</f>
        <v>100</v>
      </c>
      <c r="P15" s="118">
        <v>1</v>
      </c>
      <c r="Q15" s="106">
        <v>100</v>
      </c>
    </row>
    <row r="16" spans="1:17" x14ac:dyDescent="0.4">
      <c r="A16" s="54" t="s">
        <v>125</v>
      </c>
      <c r="B16" s="46">
        <v>10</v>
      </c>
      <c r="C16" s="37">
        <f>IF(B$14=0,0,B16/B$14)</f>
        <v>0.5</v>
      </c>
      <c r="E16" s="63" t="s">
        <v>82</v>
      </c>
      <c r="F16" s="60" t="s">
        <v>37</v>
      </c>
      <c r="G16" s="47">
        <v>1</v>
      </c>
      <c r="H16" s="133">
        <f>IF(B$17=0,0,G16/B$17)</f>
        <v>2.9411764705882353E-2</v>
      </c>
      <c r="I16" s="94">
        <v>3</v>
      </c>
      <c r="N16" s="115" t="s">
        <v>182</v>
      </c>
      <c r="O16" s="125">
        <f>IF(P16=0,0,Q16/P16)</f>
        <v>27.7</v>
      </c>
      <c r="P16" s="119">
        <v>1</v>
      </c>
      <c r="Q16" s="107">
        <v>27.7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0.35051546391752575</v>
      </c>
      <c r="E17" s="63" t="s">
        <v>84</v>
      </c>
      <c r="F17" s="60" t="s">
        <v>39</v>
      </c>
      <c r="G17" s="47">
        <v>1</v>
      </c>
      <c r="H17" s="133">
        <f>IF(B$17=0,0,G17/B$17)</f>
        <v>2.9411764705882353E-2</v>
      </c>
      <c r="I17" s="94">
        <v>6</v>
      </c>
      <c r="N17" s="115" t="s">
        <v>180</v>
      </c>
      <c r="O17" s="125">
        <f>IF(P17=0,0,Q17/P17)</f>
        <v>22.299999999999997</v>
      </c>
      <c r="P17" s="119">
        <v>1</v>
      </c>
      <c r="Q17" s="107">
        <v>22.299999999999997</v>
      </c>
    </row>
    <row r="18" spans="1:17" x14ac:dyDescent="0.4">
      <c r="A18" s="55" t="s">
        <v>12</v>
      </c>
      <c r="B18" s="47">
        <v>16</v>
      </c>
      <c r="C18" s="39">
        <f>IF(B$17=0,0,B18/B$17)</f>
        <v>0.47058823529411764</v>
      </c>
      <c r="E18" s="63" t="s">
        <v>85</v>
      </c>
      <c r="F18" s="60" t="s">
        <v>40</v>
      </c>
      <c r="G18" s="47">
        <v>1</v>
      </c>
      <c r="H18" s="133">
        <f>IF(B$17=0,0,G18/B$17)</f>
        <v>2.9411764705882353E-2</v>
      </c>
      <c r="I18" s="94">
        <v>1</v>
      </c>
      <c r="N18" s="115" t="s">
        <v>128</v>
      </c>
      <c r="O18" s="125">
        <f>IF(P18=0,0,Q18/P18)</f>
        <v>21.766666666666666</v>
      </c>
      <c r="P18" s="119">
        <v>9</v>
      </c>
      <c r="Q18" s="107">
        <v>195.9</v>
      </c>
    </row>
    <row r="19" spans="1:17" x14ac:dyDescent="0.4">
      <c r="A19" s="55" t="s">
        <v>11</v>
      </c>
      <c r="B19" s="47">
        <v>18</v>
      </c>
      <c r="C19" s="39">
        <f>IF(B$17=0,0,B19/B$17)</f>
        <v>0.52941176470588236</v>
      </c>
      <c r="E19" s="63" t="s">
        <v>96</v>
      </c>
      <c r="F19" s="60" t="s">
        <v>51</v>
      </c>
      <c r="G19" s="47">
        <v>1</v>
      </c>
      <c r="H19" s="133">
        <f>IF(B$17=0,0,G19/B$17)</f>
        <v>2.9411764705882353E-2</v>
      </c>
      <c r="I19" s="94">
        <v>1</v>
      </c>
      <c r="N19" s="115" t="s">
        <v>167</v>
      </c>
      <c r="O19" s="125">
        <f>IF(P19=0,0,Q19/P19)</f>
        <v>16.087499999999999</v>
      </c>
      <c r="P19" s="119">
        <v>8</v>
      </c>
      <c r="Q19" s="107">
        <v>128.69999999999999</v>
      </c>
    </row>
    <row r="20" spans="1:17" x14ac:dyDescent="0.4">
      <c r="A20" s="55" t="s">
        <v>13</v>
      </c>
      <c r="B20" s="47">
        <v>14</v>
      </c>
      <c r="C20" s="39">
        <f>IF(B$3=0,0,B20/B$3)</f>
        <v>0.14432989690721648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27</v>
      </c>
      <c r="C22" s="135">
        <v>1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7705.8823529411766</v>
      </c>
      <c r="C23" s="41">
        <v>262000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-4935.7142857142853</v>
      </c>
      <c r="C24" s="45">
        <v>-69100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141</v>
      </c>
      <c r="B25" s="148">
        <v>6</v>
      </c>
      <c r="C25" s="149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6">
        <v>86200</v>
      </c>
      <c r="C26" s="147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0957B-A844-46E1-B4B8-F7D204D5BB54}">
  <sheetPr codeName="Sheet11"/>
  <dimension ref="A1:Q52"/>
  <sheetViews>
    <sheetView showGridLines="0" zoomScaleNormal="100" workbookViewId="0">
      <selection activeCell="P16" sqref="P16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128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10</v>
      </c>
      <c r="C2" s="155"/>
      <c r="E2" s="62" t="s">
        <v>67</v>
      </c>
      <c r="F2" s="59" t="s">
        <v>23</v>
      </c>
      <c r="G2" s="46">
        <v>25</v>
      </c>
      <c r="H2" s="132">
        <f>IF(B$17=0,0,G2/B$17)</f>
        <v>0.86206896551724133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2140</v>
      </c>
      <c r="P2" s="118">
        <v>10</v>
      </c>
      <c r="Q2" s="102">
        <v>21400</v>
      </c>
    </row>
    <row r="3" spans="1:17" x14ac:dyDescent="0.4">
      <c r="A3" s="55" t="s">
        <v>8</v>
      </c>
      <c r="B3" s="156">
        <v>94</v>
      </c>
      <c r="C3" s="157"/>
      <c r="E3" s="63" t="s">
        <v>73</v>
      </c>
      <c r="F3" s="60" t="s">
        <v>28</v>
      </c>
      <c r="G3" s="47">
        <v>16</v>
      </c>
      <c r="H3" s="133">
        <f>IF(B$17=0,0,G3/B$17)</f>
        <v>0.55172413793103448</v>
      </c>
      <c r="I3" s="94">
        <v>4</v>
      </c>
      <c r="K3" s="38">
        <v>1</v>
      </c>
      <c r="L3" s="99">
        <v>-45.6</v>
      </c>
      <c r="N3" s="115" t="s">
        <v>132</v>
      </c>
      <c r="O3" s="122">
        <f t="shared" si="0"/>
        <v>-480</v>
      </c>
      <c r="P3" s="119">
        <v>10</v>
      </c>
      <c r="Q3" s="103">
        <v>-4800</v>
      </c>
    </row>
    <row r="4" spans="1:17" x14ac:dyDescent="0.4">
      <c r="A4" s="55" t="s">
        <v>6</v>
      </c>
      <c r="B4" s="158">
        <v>-78.399999999999991</v>
      </c>
      <c r="C4" s="159"/>
      <c r="E4" s="63" t="s">
        <v>65</v>
      </c>
      <c r="F4" s="60" t="s">
        <v>21</v>
      </c>
      <c r="G4" s="47">
        <v>13</v>
      </c>
      <c r="H4" s="133">
        <f>IF(B$17=0,0,G4/B$17)</f>
        <v>0.44827586206896552</v>
      </c>
      <c r="I4" s="94">
        <v>6</v>
      </c>
      <c r="K4" s="38">
        <v>2</v>
      </c>
      <c r="L4" s="99">
        <v>-34.299999999999997</v>
      </c>
      <c r="N4" s="115" t="s">
        <v>133</v>
      </c>
      <c r="O4" s="122">
        <f t="shared" si="0"/>
        <v>-810</v>
      </c>
      <c r="P4" s="119">
        <v>10</v>
      </c>
      <c r="Q4" s="103">
        <v>-8100</v>
      </c>
    </row>
    <row r="5" spans="1:17" x14ac:dyDescent="0.4">
      <c r="A5" s="55" t="s">
        <v>7</v>
      </c>
      <c r="B5" s="160">
        <f>IF(B$2=0,0,B$4/B$2)</f>
        <v>-7.839999999999999</v>
      </c>
      <c r="C5" s="161"/>
      <c r="E5" s="63" t="s">
        <v>172</v>
      </c>
      <c r="F5" s="60" t="s">
        <v>173</v>
      </c>
      <c r="G5" s="47">
        <v>12</v>
      </c>
      <c r="H5" s="133">
        <f>IF(B$17=0,0,G5/B$17)</f>
        <v>0.41379310344827586</v>
      </c>
      <c r="I5" s="94">
        <v>4</v>
      </c>
      <c r="K5" s="38">
        <v>3</v>
      </c>
      <c r="L5" s="99">
        <v>-58.599999999999994</v>
      </c>
      <c r="N5" s="115" t="s">
        <v>134</v>
      </c>
      <c r="O5" s="122">
        <f t="shared" si="0"/>
        <v>1170</v>
      </c>
      <c r="P5" s="119">
        <v>10</v>
      </c>
      <c r="Q5" s="103">
        <v>11700</v>
      </c>
    </row>
    <row r="6" spans="1:17" x14ac:dyDescent="0.4">
      <c r="A6" s="55" t="s">
        <v>1</v>
      </c>
      <c r="B6" s="150">
        <f>IF(B$2=0,0,(B$7*1+B$8*2+B$9*3)/B$2)</f>
        <v>2.2000000000000002</v>
      </c>
      <c r="C6" s="151"/>
      <c r="E6" s="63" t="s">
        <v>69</v>
      </c>
      <c r="F6" s="60" t="s">
        <v>12</v>
      </c>
      <c r="G6" s="47">
        <v>7</v>
      </c>
      <c r="H6" s="133">
        <f>IF(B$17=0,0,G6/B$17)</f>
        <v>0.2413793103448276</v>
      </c>
      <c r="I6" s="94">
        <v>7</v>
      </c>
      <c r="K6" s="38">
        <v>4</v>
      </c>
      <c r="L6" s="99">
        <v>-38.099999999999994</v>
      </c>
      <c r="N6" s="115" t="s">
        <v>135</v>
      </c>
      <c r="O6" s="122">
        <f t="shared" si="0"/>
        <v>-3000</v>
      </c>
      <c r="P6" s="119">
        <v>10</v>
      </c>
      <c r="Q6" s="103">
        <v>-30000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0.2</v>
      </c>
      <c r="E7" s="63" t="s">
        <v>70</v>
      </c>
      <c r="F7" s="60" t="s">
        <v>25</v>
      </c>
      <c r="G7" s="47">
        <v>6</v>
      </c>
      <c r="H7" s="133">
        <f>IF(B$17=0,0,G7/B$17)</f>
        <v>0.20689655172413793</v>
      </c>
      <c r="I7" s="94">
        <v>5</v>
      </c>
      <c r="K7" s="38">
        <v>5</v>
      </c>
      <c r="L7" s="99">
        <v>-11.299999999999994</v>
      </c>
      <c r="N7" s="116" t="s">
        <v>136</v>
      </c>
      <c r="O7" s="123">
        <f t="shared" si="0"/>
        <v>-5187.5</v>
      </c>
      <c r="P7" s="120">
        <v>8</v>
      </c>
      <c r="Q7" s="104">
        <v>-41500</v>
      </c>
    </row>
    <row r="8" spans="1:17" x14ac:dyDescent="0.4">
      <c r="A8" s="55" t="s">
        <v>3</v>
      </c>
      <c r="B8" s="47">
        <v>4</v>
      </c>
      <c r="C8" s="39">
        <f t="shared" si="1"/>
        <v>0.4</v>
      </c>
      <c r="E8" s="63" t="s">
        <v>68</v>
      </c>
      <c r="F8" s="60" t="s">
        <v>24</v>
      </c>
      <c r="G8" s="47">
        <v>5</v>
      </c>
      <c r="H8" s="133">
        <f>IF(B$17=0,0,G8/B$17)</f>
        <v>0.17241379310344829</v>
      </c>
      <c r="I8" s="94">
        <v>6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0.4</v>
      </c>
      <c r="E9" s="63" t="s">
        <v>87</v>
      </c>
      <c r="F9" s="60" t="s">
        <v>42</v>
      </c>
      <c r="G9" s="47">
        <v>3</v>
      </c>
      <c r="H9" s="133">
        <f>IF(B$17=0,0,G9/B$17)</f>
        <v>0.10344827586206896</v>
      </c>
      <c r="I9" s="94">
        <v>1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0.2</v>
      </c>
      <c r="E10" s="63" t="s">
        <v>90</v>
      </c>
      <c r="F10" s="60" t="s">
        <v>45</v>
      </c>
      <c r="G10" s="47">
        <v>3</v>
      </c>
      <c r="H10" s="133">
        <f>IF(B$17=0,0,G10/B$17)</f>
        <v>0.10344827586206896</v>
      </c>
      <c r="I10" s="94">
        <v>4</v>
      </c>
      <c r="K10" s="38">
        <v>8</v>
      </c>
      <c r="L10" s="99">
        <v>-56.79999999999999</v>
      </c>
      <c r="N10" s="114" t="s">
        <v>163</v>
      </c>
      <c r="O10" s="124">
        <f>IF(P10=0,0,Q10/P10)</f>
        <v>2.4</v>
      </c>
      <c r="P10" s="118">
        <v>1</v>
      </c>
      <c r="Q10" s="106">
        <v>2.4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66</v>
      </c>
      <c r="F11" s="60" t="s">
        <v>22</v>
      </c>
      <c r="G11" s="47">
        <v>1</v>
      </c>
      <c r="H11" s="133">
        <f>IF(B$17=0,0,G11/B$17)</f>
        <v>3.4482758620689655E-2</v>
      </c>
      <c r="I11" s="94">
        <v>6</v>
      </c>
      <c r="K11" s="38">
        <v>9</v>
      </c>
      <c r="L11" s="99">
        <v>-83.699999999999989</v>
      </c>
      <c r="N11" s="115" t="s">
        <v>164</v>
      </c>
      <c r="O11" s="125">
        <f>IF(P11=0,0,Q11/P11)</f>
        <v>-2.1249999999999991</v>
      </c>
      <c r="P11" s="119">
        <v>4</v>
      </c>
      <c r="Q11" s="107">
        <v>-8.4999999999999964</v>
      </c>
    </row>
    <row r="12" spans="1:17" x14ac:dyDescent="0.4">
      <c r="A12" s="57" t="s">
        <v>159</v>
      </c>
      <c r="B12" s="49">
        <v>1</v>
      </c>
      <c r="C12" s="42">
        <f t="shared" si="1"/>
        <v>0.1</v>
      </c>
      <c r="E12" s="63" t="s">
        <v>71</v>
      </c>
      <c r="F12" s="60" t="s">
        <v>26</v>
      </c>
      <c r="G12" s="47">
        <v>1</v>
      </c>
      <c r="H12" s="133">
        <f>IF(B$17=0,0,G12/B$17)</f>
        <v>3.4482758620689655E-2</v>
      </c>
      <c r="I12" s="94">
        <v>6</v>
      </c>
      <c r="K12" s="38">
        <v>10</v>
      </c>
      <c r="L12" s="99">
        <v>-78.399999999999991</v>
      </c>
      <c r="N12" s="116" t="s">
        <v>165</v>
      </c>
      <c r="O12" s="126">
        <f>IF(P12=0,0,Q12/P12)</f>
        <v>-14.459999999999999</v>
      </c>
      <c r="P12" s="120">
        <v>5</v>
      </c>
      <c r="Q12" s="108">
        <v>-72.3</v>
      </c>
    </row>
    <row r="13" spans="1:17" x14ac:dyDescent="0.4">
      <c r="A13" s="58" t="s">
        <v>122</v>
      </c>
      <c r="B13" s="50">
        <v>23</v>
      </c>
      <c r="C13" s="44">
        <f>IF(B$3=0,0,B13/B$3)</f>
        <v>0.24468085106382978</v>
      </c>
      <c r="E13" s="63" t="s">
        <v>72</v>
      </c>
      <c r="F13" s="60" t="s">
        <v>27</v>
      </c>
      <c r="G13" s="47">
        <v>1</v>
      </c>
      <c r="H13" s="133">
        <f>IF(B$17=0,0,G13/B$17)</f>
        <v>3.4482758620689655E-2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0.25531914893617019</v>
      </c>
      <c r="E14" s="63" t="s">
        <v>84</v>
      </c>
      <c r="F14" s="60" t="s">
        <v>39</v>
      </c>
      <c r="G14" s="47">
        <v>1</v>
      </c>
      <c r="H14" s="133">
        <f>IF(B$17=0,0,G14/B$17)</f>
        <v>3.4482758620689655E-2</v>
      </c>
      <c r="I14" s="94">
        <v>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13</v>
      </c>
      <c r="C15" s="37">
        <f>IF(B$13=0,0,B15/B$13)</f>
        <v>0.56521739130434778</v>
      </c>
      <c r="E15" s="63" t="s">
        <v>92</v>
      </c>
      <c r="F15" s="60" t="s">
        <v>47</v>
      </c>
      <c r="G15" s="47">
        <v>1</v>
      </c>
      <c r="H15" s="133">
        <f>IF(B$17=0,0,G15/B$17)</f>
        <v>3.4482758620689655E-2</v>
      </c>
      <c r="I15" s="94">
        <v>1</v>
      </c>
      <c r="N15" s="114" t="s">
        <v>167</v>
      </c>
      <c r="O15" s="124">
        <f>IF(P15=0,0,Q15/P15)</f>
        <v>3.7874999999999988</v>
      </c>
      <c r="P15" s="118">
        <v>8</v>
      </c>
      <c r="Q15" s="106">
        <v>30.29999999999999</v>
      </c>
    </row>
    <row r="16" spans="1:17" x14ac:dyDescent="0.4">
      <c r="A16" s="54" t="s">
        <v>125</v>
      </c>
      <c r="B16" s="46">
        <v>10</v>
      </c>
      <c r="C16" s="37">
        <f>IF(B$14=0,0,B16/B$14)</f>
        <v>0.41666666666666669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-21.766666666666666</v>
      </c>
      <c r="P16" s="119">
        <v>9</v>
      </c>
      <c r="Q16" s="107">
        <v>-195.89999999999998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0.30851063829787234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1</v>
      </c>
      <c r="N17" s="115" t="s">
        <v>182</v>
      </c>
      <c r="O17" s="125">
        <f>IF(P17=0,0,Q17/P17)</f>
        <v>-22.6</v>
      </c>
      <c r="P17" s="119">
        <v>1</v>
      </c>
      <c r="Q17" s="107">
        <v>-22.6</v>
      </c>
    </row>
    <row r="18" spans="1:17" x14ac:dyDescent="0.4">
      <c r="A18" s="55" t="s">
        <v>12</v>
      </c>
      <c r="B18" s="47">
        <v>9</v>
      </c>
      <c r="C18" s="39">
        <f>IF(B$17=0,0,B18/B$17)</f>
        <v>0.31034482758620691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-23.5</v>
      </c>
      <c r="P18" s="119">
        <v>2</v>
      </c>
      <c r="Q18" s="107">
        <v>-47</v>
      </c>
    </row>
    <row r="19" spans="1:17" x14ac:dyDescent="0.4">
      <c r="A19" s="55" t="s">
        <v>11</v>
      </c>
      <c r="B19" s="47">
        <v>20</v>
      </c>
      <c r="C19" s="39">
        <f>IF(B$17=0,0,B19/B$17)</f>
        <v>0.68965517241379315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19</v>
      </c>
      <c r="C20" s="39">
        <f>IF(B$3=0,0,B20/B$3)</f>
        <v>0.20212765957446807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3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3</v>
      </c>
    </row>
    <row r="22" spans="1:17" x14ac:dyDescent="0.4">
      <c r="A22" s="55" t="s">
        <v>171</v>
      </c>
      <c r="B22" s="47">
        <v>19</v>
      </c>
      <c r="C22" s="135">
        <v>19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7389.6551724137935</v>
      </c>
      <c r="C23" s="41">
        <v>214300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-8363.1578947368416</v>
      </c>
      <c r="C24" s="45">
        <v>-158900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141</v>
      </c>
      <c r="B25" s="148">
        <v>5</v>
      </c>
      <c r="C25" s="149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6">
        <v>51800</v>
      </c>
      <c r="C26" s="147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A1AB4-A646-4AB5-BD06-57A65339638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180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3</v>
      </c>
      <c r="C2" s="155"/>
      <c r="E2" s="62" t="s">
        <v>65</v>
      </c>
      <c r="F2" s="59" t="s">
        <v>21</v>
      </c>
      <c r="G2" s="46">
        <v>5</v>
      </c>
      <c r="H2" s="132">
        <f>IF(B$17=0,0,G2/B$17)</f>
        <v>0.625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-233.33333333333334</v>
      </c>
      <c r="P2" s="118">
        <v>3</v>
      </c>
      <c r="Q2" s="102">
        <v>-700</v>
      </c>
    </row>
    <row r="3" spans="1:17" x14ac:dyDescent="0.4">
      <c r="A3" s="55" t="s">
        <v>8</v>
      </c>
      <c r="B3" s="156">
        <v>30</v>
      </c>
      <c r="C3" s="157"/>
      <c r="E3" s="63" t="s">
        <v>67</v>
      </c>
      <c r="F3" s="60" t="s">
        <v>23</v>
      </c>
      <c r="G3" s="47">
        <v>4</v>
      </c>
      <c r="H3" s="133">
        <f>IF(B$17=0,0,G3/B$17)</f>
        <v>0.5</v>
      </c>
      <c r="I3" s="94">
        <v>5</v>
      </c>
      <c r="K3" s="38">
        <v>1</v>
      </c>
      <c r="L3" s="99">
        <v>-37.799999999999997</v>
      </c>
      <c r="N3" s="115" t="s">
        <v>132</v>
      </c>
      <c r="O3" s="122">
        <f t="shared" si="0"/>
        <v>3533.3333333333335</v>
      </c>
      <c r="P3" s="119">
        <v>3</v>
      </c>
      <c r="Q3" s="103">
        <v>10600</v>
      </c>
    </row>
    <row r="4" spans="1:17" x14ac:dyDescent="0.4">
      <c r="A4" s="55" t="s">
        <v>6</v>
      </c>
      <c r="B4" s="158">
        <v>-17.599999999999998</v>
      </c>
      <c r="C4" s="159"/>
      <c r="E4" s="63" t="s">
        <v>70</v>
      </c>
      <c r="F4" s="60" t="s">
        <v>25</v>
      </c>
      <c r="G4" s="47">
        <v>3</v>
      </c>
      <c r="H4" s="133">
        <f>IF(B$17=0,0,G4/B$17)</f>
        <v>0.375</v>
      </c>
      <c r="I4" s="94">
        <v>1</v>
      </c>
      <c r="K4" s="38">
        <v>2</v>
      </c>
      <c r="L4" s="99">
        <v>-30.099999999999998</v>
      </c>
      <c r="N4" s="115" t="s">
        <v>133</v>
      </c>
      <c r="O4" s="122">
        <f t="shared" si="0"/>
        <v>3733.3333333333335</v>
      </c>
      <c r="P4" s="119">
        <v>3</v>
      </c>
      <c r="Q4" s="103">
        <v>11200</v>
      </c>
    </row>
    <row r="5" spans="1:17" x14ac:dyDescent="0.4">
      <c r="A5" s="55" t="s">
        <v>7</v>
      </c>
      <c r="B5" s="160">
        <f>IF(B$2=0,0,B$4/B$2)</f>
        <v>-5.8666666666666663</v>
      </c>
      <c r="C5" s="161"/>
      <c r="E5" s="63" t="s">
        <v>68</v>
      </c>
      <c r="F5" s="60" t="s">
        <v>24</v>
      </c>
      <c r="G5" s="47">
        <v>2</v>
      </c>
      <c r="H5" s="133">
        <f>IF(B$17=0,0,G5/B$17)</f>
        <v>0.25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-233.33333333333334</v>
      </c>
      <c r="P5" s="119">
        <v>3</v>
      </c>
      <c r="Q5" s="103">
        <v>-700</v>
      </c>
    </row>
    <row r="6" spans="1:17" x14ac:dyDescent="0.4">
      <c r="A6" s="55" t="s">
        <v>1</v>
      </c>
      <c r="B6" s="150">
        <f>IF(B$2=0,0,(B$7*1+B$8*2+B$9*3)/B$2)</f>
        <v>2.3333333333333335</v>
      </c>
      <c r="C6" s="151"/>
      <c r="E6" s="63" t="s">
        <v>69</v>
      </c>
      <c r="F6" s="60" t="s">
        <v>12</v>
      </c>
      <c r="G6" s="47">
        <v>2</v>
      </c>
      <c r="H6" s="133">
        <f>IF(B$17=0,0,G6/B$17)</f>
        <v>0.25</v>
      </c>
      <c r="I6" s="94">
        <v>6</v>
      </c>
      <c r="N6" s="115" t="s">
        <v>135</v>
      </c>
      <c r="O6" s="122">
        <f t="shared" si="0"/>
        <v>-6900</v>
      </c>
      <c r="P6" s="119">
        <v>3</v>
      </c>
      <c r="Q6" s="103">
        <v>-20700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73</v>
      </c>
      <c r="F7" s="60" t="s">
        <v>28</v>
      </c>
      <c r="G7" s="47">
        <v>2</v>
      </c>
      <c r="H7" s="133">
        <f>IF(B$17=0,0,G7/B$17)</f>
        <v>0.25</v>
      </c>
      <c r="I7" s="94">
        <v>7</v>
      </c>
      <c r="N7" s="116" t="s">
        <v>136</v>
      </c>
      <c r="O7" s="123">
        <f t="shared" si="0"/>
        <v>-3150</v>
      </c>
      <c r="P7" s="120">
        <v>2</v>
      </c>
      <c r="Q7" s="104">
        <v>-6300</v>
      </c>
    </row>
    <row r="8" spans="1:17" x14ac:dyDescent="0.4">
      <c r="A8" s="55" t="s">
        <v>3</v>
      </c>
      <c r="B8" s="47">
        <v>2</v>
      </c>
      <c r="C8" s="39">
        <f t="shared" si="1"/>
        <v>0.66666666666666663</v>
      </c>
      <c r="E8" s="63" t="s">
        <v>172</v>
      </c>
      <c r="F8" s="60" t="s">
        <v>173</v>
      </c>
      <c r="G8" s="47">
        <v>2</v>
      </c>
      <c r="H8" s="133">
        <f>IF(B$17=0,0,G8/B$17)</f>
        <v>0.25</v>
      </c>
      <c r="I8" s="94">
        <v>7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0.33333333333333331</v>
      </c>
      <c r="E9" s="63" t="s">
        <v>71</v>
      </c>
      <c r="F9" s="60" t="s">
        <v>26</v>
      </c>
      <c r="G9" s="47">
        <v>1</v>
      </c>
      <c r="H9" s="133">
        <f>IF(B$17=0,0,G9/B$17)</f>
        <v>0.125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84</v>
      </c>
      <c r="F10" s="60" t="s">
        <v>39</v>
      </c>
      <c r="G10" s="47">
        <v>1</v>
      </c>
      <c r="H10" s="133">
        <f>IF(B$17=0,0,G10/B$17)</f>
        <v>0.125</v>
      </c>
      <c r="I10" s="94">
        <v>2</v>
      </c>
      <c r="N10" s="114" t="s">
        <v>163</v>
      </c>
      <c r="O10" s="124">
        <f>IF(P10=0,0,Q10/P10)</f>
        <v>-5.8666666666666663</v>
      </c>
      <c r="P10" s="118">
        <v>3</v>
      </c>
      <c r="Q10" s="106">
        <v>-17.599999999999998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90</v>
      </c>
      <c r="F11" s="60" t="s">
        <v>45</v>
      </c>
      <c r="G11" s="47">
        <v>1</v>
      </c>
      <c r="H11" s="133">
        <f>IF(B$17=0,0,G11/B$17)</f>
        <v>0.125</v>
      </c>
      <c r="I11" s="94">
        <v>2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7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8</v>
      </c>
      <c r="C13" s="44">
        <f>IF(B$3=0,0,B13/B$3)</f>
        <v>0.26666666666666666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</v>
      </c>
      <c r="C14" s="39">
        <f>IF(B$3=0,0,B14/B$3)</f>
        <v>0.23333333333333334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0.625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167</v>
      </c>
      <c r="O15" s="124">
        <f>IF(P15=0,0,Q15/P15)</f>
        <v>35.9</v>
      </c>
      <c r="P15" s="118">
        <v>1</v>
      </c>
      <c r="Q15" s="106">
        <v>35.9</v>
      </c>
    </row>
    <row r="16" spans="1:17" x14ac:dyDescent="0.4">
      <c r="A16" s="54" t="s">
        <v>125</v>
      </c>
      <c r="B16" s="46">
        <v>1</v>
      </c>
      <c r="C16" s="37">
        <f>IF(B$14=0,0,B16/B$14)</f>
        <v>0.14285714285714285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128</v>
      </c>
      <c r="O16" s="125">
        <f>IF(P16=0,0,Q16/P16)</f>
        <v>23.5</v>
      </c>
      <c r="P16" s="119">
        <v>2</v>
      </c>
      <c r="Q16" s="107">
        <v>47</v>
      </c>
    </row>
    <row r="17" spans="1:17" x14ac:dyDescent="0.4">
      <c r="A17" s="54" t="s">
        <v>10</v>
      </c>
      <c r="B17" s="46">
        <f>B19+B18</f>
        <v>8</v>
      </c>
      <c r="C17" s="37">
        <f>IF(B$3=0,0,B17/B$3)</f>
        <v>0.26666666666666666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127</v>
      </c>
      <c r="O17" s="125">
        <f>IF(P17=0,0,Q17/P17)</f>
        <v>-22.299999999999997</v>
      </c>
      <c r="P17" s="119">
        <v>1</v>
      </c>
      <c r="Q17" s="107">
        <v>-22.299999999999997</v>
      </c>
    </row>
    <row r="18" spans="1:17" x14ac:dyDescent="0.4">
      <c r="A18" s="55" t="s">
        <v>12</v>
      </c>
      <c r="B18" s="47">
        <v>2</v>
      </c>
      <c r="C18" s="39">
        <f>IF(B$17=0,0,B18/B$17)</f>
        <v>0.25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3</v>
      </c>
      <c r="N18" s="115" t="s">
        <v>178</v>
      </c>
      <c r="O18" s="125">
        <f>IF(P18=0,0,Q18/P18)</f>
        <v>-28.699999999999996</v>
      </c>
      <c r="P18" s="119">
        <v>1</v>
      </c>
      <c r="Q18" s="107">
        <v>-28.699999999999996</v>
      </c>
    </row>
    <row r="19" spans="1:17" x14ac:dyDescent="0.4">
      <c r="A19" s="55" t="s">
        <v>11</v>
      </c>
      <c r="B19" s="47">
        <v>6</v>
      </c>
      <c r="C19" s="39">
        <f>IF(B$17=0,0,B19/B$17)</f>
        <v>0.75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3</v>
      </c>
      <c r="N19" s="115" t="s">
        <v>179</v>
      </c>
      <c r="O19" s="125">
        <f>IF(P19=0,0,Q19/P19)</f>
        <v>-84.699999999999989</v>
      </c>
      <c r="P19" s="119">
        <v>1</v>
      </c>
      <c r="Q19" s="107">
        <v>-84.699999999999989</v>
      </c>
    </row>
    <row r="20" spans="1:17" x14ac:dyDescent="0.4">
      <c r="A20" s="55" t="s">
        <v>13</v>
      </c>
      <c r="B20" s="47">
        <v>6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3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8</v>
      </c>
      <c r="C22" s="135">
        <v>1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5262.5</v>
      </c>
      <c r="C23" s="41">
        <v>42100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-7716.666666666667</v>
      </c>
      <c r="C24" s="45">
        <v>-46300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141</v>
      </c>
      <c r="B25" s="148">
        <v>3</v>
      </c>
      <c r="C25" s="149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6">
        <v>47500</v>
      </c>
      <c r="C26" s="147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C3C70-A83E-4EE1-94D3-97540FFF4A4E}">
  <sheetPr codeName="Sheet15"/>
  <dimension ref="A1:Q52"/>
  <sheetViews>
    <sheetView showGridLines="0" zoomScaleNormal="100" workbookViewId="0">
      <selection activeCell="X26" sqref="X26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178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2</v>
      </c>
      <c r="H2" s="132">
        <f>IF(B$17=0,0,G2/B$17)</f>
        <v>0.4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-5400</v>
      </c>
      <c r="P2" s="118">
        <v>2</v>
      </c>
      <c r="Q2" s="102">
        <v>-10800</v>
      </c>
    </row>
    <row r="3" spans="1:17" x14ac:dyDescent="0.4">
      <c r="A3" s="55" t="s">
        <v>8</v>
      </c>
      <c r="B3" s="156">
        <v>20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0"/>
        <v>-5850</v>
      </c>
      <c r="P3" s="119">
        <v>2</v>
      </c>
      <c r="Q3" s="103">
        <v>-11700</v>
      </c>
    </row>
    <row r="4" spans="1:17" x14ac:dyDescent="0.4">
      <c r="A4" s="55" t="s">
        <v>6</v>
      </c>
      <c r="B4" s="158">
        <v>-67.3</v>
      </c>
      <c r="C4" s="159"/>
      <c r="E4" s="63" t="s">
        <v>67</v>
      </c>
      <c r="F4" s="60" t="s">
        <v>23</v>
      </c>
      <c r="G4" s="47">
        <v>6</v>
      </c>
      <c r="H4" s="133">
        <f>IF(B$17=0,0,G4/B$17)</f>
        <v>1.2</v>
      </c>
      <c r="I4" s="94">
        <v>1</v>
      </c>
      <c r="K4" s="38">
        <v>2</v>
      </c>
      <c r="L4" s="99">
        <v>-67.3</v>
      </c>
      <c r="N4" s="115" t="s">
        <v>133</v>
      </c>
      <c r="O4" s="122">
        <f t="shared" si="0"/>
        <v>-5650</v>
      </c>
      <c r="P4" s="119">
        <v>2</v>
      </c>
      <c r="Q4" s="103">
        <v>-11300</v>
      </c>
    </row>
    <row r="5" spans="1:17" x14ac:dyDescent="0.4">
      <c r="A5" s="55" t="s">
        <v>7</v>
      </c>
      <c r="B5" s="160">
        <f>IF(B$2=0,0,B$4/B$2)</f>
        <v>-33.65</v>
      </c>
      <c r="C5" s="161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8</v>
      </c>
      <c r="N5" s="115" t="s">
        <v>134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50">
        <f>IF(B$2=0,0,(B$7*1+B$8*2+B$9*3)/B$2)</f>
        <v>2.5</v>
      </c>
      <c r="C6" s="151"/>
      <c r="E6" s="63" t="s">
        <v>69</v>
      </c>
      <c r="F6" s="60" t="s">
        <v>12</v>
      </c>
      <c r="G6" s="47">
        <v>2</v>
      </c>
      <c r="H6" s="133">
        <f>IF(B$17=0,0,G6/B$17)</f>
        <v>0.4</v>
      </c>
      <c r="I6" s="94">
        <v>1</v>
      </c>
      <c r="N6" s="115" t="s">
        <v>135</v>
      </c>
      <c r="O6" s="122">
        <f t="shared" si="0"/>
        <v>22500</v>
      </c>
      <c r="P6" s="119">
        <v>1</v>
      </c>
      <c r="Q6" s="103">
        <v>22500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8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2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0.5</v>
      </c>
      <c r="E10" s="63" t="s">
        <v>73</v>
      </c>
      <c r="F10" s="60" t="s">
        <v>28</v>
      </c>
      <c r="G10" s="47">
        <v>1</v>
      </c>
      <c r="H10" s="133">
        <f>IF(B$17=0,0,G10/B$17)</f>
        <v>0.2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-9.1</v>
      </c>
      <c r="P11" s="119">
        <v>1</v>
      </c>
      <c r="Q11" s="107">
        <v>-9.1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-58.2</v>
      </c>
      <c r="P12" s="120">
        <v>1</v>
      </c>
      <c r="Q12" s="108">
        <v>-58.2</v>
      </c>
    </row>
    <row r="13" spans="1:17" x14ac:dyDescent="0.4">
      <c r="A13" s="58" t="s">
        <v>122</v>
      </c>
      <c r="B13" s="50">
        <v>3</v>
      </c>
      <c r="C13" s="44">
        <f>IF(B$3=0,0,B13/B$3)</f>
        <v>0.15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3</v>
      </c>
      <c r="N16" s="115" t="s">
        <v>183</v>
      </c>
      <c r="O16" s="125">
        <f>IF(P16=0,0,Q16/P16)</f>
        <v>-46.2</v>
      </c>
      <c r="P16" s="119">
        <v>1</v>
      </c>
      <c r="Q16" s="107">
        <v>-46.2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  <c r="N17" s="115" t="s">
        <v>179</v>
      </c>
      <c r="O17" s="125">
        <f>IF(P17=0,0,Q17/P17)</f>
        <v>-56</v>
      </c>
      <c r="P17" s="119">
        <v>1</v>
      </c>
      <c r="Q17" s="107">
        <v>-56</v>
      </c>
    </row>
    <row r="18" spans="1:17" x14ac:dyDescent="0.4">
      <c r="A18" s="55" t="s">
        <v>12</v>
      </c>
      <c r="B18" s="47">
        <v>2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-128.4</v>
      </c>
      <c r="P18" s="119">
        <v>1</v>
      </c>
      <c r="Q18" s="107">
        <v>-128.4</v>
      </c>
    </row>
    <row r="19" spans="1:17" x14ac:dyDescent="0.4">
      <c r="A19" s="55" t="s">
        <v>11</v>
      </c>
      <c r="B19" s="47">
        <v>3</v>
      </c>
      <c r="C19" s="39">
        <f>IF(B$17=0,0,B19/B$17)</f>
        <v>0.6</v>
      </c>
      <c r="E19" s="63" t="s">
        <v>82</v>
      </c>
      <c r="F19" s="60" t="s">
        <v>37</v>
      </c>
      <c r="G19" s="47">
        <v>1</v>
      </c>
      <c r="H19" s="133">
        <f>IF(B$17=0,0,G19/B$17)</f>
        <v>0.2</v>
      </c>
      <c r="I19" s="94">
        <v>1</v>
      </c>
    </row>
    <row r="20" spans="1:17" x14ac:dyDescent="0.4">
      <c r="A20" s="55" t="s">
        <v>13</v>
      </c>
      <c r="B20" s="47">
        <v>6</v>
      </c>
      <c r="C20" s="39">
        <f>IF(B$3=0,0,B20/B$3)</f>
        <v>0.3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8100</v>
      </c>
      <c r="C23" s="41">
        <v>40500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-14300</v>
      </c>
      <c r="C24" s="45">
        <v>-85800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8">
        <v>4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6">
        <v>25900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0F31F-D947-4E83-A80B-F3C7EABE6693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179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1</v>
      </c>
      <c r="H2" s="132">
        <f>IF(B$17=0,0,G2/B$17)</f>
        <v>0.25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-7400</v>
      </c>
      <c r="P2" s="118">
        <v>2</v>
      </c>
      <c r="Q2" s="102">
        <v>-14800</v>
      </c>
    </row>
    <row r="3" spans="1:17" x14ac:dyDescent="0.4">
      <c r="A3" s="55" t="s">
        <v>8</v>
      </c>
      <c r="B3" s="156">
        <v>22</v>
      </c>
      <c r="C3" s="157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7</v>
      </c>
      <c r="K3" s="38">
        <v>1</v>
      </c>
      <c r="L3" s="99">
        <v>46.9</v>
      </c>
      <c r="N3" s="115" t="s">
        <v>132</v>
      </c>
      <c r="O3" s="122">
        <f t="shared" si="0"/>
        <v>-2150</v>
      </c>
      <c r="P3" s="119">
        <v>2</v>
      </c>
      <c r="Q3" s="103">
        <v>-4300</v>
      </c>
    </row>
    <row r="4" spans="1:17" x14ac:dyDescent="0.4">
      <c r="A4" s="55" t="s">
        <v>6</v>
      </c>
      <c r="B4" s="158">
        <v>8.1000000000000014</v>
      </c>
      <c r="C4" s="159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8</v>
      </c>
      <c r="K4" s="38">
        <v>2</v>
      </c>
      <c r="L4" s="99">
        <v>8.1000000000000014</v>
      </c>
      <c r="N4" s="115" t="s">
        <v>133</v>
      </c>
      <c r="O4" s="122">
        <f t="shared" si="0"/>
        <v>6500</v>
      </c>
      <c r="P4" s="119">
        <v>2</v>
      </c>
      <c r="Q4" s="103">
        <v>13000</v>
      </c>
    </row>
    <row r="5" spans="1:17" x14ac:dyDescent="0.4">
      <c r="A5" s="55" t="s">
        <v>7</v>
      </c>
      <c r="B5" s="160">
        <f>IF(B$2=0,0,B$4/B$2)</f>
        <v>4.0500000000000007</v>
      </c>
      <c r="C5" s="161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8</v>
      </c>
      <c r="N5" s="115" t="s">
        <v>134</v>
      </c>
      <c r="O5" s="122">
        <f t="shared" si="0"/>
        <v>-2300</v>
      </c>
      <c r="P5" s="119">
        <v>2</v>
      </c>
      <c r="Q5" s="103">
        <v>-4600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8</v>
      </c>
      <c r="N6" s="115" t="s">
        <v>135</v>
      </c>
      <c r="O6" s="122">
        <f t="shared" si="0"/>
        <v>-750</v>
      </c>
      <c r="P6" s="119">
        <v>2</v>
      </c>
      <c r="Q6" s="103">
        <v>-1500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-700</v>
      </c>
      <c r="P7" s="120">
        <v>1</v>
      </c>
      <c r="Q7" s="104">
        <v>-700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0.25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5</v>
      </c>
      <c r="H10" s="133">
        <f>IF(B$17=0,0,G10/B$17)</f>
        <v>1.25</v>
      </c>
      <c r="I10" s="94">
        <v>1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4.0500000000000007</v>
      </c>
      <c r="P12" s="120">
        <v>2</v>
      </c>
      <c r="Q12" s="108">
        <v>8.1000000000000014</v>
      </c>
    </row>
    <row r="13" spans="1:17" x14ac:dyDescent="0.4">
      <c r="A13" s="58" t="s">
        <v>122</v>
      </c>
      <c r="B13" s="50">
        <v>2</v>
      </c>
      <c r="C13" s="44">
        <f>IF(B$3=0,0,B13/B$3)</f>
        <v>9.0909090909090912E-2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0.18181818181818182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3</v>
      </c>
      <c r="C16" s="37">
        <f>IF(B$14=0,0,B16/B$14)</f>
        <v>0.75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3</v>
      </c>
      <c r="N16" s="115" t="s">
        <v>178</v>
      </c>
      <c r="O16" s="125">
        <f>IF(P16=0,0,Q16/P16)</f>
        <v>56</v>
      </c>
      <c r="P16" s="119">
        <v>1</v>
      </c>
      <c r="Q16" s="107">
        <v>56</v>
      </c>
    </row>
    <row r="17" spans="1:17" x14ac:dyDescent="0.4">
      <c r="A17" s="54" t="s">
        <v>10</v>
      </c>
      <c r="B17" s="46">
        <f>B19+B18</f>
        <v>4</v>
      </c>
      <c r="C17" s="37">
        <f>IF(B$3=0,0,B17/B$3)</f>
        <v>0.18181818181818182</v>
      </c>
      <c r="E17" s="63" t="s">
        <v>80</v>
      </c>
      <c r="F17" s="60" t="s">
        <v>35</v>
      </c>
      <c r="G17" s="47">
        <v>2</v>
      </c>
      <c r="H17" s="133">
        <f>IF(B$17=0,0,G17/B$17)</f>
        <v>0.5</v>
      </c>
      <c r="I17" s="94">
        <v>1</v>
      </c>
      <c r="N17" s="115" t="s">
        <v>167</v>
      </c>
      <c r="O17" s="125">
        <f>IF(P17=0,0,Q17/P17)</f>
        <v>-16.399999999999999</v>
      </c>
      <c r="P17" s="119">
        <v>1</v>
      </c>
      <c r="Q17" s="107">
        <v>-16.399999999999999</v>
      </c>
    </row>
    <row r="18" spans="1:17" x14ac:dyDescent="0.4">
      <c r="A18" s="55" t="s">
        <v>12</v>
      </c>
      <c r="B18" s="47">
        <v>1</v>
      </c>
      <c r="C18" s="39">
        <f>IF(B$17=0,0,B18/B$17)</f>
        <v>0.25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-100</v>
      </c>
      <c r="P18" s="119">
        <v>1</v>
      </c>
      <c r="Q18" s="107">
        <v>-100</v>
      </c>
    </row>
    <row r="19" spans="1:17" x14ac:dyDescent="0.4">
      <c r="A19" s="55" t="s">
        <v>11</v>
      </c>
      <c r="B19" s="47">
        <v>3</v>
      </c>
      <c r="C19" s="39">
        <f>IF(B$17=0,0,B19/B$17)</f>
        <v>0.75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5</v>
      </c>
    </row>
    <row r="20" spans="1:17" x14ac:dyDescent="0.4">
      <c r="A20" s="55" t="s">
        <v>13</v>
      </c>
      <c r="B20" s="47">
        <v>1</v>
      </c>
      <c r="C20" s="39">
        <f>IF(B$3=0,0,B20/B$3)</f>
        <v>4.5454545454545456E-2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0.5</v>
      </c>
      <c r="I21" s="94">
        <v>1</v>
      </c>
    </row>
    <row r="22" spans="1:17" x14ac:dyDescent="0.4">
      <c r="A22" s="55" t="s">
        <v>171</v>
      </c>
      <c r="B22" s="47">
        <v>15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8950</v>
      </c>
      <c r="C23" s="41">
        <v>35800</v>
      </c>
      <c r="E23" s="63" t="s">
        <v>86</v>
      </c>
      <c r="F23" s="60" t="s">
        <v>41</v>
      </c>
      <c r="G23" s="47">
        <v>1</v>
      </c>
      <c r="H23" s="133">
        <f>IF(B$17=0,0,G23/B$17)</f>
        <v>0.25</v>
      </c>
      <c r="I23" s="94">
        <v>1</v>
      </c>
    </row>
    <row r="24" spans="1:17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8">
        <v>0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6">
        <v>71900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9CB1-8F95-4ADD-8488-5F38D2F45E6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183</v>
      </c>
      <c r="C1" s="153"/>
      <c r="E1" s="129" t="s">
        <v>166</v>
      </c>
      <c r="F1" s="145" t="s">
        <v>116</v>
      </c>
      <c r="G1" s="144" t="s">
        <v>117</v>
      </c>
      <c r="H1" s="130" t="s">
        <v>118</v>
      </c>
      <c r="I1" s="145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</v>
      </c>
      <c r="C2" s="155"/>
      <c r="E2" s="62" t="s">
        <v>65</v>
      </c>
      <c r="F2" s="59" t="s">
        <v>21</v>
      </c>
      <c r="G2" s="46">
        <v>2</v>
      </c>
      <c r="H2" s="132">
        <f>IF(B$17=0,0,G2/B$17)</f>
        <v>0.66666666666666663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2300</v>
      </c>
      <c r="P2" s="118">
        <v>1</v>
      </c>
      <c r="Q2" s="102">
        <v>2300</v>
      </c>
    </row>
    <row r="3" spans="1:17" x14ac:dyDescent="0.4">
      <c r="A3" s="55" t="s">
        <v>8</v>
      </c>
      <c r="B3" s="156">
        <v>9</v>
      </c>
      <c r="C3" s="157"/>
      <c r="E3" s="63" t="s">
        <v>66</v>
      </c>
      <c r="F3" s="60" t="s">
        <v>22</v>
      </c>
      <c r="G3" s="47">
        <v>1</v>
      </c>
      <c r="H3" s="133">
        <f>IF(B$17=0,0,G3/B$17)</f>
        <v>0.33333333333333331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-23000</v>
      </c>
      <c r="P3" s="119">
        <v>1</v>
      </c>
      <c r="Q3" s="103">
        <v>-23000</v>
      </c>
    </row>
    <row r="4" spans="1:17" x14ac:dyDescent="0.4">
      <c r="A4" s="55" t="s">
        <v>6</v>
      </c>
      <c r="B4" s="158">
        <v>-12</v>
      </c>
      <c r="C4" s="159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8</v>
      </c>
      <c r="N4" s="115" t="s">
        <v>133</v>
      </c>
      <c r="O4" s="122">
        <f t="shared" si="0"/>
        <v>2200</v>
      </c>
      <c r="P4" s="119">
        <v>1</v>
      </c>
      <c r="Q4" s="103">
        <v>2200</v>
      </c>
    </row>
    <row r="5" spans="1:17" x14ac:dyDescent="0.4">
      <c r="A5" s="55" t="s">
        <v>7</v>
      </c>
      <c r="B5" s="160">
        <f>IF(B$2=0,0,B$4/B$2)</f>
        <v>-12</v>
      </c>
      <c r="C5" s="161"/>
      <c r="E5" s="63" t="s">
        <v>68</v>
      </c>
      <c r="F5" s="60" t="s">
        <v>24</v>
      </c>
      <c r="G5" s="47">
        <v>4</v>
      </c>
      <c r="H5" s="133">
        <f>IF(B$17=0,0,G5/B$17)</f>
        <v>1.3333333333333333</v>
      </c>
      <c r="I5" s="94">
        <v>1</v>
      </c>
      <c r="N5" s="115" t="s">
        <v>134</v>
      </c>
      <c r="O5" s="122">
        <f t="shared" si="0"/>
        <v>6500</v>
      </c>
      <c r="P5" s="119">
        <v>1</v>
      </c>
      <c r="Q5" s="103">
        <v>6500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69</v>
      </c>
      <c r="F6" s="60" t="s">
        <v>12</v>
      </c>
      <c r="G6" s="47">
        <v>0</v>
      </c>
      <c r="H6" s="133">
        <f>IF(B$17=0,0,G6/B$17)</f>
        <v>0</v>
      </c>
      <c r="I6" s="94">
        <v>8</v>
      </c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8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2</v>
      </c>
      <c r="H10" s="133">
        <f>IF(B$17=0,0,G10/B$17)</f>
        <v>0.66666666666666663</v>
      </c>
      <c r="I10" s="94">
        <v>2</v>
      </c>
      <c r="N10" s="114" t="s">
        <v>163</v>
      </c>
      <c r="O10" s="124">
        <f>IF(P10=0,0,Q10/P10)</f>
        <v>-12</v>
      </c>
      <c r="P10" s="118">
        <v>1</v>
      </c>
      <c r="Q10" s="106">
        <v>-12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4</v>
      </c>
      <c r="C13" s="44">
        <f>IF(B$3=0,0,B13/B$3)</f>
        <v>0.44444444444444442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0.22222222222222221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46.2</v>
      </c>
      <c r="P15" s="118">
        <v>1</v>
      </c>
      <c r="Q15" s="106">
        <v>46.2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3</v>
      </c>
      <c r="N16" s="115" t="s">
        <v>182</v>
      </c>
      <c r="O16" s="125">
        <f>IF(P16=0,0,Q16/P16)</f>
        <v>-82.2</v>
      </c>
      <c r="P16" s="119">
        <v>1</v>
      </c>
      <c r="Q16" s="107">
        <v>-82.2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0.33333333333333331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</row>
    <row r="18" spans="1:9" x14ac:dyDescent="0.4">
      <c r="A18" s="55" t="s">
        <v>12</v>
      </c>
      <c r="B18" s="47">
        <v>1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2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5</v>
      </c>
    </row>
    <row r="20" spans="1:9" x14ac:dyDescent="0.4">
      <c r="A20" s="55" t="s">
        <v>13</v>
      </c>
      <c r="B20" s="47">
        <v>3</v>
      </c>
      <c r="C20" s="39">
        <f>IF(B$3=0,0,B20/B$3)</f>
        <v>0.33333333333333331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9" x14ac:dyDescent="0.4">
      <c r="A22" s="55" t="s">
        <v>171</v>
      </c>
      <c r="B22" s="47">
        <v>4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9" x14ac:dyDescent="0.4">
      <c r="A23" s="55" t="s">
        <v>5</v>
      </c>
      <c r="B23" s="51">
        <f>IF(B$17=0,0,C23/B$17)</f>
        <v>8400</v>
      </c>
      <c r="C23" s="41">
        <v>25200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-9233.3333333333339</v>
      </c>
      <c r="C24" s="45">
        <v>-27700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141</v>
      </c>
      <c r="B25" s="148">
        <v>4</v>
      </c>
      <c r="C25" s="149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151</v>
      </c>
      <c r="B26" s="146">
        <v>23000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7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0.66666666666666663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24AB-7406-40D3-891A-C8A5F8E32FC5}">
  <sheetPr codeName="Sheet21"/>
  <dimension ref="A1:Q52"/>
  <sheetViews>
    <sheetView showGridLines="0" zoomScaleNormal="100" workbookViewId="0">
      <selection activeCell="B8" sqref="B8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182</v>
      </c>
      <c r="C1" s="153"/>
      <c r="E1" s="129" t="s">
        <v>166</v>
      </c>
      <c r="F1" s="145" t="s">
        <v>116</v>
      </c>
      <c r="G1" s="144" t="s">
        <v>117</v>
      </c>
      <c r="H1" s="130" t="s">
        <v>118</v>
      </c>
      <c r="I1" s="145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4</v>
      </c>
      <c r="H2" s="132">
        <f>IF(B$17=0,0,G2/B$17)</f>
        <v>0.5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3600</v>
      </c>
      <c r="P2" s="118">
        <v>2</v>
      </c>
      <c r="Q2" s="102">
        <v>7200</v>
      </c>
    </row>
    <row r="3" spans="1:17" x14ac:dyDescent="0.4">
      <c r="A3" s="55" t="s">
        <v>8</v>
      </c>
      <c r="B3" s="156">
        <v>16</v>
      </c>
      <c r="C3" s="157"/>
      <c r="E3" s="63" t="s">
        <v>66</v>
      </c>
      <c r="F3" s="60" t="s">
        <v>22</v>
      </c>
      <c r="G3" s="47">
        <v>1</v>
      </c>
      <c r="H3" s="133">
        <f>IF(B$17=0,0,G3/B$17)</f>
        <v>0.125</v>
      </c>
      <c r="I3" s="94">
        <v>3</v>
      </c>
      <c r="K3" s="38">
        <v>1</v>
      </c>
      <c r="L3" s="99">
        <v>70.2</v>
      </c>
      <c r="N3" s="115" t="s">
        <v>132</v>
      </c>
      <c r="O3" s="122">
        <f t="shared" si="0"/>
        <v>15100</v>
      </c>
      <c r="P3" s="119">
        <v>2</v>
      </c>
      <c r="Q3" s="103">
        <v>30200</v>
      </c>
    </row>
    <row r="4" spans="1:17" x14ac:dyDescent="0.4">
      <c r="A4" s="55" t="s">
        <v>6</v>
      </c>
      <c r="B4" s="158">
        <v>68.5</v>
      </c>
      <c r="C4" s="159"/>
      <c r="E4" s="63" t="s">
        <v>67</v>
      </c>
      <c r="F4" s="60" t="s">
        <v>23</v>
      </c>
      <c r="G4" s="47">
        <v>9</v>
      </c>
      <c r="H4" s="133">
        <f>IF(B$17=0,0,G4/B$17)</f>
        <v>1.125</v>
      </c>
      <c r="I4" s="94">
        <v>2</v>
      </c>
      <c r="K4" s="38">
        <v>2</v>
      </c>
      <c r="L4" s="99">
        <v>68.5</v>
      </c>
      <c r="N4" s="115" t="s">
        <v>133</v>
      </c>
      <c r="O4" s="122">
        <f t="shared" si="0"/>
        <v>-100</v>
      </c>
      <c r="P4" s="119">
        <v>2</v>
      </c>
      <c r="Q4" s="103">
        <v>-200</v>
      </c>
    </row>
    <row r="5" spans="1:17" x14ac:dyDescent="0.4">
      <c r="A5" s="55" t="s">
        <v>7</v>
      </c>
      <c r="B5" s="160">
        <f>IF(B$2=0,0,B$4/B$2)</f>
        <v>34.25</v>
      </c>
      <c r="C5" s="161"/>
      <c r="E5" s="63" t="s">
        <v>68</v>
      </c>
      <c r="F5" s="60" t="s">
        <v>24</v>
      </c>
      <c r="G5" s="47">
        <v>1</v>
      </c>
      <c r="H5" s="133">
        <f>IF(B$17=0,0,G5/B$17)</f>
        <v>0.125</v>
      </c>
      <c r="I5" s="94">
        <v>7</v>
      </c>
      <c r="N5" s="115" t="s">
        <v>134</v>
      </c>
      <c r="O5" s="122">
        <f t="shared" si="0"/>
        <v>-4000</v>
      </c>
      <c r="P5" s="119">
        <v>2</v>
      </c>
      <c r="Q5" s="103">
        <v>-8000</v>
      </c>
    </row>
    <row r="6" spans="1:17" x14ac:dyDescent="0.4">
      <c r="A6" s="55" t="s">
        <v>1</v>
      </c>
      <c r="B6" s="150">
        <f>IF(B$2=0,0,(B$7*1+B$8*2+B$9*3)/B$2)</f>
        <v>1.5</v>
      </c>
      <c r="C6" s="151"/>
      <c r="E6" s="63" t="s">
        <v>69</v>
      </c>
      <c r="F6" s="60" t="s">
        <v>12</v>
      </c>
      <c r="G6" s="47">
        <v>3</v>
      </c>
      <c r="H6" s="133">
        <f>IF(B$17=0,0,G6/B$17)</f>
        <v>0.375</v>
      </c>
      <c r="I6" s="94">
        <v>2</v>
      </c>
      <c r="N6" s="115" t="s">
        <v>135</v>
      </c>
      <c r="O6" s="122">
        <f t="shared" si="0"/>
        <v>5300</v>
      </c>
      <c r="P6" s="119">
        <v>1</v>
      </c>
      <c r="Q6" s="103">
        <v>5300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3</v>
      </c>
      <c r="H7" s="133">
        <f>IF(B$17=0,0,G7/B$17)</f>
        <v>0.375</v>
      </c>
      <c r="I7" s="94">
        <v>1</v>
      </c>
      <c r="N7" s="116" t="s">
        <v>136</v>
      </c>
      <c r="O7" s="123">
        <f t="shared" si="0"/>
        <v>0</v>
      </c>
      <c r="P7" s="120">
        <v>1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1"/>
        <v>0.5</v>
      </c>
      <c r="E8" s="63" t="s">
        <v>71</v>
      </c>
      <c r="F8" s="60" t="s">
        <v>26</v>
      </c>
      <c r="G8" s="47">
        <v>1</v>
      </c>
      <c r="H8" s="133">
        <f>IF(B$17=0,0,G8/B$17)</f>
        <v>0.125</v>
      </c>
      <c r="I8" s="94">
        <v>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4</v>
      </c>
      <c r="H9" s="133">
        <f>IF(B$17=0,0,G9/B$17)</f>
        <v>0.5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</v>
      </c>
      <c r="H10" s="133">
        <f>IF(B$17=0,0,G10/B$17)</f>
        <v>0.125</v>
      </c>
      <c r="I10" s="94">
        <v>9</v>
      </c>
      <c r="N10" s="114" t="s">
        <v>163</v>
      </c>
      <c r="O10" s="124">
        <f>IF(P10=0,0,Q10/P10)</f>
        <v>-1.7</v>
      </c>
      <c r="P10" s="118">
        <v>1</v>
      </c>
      <c r="Q10" s="106">
        <v>-1.7</v>
      </c>
    </row>
    <row r="11" spans="1:17" x14ac:dyDescent="0.4">
      <c r="A11" s="56" t="s">
        <v>139</v>
      </c>
      <c r="B11" s="48">
        <v>1</v>
      </c>
      <c r="C11" s="40">
        <f t="shared" si="1"/>
        <v>0.5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6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0.83333333333333337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128.4</v>
      </c>
      <c r="P15" s="118">
        <v>1</v>
      </c>
      <c r="Q15" s="106">
        <v>128.4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3</v>
      </c>
      <c r="N16" s="115" t="s">
        <v>183</v>
      </c>
      <c r="O16" s="125">
        <f>IF(P16=0,0,Q16/P16)</f>
        <v>82.2</v>
      </c>
      <c r="P16" s="119">
        <v>1</v>
      </c>
      <c r="Q16" s="107">
        <v>82.2</v>
      </c>
    </row>
    <row r="17" spans="1:17" x14ac:dyDescent="0.4">
      <c r="A17" s="54" t="s">
        <v>10</v>
      </c>
      <c r="B17" s="46">
        <f>B19+B18</f>
        <v>8</v>
      </c>
      <c r="C17" s="37">
        <f>IF(B$3=0,0,B17/B$3)</f>
        <v>0.5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3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3</v>
      </c>
      <c r="C18" s="39">
        <f>IF(B$17=0,0,B18/B$17)</f>
        <v>0.375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-27.7</v>
      </c>
      <c r="P18" s="119">
        <v>1</v>
      </c>
      <c r="Q18" s="107">
        <v>-27.7</v>
      </c>
    </row>
    <row r="19" spans="1:17" x14ac:dyDescent="0.4">
      <c r="A19" s="55" t="s">
        <v>11</v>
      </c>
      <c r="B19" s="47">
        <v>5</v>
      </c>
      <c r="C19" s="39">
        <f>IF(B$17=0,0,B19/B$17)</f>
        <v>0.625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5</v>
      </c>
    </row>
    <row r="20" spans="1:17" x14ac:dyDescent="0.4">
      <c r="A20" s="55" t="s">
        <v>13</v>
      </c>
      <c r="B20" s="47">
        <v>1</v>
      </c>
      <c r="C20" s="39">
        <f>IF(B$3=0,0,B20/B$3)</f>
        <v>6.25E-2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9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9800</v>
      </c>
      <c r="C23" s="41">
        <v>78400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8">
        <v>7</v>
      </c>
      <c r="C25" s="149"/>
      <c r="E25" s="63" t="s">
        <v>88</v>
      </c>
      <c r="F25" s="60" t="s">
        <v>43</v>
      </c>
      <c r="G25" s="47">
        <v>1</v>
      </c>
      <c r="H25" s="133">
        <f>IF(B$17=0,0,G25/B$17)</f>
        <v>0.125</v>
      </c>
      <c r="I25" s="94">
        <v>1</v>
      </c>
    </row>
    <row r="26" spans="1:17" x14ac:dyDescent="0.4">
      <c r="A26" s="58" t="s">
        <v>151</v>
      </c>
      <c r="B26" s="146">
        <v>95200</v>
      </c>
      <c r="C26" s="147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5</v>
      </c>
      <c r="H51" s="138">
        <f>IF(B$17=0,0,G51/B$17)</f>
        <v>0.625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E84-A5FA-42E2-A08B-9DB3078BA415}">
  <sheetPr codeName="Sheet22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DFCE1-B238-41DA-8A2D-6FDFE6207657}">
  <sheetPr codeName="Sheet2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A7F86-145A-4330-A866-151D22CDDF2E}">
  <sheetPr codeName="Sheet18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8016-58BF-4782-8F10-FEABBF3F1C4F}">
  <sheetPr codeName="Sheet16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CCF9C-9B30-452F-AE8A-CDF36A92032C}">
  <sheetPr codeName="Sheet14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EE92-9D0D-457E-A0AD-27F31ABB1A77}">
  <sheetPr codeName="Sheet12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FA2D4-56F3-45BE-B65C-A2EB526ADF24}">
  <sheetPr codeName="Sheet10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54BE-C793-42AE-8E9A-E309C60C35B7}">
  <sheetPr codeName="Sheet8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1FD8E-00FB-4419-83BE-7D7CA45ADE90}">
  <sheetPr codeName="Sheet6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390</vt:i4>
      </vt:variant>
    </vt:vector>
  </HeadingPairs>
  <TitlesOfParts>
    <vt:vector size="429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2019-09-28T16:31:14Z</dcterms:modified>
</cp:coreProperties>
</file>